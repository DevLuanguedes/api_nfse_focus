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EstaPasta_de_trabalho" defaultThemeVersion="166925"/>
  <mc:AlternateContent xmlns:mc="http://schemas.openxmlformats.org/markup-compatibility/2006">
    <mc:Choice Requires="x15">
      <x15ac:absPath xmlns:x15ac="http://schemas.microsoft.com/office/spreadsheetml/2010/11/ac" url="F:\03. Faturamento\14. Faturamento 2025\12. DEZEMBRO 2025\HUAWEI\LINHAS A FATURAR\"/>
    </mc:Choice>
  </mc:AlternateContent>
  <xr:revisionPtr revIDLastSave="0" documentId="13_ncr:1_{DBE01285-BFBF-452A-9C65-9E98C508DEF9}" xr6:coauthVersionLast="47" xr6:coauthVersionMax="47" xr10:uidLastSave="{00000000-0000-0000-0000-000000000000}"/>
  <bookViews>
    <workbookView xWindow="-108" yWindow="-108" windowWidth="23256" windowHeight="12456" tabRatio="590" xr2:uid="{00000000-000D-0000-FFFF-FFFF00000000}"/>
  </bookViews>
  <sheets>
    <sheet name="RESUMO" sheetId="15" r:id="rId1"/>
    <sheet name="PRIORIDADES" sheetId="28" r:id="rId2"/>
    <sheet name="7.03" sheetId="7" r:id="rId3"/>
    <sheet name="31.01" sheetId="29" r:id="rId4"/>
    <sheet name="7.02 " sheetId="2" r:id="rId5"/>
    <sheet name="BASE" sheetId="16" r:id="rId6"/>
    <sheet name="BASE FINANCEIRO" sheetId="18" r:id="rId7"/>
    <sheet name="COD. PROJETOS" sheetId="25" r:id="rId8"/>
    <sheet name="BASE MUNICÍPIO" sheetId="22" r:id="rId9"/>
    <sheet name="COD. FAT" sheetId="17" state="hidden" r:id="rId10"/>
    <sheet name="MUNICIPIO" sheetId="21" r:id="rId11"/>
    <sheet name="COD.FAT" sheetId="23" r:id="rId12"/>
    <sheet name="BASE CC" sheetId="26" r:id="rId13"/>
    <sheet name="Planilha2" sheetId="24" state="hidden" r:id="rId14"/>
  </sheets>
  <definedNames>
    <definedName name="_xlnm._FilterDatabase" localSheetId="3" hidden="1">'31.01'!$C$2:$Q$137</definedName>
    <definedName name="_xlnm._FilterDatabase" localSheetId="4" hidden="1">'7.02 '!$C$1081:$D$1098</definedName>
    <definedName name="_xlnm._FilterDatabase" localSheetId="2" hidden="1">'7.03'!$C$2:$Q$250</definedName>
    <definedName name="_xlnm._FilterDatabase" localSheetId="8" hidden="1">'BASE MUNICÍPIO'!$B$2:$D$9800</definedName>
    <definedName name="_xlnm._FilterDatabase" localSheetId="9" hidden="1">'COD. FAT'!$A$3:$B$4</definedName>
    <definedName name="_xlnm._FilterDatabase" localSheetId="11" hidden="1">'COD.FAT'!$A$170:$C$193</definedName>
  </definedNames>
  <calcPr calcId="191029"/>
  <pivotCaches>
    <pivotCache cacheId="0"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83" i="2" l="1"/>
  <c r="E1084" i="2"/>
  <c r="E1085" i="2"/>
  <c r="E1086" i="2"/>
  <c r="E1087" i="2"/>
  <c r="D258" i="7"/>
  <c r="E1082" i="2" l="1"/>
  <c r="D5" i="15"/>
  <c r="D9" i="15"/>
  <c r="D7" i="15"/>
  <c r="C9" i="15"/>
  <c r="E9" i="15" l="1"/>
  <c r="D143" i="29"/>
  <c r="I146" i="29" l="1"/>
  <c r="D140" i="29"/>
  <c r="K138" i="29"/>
  <c r="K141" i="29" s="1"/>
  <c r="N1" i="29"/>
  <c r="K140" i="29" l="1"/>
  <c r="O140" i="29"/>
  <c r="O141" i="29"/>
  <c r="D257" i="7"/>
  <c r="I148" i="29" l="1"/>
  <c r="K143" i="29"/>
  <c r="L1084" i="2"/>
  <c r="J13" i="16" l="1"/>
  <c r="B13" i="16"/>
  <c r="F1119" i="16" l="1"/>
  <c r="F1118" i="16"/>
  <c r="F1117" i="16"/>
  <c r="F1116" i="16"/>
  <c r="F1115" i="16"/>
  <c r="F1114" i="16"/>
  <c r="F1113" i="16"/>
  <c r="F1112" i="16"/>
  <c r="F1111" i="16"/>
  <c r="F1110" i="16"/>
  <c r="F1109" i="16"/>
  <c r="F1108" i="16"/>
  <c r="F1107" i="16"/>
  <c r="F1106" i="16"/>
  <c r="F1105" i="16"/>
  <c r="F1104" i="16"/>
  <c r="F1103" i="16"/>
  <c r="F1102" i="16"/>
  <c r="F1101" i="16"/>
  <c r="F1100" i="16"/>
  <c r="F1099" i="16"/>
  <c r="F1098" i="16"/>
  <c r="F1097" i="16"/>
  <c r="F1096" i="16"/>
  <c r="F1095" i="16"/>
  <c r="F1094" i="16"/>
  <c r="F1093" i="16"/>
  <c r="F1092" i="16"/>
  <c r="F1091" i="16"/>
  <c r="F1090" i="16"/>
  <c r="F1089" i="16"/>
  <c r="F1088" i="16"/>
  <c r="F1087" i="16"/>
  <c r="F1086" i="16"/>
  <c r="F1085" i="16"/>
  <c r="F1084" i="16"/>
  <c r="F1083" i="16"/>
  <c r="F1082" i="16"/>
  <c r="F1081" i="16"/>
  <c r="F1080" i="16"/>
  <c r="F1079" i="16"/>
  <c r="F1078" i="16"/>
  <c r="F1077" i="16"/>
  <c r="F1076" i="16"/>
  <c r="F1075" i="16"/>
  <c r="F1074" i="16"/>
  <c r="F1073" i="16"/>
  <c r="F1072" i="16"/>
  <c r="F1071" i="16"/>
  <c r="F1070" i="16"/>
  <c r="F1069" i="16"/>
  <c r="F1068" i="16"/>
  <c r="F1067" i="16"/>
  <c r="F1066" i="16"/>
  <c r="F1065" i="16"/>
  <c r="F1064" i="16"/>
  <c r="F1063" i="16"/>
  <c r="F1062" i="16"/>
  <c r="F1061" i="16"/>
  <c r="F1060" i="16"/>
  <c r="F1059" i="16"/>
  <c r="F1058" i="16"/>
  <c r="F1057" i="16"/>
  <c r="F1056" i="16"/>
  <c r="F1055" i="16"/>
  <c r="F1054" i="16"/>
  <c r="F1053" i="16"/>
  <c r="F1052" i="16"/>
  <c r="F1051" i="16"/>
  <c r="F1050" i="16"/>
  <c r="F1049" i="16"/>
  <c r="F1048" i="16"/>
  <c r="F1047" i="16"/>
  <c r="F1046" i="16"/>
  <c r="F1045" i="16"/>
  <c r="F1044" i="16"/>
  <c r="F1043" i="16"/>
  <c r="F1042" i="16"/>
  <c r="F1041" i="16"/>
  <c r="F1040" i="16"/>
  <c r="F1039" i="16"/>
  <c r="F1038" i="16"/>
  <c r="F1037" i="16"/>
  <c r="F1036" i="16"/>
  <c r="F1035" i="16"/>
  <c r="F1034" i="16"/>
  <c r="F1033" i="16"/>
  <c r="F1032" i="16"/>
  <c r="F1031" i="16"/>
  <c r="F1030" i="16"/>
  <c r="F1029" i="16"/>
  <c r="F1028" i="16"/>
  <c r="F1027" i="16"/>
  <c r="F1026" i="16"/>
  <c r="F1025" i="16"/>
  <c r="F1024" i="16"/>
  <c r="F1023" i="16"/>
  <c r="F1022" i="16"/>
  <c r="F1021" i="16"/>
  <c r="F1020" i="16"/>
  <c r="F1019" i="16"/>
  <c r="F1018" i="16"/>
  <c r="F1017" i="16"/>
  <c r="F1016" i="16"/>
  <c r="F1015" i="16"/>
  <c r="F1014" i="16"/>
  <c r="F1013" i="16"/>
  <c r="F1012" i="16"/>
  <c r="F1011" i="16"/>
  <c r="F1010" i="16"/>
  <c r="F1009" i="16"/>
  <c r="F1008" i="16"/>
  <c r="F1007" i="16"/>
  <c r="F1006" i="16"/>
  <c r="F1005" i="16"/>
  <c r="F1004" i="16"/>
  <c r="F1003" i="16"/>
  <c r="F1002" i="16"/>
  <c r="F1001" i="16"/>
  <c r="F1000" i="16"/>
  <c r="F999" i="16"/>
  <c r="F998" i="16"/>
  <c r="F997" i="16"/>
  <c r="F996" i="16"/>
  <c r="F995" i="16"/>
  <c r="F994" i="16"/>
  <c r="F993" i="16"/>
  <c r="F992" i="16"/>
  <c r="F991" i="16"/>
  <c r="F990" i="16"/>
  <c r="F989" i="16"/>
  <c r="F988" i="16"/>
  <c r="F987" i="16"/>
  <c r="F986" i="16"/>
  <c r="F985" i="16"/>
  <c r="F984" i="16"/>
  <c r="F983" i="16"/>
  <c r="F982" i="16"/>
  <c r="F981" i="16"/>
  <c r="F980" i="16"/>
  <c r="F979" i="16"/>
  <c r="F978" i="16"/>
  <c r="F977" i="16"/>
  <c r="F976" i="16"/>
  <c r="F975" i="16"/>
  <c r="F974" i="16"/>
  <c r="F973" i="16"/>
  <c r="F972" i="16"/>
  <c r="F971" i="16"/>
  <c r="F970" i="16"/>
  <c r="F969" i="16"/>
  <c r="F968" i="16"/>
  <c r="F967" i="16"/>
  <c r="F966" i="16"/>
  <c r="F965" i="16"/>
  <c r="F964" i="16"/>
  <c r="F963" i="16"/>
  <c r="F962" i="16"/>
  <c r="F961" i="16"/>
  <c r="F960" i="16"/>
  <c r="F959" i="16"/>
  <c r="F958" i="16"/>
  <c r="F957" i="16"/>
  <c r="F956" i="16"/>
  <c r="F955" i="16"/>
  <c r="F954" i="16"/>
  <c r="F953" i="16"/>
  <c r="F952" i="16"/>
  <c r="F951" i="16"/>
  <c r="F950" i="16"/>
  <c r="F949" i="16"/>
  <c r="F948" i="16"/>
  <c r="F947" i="16"/>
  <c r="F946" i="16"/>
  <c r="F945" i="16"/>
  <c r="F944" i="16"/>
  <c r="F943" i="16"/>
  <c r="F942" i="16"/>
  <c r="F941" i="16"/>
  <c r="F940" i="16"/>
  <c r="F939" i="16"/>
  <c r="F938" i="16"/>
  <c r="F937" i="16"/>
  <c r="F936" i="16"/>
  <c r="F935" i="16"/>
  <c r="F934" i="16"/>
  <c r="F933" i="16"/>
  <c r="F932" i="16"/>
  <c r="F931" i="16"/>
  <c r="F930" i="16"/>
  <c r="F929" i="16"/>
  <c r="F928" i="16"/>
  <c r="F927" i="16"/>
  <c r="F926" i="16"/>
  <c r="F925" i="16"/>
  <c r="F924" i="16"/>
  <c r="F923" i="16"/>
  <c r="F922" i="16"/>
  <c r="F921" i="16"/>
  <c r="F920" i="16"/>
  <c r="F919" i="16"/>
  <c r="F918" i="16"/>
  <c r="F917" i="16"/>
  <c r="F916" i="16"/>
  <c r="F915" i="16"/>
  <c r="F914" i="16"/>
  <c r="F913" i="16"/>
  <c r="F912" i="16"/>
  <c r="F911" i="16"/>
  <c r="F910" i="16"/>
  <c r="F909" i="16"/>
  <c r="F908" i="16"/>
  <c r="F907" i="16"/>
  <c r="F906" i="16"/>
  <c r="F905" i="16"/>
  <c r="F904" i="16"/>
  <c r="F903" i="16"/>
  <c r="F902" i="16"/>
  <c r="F901" i="16"/>
  <c r="F900" i="16"/>
  <c r="F899" i="16"/>
  <c r="F898" i="16"/>
  <c r="F897" i="16"/>
  <c r="F896" i="16"/>
  <c r="F895" i="16"/>
  <c r="F894" i="16"/>
  <c r="F893" i="16"/>
  <c r="F892" i="16"/>
  <c r="F891" i="16"/>
  <c r="F890" i="16"/>
  <c r="F889" i="16"/>
  <c r="F888" i="16"/>
  <c r="F887" i="16"/>
  <c r="F886" i="16"/>
  <c r="F885" i="16"/>
  <c r="F884" i="16"/>
  <c r="F883" i="16"/>
  <c r="F882" i="16"/>
  <c r="F881" i="16"/>
  <c r="F880" i="16"/>
  <c r="F879" i="16"/>
  <c r="F878" i="16"/>
  <c r="F877" i="16"/>
  <c r="F876" i="16"/>
  <c r="F875" i="16"/>
  <c r="F874" i="16"/>
  <c r="F873" i="16"/>
  <c r="F872" i="16"/>
  <c r="F871" i="16"/>
  <c r="F870" i="16"/>
  <c r="F869" i="16"/>
  <c r="F868" i="16"/>
  <c r="F867" i="16"/>
  <c r="F866" i="16"/>
  <c r="F865" i="16"/>
  <c r="F864" i="16"/>
  <c r="F863" i="16"/>
  <c r="F862" i="16"/>
  <c r="F861" i="16"/>
  <c r="F860" i="16"/>
  <c r="F859" i="16"/>
  <c r="F858" i="16"/>
  <c r="F857" i="16"/>
  <c r="F856" i="16"/>
  <c r="F855" i="16"/>
  <c r="F854" i="16"/>
  <c r="F853" i="16"/>
  <c r="F852" i="16"/>
  <c r="F851" i="16"/>
  <c r="F850" i="16"/>
  <c r="F849" i="16"/>
  <c r="F848" i="16"/>
  <c r="F847" i="16"/>
  <c r="F846" i="16"/>
  <c r="F845" i="16"/>
  <c r="F844" i="16"/>
  <c r="F843" i="16"/>
  <c r="F842" i="16"/>
  <c r="F841" i="16"/>
  <c r="F840" i="16"/>
  <c r="F839" i="16"/>
  <c r="F838" i="16"/>
  <c r="F837" i="16"/>
  <c r="F836" i="16"/>
  <c r="F835" i="16"/>
  <c r="F834" i="16"/>
  <c r="F833" i="16"/>
  <c r="F832" i="16"/>
  <c r="F831" i="16"/>
  <c r="F830" i="16"/>
  <c r="F829" i="16"/>
  <c r="F828" i="16"/>
  <c r="F827" i="16"/>
  <c r="F826" i="16"/>
  <c r="F825" i="16"/>
  <c r="F824" i="16"/>
  <c r="F823" i="16"/>
  <c r="F822" i="16"/>
  <c r="F821" i="16"/>
  <c r="F820" i="16"/>
  <c r="F819" i="16"/>
  <c r="F818" i="16"/>
  <c r="F817" i="16"/>
  <c r="F816" i="16"/>
  <c r="F815" i="16"/>
  <c r="F814" i="16"/>
  <c r="F813" i="16"/>
  <c r="F812" i="16"/>
  <c r="F811" i="16"/>
  <c r="F810" i="16"/>
  <c r="F809" i="16"/>
  <c r="F808" i="16"/>
  <c r="F807" i="16"/>
  <c r="F806" i="16"/>
  <c r="F805" i="16"/>
  <c r="F804" i="16"/>
  <c r="F803" i="16"/>
  <c r="F802" i="16"/>
  <c r="F801" i="16"/>
  <c r="F800" i="16"/>
  <c r="F799" i="16"/>
  <c r="F798" i="16"/>
  <c r="F797" i="16"/>
  <c r="F796" i="16"/>
  <c r="F795" i="16"/>
  <c r="F794" i="16"/>
  <c r="F793" i="16"/>
  <c r="F792" i="16"/>
  <c r="F791" i="16"/>
  <c r="F790" i="16"/>
  <c r="F789" i="16"/>
  <c r="F788" i="16"/>
  <c r="F787" i="16"/>
  <c r="F786" i="16"/>
  <c r="F785" i="16"/>
  <c r="F784" i="16"/>
  <c r="F783" i="16"/>
  <c r="F782" i="16"/>
  <c r="F781" i="16"/>
  <c r="F780" i="16"/>
  <c r="F779" i="16"/>
  <c r="F778" i="16"/>
  <c r="F777" i="16"/>
  <c r="F776" i="16"/>
  <c r="F775" i="16"/>
  <c r="F774" i="16"/>
  <c r="F773" i="16"/>
  <c r="F772" i="16"/>
  <c r="F771" i="16"/>
  <c r="F770" i="16"/>
  <c r="F769" i="16"/>
  <c r="F768" i="16"/>
  <c r="F767" i="16"/>
  <c r="F766" i="16"/>
  <c r="F765" i="16"/>
  <c r="F764" i="16"/>
  <c r="F763" i="16"/>
  <c r="F762" i="16"/>
  <c r="F761" i="16"/>
  <c r="F760" i="16"/>
  <c r="F759" i="16"/>
  <c r="F758" i="16"/>
  <c r="F757" i="16"/>
  <c r="F756" i="16"/>
  <c r="F755" i="16"/>
  <c r="F754" i="16"/>
  <c r="F753" i="16"/>
  <c r="F752" i="16"/>
  <c r="F751" i="16"/>
  <c r="F750" i="16"/>
  <c r="F749" i="16"/>
  <c r="F748" i="16"/>
  <c r="F747" i="16"/>
  <c r="F746" i="16"/>
  <c r="F745" i="16"/>
  <c r="F744" i="16"/>
  <c r="F743" i="16"/>
  <c r="F742" i="16"/>
  <c r="F741" i="16"/>
  <c r="F740" i="16"/>
  <c r="F739" i="16"/>
  <c r="F738" i="16"/>
  <c r="F737" i="16"/>
  <c r="F736" i="16"/>
  <c r="F735" i="16"/>
  <c r="F734" i="16"/>
  <c r="F733" i="16"/>
  <c r="F732" i="16"/>
  <c r="F731" i="16"/>
  <c r="F730" i="16"/>
  <c r="F729" i="16"/>
  <c r="F728" i="16"/>
  <c r="F727" i="16"/>
  <c r="F726" i="16"/>
  <c r="F725" i="16"/>
  <c r="F724" i="16"/>
  <c r="F723" i="16"/>
  <c r="F722" i="16"/>
  <c r="F721" i="16"/>
  <c r="F720" i="16"/>
  <c r="F719" i="16"/>
  <c r="F718" i="16"/>
  <c r="F717" i="16"/>
  <c r="F716" i="16"/>
  <c r="F715" i="16"/>
  <c r="F714" i="16"/>
  <c r="F713" i="16"/>
  <c r="F712" i="16"/>
  <c r="F711" i="16"/>
  <c r="F710" i="16"/>
  <c r="F709" i="16"/>
  <c r="F708" i="16"/>
  <c r="F707" i="16"/>
  <c r="F706" i="16"/>
  <c r="F705" i="16"/>
  <c r="F704" i="16"/>
  <c r="F703" i="16"/>
  <c r="F702" i="16"/>
  <c r="F701" i="16"/>
  <c r="F700" i="16"/>
  <c r="F699" i="16"/>
  <c r="F698" i="16"/>
  <c r="F697" i="16"/>
  <c r="F696" i="16"/>
  <c r="F695" i="16"/>
  <c r="F694" i="16"/>
  <c r="F693" i="16"/>
  <c r="F692" i="16"/>
  <c r="F691" i="16"/>
  <c r="F690" i="16"/>
  <c r="F689" i="16"/>
  <c r="F688" i="16"/>
  <c r="F687" i="16"/>
  <c r="F686" i="16"/>
  <c r="F685" i="16"/>
  <c r="F684" i="16"/>
  <c r="F683" i="16"/>
  <c r="F682" i="16"/>
  <c r="F681" i="16"/>
  <c r="F680" i="16"/>
  <c r="F679" i="16"/>
  <c r="F678" i="16"/>
  <c r="F677" i="16"/>
  <c r="F676" i="16"/>
  <c r="F675" i="16"/>
  <c r="F674" i="16"/>
  <c r="F673" i="16"/>
  <c r="F672" i="16"/>
  <c r="F671" i="16"/>
  <c r="F670" i="16"/>
  <c r="F669" i="16"/>
  <c r="F668" i="16"/>
  <c r="F667" i="16"/>
  <c r="F666" i="16"/>
  <c r="F665" i="16"/>
  <c r="F664" i="16"/>
  <c r="F663" i="16"/>
  <c r="F662" i="16"/>
  <c r="F661" i="16"/>
  <c r="F660" i="16"/>
  <c r="F659" i="16"/>
  <c r="F658" i="16"/>
  <c r="F657" i="16"/>
  <c r="F656" i="16"/>
  <c r="F655" i="16"/>
  <c r="F654" i="16"/>
  <c r="F653" i="16"/>
  <c r="F652" i="16"/>
  <c r="F651" i="16"/>
  <c r="F650" i="16"/>
  <c r="F649" i="16"/>
  <c r="F648" i="16"/>
  <c r="F647" i="16"/>
  <c r="F646" i="16"/>
  <c r="F645" i="16"/>
  <c r="F644" i="16"/>
  <c r="F643" i="16"/>
  <c r="F642" i="16"/>
  <c r="F641" i="16"/>
  <c r="F640" i="16"/>
  <c r="F639" i="16"/>
  <c r="F638" i="16"/>
  <c r="F637" i="16"/>
  <c r="F636" i="16"/>
  <c r="F635" i="16"/>
  <c r="F634" i="16"/>
  <c r="F633" i="16"/>
  <c r="F632" i="16"/>
  <c r="F631" i="16"/>
  <c r="F630" i="16"/>
  <c r="F629" i="16"/>
  <c r="F628" i="16"/>
  <c r="F627" i="16"/>
  <c r="F626" i="16"/>
  <c r="F625" i="16"/>
  <c r="F624" i="16"/>
  <c r="F623" i="16"/>
  <c r="F622" i="16"/>
  <c r="F621" i="16"/>
  <c r="F620" i="16"/>
  <c r="F619" i="16"/>
  <c r="F618" i="16"/>
  <c r="F617" i="16"/>
  <c r="F616" i="16"/>
  <c r="F615" i="16"/>
  <c r="F614" i="16"/>
  <c r="F613" i="16"/>
  <c r="F612" i="16"/>
  <c r="F611" i="16"/>
  <c r="F610" i="16"/>
  <c r="F609" i="16"/>
  <c r="F608" i="16"/>
  <c r="F607" i="16"/>
  <c r="F606" i="16"/>
  <c r="F605" i="16"/>
  <c r="F604" i="16"/>
  <c r="F603" i="16"/>
  <c r="F602" i="16"/>
  <c r="F601" i="16"/>
  <c r="F600" i="16"/>
  <c r="F599" i="16"/>
  <c r="F598" i="16"/>
  <c r="F597" i="16"/>
  <c r="F596" i="16"/>
  <c r="F595" i="16"/>
  <c r="F594" i="16"/>
  <c r="F593" i="16"/>
  <c r="F592" i="16"/>
  <c r="F591" i="16"/>
  <c r="F590" i="16"/>
  <c r="F589" i="16"/>
  <c r="F588" i="16"/>
  <c r="F587" i="16"/>
  <c r="F586" i="16"/>
  <c r="F585" i="16"/>
  <c r="F584" i="16"/>
  <c r="F583" i="16"/>
  <c r="F582" i="16"/>
  <c r="F581" i="16"/>
  <c r="F580" i="16"/>
  <c r="F579" i="16"/>
  <c r="F578" i="16"/>
  <c r="F577" i="16"/>
  <c r="F576" i="16"/>
  <c r="F575" i="16"/>
  <c r="F574" i="16"/>
  <c r="F573" i="16"/>
  <c r="F572" i="16"/>
  <c r="F571" i="16"/>
  <c r="F570" i="16"/>
  <c r="F569" i="16"/>
  <c r="F568" i="16"/>
  <c r="F567" i="16"/>
  <c r="F566" i="16"/>
  <c r="F565" i="16"/>
  <c r="F564" i="16"/>
  <c r="F563" i="16"/>
  <c r="F562" i="16"/>
  <c r="F561" i="16"/>
  <c r="F560" i="16"/>
  <c r="F559" i="16"/>
  <c r="F558" i="16"/>
  <c r="F557" i="16"/>
  <c r="F556" i="16"/>
  <c r="F555" i="16"/>
  <c r="F554" i="16"/>
  <c r="F553" i="16"/>
  <c r="F552" i="16"/>
  <c r="F551" i="16"/>
  <c r="F550" i="16"/>
  <c r="F549" i="16"/>
  <c r="F548" i="16"/>
  <c r="F547" i="16"/>
  <c r="F546" i="16"/>
  <c r="F545" i="16"/>
  <c r="F544" i="16"/>
  <c r="F543" i="16"/>
  <c r="F542" i="16"/>
  <c r="F541" i="16"/>
  <c r="F540" i="16"/>
  <c r="F539" i="16"/>
  <c r="F538" i="16"/>
  <c r="F537" i="16"/>
  <c r="F536" i="16"/>
  <c r="F535" i="16"/>
  <c r="F534" i="16"/>
  <c r="F533" i="16"/>
  <c r="F532" i="16"/>
  <c r="F531" i="16"/>
  <c r="F530" i="16"/>
  <c r="F529" i="16"/>
  <c r="F528" i="16"/>
  <c r="F527" i="16"/>
  <c r="F526" i="16"/>
  <c r="F525" i="16"/>
  <c r="F524" i="16"/>
  <c r="F523" i="16"/>
  <c r="F522" i="16"/>
  <c r="F521" i="16"/>
  <c r="F520" i="16"/>
  <c r="F519" i="16"/>
  <c r="F518" i="16"/>
  <c r="F517" i="16"/>
  <c r="F516" i="16"/>
  <c r="F515" i="16"/>
  <c r="F514" i="16"/>
  <c r="F513" i="16"/>
  <c r="F512" i="16"/>
  <c r="F511" i="16"/>
  <c r="F510" i="16"/>
  <c r="F509" i="16"/>
  <c r="F508" i="16"/>
  <c r="F507" i="16"/>
  <c r="F506" i="16"/>
  <c r="F505" i="16"/>
  <c r="F504" i="16"/>
  <c r="F503" i="16"/>
  <c r="F502" i="16"/>
  <c r="F501" i="16"/>
  <c r="F500" i="16"/>
  <c r="F499" i="16"/>
  <c r="F498" i="16"/>
  <c r="F497" i="16"/>
  <c r="F496" i="16"/>
  <c r="F495" i="16"/>
  <c r="F494" i="16"/>
  <c r="F493" i="16"/>
  <c r="F492" i="16"/>
  <c r="F491" i="16"/>
  <c r="F490" i="16"/>
  <c r="F489" i="16"/>
  <c r="F488" i="16"/>
  <c r="F487" i="16"/>
  <c r="F486" i="16"/>
  <c r="F485" i="16"/>
  <c r="F484" i="16"/>
  <c r="F483" i="16"/>
  <c r="F482" i="16"/>
  <c r="F481" i="16"/>
  <c r="F480" i="16"/>
  <c r="F479" i="16"/>
  <c r="F478" i="16"/>
  <c r="F477" i="16"/>
  <c r="F476" i="16"/>
  <c r="F475" i="16"/>
  <c r="F474" i="16"/>
  <c r="F473" i="16"/>
  <c r="F472" i="16"/>
  <c r="F471" i="16"/>
  <c r="F470" i="16"/>
  <c r="F469" i="16"/>
  <c r="F468" i="16"/>
  <c r="F467" i="16"/>
  <c r="F466" i="16"/>
  <c r="F465" i="16"/>
  <c r="F464" i="16"/>
  <c r="F463" i="16"/>
  <c r="F462" i="16"/>
  <c r="F461" i="16"/>
  <c r="F460" i="16"/>
  <c r="F459" i="16"/>
  <c r="F458" i="16"/>
  <c r="F457" i="16"/>
  <c r="F456" i="16"/>
  <c r="F455" i="16"/>
  <c r="F454" i="16"/>
  <c r="F453" i="16"/>
  <c r="F452" i="16"/>
  <c r="F451" i="16"/>
  <c r="F450" i="16"/>
  <c r="F449" i="16"/>
  <c r="F448" i="16"/>
  <c r="F447" i="16"/>
  <c r="F446" i="16"/>
  <c r="F445" i="16"/>
  <c r="F444" i="16"/>
  <c r="F443" i="16"/>
  <c r="F442" i="16"/>
  <c r="F441" i="16"/>
  <c r="F440" i="16"/>
  <c r="F439" i="16"/>
  <c r="F438" i="16"/>
  <c r="F437" i="16"/>
  <c r="F436" i="16"/>
  <c r="F435" i="16"/>
  <c r="F434" i="16"/>
  <c r="F433" i="16"/>
  <c r="F432" i="16"/>
  <c r="F431" i="16"/>
  <c r="F430" i="16"/>
  <c r="F429" i="16"/>
  <c r="F428" i="16"/>
  <c r="F427" i="16"/>
  <c r="F426" i="16"/>
  <c r="F425" i="16"/>
  <c r="F424" i="16"/>
  <c r="F423" i="16"/>
  <c r="F422" i="16"/>
  <c r="F421" i="16"/>
  <c r="F420" i="16"/>
  <c r="F419" i="16"/>
  <c r="F418" i="16"/>
  <c r="F417" i="16"/>
  <c r="F416" i="16"/>
  <c r="F415" i="16"/>
  <c r="F414" i="16"/>
  <c r="F413" i="16"/>
  <c r="F412" i="16"/>
  <c r="F411" i="16"/>
  <c r="F410" i="16"/>
  <c r="F409" i="16"/>
  <c r="F408" i="16"/>
  <c r="F407" i="16"/>
  <c r="F406" i="16"/>
  <c r="F405" i="16"/>
  <c r="F404" i="16"/>
  <c r="F403" i="16"/>
  <c r="F402" i="16"/>
  <c r="F401" i="16"/>
  <c r="F400" i="16"/>
  <c r="F399" i="16"/>
  <c r="F398" i="16"/>
  <c r="F397" i="16"/>
  <c r="F396" i="16"/>
  <c r="F395" i="16"/>
  <c r="F394" i="16"/>
  <c r="F393" i="16"/>
  <c r="F392" i="16"/>
  <c r="F391" i="16"/>
  <c r="F390" i="16"/>
  <c r="F389" i="16"/>
  <c r="F388" i="16"/>
  <c r="F387" i="16"/>
  <c r="F386" i="16"/>
  <c r="F385" i="16"/>
  <c r="F384" i="16"/>
  <c r="F383" i="16"/>
  <c r="F382" i="16"/>
  <c r="F381" i="16"/>
  <c r="F380" i="16"/>
  <c r="F379" i="16"/>
  <c r="F378" i="16"/>
  <c r="F377" i="16"/>
  <c r="F376" i="16"/>
  <c r="F375" i="16"/>
  <c r="F374" i="16"/>
  <c r="F373" i="16"/>
  <c r="F372" i="16"/>
  <c r="F371" i="16"/>
  <c r="F370" i="16"/>
  <c r="F369" i="16"/>
  <c r="F368" i="16"/>
  <c r="F367" i="16"/>
  <c r="F366" i="16"/>
  <c r="F365" i="16"/>
  <c r="F364" i="16"/>
  <c r="F363" i="16"/>
  <c r="F362" i="16"/>
  <c r="F361" i="16"/>
  <c r="F360" i="16"/>
  <c r="F359" i="16"/>
  <c r="F358" i="16"/>
  <c r="F357" i="16"/>
  <c r="F356" i="16"/>
  <c r="F355" i="16"/>
  <c r="F354" i="16"/>
  <c r="F353" i="16"/>
  <c r="F352" i="16"/>
  <c r="F351" i="16"/>
  <c r="F350" i="16"/>
  <c r="F349" i="16"/>
  <c r="F348" i="16"/>
  <c r="F347" i="16"/>
  <c r="F346" i="16"/>
  <c r="F345" i="16"/>
  <c r="F344" i="16"/>
  <c r="F343" i="16"/>
  <c r="F342" i="16"/>
  <c r="F341" i="16"/>
  <c r="F340" i="16"/>
  <c r="F339" i="16"/>
  <c r="F338" i="16"/>
  <c r="F337" i="16"/>
  <c r="F336" i="16"/>
  <c r="F335" i="16"/>
  <c r="F334" i="16"/>
  <c r="F333" i="16"/>
  <c r="F332" i="16"/>
  <c r="F331" i="16"/>
  <c r="F330" i="16"/>
  <c r="F329" i="16"/>
  <c r="F328" i="16"/>
  <c r="F327" i="16"/>
  <c r="F326" i="16"/>
  <c r="F325" i="16"/>
  <c r="F324" i="16"/>
  <c r="F323" i="16"/>
  <c r="F322" i="16"/>
  <c r="F321" i="16"/>
  <c r="F320" i="16"/>
  <c r="F319" i="16"/>
  <c r="F318" i="16"/>
  <c r="F317" i="16"/>
  <c r="F316" i="16"/>
  <c r="F315" i="16"/>
  <c r="F314" i="16"/>
  <c r="F313" i="16"/>
  <c r="F312" i="16"/>
  <c r="F311" i="16"/>
  <c r="F310" i="16"/>
  <c r="F309" i="16"/>
  <c r="F308" i="16"/>
  <c r="F307" i="16"/>
  <c r="F306" i="16"/>
  <c r="F305" i="16"/>
  <c r="F304" i="16"/>
  <c r="F303" i="16"/>
  <c r="F302" i="16"/>
  <c r="F301" i="16"/>
  <c r="F300" i="16"/>
  <c r="F299" i="16"/>
  <c r="F298" i="16"/>
  <c r="F297" i="16"/>
  <c r="F296" i="16"/>
  <c r="F295" i="16"/>
  <c r="F294" i="16"/>
  <c r="F293" i="16"/>
  <c r="F292" i="16"/>
  <c r="F291" i="16"/>
  <c r="F290" i="16"/>
  <c r="F289" i="16"/>
  <c r="F288" i="16"/>
  <c r="F287" i="16"/>
  <c r="F286" i="16"/>
  <c r="F285" i="16"/>
  <c r="F284" i="16"/>
  <c r="F283" i="16"/>
  <c r="F282" i="16"/>
  <c r="F281" i="16"/>
  <c r="F280" i="16"/>
  <c r="F279" i="16"/>
  <c r="F278" i="16"/>
  <c r="F277" i="16"/>
  <c r="F276" i="16"/>
  <c r="F275" i="16"/>
  <c r="F274" i="16"/>
  <c r="F273" i="16"/>
  <c r="F272" i="16"/>
  <c r="F271" i="16"/>
  <c r="F270" i="16"/>
  <c r="F269" i="16"/>
  <c r="F268" i="16"/>
  <c r="F267" i="16"/>
  <c r="F266" i="16"/>
  <c r="F265" i="16"/>
  <c r="F264" i="16"/>
  <c r="F263" i="16"/>
  <c r="F262" i="16"/>
  <c r="F261" i="16"/>
  <c r="F260" i="16"/>
  <c r="F259" i="16"/>
  <c r="F258" i="16"/>
  <c r="F257" i="16"/>
  <c r="F256" i="16"/>
  <c r="F255" i="16"/>
  <c r="F254" i="16"/>
  <c r="F253" i="16"/>
  <c r="F252" i="16"/>
  <c r="F251" i="16"/>
  <c r="F250" i="16"/>
  <c r="F249" i="16"/>
  <c r="F248" i="16"/>
  <c r="F247" i="16"/>
  <c r="F246" i="16"/>
  <c r="F245" i="16"/>
  <c r="F244" i="16"/>
  <c r="F243" i="16"/>
  <c r="F242" i="16"/>
  <c r="F241" i="16"/>
  <c r="F240" i="16"/>
  <c r="F239" i="16"/>
  <c r="F238" i="16"/>
  <c r="F237" i="16"/>
  <c r="F236" i="16"/>
  <c r="F235" i="16"/>
  <c r="F234" i="16"/>
  <c r="F233" i="16"/>
  <c r="F232" i="16"/>
  <c r="F231" i="16"/>
  <c r="F230" i="16"/>
  <c r="F229" i="16"/>
  <c r="F228" i="16"/>
  <c r="F227" i="16"/>
  <c r="F226" i="16"/>
  <c r="F225" i="16"/>
  <c r="F224" i="16"/>
  <c r="F223" i="16"/>
  <c r="F222" i="16"/>
  <c r="F221" i="16"/>
  <c r="F220" i="16"/>
  <c r="F219" i="16"/>
  <c r="F218" i="16"/>
  <c r="F217" i="16"/>
  <c r="F216" i="16"/>
  <c r="F215" i="16"/>
  <c r="F214" i="16"/>
  <c r="F213" i="16"/>
  <c r="F212" i="16"/>
  <c r="F211" i="16"/>
  <c r="F210" i="16"/>
  <c r="F209" i="16"/>
  <c r="F208" i="16"/>
  <c r="F207" i="16"/>
  <c r="F206" i="16"/>
  <c r="F205" i="16"/>
  <c r="F204" i="16"/>
  <c r="F203" i="16"/>
  <c r="F202" i="16"/>
  <c r="F201" i="16"/>
  <c r="F200" i="16"/>
  <c r="F199" i="16"/>
  <c r="F198" i="16"/>
  <c r="F197" i="16"/>
  <c r="F196" i="16"/>
  <c r="F195" i="16"/>
  <c r="F194" i="16"/>
  <c r="F193" i="16"/>
  <c r="F192" i="16"/>
  <c r="F191" i="16"/>
  <c r="F190" i="16"/>
  <c r="F189" i="16"/>
  <c r="F188" i="16"/>
  <c r="F187" i="16"/>
  <c r="F186" i="16"/>
  <c r="F185" i="16"/>
  <c r="F184" i="16"/>
  <c r="F183" i="16"/>
  <c r="F182" i="16"/>
  <c r="F181" i="16"/>
  <c r="F180" i="16"/>
  <c r="F179" i="16"/>
  <c r="F178" i="16"/>
  <c r="F177" i="16"/>
  <c r="F176" i="16"/>
  <c r="F175" i="16"/>
  <c r="F174" i="16"/>
  <c r="F173" i="16"/>
  <c r="F172" i="16"/>
  <c r="F171" i="16"/>
  <c r="F170" i="16"/>
  <c r="F169" i="16"/>
  <c r="F168" i="16"/>
  <c r="F167" i="16"/>
  <c r="F166" i="16"/>
  <c r="F165" i="16"/>
  <c r="F164" i="16"/>
  <c r="F163" i="16"/>
  <c r="F162" i="16"/>
  <c r="F161" i="16"/>
  <c r="F160" i="16"/>
  <c r="F159" i="16"/>
  <c r="F158" i="16"/>
  <c r="F157" i="16"/>
  <c r="F156" i="16"/>
  <c r="F155" i="16"/>
  <c r="F154" i="16"/>
  <c r="F153" i="16"/>
  <c r="F152" i="16"/>
  <c r="F151" i="16"/>
  <c r="F150" i="16"/>
  <c r="F149" i="16"/>
  <c r="F148" i="16"/>
  <c r="F147" i="16"/>
  <c r="F146" i="16"/>
  <c r="F145" i="16"/>
  <c r="F144" i="16"/>
  <c r="F143" i="16"/>
  <c r="F142" i="16"/>
  <c r="F141" i="16"/>
  <c r="F140" i="16"/>
  <c r="F139" i="16"/>
  <c r="F138" i="16"/>
  <c r="F137" i="16"/>
  <c r="F136" i="16"/>
  <c r="F135" i="16"/>
  <c r="F134" i="16"/>
  <c r="F133" i="16"/>
  <c r="F132" i="16"/>
  <c r="F131" i="16"/>
  <c r="F130" i="16"/>
  <c r="F129" i="16"/>
  <c r="F128" i="16"/>
  <c r="F127" i="16"/>
  <c r="F126" i="16"/>
  <c r="F125" i="16"/>
  <c r="F124" i="16"/>
  <c r="F123" i="16"/>
  <c r="F122" i="16"/>
  <c r="F121" i="16"/>
  <c r="F120" i="16"/>
  <c r="F119" i="16"/>
  <c r="F118" i="16"/>
  <c r="F117" i="16"/>
  <c r="F116" i="16"/>
  <c r="F115" i="16"/>
  <c r="F114" i="16"/>
  <c r="F113" i="16"/>
  <c r="F112" i="16"/>
  <c r="F111" i="16"/>
  <c r="F110" i="16"/>
  <c r="F109" i="16"/>
  <c r="F108" i="16"/>
  <c r="F107" i="16"/>
  <c r="F106" i="16"/>
  <c r="F105" i="16"/>
  <c r="F104" i="16"/>
  <c r="F103" i="16"/>
  <c r="F102" i="16"/>
  <c r="F101" i="16"/>
  <c r="F100" i="16"/>
  <c r="F99" i="16"/>
  <c r="F98" i="16"/>
  <c r="F97" i="16"/>
  <c r="F96" i="16"/>
  <c r="F95" i="16"/>
  <c r="F94" i="16"/>
  <c r="F93" i="16"/>
  <c r="F92" i="16"/>
  <c r="F91" i="16"/>
  <c r="F90" i="16"/>
  <c r="F89" i="16"/>
  <c r="F88" i="16"/>
  <c r="F87" i="16"/>
  <c r="F86" i="16"/>
  <c r="F85" i="16"/>
  <c r="F84" i="16"/>
  <c r="F83" i="16"/>
  <c r="F82" i="16"/>
  <c r="F81" i="16"/>
  <c r="F80" i="16"/>
  <c r="F79" i="16"/>
  <c r="F78" i="16"/>
  <c r="F77" i="16"/>
  <c r="F76" i="16"/>
  <c r="F75" i="16"/>
  <c r="F74" i="16"/>
  <c r="F73" i="16"/>
  <c r="F72" i="16"/>
  <c r="F71" i="16"/>
  <c r="F70" i="16"/>
  <c r="F69" i="16"/>
  <c r="F68" i="16"/>
  <c r="F67" i="16"/>
  <c r="F66" i="16"/>
  <c r="F65" i="16"/>
  <c r="F64" i="16"/>
  <c r="F63" i="16"/>
  <c r="F62" i="16"/>
  <c r="F61" i="16"/>
  <c r="F60" i="16"/>
  <c r="F59" i="16"/>
  <c r="F58" i="16"/>
  <c r="F57" i="16"/>
  <c r="F56" i="16"/>
  <c r="F55" i="16"/>
  <c r="F54" i="16"/>
  <c r="F53" i="16"/>
  <c r="F52" i="16"/>
  <c r="F51" i="16"/>
  <c r="F50" i="16"/>
  <c r="F49" i="16"/>
  <c r="F48" i="16"/>
  <c r="F47" i="16"/>
  <c r="F46" i="16"/>
  <c r="F45" i="16"/>
  <c r="F44" i="16"/>
  <c r="F43" i="16"/>
  <c r="F42" i="16"/>
  <c r="F41" i="16"/>
  <c r="F40" i="16"/>
  <c r="F39" i="16"/>
  <c r="F38" i="16"/>
  <c r="F37" i="16"/>
  <c r="F36" i="16"/>
  <c r="F35" i="16"/>
  <c r="F34" i="16"/>
  <c r="F33" i="16"/>
  <c r="F32" i="16"/>
  <c r="F31" i="16"/>
  <c r="F30" i="16"/>
  <c r="F29" i="16"/>
  <c r="F28" i="16"/>
  <c r="F27" i="16"/>
  <c r="F26" i="16"/>
  <c r="F25" i="16"/>
  <c r="F24" i="16"/>
  <c r="F23" i="16"/>
  <c r="F22" i="16"/>
  <c r="F21" i="16"/>
  <c r="F20" i="16"/>
  <c r="F19" i="16"/>
  <c r="F18" i="16"/>
  <c r="F17" i="16"/>
  <c r="F16" i="16"/>
  <c r="F15" i="16"/>
  <c r="F14" i="16"/>
  <c r="F13" i="16"/>
  <c r="F12" i="16"/>
  <c r="F11" i="16"/>
  <c r="F10" i="16"/>
  <c r="F9" i="16"/>
  <c r="F8" i="16"/>
  <c r="F7" i="16"/>
  <c r="F6" i="16"/>
  <c r="F5" i="16"/>
  <c r="F4" i="16"/>
  <c r="D4" i="16"/>
  <c r="D5" i="16"/>
  <c r="D6" i="16"/>
  <c r="D7" i="16"/>
  <c r="D8"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D45" i="16"/>
  <c r="D46" i="16"/>
  <c r="D47" i="16"/>
  <c r="D48" i="16"/>
  <c r="D49" i="16"/>
  <c r="D50" i="16"/>
  <c r="D51" i="16"/>
  <c r="D52" i="16"/>
  <c r="D53" i="16"/>
  <c r="D54" i="16"/>
  <c r="D55" i="16"/>
  <c r="D56" i="16"/>
  <c r="D57" i="16"/>
  <c r="D58" i="16"/>
  <c r="D59" i="16"/>
  <c r="D60" i="16"/>
  <c r="D61" i="16"/>
  <c r="D62" i="16"/>
  <c r="D63" i="16"/>
  <c r="D64" i="16"/>
  <c r="D65" i="16"/>
  <c r="D66" i="16"/>
  <c r="D67" i="16"/>
  <c r="D68" i="16"/>
  <c r="D69" i="16"/>
  <c r="D70" i="16"/>
  <c r="D71" i="16"/>
  <c r="D72" i="16"/>
  <c r="D73" i="16"/>
  <c r="D74" i="16"/>
  <c r="D75" i="16"/>
  <c r="D76" i="16"/>
  <c r="D77" i="16"/>
  <c r="D78" i="16"/>
  <c r="D79" i="16"/>
  <c r="D80" i="16"/>
  <c r="D81" i="16"/>
  <c r="D82" i="16"/>
  <c r="D83" i="16"/>
  <c r="D84" i="16"/>
  <c r="D85" i="16"/>
  <c r="D86" i="16"/>
  <c r="D87" i="16"/>
  <c r="D88" i="16"/>
  <c r="D89" i="16"/>
  <c r="D90" i="16"/>
  <c r="D91" i="16"/>
  <c r="D92" i="16"/>
  <c r="D93" i="16"/>
  <c r="D94" i="16"/>
  <c r="D95" i="16"/>
  <c r="D96" i="16"/>
  <c r="D97" i="16"/>
  <c r="D98" i="16"/>
  <c r="D99" i="16"/>
  <c r="D100" i="16"/>
  <c r="D101" i="16"/>
  <c r="D102" i="16"/>
  <c r="D103" i="16"/>
  <c r="D104" i="16"/>
  <c r="D105" i="16"/>
  <c r="D106" i="16"/>
  <c r="D107" i="16"/>
  <c r="D108" i="16"/>
  <c r="D109" i="16"/>
  <c r="D110" i="16"/>
  <c r="D111" i="16"/>
  <c r="D112" i="16"/>
  <c r="D113" i="16"/>
  <c r="D114" i="16"/>
  <c r="D115" i="16"/>
  <c r="D116" i="16"/>
  <c r="D117" i="16"/>
  <c r="D118" i="16"/>
  <c r="D119" i="16"/>
  <c r="D120" i="16"/>
  <c r="D121" i="16"/>
  <c r="D122" i="16"/>
  <c r="D123" i="16"/>
  <c r="D124" i="16"/>
  <c r="D125" i="16"/>
  <c r="D126" i="16"/>
  <c r="D127" i="16"/>
  <c r="D128" i="16"/>
  <c r="D129" i="16"/>
  <c r="D130" i="16"/>
  <c r="D131" i="16"/>
  <c r="D132" i="16"/>
  <c r="D133" i="16"/>
  <c r="D134" i="16"/>
  <c r="D135" i="16"/>
  <c r="D136" i="16"/>
  <c r="D137" i="16"/>
  <c r="D138" i="16"/>
  <c r="D139" i="16"/>
  <c r="D140" i="16"/>
  <c r="D141" i="16"/>
  <c r="D142" i="16"/>
  <c r="D143" i="16"/>
  <c r="D144" i="16"/>
  <c r="D145" i="16"/>
  <c r="D146" i="16"/>
  <c r="D147" i="16"/>
  <c r="D148" i="16"/>
  <c r="D149" i="16"/>
  <c r="D150" i="16"/>
  <c r="D151" i="16"/>
  <c r="D152" i="16"/>
  <c r="D153" i="16"/>
  <c r="D154" i="16"/>
  <c r="D155" i="16"/>
  <c r="D156" i="16"/>
  <c r="D157" i="16"/>
  <c r="D158" i="16"/>
  <c r="D159" i="16"/>
  <c r="D160" i="16"/>
  <c r="D161" i="16"/>
  <c r="D162" i="16"/>
  <c r="D163" i="16"/>
  <c r="D164" i="16"/>
  <c r="D165" i="16"/>
  <c r="D166" i="16"/>
  <c r="D167" i="16"/>
  <c r="D168" i="16"/>
  <c r="D169" i="16"/>
  <c r="D170" i="16"/>
  <c r="D171" i="16"/>
  <c r="D172" i="16"/>
  <c r="D173" i="16"/>
  <c r="D174" i="16"/>
  <c r="D175" i="16"/>
  <c r="D176" i="16"/>
  <c r="D177" i="16"/>
  <c r="D178" i="16"/>
  <c r="D179" i="16"/>
  <c r="D180" i="16"/>
  <c r="D181" i="16"/>
  <c r="D182" i="16"/>
  <c r="D183" i="16"/>
  <c r="D184" i="16"/>
  <c r="D185" i="16"/>
  <c r="D186" i="16"/>
  <c r="D187" i="16"/>
  <c r="D188" i="16"/>
  <c r="D189" i="16"/>
  <c r="D190" i="16"/>
  <c r="D191" i="16"/>
  <c r="D192" i="16"/>
  <c r="D193" i="16"/>
  <c r="D194" i="16"/>
  <c r="D195" i="16"/>
  <c r="D196" i="16"/>
  <c r="D197" i="16"/>
  <c r="D198" i="16"/>
  <c r="D199" i="16"/>
  <c r="D200" i="16"/>
  <c r="D201" i="16"/>
  <c r="D202" i="16"/>
  <c r="D203" i="16"/>
  <c r="D204" i="16"/>
  <c r="D205" i="16"/>
  <c r="D206" i="16"/>
  <c r="D207" i="16"/>
  <c r="D208" i="16"/>
  <c r="D209" i="16"/>
  <c r="D210" i="16"/>
  <c r="D211" i="16"/>
  <c r="D212" i="16"/>
  <c r="D213" i="16"/>
  <c r="D214" i="16"/>
  <c r="D215" i="16"/>
  <c r="D216" i="16"/>
  <c r="D217" i="16"/>
  <c r="D218" i="16"/>
  <c r="D219" i="16"/>
  <c r="D220" i="16"/>
  <c r="D221" i="16"/>
  <c r="D222" i="16"/>
  <c r="D223" i="16"/>
  <c r="D224" i="16"/>
  <c r="D225" i="16"/>
  <c r="D226" i="16"/>
  <c r="D227" i="16"/>
  <c r="D228" i="16"/>
  <c r="D229" i="16"/>
  <c r="D230" i="16"/>
  <c r="D231" i="16"/>
  <c r="D232" i="16"/>
  <c r="D233" i="16"/>
  <c r="D234" i="16"/>
  <c r="D235" i="16"/>
  <c r="D236" i="16"/>
  <c r="D237" i="16"/>
  <c r="D238" i="16"/>
  <c r="D239" i="16"/>
  <c r="D240" i="16"/>
  <c r="D241" i="16"/>
  <c r="D242" i="16"/>
  <c r="D243" i="16"/>
  <c r="D244" i="16"/>
  <c r="D245" i="16"/>
  <c r="D246" i="16"/>
  <c r="D247" i="16"/>
  <c r="D248" i="16"/>
  <c r="D249" i="16"/>
  <c r="D250" i="16"/>
  <c r="D251" i="16"/>
  <c r="D252" i="16"/>
  <c r="D253" i="16"/>
  <c r="D254" i="16"/>
  <c r="D255" i="16"/>
  <c r="D256" i="16"/>
  <c r="D257" i="16"/>
  <c r="D258" i="16"/>
  <c r="D259" i="16"/>
  <c r="D260" i="16"/>
  <c r="D261" i="16"/>
  <c r="D262" i="16"/>
  <c r="D263" i="16"/>
  <c r="D264" i="16"/>
  <c r="D265" i="16"/>
  <c r="D266" i="16"/>
  <c r="D267" i="16"/>
  <c r="D268" i="16"/>
  <c r="D269" i="16"/>
  <c r="D270" i="16"/>
  <c r="D271" i="16"/>
  <c r="D272" i="16"/>
  <c r="D273" i="16"/>
  <c r="D274" i="16"/>
  <c r="D275" i="16"/>
  <c r="D276" i="16"/>
  <c r="D277" i="16"/>
  <c r="D278" i="16"/>
  <c r="D279" i="16"/>
  <c r="D280" i="16"/>
  <c r="D281" i="16"/>
  <c r="D282" i="16"/>
  <c r="D283" i="16"/>
  <c r="D284" i="16"/>
  <c r="D285" i="16"/>
  <c r="D286" i="16"/>
  <c r="D287" i="16"/>
  <c r="D288" i="16"/>
  <c r="D289" i="16"/>
  <c r="D290" i="16"/>
  <c r="D291" i="16"/>
  <c r="D292" i="16"/>
  <c r="D293" i="16"/>
  <c r="D294" i="16"/>
  <c r="D295" i="16"/>
  <c r="D296" i="16"/>
  <c r="D297" i="16"/>
  <c r="D298" i="16"/>
  <c r="D299" i="16"/>
  <c r="D300" i="16"/>
  <c r="D301" i="16"/>
  <c r="D302" i="16"/>
  <c r="D303" i="16"/>
  <c r="D304" i="16"/>
  <c r="D305" i="16"/>
  <c r="D306" i="16"/>
  <c r="D307" i="16"/>
  <c r="D308" i="16"/>
  <c r="D309" i="16"/>
  <c r="D310" i="16"/>
  <c r="D311" i="16"/>
  <c r="D312" i="16"/>
  <c r="D313" i="16"/>
  <c r="D314" i="16"/>
  <c r="D315" i="16"/>
  <c r="D316" i="16"/>
  <c r="D317" i="16"/>
  <c r="D318" i="16"/>
  <c r="D319" i="16"/>
  <c r="D320" i="16"/>
  <c r="D321" i="16"/>
  <c r="D322" i="16"/>
  <c r="D323" i="16"/>
  <c r="D324" i="16"/>
  <c r="D325" i="16"/>
  <c r="D326" i="16"/>
  <c r="D327" i="16"/>
  <c r="D328" i="16"/>
  <c r="D329" i="16"/>
  <c r="D330" i="16"/>
  <c r="D331" i="16"/>
  <c r="D332" i="16"/>
  <c r="D333" i="16"/>
  <c r="D334" i="16"/>
  <c r="D335" i="16"/>
  <c r="D336" i="16"/>
  <c r="D337" i="16"/>
  <c r="D338" i="16"/>
  <c r="D339" i="16"/>
  <c r="D340" i="16"/>
  <c r="D341" i="16"/>
  <c r="D342" i="16"/>
  <c r="D343" i="16"/>
  <c r="D344" i="16"/>
  <c r="D345" i="16"/>
  <c r="D346" i="16"/>
  <c r="D347" i="16"/>
  <c r="D348" i="16"/>
  <c r="D349" i="16"/>
  <c r="D350" i="16"/>
  <c r="D351" i="16"/>
  <c r="D352" i="16"/>
  <c r="D353" i="16"/>
  <c r="D354" i="16"/>
  <c r="D355" i="16"/>
  <c r="D356" i="16"/>
  <c r="D357" i="16"/>
  <c r="D358" i="16"/>
  <c r="D359" i="16"/>
  <c r="D360" i="16"/>
  <c r="D361" i="16"/>
  <c r="D362" i="16"/>
  <c r="D363" i="16"/>
  <c r="D364" i="16"/>
  <c r="D365" i="16"/>
  <c r="D366" i="16"/>
  <c r="D367" i="16"/>
  <c r="D368" i="16"/>
  <c r="D369" i="16"/>
  <c r="D370" i="16"/>
  <c r="D371" i="16"/>
  <c r="D372" i="16"/>
  <c r="D373" i="16"/>
  <c r="D374" i="16"/>
  <c r="D375" i="16"/>
  <c r="D376" i="16"/>
  <c r="D377" i="16"/>
  <c r="D378" i="16"/>
  <c r="D379" i="16"/>
  <c r="D380" i="16"/>
  <c r="D381" i="16"/>
  <c r="D382" i="16"/>
  <c r="D383" i="16"/>
  <c r="D384" i="16"/>
  <c r="D385" i="16"/>
  <c r="D386" i="16"/>
  <c r="D387" i="16"/>
  <c r="D388" i="16"/>
  <c r="D389" i="16"/>
  <c r="D390" i="16"/>
  <c r="D391" i="16"/>
  <c r="D392" i="16"/>
  <c r="D393" i="16"/>
  <c r="D394" i="16"/>
  <c r="D395" i="16"/>
  <c r="D396" i="16"/>
  <c r="D397" i="16"/>
  <c r="D398" i="16"/>
  <c r="D399" i="16"/>
  <c r="D400" i="16"/>
  <c r="D401" i="16"/>
  <c r="D402" i="16"/>
  <c r="D403" i="16"/>
  <c r="D404" i="16"/>
  <c r="D405" i="16"/>
  <c r="D406" i="16"/>
  <c r="D407" i="16"/>
  <c r="D408" i="16"/>
  <c r="D409" i="16"/>
  <c r="D410" i="16"/>
  <c r="D411" i="16"/>
  <c r="D412" i="16"/>
  <c r="D413" i="16"/>
  <c r="D414" i="16"/>
  <c r="D415" i="16"/>
  <c r="D416" i="16"/>
  <c r="D417" i="16"/>
  <c r="D418" i="16"/>
  <c r="D419" i="16"/>
  <c r="D420" i="16"/>
  <c r="D421" i="16"/>
  <c r="D422" i="16"/>
  <c r="D423" i="16"/>
  <c r="D424" i="16"/>
  <c r="D425" i="16"/>
  <c r="D426" i="16"/>
  <c r="D427" i="16"/>
  <c r="D428" i="16"/>
  <c r="D429" i="16"/>
  <c r="D430" i="16"/>
  <c r="D431" i="16"/>
  <c r="D432" i="16"/>
  <c r="D433" i="16"/>
  <c r="D434" i="16"/>
  <c r="D435" i="16"/>
  <c r="D436" i="16"/>
  <c r="D437" i="16"/>
  <c r="D438" i="16"/>
  <c r="D439" i="16"/>
  <c r="D440" i="16"/>
  <c r="D441" i="16"/>
  <c r="D442" i="16"/>
  <c r="D443" i="16"/>
  <c r="D444" i="16"/>
  <c r="D445" i="16"/>
  <c r="D446" i="16"/>
  <c r="D447" i="16"/>
  <c r="D448" i="16"/>
  <c r="D449" i="16"/>
  <c r="D450" i="16"/>
  <c r="D451" i="16"/>
  <c r="D452" i="16"/>
  <c r="D453" i="16"/>
  <c r="D454" i="16"/>
  <c r="D455" i="16"/>
  <c r="D456" i="16"/>
  <c r="D457" i="16"/>
  <c r="D458" i="16"/>
  <c r="D459" i="16"/>
  <c r="D460" i="16"/>
  <c r="D461" i="16"/>
  <c r="D462" i="16"/>
  <c r="D463" i="16"/>
  <c r="D464" i="16"/>
  <c r="D465" i="16"/>
  <c r="D466" i="16"/>
  <c r="D467" i="16"/>
  <c r="D468" i="16"/>
  <c r="D469" i="16"/>
  <c r="D470" i="16"/>
  <c r="D471" i="16"/>
  <c r="D472" i="16"/>
  <c r="D473" i="16"/>
  <c r="D474" i="16"/>
  <c r="D475" i="16"/>
  <c r="D476" i="16"/>
  <c r="D477" i="16"/>
  <c r="D478" i="16"/>
  <c r="D479" i="16"/>
  <c r="D480" i="16"/>
  <c r="D481" i="16"/>
  <c r="D482" i="16"/>
  <c r="D483" i="16"/>
  <c r="D484" i="16"/>
  <c r="D485" i="16"/>
  <c r="D486" i="16"/>
  <c r="D487" i="16"/>
  <c r="D488" i="16"/>
  <c r="D489" i="16"/>
  <c r="D490" i="16"/>
  <c r="D491" i="16"/>
  <c r="D492" i="16"/>
  <c r="D493" i="16"/>
  <c r="D494" i="16"/>
  <c r="D495" i="16"/>
  <c r="D496" i="16"/>
  <c r="D497" i="16"/>
  <c r="D498" i="16"/>
  <c r="D499" i="16"/>
  <c r="D500" i="16"/>
  <c r="D501" i="16"/>
  <c r="D502" i="16"/>
  <c r="D503" i="16"/>
  <c r="D504" i="16"/>
  <c r="D505" i="16"/>
  <c r="D506" i="16"/>
  <c r="D507" i="16"/>
  <c r="D508" i="16"/>
  <c r="D509" i="16"/>
  <c r="D510" i="16"/>
  <c r="D511" i="16"/>
  <c r="D512" i="16"/>
  <c r="D513" i="16"/>
  <c r="D514" i="16"/>
  <c r="D515" i="16"/>
  <c r="D516" i="16"/>
  <c r="D517" i="16"/>
  <c r="D518" i="16"/>
  <c r="D519" i="16"/>
  <c r="D520" i="16"/>
  <c r="D521" i="16"/>
  <c r="D522" i="16"/>
  <c r="D523" i="16"/>
  <c r="D524" i="16"/>
  <c r="D525" i="16"/>
  <c r="D526" i="16"/>
  <c r="D527" i="16"/>
  <c r="D528" i="16"/>
  <c r="D529" i="16"/>
  <c r="D530" i="16"/>
  <c r="D531" i="16"/>
  <c r="D532" i="16"/>
  <c r="D533" i="16"/>
  <c r="D534" i="16"/>
  <c r="D535" i="16"/>
  <c r="D536" i="16"/>
  <c r="D537" i="16"/>
  <c r="D538" i="16"/>
  <c r="D539" i="16"/>
  <c r="D540" i="16"/>
  <c r="D541" i="16"/>
  <c r="D542" i="16"/>
  <c r="D543" i="16"/>
  <c r="D544" i="16"/>
  <c r="D545" i="16"/>
  <c r="D546" i="16"/>
  <c r="D547" i="16"/>
  <c r="D548" i="16"/>
  <c r="D549" i="16"/>
  <c r="D550" i="16"/>
  <c r="D551" i="16"/>
  <c r="D552" i="16"/>
  <c r="D553" i="16"/>
  <c r="D554" i="16"/>
  <c r="D555" i="16"/>
  <c r="D556" i="16"/>
  <c r="D557" i="16"/>
  <c r="D558" i="16"/>
  <c r="D559" i="16"/>
  <c r="D560" i="16"/>
  <c r="D561" i="16"/>
  <c r="D562" i="16"/>
  <c r="D563" i="16"/>
  <c r="D564" i="16"/>
  <c r="D565" i="16"/>
  <c r="D566" i="16"/>
  <c r="D567" i="16"/>
  <c r="D568" i="16"/>
  <c r="D569" i="16"/>
  <c r="D570" i="16"/>
  <c r="D571" i="16"/>
  <c r="D572" i="16"/>
  <c r="D573" i="16"/>
  <c r="D574" i="16"/>
  <c r="D575" i="16"/>
  <c r="D576" i="16"/>
  <c r="D577" i="16"/>
  <c r="D578" i="16"/>
  <c r="D579" i="16"/>
  <c r="D580" i="16"/>
  <c r="D581" i="16"/>
  <c r="D582" i="16"/>
  <c r="D583" i="16"/>
  <c r="D584" i="16"/>
  <c r="D585" i="16"/>
  <c r="D586" i="16"/>
  <c r="D587" i="16"/>
  <c r="D588" i="16"/>
  <c r="D589" i="16"/>
  <c r="D590" i="16"/>
  <c r="D591" i="16"/>
  <c r="D592" i="16"/>
  <c r="D593" i="16"/>
  <c r="D594" i="16"/>
  <c r="D595" i="16"/>
  <c r="D596" i="16"/>
  <c r="D597" i="16"/>
  <c r="D598" i="16"/>
  <c r="D599" i="16"/>
  <c r="D600" i="16"/>
  <c r="D601" i="16"/>
  <c r="D602" i="16"/>
  <c r="D603" i="16"/>
  <c r="D604" i="16"/>
  <c r="D605" i="16"/>
  <c r="D606" i="16"/>
  <c r="D607" i="16"/>
  <c r="D608" i="16"/>
  <c r="D609" i="16"/>
  <c r="D610" i="16"/>
  <c r="D611" i="16"/>
  <c r="D612" i="16"/>
  <c r="D613" i="16"/>
  <c r="D614" i="16"/>
  <c r="D615" i="16"/>
  <c r="D616" i="16"/>
  <c r="D617" i="16"/>
  <c r="D618" i="16"/>
  <c r="D619" i="16"/>
  <c r="D620" i="16"/>
  <c r="D621" i="16"/>
  <c r="D622" i="16"/>
  <c r="D623" i="16"/>
  <c r="D624" i="16"/>
  <c r="D625" i="16"/>
  <c r="D626" i="16"/>
  <c r="D627" i="16"/>
  <c r="D628" i="16"/>
  <c r="D629" i="16"/>
  <c r="D630" i="16"/>
  <c r="D631" i="16"/>
  <c r="D632" i="16"/>
  <c r="D633" i="16"/>
  <c r="D634" i="16"/>
  <c r="D635" i="16"/>
  <c r="D636" i="16"/>
  <c r="D637" i="16"/>
  <c r="D638" i="16"/>
  <c r="D639" i="16"/>
  <c r="D640" i="16"/>
  <c r="D641" i="16"/>
  <c r="D642" i="16"/>
  <c r="D643" i="16"/>
  <c r="D644" i="16"/>
  <c r="D645" i="16"/>
  <c r="D646" i="16"/>
  <c r="D647" i="16"/>
  <c r="D648" i="16"/>
  <c r="D649" i="16"/>
  <c r="D650" i="16"/>
  <c r="D651" i="16"/>
  <c r="D652" i="16"/>
  <c r="D653" i="16"/>
  <c r="D654" i="16"/>
  <c r="D655" i="16"/>
  <c r="D656" i="16"/>
  <c r="D657" i="16"/>
  <c r="D658" i="16"/>
  <c r="D659" i="16"/>
  <c r="D660" i="16"/>
  <c r="D661" i="16"/>
  <c r="D662" i="16"/>
  <c r="D663" i="16"/>
  <c r="D664" i="16"/>
  <c r="D665" i="16"/>
  <c r="D666" i="16"/>
  <c r="D667" i="16"/>
  <c r="D668" i="16"/>
  <c r="D669" i="16"/>
  <c r="D670" i="16"/>
  <c r="D671" i="16"/>
  <c r="D672" i="16"/>
  <c r="D673" i="16"/>
  <c r="D674" i="16"/>
  <c r="D675" i="16"/>
  <c r="D676" i="16"/>
  <c r="D677" i="16"/>
  <c r="D678" i="16"/>
  <c r="D679" i="16"/>
  <c r="D680" i="16"/>
  <c r="D681" i="16"/>
  <c r="D682" i="16"/>
  <c r="D683" i="16"/>
  <c r="D684" i="16"/>
  <c r="D685" i="16"/>
  <c r="D686" i="16"/>
  <c r="D687" i="16"/>
  <c r="D688" i="16"/>
  <c r="D689" i="16"/>
  <c r="D690" i="16"/>
  <c r="D691" i="16"/>
  <c r="D692" i="16"/>
  <c r="D693" i="16"/>
  <c r="D694" i="16"/>
  <c r="D695" i="16"/>
  <c r="D696" i="16"/>
  <c r="D697" i="16"/>
  <c r="D698" i="16"/>
  <c r="D699" i="16"/>
  <c r="D700" i="16"/>
  <c r="D701" i="16"/>
  <c r="D702" i="16"/>
  <c r="D703" i="16"/>
  <c r="D704" i="16"/>
  <c r="D705" i="16"/>
  <c r="D706" i="16"/>
  <c r="D707" i="16"/>
  <c r="D708" i="16"/>
  <c r="D709" i="16"/>
  <c r="D710" i="16"/>
  <c r="D711" i="16"/>
  <c r="D712" i="16"/>
  <c r="D713" i="16"/>
  <c r="D714" i="16"/>
  <c r="D715" i="16"/>
  <c r="D716" i="16"/>
  <c r="D717" i="16"/>
  <c r="D718" i="16"/>
  <c r="D719" i="16"/>
  <c r="D720" i="16"/>
  <c r="D721" i="16"/>
  <c r="D722" i="16"/>
  <c r="D723" i="16"/>
  <c r="D724" i="16"/>
  <c r="D725" i="16"/>
  <c r="D726" i="16"/>
  <c r="D727" i="16"/>
  <c r="D728" i="16"/>
  <c r="D729" i="16"/>
  <c r="D730" i="16"/>
  <c r="D731" i="16"/>
  <c r="D732" i="16"/>
  <c r="D733" i="16"/>
  <c r="D734" i="16"/>
  <c r="D735" i="16"/>
  <c r="D736" i="16"/>
  <c r="D737" i="16"/>
  <c r="D738" i="16"/>
  <c r="D739" i="16"/>
  <c r="D740" i="16"/>
  <c r="D741" i="16"/>
  <c r="D742" i="16"/>
  <c r="D743" i="16"/>
  <c r="D744" i="16"/>
  <c r="D745" i="16"/>
  <c r="D746" i="16"/>
  <c r="D747" i="16"/>
  <c r="D748" i="16"/>
  <c r="D749" i="16"/>
  <c r="D750" i="16"/>
  <c r="D751" i="16"/>
  <c r="D752" i="16"/>
  <c r="D753" i="16"/>
  <c r="D754" i="16"/>
  <c r="D755" i="16"/>
  <c r="D756" i="16"/>
  <c r="D757" i="16"/>
  <c r="D758" i="16"/>
  <c r="D759" i="16"/>
  <c r="D760" i="16"/>
  <c r="D761" i="16"/>
  <c r="D762" i="16"/>
  <c r="D763" i="16"/>
  <c r="D764" i="16"/>
  <c r="D765" i="16"/>
  <c r="D766" i="16"/>
  <c r="D767" i="16"/>
  <c r="D768" i="16"/>
  <c r="D769" i="16"/>
  <c r="D770" i="16"/>
  <c r="D771" i="16"/>
  <c r="D772" i="16"/>
  <c r="D773" i="16"/>
  <c r="D774" i="16"/>
  <c r="D775" i="16"/>
  <c r="D776" i="16"/>
  <c r="D777" i="16"/>
  <c r="D778" i="16"/>
  <c r="D779" i="16"/>
  <c r="D780" i="16"/>
  <c r="D781" i="16"/>
  <c r="D782" i="16"/>
  <c r="D783" i="16"/>
  <c r="D784" i="16"/>
  <c r="D785" i="16"/>
  <c r="D786" i="16"/>
  <c r="D787" i="16"/>
  <c r="D788" i="16"/>
  <c r="D789" i="16"/>
  <c r="D790" i="16"/>
  <c r="D791" i="16"/>
  <c r="D792" i="16"/>
  <c r="D793" i="16"/>
  <c r="D794" i="16"/>
  <c r="D795" i="16"/>
  <c r="D796" i="16"/>
  <c r="D797" i="16"/>
  <c r="D798" i="16"/>
  <c r="D799" i="16"/>
  <c r="D800" i="16"/>
  <c r="D801" i="16"/>
  <c r="D802" i="16"/>
  <c r="D803" i="16"/>
  <c r="D804" i="16"/>
  <c r="D805" i="16"/>
  <c r="D806" i="16"/>
  <c r="D807" i="16"/>
  <c r="D808" i="16"/>
  <c r="D809" i="16"/>
  <c r="D810" i="16"/>
  <c r="D811" i="16"/>
  <c r="D812" i="16"/>
  <c r="D813" i="16"/>
  <c r="D814" i="16"/>
  <c r="D815" i="16"/>
  <c r="D816" i="16"/>
  <c r="D817" i="16"/>
  <c r="D818" i="16"/>
  <c r="D819" i="16"/>
  <c r="D820" i="16"/>
  <c r="D821" i="16"/>
  <c r="D822" i="16"/>
  <c r="D823" i="16"/>
  <c r="D824" i="16"/>
  <c r="D825" i="16"/>
  <c r="D826" i="16"/>
  <c r="D827" i="16"/>
  <c r="D828" i="16"/>
  <c r="D829" i="16"/>
  <c r="D830" i="16"/>
  <c r="D831" i="16"/>
  <c r="D832" i="16"/>
  <c r="D833" i="16"/>
  <c r="D834" i="16"/>
  <c r="D835" i="16"/>
  <c r="D836" i="16"/>
  <c r="D837" i="16"/>
  <c r="D838" i="16"/>
  <c r="D839" i="16"/>
  <c r="D840" i="16"/>
  <c r="D841" i="16"/>
  <c r="D842" i="16"/>
  <c r="D843" i="16"/>
  <c r="D844" i="16"/>
  <c r="D845" i="16"/>
  <c r="D846" i="16"/>
  <c r="D847" i="16"/>
  <c r="D848" i="16"/>
  <c r="D849" i="16"/>
  <c r="D850" i="16"/>
  <c r="D851" i="16"/>
  <c r="D852" i="16"/>
  <c r="D853" i="16"/>
  <c r="D854" i="16"/>
  <c r="D855" i="16"/>
  <c r="D856" i="16"/>
  <c r="D857" i="16"/>
  <c r="D858" i="16"/>
  <c r="D859" i="16"/>
  <c r="D860" i="16"/>
  <c r="D861" i="16"/>
  <c r="D862" i="16"/>
  <c r="D863" i="16"/>
  <c r="D864" i="16"/>
  <c r="D865" i="16"/>
  <c r="D866" i="16"/>
  <c r="D867" i="16"/>
  <c r="D868" i="16"/>
  <c r="D869" i="16"/>
  <c r="D870" i="16"/>
  <c r="D871" i="16"/>
  <c r="D872" i="16"/>
  <c r="D873" i="16"/>
  <c r="D874" i="16"/>
  <c r="D875" i="16"/>
  <c r="D876" i="16"/>
  <c r="D877" i="16"/>
  <c r="D878" i="16"/>
  <c r="D879" i="16"/>
  <c r="D880" i="16"/>
  <c r="D881" i="16"/>
  <c r="D882" i="16"/>
  <c r="D883" i="16"/>
  <c r="D884" i="16"/>
  <c r="D885" i="16"/>
  <c r="D886" i="16"/>
  <c r="D887" i="16"/>
  <c r="D888" i="16"/>
  <c r="D889" i="16"/>
  <c r="D890" i="16"/>
  <c r="D891" i="16"/>
  <c r="D892" i="16"/>
  <c r="D893" i="16"/>
  <c r="D894" i="16"/>
  <c r="D895" i="16"/>
  <c r="D896" i="16"/>
  <c r="D897" i="16"/>
  <c r="D898" i="16"/>
  <c r="D899" i="16"/>
  <c r="D900" i="16"/>
  <c r="D901" i="16"/>
  <c r="D902" i="16"/>
  <c r="D903" i="16"/>
  <c r="D904" i="16"/>
  <c r="D905" i="16"/>
  <c r="D906" i="16"/>
  <c r="D907" i="16"/>
  <c r="D908" i="16"/>
  <c r="D909" i="16"/>
  <c r="D910" i="16"/>
  <c r="D911" i="16"/>
  <c r="D912" i="16"/>
  <c r="D913" i="16"/>
  <c r="D914" i="16"/>
  <c r="D915" i="16"/>
  <c r="D916" i="16"/>
  <c r="D917" i="16"/>
  <c r="D918" i="16"/>
  <c r="D919" i="16"/>
  <c r="D920" i="16"/>
  <c r="D921" i="16"/>
  <c r="D922" i="16"/>
  <c r="D923" i="16"/>
  <c r="D924" i="16"/>
  <c r="D925" i="16"/>
  <c r="D926" i="16"/>
  <c r="D927" i="16"/>
  <c r="D928" i="16"/>
  <c r="D929" i="16"/>
  <c r="D930" i="16"/>
  <c r="D931" i="16"/>
  <c r="D932" i="16"/>
  <c r="D933" i="16"/>
  <c r="D934" i="16"/>
  <c r="D935" i="16"/>
  <c r="D936" i="16"/>
  <c r="D937" i="16"/>
  <c r="D938" i="16"/>
  <c r="D939" i="16"/>
  <c r="D940" i="16"/>
  <c r="D941" i="16"/>
  <c r="D942" i="16"/>
  <c r="D943" i="16"/>
  <c r="D944" i="16"/>
  <c r="D945" i="16"/>
  <c r="D946" i="16"/>
  <c r="D947" i="16"/>
  <c r="D948" i="16"/>
  <c r="D949" i="16"/>
  <c r="D950" i="16"/>
  <c r="D951" i="16"/>
  <c r="D952" i="16"/>
  <c r="D953" i="16"/>
  <c r="D954" i="16"/>
  <c r="D955" i="16"/>
  <c r="D956" i="16"/>
  <c r="D957" i="16"/>
  <c r="D958" i="16"/>
  <c r="D959" i="16"/>
  <c r="D960" i="16"/>
  <c r="D961" i="16"/>
  <c r="D962" i="16"/>
  <c r="D963" i="16"/>
  <c r="D964" i="16"/>
  <c r="D965" i="16"/>
  <c r="D966" i="16"/>
  <c r="D967" i="16"/>
  <c r="D968" i="16"/>
  <c r="D969" i="16"/>
  <c r="D970" i="16"/>
  <c r="D971" i="16"/>
  <c r="D972" i="16"/>
  <c r="D973" i="16"/>
  <c r="D974" i="16"/>
  <c r="D975" i="16"/>
  <c r="D976" i="16"/>
  <c r="D977" i="16"/>
  <c r="D978" i="16"/>
  <c r="D979" i="16"/>
  <c r="D980" i="16"/>
  <c r="D981" i="16"/>
  <c r="D982" i="16"/>
  <c r="D983" i="16"/>
  <c r="D984" i="16"/>
  <c r="D985" i="16"/>
  <c r="D986" i="16"/>
  <c r="D987" i="16"/>
  <c r="D988" i="16"/>
  <c r="D989" i="16"/>
  <c r="D990" i="16"/>
  <c r="D991" i="16"/>
  <c r="D992" i="16"/>
  <c r="D993" i="16"/>
  <c r="D994" i="16"/>
  <c r="D995" i="16"/>
  <c r="D996" i="16"/>
  <c r="D997" i="16"/>
  <c r="D998" i="16"/>
  <c r="D999" i="16"/>
  <c r="D1000" i="16"/>
  <c r="D1001" i="16"/>
  <c r="D1002" i="16"/>
  <c r="D1003" i="16"/>
  <c r="D1004" i="16"/>
  <c r="D1005" i="16"/>
  <c r="D1006" i="16"/>
  <c r="D1007" i="16"/>
  <c r="D1008" i="16"/>
  <c r="D1009" i="16"/>
  <c r="D1010" i="16"/>
  <c r="D1011" i="16"/>
  <c r="D1012" i="16"/>
  <c r="D1013" i="16"/>
  <c r="D1014" i="16"/>
  <c r="D1015" i="16"/>
  <c r="D1016" i="16"/>
  <c r="D1017" i="16"/>
  <c r="D1018" i="16"/>
  <c r="D1019" i="16"/>
  <c r="D1020" i="16"/>
  <c r="D1021" i="16"/>
  <c r="D1022" i="16"/>
  <c r="D1023" i="16"/>
  <c r="D1024" i="16"/>
  <c r="D1025" i="16"/>
  <c r="D1026" i="16"/>
  <c r="D1027" i="16"/>
  <c r="D1028" i="16"/>
  <c r="D1029" i="16"/>
  <c r="D1030" i="16"/>
  <c r="D1031" i="16"/>
  <c r="D1032" i="16"/>
  <c r="D1033" i="16"/>
  <c r="D1034" i="16"/>
  <c r="D1035" i="16"/>
  <c r="D1036" i="16"/>
  <c r="D1037" i="16"/>
  <c r="D1038" i="16"/>
  <c r="D1039" i="16"/>
  <c r="D1040" i="16"/>
  <c r="D1041" i="16"/>
  <c r="D1042" i="16"/>
  <c r="D1043" i="16"/>
  <c r="D1044" i="16"/>
  <c r="D1045" i="16"/>
  <c r="D1046" i="16"/>
  <c r="D1047" i="16"/>
  <c r="D1048" i="16"/>
  <c r="D1049" i="16"/>
  <c r="D1050" i="16"/>
  <c r="D1051" i="16"/>
  <c r="D1052" i="16"/>
  <c r="D1053" i="16"/>
  <c r="D1054" i="16"/>
  <c r="D1055" i="16"/>
  <c r="D1056" i="16"/>
  <c r="D1057" i="16"/>
  <c r="D1058" i="16"/>
  <c r="D1059" i="16"/>
  <c r="D1060" i="16"/>
  <c r="D1061" i="16"/>
  <c r="D1062" i="16"/>
  <c r="D1063" i="16"/>
  <c r="D1064" i="16"/>
  <c r="D1065" i="16"/>
  <c r="D1066" i="16"/>
  <c r="D1067" i="16"/>
  <c r="D1068" i="16"/>
  <c r="D1069" i="16"/>
  <c r="D1070" i="16"/>
  <c r="D1071" i="16"/>
  <c r="D1072" i="16"/>
  <c r="D1073" i="16"/>
  <c r="D1074" i="16"/>
  <c r="D1075" i="16"/>
  <c r="D1076" i="16"/>
  <c r="D1077" i="16"/>
  <c r="D1078" i="16"/>
  <c r="D1079" i="16"/>
  <c r="D1080" i="16"/>
  <c r="D1081" i="16"/>
  <c r="D1082" i="16"/>
  <c r="D1083" i="16"/>
  <c r="D1084" i="16"/>
  <c r="D1085" i="16"/>
  <c r="D1086" i="16"/>
  <c r="D1087" i="16"/>
  <c r="D1088" i="16"/>
  <c r="D1089" i="16"/>
  <c r="D1090" i="16"/>
  <c r="D1091" i="16"/>
  <c r="D1092" i="16"/>
  <c r="D1093" i="16"/>
  <c r="D1094" i="16"/>
  <c r="D1095" i="16"/>
  <c r="D1096" i="16"/>
  <c r="D1097" i="16"/>
  <c r="D1098" i="16"/>
  <c r="D1099" i="16"/>
  <c r="D1100" i="16"/>
  <c r="D1101" i="16"/>
  <c r="D1102" i="16"/>
  <c r="D1103" i="16"/>
  <c r="D1104" i="16"/>
  <c r="D1105" i="16"/>
  <c r="D1106" i="16"/>
  <c r="D1107" i="16"/>
  <c r="D1108" i="16"/>
  <c r="D1109" i="16"/>
  <c r="D1110" i="16"/>
  <c r="D1111" i="16"/>
  <c r="D1112" i="16"/>
  <c r="D1113" i="16"/>
  <c r="D1114" i="16"/>
  <c r="D1115" i="16"/>
  <c r="D1116" i="16"/>
  <c r="D1117" i="16"/>
  <c r="D1118" i="16"/>
  <c r="D1119" i="16"/>
  <c r="E1119" i="16"/>
  <c r="E1118" i="16"/>
  <c r="E1117" i="16"/>
  <c r="E1116" i="16"/>
  <c r="E1115" i="16"/>
  <c r="E1114" i="16"/>
  <c r="E1113" i="16"/>
  <c r="E1112" i="16"/>
  <c r="E1111" i="16"/>
  <c r="E1110" i="16"/>
  <c r="E1109" i="16"/>
  <c r="E1108" i="16"/>
  <c r="E1107" i="16"/>
  <c r="E1106" i="16"/>
  <c r="E1105" i="16"/>
  <c r="E1104" i="16"/>
  <c r="E1103" i="16"/>
  <c r="E1102" i="16"/>
  <c r="E1101" i="16"/>
  <c r="E1100" i="16"/>
  <c r="E1099" i="16"/>
  <c r="E1098" i="16"/>
  <c r="E1097" i="16"/>
  <c r="E1096" i="16"/>
  <c r="E1095" i="16"/>
  <c r="E1094" i="16"/>
  <c r="E1093" i="16"/>
  <c r="E1092" i="16"/>
  <c r="E1091" i="16"/>
  <c r="E1090" i="16"/>
  <c r="E1089" i="16"/>
  <c r="E1088" i="16"/>
  <c r="E1087" i="16"/>
  <c r="E1086" i="16"/>
  <c r="E1085" i="16"/>
  <c r="E1084" i="16"/>
  <c r="E1083" i="16"/>
  <c r="E1082" i="16"/>
  <c r="E1081" i="16"/>
  <c r="E1080" i="16"/>
  <c r="E1079" i="16"/>
  <c r="E1078" i="16"/>
  <c r="E1077" i="16"/>
  <c r="E1076" i="16"/>
  <c r="E1075" i="16"/>
  <c r="E1074" i="16"/>
  <c r="E1073" i="16"/>
  <c r="E1072" i="16"/>
  <c r="E1071" i="16"/>
  <c r="E1070" i="16"/>
  <c r="E1069" i="16"/>
  <c r="E1068" i="16"/>
  <c r="E1067" i="16"/>
  <c r="E1066" i="16"/>
  <c r="E1065" i="16"/>
  <c r="E1064" i="16"/>
  <c r="E1063" i="16"/>
  <c r="E1062" i="16"/>
  <c r="E1061" i="16"/>
  <c r="E1060" i="16"/>
  <c r="E1059" i="16"/>
  <c r="E1058" i="16"/>
  <c r="E1057" i="16"/>
  <c r="E1056" i="16"/>
  <c r="E1055" i="16"/>
  <c r="E1054" i="16"/>
  <c r="E1053" i="16"/>
  <c r="E1052" i="16"/>
  <c r="E1051" i="16"/>
  <c r="E1050" i="16"/>
  <c r="E1049" i="16"/>
  <c r="E1048" i="16"/>
  <c r="E1047" i="16"/>
  <c r="E1046" i="16"/>
  <c r="E1045" i="16"/>
  <c r="E1044" i="16"/>
  <c r="E1043" i="16"/>
  <c r="E1042" i="16"/>
  <c r="E1041" i="16"/>
  <c r="E1040" i="16"/>
  <c r="E1039" i="16"/>
  <c r="E1038" i="16"/>
  <c r="E1037" i="16"/>
  <c r="E1036" i="16"/>
  <c r="E1035" i="16"/>
  <c r="E1034" i="16"/>
  <c r="E1033" i="16"/>
  <c r="E1032" i="16"/>
  <c r="E1031" i="16"/>
  <c r="E1030" i="16"/>
  <c r="E1029" i="16"/>
  <c r="E1028" i="16"/>
  <c r="E1027" i="16"/>
  <c r="E1026" i="16"/>
  <c r="E1025" i="16"/>
  <c r="E1024" i="16"/>
  <c r="E1023" i="16"/>
  <c r="E1022" i="16"/>
  <c r="E1021" i="16"/>
  <c r="E1020" i="16"/>
  <c r="E1019" i="16"/>
  <c r="E1018" i="16"/>
  <c r="E1017" i="16"/>
  <c r="E1016" i="16"/>
  <c r="E1015" i="16"/>
  <c r="E1014" i="16"/>
  <c r="E1013" i="16"/>
  <c r="E1012" i="16"/>
  <c r="E1011" i="16"/>
  <c r="E1010" i="16"/>
  <c r="E1009" i="16"/>
  <c r="E1008" i="16"/>
  <c r="E1007" i="16"/>
  <c r="E1006" i="16"/>
  <c r="E1005" i="16"/>
  <c r="E1004" i="16"/>
  <c r="E1003" i="16"/>
  <c r="E1002" i="16"/>
  <c r="E1001" i="16"/>
  <c r="E1000" i="16"/>
  <c r="E999" i="16"/>
  <c r="E998" i="16"/>
  <c r="E997" i="16"/>
  <c r="E996" i="16"/>
  <c r="E995" i="16"/>
  <c r="E994" i="16"/>
  <c r="E993" i="16"/>
  <c r="E992" i="16"/>
  <c r="E991" i="16"/>
  <c r="E990" i="16"/>
  <c r="E989" i="16"/>
  <c r="E988" i="16"/>
  <c r="E987" i="16"/>
  <c r="E986" i="16"/>
  <c r="E985" i="16"/>
  <c r="E984" i="16"/>
  <c r="E983" i="16"/>
  <c r="E982" i="16"/>
  <c r="E981" i="16"/>
  <c r="E980" i="16"/>
  <c r="E979" i="16"/>
  <c r="E978" i="16"/>
  <c r="E977" i="16"/>
  <c r="E976" i="16"/>
  <c r="E975" i="16"/>
  <c r="E974" i="16"/>
  <c r="E973" i="16"/>
  <c r="E972" i="16"/>
  <c r="E971" i="16"/>
  <c r="E970" i="16"/>
  <c r="E969" i="16"/>
  <c r="E968" i="16"/>
  <c r="E967" i="16"/>
  <c r="E966" i="16"/>
  <c r="E965" i="16"/>
  <c r="E964" i="16"/>
  <c r="E963" i="16"/>
  <c r="E962" i="16"/>
  <c r="E961" i="16"/>
  <c r="E960" i="16"/>
  <c r="E959" i="16"/>
  <c r="E958" i="16"/>
  <c r="E957" i="16"/>
  <c r="E956" i="16"/>
  <c r="E955" i="16"/>
  <c r="E954" i="16"/>
  <c r="E953" i="16"/>
  <c r="E952" i="16"/>
  <c r="E951" i="16"/>
  <c r="E950" i="16"/>
  <c r="E949" i="16"/>
  <c r="E948" i="16"/>
  <c r="E947" i="16"/>
  <c r="E946" i="16"/>
  <c r="E945" i="16"/>
  <c r="E944" i="16"/>
  <c r="E943" i="16"/>
  <c r="E942" i="16"/>
  <c r="E941" i="16"/>
  <c r="E940" i="16"/>
  <c r="E939" i="16"/>
  <c r="E938" i="16"/>
  <c r="E937" i="16"/>
  <c r="E936" i="16"/>
  <c r="E935" i="16"/>
  <c r="E934" i="16"/>
  <c r="E933" i="16"/>
  <c r="E932" i="16"/>
  <c r="E931" i="16"/>
  <c r="E930" i="16"/>
  <c r="E929" i="16"/>
  <c r="E928" i="16"/>
  <c r="E927" i="16"/>
  <c r="E926" i="16"/>
  <c r="E925" i="16"/>
  <c r="E924" i="16"/>
  <c r="E923" i="16"/>
  <c r="E922" i="16"/>
  <c r="E921" i="16"/>
  <c r="E920" i="16"/>
  <c r="E919" i="16"/>
  <c r="E918" i="16"/>
  <c r="E917" i="16"/>
  <c r="E916" i="16"/>
  <c r="E915" i="16"/>
  <c r="E914" i="16"/>
  <c r="E913" i="16"/>
  <c r="E912" i="16"/>
  <c r="E911" i="16"/>
  <c r="E910" i="16"/>
  <c r="E909" i="16"/>
  <c r="E908" i="16"/>
  <c r="E907" i="16"/>
  <c r="E906" i="16"/>
  <c r="E905" i="16"/>
  <c r="E904" i="16"/>
  <c r="E903" i="16"/>
  <c r="E902" i="16"/>
  <c r="E901" i="16"/>
  <c r="E900" i="16"/>
  <c r="E899" i="16"/>
  <c r="E898" i="16"/>
  <c r="E897" i="16"/>
  <c r="E896" i="16"/>
  <c r="E895" i="16"/>
  <c r="E894" i="16"/>
  <c r="E893" i="16"/>
  <c r="E892" i="16"/>
  <c r="E891" i="16"/>
  <c r="E890" i="16"/>
  <c r="E889" i="16"/>
  <c r="E888" i="16"/>
  <c r="E887" i="16"/>
  <c r="E886" i="16"/>
  <c r="E885" i="16"/>
  <c r="E884" i="16"/>
  <c r="E883" i="16"/>
  <c r="E882" i="16"/>
  <c r="E881" i="16"/>
  <c r="E880" i="16"/>
  <c r="E879" i="16"/>
  <c r="E878" i="16"/>
  <c r="E877" i="16"/>
  <c r="E876" i="16"/>
  <c r="E875" i="16"/>
  <c r="E874" i="16"/>
  <c r="E873" i="16"/>
  <c r="E872" i="16"/>
  <c r="E871" i="16"/>
  <c r="E870" i="16"/>
  <c r="E869" i="16"/>
  <c r="E868" i="16"/>
  <c r="E867" i="16"/>
  <c r="E866" i="16"/>
  <c r="E865" i="16"/>
  <c r="E864" i="16"/>
  <c r="E863" i="16"/>
  <c r="E862" i="16"/>
  <c r="E861" i="16"/>
  <c r="E860" i="16"/>
  <c r="E859" i="16"/>
  <c r="E858" i="16"/>
  <c r="E857" i="16"/>
  <c r="E856" i="16"/>
  <c r="E855" i="16"/>
  <c r="E854" i="16"/>
  <c r="E853" i="16"/>
  <c r="E852" i="16"/>
  <c r="E851" i="16"/>
  <c r="E850" i="16"/>
  <c r="E849" i="16"/>
  <c r="E848" i="16"/>
  <c r="E847" i="16"/>
  <c r="E846" i="16"/>
  <c r="E845" i="16"/>
  <c r="E844" i="16"/>
  <c r="E843" i="16"/>
  <c r="E842" i="16"/>
  <c r="E841" i="16"/>
  <c r="E840" i="16"/>
  <c r="E839" i="16"/>
  <c r="E838" i="16"/>
  <c r="E837" i="16"/>
  <c r="E836" i="16"/>
  <c r="E835" i="16"/>
  <c r="E834" i="16"/>
  <c r="E833" i="16"/>
  <c r="E832" i="16"/>
  <c r="E831" i="16"/>
  <c r="E830" i="16"/>
  <c r="E829" i="16"/>
  <c r="E828" i="16"/>
  <c r="E827" i="16"/>
  <c r="E826" i="16"/>
  <c r="E825" i="16"/>
  <c r="E824" i="16"/>
  <c r="E823" i="16"/>
  <c r="E822" i="16"/>
  <c r="E821" i="16"/>
  <c r="E820" i="16"/>
  <c r="E819" i="16"/>
  <c r="E818" i="16"/>
  <c r="E817" i="16"/>
  <c r="E816" i="16"/>
  <c r="E815" i="16"/>
  <c r="E814" i="16"/>
  <c r="E813" i="16"/>
  <c r="E812" i="16"/>
  <c r="E811" i="16"/>
  <c r="E810" i="16"/>
  <c r="E809" i="16"/>
  <c r="E808" i="16"/>
  <c r="E807" i="16"/>
  <c r="E806" i="16"/>
  <c r="E805" i="16"/>
  <c r="E804" i="16"/>
  <c r="E803" i="16"/>
  <c r="E802" i="16"/>
  <c r="E801" i="16"/>
  <c r="E800" i="16"/>
  <c r="E799" i="16"/>
  <c r="E798" i="16"/>
  <c r="E797" i="16"/>
  <c r="E796" i="16"/>
  <c r="E795" i="16"/>
  <c r="E794" i="16"/>
  <c r="E793" i="16"/>
  <c r="E792" i="16"/>
  <c r="E791" i="16"/>
  <c r="E790" i="16"/>
  <c r="E789" i="16"/>
  <c r="E788" i="16"/>
  <c r="E787" i="16"/>
  <c r="E786" i="16"/>
  <c r="E785" i="16"/>
  <c r="E784" i="16"/>
  <c r="E783" i="16"/>
  <c r="E782" i="16"/>
  <c r="E781" i="16"/>
  <c r="E780" i="16"/>
  <c r="E779" i="16"/>
  <c r="E778" i="16"/>
  <c r="E777" i="16"/>
  <c r="E776" i="16"/>
  <c r="E775" i="16"/>
  <c r="E774" i="16"/>
  <c r="E773" i="16"/>
  <c r="E772" i="16"/>
  <c r="E771" i="16"/>
  <c r="E770" i="16"/>
  <c r="E769" i="16"/>
  <c r="E768" i="16"/>
  <c r="E767" i="16"/>
  <c r="E766" i="16"/>
  <c r="E765" i="16"/>
  <c r="E764" i="16"/>
  <c r="E763" i="16"/>
  <c r="E762" i="16"/>
  <c r="E761" i="16"/>
  <c r="E760" i="16"/>
  <c r="E759" i="16"/>
  <c r="E758" i="16"/>
  <c r="E757" i="16"/>
  <c r="E756" i="16"/>
  <c r="E755" i="16"/>
  <c r="E754" i="16"/>
  <c r="E753" i="16"/>
  <c r="E752" i="16"/>
  <c r="E751" i="16"/>
  <c r="E750" i="16"/>
  <c r="E749" i="16"/>
  <c r="E748" i="16"/>
  <c r="E747" i="16"/>
  <c r="E746" i="16"/>
  <c r="E745" i="16"/>
  <c r="E744" i="16"/>
  <c r="E743" i="16"/>
  <c r="E742" i="16"/>
  <c r="E741" i="16"/>
  <c r="E740" i="16"/>
  <c r="E739" i="16"/>
  <c r="E738" i="16"/>
  <c r="E737" i="16"/>
  <c r="E736" i="16"/>
  <c r="E735" i="16"/>
  <c r="E734" i="16"/>
  <c r="E733" i="16"/>
  <c r="E732" i="16"/>
  <c r="E731" i="16"/>
  <c r="E730" i="16"/>
  <c r="E729" i="16"/>
  <c r="E728" i="16"/>
  <c r="E727" i="16"/>
  <c r="E726" i="16"/>
  <c r="E725" i="16"/>
  <c r="E724" i="16"/>
  <c r="E723" i="16"/>
  <c r="E722" i="16"/>
  <c r="E721" i="16"/>
  <c r="E720" i="16"/>
  <c r="E719" i="16"/>
  <c r="E718" i="16"/>
  <c r="E717" i="16"/>
  <c r="E716" i="16"/>
  <c r="E715" i="16"/>
  <c r="E714" i="16"/>
  <c r="E713" i="16"/>
  <c r="E712" i="16"/>
  <c r="E711" i="16"/>
  <c r="E710" i="16"/>
  <c r="E709" i="16"/>
  <c r="E708" i="16"/>
  <c r="E707" i="16"/>
  <c r="E706" i="16"/>
  <c r="E705" i="16"/>
  <c r="E704" i="16"/>
  <c r="E703" i="16"/>
  <c r="E702" i="16"/>
  <c r="E701" i="16"/>
  <c r="E700" i="16"/>
  <c r="E699" i="16"/>
  <c r="E698" i="16"/>
  <c r="E697" i="16"/>
  <c r="E696" i="16"/>
  <c r="E695" i="16"/>
  <c r="E694" i="16"/>
  <c r="E693" i="16"/>
  <c r="E692" i="16"/>
  <c r="E691" i="16"/>
  <c r="E690" i="16"/>
  <c r="E689" i="16"/>
  <c r="E688" i="16"/>
  <c r="E687" i="16"/>
  <c r="E686" i="16"/>
  <c r="E685" i="16"/>
  <c r="E684" i="16"/>
  <c r="E683" i="16"/>
  <c r="E682" i="16"/>
  <c r="E681" i="16"/>
  <c r="E680" i="16"/>
  <c r="E679" i="16"/>
  <c r="E678" i="16"/>
  <c r="E677" i="16"/>
  <c r="E676" i="16"/>
  <c r="E675" i="16"/>
  <c r="E674" i="16"/>
  <c r="E673" i="16"/>
  <c r="E672" i="16"/>
  <c r="E671" i="16"/>
  <c r="E670" i="16"/>
  <c r="E669" i="16"/>
  <c r="E668" i="16"/>
  <c r="E667" i="16"/>
  <c r="E666" i="16"/>
  <c r="E665" i="16"/>
  <c r="E664" i="16"/>
  <c r="E663" i="16"/>
  <c r="E662" i="16"/>
  <c r="E661" i="16"/>
  <c r="E660" i="16"/>
  <c r="E659" i="16"/>
  <c r="E658" i="16"/>
  <c r="E657" i="16"/>
  <c r="E656" i="16"/>
  <c r="E655" i="16"/>
  <c r="E654" i="16"/>
  <c r="E653" i="16"/>
  <c r="E652" i="16"/>
  <c r="E651" i="16"/>
  <c r="E650" i="16"/>
  <c r="E649" i="16"/>
  <c r="E648" i="16"/>
  <c r="E647" i="16"/>
  <c r="E646" i="16"/>
  <c r="E645" i="16"/>
  <c r="E644" i="16"/>
  <c r="E643" i="16"/>
  <c r="E642" i="16"/>
  <c r="E641" i="16"/>
  <c r="E640" i="16"/>
  <c r="E639" i="16"/>
  <c r="E638" i="16"/>
  <c r="E637" i="16"/>
  <c r="E636" i="16"/>
  <c r="E635" i="16"/>
  <c r="E634" i="16"/>
  <c r="E633" i="16"/>
  <c r="E632" i="16"/>
  <c r="E631" i="16"/>
  <c r="E630" i="16"/>
  <c r="E629" i="16"/>
  <c r="E628" i="16"/>
  <c r="E627" i="16"/>
  <c r="E626" i="16"/>
  <c r="E625" i="16"/>
  <c r="E624" i="16"/>
  <c r="E623" i="16"/>
  <c r="E622" i="16"/>
  <c r="E621" i="16"/>
  <c r="E620" i="16"/>
  <c r="E619" i="16"/>
  <c r="E618" i="16"/>
  <c r="E617" i="16"/>
  <c r="E616" i="16"/>
  <c r="E615" i="16"/>
  <c r="E614" i="16"/>
  <c r="E613" i="16"/>
  <c r="E612" i="16"/>
  <c r="E611" i="16"/>
  <c r="E610" i="16"/>
  <c r="E609" i="16"/>
  <c r="E608" i="16"/>
  <c r="E607" i="16"/>
  <c r="E606" i="16"/>
  <c r="E605" i="16"/>
  <c r="E604" i="16"/>
  <c r="E603" i="16"/>
  <c r="E602" i="16"/>
  <c r="E601" i="16"/>
  <c r="E600" i="16"/>
  <c r="E599" i="16"/>
  <c r="E598" i="16"/>
  <c r="E597" i="16"/>
  <c r="E596" i="16"/>
  <c r="E595" i="16"/>
  <c r="E594" i="16"/>
  <c r="E593" i="16"/>
  <c r="E592" i="16"/>
  <c r="E591" i="16"/>
  <c r="E590" i="16"/>
  <c r="E589" i="16"/>
  <c r="E588" i="16"/>
  <c r="E587" i="16"/>
  <c r="E586" i="16"/>
  <c r="E585" i="16"/>
  <c r="E584" i="16"/>
  <c r="E583" i="16"/>
  <c r="E582" i="16"/>
  <c r="E581" i="16"/>
  <c r="E580" i="16"/>
  <c r="E579" i="16"/>
  <c r="E578" i="16"/>
  <c r="E577" i="16"/>
  <c r="E576" i="16"/>
  <c r="E575" i="16"/>
  <c r="E574" i="16"/>
  <c r="E573" i="16"/>
  <c r="E572" i="16"/>
  <c r="E571" i="16"/>
  <c r="E570" i="16"/>
  <c r="E569" i="16"/>
  <c r="E568" i="16"/>
  <c r="E567" i="16"/>
  <c r="E566" i="16"/>
  <c r="E565" i="16"/>
  <c r="E564" i="16"/>
  <c r="E563" i="16"/>
  <c r="E562" i="16"/>
  <c r="E561" i="16"/>
  <c r="E560" i="16"/>
  <c r="E559" i="16"/>
  <c r="E558" i="16"/>
  <c r="E557" i="16"/>
  <c r="E556" i="16"/>
  <c r="E555" i="16"/>
  <c r="E554" i="16"/>
  <c r="E553" i="16"/>
  <c r="E552" i="16"/>
  <c r="E551" i="16"/>
  <c r="E550" i="16"/>
  <c r="E549" i="16"/>
  <c r="E548" i="16"/>
  <c r="E547" i="16"/>
  <c r="E546" i="16"/>
  <c r="E545" i="16"/>
  <c r="E544" i="16"/>
  <c r="E543" i="16"/>
  <c r="E542" i="16"/>
  <c r="E541" i="16"/>
  <c r="E540" i="16"/>
  <c r="E539" i="16"/>
  <c r="E538" i="16"/>
  <c r="E537" i="16"/>
  <c r="E536" i="16"/>
  <c r="E535" i="16"/>
  <c r="E534" i="16"/>
  <c r="E533" i="16"/>
  <c r="E532" i="16"/>
  <c r="E531" i="16"/>
  <c r="E530" i="16"/>
  <c r="E529" i="16"/>
  <c r="E528" i="16"/>
  <c r="E527" i="16"/>
  <c r="E526" i="16"/>
  <c r="E525" i="16"/>
  <c r="E524" i="16"/>
  <c r="E523" i="16"/>
  <c r="E522" i="16"/>
  <c r="E521" i="16"/>
  <c r="E520" i="16"/>
  <c r="E519" i="16"/>
  <c r="E518" i="16"/>
  <c r="E517" i="16"/>
  <c r="E516" i="16"/>
  <c r="E515" i="16"/>
  <c r="E514" i="16"/>
  <c r="E513" i="16"/>
  <c r="E512" i="16"/>
  <c r="E511" i="16"/>
  <c r="E510" i="16"/>
  <c r="E509" i="16"/>
  <c r="E508" i="16"/>
  <c r="E507" i="16"/>
  <c r="E506" i="16"/>
  <c r="E505" i="16"/>
  <c r="E504" i="16"/>
  <c r="E503" i="16"/>
  <c r="E502" i="16"/>
  <c r="E501" i="16"/>
  <c r="E500" i="16"/>
  <c r="E499" i="16"/>
  <c r="E498" i="16"/>
  <c r="E497" i="16"/>
  <c r="E496" i="16"/>
  <c r="E495" i="16"/>
  <c r="E494" i="16"/>
  <c r="E493" i="16"/>
  <c r="E492" i="16"/>
  <c r="E491" i="16"/>
  <c r="E490" i="16"/>
  <c r="E489" i="16"/>
  <c r="E488" i="16"/>
  <c r="E487" i="16"/>
  <c r="E486" i="16"/>
  <c r="E485" i="16"/>
  <c r="E484" i="16"/>
  <c r="E483" i="16"/>
  <c r="E482" i="16"/>
  <c r="E481" i="16"/>
  <c r="E480" i="16"/>
  <c r="E479" i="16"/>
  <c r="E478" i="16"/>
  <c r="E477" i="16"/>
  <c r="E476" i="16"/>
  <c r="E475" i="16"/>
  <c r="E474" i="16"/>
  <c r="E473" i="16"/>
  <c r="E472" i="16"/>
  <c r="E471" i="16"/>
  <c r="E470" i="16"/>
  <c r="E469" i="16"/>
  <c r="E468" i="16"/>
  <c r="E467" i="16"/>
  <c r="E466" i="16"/>
  <c r="E465" i="16"/>
  <c r="E464" i="16"/>
  <c r="E463" i="16"/>
  <c r="E462" i="16"/>
  <c r="E461" i="16"/>
  <c r="E460" i="16"/>
  <c r="E459" i="16"/>
  <c r="E458" i="16"/>
  <c r="E457" i="16"/>
  <c r="E456" i="16"/>
  <c r="E455" i="16"/>
  <c r="E454" i="16"/>
  <c r="E453" i="16"/>
  <c r="E452" i="16"/>
  <c r="E451" i="16"/>
  <c r="E450" i="16"/>
  <c r="E449" i="16"/>
  <c r="E448" i="16"/>
  <c r="E447" i="16"/>
  <c r="E446" i="16"/>
  <c r="E445" i="16"/>
  <c r="E444" i="16"/>
  <c r="E443" i="16"/>
  <c r="E442" i="16"/>
  <c r="E441" i="16"/>
  <c r="E440" i="16"/>
  <c r="E439" i="16"/>
  <c r="E438" i="16"/>
  <c r="E437" i="16"/>
  <c r="E436" i="16"/>
  <c r="E435" i="16"/>
  <c r="E434" i="16"/>
  <c r="E433" i="16"/>
  <c r="E432" i="16"/>
  <c r="E431" i="16"/>
  <c r="E430" i="16"/>
  <c r="E429" i="16"/>
  <c r="E428" i="16"/>
  <c r="E427" i="16"/>
  <c r="E426" i="16"/>
  <c r="E425" i="16"/>
  <c r="E424" i="16"/>
  <c r="E423" i="16"/>
  <c r="E422" i="16"/>
  <c r="E421" i="16"/>
  <c r="E420" i="16"/>
  <c r="E419" i="16"/>
  <c r="E418" i="16"/>
  <c r="E417" i="16"/>
  <c r="E416" i="16"/>
  <c r="E415" i="16"/>
  <c r="E414" i="16"/>
  <c r="E413" i="16"/>
  <c r="E412" i="16"/>
  <c r="E411" i="16"/>
  <c r="E410" i="16"/>
  <c r="E409" i="16"/>
  <c r="E408" i="16"/>
  <c r="E407" i="16"/>
  <c r="E406" i="16"/>
  <c r="E405" i="16"/>
  <c r="E404" i="16"/>
  <c r="E403" i="16"/>
  <c r="E402" i="16"/>
  <c r="E401" i="16"/>
  <c r="E400" i="16"/>
  <c r="E399" i="16"/>
  <c r="E398" i="16"/>
  <c r="E397" i="16"/>
  <c r="E396" i="16"/>
  <c r="E395" i="16"/>
  <c r="E394" i="16"/>
  <c r="E393" i="16"/>
  <c r="E392" i="16"/>
  <c r="E391" i="16"/>
  <c r="E390" i="16"/>
  <c r="E389" i="16"/>
  <c r="E388" i="16"/>
  <c r="E387" i="16"/>
  <c r="E386" i="16"/>
  <c r="E385" i="16"/>
  <c r="E384" i="16"/>
  <c r="E383" i="16"/>
  <c r="E382" i="16"/>
  <c r="E381" i="16"/>
  <c r="E380" i="16"/>
  <c r="E379" i="16"/>
  <c r="E378" i="16"/>
  <c r="E377" i="16"/>
  <c r="E376" i="16"/>
  <c r="E375" i="16"/>
  <c r="E374" i="16"/>
  <c r="E373" i="16"/>
  <c r="E372" i="16"/>
  <c r="E371" i="16"/>
  <c r="E370" i="16"/>
  <c r="E369" i="16"/>
  <c r="E368" i="16"/>
  <c r="E367" i="16"/>
  <c r="E366" i="16"/>
  <c r="E365" i="16"/>
  <c r="E364" i="16"/>
  <c r="E363" i="16"/>
  <c r="E362" i="16"/>
  <c r="E361" i="16"/>
  <c r="E360" i="16"/>
  <c r="E359" i="16"/>
  <c r="E358" i="16"/>
  <c r="E357" i="16"/>
  <c r="E356" i="16"/>
  <c r="E355" i="16"/>
  <c r="E354" i="16"/>
  <c r="E353" i="16"/>
  <c r="E352" i="16"/>
  <c r="E351" i="16"/>
  <c r="E350" i="16"/>
  <c r="E349" i="16"/>
  <c r="E348" i="16"/>
  <c r="E347" i="16"/>
  <c r="E346" i="16"/>
  <c r="E345" i="16"/>
  <c r="E344" i="16"/>
  <c r="E343" i="16"/>
  <c r="E342" i="16"/>
  <c r="E341" i="16"/>
  <c r="E340" i="16"/>
  <c r="E339" i="16"/>
  <c r="E338" i="16"/>
  <c r="E337" i="16"/>
  <c r="E336" i="16"/>
  <c r="E335" i="16"/>
  <c r="E334" i="16"/>
  <c r="E333" i="16"/>
  <c r="E332" i="16"/>
  <c r="E331" i="16"/>
  <c r="E330" i="16"/>
  <c r="E329" i="16"/>
  <c r="E328" i="16"/>
  <c r="E327" i="16"/>
  <c r="E326" i="16"/>
  <c r="E325" i="16"/>
  <c r="E324" i="16"/>
  <c r="E323" i="16"/>
  <c r="E322" i="16"/>
  <c r="E321" i="16"/>
  <c r="E320" i="16"/>
  <c r="E319" i="16"/>
  <c r="E318" i="16"/>
  <c r="E317" i="16"/>
  <c r="E316" i="16"/>
  <c r="E315" i="16"/>
  <c r="E314" i="16"/>
  <c r="E313" i="16"/>
  <c r="E312" i="16"/>
  <c r="E311" i="16"/>
  <c r="E310" i="16"/>
  <c r="E309" i="16"/>
  <c r="E308" i="16"/>
  <c r="E307" i="16"/>
  <c r="E306" i="16"/>
  <c r="E305" i="16"/>
  <c r="E304" i="16"/>
  <c r="E303" i="16"/>
  <c r="E302" i="16"/>
  <c r="E301" i="16"/>
  <c r="E300" i="16"/>
  <c r="E299" i="16"/>
  <c r="E298" i="16"/>
  <c r="E297" i="16"/>
  <c r="E296" i="16"/>
  <c r="E295" i="16"/>
  <c r="E294" i="16"/>
  <c r="E293" i="16"/>
  <c r="E292" i="16"/>
  <c r="E291" i="16"/>
  <c r="E290" i="16"/>
  <c r="E289" i="16"/>
  <c r="E288" i="16"/>
  <c r="E287" i="16"/>
  <c r="E286" i="16"/>
  <c r="E285" i="16"/>
  <c r="E284" i="16"/>
  <c r="E283" i="16"/>
  <c r="E282" i="16"/>
  <c r="E281" i="16"/>
  <c r="E280" i="16"/>
  <c r="E279" i="16"/>
  <c r="E278" i="16"/>
  <c r="E277" i="16"/>
  <c r="E276" i="16"/>
  <c r="E275" i="16"/>
  <c r="E274" i="16"/>
  <c r="E273" i="16"/>
  <c r="E272" i="16"/>
  <c r="E271" i="16"/>
  <c r="E270" i="16"/>
  <c r="E269" i="16"/>
  <c r="E268" i="16"/>
  <c r="E267" i="16"/>
  <c r="E266" i="16"/>
  <c r="E265" i="16"/>
  <c r="E264" i="16"/>
  <c r="E263" i="16"/>
  <c r="E262" i="16"/>
  <c r="E261" i="16"/>
  <c r="E260" i="16"/>
  <c r="E259" i="16"/>
  <c r="E258" i="16"/>
  <c r="E257" i="16"/>
  <c r="E256" i="16"/>
  <c r="E255" i="16"/>
  <c r="E254" i="16"/>
  <c r="E253" i="16"/>
  <c r="E252" i="16"/>
  <c r="E251" i="16"/>
  <c r="E250" i="16"/>
  <c r="E249" i="16"/>
  <c r="E248" i="16"/>
  <c r="E247" i="16"/>
  <c r="E246" i="16"/>
  <c r="E245" i="16"/>
  <c r="E244" i="16"/>
  <c r="E243" i="16"/>
  <c r="E242" i="16"/>
  <c r="E241" i="16"/>
  <c r="E240" i="16"/>
  <c r="E239" i="16"/>
  <c r="E238" i="16"/>
  <c r="E237" i="16"/>
  <c r="E236" i="16"/>
  <c r="E235" i="16"/>
  <c r="E234" i="16"/>
  <c r="E233" i="16"/>
  <c r="E232" i="16"/>
  <c r="E231" i="16"/>
  <c r="E230" i="16"/>
  <c r="E229" i="16"/>
  <c r="E228" i="16"/>
  <c r="E227" i="16"/>
  <c r="E226" i="16"/>
  <c r="E225" i="16"/>
  <c r="E224" i="16"/>
  <c r="E223" i="16"/>
  <c r="E222" i="16"/>
  <c r="E221" i="16"/>
  <c r="E220" i="16"/>
  <c r="E219" i="16"/>
  <c r="E218" i="16"/>
  <c r="E217" i="16"/>
  <c r="E216" i="16"/>
  <c r="E215" i="16"/>
  <c r="E214" i="16"/>
  <c r="E213" i="16"/>
  <c r="E212" i="16"/>
  <c r="E211" i="16"/>
  <c r="E210" i="16"/>
  <c r="E209" i="16"/>
  <c r="E208" i="16"/>
  <c r="E207" i="16"/>
  <c r="E206" i="16"/>
  <c r="E205" i="16"/>
  <c r="E204" i="16"/>
  <c r="E203" i="16"/>
  <c r="E202" i="16"/>
  <c r="E201" i="16"/>
  <c r="E200" i="16"/>
  <c r="E199" i="16"/>
  <c r="E198" i="16"/>
  <c r="E197" i="16"/>
  <c r="E196" i="16"/>
  <c r="E195" i="16"/>
  <c r="E194" i="16"/>
  <c r="E193" i="16"/>
  <c r="E192" i="16"/>
  <c r="E191" i="16"/>
  <c r="E190" i="16"/>
  <c r="E189" i="16"/>
  <c r="E188" i="16"/>
  <c r="E187" i="16"/>
  <c r="E186" i="16"/>
  <c r="E185" i="16"/>
  <c r="E184" i="16"/>
  <c r="E183" i="16"/>
  <c r="E182" i="16"/>
  <c r="E181" i="16"/>
  <c r="E180" i="16"/>
  <c r="E179" i="16"/>
  <c r="E178" i="16"/>
  <c r="E177" i="16"/>
  <c r="E176" i="16"/>
  <c r="E175" i="16"/>
  <c r="E174" i="16"/>
  <c r="E173" i="16"/>
  <c r="E172" i="16"/>
  <c r="E171" i="16"/>
  <c r="E170" i="16"/>
  <c r="E169" i="16"/>
  <c r="E168" i="16"/>
  <c r="E167" i="16"/>
  <c r="E166" i="16"/>
  <c r="E165" i="16"/>
  <c r="E164" i="16"/>
  <c r="E163" i="16"/>
  <c r="E162" i="16"/>
  <c r="E161" i="16"/>
  <c r="E160" i="16"/>
  <c r="E159" i="16"/>
  <c r="E158" i="16"/>
  <c r="E157" i="16"/>
  <c r="E156" i="16"/>
  <c r="E155" i="16"/>
  <c r="E154" i="16"/>
  <c r="E153" i="16"/>
  <c r="E152" i="16"/>
  <c r="E151" i="16"/>
  <c r="E150" i="16"/>
  <c r="E149" i="16"/>
  <c r="E148" i="16"/>
  <c r="E147" i="16"/>
  <c r="E146" i="16"/>
  <c r="E145" i="16"/>
  <c r="E144" i="16"/>
  <c r="E143" i="16"/>
  <c r="E142" i="16"/>
  <c r="E141" i="16"/>
  <c r="E140" i="16"/>
  <c r="E139" i="16"/>
  <c r="E138" i="16"/>
  <c r="E137" i="16"/>
  <c r="E136" i="16"/>
  <c r="E135" i="16"/>
  <c r="E134" i="16"/>
  <c r="E133" i="16"/>
  <c r="E132" i="16"/>
  <c r="E131" i="16"/>
  <c r="E130" i="16"/>
  <c r="E129" i="16"/>
  <c r="E128" i="16"/>
  <c r="E127" i="16"/>
  <c r="E126" i="16"/>
  <c r="E125" i="16"/>
  <c r="E124" i="16"/>
  <c r="E123" i="16"/>
  <c r="E122" i="16"/>
  <c r="E121" i="16"/>
  <c r="E120" i="16"/>
  <c r="E119" i="16"/>
  <c r="E118" i="16"/>
  <c r="E117" i="16"/>
  <c r="E116" i="16"/>
  <c r="E115" i="16"/>
  <c r="E114" i="16"/>
  <c r="E113" i="16"/>
  <c r="E112" i="16"/>
  <c r="E111" i="16"/>
  <c r="E110" i="16"/>
  <c r="E109" i="16"/>
  <c r="E108" i="16"/>
  <c r="E107" i="16"/>
  <c r="E106" i="16"/>
  <c r="E105" i="16"/>
  <c r="E104" i="16"/>
  <c r="E103" i="16"/>
  <c r="E102" i="16"/>
  <c r="E101" i="16"/>
  <c r="E100" i="16"/>
  <c r="E99" i="16"/>
  <c r="E98" i="16"/>
  <c r="E97" i="16"/>
  <c r="E96" i="16"/>
  <c r="E95" i="16"/>
  <c r="E94" i="16"/>
  <c r="E93" i="16"/>
  <c r="E92" i="16"/>
  <c r="E91" i="16"/>
  <c r="E90" i="16"/>
  <c r="E89" i="16"/>
  <c r="E88" i="16"/>
  <c r="E87" i="16"/>
  <c r="E86" i="16"/>
  <c r="E85" i="16"/>
  <c r="E84" i="16"/>
  <c r="E83" i="16"/>
  <c r="E82" i="16"/>
  <c r="E81" i="16"/>
  <c r="E80" i="16"/>
  <c r="E79" i="16"/>
  <c r="E78" i="16"/>
  <c r="E77" i="16"/>
  <c r="E76" i="16"/>
  <c r="E75" i="16"/>
  <c r="E74" i="16"/>
  <c r="E73" i="16"/>
  <c r="E72" i="16"/>
  <c r="E71" i="16"/>
  <c r="E70" i="16"/>
  <c r="E69" i="16"/>
  <c r="E68" i="16"/>
  <c r="E67" i="16"/>
  <c r="E66" i="16"/>
  <c r="E65" i="16"/>
  <c r="E64" i="16"/>
  <c r="E63" i="16"/>
  <c r="E62" i="16"/>
  <c r="E61" i="16"/>
  <c r="E60" i="16"/>
  <c r="E59" i="16"/>
  <c r="E58" i="16"/>
  <c r="E57" i="16"/>
  <c r="E56" i="16"/>
  <c r="E55" i="16"/>
  <c r="E54" i="16"/>
  <c r="E53" i="16"/>
  <c r="E52" i="16"/>
  <c r="E51" i="16"/>
  <c r="E50" i="16"/>
  <c r="E49" i="16"/>
  <c r="E48" i="16"/>
  <c r="E47" i="16"/>
  <c r="E46" i="16"/>
  <c r="E45" i="16"/>
  <c r="E44" i="16"/>
  <c r="E43" i="16"/>
  <c r="E42" i="16"/>
  <c r="E41" i="16"/>
  <c r="E40" i="16"/>
  <c r="E39" i="16"/>
  <c r="E38"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C7" i="16" l="1"/>
  <c r="C6" i="16"/>
  <c r="C76" i="16"/>
  <c r="K1097" i="2"/>
  <c r="K1100" i="2"/>
  <c r="K1102" i="2"/>
  <c r="K1096" i="2" l="1"/>
  <c r="D256" i="7" l="1"/>
  <c r="I259" i="7" l="1"/>
  <c r="K251" i="7" l="1"/>
  <c r="K253" i="7" l="1"/>
  <c r="O253" i="7"/>
  <c r="K254" i="7"/>
  <c r="O254" i="7"/>
  <c r="I261" i="7" l="1"/>
  <c r="K256" i="7"/>
  <c r="C10" i="16" l="1"/>
  <c r="B10" i="16"/>
  <c r="C9" i="16"/>
  <c r="B9" i="16"/>
  <c r="C5" i="16" l="1"/>
  <c r="C4" i="16"/>
  <c r="C13" i="16"/>
  <c r="B7" i="16"/>
  <c r="B4" i="16"/>
  <c r="B5" i="16"/>
  <c r="B6" i="16"/>
  <c r="B8" i="16"/>
  <c r="B11" i="16"/>
  <c r="B12" i="16"/>
  <c r="B14" i="16"/>
  <c r="B15" i="16"/>
  <c r="B16" i="16"/>
  <c r="B17" i="16"/>
  <c r="B18" i="16"/>
  <c r="B19" i="16"/>
  <c r="B20" i="16"/>
  <c r="B21" i="16"/>
  <c r="B22" i="16"/>
  <c r="B23" i="16"/>
  <c r="B24" i="16"/>
  <c r="B25" i="16"/>
  <c r="B26" i="16"/>
  <c r="B27" i="16"/>
  <c r="B28" i="16"/>
  <c r="B29" i="16"/>
  <c r="B30" i="16"/>
  <c r="B31" i="16"/>
  <c r="B32" i="16"/>
  <c r="B33" i="16"/>
  <c r="B34" i="16"/>
  <c r="B35" i="16"/>
  <c r="B36" i="16"/>
  <c r="B37" i="16"/>
  <c r="B38" i="16"/>
  <c r="B39" i="16"/>
  <c r="B40" i="16"/>
  <c r="B41" i="16"/>
  <c r="B42" i="16"/>
  <c r="B43" i="16"/>
  <c r="B44" i="16"/>
  <c r="B45" i="16"/>
  <c r="B46" i="16"/>
  <c r="B47" i="16"/>
  <c r="B48" i="16"/>
  <c r="B49" i="16"/>
  <c r="B50" i="16"/>
  <c r="B51" i="16"/>
  <c r="B52" i="16"/>
  <c r="B53" i="16"/>
  <c r="B54" i="16"/>
  <c r="B55" i="16"/>
  <c r="B56" i="16"/>
  <c r="B57" i="16"/>
  <c r="B58" i="16"/>
  <c r="B59" i="16"/>
  <c r="B60" i="16"/>
  <c r="B61" i="16"/>
  <c r="B62" i="16"/>
  <c r="B63" i="16"/>
  <c r="B64" i="16"/>
  <c r="B65" i="16"/>
  <c r="B66" i="16"/>
  <c r="B67" i="16"/>
  <c r="B68" i="16"/>
  <c r="B69" i="16"/>
  <c r="B70" i="16"/>
  <c r="B71" i="16"/>
  <c r="B72" i="16"/>
  <c r="B73" i="16"/>
  <c r="B74" i="16"/>
  <c r="B75" i="16"/>
  <c r="B76" i="16"/>
  <c r="B77" i="16"/>
  <c r="B78" i="16"/>
  <c r="B79" i="16"/>
  <c r="B80" i="16"/>
  <c r="B81" i="16"/>
  <c r="B82" i="16"/>
  <c r="B83" i="16"/>
  <c r="B84" i="16"/>
  <c r="B85" i="16"/>
  <c r="B86" i="16"/>
  <c r="B87" i="16"/>
  <c r="B88" i="16"/>
  <c r="B89" i="16"/>
  <c r="B90" i="16"/>
  <c r="B91" i="16"/>
  <c r="B92" i="16"/>
  <c r="B93" i="16"/>
  <c r="B94" i="16"/>
  <c r="B95" i="16"/>
  <c r="B96" i="16"/>
  <c r="B97" i="16"/>
  <c r="B98" i="16"/>
  <c r="B99" i="16"/>
  <c r="B100" i="16"/>
  <c r="B101" i="16"/>
  <c r="B102" i="16"/>
  <c r="B103" i="16"/>
  <c r="B104" i="16"/>
  <c r="B105" i="16"/>
  <c r="B106" i="16"/>
  <c r="B107" i="16"/>
  <c r="B108" i="16"/>
  <c r="B109" i="16"/>
  <c r="B110" i="16"/>
  <c r="B111" i="16"/>
  <c r="B112" i="16"/>
  <c r="B113" i="16"/>
  <c r="B114" i="16"/>
  <c r="B115" i="16"/>
  <c r="B116" i="16"/>
  <c r="B117" i="16"/>
  <c r="B118" i="16"/>
  <c r="B119" i="16"/>
  <c r="B120" i="16"/>
  <c r="B121" i="16"/>
  <c r="B122" i="16"/>
  <c r="B123" i="16"/>
  <c r="B124" i="16"/>
  <c r="B125" i="16"/>
  <c r="B126" i="16"/>
  <c r="B127" i="16"/>
  <c r="B128" i="16"/>
  <c r="B129" i="16"/>
  <c r="B130" i="16"/>
  <c r="B131" i="16"/>
  <c r="B132" i="16"/>
  <c r="B133" i="16"/>
  <c r="B134" i="16"/>
  <c r="B135" i="16"/>
  <c r="B136" i="16"/>
  <c r="B137" i="16"/>
  <c r="B138" i="16"/>
  <c r="B139" i="16"/>
  <c r="B140" i="16"/>
  <c r="B141" i="16"/>
  <c r="B142" i="16"/>
  <c r="B143" i="16"/>
  <c r="B144" i="16"/>
  <c r="B145" i="16"/>
  <c r="B146" i="16"/>
  <c r="B147" i="16"/>
  <c r="B148" i="16"/>
  <c r="B149" i="16"/>
  <c r="B150" i="16"/>
  <c r="B151" i="16"/>
  <c r="B152" i="16"/>
  <c r="B153" i="16"/>
  <c r="B154" i="16"/>
  <c r="B155" i="16"/>
  <c r="B156" i="16"/>
  <c r="B157" i="16"/>
  <c r="B158" i="16"/>
  <c r="B159" i="16"/>
  <c r="B160" i="16"/>
  <c r="B161" i="16"/>
  <c r="B162" i="16"/>
  <c r="B163" i="16"/>
  <c r="B164" i="16"/>
  <c r="B165" i="16"/>
  <c r="B166" i="16"/>
  <c r="B167" i="16"/>
  <c r="B168" i="16"/>
  <c r="B169" i="16"/>
  <c r="B170" i="16"/>
  <c r="B171" i="16"/>
  <c r="B172" i="16"/>
  <c r="B173" i="16"/>
  <c r="B174" i="16"/>
  <c r="B175" i="16"/>
  <c r="B176" i="16"/>
  <c r="B177" i="16"/>
  <c r="B178" i="16"/>
  <c r="B179" i="16"/>
  <c r="B180" i="16"/>
  <c r="B181" i="16"/>
  <c r="B182" i="16"/>
  <c r="B183" i="16"/>
  <c r="B184" i="16"/>
  <c r="B185" i="16"/>
  <c r="B186" i="16"/>
  <c r="B187" i="16"/>
  <c r="B188" i="16"/>
  <c r="B189" i="16"/>
  <c r="B190" i="16"/>
  <c r="B191" i="16"/>
  <c r="B192" i="16"/>
  <c r="B193" i="16"/>
  <c r="B194" i="16"/>
  <c r="B195" i="16"/>
  <c r="B196" i="16"/>
  <c r="B197" i="16"/>
  <c r="B198" i="16"/>
  <c r="B199" i="16"/>
  <c r="B200" i="16"/>
  <c r="B201" i="16"/>
  <c r="B202" i="16"/>
  <c r="B203" i="16"/>
  <c r="B204" i="16"/>
  <c r="B205" i="16"/>
  <c r="B206" i="16"/>
  <c r="B207" i="16"/>
  <c r="B208" i="16"/>
  <c r="B209" i="16"/>
  <c r="B210" i="16"/>
  <c r="B211" i="16"/>
  <c r="B212" i="16"/>
  <c r="B213" i="16"/>
  <c r="B214" i="16"/>
  <c r="B215" i="16"/>
  <c r="B216" i="16"/>
  <c r="B217" i="16"/>
  <c r="B218" i="16"/>
  <c r="B219" i="16"/>
  <c r="B220" i="16"/>
  <c r="B221" i="16"/>
  <c r="B222" i="16"/>
  <c r="B223" i="16"/>
  <c r="B224" i="16"/>
  <c r="B225" i="16"/>
  <c r="B226" i="16"/>
  <c r="B227" i="16"/>
  <c r="B228" i="16"/>
  <c r="B229" i="16"/>
  <c r="B230" i="16"/>
  <c r="B231" i="16"/>
  <c r="B232" i="16"/>
  <c r="B233" i="16"/>
  <c r="B234" i="16"/>
  <c r="B235" i="16"/>
  <c r="B236" i="16"/>
  <c r="B237" i="16"/>
  <c r="B238" i="16"/>
  <c r="B239" i="16"/>
  <c r="B240" i="16"/>
  <c r="B241" i="16"/>
  <c r="B242" i="16"/>
  <c r="B243" i="16"/>
  <c r="B244" i="16"/>
  <c r="B245" i="16"/>
  <c r="B246" i="16"/>
  <c r="B247" i="16"/>
  <c r="B248" i="16"/>
  <c r="B249" i="16"/>
  <c r="B250" i="16"/>
  <c r="B251" i="16"/>
  <c r="B252" i="16"/>
  <c r="B253" i="16"/>
  <c r="B254" i="16"/>
  <c r="B255" i="16"/>
  <c r="B256" i="16"/>
  <c r="B257" i="16"/>
  <c r="B258" i="16"/>
  <c r="B259" i="16"/>
  <c r="B260" i="16"/>
  <c r="B261" i="16"/>
  <c r="B262" i="16"/>
  <c r="B263" i="16"/>
  <c r="B264" i="16"/>
  <c r="B265" i="16"/>
  <c r="B266" i="16"/>
  <c r="B267" i="16"/>
  <c r="B268" i="16"/>
  <c r="B269" i="16"/>
  <c r="B270" i="16"/>
  <c r="B271" i="16"/>
  <c r="B272" i="16"/>
  <c r="B273" i="16"/>
  <c r="B274" i="16"/>
  <c r="B275" i="16"/>
  <c r="B276" i="16"/>
  <c r="B277" i="16"/>
  <c r="B278" i="16"/>
  <c r="B279" i="16"/>
  <c r="B280" i="16"/>
  <c r="B281" i="16"/>
  <c r="B282" i="16"/>
  <c r="B283" i="16"/>
  <c r="B284" i="16"/>
  <c r="B285" i="16"/>
  <c r="B286" i="16"/>
  <c r="B287" i="16"/>
  <c r="B288" i="16"/>
  <c r="B289" i="16"/>
  <c r="B290" i="16"/>
  <c r="B291" i="16"/>
  <c r="B292" i="16"/>
  <c r="B293" i="16"/>
  <c r="B294" i="16"/>
  <c r="B295" i="16"/>
  <c r="B296" i="16"/>
  <c r="B297" i="16"/>
  <c r="B298" i="16"/>
  <c r="B299" i="16"/>
  <c r="B300" i="16"/>
  <c r="B301" i="16"/>
  <c r="B302" i="16"/>
  <c r="B303" i="16"/>
  <c r="B304" i="16"/>
  <c r="B305" i="16"/>
  <c r="B306" i="16"/>
  <c r="B307" i="16"/>
  <c r="B308" i="16"/>
  <c r="B309" i="16"/>
  <c r="B310" i="16"/>
  <c r="B311" i="16"/>
  <c r="B312" i="16"/>
  <c r="B313" i="16"/>
  <c r="B314" i="16"/>
  <c r="B315" i="16"/>
  <c r="B316" i="16"/>
  <c r="B317" i="16"/>
  <c r="B318" i="16"/>
  <c r="B319" i="16"/>
  <c r="B320" i="16"/>
  <c r="B321" i="16"/>
  <c r="B322" i="16"/>
  <c r="B323" i="16"/>
  <c r="B324" i="16"/>
  <c r="B325" i="16"/>
  <c r="B326" i="16"/>
  <c r="B327" i="16"/>
  <c r="B328" i="16"/>
  <c r="B329" i="16"/>
  <c r="B330" i="16"/>
  <c r="B331" i="16"/>
  <c r="B332" i="16"/>
  <c r="B333" i="16"/>
  <c r="B334" i="16"/>
  <c r="B335" i="16"/>
  <c r="B336" i="16"/>
  <c r="B337" i="16"/>
  <c r="B338" i="16"/>
  <c r="B339" i="16"/>
  <c r="B340" i="16"/>
  <c r="B341" i="16"/>
  <c r="B342" i="16"/>
  <c r="B343" i="16"/>
  <c r="B344" i="16"/>
  <c r="B345" i="16"/>
  <c r="B346" i="16"/>
  <c r="B347" i="16"/>
  <c r="B348" i="16"/>
  <c r="B349" i="16"/>
  <c r="B350" i="16"/>
  <c r="B351" i="16"/>
  <c r="B352" i="16"/>
  <c r="B353" i="16"/>
  <c r="B354" i="16"/>
  <c r="B355" i="16"/>
  <c r="B356" i="16"/>
  <c r="B357" i="16"/>
  <c r="B358" i="16"/>
  <c r="B359" i="16"/>
  <c r="B360" i="16"/>
  <c r="B361" i="16"/>
  <c r="B362" i="16"/>
  <c r="B363" i="16"/>
  <c r="B364" i="16"/>
  <c r="B365" i="16"/>
  <c r="B366" i="16"/>
  <c r="B367" i="16"/>
  <c r="B368" i="16"/>
  <c r="B369" i="16"/>
  <c r="B370" i="16"/>
  <c r="B371" i="16"/>
  <c r="B372" i="16"/>
  <c r="B373" i="16"/>
  <c r="B374" i="16"/>
  <c r="B375" i="16"/>
  <c r="B376" i="16"/>
  <c r="B377" i="16"/>
  <c r="B378" i="16"/>
  <c r="B379" i="16"/>
  <c r="B380" i="16"/>
  <c r="B381" i="16"/>
  <c r="B382" i="16"/>
  <c r="B383" i="16"/>
  <c r="B384" i="16"/>
  <c r="B385" i="16"/>
  <c r="B386" i="16"/>
  <c r="B387" i="16"/>
  <c r="B388" i="16"/>
  <c r="B389" i="16"/>
  <c r="B390" i="16"/>
  <c r="B391" i="16"/>
  <c r="B392" i="16"/>
  <c r="B393" i="16"/>
  <c r="B394" i="16"/>
  <c r="B395" i="16"/>
  <c r="B396" i="16"/>
  <c r="B397" i="16"/>
  <c r="B398" i="16"/>
  <c r="B399" i="16"/>
  <c r="B400" i="16"/>
  <c r="B401" i="16"/>
  <c r="B402" i="16"/>
  <c r="B403" i="16"/>
  <c r="B404" i="16"/>
  <c r="B405" i="16"/>
  <c r="B406" i="16"/>
  <c r="B407" i="16"/>
  <c r="B408" i="16"/>
  <c r="B409" i="16"/>
  <c r="B410" i="16"/>
  <c r="B411" i="16"/>
  <c r="B412" i="16"/>
  <c r="B413" i="16"/>
  <c r="B414" i="16"/>
  <c r="B415" i="16"/>
  <c r="B416" i="16"/>
  <c r="B417" i="16"/>
  <c r="B418" i="16"/>
  <c r="B419" i="16"/>
  <c r="B420" i="16"/>
  <c r="B421" i="16"/>
  <c r="B422" i="16"/>
  <c r="B423" i="16"/>
  <c r="B424" i="16"/>
  <c r="B425" i="16"/>
  <c r="B426" i="16"/>
  <c r="B427" i="16"/>
  <c r="B428" i="16"/>
  <c r="B429" i="16"/>
  <c r="B430" i="16"/>
  <c r="B431" i="16"/>
  <c r="B432" i="16"/>
  <c r="B433" i="16"/>
  <c r="B434" i="16"/>
  <c r="B435" i="16"/>
  <c r="B436" i="16"/>
  <c r="B437" i="16"/>
  <c r="B438" i="16"/>
  <c r="B439" i="16"/>
  <c r="B440" i="16"/>
  <c r="B441" i="16"/>
  <c r="B442" i="16"/>
  <c r="B443" i="16"/>
  <c r="B444" i="16"/>
  <c r="B445" i="16"/>
  <c r="B446" i="16"/>
  <c r="B447" i="16"/>
  <c r="B448" i="16"/>
  <c r="B449" i="16"/>
  <c r="B450" i="16"/>
  <c r="B451" i="16"/>
  <c r="B452" i="16"/>
  <c r="B453" i="16"/>
  <c r="B454" i="16"/>
  <c r="B455" i="16"/>
  <c r="B456" i="16"/>
  <c r="B457" i="16"/>
  <c r="B458" i="16"/>
  <c r="B459" i="16"/>
  <c r="B460" i="16"/>
  <c r="B461" i="16"/>
  <c r="B462" i="16"/>
  <c r="B463" i="16"/>
  <c r="B464" i="16"/>
  <c r="B465" i="16"/>
  <c r="B466" i="16"/>
  <c r="B467" i="16"/>
  <c r="B468" i="16"/>
  <c r="B469" i="16"/>
  <c r="B470" i="16"/>
  <c r="B471" i="16"/>
  <c r="B472" i="16"/>
  <c r="B473" i="16"/>
  <c r="B474" i="16"/>
  <c r="B475" i="16"/>
  <c r="B476" i="16"/>
  <c r="B477" i="16"/>
  <c r="B478" i="16"/>
  <c r="B479" i="16"/>
  <c r="B480" i="16"/>
  <c r="B481" i="16"/>
  <c r="B482" i="16"/>
  <c r="B483" i="16"/>
  <c r="B484" i="16"/>
  <c r="B485" i="16"/>
  <c r="B486" i="16"/>
  <c r="B487" i="16"/>
  <c r="B488" i="16"/>
  <c r="B489" i="16"/>
  <c r="B490" i="16"/>
  <c r="B491" i="16"/>
  <c r="B492" i="16"/>
  <c r="B493" i="16"/>
  <c r="B494" i="16"/>
  <c r="B495" i="16"/>
  <c r="B496" i="16"/>
  <c r="B497" i="16"/>
  <c r="B498" i="16"/>
  <c r="B499" i="16"/>
  <c r="B500" i="16"/>
  <c r="B501" i="16"/>
  <c r="B502" i="16"/>
  <c r="B503" i="16"/>
  <c r="B504" i="16"/>
  <c r="B505" i="16"/>
  <c r="B506" i="16"/>
  <c r="B507" i="16"/>
  <c r="B508" i="16"/>
  <c r="B509" i="16"/>
  <c r="B510" i="16"/>
  <c r="B511" i="16"/>
  <c r="B512" i="16"/>
  <c r="B513" i="16"/>
  <c r="B514" i="16"/>
  <c r="B515" i="16"/>
  <c r="B516" i="16"/>
  <c r="B517" i="16"/>
  <c r="B518" i="16"/>
  <c r="B519" i="16"/>
  <c r="B520" i="16"/>
  <c r="B521" i="16"/>
  <c r="B522" i="16"/>
  <c r="B523" i="16"/>
  <c r="B524" i="16"/>
  <c r="B525" i="16"/>
  <c r="B526" i="16"/>
  <c r="B527" i="16"/>
  <c r="B528" i="16"/>
  <c r="B529" i="16"/>
  <c r="B530" i="16"/>
  <c r="B531" i="16"/>
  <c r="B532" i="16"/>
  <c r="B533" i="16"/>
  <c r="B534" i="16"/>
  <c r="B535" i="16"/>
  <c r="B536" i="16"/>
  <c r="B537" i="16"/>
  <c r="B538" i="16"/>
  <c r="B539" i="16"/>
  <c r="B540" i="16"/>
  <c r="B541" i="16"/>
  <c r="B542" i="16"/>
  <c r="B543" i="16"/>
  <c r="B544" i="16"/>
  <c r="B545" i="16"/>
  <c r="B546" i="16"/>
  <c r="B547" i="16"/>
  <c r="B548" i="16"/>
  <c r="B549" i="16"/>
  <c r="B550" i="16"/>
  <c r="B551" i="16"/>
  <c r="B552" i="16"/>
  <c r="B553" i="16"/>
  <c r="B554" i="16"/>
  <c r="B555" i="16"/>
  <c r="B556" i="16"/>
  <c r="B557" i="16"/>
  <c r="B558" i="16"/>
  <c r="B559" i="16"/>
  <c r="B560" i="16"/>
  <c r="B561" i="16"/>
  <c r="B562" i="16"/>
  <c r="B563" i="16"/>
  <c r="B564" i="16"/>
  <c r="B565" i="16"/>
  <c r="B566" i="16"/>
  <c r="B567" i="16"/>
  <c r="B568" i="16"/>
  <c r="B569" i="16"/>
  <c r="B570" i="16"/>
  <c r="B571" i="16"/>
  <c r="B572" i="16"/>
  <c r="B573" i="16"/>
  <c r="B574" i="16"/>
  <c r="B575" i="16"/>
  <c r="B576" i="16"/>
  <c r="B577" i="16"/>
  <c r="B578" i="16"/>
  <c r="B579" i="16"/>
  <c r="B580" i="16"/>
  <c r="B581" i="16"/>
  <c r="B582" i="16"/>
  <c r="B583" i="16"/>
  <c r="B584" i="16"/>
  <c r="B585" i="16"/>
  <c r="B586" i="16"/>
  <c r="B587" i="16"/>
  <c r="B588" i="16"/>
  <c r="B589" i="16"/>
  <c r="B590" i="16"/>
  <c r="B591" i="16"/>
  <c r="B592" i="16"/>
  <c r="B593" i="16"/>
  <c r="B594" i="16"/>
  <c r="B595" i="16"/>
  <c r="B596" i="16"/>
  <c r="B597" i="16"/>
  <c r="B598" i="16"/>
  <c r="B599" i="16"/>
  <c r="B600" i="16"/>
  <c r="B601" i="16"/>
  <c r="B602" i="16"/>
  <c r="B603" i="16"/>
  <c r="B604" i="16"/>
  <c r="B605" i="16"/>
  <c r="B606" i="16"/>
  <c r="B607" i="16"/>
  <c r="B608" i="16"/>
  <c r="B609" i="16"/>
  <c r="B610" i="16"/>
  <c r="B611" i="16"/>
  <c r="B612" i="16"/>
  <c r="B613" i="16"/>
  <c r="B614" i="16"/>
  <c r="B615" i="16"/>
  <c r="B616" i="16"/>
  <c r="B617" i="16"/>
  <c r="B618" i="16"/>
  <c r="B619" i="16"/>
  <c r="B620" i="16"/>
  <c r="B621" i="16"/>
  <c r="B622" i="16"/>
  <c r="B623" i="16"/>
  <c r="B624" i="16"/>
  <c r="B625" i="16"/>
  <c r="B626" i="16"/>
  <c r="B627" i="16"/>
  <c r="B628" i="16"/>
  <c r="B629" i="16"/>
  <c r="B630" i="16"/>
  <c r="B631" i="16"/>
  <c r="B632" i="16"/>
  <c r="B633" i="16"/>
  <c r="B634" i="16"/>
  <c r="B635" i="16"/>
  <c r="B636" i="16"/>
  <c r="B637" i="16"/>
  <c r="B638" i="16"/>
  <c r="B639" i="16"/>
  <c r="B640" i="16"/>
  <c r="B641" i="16"/>
  <c r="B642" i="16"/>
  <c r="B643" i="16"/>
  <c r="B644" i="16"/>
  <c r="B645" i="16"/>
  <c r="B646" i="16"/>
  <c r="B647" i="16"/>
  <c r="B648" i="16"/>
  <c r="B649" i="16"/>
  <c r="B650" i="16"/>
  <c r="B651" i="16"/>
  <c r="B652" i="16"/>
  <c r="B653" i="16"/>
  <c r="B654" i="16"/>
  <c r="B655" i="16"/>
  <c r="B656" i="16"/>
  <c r="B657" i="16"/>
  <c r="B658" i="16"/>
  <c r="B659" i="16"/>
  <c r="B660" i="16"/>
  <c r="B661" i="16"/>
  <c r="B662" i="16"/>
  <c r="B663" i="16"/>
  <c r="B664" i="16"/>
  <c r="B665" i="16"/>
  <c r="B666" i="16"/>
  <c r="B667" i="16"/>
  <c r="B668" i="16"/>
  <c r="B669" i="16"/>
  <c r="B670" i="16"/>
  <c r="B671" i="16"/>
  <c r="B672" i="16"/>
  <c r="B673" i="16"/>
  <c r="B674" i="16"/>
  <c r="B675" i="16"/>
  <c r="B676" i="16"/>
  <c r="B677" i="16"/>
  <c r="B678" i="16"/>
  <c r="B679" i="16"/>
  <c r="B680" i="16"/>
  <c r="B681" i="16"/>
  <c r="B682" i="16"/>
  <c r="B683" i="16"/>
  <c r="B684" i="16"/>
  <c r="B685" i="16"/>
  <c r="B686" i="16"/>
  <c r="B687" i="16"/>
  <c r="B688" i="16"/>
  <c r="B689" i="16"/>
  <c r="B690" i="16"/>
  <c r="B691" i="16"/>
  <c r="B692" i="16"/>
  <c r="B693" i="16"/>
  <c r="B694" i="16"/>
  <c r="B695" i="16"/>
  <c r="B696" i="16"/>
  <c r="B697" i="16"/>
  <c r="B698" i="16"/>
  <c r="B699" i="16"/>
  <c r="B700" i="16"/>
  <c r="B701" i="16"/>
  <c r="B702" i="16"/>
  <c r="B703" i="16"/>
  <c r="B704" i="16"/>
  <c r="B705" i="16"/>
  <c r="B706" i="16"/>
  <c r="B707" i="16"/>
  <c r="B708" i="16"/>
  <c r="B709" i="16"/>
  <c r="B710" i="16"/>
  <c r="B711" i="16"/>
  <c r="B712" i="16"/>
  <c r="B713" i="16"/>
  <c r="B714" i="16"/>
  <c r="B715" i="16"/>
  <c r="B716" i="16"/>
  <c r="B717" i="16"/>
  <c r="B718" i="16"/>
  <c r="B719" i="16"/>
  <c r="B720" i="16"/>
  <c r="B721" i="16"/>
  <c r="B722" i="16"/>
  <c r="B723" i="16"/>
  <c r="B724" i="16"/>
  <c r="B725" i="16"/>
  <c r="B726" i="16"/>
  <c r="B727" i="16"/>
  <c r="B728" i="16"/>
  <c r="B729" i="16"/>
  <c r="B730" i="16"/>
  <c r="B731" i="16"/>
  <c r="B732" i="16"/>
  <c r="B733" i="16"/>
  <c r="B734" i="16"/>
  <c r="B735" i="16"/>
  <c r="B736" i="16"/>
  <c r="B737" i="16"/>
  <c r="B738" i="16"/>
  <c r="B739" i="16"/>
  <c r="B740" i="16"/>
  <c r="B741" i="16"/>
  <c r="B742" i="16"/>
  <c r="B743" i="16"/>
  <c r="B744" i="16"/>
  <c r="B745" i="16"/>
  <c r="B746" i="16"/>
  <c r="B747" i="16"/>
  <c r="B748" i="16"/>
  <c r="B749" i="16"/>
  <c r="B750" i="16"/>
  <c r="B751" i="16"/>
  <c r="B752" i="16"/>
  <c r="B753" i="16"/>
  <c r="B754" i="16"/>
  <c r="B755" i="16"/>
  <c r="B756" i="16"/>
  <c r="B757" i="16"/>
  <c r="B758" i="16"/>
  <c r="B759" i="16"/>
  <c r="B760" i="16"/>
  <c r="B761" i="16"/>
  <c r="B762" i="16"/>
  <c r="B763" i="16"/>
  <c r="B764" i="16"/>
  <c r="B765" i="16"/>
  <c r="B766" i="16"/>
  <c r="B767" i="16"/>
  <c r="B768" i="16"/>
  <c r="B769" i="16"/>
  <c r="B770" i="16"/>
  <c r="B771" i="16"/>
  <c r="B772" i="16"/>
  <c r="B773" i="16"/>
  <c r="B774" i="16"/>
  <c r="B775" i="16"/>
  <c r="B776" i="16"/>
  <c r="B777" i="16"/>
  <c r="B778" i="16"/>
  <c r="B779" i="16"/>
  <c r="B780" i="16"/>
  <c r="B781" i="16"/>
  <c r="B782" i="16"/>
  <c r="B783" i="16"/>
  <c r="B784" i="16"/>
  <c r="B785" i="16"/>
  <c r="B786" i="16"/>
  <c r="B787" i="16"/>
  <c r="B788" i="16"/>
  <c r="B789" i="16"/>
  <c r="B790" i="16"/>
  <c r="B791" i="16"/>
  <c r="B792" i="16"/>
  <c r="B793" i="16"/>
  <c r="B794" i="16"/>
  <c r="B795" i="16"/>
  <c r="B796" i="16"/>
  <c r="B797" i="16"/>
  <c r="B798" i="16"/>
  <c r="B799" i="16"/>
  <c r="B800" i="16"/>
  <c r="B801" i="16"/>
  <c r="B802" i="16"/>
  <c r="B803" i="16"/>
  <c r="B804" i="16"/>
  <c r="B805" i="16"/>
  <c r="B806" i="16"/>
  <c r="B807" i="16"/>
  <c r="B808" i="16"/>
  <c r="B809" i="16"/>
  <c r="B810" i="16"/>
  <c r="B811" i="16"/>
  <c r="B812" i="16"/>
  <c r="B813" i="16"/>
  <c r="B814" i="16"/>
  <c r="B815" i="16"/>
  <c r="B816" i="16"/>
  <c r="B817" i="16"/>
  <c r="B818" i="16"/>
  <c r="B819" i="16"/>
  <c r="B820" i="16"/>
  <c r="B821" i="16"/>
  <c r="B822" i="16"/>
  <c r="B823" i="16"/>
  <c r="B824" i="16"/>
  <c r="B825" i="16"/>
  <c r="B826" i="16"/>
  <c r="B827" i="16"/>
  <c r="B828" i="16"/>
  <c r="B829" i="16"/>
  <c r="B830" i="16"/>
  <c r="B831" i="16"/>
  <c r="B832" i="16"/>
  <c r="B833" i="16"/>
  <c r="B834" i="16"/>
  <c r="B835" i="16"/>
  <c r="B836" i="16"/>
  <c r="B837" i="16"/>
  <c r="B838" i="16"/>
  <c r="B839" i="16"/>
  <c r="B840" i="16"/>
  <c r="B841" i="16"/>
  <c r="B842" i="16"/>
  <c r="B843" i="16"/>
  <c r="B844" i="16"/>
  <c r="B845" i="16"/>
  <c r="B846" i="16"/>
  <c r="B847" i="16"/>
  <c r="B848" i="16"/>
  <c r="B849" i="16"/>
  <c r="B850" i="16"/>
  <c r="B851" i="16"/>
  <c r="B852" i="16"/>
  <c r="B853" i="16"/>
  <c r="B854" i="16"/>
  <c r="B855" i="16"/>
  <c r="B856" i="16"/>
  <c r="B857" i="16"/>
  <c r="B858" i="16"/>
  <c r="B859" i="16"/>
  <c r="B860" i="16"/>
  <c r="B861" i="16"/>
  <c r="B862" i="16"/>
  <c r="B863" i="16"/>
  <c r="B864" i="16"/>
  <c r="B865" i="16"/>
  <c r="B866" i="16"/>
  <c r="B867" i="16"/>
  <c r="B868" i="16"/>
  <c r="B869" i="16"/>
  <c r="B870" i="16"/>
  <c r="B871" i="16"/>
  <c r="B872" i="16"/>
  <c r="B873" i="16"/>
  <c r="B874" i="16"/>
  <c r="B875" i="16"/>
  <c r="B876" i="16"/>
  <c r="B877" i="16"/>
  <c r="B878" i="16"/>
  <c r="B879" i="16"/>
  <c r="B880" i="16"/>
  <c r="B881" i="16"/>
  <c r="B882" i="16"/>
  <c r="B883" i="16"/>
  <c r="B884" i="16"/>
  <c r="B885" i="16"/>
  <c r="B886" i="16"/>
  <c r="B887" i="16"/>
  <c r="B888" i="16"/>
  <c r="B889" i="16"/>
  <c r="B890" i="16"/>
  <c r="B891" i="16"/>
  <c r="B892" i="16"/>
  <c r="B893" i="16"/>
  <c r="B894" i="16"/>
  <c r="B895" i="16"/>
  <c r="B896" i="16"/>
  <c r="B897" i="16"/>
  <c r="B898" i="16"/>
  <c r="B899" i="16"/>
  <c r="B900" i="16"/>
  <c r="B901" i="16"/>
  <c r="B902" i="16"/>
  <c r="B903" i="16"/>
  <c r="B904" i="16"/>
  <c r="B905" i="16"/>
  <c r="B906" i="16"/>
  <c r="B907" i="16"/>
  <c r="B908" i="16"/>
  <c r="B909" i="16"/>
  <c r="B910" i="16"/>
  <c r="B911" i="16"/>
  <c r="B912" i="16"/>
  <c r="B913" i="16"/>
  <c r="B914" i="16"/>
  <c r="B915" i="16"/>
  <c r="B916" i="16"/>
  <c r="B917" i="16"/>
  <c r="B918" i="16"/>
  <c r="B919" i="16"/>
  <c r="B920" i="16"/>
  <c r="B921" i="16"/>
  <c r="B922" i="16"/>
  <c r="B923" i="16"/>
  <c r="B924" i="16"/>
  <c r="B925" i="16"/>
  <c r="B926" i="16"/>
  <c r="B927" i="16"/>
  <c r="B928" i="16"/>
  <c r="B929" i="16"/>
  <c r="B930" i="16"/>
  <c r="B931" i="16"/>
  <c r="B932" i="16"/>
  <c r="B933" i="16"/>
  <c r="B934" i="16"/>
  <c r="B935" i="16"/>
  <c r="B936" i="16"/>
  <c r="B937" i="16"/>
  <c r="B938" i="16"/>
  <c r="B939" i="16"/>
  <c r="B940" i="16"/>
  <c r="B941" i="16"/>
  <c r="B942" i="16"/>
  <c r="B943" i="16"/>
  <c r="B944" i="16"/>
  <c r="B945" i="16"/>
  <c r="B946" i="16"/>
  <c r="B947" i="16"/>
  <c r="B948" i="16"/>
  <c r="B949" i="16"/>
  <c r="B950" i="16"/>
  <c r="B951" i="16"/>
  <c r="B952" i="16"/>
  <c r="B953" i="16"/>
  <c r="B954" i="16"/>
  <c r="B955" i="16"/>
  <c r="B956" i="16"/>
  <c r="B957" i="16"/>
  <c r="B958" i="16"/>
  <c r="B959" i="16"/>
  <c r="B960" i="16"/>
  <c r="B961" i="16"/>
  <c r="B962" i="16"/>
  <c r="B963" i="16"/>
  <c r="B964" i="16"/>
  <c r="B965" i="16"/>
  <c r="B966" i="16"/>
  <c r="B967" i="16"/>
  <c r="B968" i="16"/>
  <c r="B969" i="16"/>
  <c r="B970" i="16"/>
  <c r="B971" i="16"/>
  <c r="B972" i="16"/>
  <c r="B973" i="16"/>
  <c r="B974" i="16"/>
  <c r="B975" i="16"/>
  <c r="B976" i="16"/>
  <c r="B977" i="16"/>
  <c r="B978" i="16"/>
  <c r="B979" i="16"/>
  <c r="B980" i="16"/>
  <c r="B981" i="16"/>
  <c r="B982" i="16"/>
  <c r="B983" i="16"/>
  <c r="B984" i="16"/>
  <c r="B985" i="16"/>
  <c r="B986" i="16"/>
  <c r="B987" i="16"/>
  <c r="B988" i="16"/>
  <c r="B989" i="16"/>
  <c r="B990" i="16"/>
  <c r="B991" i="16"/>
  <c r="B992" i="16"/>
  <c r="B993" i="16"/>
  <c r="B994" i="16"/>
  <c r="B995" i="16"/>
  <c r="B996" i="16"/>
  <c r="B997" i="16"/>
  <c r="B998" i="16"/>
  <c r="B999" i="16"/>
  <c r="B1000" i="16"/>
  <c r="B1001" i="16"/>
  <c r="B1002" i="16"/>
  <c r="B1003" i="16"/>
  <c r="B1004" i="16"/>
  <c r="B1005" i="16"/>
  <c r="B1006" i="16"/>
  <c r="B1007" i="16"/>
  <c r="B1008" i="16"/>
  <c r="B1009" i="16"/>
  <c r="B1010" i="16"/>
  <c r="B1011" i="16"/>
  <c r="B1012" i="16"/>
  <c r="B1013" i="16"/>
  <c r="B1014" i="16"/>
  <c r="B1015" i="16"/>
  <c r="B1016" i="16"/>
  <c r="B1017" i="16"/>
  <c r="B1018" i="16"/>
  <c r="B1019" i="16"/>
  <c r="B1020" i="16"/>
  <c r="B1021" i="16"/>
  <c r="B1022" i="16"/>
  <c r="B1023" i="16"/>
  <c r="B1024" i="16"/>
  <c r="B1025" i="16"/>
  <c r="B1026" i="16"/>
  <c r="B1027" i="16"/>
  <c r="B1028" i="16"/>
  <c r="B1029" i="16"/>
  <c r="B1030" i="16"/>
  <c r="B1031" i="16"/>
  <c r="B1032" i="16"/>
  <c r="B1033" i="16"/>
  <c r="B1034" i="16"/>
  <c r="B1035" i="16"/>
  <c r="B1036" i="16"/>
  <c r="B1037" i="16"/>
  <c r="B1038" i="16"/>
  <c r="B1039" i="16"/>
  <c r="B1040" i="16"/>
  <c r="B1041" i="16"/>
  <c r="B1042" i="16"/>
  <c r="B1043" i="16"/>
  <c r="B1044" i="16"/>
  <c r="B1045" i="16"/>
  <c r="B1046" i="16"/>
  <c r="B1047" i="16"/>
  <c r="B1048" i="16"/>
  <c r="B1049" i="16"/>
  <c r="B1050" i="16"/>
  <c r="B1051" i="16"/>
  <c r="B1052" i="16"/>
  <c r="B1053" i="16"/>
  <c r="B1054" i="16"/>
  <c r="B1055" i="16"/>
  <c r="B1056" i="16"/>
  <c r="B1057" i="16"/>
  <c r="B1058" i="16"/>
  <c r="B1059" i="16"/>
  <c r="B1060" i="16"/>
  <c r="B1061" i="16"/>
  <c r="B1062" i="16"/>
  <c r="B1063" i="16"/>
  <c r="B1064" i="16"/>
  <c r="B1065" i="16"/>
  <c r="B1066" i="16"/>
  <c r="B1067" i="16"/>
  <c r="B1068" i="16"/>
  <c r="B1069" i="16"/>
  <c r="B1070" i="16"/>
  <c r="B1071" i="16"/>
  <c r="B1072" i="16"/>
  <c r="B1073" i="16"/>
  <c r="B1074" i="16"/>
  <c r="B1075" i="16"/>
  <c r="B1076" i="16"/>
  <c r="B1077" i="16"/>
  <c r="B1078" i="16"/>
  <c r="B1079" i="16"/>
  <c r="B1080" i="16"/>
  <c r="B1081" i="16"/>
  <c r="B1082" i="16"/>
  <c r="B1083" i="16"/>
  <c r="B1084" i="16"/>
  <c r="B1085" i="16"/>
  <c r="B1086" i="16"/>
  <c r="B1087" i="16"/>
  <c r="B1088" i="16"/>
  <c r="B1089" i="16"/>
  <c r="B1090" i="16"/>
  <c r="B1091" i="16"/>
  <c r="B1092" i="16"/>
  <c r="B1093" i="16"/>
  <c r="B1094" i="16"/>
  <c r="B1095" i="16"/>
  <c r="B1096" i="16"/>
  <c r="B1097" i="16"/>
  <c r="B1098" i="16"/>
  <c r="B1099" i="16"/>
  <c r="B1100" i="16"/>
  <c r="B1101" i="16"/>
  <c r="B1102" i="16"/>
  <c r="B1103" i="16"/>
  <c r="B1104" i="16"/>
  <c r="B1105" i="16"/>
  <c r="B1106" i="16"/>
  <c r="B1107" i="16"/>
  <c r="B1108" i="16"/>
  <c r="B1109" i="16"/>
  <c r="B1110" i="16"/>
  <c r="B1111" i="16"/>
  <c r="B1112" i="16"/>
  <c r="B1113" i="16"/>
  <c r="B1114" i="16"/>
  <c r="B1115" i="16"/>
  <c r="B1116" i="16"/>
  <c r="B1117" i="16"/>
  <c r="B1118" i="16"/>
  <c r="B1119" i="16"/>
  <c r="J16" i="16" l="1"/>
  <c r="A9" i="16" l="1"/>
  <c r="A10" i="16"/>
  <c r="L4" i="16"/>
  <c r="C69" i="16" l="1"/>
  <c r="A5" i="16" l="1"/>
  <c r="A6" i="16"/>
  <c r="A7" i="16"/>
  <c r="C8" i="16"/>
  <c r="A8" i="16"/>
  <c r="C11" i="16"/>
  <c r="A11" i="16"/>
  <c r="C12" i="16"/>
  <c r="A12" i="16"/>
  <c r="A13" i="16"/>
  <c r="C14" i="16"/>
  <c r="A14" i="16"/>
  <c r="C15" i="16"/>
  <c r="A15" i="16"/>
  <c r="C16" i="16"/>
  <c r="A16" i="16"/>
  <c r="C17" i="16"/>
  <c r="A17" i="16"/>
  <c r="C18" i="16"/>
  <c r="A18" i="16"/>
  <c r="C19" i="16"/>
  <c r="A19" i="16"/>
  <c r="C20" i="16"/>
  <c r="A20" i="16"/>
  <c r="C21" i="16"/>
  <c r="A21" i="16"/>
  <c r="C22" i="16"/>
  <c r="A22" i="16"/>
  <c r="C23" i="16"/>
  <c r="A23" i="16"/>
  <c r="C24" i="16"/>
  <c r="A24" i="16"/>
  <c r="C25" i="16"/>
  <c r="A25" i="16"/>
  <c r="C26" i="16"/>
  <c r="A26" i="16"/>
  <c r="C27" i="16"/>
  <c r="A27" i="16"/>
  <c r="C28" i="16"/>
  <c r="A28" i="16"/>
  <c r="C29" i="16"/>
  <c r="A29" i="16"/>
  <c r="C30" i="16"/>
  <c r="A30" i="16"/>
  <c r="C31" i="16"/>
  <c r="A31" i="16"/>
  <c r="C32" i="16"/>
  <c r="A32" i="16"/>
  <c r="C33" i="16"/>
  <c r="A33" i="16"/>
  <c r="C34" i="16"/>
  <c r="A34" i="16"/>
  <c r="C35" i="16"/>
  <c r="A35" i="16"/>
  <c r="C36" i="16"/>
  <c r="A36" i="16"/>
  <c r="C37" i="16"/>
  <c r="A37" i="16"/>
  <c r="C38" i="16"/>
  <c r="A38" i="16"/>
  <c r="C39" i="16"/>
  <c r="A39" i="16"/>
  <c r="C40" i="16"/>
  <c r="A40" i="16"/>
  <c r="C41" i="16"/>
  <c r="A41" i="16"/>
  <c r="C42" i="16"/>
  <c r="A42" i="16"/>
  <c r="C43" i="16"/>
  <c r="A43" i="16"/>
  <c r="C44" i="16"/>
  <c r="A44" i="16"/>
  <c r="C45" i="16"/>
  <c r="A45" i="16"/>
  <c r="C46" i="16"/>
  <c r="A46" i="16"/>
  <c r="C47" i="16"/>
  <c r="A47" i="16"/>
  <c r="C48" i="16"/>
  <c r="A48" i="16"/>
  <c r="C49" i="16"/>
  <c r="A49" i="16"/>
  <c r="C50" i="16"/>
  <c r="A50" i="16"/>
  <c r="C51" i="16"/>
  <c r="A51" i="16"/>
  <c r="C52" i="16"/>
  <c r="A52" i="16"/>
  <c r="C53" i="16"/>
  <c r="A53" i="16"/>
  <c r="C54" i="16"/>
  <c r="A54" i="16"/>
  <c r="C55" i="16"/>
  <c r="A55" i="16"/>
  <c r="C56" i="16"/>
  <c r="A56" i="16"/>
  <c r="C57" i="16"/>
  <c r="A57" i="16"/>
  <c r="C58" i="16"/>
  <c r="A58" i="16"/>
  <c r="C59" i="16"/>
  <c r="A59" i="16"/>
  <c r="C60" i="16"/>
  <c r="A60" i="16"/>
  <c r="C61" i="16"/>
  <c r="A61" i="16"/>
  <c r="C62" i="16"/>
  <c r="A62" i="16"/>
  <c r="C63" i="16"/>
  <c r="A63" i="16"/>
  <c r="C64" i="16"/>
  <c r="A64" i="16"/>
  <c r="C65" i="16"/>
  <c r="A65" i="16"/>
  <c r="C66" i="16"/>
  <c r="A66" i="16"/>
  <c r="C67" i="16"/>
  <c r="A67" i="16"/>
  <c r="C68" i="16"/>
  <c r="A68" i="16"/>
  <c r="A69" i="16"/>
  <c r="C70" i="16"/>
  <c r="A70" i="16"/>
  <c r="C71" i="16"/>
  <c r="A71" i="16"/>
  <c r="C72" i="16"/>
  <c r="A72" i="16"/>
  <c r="C73" i="16"/>
  <c r="A73" i="16"/>
  <c r="C74" i="16"/>
  <c r="A74" i="16"/>
  <c r="C75" i="16"/>
  <c r="A75" i="16"/>
  <c r="A76" i="16"/>
  <c r="C77" i="16"/>
  <c r="A77" i="16"/>
  <c r="C78" i="16"/>
  <c r="A78" i="16"/>
  <c r="C79" i="16"/>
  <c r="A79" i="16"/>
  <c r="C80" i="16"/>
  <c r="A80" i="16"/>
  <c r="C81" i="16"/>
  <c r="A81" i="16"/>
  <c r="C82" i="16"/>
  <c r="A82" i="16"/>
  <c r="C83" i="16"/>
  <c r="A83" i="16"/>
  <c r="C84" i="16"/>
  <c r="A84" i="16"/>
  <c r="C85" i="16"/>
  <c r="A85" i="16"/>
  <c r="C86" i="16"/>
  <c r="A86" i="16"/>
  <c r="C87" i="16"/>
  <c r="A87" i="16"/>
  <c r="C88" i="16"/>
  <c r="A88" i="16"/>
  <c r="C89" i="16"/>
  <c r="A89" i="16"/>
  <c r="C90" i="16"/>
  <c r="A90" i="16"/>
  <c r="C91" i="16"/>
  <c r="A91" i="16"/>
  <c r="C92" i="16"/>
  <c r="A92" i="16"/>
  <c r="C93" i="16"/>
  <c r="A93" i="16"/>
  <c r="C94" i="16"/>
  <c r="A94" i="16"/>
  <c r="C95" i="16"/>
  <c r="A95" i="16"/>
  <c r="C96" i="16"/>
  <c r="A96" i="16"/>
  <c r="C97" i="16"/>
  <c r="A97" i="16"/>
  <c r="C98" i="16"/>
  <c r="A98" i="16"/>
  <c r="C99" i="16"/>
  <c r="A99" i="16"/>
  <c r="C100" i="16"/>
  <c r="A100" i="16"/>
  <c r="C101" i="16"/>
  <c r="A101" i="16"/>
  <c r="C102" i="16"/>
  <c r="A102" i="16"/>
  <c r="C103" i="16"/>
  <c r="A103" i="16"/>
  <c r="C104" i="16"/>
  <c r="A104" i="16"/>
  <c r="C105" i="16"/>
  <c r="A105" i="16"/>
  <c r="C106" i="16"/>
  <c r="A106" i="16"/>
  <c r="C107" i="16"/>
  <c r="A107" i="16"/>
  <c r="C108" i="16"/>
  <c r="A108" i="16"/>
  <c r="C109" i="16"/>
  <c r="A109" i="16"/>
  <c r="C110" i="16"/>
  <c r="A110" i="16"/>
  <c r="C111" i="16"/>
  <c r="A111" i="16"/>
  <c r="C112" i="16"/>
  <c r="A112" i="16"/>
  <c r="C113" i="16"/>
  <c r="A113" i="16"/>
  <c r="C114" i="16"/>
  <c r="A114" i="16"/>
  <c r="C115" i="16"/>
  <c r="A115" i="16"/>
  <c r="C116" i="16"/>
  <c r="A116" i="16"/>
  <c r="C117" i="16"/>
  <c r="A117" i="16"/>
  <c r="C118" i="16"/>
  <c r="A118" i="16"/>
  <c r="C119" i="16"/>
  <c r="A119" i="16"/>
  <c r="C120" i="16"/>
  <c r="A120" i="16"/>
  <c r="C121" i="16"/>
  <c r="A121" i="16"/>
  <c r="C122" i="16"/>
  <c r="A122" i="16"/>
  <c r="C123" i="16"/>
  <c r="A123" i="16"/>
  <c r="C124" i="16"/>
  <c r="A124" i="16"/>
  <c r="C125" i="16"/>
  <c r="A125" i="16"/>
  <c r="C126" i="16"/>
  <c r="A126" i="16"/>
  <c r="C127" i="16"/>
  <c r="A127" i="16"/>
  <c r="C128" i="16"/>
  <c r="A128" i="16"/>
  <c r="C129" i="16"/>
  <c r="A129" i="16"/>
  <c r="C130" i="16"/>
  <c r="A130" i="16"/>
  <c r="C131" i="16"/>
  <c r="A131" i="16"/>
  <c r="C132" i="16"/>
  <c r="A132" i="16"/>
  <c r="C133" i="16"/>
  <c r="A133" i="16"/>
  <c r="C134" i="16"/>
  <c r="A134" i="16"/>
  <c r="C135" i="16"/>
  <c r="A135" i="16"/>
  <c r="C136" i="16"/>
  <c r="A136" i="16"/>
  <c r="C137" i="16"/>
  <c r="A137" i="16"/>
  <c r="C138" i="16"/>
  <c r="A138" i="16"/>
  <c r="C139" i="16"/>
  <c r="A139" i="16"/>
  <c r="C140" i="16"/>
  <c r="A140" i="16"/>
  <c r="C141" i="16"/>
  <c r="A141" i="16"/>
  <c r="C142" i="16"/>
  <c r="A142" i="16"/>
  <c r="C143" i="16"/>
  <c r="A143" i="16"/>
  <c r="C144" i="16"/>
  <c r="A144" i="16"/>
  <c r="C145" i="16"/>
  <c r="A145" i="16"/>
  <c r="C146" i="16"/>
  <c r="A146" i="16"/>
  <c r="C147" i="16"/>
  <c r="A147" i="16"/>
  <c r="C148" i="16"/>
  <c r="A148" i="16"/>
  <c r="C149" i="16"/>
  <c r="A149" i="16"/>
  <c r="C150" i="16"/>
  <c r="A150" i="16"/>
  <c r="C151" i="16"/>
  <c r="A151" i="16"/>
  <c r="C152" i="16"/>
  <c r="A152" i="16"/>
  <c r="C153" i="16"/>
  <c r="A153" i="16"/>
  <c r="C154" i="16"/>
  <c r="A154" i="16"/>
  <c r="C155" i="16"/>
  <c r="A155" i="16"/>
  <c r="C156" i="16"/>
  <c r="A156" i="16"/>
  <c r="C157" i="16"/>
  <c r="A157" i="16"/>
  <c r="C158" i="16"/>
  <c r="A158" i="16"/>
  <c r="C159" i="16"/>
  <c r="A159" i="16"/>
  <c r="C160" i="16"/>
  <c r="A160" i="16"/>
  <c r="C161" i="16"/>
  <c r="A161" i="16"/>
  <c r="C162" i="16"/>
  <c r="A162" i="16"/>
  <c r="C163" i="16"/>
  <c r="A163" i="16"/>
  <c r="C164" i="16"/>
  <c r="A164" i="16"/>
  <c r="C165" i="16"/>
  <c r="A165" i="16"/>
  <c r="C166" i="16"/>
  <c r="A166" i="16"/>
  <c r="C167" i="16"/>
  <c r="A167" i="16"/>
  <c r="C168" i="16"/>
  <c r="A168" i="16"/>
  <c r="C169" i="16"/>
  <c r="A169" i="16"/>
  <c r="C170" i="16"/>
  <c r="A170" i="16"/>
  <c r="C171" i="16"/>
  <c r="A171" i="16"/>
  <c r="C172" i="16"/>
  <c r="A172" i="16"/>
  <c r="C173" i="16"/>
  <c r="A173" i="16"/>
  <c r="C174" i="16"/>
  <c r="A174" i="16"/>
  <c r="C175" i="16"/>
  <c r="A175" i="16"/>
  <c r="C176" i="16"/>
  <c r="A176" i="16"/>
  <c r="C177" i="16"/>
  <c r="A177" i="16"/>
  <c r="C178" i="16"/>
  <c r="A178" i="16"/>
  <c r="C179" i="16"/>
  <c r="A179" i="16"/>
  <c r="C180" i="16"/>
  <c r="A180" i="16"/>
  <c r="C181" i="16"/>
  <c r="A181" i="16"/>
  <c r="C182" i="16"/>
  <c r="A182" i="16"/>
  <c r="C183" i="16"/>
  <c r="A183" i="16"/>
  <c r="C184" i="16"/>
  <c r="A184" i="16"/>
  <c r="C8" i="15" l="1"/>
  <c r="E1081" i="2"/>
  <c r="D253" i="7"/>
  <c r="H4" i="16"/>
  <c r="H5" i="16"/>
  <c r="H6" i="16"/>
  <c r="H7" i="16"/>
  <c r="H8" i="16"/>
  <c r="H9" i="16"/>
  <c r="H10" i="16"/>
  <c r="H11" i="16"/>
  <c r="H12" i="16"/>
  <c r="H13" i="16"/>
  <c r="H14" i="16"/>
  <c r="H15" i="16"/>
  <c r="H16" i="16"/>
  <c r="H17" i="16"/>
  <c r="H18" i="16"/>
  <c r="H19" i="16"/>
  <c r="H20" i="16"/>
  <c r="H21" i="16"/>
  <c r="H22" i="16"/>
  <c r="H23" i="16"/>
  <c r="H24" i="16"/>
  <c r="H25" i="16"/>
  <c r="H26" i="16"/>
  <c r="H27" i="16"/>
  <c r="H28" i="16"/>
  <c r="H29" i="16"/>
  <c r="H30" i="16"/>
  <c r="H31" i="16"/>
  <c r="H32" i="16"/>
  <c r="H33" i="16"/>
  <c r="H34" i="16"/>
  <c r="H35" i="16"/>
  <c r="H36" i="16"/>
  <c r="H37" i="16"/>
  <c r="H38" i="16"/>
  <c r="H39" i="16"/>
  <c r="H40" i="16"/>
  <c r="H41" i="16"/>
  <c r="H42" i="16"/>
  <c r="H43" i="16"/>
  <c r="H44" i="16"/>
  <c r="H45" i="16"/>
  <c r="H46" i="16"/>
  <c r="H47" i="16"/>
  <c r="H48" i="16"/>
  <c r="H49" i="16"/>
  <c r="H50" i="16"/>
  <c r="H51" i="16"/>
  <c r="H52" i="16"/>
  <c r="H53" i="16"/>
  <c r="H54" i="16"/>
  <c r="H55" i="16"/>
  <c r="H56" i="16"/>
  <c r="H57" i="16"/>
  <c r="H58" i="16"/>
  <c r="H59" i="16"/>
  <c r="H60" i="16"/>
  <c r="H61" i="16"/>
  <c r="H62" i="16"/>
  <c r="H63" i="16"/>
  <c r="H64" i="16"/>
  <c r="H65" i="16"/>
  <c r="H66" i="16"/>
  <c r="H67" i="16"/>
  <c r="H68" i="16"/>
  <c r="H69" i="16"/>
  <c r="H70" i="16"/>
  <c r="H71" i="16"/>
  <c r="H72" i="16"/>
  <c r="H73" i="16"/>
  <c r="H74" i="16"/>
  <c r="H75" i="16"/>
  <c r="H76" i="16"/>
  <c r="H77" i="16"/>
  <c r="H78" i="16"/>
  <c r="H79" i="16"/>
  <c r="H80" i="16"/>
  <c r="H81" i="16"/>
  <c r="H82" i="16"/>
  <c r="H83" i="16"/>
  <c r="H84" i="16"/>
  <c r="H85" i="16"/>
  <c r="H86" i="16"/>
  <c r="H87" i="16"/>
  <c r="H88" i="16"/>
  <c r="H89" i="16"/>
  <c r="H90" i="16"/>
  <c r="H91" i="16"/>
  <c r="H92" i="16"/>
  <c r="H93" i="16"/>
  <c r="H94" i="16"/>
  <c r="H95" i="16"/>
  <c r="H96" i="16"/>
  <c r="H97" i="16"/>
  <c r="H98" i="16"/>
  <c r="H99" i="16"/>
  <c r="H100" i="16"/>
  <c r="H101" i="16"/>
  <c r="H102" i="16"/>
  <c r="H103" i="16"/>
  <c r="H104" i="16"/>
  <c r="H105" i="16"/>
  <c r="H106" i="16"/>
  <c r="H107" i="16"/>
  <c r="H108" i="16"/>
  <c r="H109" i="16"/>
  <c r="H110" i="16"/>
  <c r="H111" i="16"/>
  <c r="H112" i="16"/>
  <c r="H113" i="16"/>
  <c r="H114" i="16"/>
  <c r="H115" i="16"/>
  <c r="H116" i="16"/>
  <c r="H117" i="16"/>
  <c r="H118" i="16"/>
  <c r="H119" i="16"/>
  <c r="H120" i="16"/>
  <c r="H121" i="16"/>
  <c r="H122" i="16"/>
  <c r="H123" i="16"/>
  <c r="H124" i="16"/>
  <c r="H125" i="16"/>
  <c r="H126" i="16"/>
  <c r="H127" i="16"/>
  <c r="H128" i="16"/>
  <c r="H129" i="16"/>
  <c r="H130" i="16"/>
  <c r="H131" i="16"/>
  <c r="H132" i="16"/>
  <c r="H133" i="16"/>
  <c r="H134" i="16"/>
  <c r="H135" i="16"/>
  <c r="H136" i="16"/>
  <c r="H137" i="16"/>
  <c r="H138" i="16"/>
  <c r="H139" i="16"/>
  <c r="H140" i="16"/>
  <c r="H141" i="16"/>
  <c r="H142" i="16"/>
  <c r="H143" i="16"/>
  <c r="H144" i="16"/>
  <c r="H145" i="16"/>
  <c r="H146" i="16"/>
  <c r="H147" i="16"/>
  <c r="H148" i="16"/>
  <c r="H149" i="16"/>
  <c r="H150" i="16"/>
  <c r="H151" i="16"/>
  <c r="H152" i="16"/>
  <c r="H153" i="16"/>
  <c r="H154" i="16"/>
  <c r="H155" i="16"/>
  <c r="H156" i="16"/>
  <c r="H157" i="16"/>
  <c r="H158" i="16"/>
  <c r="H159" i="16"/>
  <c r="H160" i="16"/>
  <c r="H161" i="16"/>
  <c r="H162" i="16"/>
  <c r="H163" i="16"/>
  <c r="H164" i="16"/>
  <c r="H165" i="16"/>
  <c r="H166" i="16"/>
  <c r="H167" i="16"/>
  <c r="H168" i="16"/>
  <c r="H169" i="16"/>
  <c r="H170" i="16"/>
  <c r="H171" i="16"/>
  <c r="H172" i="16"/>
  <c r="H173" i="16"/>
  <c r="H174" i="16"/>
  <c r="H175" i="16"/>
  <c r="H176" i="16"/>
  <c r="H177" i="16"/>
  <c r="H178" i="16"/>
  <c r="H179" i="16"/>
  <c r="H180" i="16"/>
  <c r="H181" i="16"/>
  <c r="H182" i="16"/>
  <c r="H183" i="16"/>
  <c r="H184" i="16"/>
  <c r="H185" i="16"/>
  <c r="H186" i="16"/>
  <c r="H187" i="16"/>
  <c r="H188" i="16"/>
  <c r="H189" i="16"/>
  <c r="H190" i="16"/>
  <c r="H191" i="16"/>
  <c r="H192" i="16"/>
  <c r="H193" i="16"/>
  <c r="H194" i="16"/>
  <c r="H195" i="16"/>
  <c r="H196" i="16"/>
  <c r="H197" i="16"/>
  <c r="H198" i="16"/>
  <c r="H199" i="16"/>
  <c r="H200" i="16"/>
  <c r="H201" i="16"/>
  <c r="H202" i="16"/>
  <c r="H203" i="16"/>
  <c r="H204" i="16"/>
  <c r="H205" i="16"/>
  <c r="H206" i="16"/>
  <c r="H207" i="16"/>
  <c r="H208" i="16"/>
  <c r="H209" i="16"/>
  <c r="H210" i="16"/>
  <c r="H211" i="16"/>
  <c r="H212" i="16"/>
  <c r="H213" i="16"/>
  <c r="H214" i="16"/>
  <c r="H215" i="16"/>
  <c r="H216" i="16"/>
  <c r="H217" i="16"/>
  <c r="H218" i="16"/>
  <c r="H219" i="16"/>
  <c r="H220" i="16"/>
  <c r="H221" i="16"/>
  <c r="H222" i="16"/>
  <c r="H223" i="16"/>
  <c r="H224" i="16"/>
  <c r="H225" i="16"/>
  <c r="H226" i="16"/>
  <c r="H227" i="16"/>
  <c r="H228" i="16"/>
  <c r="H229" i="16"/>
  <c r="H230" i="16"/>
  <c r="H231" i="16"/>
  <c r="H232" i="16"/>
  <c r="H233" i="16"/>
  <c r="H234" i="16"/>
  <c r="H235" i="16"/>
  <c r="H236" i="16"/>
  <c r="H237" i="16"/>
  <c r="H238" i="16"/>
  <c r="H239" i="16"/>
  <c r="H240" i="16"/>
  <c r="H241" i="16"/>
  <c r="H242" i="16"/>
  <c r="H243" i="16"/>
  <c r="H244" i="16"/>
  <c r="H245" i="16"/>
  <c r="H246" i="16"/>
  <c r="H247" i="16"/>
  <c r="H248" i="16"/>
  <c r="H249" i="16"/>
  <c r="H250" i="16"/>
  <c r="H251" i="16"/>
  <c r="H252" i="16"/>
  <c r="H253" i="16"/>
  <c r="H254" i="16"/>
  <c r="H255" i="16"/>
  <c r="H256" i="16"/>
  <c r="H257" i="16"/>
  <c r="H258" i="16"/>
  <c r="H259" i="16"/>
  <c r="H260" i="16"/>
  <c r="H261" i="16"/>
  <c r="H262" i="16"/>
  <c r="H263" i="16"/>
  <c r="H264" i="16"/>
  <c r="H265" i="16"/>
  <c r="H266" i="16"/>
  <c r="H267" i="16"/>
  <c r="H268" i="16"/>
  <c r="H269" i="16"/>
  <c r="H270" i="16"/>
  <c r="H271" i="16"/>
  <c r="H272" i="16"/>
  <c r="H273" i="16"/>
  <c r="H274" i="16"/>
  <c r="H275" i="16"/>
  <c r="H276" i="16"/>
  <c r="H277" i="16"/>
  <c r="H278" i="16"/>
  <c r="H279" i="16"/>
  <c r="H280" i="16"/>
  <c r="H281" i="16"/>
  <c r="H282" i="16"/>
  <c r="H283" i="16"/>
  <c r="H284" i="16"/>
  <c r="H285" i="16"/>
  <c r="H286" i="16"/>
  <c r="H287" i="16"/>
  <c r="H288" i="16"/>
  <c r="H289" i="16"/>
  <c r="H290" i="16"/>
  <c r="H291" i="16"/>
  <c r="H292" i="16"/>
  <c r="H293" i="16"/>
  <c r="H294" i="16"/>
  <c r="H295" i="16"/>
  <c r="H296" i="16"/>
  <c r="H297" i="16"/>
  <c r="H298" i="16"/>
  <c r="H299" i="16"/>
  <c r="H300" i="16"/>
  <c r="H301" i="16"/>
  <c r="H302" i="16"/>
  <c r="H303" i="16"/>
  <c r="H304" i="16"/>
  <c r="H305" i="16"/>
  <c r="H306" i="16"/>
  <c r="H307" i="16"/>
  <c r="H308" i="16"/>
  <c r="H309" i="16"/>
  <c r="H310" i="16"/>
  <c r="H311" i="16"/>
  <c r="H312" i="16"/>
  <c r="H313" i="16"/>
  <c r="H314" i="16"/>
  <c r="H315" i="16"/>
  <c r="H316" i="16"/>
  <c r="H317" i="16"/>
  <c r="H318" i="16"/>
  <c r="H319" i="16"/>
  <c r="H320" i="16"/>
  <c r="H321" i="16"/>
  <c r="H322" i="16"/>
  <c r="H323" i="16"/>
  <c r="H324" i="16"/>
  <c r="H325" i="16"/>
  <c r="H326" i="16"/>
  <c r="H327" i="16"/>
  <c r="H328" i="16"/>
  <c r="H329" i="16"/>
  <c r="H330" i="16"/>
  <c r="H331" i="16"/>
  <c r="H332" i="16"/>
  <c r="H333" i="16"/>
  <c r="H334" i="16"/>
  <c r="H335" i="16"/>
  <c r="H336" i="16"/>
  <c r="H337" i="16"/>
  <c r="H338" i="16"/>
  <c r="H339" i="16"/>
  <c r="H340" i="16"/>
  <c r="H341" i="16"/>
  <c r="H342" i="16"/>
  <c r="H343" i="16"/>
  <c r="H344" i="16"/>
  <c r="H345" i="16"/>
  <c r="H346" i="16"/>
  <c r="H347" i="16"/>
  <c r="H348" i="16"/>
  <c r="H349" i="16"/>
  <c r="H350" i="16"/>
  <c r="H351" i="16"/>
  <c r="H352" i="16"/>
  <c r="H353" i="16"/>
  <c r="H354" i="16"/>
  <c r="H355" i="16"/>
  <c r="H356" i="16"/>
  <c r="H357" i="16"/>
  <c r="H358" i="16"/>
  <c r="H359" i="16"/>
  <c r="H360" i="16"/>
  <c r="H361" i="16"/>
  <c r="H362" i="16"/>
  <c r="H363" i="16"/>
  <c r="H364" i="16"/>
  <c r="H365" i="16"/>
  <c r="H366" i="16"/>
  <c r="H367" i="16"/>
  <c r="H368" i="16"/>
  <c r="H369" i="16"/>
  <c r="H370" i="16"/>
  <c r="H371" i="16"/>
  <c r="H372" i="16"/>
  <c r="H373" i="16"/>
  <c r="H374" i="16"/>
  <c r="H375" i="16"/>
  <c r="H376" i="16"/>
  <c r="H377" i="16"/>
  <c r="H378" i="16"/>
  <c r="H379" i="16"/>
  <c r="H380" i="16"/>
  <c r="H381" i="16"/>
  <c r="H382" i="16"/>
  <c r="H383" i="16"/>
  <c r="H384" i="16"/>
  <c r="H385" i="16"/>
  <c r="H386" i="16"/>
  <c r="H387" i="16"/>
  <c r="H388" i="16"/>
  <c r="H389" i="16"/>
  <c r="H390" i="16"/>
  <c r="H391" i="16"/>
  <c r="H392" i="16"/>
  <c r="H393" i="16"/>
  <c r="H394" i="16"/>
  <c r="H395" i="16"/>
  <c r="H396" i="16"/>
  <c r="H397" i="16"/>
  <c r="H398" i="16"/>
  <c r="H399" i="16"/>
  <c r="H400" i="16"/>
  <c r="H401" i="16"/>
  <c r="H402" i="16"/>
  <c r="H403" i="16"/>
  <c r="H404" i="16"/>
  <c r="H405" i="16"/>
  <c r="H406" i="16"/>
  <c r="H407" i="16"/>
  <c r="H408" i="16"/>
  <c r="H409" i="16"/>
  <c r="H410" i="16"/>
  <c r="H411" i="16"/>
  <c r="H412" i="16"/>
  <c r="H413" i="16"/>
  <c r="H414" i="16"/>
  <c r="H415" i="16"/>
  <c r="H416" i="16"/>
  <c r="H417" i="16"/>
  <c r="H418" i="16"/>
  <c r="H419" i="16"/>
  <c r="H420" i="16"/>
  <c r="H421" i="16"/>
  <c r="H422" i="16"/>
  <c r="H423" i="16"/>
  <c r="H424" i="16"/>
  <c r="H425" i="16"/>
  <c r="H426" i="16"/>
  <c r="H427" i="16"/>
  <c r="H428" i="16"/>
  <c r="H429" i="16"/>
  <c r="H430" i="16"/>
  <c r="H431" i="16"/>
  <c r="H432" i="16"/>
  <c r="H433" i="16"/>
  <c r="H434" i="16"/>
  <c r="H435" i="16"/>
  <c r="H436" i="16"/>
  <c r="H437" i="16"/>
  <c r="H438" i="16"/>
  <c r="H439" i="16"/>
  <c r="H440" i="16"/>
  <c r="H441" i="16"/>
  <c r="H442" i="16"/>
  <c r="H443" i="16"/>
  <c r="H444" i="16"/>
  <c r="H445" i="16"/>
  <c r="H446" i="16"/>
  <c r="H447" i="16"/>
  <c r="H448" i="16"/>
  <c r="H449" i="16"/>
  <c r="H450" i="16"/>
  <c r="H451" i="16"/>
  <c r="H452" i="16"/>
  <c r="H453" i="16"/>
  <c r="H454" i="16"/>
  <c r="H455" i="16"/>
  <c r="H456" i="16"/>
  <c r="H457" i="16"/>
  <c r="H458" i="16"/>
  <c r="H459" i="16"/>
  <c r="H460" i="16"/>
  <c r="H461" i="16"/>
  <c r="H462" i="16"/>
  <c r="H463" i="16"/>
  <c r="H464" i="16"/>
  <c r="H465" i="16"/>
  <c r="H466" i="16"/>
  <c r="H467" i="16"/>
  <c r="H468" i="16"/>
  <c r="H469" i="16"/>
  <c r="H470" i="16"/>
  <c r="H471" i="16"/>
  <c r="H472" i="16"/>
  <c r="H473" i="16"/>
  <c r="H474" i="16"/>
  <c r="H475" i="16"/>
  <c r="H476" i="16"/>
  <c r="H477" i="16"/>
  <c r="H478" i="16"/>
  <c r="H479" i="16"/>
  <c r="H480" i="16"/>
  <c r="H481" i="16"/>
  <c r="H482" i="16"/>
  <c r="H483" i="16"/>
  <c r="H484" i="16"/>
  <c r="H485" i="16"/>
  <c r="H486" i="16"/>
  <c r="H487" i="16"/>
  <c r="H488" i="16"/>
  <c r="H489" i="16"/>
  <c r="H490" i="16"/>
  <c r="H491" i="16"/>
  <c r="H492" i="16"/>
  <c r="H493" i="16"/>
  <c r="H494" i="16"/>
  <c r="H495" i="16"/>
  <c r="H496" i="16"/>
  <c r="H497" i="16"/>
  <c r="H498" i="16"/>
  <c r="H499" i="16"/>
  <c r="H500" i="16"/>
  <c r="H501" i="16"/>
  <c r="H502" i="16"/>
  <c r="H503" i="16"/>
  <c r="H504" i="16"/>
  <c r="H505" i="16"/>
  <c r="H506" i="16"/>
  <c r="H507" i="16"/>
  <c r="H508" i="16"/>
  <c r="H509" i="16"/>
  <c r="H510" i="16"/>
  <c r="H511" i="16"/>
  <c r="H512" i="16"/>
  <c r="H513" i="16"/>
  <c r="H514" i="16"/>
  <c r="H515" i="16"/>
  <c r="H516" i="16"/>
  <c r="H517" i="16"/>
  <c r="H518" i="16"/>
  <c r="H519" i="16"/>
  <c r="H520" i="16"/>
  <c r="H521" i="16"/>
  <c r="H522" i="16"/>
  <c r="H523" i="16"/>
  <c r="H524" i="16"/>
  <c r="H525" i="16"/>
  <c r="H526" i="16"/>
  <c r="H527" i="16"/>
  <c r="H528" i="16"/>
  <c r="H529" i="16"/>
  <c r="H530" i="16"/>
  <c r="H531" i="16"/>
  <c r="H532" i="16"/>
  <c r="H533" i="16"/>
  <c r="H534" i="16"/>
  <c r="H535" i="16"/>
  <c r="H536" i="16"/>
  <c r="H537" i="16"/>
  <c r="H538" i="16"/>
  <c r="H539" i="16"/>
  <c r="H540" i="16"/>
  <c r="H541" i="16"/>
  <c r="H542" i="16"/>
  <c r="H543" i="16"/>
  <c r="H544" i="16"/>
  <c r="H545" i="16"/>
  <c r="H546" i="16"/>
  <c r="H547" i="16"/>
  <c r="H548" i="16"/>
  <c r="H549" i="16"/>
  <c r="H550" i="16"/>
  <c r="H551" i="16"/>
  <c r="H552" i="16"/>
  <c r="H553" i="16"/>
  <c r="H554" i="16"/>
  <c r="H555" i="16"/>
  <c r="H556" i="16"/>
  <c r="H557" i="16"/>
  <c r="H558" i="16"/>
  <c r="H559" i="16"/>
  <c r="H560" i="16"/>
  <c r="H561" i="16"/>
  <c r="H562" i="16"/>
  <c r="H563" i="16"/>
  <c r="H564" i="16"/>
  <c r="H565" i="16"/>
  <c r="H566" i="16"/>
  <c r="H567" i="16"/>
  <c r="H568" i="16"/>
  <c r="H569" i="16"/>
  <c r="H570" i="16"/>
  <c r="H571" i="16"/>
  <c r="H572" i="16"/>
  <c r="H573" i="16"/>
  <c r="H574" i="16"/>
  <c r="H575" i="16"/>
  <c r="H576" i="16"/>
  <c r="H577" i="16"/>
  <c r="H578" i="16"/>
  <c r="H579" i="16"/>
  <c r="H580" i="16"/>
  <c r="H581" i="16"/>
  <c r="H582" i="16"/>
  <c r="H583" i="16"/>
  <c r="H584" i="16"/>
  <c r="H585" i="16"/>
  <c r="H586" i="16"/>
  <c r="H587" i="16"/>
  <c r="H588" i="16"/>
  <c r="H589" i="16"/>
  <c r="H590" i="16"/>
  <c r="H591" i="16"/>
  <c r="H592" i="16"/>
  <c r="H593" i="16"/>
  <c r="H594" i="16"/>
  <c r="H595" i="16"/>
  <c r="H596" i="16"/>
  <c r="H597" i="16"/>
  <c r="H598" i="16"/>
  <c r="H599" i="16"/>
  <c r="H600" i="16"/>
  <c r="H601" i="16"/>
  <c r="H602" i="16"/>
  <c r="H603" i="16"/>
  <c r="H604" i="16"/>
  <c r="H605" i="16"/>
  <c r="H606" i="16"/>
  <c r="H607" i="16"/>
  <c r="H608" i="16"/>
  <c r="H609" i="16"/>
  <c r="H610" i="16"/>
  <c r="H611" i="16"/>
  <c r="H612" i="16"/>
  <c r="H613" i="16"/>
  <c r="H614" i="16"/>
  <c r="H615" i="16"/>
  <c r="H616" i="16"/>
  <c r="H617" i="16"/>
  <c r="H618" i="16"/>
  <c r="H619" i="16"/>
  <c r="H620" i="16"/>
  <c r="H621" i="16"/>
  <c r="H622" i="16"/>
  <c r="H623" i="16"/>
  <c r="H624" i="16"/>
  <c r="H625" i="16"/>
  <c r="H626" i="16"/>
  <c r="H627" i="16"/>
  <c r="H628" i="16"/>
  <c r="H629" i="16"/>
  <c r="H630" i="16"/>
  <c r="H631" i="16"/>
  <c r="H632" i="16"/>
  <c r="H633" i="16"/>
  <c r="H634" i="16"/>
  <c r="H635" i="16"/>
  <c r="H636" i="16"/>
  <c r="H637" i="16"/>
  <c r="H638" i="16"/>
  <c r="H639" i="16"/>
  <c r="H640" i="16"/>
  <c r="H641" i="16"/>
  <c r="H642" i="16"/>
  <c r="H643" i="16"/>
  <c r="H644" i="16"/>
  <c r="H645" i="16"/>
  <c r="H646" i="16"/>
  <c r="H647" i="16"/>
  <c r="H648" i="16"/>
  <c r="H649" i="16"/>
  <c r="H650" i="16"/>
  <c r="H651" i="16"/>
  <c r="H652" i="16"/>
  <c r="H653" i="16"/>
  <c r="H654" i="16"/>
  <c r="H655" i="16"/>
  <c r="H656" i="16"/>
  <c r="H657" i="16"/>
  <c r="H658" i="16"/>
  <c r="H659" i="16"/>
  <c r="H660" i="16"/>
  <c r="H661" i="16"/>
  <c r="H662" i="16"/>
  <c r="H663" i="16"/>
  <c r="H664" i="16"/>
  <c r="H665" i="16"/>
  <c r="H666" i="16"/>
  <c r="H667" i="16"/>
  <c r="H668" i="16"/>
  <c r="H669" i="16"/>
  <c r="H670" i="16"/>
  <c r="H671" i="16"/>
  <c r="H672" i="16"/>
  <c r="H673" i="16"/>
  <c r="H674" i="16"/>
  <c r="H675" i="16"/>
  <c r="H676" i="16"/>
  <c r="H677" i="16"/>
  <c r="H678" i="16"/>
  <c r="H679" i="16"/>
  <c r="H680" i="16"/>
  <c r="H681" i="16"/>
  <c r="H682" i="16"/>
  <c r="H683" i="16"/>
  <c r="H684" i="16"/>
  <c r="H685" i="16"/>
  <c r="H686" i="16"/>
  <c r="H687" i="16"/>
  <c r="H688" i="16"/>
  <c r="H689" i="16"/>
  <c r="H690" i="16"/>
  <c r="H691" i="16"/>
  <c r="H692" i="16"/>
  <c r="H693" i="16"/>
  <c r="H694" i="16"/>
  <c r="H695" i="16"/>
  <c r="H696" i="16"/>
  <c r="H697" i="16"/>
  <c r="H698" i="16"/>
  <c r="H699" i="16"/>
  <c r="H700" i="16"/>
  <c r="H701" i="16"/>
  <c r="H702" i="16"/>
  <c r="H703" i="16"/>
  <c r="H704" i="16"/>
  <c r="H705" i="16"/>
  <c r="H706" i="16"/>
  <c r="H707" i="16"/>
  <c r="H708" i="16"/>
  <c r="H709" i="16"/>
  <c r="H710" i="16"/>
  <c r="H711" i="16"/>
  <c r="H712" i="16"/>
  <c r="H713" i="16"/>
  <c r="H714" i="16"/>
  <c r="H715" i="16"/>
  <c r="H716" i="16"/>
  <c r="H717" i="16"/>
  <c r="H718" i="16"/>
  <c r="H719" i="16"/>
  <c r="H720" i="16"/>
  <c r="H721" i="16"/>
  <c r="H722" i="16"/>
  <c r="H723" i="16"/>
  <c r="H724" i="16"/>
  <c r="H725" i="16"/>
  <c r="H726" i="16"/>
  <c r="H727" i="16"/>
  <c r="H728" i="16"/>
  <c r="H729" i="16"/>
  <c r="H730" i="16"/>
  <c r="H731" i="16"/>
  <c r="H732" i="16"/>
  <c r="H733" i="16"/>
  <c r="H734" i="16"/>
  <c r="H735" i="16"/>
  <c r="H736" i="16"/>
  <c r="H737" i="16"/>
  <c r="H738" i="16"/>
  <c r="H739" i="16"/>
  <c r="H740" i="16"/>
  <c r="H741" i="16"/>
  <c r="H742" i="16"/>
  <c r="H743" i="16"/>
  <c r="H744" i="16"/>
  <c r="H745" i="16"/>
  <c r="H746" i="16"/>
  <c r="H747" i="16"/>
  <c r="H748" i="16"/>
  <c r="H749" i="16"/>
  <c r="H750" i="16"/>
  <c r="H751" i="16"/>
  <c r="H752" i="16"/>
  <c r="H753" i="16"/>
  <c r="H754" i="16"/>
  <c r="H755" i="16"/>
  <c r="H756" i="16"/>
  <c r="H757" i="16"/>
  <c r="H758" i="16"/>
  <c r="H759" i="16"/>
  <c r="H760" i="16"/>
  <c r="H761" i="16"/>
  <c r="H762" i="16"/>
  <c r="H763" i="16"/>
  <c r="H764" i="16"/>
  <c r="H765" i="16"/>
  <c r="H766" i="16"/>
  <c r="H767" i="16"/>
  <c r="H768" i="16"/>
  <c r="H769" i="16"/>
  <c r="H770" i="16"/>
  <c r="H771" i="16"/>
  <c r="H772" i="16"/>
  <c r="H773" i="16"/>
  <c r="H774" i="16"/>
  <c r="H775" i="16"/>
  <c r="H776" i="16"/>
  <c r="H777" i="16"/>
  <c r="H778" i="16"/>
  <c r="H779" i="16"/>
  <c r="H780" i="16"/>
  <c r="H781" i="16"/>
  <c r="H782" i="16"/>
  <c r="H783" i="16"/>
  <c r="H784" i="16"/>
  <c r="H785" i="16"/>
  <c r="H786" i="16"/>
  <c r="H787" i="16"/>
  <c r="H788" i="16"/>
  <c r="H789" i="16"/>
  <c r="H790" i="16"/>
  <c r="H791" i="16"/>
  <c r="H792" i="16"/>
  <c r="H793" i="16"/>
  <c r="H794" i="16"/>
  <c r="H795" i="16"/>
  <c r="H796" i="16"/>
  <c r="H797" i="16"/>
  <c r="H798" i="16"/>
  <c r="H799" i="16"/>
  <c r="H800" i="16"/>
  <c r="H801" i="16"/>
  <c r="H802" i="16"/>
  <c r="H803" i="16"/>
  <c r="H804" i="16"/>
  <c r="H805" i="16"/>
  <c r="H806" i="16"/>
  <c r="H807" i="16"/>
  <c r="H808" i="16"/>
  <c r="H809" i="16"/>
  <c r="H810" i="16"/>
  <c r="H811" i="16"/>
  <c r="H812" i="16"/>
  <c r="H813" i="16"/>
  <c r="H814" i="16"/>
  <c r="H815" i="16"/>
  <c r="H816" i="16"/>
  <c r="H817" i="16"/>
  <c r="H818" i="16"/>
  <c r="H819" i="16"/>
  <c r="H820" i="16"/>
  <c r="H821" i="16"/>
  <c r="H822" i="16"/>
  <c r="H823" i="16"/>
  <c r="H824" i="16"/>
  <c r="H825" i="16"/>
  <c r="H826" i="16"/>
  <c r="H827" i="16"/>
  <c r="H828" i="16"/>
  <c r="H829" i="16"/>
  <c r="H830" i="16"/>
  <c r="H831" i="16"/>
  <c r="H832" i="16"/>
  <c r="H833" i="16"/>
  <c r="H834" i="16"/>
  <c r="H835" i="16"/>
  <c r="H836" i="16"/>
  <c r="H837" i="16"/>
  <c r="H838" i="16"/>
  <c r="H839" i="16"/>
  <c r="H840" i="16"/>
  <c r="H841" i="16"/>
  <c r="H842" i="16"/>
  <c r="H843" i="16"/>
  <c r="H844" i="16"/>
  <c r="H845" i="16"/>
  <c r="H846" i="16"/>
  <c r="H847" i="16"/>
  <c r="H848" i="16"/>
  <c r="H849" i="16"/>
  <c r="H850" i="16"/>
  <c r="H851" i="16"/>
  <c r="H852" i="16"/>
  <c r="H853" i="16"/>
  <c r="H854" i="16"/>
  <c r="H855" i="16"/>
  <c r="H856" i="16"/>
  <c r="H857" i="16"/>
  <c r="H858" i="16"/>
  <c r="H859" i="16"/>
  <c r="H860" i="16"/>
  <c r="H861" i="16"/>
  <c r="H862" i="16"/>
  <c r="H863" i="16"/>
  <c r="H864" i="16"/>
  <c r="H865" i="16"/>
  <c r="H866" i="16"/>
  <c r="H867" i="16"/>
  <c r="H868" i="16"/>
  <c r="H869" i="16"/>
  <c r="H870" i="16"/>
  <c r="H871" i="16"/>
  <c r="H872" i="16"/>
  <c r="H873" i="16"/>
  <c r="H874" i="16"/>
  <c r="H875" i="16"/>
  <c r="H876" i="16"/>
  <c r="H877" i="16"/>
  <c r="H878" i="16"/>
  <c r="H879" i="16"/>
  <c r="H880" i="16"/>
  <c r="H881" i="16"/>
  <c r="H882" i="16"/>
  <c r="H883" i="16"/>
  <c r="H884" i="16"/>
  <c r="H885" i="16"/>
  <c r="H886" i="16"/>
  <c r="H887" i="16"/>
  <c r="H888" i="16"/>
  <c r="H889" i="16"/>
  <c r="H890" i="16"/>
  <c r="H891" i="16"/>
  <c r="H892" i="16"/>
  <c r="H893" i="16"/>
  <c r="H894" i="16"/>
  <c r="H895" i="16"/>
  <c r="H896" i="16"/>
  <c r="H897" i="16"/>
  <c r="H898" i="16"/>
  <c r="H899" i="16"/>
  <c r="H900" i="16"/>
  <c r="H901" i="16"/>
  <c r="H902" i="16"/>
  <c r="H903" i="16"/>
  <c r="H904" i="16"/>
  <c r="H905" i="16"/>
  <c r="H906" i="16"/>
  <c r="H907" i="16"/>
  <c r="H908" i="16"/>
  <c r="H909" i="16"/>
  <c r="H910" i="16"/>
  <c r="H911" i="16"/>
  <c r="H912" i="16"/>
  <c r="H913" i="16"/>
  <c r="H914" i="16"/>
  <c r="H915" i="16"/>
  <c r="H916" i="16"/>
  <c r="H917" i="16"/>
  <c r="H918" i="16"/>
  <c r="H919" i="16"/>
  <c r="H920" i="16"/>
  <c r="H921" i="16"/>
  <c r="H922" i="16"/>
  <c r="H923" i="16"/>
  <c r="H924" i="16"/>
  <c r="H925" i="16"/>
  <c r="H926" i="16"/>
  <c r="H927" i="16"/>
  <c r="H928" i="16"/>
  <c r="H929" i="16"/>
  <c r="H930" i="16"/>
  <c r="H931" i="16"/>
  <c r="H932" i="16"/>
  <c r="H933" i="16"/>
  <c r="H934" i="16"/>
  <c r="H935" i="16"/>
  <c r="H936" i="16"/>
  <c r="H937" i="16"/>
  <c r="H938" i="16"/>
  <c r="H939" i="16"/>
  <c r="H940" i="16"/>
  <c r="H941" i="16"/>
  <c r="H942" i="16"/>
  <c r="H943" i="16"/>
  <c r="H944" i="16"/>
  <c r="H945" i="16"/>
  <c r="H946" i="16"/>
  <c r="H947" i="16"/>
  <c r="H948" i="16"/>
  <c r="H949" i="16"/>
  <c r="H950" i="16"/>
  <c r="H951" i="16"/>
  <c r="H952" i="16"/>
  <c r="H953" i="16"/>
  <c r="H954" i="16"/>
  <c r="H955" i="16"/>
  <c r="H956" i="16"/>
  <c r="H957" i="16"/>
  <c r="H958" i="16"/>
  <c r="H959" i="16"/>
  <c r="H960" i="16"/>
  <c r="H961" i="16"/>
  <c r="H962" i="16"/>
  <c r="H963" i="16"/>
  <c r="H964" i="16"/>
  <c r="H965" i="16"/>
  <c r="H966" i="16"/>
  <c r="H967" i="16"/>
  <c r="H968" i="16"/>
  <c r="H969" i="16"/>
  <c r="H970" i="16"/>
  <c r="H971" i="16"/>
  <c r="H972" i="16"/>
  <c r="H973" i="16"/>
  <c r="H974" i="16"/>
  <c r="H975" i="16"/>
  <c r="H976" i="16"/>
  <c r="H977" i="16"/>
  <c r="H978" i="16"/>
  <c r="H979" i="16"/>
  <c r="H980" i="16"/>
  <c r="H981" i="16"/>
  <c r="H982" i="16"/>
  <c r="H983" i="16"/>
  <c r="H984" i="16"/>
  <c r="H985" i="16"/>
  <c r="H986" i="16"/>
  <c r="H987" i="16"/>
  <c r="H988" i="16"/>
  <c r="H989" i="16"/>
  <c r="H990" i="16"/>
  <c r="H991" i="16"/>
  <c r="H992" i="16"/>
  <c r="H993" i="16"/>
  <c r="H994" i="16"/>
  <c r="H995" i="16"/>
  <c r="H996" i="16"/>
  <c r="H997" i="16"/>
  <c r="H998" i="16"/>
  <c r="H999" i="16"/>
  <c r="H1000" i="16"/>
  <c r="H1001" i="16"/>
  <c r="H1002" i="16"/>
  <c r="H1003" i="16"/>
  <c r="H1004" i="16"/>
  <c r="H1005" i="16"/>
  <c r="H1006" i="16"/>
  <c r="H1007" i="16"/>
  <c r="H1008" i="16"/>
  <c r="H1009" i="16"/>
  <c r="H1010" i="16"/>
  <c r="H1011" i="16"/>
  <c r="H1012" i="16"/>
  <c r="H1013" i="16"/>
  <c r="H1014" i="16"/>
  <c r="H1015" i="16"/>
  <c r="H1016" i="16"/>
  <c r="H1017" i="16"/>
  <c r="H1018" i="16"/>
  <c r="H1019" i="16"/>
  <c r="H1020" i="16"/>
  <c r="H1021" i="16"/>
  <c r="H1022" i="16"/>
  <c r="H1023" i="16"/>
  <c r="H1024" i="16"/>
  <c r="H1025" i="16"/>
  <c r="H1026" i="16"/>
  <c r="H1027" i="16"/>
  <c r="H1028" i="16"/>
  <c r="H1029" i="16"/>
  <c r="H1030" i="16"/>
  <c r="H1031" i="16"/>
  <c r="H1032" i="16"/>
  <c r="H1033" i="16"/>
  <c r="H1034" i="16"/>
  <c r="H1035" i="16"/>
  <c r="H1036" i="16"/>
  <c r="H1037" i="16"/>
  <c r="H1038" i="16"/>
  <c r="H1039" i="16"/>
  <c r="H1040" i="16"/>
  <c r="H1041" i="16"/>
  <c r="H1042" i="16"/>
  <c r="H1043" i="16"/>
  <c r="H1044" i="16"/>
  <c r="H1045" i="16"/>
  <c r="H1046" i="16"/>
  <c r="H1047" i="16"/>
  <c r="H1048" i="16"/>
  <c r="H1049" i="16"/>
  <c r="H1050" i="16"/>
  <c r="H1051" i="16"/>
  <c r="H1052" i="16"/>
  <c r="H1053" i="16"/>
  <c r="H1054" i="16"/>
  <c r="H1055" i="16"/>
  <c r="H1056" i="16"/>
  <c r="H1057" i="16"/>
  <c r="H1058" i="16"/>
  <c r="H1059" i="16"/>
  <c r="H1060" i="16"/>
  <c r="H1061" i="16"/>
  <c r="H1062" i="16"/>
  <c r="H1063" i="16"/>
  <c r="H1064" i="16"/>
  <c r="H1065" i="16"/>
  <c r="H1066" i="16"/>
  <c r="H1067" i="16"/>
  <c r="H1068" i="16"/>
  <c r="H1069" i="16"/>
  <c r="H1070" i="16"/>
  <c r="H1071" i="16"/>
  <c r="H1072" i="16"/>
  <c r="H1073" i="16"/>
  <c r="H1074" i="16"/>
  <c r="H1075" i="16"/>
  <c r="H1076" i="16"/>
  <c r="H1077" i="16"/>
  <c r="H1078" i="16"/>
  <c r="H1079" i="16"/>
  <c r="H1080" i="16"/>
  <c r="H1081" i="16"/>
  <c r="H1082" i="16"/>
  <c r="H1083" i="16"/>
  <c r="H1084" i="16"/>
  <c r="H1085" i="16"/>
  <c r="H1086" i="16"/>
  <c r="H1087" i="16"/>
  <c r="H1088" i="16"/>
  <c r="H1089" i="16"/>
  <c r="H1090" i="16"/>
  <c r="H1091" i="16"/>
  <c r="H1092" i="16"/>
  <c r="H1093" i="16"/>
  <c r="H1094" i="16"/>
  <c r="H1095" i="16"/>
  <c r="H1096" i="16"/>
  <c r="H1097" i="16"/>
  <c r="H1098" i="16"/>
  <c r="H1099" i="16"/>
  <c r="H1100" i="16"/>
  <c r="H1101" i="16"/>
  <c r="H1102" i="16"/>
  <c r="H1103" i="16"/>
  <c r="H1104" i="16"/>
  <c r="H1105" i="16"/>
  <c r="H1106" i="16"/>
  <c r="H1107" i="16"/>
  <c r="H1108" i="16"/>
  <c r="H1109" i="16"/>
  <c r="H1110" i="16"/>
  <c r="H1111" i="16"/>
  <c r="H1112" i="16"/>
  <c r="H1113" i="16"/>
  <c r="H1114" i="16"/>
  <c r="H1115" i="16"/>
  <c r="H1116" i="16"/>
  <c r="H1117" i="16"/>
  <c r="H1118" i="16"/>
  <c r="H1119" i="16"/>
  <c r="L25" i="16"/>
  <c r="G29" i="16"/>
  <c r="A4" i="16"/>
  <c r="A185" i="16"/>
  <c r="A186" i="16"/>
  <c r="A187" i="16"/>
  <c r="A188" i="16"/>
  <c r="A189" i="16"/>
  <c r="A190" i="16"/>
  <c r="A191" i="16"/>
  <c r="A192" i="16"/>
  <c r="A193" i="16"/>
  <c r="A194" i="16"/>
  <c r="A195" i="16"/>
  <c r="A196" i="16"/>
  <c r="A197" i="16"/>
  <c r="A198" i="16"/>
  <c r="A199" i="16"/>
  <c r="A200" i="16"/>
  <c r="A201" i="16"/>
  <c r="A202" i="16"/>
  <c r="A203" i="16"/>
  <c r="A204" i="16"/>
  <c r="A205" i="16"/>
  <c r="A206" i="16"/>
  <c r="A207" i="16"/>
  <c r="A208" i="16"/>
  <c r="A209" i="16"/>
  <c r="A210" i="16"/>
  <c r="A211" i="16"/>
  <c r="A212" i="16"/>
  <c r="A213" i="16"/>
  <c r="A214" i="16"/>
  <c r="A215" i="16"/>
  <c r="A216" i="16"/>
  <c r="A217" i="16"/>
  <c r="A218" i="16"/>
  <c r="A219" i="16"/>
  <c r="A220" i="16"/>
  <c r="A221" i="16"/>
  <c r="A222" i="16"/>
  <c r="A223" i="16"/>
  <c r="A224" i="16"/>
  <c r="A225" i="16"/>
  <c r="A226" i="16"/>
  <c r="A227" i="16"/>
  <c r="A228" i="16"/>
  <c r="A229" i="16"/>
  <c r="A230" i="16"/>
  <c r="A231" i="16"/>
  <c r="A232" i="16"/>
  <c r="A233" i="16"/>
  <c r="A234" i="16"/>
  <c r="A235" i="16"/>
  <c r="A236" i="16"/>
  <c r="A237" i="16"/>
  <c r="A238" i="16"/>
  <c r="A239" i="16"/>
  <c r="A240" i="16"/>
  <c r="A241" i="16"/>
  <c r="A242" i="16"/>
  <c r="A243" i="16"/>
  <c r="A244" i="16"/>
  <c r="A245" i="16"/>
  <c r="A246" i="16"/>
  <c r="A247" i="16"/>
  <c r="A248" i="16"/>
  <c r="A249" i="16"/>
  <c r="A250" i="16"/>
  <c r="A251" i="16"/>
  <c r="A252" i="16"/>
  <c r="A253" i="16"/>
  <c r="A254" i="16"/>
  <c r="A255" i="16"/>
  <c r="A256" i="16"/>
  <c r="A257" i="16"/>
  <c r="A258" i="16"/>
  <c r="A259" i="16"/>
  <c r="A260" i="16"/>
  <c r="A261" i="16"/>
  <c r="A262" i="16"/>
  <c r="A263" i="16"/>
  <c r="A264" i="16"/>
  <c r="A265" i="16"/>
  <c r="A266" i="16"/>
  <c r="A267" i="16"/>
  <c r="A268" i="16"/>
  <c r="A269" i="16"/>
  <c r="A270" i="16"/>
  <c r="A271" i="16"/>
  <c r="A272" i="16"/>
  <c r="A273" i="16"/>
  <c r="A274" i="16"/>
  <c r="A275" i="16"/>
  <c r="A276" i="16"/>
  <c r="A277" i="16"/>
  <c r="A278" i="16"/>
  <c r="A279" i="16"/>
  <c r="A280" i="16"/>
  <c r="A281" i="16"/>
  <c r="A282" i="16"/>
  <c r="A283" i="16"/>
  <c r="A284" i="16"/>
  <c r="A285" i="16"/>
  <c r="A286" i="16"/>
  <c r="A287" i="16"/>
  <c r="A288" i="16"/>
  <c r="A289" i="16"/>
  <c r="A290" i="16"/>
  <c r="A291" i="16"/>
  <c r="A292" i="16"/>
  <c r="A293" i="16"/>
  <c r="A294" i="16"/>
  <c r="A295" i="16"/>
  <c r="A296" i="16"/>
  <c r="A297" i="16"/>
  <c r="A298" i="16"/>
  <c r="A299" i="16"/>
  <c r="A300" i="16"/>
  <c r="A301" i="16"/>
  <c r="A302" i="16"/>
  <c r="A303" i="16"/>
  <c r="A304" i="16"/>
  <c r="A305" i="16"/>
  <c r="A306" i="16"/>
  <c r="A307" i="16"/>
  <c r="A308" i="16"/>
  <c r="A309" i="16"/>
  <c r="A310" i="16"/>
  <c r="A311" i="16"/>
  <c r="A312" i="16"/>
  <c r="A313" i="16"/>
  <c r="A314" i="16"/>
  <c r="A315" i="16"/>
  <c r="A316" i="16"/>
  <c r="A317" i="16"/>
  <c r="A318" i="16"/>
  <c r="A319" i="16"/>
  <c r="A320" i="16"/>
  <c r="A321" i="16"/>
  <c r="A322" i="16"/>
  <c r="A323" i="16"/>
  <c r="A324" i="16"/>
  <c r="A325" i="16"/>
  <c r="A326" i="16"/>
  <c r="A327" i="16"/>
  <c r="A328" i="16"/>
  <c r="A329" i="16"/>
  <c r="A330" i="16"/>
  <c r="A331" i="16"/>
  <c r="A332" i="16"/>
  <c r="A333" i="16"/>
  <c r="A334" i="16"/>
  <c r="A335" i="16"/>
  <c r="A336" i="16"/>
  <c r="A337" i="16"/>
  <c r="A338" i="16"/>
  <c r="A339" i="16"/>
  <c r="A340" i="16"/>
  <c r="A341" i="16"/>
  <c r="A342" i="16"/>
  <c r="A343" i="16"/>
  <c r="A344" i="16"/>
  <c r="A345" i="16"/>
  <c r="A346" i="16"/>
  <c r="A347" i="16"/>
  <c r="A348" i="16"/>
  <c r="A349" i="16"/>
  <c r="A350" i="16"/>
  <c r="A351" i="16"/>
  <c r="A352" i="16"/>
  <c r="A353" i="16"/>
  <c r="A354" i="16"/>
  <c r="A355" i="16"/>
  <c r="A356" i="16"/>
  <c r="A357" i="16"/>
  <c r="A358" i="16"/>
  <c r="A359" i="16"/>
  <c r="A360" i="16"/>
  <c r="A361" i="16"/>
  <c r="A362" i="16"/>
  <c r="A363" i="16"/>
  <c r="A364" i="16"/>
  <c r="A365" i="16"/>
  <c r="A366" i="16"/>
  <c r="A367" i="16"/>
  <c r="A368" i="16"/>
  <c r="A369" i="16"/>
  <c r="A370" i="16"/>
  <c r="A371" i="16"/>
  <c r="A372" i="16"/>
  <c r="A373" i="16"/>
  <c r="A374" i="16"/>
  <c r="A375" i="16"/>
  <c r="A376" i="16"/>
  <c r="A377" i="16"/>
  <c r="A378" i="16"/>
  <c r="A379" i="16"/>
  <c r="A380" i="16"/>
  <c r="A381" i="16"/>
  <c r="A382" i="16"/>
  <c r="A383" i="16"/>
  <c r="A384" i="16"/>
  <c r="A385" i="16"/>
  <c r="A386" i="16"/>
  <c r="A387" i="16"/>
  <c r="A388" i="16"/>
  <c r="A389" i="16"/>
  <c r="A390" i="16"/>
  <c r="A391" i="16"/>
  <c r="A392" i="16"/>
  <c r="A393" i="16"/>
  <c r="A394" i="16"/>
  <c r="A395" i="16"/>
  <c r="A396" i="16"/>
  <c r="A397" i="16"/>
  <c r="A398" i="16"/>
  <c r="A399" i="16"/>
  <c r="A400" i="16"/>
  <c r="A401" i="16"/>
  <c r="A402" i="16"/>
  <c r="A403" i="16"/>
  <c r="A404" i="16"/>
  <c r="A405" i="16"/>
  <c r="A406" i="16"/>
  <c r="A407" i="16"/>
  <c r="A408" i="16"/>
  <c r="A409" i="16"/>
  <c r="A410" i="16"/>
  <c r="A411" i="16"/>
  <c r="A412" i="16"/>
  <c r="A413" i="16"/>
  <c r="A414" i="16"/>
  <c r="A415" i="16"/>
  <c r="A416" i="16"/>
  <c r="A417" i="16"/>
  <c r="A418" i="16"/>
  <c r="A419" i="16"/>
  <c r="A420" i="16"/>
  <c r="A421" i="16"/>
  <c r="A422" i="16"/>
  <c r="A423" i="16"/>
  <c r="A424" i="16"/>
  <c r="A425" i="16"/>
  <c r="A426" i="16"/>
  <c r="A427" i="16"/>
  <c r="A428" i="16"/>
  <c r="A429" i="16"/>
  <c r="A430" i="16"/>
  <c r="A431" i="16"/>
  <c r="A432" i="16"/>
  <c r="A433" i="16"/>
  <c r="A434" i="16"/>
  <c r="A435" i="16"/>
  <c r="A436" i="16"/>
  <c r="A437" i="16"/>
  <c r="A438" i="16"/>
  <c r="A439" i="16"/>
  <c r="A440" i="16"/>
  <c r="A441" i="16"/>
  <c r="A442" i="16"/>
  <c r="A443" i="16"/>
  <c r="A444" i="16"/>
  <c r="A445" i="16"/>
  <c r="A446" i="16"/>
  <c r="A447" i="16"/>
  <c r="A448" i="16"/>
  <c r="A449" i="16"/>
  <c r="A450" i="16"/>
  <c r="A451" i="16"/>
  <c r="A452" i="16"/>
  <c r="A453" i="16"/>
  <c r="A454" i="16"/>
  <c r="A455" i="16"/>
  <c r="A456" i="16"/>
  <c r="A457" i="16"/>
  <c r="A458" i="16"/>
  <c r="A459" i="16"/>
  <c r="A460" i="16"/>
  <c r="A461" i="16"/>
  <c r="A462" i="16"/>
  <c r="A463" i="16"/>
  <c r="A464" i="16"/>
  <c r="A465" i="16"/>
  <c r="A466" i="16"/>
  <c r="A467" i="16"/>
  <c r="A468" i="16"/>
  <c r="A469" i="16"/>
  <c r="A470" i="16"/>
  <c r="A471" i="16"/>
  <c r="A472" i="16"/>
  <c r="A473" i="16"/>
  <c r="A474" i="16"/>
  <c r="A475" i="16"/>
  <c r="A476" i="16"/>
  <c r="A477" i="16"/>
  <c r="A478" i="16"/>
  <c r="A479" i="16"/>
  <c r="A480" i="16"/>
  <c r="A481" i="16"/>
  <c r="A482" i="16"/>
  <c r="A483" i="16"/>
  <c r="A484" i="16"/>
  <c r="A485" i="16"/>
  <c r="A486" i="16"/>
  <c r="A487" i="16"/>
  <c r="A488" i="16"/>
  <c r="A489" i="16"/>
  <c r="A490" i="16"/>
  <c r="A491" i="16"/>
  <c r="A492" i="16"/>
  <c r="A493" i="16"/>
  <c r="A494" i="16"/>
  <c r="A495" i="16"/>
  <c r="A496" i="16"/>
  <c r="A497" i="16"/>
  <c r="A498" i="16"/>
  <c r="A499" i="16"/>
  <c r="A500" i="16"/>
  <c r="A501" i="16"/>
  <c r="A502" i="16"/>
  <c r="A503" i="16"/>
  <c r="A504" i="16"/>
  <c r="A505" i="16"/>
  <c r="A506" i="16"/>
  <c r="A507" i="16"/>
  <c r="A508" i="16"/>
  <c r="A509" i="16"/>
  <c r="A510" i="16"/>
  <c r="A511" i="16"/>
  <c r="A512" i="16"/>
  <c r="A513" i="16"/>
  <c r="A514" i="16"/>
  <c r="A515" i="16"/>
  <c r="A516" i="16"/>
  <c r="A517" i="16"/>
  <c r="A518" i="16"/>
  <c r="A519" i="16"/>
  <c r="A520" i="16"/>
  <c r="A521" i="16"/>
  <c r="A522" i="16"/>
  <c r="A523" i="16"/>
  <c r="A524" i="16"/>
  <c r="A525" i="16"/>
  <c r="A526" i="16"/>
  <c r="A527" i="16"/>
  <c r="A528" i="16"/>
  <c r="A529" i="16"/>
  <c r="A530" i="16"/>
  <c r="A531" i="16"/>
  <c r="A532" i="16"/>
  <c r="A533" i="16"/>
  <c r="A534" i="16"/>
  <c r="A535" i="16"/>
  <c r="A536" i="16"/>
  <c r="A537" i="16"/>
  <c r="A538" i="16"/>
  <c r="A539" i="16"/>
  <c r="A540" i="16"/>
  <c r="A541" i="16"/>
  <c r="A542" i="16"/>
  <c r="A543" i="16"/>
  <c r="A544" i="16"/>
  <c r="A545" i="16"/>
  <c r="A546" i="16"/>
  <c r="A547" i="16"/>
  <c r="A548" i="16"/>
  <c r="A549" i="16"/>
  <c r="A550" i="16"/>
  <c r="A551" i="16"/>
  <c r="A552" i="16"/>
  <c r="A553" i="16"/>
  <c r="A554" i="16"/>
  <c r="A555" i="16"/>
  <c r="A556" i="16"/>
  <c r="A557" i="16"/>
  <c r="A558" i="16"/>
  <c r="A559" i="16"/>
  <c r="A560" i="16"/>
  <c r="A561" i="16"/>
  <c r="A562" i="16"/>
  <c r="A563" i="16"/>
  <c r="A564" i="16"/>
  <c r="A565" i="16"/>
  <c r="A566" i="16"/>
  <c r="A567" i="16"/>
  <c r="A568" i="16"/>
  <c r="A569" i="16"/>
  <c r="A570" i="16"/>
  <c r="A571" i="16"/>
  <c r="A572" i="16"/>
  <c r="A573" i="16"/>
  <c r="A574" i="16"/>
  <c r="A575" i="16"/>
  <c r="A576" i="16"/>
  <c r="A577" i="16"/>
  <c r="A578" i="16"/>
  <c r="A579" i="16"/>
  <c r="A580" i="16"/>
  <c r="A581" i="16"/>
  <c r="A582" i="16"/>
  <c r="A583" i="16"/>
  <c r="A584" i="16"/>
  <c r="A585" i="16"/>
  <c r="A586" i="16"/>
  <c r="A587" i="16"/>
  <c r="A588" i="16"/>
  <c r="A589" i="16"/>
  <c r="A590" i="16"/>
  <c r="A591" i="16"/>
  <c r="A592" i="16"/>
  <c r="A593" i="16"/>
  <c r="A594" i="16"/>
  <c r="A595" i="16"/>
  <c r="A596" i="16"/>
  <c r="A597" i="16"/>
  <c r="A598" i="16"/>
  <c r="A599" i="16"/>
  <c r="A600" i="16"/>
  <c r="A601" i="16"/>
  <c r="A602" i="16"/>
  <c r="A603" i="16"/>
  <c r="A604" i="16"/>
  <c r="A605" i="16"/>
  <c r="A606" i="16"/>
  <c r="A607" i="16"/>
  <c r="A608" i="16"/>
  <c r="A609" i="16"/>
  <c r="A610" i="16"/>
  <c r="A611" i="16"/>
  <c r="A612" i="16"/>
  <c r="A613" i="16"/>
  <c r="A614" i="16"/>
  <c r="A615" i="16"/>
  <c r="A616" i="16"/>
  <c r="A617" i="16"/>
  <c r="A618" i="16"/>
  <c r="A619" i="16"/>
  <c r="A620" i="16"/>
  <c r="A621" i="16"/>
  <c r="A622" i="16"/>
  <c r="A623" i="16"/>
  <c r="A624" i="16"/>
  <c r="A625" i="16"/>
  <c r="A626" i="16"/>
  <c r="A627" i="16"/>
  <c r="A628" i="16"/>
  <c r="A629" i="16"/>
  <c r="A630" i="16"/>
  <c r="A631" i="16"/>
  <c r="A632" i="16"/>
  <c r="A633" i="16"/>
  <c r="A634" i="16"/>
  <c r="A635" i="16"/>
  <c r="A636" i="16"/>
  <c r="A637" i="16"/>
  <c r="A638" i="16"/>
  <c r="A639" i="16"/>
  <c r="A640" i="16"/>
  <c r="A641" i="16"/>
  <c r="A642" i="16"/>
  <c r="A643" i="16"/>
  <c r="A644" i="16"/>
  <c r="A645" i="16"/>
  <c r="A646" i="16"/>
  <c r="A647" i="16"/>
  <c r="A648" i="16"/>
  <c r="A649" i="16"/>
  <c r="A650" i="16"/>
  <c r="A651" i="16"/>
  <c r="A652" i="16"/>
  <c r="A653" i="16"/>
  <c r="A654" i="16"/>
  <c r="A655" i="16"/>
  <c r="A656" i="16"/>
  <c r="A657" i="16"/>
  <c r="A658" i="16"/>
  <c r="A659" i="16"/>
  <c r="A660" i="16"/>
  <c r="A661" i="16"/>
  <c r="A662" i="16"/>
  <c r="A663" i="16"/>
  <c r="A664" i="16"/>
  <c r="A665" i="16"/>
  <c r="A666" i="16"/>
  <c r="A667" i="16"/>
  <c r="A668" i="16"/>
  <c r="A669" i="16"/>
  <c r="A670" i="16"/>
  <c r="A671" i="16"/>
  <c r="A672" i="16"/>
  <c r="A673" i="16"/>
  <c r="A674" i="16"/>
  <c r="A675" i="16"/>
  <c r="A676" i="16"/>
  <c r="A677" i="16"/>
  <c r="A678" i="16"/>
  <c r="A679" i="16"/>
  <c r="A680" i="16"/>
  <c r="A681" i="16"/>
  <c r="A682" i="16"/>
  <c r="A683" i="16"/>
  <c r="A684" i="16"/>
  <c r="A685" i="16"/>
  <c r="A686" i="16"/>
  <c r="A687" i="16"/>
  <c r="A688" i="16"/>
  <c r="A689" i="16"/>
  <c r="A690" i="16"/>
  <c r="A691" i="16"/>
  <c r="A692" i="16"/>
  <c r="A693" i="16"/>
  <c r="A694" i="16"/>
  <c r="A695" i="16"/>
  <c r="A696" i="16"/>
  <c r="A697" i="16"/>
  <c r="A698" i="16"/>
  <c r="A699" i="16"/>
  <c r="A700" i="16"/>
  <c r="A701" i="16"/>
  <c r="A702" i="16"/>
  <c r="A703" i="16"/>
  <c r="A704" i="16"/>
  <c r="A705" i="16"/>
  <c r="A706" i="16"/>
  <c r="A707" i="16"/>
  <c r="A708" i="16"/>
  <c r="A709" i="16"/>
  <c r="A710" i="16"/>
  <c r="A711" i="16"/>
  <c r="A712" i="16"/>
  <c r="A713" i="16"/>
  <c r="A714" i="16"/>
  <c r="A715" i="16"/>
  <c r="A716" i="16"/>
  <c r="A717" i="16"/>
  <c r="A718" i="16"/>
  <c r="A719" i="16"/>
  <c r="A720" i="16"/>
  <c r="A721" i="16"/>
  <c r="A722" i="16"/>
  <c r="A723" i="16"/>
  <c r="A724" i="16"/>
  <c r="A725" i="16"/>
  <c r="A726" i="16"/>
  <c r="A727" i="16"/>
  <c r="A728" i="16"/>
  <c r="A729" i="16"/>
  <c r="A730" i="16"/>
  <c r="A731" i="16"/>
  <c r="A732" i="16"/>
  <c r="A733" i="16"/>
  <c r="A734" i="16"/>
  <c r="A735" i="16"/>
  <c r="A736" i="16"/>
  <c r="A737" i="16"/>
  <c r="A738" i="16"/>
  <c r="A739" i="16"/>
  <c r="A740" i="16"/>
  <c r="A741" i="16"/>
  <c r="A742" i="16"/>
  <c r="A743" i="16"/>
  <c r="A744" i="16"/>
  <c r="A745" i="16"/>
  <c r="A746" i="16"/>
  <c r="A747" i="16"/>
  <c r="A748" i="16"/>
  <c r="A749" i="16"/>
  <c r="A750" i="16"/>
  <c r="A751" i="16"/>
  <c r="A752" i="16"/>
  <c r="A753" i="16"/>
  <c r="A754" i="16"/>
  <c r="A755" i="16"/>
  <c r="A756" i="16"/>
  <c r="A757" i="16"/>
  <c r="A758" i="16"/>
  <c r="A759" i="16"/>
  <c r="A760" i="16"/>
  <c r="A761" i="16"/>
  <c r="A762" i="16"/>
  <c r="A763" i="16"/>
  <c r="A764" i="16"/>
  <c r="A765" i="16"/>
  <c r="A766" i="16"/>
  <c r="A767" i="16"/>
  <c r="A768" i="16"/>
  <c r="A769" i="16"/>
  <c r="A770" i="16"/>
  <c r="A771" i="16"/>
  <c r="A772" i="16"/>
  <c r="A773" i="16"/>
  <c r="A774" i="16"/>
  <c r="A775" i="16"/>
  <c r="A776" i="16"/>
  <c r="A777" i="16"/>
  <c r="A778" i="16"/>
  <c r="A779" i="16"/>
  <c r="A780" i="16"/>
  <c r="A781" i="16"/>
  <c r="A782" i="16"/>
  <c r="A783" i="16"/>
  <c r="A784" i="16"/>
  <c r="A785" i="16"/>
  <c r="A786" i="16"/>
  <c r="A787" i="16"/>
  <c r="A788" i="16"/>
  <c r="A789" i="16"/>
  <c r="A790" i="16"/>
  <c r="A791" i="16"/>
  <c r="A792" i="16"/>
  <c r="A793" i="16"/>
  <c r="A794" i="16"/>
  <c r="A795" i="16"/>
  <c r="A796" i="16"/>
  <c r="A797" i="16"/>
  <c r="A798" i="16"/>
  <c r="A799" i="16"/>
  <c r="A800" i="16"/>
  <c r="A801" i="16"/>
  <c r="A802" i="16"/>
  <c r="A803" i="16"/>
  <c r="A804" i="16"/>
  <c r="A805" i="16"/>
  <c r="A806" i="16"/>
  <c r="A807" i="16"/>
  <c r="A808" i="16"/>
  <c r="A809" i="16"/>
  <c r="A810" i="16"/>
  <c r="A811" i="16"/>
  <c r="A812" i="16"/>
  <c r="A813" i="16"/>
  <c r="A814" i="16"/>
  <c r="A815" i="16"/>
  <c r="A816" i="16"/>
  <c r="A817" i="16"/>
  <c r="A818" i="16"/>
  <c r="A819" i="16"/>
  <c r="A820" i="16"/>
  <c r="A821" i="16"/>
  <c r="A822" i="16"/>
  <c r="A823" i="16"/>
  <c r="A824" i="16"/>
  <c r="A825" i="16"/>
  <c r="A826" i="16"/>
  <c r="A827" i="16"/>
  <c r="A828" i="16"/>
  <c r="A829" i="16"/>
  <c r="A830" i="16"/>
  <c r="A831" i="16"/>
  <c r="A832" i="16"/>
  <c r="A833" i="16"/>
  <c r="A834" i="16"/>
  <c r="A835" i="16"/>
  <c r="A836" i="16"/>
  <c r="A837" i="16"/>
  <c r="A838" i="16"/>
  <c r="A839" i="16"/>
  <c r="A840" i="16"/>
  <c r="A841" i="16"/>
  <c r="A842" i="16"/>
  <c r="A843" i="16"/>
  <c r="A844" i="16"/>
  <c r="A845" i="16"/>
  <c r="A846" i="16"/>
  <c r="A847" i="16"/>
  <c r="A848" i="16"/>
  <c r="A849" i="16"/>
  <c r="A850" i="16"/>
  <c r="A851" i="16"/>
  <c r="A852" i="16"/>
  <c r="A853" i="16"/>
  <c r="A854" i="16"/>
  <c r="A855" i="16"/>
  <c r="A856" i="16"/>
  <c r="A857" i="16"/>
  <c r="A858" i="16"/>
  <c r="A859" i="16"/>
  <c r="A860" i="16"/>
  <c r="A861" i="16"/>
  <c r="A862" i="16"/>
  <c r="A863" i="16"/>
  <c r="A864" i="16"/>
  <c r="A865" i="16"/>
  <c r="A866" i="16"/>
  <c r="A867" i="16"/>
  <c r="A868" i="16"/>
  <c r="A869" i="16"/>
  <c r="A870" i="16"/>
  <c r="A871" i="16"/>
  <c r="A872" i="16"/>
  <c r="A873" i="16"/>
  <c r="A874" i="16"/>
  <c r="A875" i="16"/>
  <c r="A876" i="16"/>
  <c r="A877" i="16"/>
  <c r="A878" i="16"/>
  <c r="A879" i="16"/>
  <c r="A880" i="16"/>
  <c r="A881" i="16"/>
  <c r="A882" i="16"/>
  <c r="A883" i="16"/>
  <c r="A884" i="16"/>
  <c r="A885" i="16"/>
  <c r="A886" i="16"/>
  <c r="A887" i="16"/>
  <c r="A888" i="16"/>
  <c r="A889" i="16"/>
  <c r="A890" i="16"/>
  <c r="A891" i="16"/>
  <c r="A892" i="16"/>
  <c r="A893" i="16"/>
  <c r="A894" i="16"/>
  <c r="A895" i="16"/>
  <c r="A896" i="16"/>
  <c r="A897" i="16"/>
  <c r="A898" i="16"/>
  <c r="A899" i="16"/>
  <c r="A900" i="16"/>
  <c r="A901" i="16"/>
  <c r="A902" i="16"/>
  <c r="A903" i="16"/>
  <c r="A904" i="16"/>
  <c r="A905" i="16"/>
  <c r="A906" i="16"/>
  <c r="A907" i="16"/>
  <c r="A908" i="16"/>
  <c r="A909" i="16"/>
  <c r="A910" i="16"/>
  <c r="A911" i="16"/>
  <c r="A912" i="16"/>
  <c r="A913" i="16"/>
  <c r="A914" i="16"/>
  <c r="A915" i="16"/>
  <c r="A916" i="16"/>
  <c r="A917" i="16"/>
  <c r="A918" i="16"/>
  <c r="A919" i="16"/>
  <c r="A920" i="16"/>
  <c r="A921" i="16"/>
  <c r="A922" i="16"/>
  <c r="A923" i="16"/>
  <c r="A924" i="16"/>
  <c r="A925" i="16"/>
  <c r="A926" i="16"/>
  <c r="A927" i="16"/>
  <c r="A928" i="16"/>
  <c r="A929" i="16"/>
  <c r="A930" i="16"/>
  <c r="A931" i="16"/>
  <c r="A932" i="16"/>
  <c r="A933" i="16"/>
  <c r="A934" i="16"/>
  <c r="A935" i="16"/>
  <c r="A936" i="16"/>
  <c r="A937" i="16"/>
  <c r="A938" i="16"/>
  <c r="A939" i="16"/>
  <c r="A940" i="16"/>
  <c r="A941" i="16"/>
  <c r="A942" i="16"/>
  <c r="A943" i="16"/>
  <c r="A944" i="16"/>
  <c r="A945" i="16"/>
  <c r="A946" i="16"/>
  <c r="A947" i="16"/>
  <c r="A948" i="16"/>
  <c r="A949" i="16"/>
  <c r="A950" i="16"/>
  <c r="A951" i="16"/>
  <c r="A952" i="16"/>
  <c r="A953" i="16"/>
  <c r="A954" i="16"/>
  <c r="A955" i="16"/>
  <c r="A956" i="16"/>
  <c r="A957" i="16"/>
  <c r="A958" i="16"/>
  <c r="A959" i="16"/>
  <c r="A960" i="16"/>
  <c r="A961" i="16"/>
  <c r="A962" i="16"/>
  <c r="A963" i="16"/>
  <c r="A964" i="16"/>
  <c r="A965" i="16"/>
  <c r="A966" i="16"/>
  <c r="A967" i="16"/>
  <c r="A968" i="16"/>
  <c r="A969" i="16"/>
  <c r="A970" i="16"/>
  <c r="A971" i="16"/>
  <c r="A972" i="16"/>
  <c r="A973" i="16"/>
  <c r="A974" i="16"/>
  <c r="A975" i="16"/>
  <c r="A976" i="16"/>
  <c r="A977" i="16"/>
  <c r="A978" i="16"/>
  <c r="A979" i="16"/>
  <c r="A980" i="16"/>
  <c r="A981" i="16"/>
  <c r="A982" i="16"/>
  <c r="A983" i="16"/>
  <c r="A984" i="16"/>
  <c r="A985" i="16"/>
  <c r="A986" i="16"/>
  <c r="A987" i="16"/>
  <c r="A988" i="16"/>
  <c r="A989" i="16"/>
  <c r="A990" i="16"/>
  <c r="A991" i="16"/>
  <c r="A992" i="16"/>
  <c r="A993" i="16"/>
  <c r="A994" i="16"/>
  <c r="A995" i="16"/>
  <c r="A996" i="16"/>
  <c r="A997" i="16"/>
  <c r="A998" i="16"/>
  <c r="A999" i="16"/>
  <c r="A1000" i="16"/>
  <c r="A1001" i="16"/>
  <c r="A1002" i="16"/>
  <c r="A1003" i="16"/>
  <c r="A1004" i="16"/>
  <c r="A1005" i="16"/>
  <c r="A1006" i="16"/>
  <c r="A1007" i="16"/>
  <c r="A1008" i="16"/>
  <c r="A1009" i="16"/>
  <c r="A1010" i="16"/>
  <c r="A1011" i="16"/>
  <c r="A1012" i="16"/>
  <c r="A1013" i="16"/>
  <c r="A1014" i="16"/>
  <c r="A1015" i="16"/>
  <c r="A1016" i="16"/>
  <c r="A1017" i="16"/>
  <c r="A1018" i="16"/>
  <c r="A1019" i="16"/>
  <c r="A1020" i="16"/>
  <c r="A1021" i="16"/>
  <c r="A1022" i="16"/>
  <c r="A1023" i="16"/>
  <c r="A1024" i="16"/>
  <c r="A1025" i="16"/>
  <c r="A1026" i="16"/>
  <c r="A1027" i="16"/>
  <c r="A1028" i="16"/>
  <c r="A1029" i="16"/>
  <c r="A1030" i="16"/>
  <c r="A1031" i="16"/>
  <c r="A1032" i="16"/>
  <c r="A1033" i="16"/>
  <c r="A1034" i="16"/>
  <c r="A1035" i="16"/>
  <c r="A1036" i="16"/>
  <c r="A1037" i="16"/>
  <c r="A1038" i="16"/>
  <c r="A1039" i="16"/>
  <c r="A1040" i="16"/>
  <c r="A1041" i="16"/>
  <c r="A1042" i="16"/>
  <c r="A1043" i="16"/>
  <c r="A1044" i="16"/>
  <c r="A1045" i="16"/>
  <c r="A1046" i="16"/>
  <c r="A1047" i="16"/>
  <c r="A1048" i="16"/>
  <c r="A1049" i="16"/>
  <c r="A1050" i="16"/>
  <c r="A1051" i="16"/>
  <c r="A1052" i="16"/>
  <c r="A1053" i="16"/>
  <c r="A1054" i="16"/>
  <c r="A1055" i="16"/>
  <c r="A1056" i="16"/>
  <c r="A1057" i="16"/>
  <c r="A1058" i="16"/>
  <c r="A1059" i="16"/>
  <c r="A1060" i="16"/>
  <c r="A1061" i="16"/>
  <c r="A1062" i="16"/>
  <c r="A1063" i="16"/>
  <c r="A1064" i="16"/>
  <c r="A1065" i="16"/>
  <c r="A1066" i="16"/>
  <c r="A1067" i="16"/>
  <c r="A1068" i="16"/>
  <c r="A1069" i="16"/>
  <c r="A1070" i="16"/>
  <c r="A1071" i="16"/>
  <c r="A1072" i="16"/>
  <c r="A1073" i="16"/>
  <c r="A1074" i="16"/>
  <c r="A1075" i="16"/>
  <c r="A1076" i="16"/>
  <c r="A1077" i="16"/>
  <c r="A1078" i="16"/>
  <c r="A1079" i="16"/>
  <c r="A1080" i="16"/>
  <c r="A1081" i="16"/>
  <c r="A1082" i="16"/>
  <c r="A1083" i="16"/>
  <c r="A1084" i="16"/>
  <c r="A1085" i="16"/>
  <c r="A1086" i="16"/>
  <c r="A1087" i="16"/>
  <c r="A1088" i="16"/>
  <c r="A1089" i="16"/>
  <c r="A1090" i="16"/>
  <c r="A1091" i="16"/>
  <c r="A1092" i="16"/>
  <c r="A1093" i="16"/>
  <c r="A1094" i="16"/>
  <c r="A1095" i="16"/>
  <c r="A1096" i="16"/>
  <c r="A1097" i="16"/>
  <c r="A1098" i="16"/>
  <c r="A1099" i="16"/>
  <c r="A1100" i="16"/>
  <c r="A1101" i="16"/>
  <c r="A1102" i="16"/>
  <c r="A1103" i="16"/>
  <c r="A1104" i="16"/>
  <c r="A1105" i="16"/>
  <c r="A1106" i="16"/>
  <c r="A1107" i="16"/>
  <c r="A1108" i="16"/>
  <c r="A1109" i="16"/>
  <c r="A1110" i="16"/>
  <c r="A1111" i="16"/>
  <c r="A1112" i="16"/>
  <c r="A1113" i="16"/>
  <c r="A1114" i="16"/>
  <c r="A1115" i="16"/>
  <c r="A1116" i="16"/>
  <c r="A1117" i="16"/>
  <c r="A1118" i="16"/>
  <c r="A1119" i="16"/>
  <c r="C185" i="16"/>
  <c r="C186" i="16"/>
  <c r="C187" i="16"/>
  <c r="C188" i="16"/>
  <c r="C189" i="16"/>
  <c r="C190" i="16"/>
  <c r="C191" i="16"/>
  <c r="C192" i="16"/>
  <c r="C193" i="16"/>
  <c r="C194" i="16"/>
  <c r="C195" i="16"/>
  <c r="C196" i="16"/>
  <c r="C197" i="16"/>
  <c r="C198" i="16"/>
  <c r="C199" i="16"/>
  <c r="C200" i="16"/>
  <c r="C201" i="16"/>
  <c r="C202" i="16"/>
  <c r="C203" i="16"/>
  <c r="C204" i="16"/>
  <c r="C205" i="16"/>
  <c r="C206" i="16"/>
  <c r="C207" i="16"/>
  <c r="C208" i="16"/>
  <c r="C209" i="16"/>
  <c r="C210" i="16"/>
  <c r="C211" i="16"/>
  <c r="C212" i="16"/>
  <c r="C213" i="16"/>
  <c r="C214" i="16"/>
  <c r="C215" i="16"/>
  <c r="C216" i="16"/>
  <c r="C217" i="16"/>
  <c r="C218" i="16"/>
  <c r="C219" i="16"/>
  <c r="C220" i="16"/>
  <c r="C221" i="16"/>
  <c r="C222" i="16"/>
  <c r="C223" i="16"/>
  <c r="C224" i="16"/>
  <c r="C225" i="16"/>
  <c r="C226" i="16"/>
  <c r="C227" i="16"/>
  <c r="C228" i="16"/>
  <c r="C229" i="16"/>
  <c r="C230" i="16"/>
  <c r="C231" i="16"/>
  <c r="C232" i="16"/>
  <c r="C233" i="16"/>
  <c r="C234" i="16"/>
  <c r="C235" i="16"/>
  <c r="C236" i="16"/>
  <c r="C237" i="16"/>
  <c r="C238" i="16"/>
  <c r="C239" i="16"/>
  <c r="C240" i="16"/>
  <c r="C241" i="16"/>
  <c r="C242" i="16"/>
  <c r="C243" i="16"/>
  <c r="C244" i="16"/>
  <c r="C245" i="16"/>
  <c r="C246" i="16"/>
  <c r="C247" i="16"/>
  <c r="C248" i="16"/>
  <c r="C249" i="16"/>
  <c r="C250" i="16"/>
  <c r="C251" i="16"/>
  <c r="C252" i="16"/>
  <c r="C253" i="16"/>
  <c r="C254" i="16"/>
  <c r="C255" i="16"/>
  <c r="C256" i="16"/>
  <c r="C257" i="16"/>
  <c r="C258" i="16"/>
  <c r="C259" i="16"/>
  <c r="C260" i="16"/>
  <c r="C261" i="16"/>
  <c r="C262" i="16"/>
  <c r="C263" i="16"/>
  <c r="C264" i="16"/>
  <c r="C265" i="16"/>
  <c r="C266" i="16"/>
  <c r="C267" i="16"/>
  <c r="C268" i="16"/>
  <c r="C269" i="16"/>
  <c r="C270" i="16"/>
  <c r="C271" i="16"/>
  <c r="C272" i="16"/>
  <c r="C273" i="16"/>
  <c r="C274" i="16"/>
  <c r="C275" i="16"/>
  <c r="C276" i="16"/>
  <c r="C277" i="16"/>
  <c r="C278" i="16"/>
  <c r="C279" i="16"/>
  <c r="C280" i="16"/>
  <c r="C281" i="16"/>
  <c r="C282" i="16"/>
  <c r="C283" i="16"/>
  <c r="C284" i="16"/>
  <c r="C285" i="16"/>
  <c r="C286" i="16"/>
  <c r="C287" i="16"/>
  <c r="C288" i="16"/>
  <c r="C289" i="16"/>
  <c r="C290" i="16"/>
  <c r="C291" i="16"/>
  <c r="C292" i="16"/>
  <c r="C293" i="16"/>
  <c r="C294" i="16"/>
  <c r="C295" i="16"/>
  <c r="C296" i="16"/>
  <c r="C297" i="16"/>
  <c r="C298" i="16"/>
  <c r="C299" i="16"/>
  <c r="C300" i="16"/>
  <c r="C301" i="16"/>
  <c r="C302" i="16"/>
  <c r="C303" i="16"/>
  <c r="C304" i="16"/>
  <c r="C305" i="16"/>
  <c r="C306" i="16"/>
  <c r="C307" i="16"/>
  <c r="C308" i="16"/>
  <c r="C309" i="16"/>
  <c r="C310" i="16"/>
  <c r="C311" i="16"/>
  <c r="C312" i="16"/>
  <c r="C313" i="16"/>
  <c r="C314" i="16"/>
  <c r="C315" i="16"/>
  <c r="C316" i="16"/>
  <c r="C317" i="16"/>
  <c r="C318" i="16"/>
  <c r="C319" i="16"/>
  <c r="C320" i="16"/>
  <c r="C321" i="16"/>
  <c r="C322" i="16"/>
  <c r="C323" i="16"/>
  <c r="C324" i="16"/>
  <c r="C325" i="16"/>
  <c r="C326" i="16"/>
  <c r="C327" i="16"/>
  <c r="C328" i="16"/>
  <c r="C329" i="16"/>
  <c r="C330" i="16"/>
  <c r="C331" i="16"/>
  <c r="C332" i="16"/>
  <c r="C333" i="16"/>
  <c r="C334" i="16"/>
  <c r="C335" i="16"/>
  <c r="C336" i="16"/>
  <c r="C337" i="16"/>
  <c r="C338" i="16"/>
  <c r="C339" i="16"/>
  <c r="C340" i="16"/>
  <c r="C341" i="16"/>
  <c r="C342" i="16"/>
  <c r="C343" i="16"/>
  <c r="C344" i="16"/>
  <c r="C345" i="16"/>
  <c r="C346" i="16"/>
  <c r="C347" i="16"/>
  <c r="C348" i="16"/>
  <c r="C349" i="16"/>
  <c r="C350" i="16"/>
  <c r="C351" i="16"/>
  <c r="C352" i="16"/>
  <c r="C353" i="16"/>
  <c r="C354" i="16"/>
  <c r="C355" i="16"/>
  <c r="C356" i="16"/>
  <c r="C357" i="16"/>
  <c r="C358" i="16"/>
  <c r="C359" i="16"/>
  <c r="C360" i="16"/>
  <c r="C361" i="16"/>
  <c r="C362" i="16"/>
  <c r="C363" i="16"/>
  <c r="C364" i="16"/>
  <c r="C365" i="16"/>
  <c r="C366" i="16"/>
  <c r="C367" i="16"/>
  <c r="C368" i="16"/>
  <c r="C369" i="16"/>
  <c r="C370" i="16"/>
  <c r="C371" i="16"/>
  <c r="C372" i="16"/>
  <c r="C373" i="16"/>
  <c r="C374" i="16"/>
  <c r="C375" i="16"/>
  <c r="C376" i="16"/>
  <c r="C377" i="16"/>
  <c r="C378" i="16"/>
  <c r="C379" i="16"/>
  <c r="C380" i="16"/>
  <c r="C381" i="16"/>
  <c r="C382" i="16"/>
  <c r="C383" i="16"/>
  <c r="C384" i="16"/>
  <c r="C385" i="16"/>
  <c r="C386" i="16"/>
  <c r="C387" i="16"/>
  <c r="C388" i="16"/>
  <c r="C389" i="16"/>
  <c r="C390" i="16"/>
  <c r="C391" i="16"/>
  <c r="C392" i="16"/>
  <c r="C393" i="16"/>
  <c r="C394" i="16"/>
  <c r="C395" i="16"/>
  <c r="C396" i="16"/>
  <c r="C397" i="16"/>
  <c r="C398" i="16"/>
  <c r="C399" i="16"/>
  <c r="C400" i="16"/>
  <c r="C401" i="16"/>
  <c r="C402" i="16"/>
  <c r="C403" i="16"/>
  <c r="C404" i="16"/>
  <c r="C405" i="16"/>
  <c r="C406" i="16"/>
  <c r="C407" i="16"/>
  <c r="C408" i="16"/>
  <c r="C409" i="16"/>
  <c r="C410" i="16"/>
  <c r="C411" i="16"/>
  <c r="C412" i="16"/>
  <c r="C413" i="16"/>
  <c r="C414" i="16"/>
  <c r="C415" i="16"/>
  <c r="C416" i="16"/>
  <c r="C417" i="16"/>
  <c r="C418" i="16"/>
  <c r="C419" i="16"/>
  <c r="C420" i="16"/>
  <c r="C421" i="16"/>
  <c r="C422" i="16"/>
  <c r="C423" i="16"/>
  <c r="C424" i="16"/>
  <c r="C425" i="16"/>
  <c r="C426" i="16"/>
  <c r="C427" i="16"/>
  <c r="C428" i="16"/>
  <c r="C429" i="16"/>
  <c r="C430" i="16"/>
  <c r="C431" i="16"/>
  <c r="C432" i="16"/>
  <c r="C433" i="16"/>
  <c r="C434" i="16"/>
  <c r="C435" i="16"/>
  <c r="C436" i="16"/>
  <c r="C437" i="16"/>
  <c r="C438" i="16"/>
  <c r="C439" i="16"/>
  <c r="C440" i="16"/>
  <c r="C441" i="16"/>
  <c r="C442" i="16"/>
  <c r="C443" i="16"/>
  <c r="C444" i="16"/>
  <c r="C445" i="16"/>
  <c r="C446" i="16"/>
  <c r="C447" i="16"/>
  <c r="C448" i="16"/>
  <c r="C449" i="16"/>
  <c r="C450" i="16"/>
  <c r="C451" i="16"/>
  <c r="C452" i="16"/>
  <c r="C453" i="16"/>
  <c r="C454" i="16"/>
  <c r="C455" i="16"/>
  <c r="C456" i="16"/>
  <c r="C457" i="16"/>
  <c r="C458" i="16"/>
  <c r="C459" i="16"/>
  <c r="C460" i="16"/>
  <c r="C461" i="16"/>
  <c r="C462" i="16"/>
  <c r="C463" i="16"/>
  <c r="C464" i="16"/>
  <c r="C465" i="16"/>
  <c r="C466" i="16"/>
  <c r="C467" i="16"/>
  <c r="C468" i="16"/>
  <c r="C469" i="16"/>
  <c r="C470" i="16"/>
  <c r="C471" i="16"/>
  <c r="C472" i="16"/>
  <c r="C473" i="16"/>
  <c r="C474" i="16"/>
  <c r="C475" i="16"/>
  <c r="C476" i="16"/>
  <c r="C477" i="16"/>
  <c r="C478" i="16"/>
  <c r="C479" i="16"/>
  <c r="C480" i="16"/>
  <c r="C481" i="16"/>
  <c r="C482" i="16"/>
  <c r="C483" i="16"/>
  <c r="C484" i="16"/>
  <c r="C485" i="16"/>
  <c r="C486" i="16"/>
  <c r="C487" i="16"/>
  <c r="C488" i="16"/>
  <c r="C489" i="16"/>
  <c r="C490" i="16"/>
  <c r="C491" i="16"/>
  <c r="C492" i="16"/>
  <c r="C493" i="16"/>
  <c r="C494" i="16"/>
  <c r="C495" i="16"/>
  <c r="C496" i="16"/>
  <c r="C497" i="16"/>
  <c r="C498" i="16"/>
  <c r="C499" i="16"/>
  <c r="C500" i="16"/>
  <c r="C501" i="16"/>
  <c r="C502" i="16"/>
  <c r="C503" i="16"/>
  <c r="C504" i="16"/>
  <c r="C505" i="16"/>
  <c r="C506" i="16"/>
  <c r="C507" i="16"/>
  <c r="C508" i="16"/>
  <c r="C509" i="16"/>
  <c r="C510" i="16"/>
  <c r="C511" i="16"/>
  <c r="C512" i="16"/>
  <c r="C513" i="16"/>
  <c r="C514" i="16"/>
  <c r="C515" i="16"/>
  <c r="C516" i="16"/>
  <c r="C517" i="16"/>
  <c r="C518" i="16"/>
  <c r="C519" i="16"/>
  <c r="C520" i="16"/>
  <c r="C521" i="16"/>
  <c r="C522" i="16"/>
  <c r="C523" i="16"/>
  <c r="C524" i="16"/>
  <c r="C525" i="16"/>
  <c r="C526" i="16"/>
  <c r="C527" i="16"/>
  <c r="C528" i="16"/>
  <c r="C529" i="16"/>
  <c r="C530" i="16"/>
  <c r="C531" i="16"/>
  <c r="C532" i="16"/>
  <c r="C533" i="16"/>
  <c r="C534" i="16"/>
  <c r="C535" i="16"/>
  <c r="C536" i="16"/>
  <c r="C537" i="16"/>
  <c r="C538" i="16"/>
  <c r="C539" i="16"/>
  <c r="C540" i="16"/>
  <c r="C541" i="16"/>
  <c r="C542" i="16"/>
  <c r="C543" i="16"/>
  <c r="C544" i="16"/>
  <c r="C545" i="16"/>
  <c r="C546" i="16"/>
  <c r="C547" i="16"/>
  <c r="C548" i="16"/>
  <c r="C549" i="16"/>
  <c r="C550" i="16"/>
  <c r="C551" i="16"/>
  <c r="C552" i="16"/>
  <c r="C553" i="16"/>
  <c r="C554" i="16"/>
  <c r="C555" i="16"/>
  <c r="C556" i="16"/>
  <c r="C557" i="16"/>
  <c r="C558" i="16"/>
  <c r="C559" i="16"/>
  <c r="C560" i="16"/>
  <c r="C561" i="16"/>
  <c r="C562" i="16"/>
  <c r="C563" i="16"/>
  <c r="C564" i="16"/>
  <c r="C565" i="16"/>
  <c r="C566" i="16"/>
  <c r="C567" i="16"/>
  <c r="C568" i="16"/>
  <c r="C569" i="16"/>
  <c r="C570" i="16"/>
  <c r="C571" i="16"/>
  <c r="C572" i="16"/>
  <c r="C573" i="16"/>
  <c r="C574" i="16"/>
  <c r="C575" i="16"/>
  <c r="C576" i="16"/>
  <c r="C577" i="16"/>
  <c r="C578" i="16"/>
  <c r="C579" i="16"/>
  <c r="C580" i="16"/>
  <c r="C581" i="16"/>
  <c r="C582" i="16"/>
  <c r="C583" i="16"/>
  <c r="C584" i="16"/>
  <c r="C585" i="16"/>
  <c r="C586" i="16"/>
  <c r="C587" i="16"/>
  <c r="C588" i="16"/>
  <c r="C589" i="16"/>
  <c r="C590" i="16"/>
  <c r="C591" i="16"/>
  <c r="C592" i="16"/>
  <c r="C593" i="16"/>
  <c r="C594" i="16"/>
  <c r="C595" i="16"/>
  <c r="C596" i="16"/>
  <c r="C597" i="16"/>
  <c r="C598" i="16"/>
  <c r="C599" i="16"/>
  <c r="C600" i="16"/>
  <c r="C601" i="16"/>
  <c r="C602" i="16"/>
  <c r="C603" i="16"/>
  <c r="C604" i="16"/>
  <c r="C605" i="16"/>
  <c r="C606" i="16"/>
  <c r="C607" i="16"/>
  <c r="C608" i="16"/>
  <c r="C609" i="16"/>
  <c r="C610" i="16"/>
  <c r="C611" i="16"/>
  <c r="C612" i="16"/>
  <c r="C613" i="16"/>
  <c r="C614" i="16"/>
  <c r="C615" i="16"/>
  <c r="C616" i="16"/>
  <c r="C617" i="16"/>
  <c r="C618" i="16"/>
  <c r="C619" i="16"/>
  <c r="C620" i="16"/>
  <c r="C621" i="16"/>
  <c r="C622" i="16"/>
  <c r="C623" i="16"/>
  <c r="C624" i="16"/>
  <c r="C625" i="16"/>
  <c r="C626" i="16"/>
  <c r="C627" i="16"/>
  <c r="C628" i="16"/>
  <c r="C629" i="16"/>
  <c r="C630" i="16"/>
  <c r="C631" i="16"/>
  <c r="C632" i="16"/>
  <c r="C633" i="16"/>
  <c r="C634" i="16"/>
  <c r="C635" i="16"/>
  <c r="C636" i="16"/>
  <c r="C637" i="16"/>
  <c r="C638" i="16"/>
  <c r="C639" i="16"/>
  <c r="C640" i="16"/>
  <c r="C641" i="16"/>
  <c r="C642" i="16"/>
  <c r="C643" i="16"/>
  <c r="C644" i="16"/>
  <c r="C645" i="16"/>
  <c r="C646" i="16"/>
  <c r="C647" i="16"/>
  <c r="C648" i="16"/>
  <c r="C649" i="16"/>
  <c r="C650" i="16"/>
  <c r="C651" i="16"/>
  <c r="C652" i="16"/>
  <c r="C653" i="16"/>
  <c r="C654" i="16"/>
  <c r="C655" i="16"/>
  <c r="C656" i="16"/>
  <c r="C657" i="16"/>
  <c r="C658" i="16"/>
  <c r="C659" i="16"/>
  <c r="C660" i="16"/>
  <c r="C661" i="16"/>
  <c r="C662" i="16"/>
  <c r="C663" i="16"/>
  <c r="C664" i="16"/>
  <c r="C665" i="16"/>
  <c r="C666" i="16"/>
  <c r="C667" i="16"/>
  <c r="C668" i="16"/>
  <c r="C669" i="16"/>
  <c r="C670" i="16"/>
  <c r="C671" i="16"/>
  <c r="C672" i="16"/>
  <c r="C673" i="16"/>
  <c r="C674" i="16"/>
  <c r="C675" i="16"/>
  <c r="C676" i="16"/>
  <c r="C677" i="16"/>
  <c r="C678" i="16"/>
  <c r="C679" i="16"/>
  <c r="C680" i="16"/>
  <c r="C681" i="16"/>
  <c r="C682" i="16"/>
  <c r="C683" i="16"/>
  <c r="C684" i="16"/>
  <c r="C685" i="16"/>
  <c r="C686" i="16"/>
  <c r="C687" i="16"/>
  <c r="C688" i="16"/>
  <c r="C689" i="16"/>
  <c r="C690" i="16"/>
  <c r="C691" i="16"/>
  <c r="C692" i="16"/>
  <c r="C693" i="16"/>
  <c r="C694" i="16"/>
  <c r="C695" i="16"/>
  <c r="C696" i="16"/>
  <c r="C697" i="16"/>
  <c r="C698" i="16"/>
  <c r="C699" i="16"/>
  <c r="C700" i="16"/>
  <c r="C701" i="16"/>
  <c r="C702" i="16"/>
  <c r="C703" i="16"/>
  <c r="C704" i="16"/>
  <c r="C705" i="16"/>
  <c r="C706" i="16"/>
  <c r="C707" i="16"/>
  <c r="C708" i="16"/>
  <c r="C709" i="16"/>
  <c r="C710" i="16"/>
  <c r="C711" i="16"/>
  <c r="C712" i="16"/>
  <c r="C713" i="16"/>
  <c r="C714" i="16"/>
  <c r="C715" i="16"/>
  <c r="C716" i="16"/>
  <c r="C717" i="16"/>
  <c r="C718" i="16"/>
  <c r="C719" i="16"/>
  <c r="C720" i="16"/>
  <c r="C721" i="16"/>
  <c r="C722" i="16"/>
  <c r="C723" i="16"/>
  <c r="C724" i="16"/>
  <c r="C725" i="16"/>
  <c r="C726" i="16"/>
  <c r="C727" i="16"/>
  <c r="C728" i="16"/>
  <c r="C729" i="16"/>
  <c r="C730" i="16"/>
  <c r="C731" i="16"/>
  <c r="C732" i="16"/>
  <c r="C733" i="16"/>
  <c r="C734" i="16"/>
  <c r="C735" i="16"/>
  <c r="C736" i="16"/>
  <c r="C737" i="16"/>
  <c r="C738" i="16"/>
  <c r="C739" i="16"/>
  <c r="C740" i="16"/>
  <c r="C741" i="16"/>
  <c r="C742" i="16"/>
  <c r="C743" i="16"/>
  <c r="C744" i="16"/>
  <c r="C745" i="16"/>
  <c r="C746" i="16"/>
  <c r="C747" i="16"/>
  <c r="C748" i="16"/>
  <c r="C749" i="16"/>
  <c r="C750" i="16"/>
  <c r="C751" i="16"/>
  <c r="C752" i="16"/>
  <c r="C753" i="16"/>
  <c r="C754" i="16"/>
  <c r="C755" i="16"/>
  <c r="C756" i="16"/>
  <c r="C757" i="16"/>
  <c r="C758" i="16"/>
  <c r="C759" i="16"/>
  <c r="C760" i="16"/>
  <c r="C761" i="16"/>
  <c r="C762" i="16"/>
  <c r="C763" i="16"/>
  <c r="C764" i="16"/>
  <c r="C765" i="16"/>
  <c r="C766" i="16"/>
  <c r="C767" i="16"/>
  <c r="C768" i="16"/>
  <c r="C769" i="16"/>
  <c r="C770" i="16"/>
  <c r="C771" i="16"/>
  <c r="C772" i="16"/>
  <c r="C773" i="16"/>
  <c r="C774" i="16"/>
  <c r="C775" i="16"/>
  <c r="C776" i="16"/>
  <c r="C777" i="16"/>
  <c r="C778" i="16"/>
  <c r="C779" i="16"/>
  <c r="C780" i="16"/>
  <c r="C781" i="16"/>
  <c r="C782" i="16"/>
  <c r="C783" i="16"/>
  <c r="C784" i="16"/>
  <c r="C785" i="16"/>
  <c r="C786" i="16"/>
  <c r="C787" i="16"/>
  <c r="C788" i="16"/>
  <c r="C789" i="16"/>
  <c r="C790" i="16"/>
  <c r="C791" i="16"/>
  <c r="C792" i="16"/>
  <c r="C793" i="16"/>
  <c r="C794" i="16"/>
  <c r="C795" i="16"/>
  <c r="C796" i="16"/>
  <c r="C797" i="16"/>
  <c r="C798" i="16"/>
  <c r="C799" i="16"/>
  <c r="C800" i="16"/>
  <c r="C801" i="16"/>
  <c r="C802" i="16"/>
  <c r="C803" i="16"/>
  <c r="C804" i="16"/>
  <c r="C805" i="16"/>
  <c r="C806" i="16"/>
  <c r="C807" i="16"/>
  <c r="C808" i="16"/>
  <c r="C809" i="16"/>
  <c r="C810" i="16"/>
  <c r="C811" i="16"/>
  <c r="C812" i="16"/>
  <c r="C813" i="16"/>
  <c r="C814" i="16"/>
  <c r="C815" i="16"/>
  <c r="C816" i="16"/>
  <c r="C817" i="16"/>
  <c r="C818" i="16"/>
  <c r="C819" i="16"/>
  <c r="C820" i="16"/>
  <c r="C821" i="16"/>
  <c r="C822" i="16"/>
  <c r="C823" i="16"/>
  <c r="C824" i="16"/>
  <c r="C825" i="16"/>
  <c r="C826" i="16"/>
  <c r="C827" i="16"/>
  <c r="C828" i="16"/>
  <c r="C829" i="16"/>
  <c r="C830" i="16"/>
  <c r="C831" i="16"/>
  <c r="C832" i="16"/>
  <c r="C833" i="16"/>
  <c r="C834" i="16"/>
  <c r="C835" i="16"/>
  <c r="C836" i="16"/>
  <c r="C837" i="16"/>
  <c r="C838" i="16"/>
  <c r="C839" i="16"/>
  <c r="C840" i="16"/>
  <c r="C841" i="16"/>
  <c r="C842" i="16"/>
  <c r="C843" i="16"/>
  <c r="C844" i="16"/>
  <c r="C845" i="16"/>
  <c r="C846" i="16"/>
  <c r="C847" i="16"/>
  <c r="C848" i="16"/>
  <c r="C849" i="16"/>
  <c r="C850" i="16"/>
  <c r="C851" i="16"/>
  <c r="C852" i="16"/>
  <c r="C853" i="16"/>
  <c r="C854" i="16"/>
  <c r="C855" i="16"/>
  <c r="C856" i="16"/>
  <c r="C857" i="16"/>
  <c r="C858" i="16"/>
  <c r="C859" i="16"/>
  <c r="C860" i="16"/>
  <c r="C861" i="16"/>
  <c r="C862" i="16"/>
  <c r="C863" i="16"/>
  <c r="C864" i="16"/>
  <c r="C865" i="16"/>
  <c r="C866" i="16"/>
  <c r="C867" i="16"/>
  <c r="C868" i="16"/>
  <c r="C869" i="16"/>
  <c r="C870" i="16"/>
  <c r="C871" i="16"/>
  <c r="C872" i="16"/>
  <c r="C873" i="16"/>
  <c r="C874" i="16"/>
  <c r="C875" i="16"/>
  <c r="C876" i="16"/>
  <c r="C877" i="16"/>
  <c r="C878" i="16"/>
  <c r="C879" i="16"/>
  <c r="C880" i="16"/>
  <c r="C881" i="16"/>
  <c r="C882" i="16"/>
  <c r="C883" i="16"/>
  <c r="C884" i="16"/>
  <c r="C885" i="16"/>
  <c r="C886" i="16"/>
  <c r="C887" i="16"/>
  <c r="C888" i="16"/>
  <c r="C889" i="16"/>
  <c r="C890" i="16"/>
  <c r="C891" i="16"/>
  <c r="C892" i="16"/>
  <c r="C893" i="16"/>
  <c r="C894" i="16"/>
  <c r="C895" i="16"/>
  <c r="C896" i="16"/>
  <c r="C897" i="16"/>
  <c r="C898" i="16"/>
  <c r="C899" i="16"/>
  <c r="C900" i="16"/>
  <c r="C901" i="16"/>
  <c r="C902" i="16"/>
  <c r="C903" i="16"/>
  <c r="C904" i="16"/>
  <c r="C905" i="16"/>
  <c r="C906" i="16"/>
  <c r="C907" i="16"/>
  <c r="C908" i="16"/>
  <c r="C909" i="16"/>
  <c r="C910" i="16"/>
  <c r="C911" i="16"/>
  <c r="C912" i="16"/>
  <c r="C913" i="16"/>
  <c r="C914" i="16"/>
  <c r="C915" i="16"/>
  <c r="C916" i="16"/>
  <c r="C917" i="16"/>
  <c r="C918" i="16"/>
  <c r="C919" i="16"/>
  <c r="C920" i="16"/>
  <c r="C921" i="16"/>
  <c r="C922" i="16"/>
  <c r="C923" i="16"/>
  <c r="C924" i="16"/>
  <c r="C925" i="16"/>
  <c r="C926" i="16"/>
  <c r="C927" i="16"/>
  <c r="C928" i="16"/>
  <c r="C929" i="16"/>
  <c r="C930" i="16"/>
  <c r="C931" i="16"/>
  <c r="C932" i="16"/>
  <c r="C933" i="16"/>
  <c r="C934" i="16"/>
  <c r="C935" i="16"/>
  <c r="C936" i="16"/>
  <c r="C937" i="16"/>
  <c r="C938" i="16"/>
  <c r="C939" i="16"/>
  <c r="C940" i="16"/>
  <c r="C941" i="16"/>
  <c r="C942" i="16"/>
  <c r="C943" i="16"/>
  <c r="C944" i="16"/>
  <c r="C945" i="16"/>
  <c r="C946" i="16"/>
  <c r="C947" i="16"/>
  <c r="C948" i="16"/>
  <c r="C949" i="16"/>
  <c r="C950" i="16"/>
  <c r="C951" i="16"/>
  <c r="C952" i="16"/>
  <c r="C953" i="16"/>
  <c r="C954" i="16"/>
  <c r="C955" i="16"/>
  <c r="C956" i="16"/>
  <c r="C957" i="16"/>
  <c r="C958" i="16"/>
  <c r="C959" i="16"/>
  <c r="C960" i="16"/>
  <c r="C961" i="16"/>
  <c r="C962" i="16"/>
  <c r="C963" i="16"/>
  <c r="C964" i="16"/>
  <c r="C965" i="16"/>
  <c r="C966" i="16"/>
  <c r="C967" i="16"/>
  <c r="C968" i="16"/>
  <c r="C969" i="16"/>
  <c r="C970" i="16"/>
  <c r="C971" i="16"/>
  <c r="C972" i="16"/>
  <c r="C973" i="16"/>
  <c r="C974" i="16"/>
  <c r="C975" i="16"/>
  <c r="C976" i="16"/>
  <c r="C977" i="16"/>
  <c r="C978" i="16"/>
  <c r="C979" i="16"/>
  <c r="C980" i="16"/>
  <c r="C981" i="16"/>
  <c r="C982" i="16"/>
  <c r="C983" i="16"/>
  <c r="C984" i="16"/>
  <c r="C985" i="16"/>
  <c r="C986" i="16"/>
  <c r="C987" i="16"/>
  <c r="C988" i="16"/>
  <c r="C989" i="16"/>
  <c r="C990" i="16"/>
  <c r="C991" i="16"/>
  <c r="C992" i="16"/>
  <c r="C993" i="16"/>
  <c r="C994" i="16"/>
  <c r="C995" i="16"/>
  <c r="C996" i="16"/>
  <c r="C997" i="16"/>
  <c r="C998" i="16"/>
  <c r="C999" i="16"/>
  <c r="C1000" i="16"/>
  <c r="C1001" i="16"/>
  <c r="C1002" i="16"/>
  <c r="C1003" i="16"/>
  <c r="C1004" i="16"/>
  <c r="C1005" i="16"/>
  <c r="C1006" i="16"/>
  <c r="C1007" i="16"/>
  <c r="C1008" i="16"/>
  <c r="C1009" i="16"/>
  <c r="C1010" i="16"/>
  <c r="C1011" i="16"/>
  <c r="C1012" i="16"/>
  <c r="C1013" i="16"/>
  <c r="C1014" i="16"/>
  <c r="C1015" i="16"/>
  <c r="C1016" i="16"/>
  <c r="C1017" i="16"/>
  <c r="C1018" i="16"/>
  <c r="C1019" i="16"/>
  <c r="C1020" i="16"/>
  <c r="C1021" i="16"/>
  <c r="C1022" i="16"/>
  <c r="C1023" i="16"/>
  <c r="C1024" i="16"/>
  <c r="C1025" i="16"/>
  <c r="C1026" i="16"/>
  <c r="C1027" i="16"/>
  <c r="C1028" i="16"/>
  <c r="C1029" i="16"/>
  <c r="C1030" i="16"/>
  <c r="C1031" i="16"/>
  <c r="C1032" i="16"/>
  <c r="C1033" i="16"/>
  <c r="C1034" i="16"/>
  <c r="C1035" i="16"/>
  <c r="C1036" i="16"/>
  <c r="C1037" i="16"/>
  <c r="C1038" i="16"/>
  <c r="C1039" i="16"/>
  <c r="C1040" i="16"/>
  <c r="C1041" i="16"/>
  <c r="C1042" i="16"/>
  <c r="C1043" i="16"/>
  <c r="C1044" i="16"/>
  <c r="C1045" i="16"/>
  <c r="C1046" i="16"/>
  <c r="C1047" i="16"/>
  <c r="C1048" i="16"/>
  <c r="C1049" i="16"/>
  <c r="C1050" i="16"/>
  <c r="C1051" i="16"/>
  <c r="C1052" i="16"/>
  <c r="C1053" i="16"/>
  <c r="C1054" i="16"/>
  <c r="C1055" i="16"/>
  <c r="C1056" i="16"/>
  <c r="C1057" i="16"/>
  <c r="C1058" i="16"/>
  <c r="C1059" i="16"/>
  <c r="C1060" i="16"/>
  <c r="C1061" i="16"/>
  <c r="C1062" i="16"/>
  <c r="C1063" i="16"/>
  <c r="C1064" i="16"/>
  <c r="C1065" i="16"/>
  <c r="C1066" i="16"/>
  <c r="C1067" i="16"/>
  <c r="C1068" i="16"/>
  <c r="C1069" i="16"/>
  <c r="C1070" i="16"/>
  <c r="C1071" i="16"/>
  <c r="C1072" i="16"/>
  <c r="C1073" i="16"/>
  <c r="C1074" i="16"/>
  <c r="C1075" i="16"/>
  <c r="C1076" i="16"/>
  <c r="C1077" i="16"/>
  <c r="C1078" i="16"/>
  <c r="C1079" i="16"/>
  <c r="C1080" i="16"/>
  <c r="C1081" i="16"/>
  <c r="C1082" i="16"/>
  <c r="C1083" i="16"/>
  <c r="C1084" i="16"/>
  <c r="C1085" i="16"/>
  <c r="C1086" i="16"/>
  <c r="C1087" i="16"/>
  <c r="C1088" i="16"/>
  <c r="C1089" i="16"/>
  <c r="C1090" i="16"/>
  <c r="C1091" i="16"/>
  <c r="C1092" i="16"/>
  <c r="C1093" i="16"/>
  <c r="C1094" i="16"/>
  <c r="C1095" i="16"/>
  <c r="C1096" i="16"/>
  <c r="C1097" i="16"/>
  <c r="C1098" i="16"/>
  <c r="C1099" i="16"/>
  <c r="C1100" i="16"/>
  <c r="C1101" i="16"/>
  <c r="C1102" i="16"/>
  <c r="C1103" i="16"/>
  <c r="C1104" i="16"/>
  <c r="C1105" i="16"/>
  <c r="C1106" i="16"/>
  <c r="C1107" i="16"/>
  <c r="C1108" i="16"/>
  <c r="C1109" i="16"/>
  <c r="C1110" i="16"/>
  <c r="C1111" i="16"/>
  <c r="C1112" i="16"/>
  <c r="C1113" i="16"/>
  <c r="C1114" i="16"/>
  <c r="C1115" i="16"/>
  <c r="C1116" i="16"/>
  <c r="C1117" i="16"/>
  <c r="C1118" i="16"/>
  <c r="C1119" i="16"/>
  <c r="N1119" i="16"/>
  <c r="L1119" i="16"/>
  <c r="K1119" i="16"/>
  <c r="J1119" i="16"/>
  <c r="I1119" i="16"/>
  <c r="G1119" i="16"/>
  <c r="N1118" i="16"/>
  <c r="L1118" i="16"/>
  <c r="K1118" i="16"/>
  <c r="J1118" i="16"/>
  <c r="I1118" i="16"/>
  <c r="G1118" i="16"/>
  <c r="N1117" i="16"/>
  <c r="L1117" i="16"/>
  <c r="K1117" i="16"/>
  <c r="J1117" i="16"/>
  <c r="I1117" i="16"/>
  <c r="G1117" i="16"/>
  <c r="N1116" i="16"/>
  <c r="L1116" i="16"/>
  <c r="K1116" i="16"/>
  <c r="J1116" i="16"/>
  <c r="I1116" i="16"/>
  <c r="G1116" i="16"/>
  <c r="N1115" i="16"/>
  <c r="L1115" i="16"/>
  <c r="K1115" i="16"/>
  <c r="J1115" i="16"/>
  <c r="I1115" i="16"/>
  <c r="G1115" i="16"/>
  <c r="N1114" i="16"/>
  <c r="L1114" i="16"/>
  <c r="K1114" i="16"/>
  <c r="J1114" i="16"/>
  <c r="I1114" i="16"/>
  <c r="G1114" i="16"/>
  <c r="N1113" i="16"/>
  <c r="L1113" i="16"/>
  <c r="K1113" i="16"/>
  <c r="J1113" i="16"/>
  <c r="I1113" i="16"/>
  <c r="G1113" i="16"/>
  <c r="N1112" i="16"/>
  <c r="L1112" i="16"/>
  <c r="K1112" i="16"/>
  <c r="J1112" i="16"/>
  <c r="I1112" i="16"/>
  <c r="G1112" i="16"/>
  <c r="N1111" i="16"/>
  <c r="L1111" i="16"/>
  <c r="K1111" i="16"/>
  <c r="J1111" i="16"/>
  <c r="I1111" i="16"/>
  <c r="G1111" i="16"/>
  <c r="N1110" i="16"/>
  <c r="L1110" i="16"/>
  <c r="K1110" i="16"/>
  <c r="J1110" i="16"/>
  <c r="I1110" i="16"/>
  <c r="G1110" i="16"/>
  <c r="N1109" i="16"/>
  <c r="L1109" i="16"/>
  <c r="K1109" i="16"/>
  <c r="J1109" i="16"/>
  <c r="I1109" i="16"/>
  <c r="G1109" i="16"/>
  <c r="N1108" i="16"/>
  <c r="L1108" i="16"/>
  <c r="K1108" i="16"/>
  <c r="J1108" i="16"/>
  <c r="I1108" i="16"/>
  <c r="G1108" i="16"/>
  <c r="N1107" i="16"/>
  <c r="L1107" i="16"/>
  <c r="K1107" i="16"/>
  <c r="J1107" i="16"/>
  <c r="I1107" i="16"/>
  <c r="G1107" i="16"/>
  <c r="N1106" i="16"/>
  <c r="L1106" i="16"/>
  <c r="K1106" i="16"/>
  <c r="J1106" i="16"/>
  <c r="I1106" i="16"/>
  <c r="G1106" i="16"/>
  <c r="N1105" i="16"/>
  <c r="L1105" i="16"/>
  <c r="K1105" i="16"/>
  <c r="J1105" i="16"/>
  <c r="I1105" i="16"/>
  <c r="G1105" i="16"/>
  <c r="N1104" i="16"/>
  <c r="L1104" i="16"/>
  <c r="K1104" i="16"/>
  <c r="J1104" i="16"/>
  <c r="I1104" i="16"/>
  <c r="G1104" i="16"/>
  <c r="N1103" i="16"/>
  <c r="L1103" i="16"/>
  <c r="K1103" i="16"/>
  <c r="J1103" i="16"/>
  <c r="I1103" i="16"/>
  <c r="G1103" i="16"/>
  <c r="N1102" i="16"/>
  <c r="L1102" i="16"/>
  <c r="K1102" i="16"/>
  <c r="J1102" i="16"/>
  <c r="I1102" i="16"/>
  <c r="G1102" i="16"/>
  <c r="N1101" i="16"/>
  <c r="L1101" i="16"/>
  <c r="K1101" i="16"/>
  <c r="J1101" i="16"/>
  <c r="I1101" i="16"/>
  <c r="G1101" i="16"/>
  <c r="N1100" i="16"/>
  <c r="L1100" i="16"/>
  <c r="K1100" i="16"/>
  <c r="J1100" i="16"/>
  <c r="I1100" i="16"/>
  <c r="G1100" i="16"/>
  <c r="N1099" i="16"/>
  <c r="L1099" i="16"/>
  <c r="K1099" i="16"/>
  <c r="J1099" i="16"/>
  <c r="I1099" i="16"/>
  <c r="G1099" i="16"/>
  <c r="N1098" i="16"/>
  <c r="L1098" i="16"/>
  <c r="K1098" i="16"/>
  <c r="J1098" i="16"/>
  <c r="I1098" i="16"/>
  <c r="G1098" i="16"/>
  <c r="N1097" i="16"/>
  <c r="L1097" i="16"/>
  <c r="K1097" i="16"/>
  <c r="J1097" i="16"/>
  <c r="I1097" i="16"/>
  <c r="G1097" i="16"/>
  <c r="N1096" i="16"/>
  <c r="L1096" i="16"/>
  <c r="K1096" i="16"/>
  <c r="J1096" i="16"/>
  <c r="I1096" i="16"/>
  <c r="G1096" i="16"/>
  <c r="N1095" i="16"/>
  <c r="L1095" i="16"/>
  <c r="K1095" i="16"/>
  <c r="J1095" i="16"/>
  <c r="I1095" i="16"/>
  <c r="G1095" i="16"/>
  <c r="N1094" i="16"/>
  <c r="L1094" i="16"/>
  <c r="K1094" i="16"/>
  <c r="J1094" i="16"/>
  <c r="I1094" i="16"/>
  <c r="G1094" i="16"/>
  <c r="N1093" i="16"/>
  <c r="L1093" i="16"/>
  <c r="K1093" i="16"/>
  <c r="J1093" i="16"/>
  <c r="I1093" i="16"/>
  <c r="G1093" i="16"/>
  <c r="N1092" i="16"/>
  <c r="L1092" i="16"/>
  <c r="K1092" i="16"/>
  <c r="J1092" i="16"/>
  <c r="I1092" i="16"/>
  <c r="G1092" i="16"/>
  <c r="N1091" i="16"/>
  <c r="L1091" i="16"/>
  <c r="K1091" i="16"/>
  <c r="J1091" i="16"/>
  <c r="I1091" i="16"/>
  <c r="G1091" i="16"/>
  <c r="N1090" i="16"/>
  <c r="L1090" i="16"/>
  <c r="K1090" i="16"/>
  <c r="J1090" i="16"/>
  <c r="I1090" i="16"/>
  <c r="G1090" i="16"/>
  <c r="N1089" i="16"/>
  <c r="L1089" i="16"/>
  <c r="K1089" i="16"/>
  <c r="J1089" i="16"/>
  <c r="I1089" i="16"/>
  <c r="G1089" i="16"/>
  <c r="N1088" i="16"/>
  <c r="L1088" i="16"/>
  <c r="K1088" i="16"/>
  <c r="J1088" i="16"/>
  <c r="I1088" i="16"/>
  <c r="G1088" i="16"/>
  <c r="N1087" i="16"/>
  <c r="L1087" i="16"/>
  <c r="K1087" i="16"/>
  <c r="J1087" i="16"/>
  <c r="I1087" i="16"/>
  <c r="G1087" i="16"/>
  <c r="N1086" i="16"/>
  <c r="L1086" i="16"/>
  <c r="K1086" i="16"/>
  <c r="J1086" i="16"/>
  <c r="I1086" i="16"/>
  <c r="G1086" i="16"/>
  <c r="N1085" i="16"/>
  <c r="L1085" i="16"/>
  <c r="K1085" i="16"/>
  <c r="J1085" i="16"/>
  <c r="I1085" i="16"/>
  <c r="G1085" i="16"/>
  <c r="N1084" i="16"/>
  <c r="L1084" i="16"/>
  <c r="K1084" i="16"/>
  <c r="J1084" i="16"/>
  <c r="I1084" i="16"/>
  <c r="G1084" i="16"/>
  <c r="N1083" i="16"/>
  <c r="L1083" i="16"/>
  <c r="K1083" i="16"/>
  <c r="J1083" i="16"/>
  <c r="I1083" i="16"/>
  <c r="G1083" i="16"/>
  <c r="N1082" i="16"/>
  <c r="L1082" i="16"/>
  <c r="K1082" i="16"/>
  <c r="J1082" i="16"/>
  <c r="I1082" i="16"/>
  <c r="G1082" i="16"/>
  <c r="N1081" i="16"/>
  <c r="L1081" i="16"/>
  <c r="K1081" i="16"/>
  <c r="J1081" i="16"/>
  <c r="I1081" i="16"/>
  <c r="G1081" i="16"/>
  <c r="N1080" i="16"/>
  <c r="L1080" i="16"/>
  <c r="K1080" i="16"/>
  <c r="J1080" i="16"/>
  <c r="I1080" i="16"/>
  <c r="G1080" i="16"/>
  <c r="N1079" i="16"/>
  <c r="L1079" i="16"/>
  <c r="K1079" i="16"/>
  <c r="J1079" i="16"/>
  <c r="I1079" i="16"/>
  <c r="G1079" i="16"/>
  <c r="N1078" i="16"/>
  <c r="L1078" i="16"/>
  <c r="K1078" i="16"/>
  <c r="J1078" i="16"/>
  <c r="I1078" i="16"/>
  <c r="G1078" i="16"/>
  <c r="N1077" i="16"/>
  <c r="L1077" i="16"/>
  <c r="K1077" i="16"/>
  <c r="J1077" i="16"/>
  <c r="I1077" i="16"/>
  <c r="G1077" i="16"/>
  <c r="N1076" i="16"/>
  <c r="L1076" i="16"/>
  <c r="K1076" i="16"/>
  <c r="J1076" i="16"/>
  <c r="I1076" i="16"/>
  <c r="G1076" i="16"/>
  <c r="N1075" i="16"/>
  <c r="L1075" i="16"/>
  <c r="K1075" i="16"/>
  <c r="J1075" i="16"/>
  <c r="I1075" i="16"/>
  <c r="G1075" i="16"/>
  <c r="N1074" i="16"/>
  <c r="L1074" i="16"/>
  <c r="K1074" i="16"/>
  <c r="J1074" i="16"/>
  <c r="I1074" i="16"/>
  <c r="G1074" i="16"/>
  <c r="N1073" i="16"/>
  <c r="L1073" i="16"/>
  <c r="K1073" i="16"/>
  <c r="J1073" i="16"/>
  <c r="I1073" i="16"/>
  <c r="G1073" i="16"/>
  <c r="N1072" i="16"/>
  <c r="L1072" i="16"/>
  <c r="K1072" i="16"/>
  <c r="J1072" i="16"/>
  <c r="I1072" i="16"/>
  <c r="G1072" i="16"/>
  <c r="N1071" i="16"/>
  <c r="L1071" i="16"/>
  <c r="K1071" i="16"/>
  <c r="J1071" i="16"/>
  <c r="I1071" i="16"/>
  <c r="G1071" i="16"/>
  <c r="N1070" i="16"/>
  <c r="L1070" i="16"/>
  <c r="K1070" i="16"/>
  <c r="J1070" i="16"/>
  <c r="I1070" i="16"/>
  <c r="G1070" i="16"/>
  <c r="N1069" i="16"/>
  <c r="L1069" i="16"/>
  <c r="K1069" i="16"/>
  <c r="J1069" i="16"/>
  <c r="I1069" i="16"/>
  <c r="G1069" i="16"/>
  <c r="N1068" i="16"/>
  <c r="L1068" i="16"/>
  <c r="K1068" i="16"/>
  <c r="J1068" i="16"/>
  <c r="I1068" i="16"/>
  <c r="G1068" i="16"/>
  <c r="N1067" i="16"/>
  <c r="L1067" i="16"/>
  <c r="K1067" i="16"/>
  <c r="J1067" i="16"/>
  <c r="I1067" i="16"/>
  <c r="G1067" i="16"/>
  <c r="N1066" i="16"/>
  <c r="L1066" i="16"/>
  <c r="K1066" i="16"/>
  <c r="J1066" i="16"/>
  <c r="I1066" i="16"/>
  <c r="G1066" i="16"/>
  <c r="N1065" i="16"/>
  <c r="L1065" i="16"/>
  <c r="K1065" i="16"/>
  <c r="J1065" i="16"/>
  <c r="I1065" i="16"/>
  <c r="G1065" i="16"/>
  <c r="N1064" i="16"/>
  <c r="L1064" i="16"/>
  <c r="K1064" i="16"/>
  <c r="J1064" i="16"/>
  <c r="I1064" i="16"/>
  <c r="G1064" i="16"/>
  <c r="N1063" i="16"/>
  <c r="L1063" i="16"/>
  <c r="K1063" i="16"/>
  <c r="J1063" i="16"/>
  <c r="I1063" i="16"/>
  <c r="G1063" i="16"/>
  <c r="N1062" i="16"/>
  <c r="L1062" i="16"/>
  <c r="K1062" i="16"/>
  <c r="J1062" i="16"/>
  <c r="I1062" i="16"/>
  <c r="G1062" i="16"/>
  <c r="N1061" i="16"/>
  <c r="L1061" i="16"/>
  <c r="K1061" i="16"/>
  <c r="J1061" i="16"/>
  <c r="I1061" i="16"/>
  <c r="G1061" i="16"/>
  <c r="N1060" i="16"/>
  <c r="L1060" i="16"/>
  <c r="K1060" i="16"/>
  <c r="J1060" i="16"/>
  <c r="I1060" i="16"/>
  <c r="G1060" i="16"/>
  <c r="N1059" i="16"/>
  <c r="L1059" i="16"/>
  <c r="K1059" i="16"/>
  <c r="J1059" i="16"/>
  <c r="I1059" i="16"/>
  <c r="G1059" i="16"/>
  <c r="N1058" i="16"/>
  <c r="L1058" i="16"/>
  <c r="K1058" i="16"/>
  <c r="J1058" i="16"/>
  <c r="I1058" i="16"/>
  <c r="G1058" i="16"/>
  <c r="N1057" i="16"/>
  <c r="L1057" i="16"/>
  <c r="K1057" i="16"/>
  <c r="J1057" i="16"/>
  <c r="I1057" i="16"/>
  <c r="G1057" i="16"/>
  <c r="N1056" i="16"/>
  <c r="L1056" i="16"/>
  <c r="K1056" i="16"/>
  <c r="J1056" i="16"/>
  <c r="I1056" i="16"/>
  <c r="G1056" i="16"/>
  <c r="N1055" i="16"/>
  <c r="L1055" i="16"/>
  <c r="K1055" i="16"/>
  <c r="J1055" i="16"/>
  <c r="I1055" i="16"/>
  <c r="G1055" i="16"/>
  <c r="N1054" i="16"/>
  <c r="L1054" i="16"/>
  <c r="K1054" i="16"/>
  <c r="J1054" i="16"/>
  <c r="I1054" i="16"/>
  <c r="G1054" i="16"/>
  <c r="N1053" i="16"/>
  <c r="L1053" i="16"/>
  <c r="K1053" i="16"/>
  <c r="J1053" i="16"/>
  <c r="I1053" i="16"/>
  <c r="G1053" i="16"/>
  <c r="N1052" i="16"/>
  <c r="L1052" i="16"/>
  <c r="K1052" i="16"/>
  <c r="J1052" i="16"/>
  <c r="I1052" i="16"/>
  <c r="G1052" i="16"/>
  <c r="N1051" i="16"/>
  <c r="L1051" i="16"/>
  <c r="K1051" i="16"/>
  <c r="J1051" i="16"/>
  <c r="I1051" i="16"/>
  <c r="G1051" i="16"/>
  <c r="N1050" i="16"/>
  <c r="L1050" i="16"/>
  <c r="K1050" i="16"/>
  <c r="J1050" i="16"/>
  <c r="I1050" i="16"/>
  <c r="G1050" i="16"/>
  <c r="N1049" i="16"/>
  <c r="L1049" i="16"/>
  <c r="K1049" i="16"/>
  <c r="J1049" i="16"/>
  <c r="I1049" i="16"/>
  <c r="G1049" i="16"/>
  <c r="N1048" i="16"/>
  <c r="L1048" i="16"/>
  <c r="K1048" i="16"/>
  <c r="J1048" i="16"/>
  <c r="I1048" i="16"/>
  <c r="G1048" i="16"/>
  <c r="N1047" i="16"/>
  <c r="L1047" i="16"/>
  <c r="K1047" i="16"/>
  <c r="J1047" i="16"/>
  <c r="I1047" i="16"/>
  <c r="G1047" i="16"/>
  <c r="N1046" i="16"/>
  <c r="L1046" i="16"/>
  <c r="K1046" i="16"/>
  <c r="J1046" i="16"/>
  <c r="I1046" i="16"/>
  <c r="G1046" i="16"/>
  <c r="N1045" i="16"/>
  <c r="L1045" i="16"/>
  <c r="K1045" i="16"/>
  <c r="J1045" i="16"/>
  <c r="I1045" i="16"/>
  <c r="G1045" i="16"/>
  <c r="N1044" i="16"/>
  <c r="L1044" i="16"/>
  <c r="K1044" i="16"/>
  <c r="J1044" i="16"/>
  <c r="I1044" i="16"/>
  <c r="G1044" i="16"/>
  <c r="N1043" i="16"/>
  <c r="L1043" i="16"/>
  <c r="K1043" i="16"/>
  <c r="J1043" i="16"/>
  <c r="I1043" i="16"/>
  <c r="G1043" i="16"/>
  <c r="N1042" i="16"/>
  <c r="L1042" i="16"/>
  <c r="K1042" i="16"/>
  <c r="J1042" i="16"/>
  <c r="I1042" i="16"/>
  <c r="G1042" i="16"/>
  <c r="N1041" i="16"/>
  <c r="L1041" i="16"/>
  <c r="K1041" i="16"/>
  <c r="J1041" i="16"/>
  <c r="I1041" i="16"/>
  <c r="G1041" i="16"/>
  <c r="N1040" i="16"/>
  <c r="L1040" i="16"/>
  <c r="K1040" i="16"/>
  <c r="J1040" i="16"/>
  <c r="I1040" i="16"/>
  <c r="G1040" i="16"/>
  <c r="N1039" i="16"/>
  <c r="L1039" i="16"/>
  <c r="K1039" i="16"/>
  <c r="J1039" i="16"/>
  <c r="I1039" i="16"/>
  <c r="G1039" i="16"/>
  <c r="N1038" i="16"/>
  <c r="L1038" i="16"/>
  <c r="K1038" i="16"/>
  <c r="J1038" i="16"/>
  <c r="I1038" i="16"/>
  <c r="G1038" i="16"/>
  <c r="N1037" i="16"/>
  <c r="L1037" i="16"/>
  <c r="K1037" i="16"/>
  <c r="J1037" i="16"/>
  <c r="I1037" i="16"/>
  <c r="G1037" i="16"/>
  <c r="N1036" i="16"/>
  <c r="L1036" i="16"/>
  <c r="K1036" i="16"/>
  <c r="J1036" i="16"/>
  <c r="I1036" i="16"/>
  <c r="G1036" i="16"/>
  <c r="N1035" i="16"/>
  <c r="L1035" i="16"/>
  <c r="K1035" i="16"/>
  <c r="J1035" i="16"/>
  <c r="I1035" i="16"/>
  <c r="G1035" i="16"/>
  <c r="N1034" i="16"/>
  <c r="L1034" i="16"/>
  <c r="K1034" i="16"/>
  <c r="J1034" i="16"/>
  <c r="I1034" i="16"/>
  <c r="G1034" i="16"/>
  <c r="N1033" i="16"/>
  <c r="L1033" i="16"/>
  <c r="K1033" i="16"/>
  <c r="J1033" i="16"/>
  <c r="I1033" i="16"/>
  <c r="G1033" i="16"/>
  <c r="N1032" i="16"/>
  <c r="L1032" i="16"/>
  <c r="K1032" i="16"/>
  <c r="J1032" i="16"/>
  <c r="I1032" i="16"/>
  <c r="G1032" i="16"/>
  <c r="N1031" i="16"/>
  <c r="L1031" i="16"/>
  <c r="K1031" i="16"/>
  <c r="J1031" i="16"/>
  <c r="I1031" i="16"/>
  <c r="G1031" i="16"/>
  <c r="N1030" i="16"/>
  <c r="L1030" i="16"/>
  <c r="K1030" i="16"/>
  <c r="J1030" i="16"/>
  <c r="I1030" i="16"/>
  <c r="G1030" i="16"/>
  <c r="N1029" i="16"/>
  <c r="L1029" i="16"/>
  <c r="K1029" i="16"/>
  <c r="J1029" i="16"/>
  <c r="I1029" i="16"/>
  <c r="G1029" i="16"/>
  <c r="N1028" i="16"/>
  <c r="L1028" i="16"/>
  <c r="K1028" i="16"/>
  <c r="J1028" i="16"/>
  <c r="I1028" i="16"/>
  <c r="G1028" i="16"/>
  <c r="N1027" i="16"/>
  <c r="L1027" i="16"/>
  <c r="K1027" i="16"/>
  <c r="J1027" i="16"/>
  <c r="I1027" i="16"/>
  <c r="G1027" i="16"/>
  <c r="N1026" i="16"/>
  <c r="L1026" i="16"/>
  <c r="K1026" i="16"/>
  <c r="J1026" i="16"/>
  <c r="I1026" i="16"/>
  <c r="G1026" i="16"/>
  <c r="N1025" i="16"/>
  <c r="L1025" i="16"/>
  <c r="K1025" i="16"/>
  <c r="J1025" i="16"/>
  <c r="I1025" i="16"/>
  <c r="G1025" i="16"/>
  <c r="N1024" i="16"/>
  <c r="L1024" i="16"/>
  <c r="K1024" i="16"/>
  <c r="J1024" i="16"/>
  <c r="I1024" i="16"/>
  <c r="G1024" i="16"/>
  <c r="N1023" i="16"/>
  <c r="L1023" i="16"/>
  <c r="K1023" i="16"/>
  <c r="J1023" i="16"/>
  <c r="I1023" i="16"/>
  <c r="G1023" i="16"/>
  <c r="N1022" i="16"/>
  <c r="L1022" i="16"/>
  <c r="K1022" i="16"/>
  <c r="J1022" i="16"/>
  <c r="I1022" i="16"/>
  <c r="G1022" i="16"/>
  <c r="N1021" i="16"/>
  <c r="L1021" i="16"/>
  <c r="K1021" i="16"/>
  <c r="J1021" i="16"/>
  <c r="I1021" i="16"/>
  <c r="G1021" i="16"/>
  <c r="N1020" i="16"/>
  <c r="L1020" i="16"/>
  <c r="K1020" i="16"/>
  <c r="J1020" i="16"/>
  <c r="I1020" i="16"/>
  <c r="G1020" i="16"/>
  <c r="N1019" i="16"/>
  <c r="L1019" i="16"/>
  <c r="K1019" i="16"/>
  <c r="J1019" i="16"/>
  <c r="I1019" i="16"/>
  <c r="G1019" i="16"/>
  <c r="N1018" i="16"/>
  <c r="L1018" i="16"/>
  <c r="K1018" i="16"/>
  <c r="J1018" i="16"/>
  <c r="I1018" i="16"/>
  <c r="G1018" i="16"/>
  <c r="N1017" i="16"/>
  <c r="L1017" i="16"/>
  <c r="K1017" i="16"/>
  <c r="J1017" i="16"/>
  <c r="I1017" i="16"/>
  <c r="G1017" i="16"/>
  <c r="N1016" i="16"/>
  <c r="L1016" i="16"/>
  <c r="K1016" i="16"/>
  <c r="J1016" i="16"/>
  <c r="I1016" i="16"/>
  <c r="G1016" i="16"/>
  <c r="N1015" i="16"/>
  <c r="L1015" i="16"/>
  <c r="K1015" i="16"/>
  <c r="J1015" i="16"/>
  <c r="I1015" i="16"/>
  <c r="G1015" i="16"/>
  <c r="N1014" i="16"/>
  <c r="L1014" i="16"/>
  <c r="K1014" i="16"/>
  <c r="J1014" i="16"/>
  <c r="I1014" i="16"/>
  <c r="G1014" i="16"/>
  <c r="N1013" i="16"/>
  <c r="L1013" i="16"/>
  <c r="K1013" i="16"/>
  <c r="J1013" i="16"/>
  <c r="I1013" i="16"/>
  <c r="G1013" i="16"/>
  <c r="N1012" i="16"/>
  <c r="L1012" i="16"/>
  <c r="K1012" i="16"/>
  <c r="J1012" i="16"/>
  <c r="I1012" i="16"/>
  <c r="G1012" i="16"/>
  <c r="N1011" i="16"/>
  <c r="L1011" i="16"/>
  <c r="K1011" i="16"/>
  <c r="J1011" i="16"/>
  <c r="I1011" i="16"/>
  <c r="G1011" i="16"/>
  <c r="N1010" i="16"/>
  <c r="L1010" i="16"/>
  <c r="K1010" i="16"/>
  <c r="J1010" i="16"/>
  <c r="I1010" i="16"/>
  <c r="G1010" i="16"/>
  <c r="N1009" i="16"/>
  <c r="L1009" i="16"/>
  <c r="K1009" i="16"/>
  <c r="J1009" i="16"/>
  <c r="I1009" i="16"/>
  <c r="G1009" i="16"/>
  <c r="N1008" i="16"/>
  <c r="L1008" i="16"/>
  <c r="K1008" i="16"/>
  <c r="J1008" i="16"/>
  <c r="I1008" i="16"/>
  <c r="G1008" i="16"/>
  <c r="N1007" i="16"/>
  <c r="L1007" i="16"/>
  <c r="K1007" i="16"/>
  <c r="J1007" i="16"/>
  <c r="I1007" i="16"/>
  <c r="G1007" i="16"/>
  <c r="N1006" i="16"/>
  <c r="L1006" i="16"/>
  <c r="K1006" i="16"/>
  <c r="J1006" i="16"/>
  <c r="I1006" i="16"/>
  <c r="G1006" i="16"/>
  <c r="N1005" i="16"/>
  <c r="L1005" i="16"/>
  <c r="K1005" i="16"/>
  <c r="J1005" i="16"/>
  <c r="I1005" i="16"/>
  <c r="G1005" i="16"/>
  <c r="N1004" i="16"/>
  <c r="L1004" i="16"/>
  <c r="K1004" i="16"/>
  <c r="J1004" i="16"/>
  <c r="I1004" i="16"/>
  <c r="G1004" i="16"/>
  <c r="N1003" i="16"/>
  <c r="L1003" i="16"/>
  <c r="K1003" i="16"/>
  <c r="J1003" i="16"/>
  <c r="I1003" i="16"/>
  <c r="G1003" i="16"/>
  <c r="N1002" i="16"/>
  <c r="L1002" i="16"/>
  <c r="K1002" i="16"/>
  <c r="J1002" i="16"/>
  <c r="I1002" i="16"/>
  <c r="G1002" i="16"/>
  <c r="N1001" i="16"/>
  <c r="L1001" i="16"/>
  <c r="K1001" i="16"/>
  <c r="J1001" i="16"/>
  <c r="I1001" i="16"/>
  <c r="G1001" i="16"/>
  <c r="N1000" i="16"/>
  <c r="L1000" i="16"/>
  <c r="K1000" i="16"/>
  <c r="J1000" i="16"/>
  <c r="I1000" i="16"/>
  <c r="G1000" i="16"/>
  <c r="N999" i="16"/>
  <c r="L999" i="16"/>
  <c r="K999" i="16"/>
  <c r="J999" i="16"/>
  <c r="I999" i="16"/>
  <c r="G999" i="16"/>
  <c r="N998" i="16"/>
  <c r="L998" i="16"/>
  <c r="K998" i="16"/>
  <c r="J998" i="16"/>
  <c r="I998" i="16"/>
  <c r="G998" i="16"/>
  <c r="N997" i="16"/>
  <c r="L997" i="16"/>
  <c r="K997" i="16"/>
  <c r="J997" i="16"/>
  <c r="I997" i="16"/>
  <c r="G997" i="16"/>
  <c r="N996" i="16"/>
  <c r="L996" i="16"/>
  <c r="K996" i="16"/>
  <c r="J996" i="16"/>
  <c r="I996" i="16"/>
  <c r="G996" i="16"/>
  <c r="N995" i="16"/>
  <c r="L995" i="16"/>
  <c r="K995" i="16"/>
  <c r="J995" i="16"/>
  <c r="I995" i="16"/>
  <c r="G995" i="16"/>
  <c r="N994" i="16"/>
  <c r="L994" i="16"/>
  <c r="K994" i="16"/>
  <c r="J994" i="16"/>
  <c r="I994" i="16"/>
  <c r="G994" i="16"/>
  <c r="N993" i="16"/>
  <c r="L993" i="16"/>
  <c r="K993" i="16"/>
  <c r="J993" i="16"/>
  <c r="I993" i="16"/>
  <c r="G993" i="16"/>
  <c r="N992" i="16"/>
  <c r="L992" i="16"/>
  <c r="K992" i="16"/>
  <c r="J992" i="16"/>
  <c r="I992" i="16"/>
  <c r="G992" i="16"/>
  <c r="N991" i="16"/>
  <c r="L991" i="16"/>
  <c r="K991" i="16"/>
  <c r="J991" i="16"/>
  <c r="I991" i="16"/>
  <c r="G991" i="16"/>
  <c r="N990" i="16"/>
  <c r="L990" i="16"/>
  <c r="K990" i="16"/>
  <c r="J990" i="16"/>
  <c r="I990" i="16"/>
  <c r="G990" i="16"/>
  <c r="N989" i="16"/>
  <c r="L989" i="16"/>
  <c r="K989" i="16"/>
  <c r="J989" i="16"/>
  <c r="I989" i="16"/>
  <c r="G989" i="16"/>
  <c r="N988" i="16"/>
  <c r="L988" i="16"/>
  <c r="K988" i="16"/>
  <c r="J988" i="16"/>
  <c r="I988" i="16"/>
  <c r="G988" i="16"/>
  <c r="N987" i="16"/>
  <c r="L987" i="16"/>
  <c r="K987" i="16"/>
  <c r="J987" i="16"/>
  <c r="I987" i="16"/>
  <c r="G987" i="16"/>
  <c r="N986" i="16"/>
  <c r="L986" i="16"/>
  <c r="K986" i="16"/>
  <c r="J986" i="16"/>
  <c r="I986" i="16"/>
  <c r="G986" i="16"/>
  <c r="N985" i="16"/>
  <c r="L985" i="16"/>
  <c r="K985" i="16"/>
  <c r="J985" i="16"/>
  <c r="I985" i="16"/>
  <c r="G985" i="16"/>
  <c r="N984" i="16"/>
  <c r="L984" i="16"/>
  <c r="K984" i="16"/>
  <c r="J984" i="16"/>
  <c r="I984" i="16"/>
  <c r="G984" i="16"/>
  <c r="N983" i="16"/>
  <c r="L983" i="16"/>
  <c r="K983" i="16"/>
  <c r="J983" i="16"/>
  <c r="I983" i="16"/>
  <c r="G983" i="16"/>
  <c r="N982" i="16"/>
  <c r="L982" i="16"/>
  <c r="K982" i="16"/>
  <c r="J982" i="16"/>
  <c r="I982" i="16"/>
  <c r="G982" i="16"/>
  <c r="N981" i="16"/>
  <c r="L981" i="16"/>
  <c r="K981" i="16"/>
  <c r="J981" i="16"/>
  <c r="I981" i="16"/>
  <c r="G981" i="16"/>
  <c r="N980" i="16"/>
  <c r="L980" i="16"/>
  <c r="K980" i="16"/>
  <c r="J980" i="16"/>
  <c r="I980" i="16"/>
  <c r="G980" i="16"/>
  <c r="N979" i="16"/>
  <c r="L979" i="16"/>
  <c r="K979" i="16"/>
  <c r="J979" i="16"/>
  <c r="I979" i="16"/>
  <c r="G979" i="16"/>
  <c r="N978" i="16"/>
  <c r="L978" i="16"/>
  <c r="K978" i="16"/>
  <c r="J978" i="16"/>
  <c r="I978" i="16"/>
  <c r="G978" i="16"/>
  <c r="N977" i="16"/>
  <c r="L977" i="16"/>
  <c r="K977" i="16"/>
  <c r="J977" i="16"/>
  <c r="I977" i="16"/>
  <c r="G977" i="16"/>
  <c r="N976" i="16"/>
  <c r="L976" i="16"/>
  <c r="K976" i="16"/>
  <c r="J976" i="16"/>
  <c r="I976" i="16"/>
  <c r="G976" i="16"/>
  <c r="N975" i="16"/>
  <c r="L975" i="16"/>
  <c r="K975" i="16"/>
  <c r="J975" i="16"/>
  <c r="I975" i="16"/>
  <c r="G975" i="16"/>
  <c r="N974" i="16"/>
  <c r="L974" i="16"/>
  <c r="K974" i="16"/>
  <c r="J974" i="16"/>
  <c r="I974" i="16"/>
  <c r="G974" i="16"/>
  <c r="N973" i="16"/>
  <c r="L973" i="16"/>
  <c r="K973" i="16"/>
  <c r="J973" i="16"/>
  <c r="I973" i="16"/>
  <c r="G973" i="16"/>
  <c r="N972" i="16"/>
  <c r="L972" i="16"/>
  <c r="K972" i="16"/>
  <c r="J972" i="16"/>
  <c r="I972" i="16"/>
  <c r="G972" i="16"/>
  <c r="N971" i="16"/>
  <c r="L971" i="16"/>
  <c r="K971" i="16"/>
  <c r="J971" i="16"/>
  <c r="I971" i="16"/>
  <c r="G971" i="16"/>
  <c r="N970" i="16"/>
  <c r="L970" i="16"/>
  <c r="K970" i="16"/>
  <c r="J970" i="16"/>
  <c r="I970" i="16"/>
  <c r="G970" i="16"/>
  <c r="N969" i="16"/>
  <c r="L969" i="16"/>
  <c r="K969" i="16"/>
  <c r="J969" i="16"/>
  <c r="I969" i="16"/>
  <c r="G969" i="16"/>
  <c r="N968" i="16"/>
  <c r="L968" i="16"/>
  <c r="K968" i="16"/>
  <c r="J968" i="16"/>
  <c r="I968" i="16"/>
  <c r="G968" i="16"/>
  <c r="N967" i="16"/>
  <c r="L967" i="16"/>
  <c r="K967" i="16"/>
  <c r="J967" i="16"/>
  <c r="I967" i="16"/>
  <c r="G967" i="16"/>
  <c r="N966" i="16"/>
  <c r="L966" i="16"/>
  <c r="K966" i="16"/>
  <c r="J966" i="16"/>
  <c r="I966" i="16"/>
  <c r="G966" i="16"/>
  <c r="N965" i="16"/>
  <c r="L965" i="16"/>
  <c r="K965" i="16"/>
  <c r="J965" i="16"/>
  <c r="I965" i="16"/>
  <c r="G965" i="16"/>
  <c r="N964" i="16"/>
  <c r="L964" i="16"/>
  <c r="K964" i="16"/>
  <c r="J964" i="16"/>
  <c r="I964" i="16"/>
  <c r="G964" i="16"/>
  <c r="N963" i="16"/>
  <c r="L963" i="16"/>
  <c r="K963" i="16"/>
  <c r="J963" i="16"/>
  <c r="I963" i="16"/>
  <c r="G963" i="16"/>
  <c r="N962" i="16"/>
  <c r="L962" i="16"/>
  <c r="K962" i="16"/>
  <c r="J962" i="16"/>
  <c r="I962" i="16"/>
  <c r="G962" i="16"/>
  <c r="N961" i="16"/>
  <c r="L961" i="16"/>
  <c r="K961" i="16"/>
  <c r="J961" i="16"/>
  <c r="I961" i="16"/>
  <c r="G961" i="16"/>
  <c r="N960" i="16"/>
  <c r="L960" i="16"/>
  <c r="K960" i="16"/>
  <c r="J960" i="16"/>
  <c r="I960" i="16"/>
  <c r="G960" i="16"/>
  <c r="N959" i="16"/>
  <c r="L959" i="16"/>
  <c r="K959" i="16"/>
  <c r="J959" i="16"/>
  <c r="I959" i="16"/>
  <c r="G959" i="16"/>
  <c r="N958" i="16"/>
  <c r="L958" i="16"/>
  <c r="K958" i="16"/>
  <c r="J958" i="16"/>
  <c r="I958" i="16"/>
  <c r="G958" i="16"/>
  <c r="N957" i="16"/>
  <c r="L957" i="16"/>
  <c r="K957" i="16"/>
  <c r="J957" i="16"/>
  <c r="I957" i="16"/>
  <c r="G957" i="16"/>
  <c r="N956" i="16"/>
  <c r="L956" i="16"/>
  <c r="K956" i="16"/>
  <c r="J956" i="16"/>
  <c r="I956" i="16"/>
  <c r="G956" i="16"/>
  <c r="N955" i="16"/>
  <c r="L955" i="16"/>
  <c r="K955" i="16"/>
  <c r="J955" i="16"/>
  <c r="I955" i="16"/>
  <c r="G955" i="16"/>
  <c r="N954" i="16"/>
  <c r="L954" i="16"/>
  <c r="K954" i="16"/>
  <c r="J954" i="16"/>
  <c r="I954" i="16"/>
  <c r="G954" i="16"/>
  <c r="N953" i="16"/>
  <c r="L953" i="16"/>
  <c r="K953" i="16"/>
  <c r="J953" i="16"/>
  <c r="I953" i="16"/>
  <c r="G953" i="16"/>
  <c r="N952" i="16"/>
  <c r="L952" i="16"/>
  <c r="K952" i="16"/>
  <c r="J952" i="16"/>
  <c r="I952" i="16"/>
  <c r="G952" i="16"/>
  <c r="N951" i="16"/>
  <c r="L951" i="16"/>
  <c r="K951" i="16"/>
  <c r="J951" i="16"/>
  <c r="I951" i="16"/>
  <c r="G951" i="16"/>
  <c r="N950" i="16"/>
  <c r="L950" i="16"/>
  <c r="K950" i="16"/>
  <c r="J950" i="16"/>
  <c r="I950" i="16"/>
  <c r="G950" i="16"/>
  <c r="N949" i="16"/>
  <c r="L949" i="16"/>
  <c r="K949" i="16"/>
  <c r="J949" i="16"/>
  <c r="I949" i="16"/>
  <c r="G949" i="16"/>
  <c r="N948" i="16"/>
  <c r="L948" i="16"/>
  <c r="K948" i="16"/>
  <c r="J948" i="16"/>
  <c r="I948" i="16"/>
  <c r="G948" i="16"/>
  <c r="N947" i="16"/>
  <c r="L947" i="16"/>
  <c r="K947" i="16"/>
  <c r="J947" i="16"/>
  <c r="I947" i="16"/>
  <c r="G947" i="16"/>
  <c r="N946" i="16"/>
  <c r="L946" i="16"/>
  <c r="K946" i="16"/>
  <c r="J946" i="16"/>
  <c r="I946" i="16"/>
  <c r="G946" i="16"/>
  <c r="N945" i="16"/>
  <c r="L945" i="16"/>
  <c r="K945" i="16"/>
  <c r="J945" i="16"/>
  <c r="I945" i="16"/>
  <c r="G945" i="16"/>
  <c r="N944" i="16"/>
  <c r="L944" i="16"/>
  <c r="K944" i="16"/>
  <c r="J944" i="16"/>
  <c r="I944" i="16"/>
  <c r="G944" i="16"/>
  <c r="N943" i="16"/>
  <c r="L943" i="16"/>
  <c r="K943" i="16"/>
  <c r="J943" i="16"/>
  <c r="I943" i="16"/>
  <c r="G943" i="16"/>
  <c r="N942" i="16"/>
  <c r="L942" i="16"/>
  <c r="K942" i="16"/>
  <c r="J942" i="16"/>
  <c r="I942" i="16"/>
  <c r="G942" i="16"/>
  <c r="N941" i="16"/>
  <c r="L941" i="16"/>
  <c r="K941" i="16"/>
  <c r="J941" i="16"/>
  <c r="I941" i="16"/>
  <c r="G941" i="16"/>
  <c r="N940" i="16"/>
  <c r="L940" i="16"/>
  <c r="K940" i="16"/>
  <c r="J940" i="16"/>
  <c r="I940" i="16"/>
  <c r="G940" i="16"/>
  <c r="N939" i="16"/>
  <c r="L939" i="16"/>
  <c r="K939" i="16"/>
  <c r="J939" i="16"/>
  <c r="I939" i="16"/>
  <c r="G939" i="16"/>
  <c r="N938" i="16"/>
  <c r="L938" i="16"/>
  <c r="K938" i="16"/>
  <c r="J938" i="16"/>
  <c r="I938" i="16"/>
  <c r="G938" i="16"/>
  <c r="N937" i="16"/>
  <c r="L937" i="16"/>
  <c r="K937" i="16"/>
  <c r="J937" i="16"/>
  <c r="I937" i="16"/>
  <c r="G937" i="16"/>
  <c r="N936" i="16"/>
  <c r="L936" i="16"/>
  <c r="K936" i="16"/>
  <c r="J936" i="16"/>
  <c r="I936" i="16"/>
  <c r="G936" i="16"/>
  <c r="N935" i="16"/>
  <c r="L935" i="16"/>
  <c r="K935" i="16"/>
  <c r="J935" i="16"/>
  <c r="I935" i="16"/>
  <c r="G935" i="16"/>
  <c r="N934" i="16"/>
  <c r="L934" i="16"/>
  <c r="K934" i="16"/>
  <c r="J934" i="16"/>
  <c r="I934" i="16"/>
  <c r="G934" i="16"/>
  <c r="N933" i="16"/>
  <c r="L933" i="16"/>
  <c r="K933" i="16"/>
  <c r="J933" i="16"/>
  <c r="I933" i="16"/>
  <c r="G933" i="16"/>
  <c r="N932" i="16"/>
  <c r="L932" i="16"/>
  <c r="K932" i="16"/>
  <c r="J932" i="16"/>
  <c r="I932" i="16"/>
  <c r="G932" i="16"/>
  <c r="N931" i="16"/>
  <c r="L931" i="16"/>
  <c r="K931" i="16"/>
  <c r="J931" i="16"/>
  <c r="I931" i="16"/>
  <c r="G931" i="16"/>
  <c r="N930" i="16"/>
  <c r="L930" i="16"/>
  <c r="K930" i="16"/>
  <c r="J930" i="16"/>
  <c r="I930" i="16"/>
  <c r="G930" i="16"/>
  <c r="N929" i="16"/>
  <c r="L929" i="16"/>
  <c r="K929" i="16"/>
  <c r="J929" i="16"/>
  <c r="I929" i="16"/>
  <c r="G929" i="16"/>
  <c r="N928" i="16"/>
  <c r="L928" i="16"/>
  <c r="K928" i="16"/>
  <c r="J928" i="16"/>
  <c r="I928" i="16"/>
  <c r="G928" i="16"/>
  <c r="N927" i="16"/>
  <c r="L927" i="16"/>
  <c r="K927" i="16"/>
  <c r="J927" i="16"/>
  <c r="I927" i="16"/>
  <c r="G927" i="16"/>
  <c r="N926" i="16"/>
  <c r="L926" i="16"/>
  <c r="K926" i="16"/>
  <c r="J926" i="16"/>
  <c r="I926" i="16"/>
  <c r="G926" i="16"/>
  <c r="N925" i="16"/>
  <c r="L925" i="16"/>
  <c r="K925" i="16"/>
  <c r="J925" i="16"/>
  <c r="I925" i="16"/>
  <c r="G925" i="16"/>
  <c r="N924" i="16"/>
  <c r="L924" i="16"/>
  <c r="K924" i="16"/>
  <c r="J924" i="16"/>
  <c r="I924" i="16"/>
  <c r="G924" i="16"/>
  <c r="N923" i="16"/>
  <c r="L923" i="16"/>
  <c r="K923" i="16"/>
  <c r="J923" i="16"/>
  <c r="I923" i="16"/>
  <c r="G923" i="16"/>
  <c r="N922" i="16"/>
  <c r="L922" i="16"/>
  <c r="K922" i="16"/>
  <c r="J922" i="16"/>
  <c r="I922" i="16"/>
  <c r="G922" i="16"/>
  <c r="N921" i="16"/>
  <c r="L921" i="16"/>
  <c r="K921" i="16"/>
  <c r="J921" i="16"/>
  <c r="I921" i="16"/>
  <c r="G921" i="16"/>
  <c r="N920" i="16"/>
  <c r="L920" i="16"/>
  <c r="K920" i="16"/>
  <c r="J920" i="16"/>
  <c r="I920" i="16"/>
  <c r="G920" i="16"/>
  <c r="N919" i="16"/>
  <c r="L919" i="16"/>
  <c r="K919" i="16"/>
  <c r="J919" i="16"/>
  <c r="I919" i="16"/>
  <c r="G919" i="16"/>
  <c r="N918" i="16"/>
  <c r="L918" i="16"/>
  <c r="K918" i="16"/>
  <c r="J918" i="16"/>
  <c r="I918" i="16"/>
  <c r="G918" i="16"/>
  <c r="N917" i="16"/>
  <c r="L917" i="16"/>
  <c r="K917" i="16"/>
  <c r="J917" i="16"/>
  <c r="I917" i="16"/>
  <c r="G917" i="16"/>
  <c r="N916" i="16"/>
  <c r="L916" i="16"/>
  <c r="K916" i="16"/>
  <c r="J916" i="16"/>
  <c r="I916" i="16"/>
  <c r="G916" i="16"/>
  <c r="N915" i="16"/>
  <c r="L915" i="16"/>
  <c r="K915" i="16"/>
  <c r="J915" i="16"/>
  <c r="I915" i="16"/>
  <c r="G915" i="16"/>
  <c r="N914" i="16"/>
  <c r="L914" i="16"/>
  <c r="K914" i="16"/>
  <c r="J914" i="16"/>
  <c r="I914" i="16"/>
  <c r="G914" i="16"/>
  <c r="N913" i="16"/>
  <c r="L913" i="16"/>
  <c r="K913" i="16"/>
  <c r="J913" i="16"/>
  <c r="I913" i="16"/>
  <c r="G913" i="16"/>
  <c r="N912" i="16"/>
  <c r="L912" i="16"/>
  <c r="K912" i="16"/>
  <c r="J912" i="16"/>
  <c r="I912" i="16"/>
  <c r="G912" i="16"/>
  <c r="N911" i="16"/>
  <c r="L911" i="16"/>
  <c r="K911" i="16"/>
  <c r="J911" i="16"/>
  <c r="I911" i="16"/>
  <c r="G911" i="16"/>
  <c r="N910" i="16"/>
  <c r="L910" i="16"/>
  <c r="K910" i="16"/>
  <c r="J910" i="16"/>
  <c r="I910" i="16"/>
  <c r="G910" i="16"/>
  <c r="N909" i="16"/>
  <c r="L909" i="16"/>
  <c r="K909" i="16"/>
  <c r="J909" i="16"/>
  <c r="I909" i="16"/>
  <c r="G909" i="16"/>
  <c r="N908" i="16"/>
  <c r="L908" i="16"/>
  <c r="K908" i="16"/>
  <c r="J908" i="16"/>
  <c r="I908" i="16"/>
  <c r="G908" i="16"/>
  <c r="N907" i="16"/>
  <c r="L907" i="16"/>
  <c r="K907" i="16"/>
  <c r="J907" i="16"/>
  <c r="I907" i="16"/>
  <c r="G907" i="16"/>
  <c r="N906" i="16"/>
  <c r="L906" i="16"/>
  <c r="K906" i="16"/>
  <c r="J906" i="16"/>
  <c r="I906" i="16"/>
  <c r="G906" i="16"/>
  <c r="N905" i="16"/>
  <c r="L905" i="16"/>
  <c r="K905" i="16"/>
  <c r="J905" i="16"/>
  <c r="I905" i="16"/>
  <c r="G905" i="16"/>
  <c r="N904" i="16"/>
  <c r="L904" i="16"/>
  <c r="K904" i="16"/>
  <c r="J904" i="16"/>
  <c r="I904" i="16"/>
  <c r="G904" i="16"/>
  <c r="N903" i="16"/>
  <c r="L903" i="16"/>
  <c r="K903" i="16"/>
  <c r="J903" i="16"/>
  <c r="I903" i="16"/>
  <c r="G903" i="16"/>
  <c r="N902" i="16"/>
  <c r="L902" i="16"/>
  <c r="K902" i="16"/>
  <c r="J902" i="16"/>
  <c r="I902" i="16"/>
  <c r="G902" i="16"/>
  <c r="N901" i="16"/>
  <c r="L901" i="16"/>
  <c r="K901" i="16"/>
  <c r="J901" i="16"/>
  <c r="I901" i="16"/>
  <c r="G901" i="16"/>
  <c r="N900" i="16"/>
  <c r="L900" i="16"/>
  <c r="K900" i="16"/>
  <c r="J900" i="16"/>
  <c r="I900" i="16"/>
  <c r="G900" i="16"/>
  <c r="N899" i="16"/>
  <c r="L899" i="16"/>
  <c r="K899" i="16"/>
  <c r="J899" i="16"/>
  <c r="I899" i="16"/>
  <c r="G899" i="16"/>
  <c r="N898" i="16"/>
  <c r="L898" i="16"/>
  <c r="K898" i="16"/>
  <c r="J898" i="16"/>
  <c r="I898" i="16"/>
  <c r="G898" i="16"/>
  <c r="N897" i="16"/>
  <c r="L897" i="16"/>
  <c r="K897" i="16"/>
  <c r="J897" i="16"/>
  <c r="I897" i="16"/>
  <c r="G897" i="16"/>
  <c r="N896" i="16"/>
  <c r="L896" i="16"/>
  <c r="K896" i="16"/>
  <c r="J896" i="16"/>
  <c r="I896" i="16"/>
  <c r="G896" i="16"/>
  <c r="N895" i="16"/>
  <c r="L895" i="16"/>
  <c r="K895" i="16"/>
  <c r="J895" i="16"/>
  <c r="I895" i="16"/>
  <c r="G895" i="16"/>
  <c r="N894" i="16"/>
  <c r="L894" i="16"/>
  <c r="K894" i="16"/>
  <c r="J894" i="16"/>
  <c r="I894" i="16"/>
  <c r="G894" i="16"/>
  <c r="N893" i="16"/>
  <c r="L893" i="16"/>
  <c r="K893" i="16"/>
  <c r="J893" i="16"/>
  <c r="I893" i="16"/>
  <c r="G893" i="16"/>
  <c r="N892" i="16"/>
  <c r="L892" i="16"/>
  <c r="K892" i="16"/>
  <c r="J892" i="16"/>
  <c r="I892" i="16"/>
  <c r="G892" i="16"/>
  <c r="N891" i="16"/>
  <c r="L891" i="16"/>
  <c r="K891" i="16"/>
  <c r="J891" i="16"/>
  <c r="I891" i="16"/>
  <c r="G891" i="16"/>
  <c r="N890" i="16"/>
  <c r="L890" i="16"/>
  <c r="K890" i="16"/>
  <c r="J890" i="16"/>
  <c r="I890" i="16"/>
  <c r="G890" i="16"/>
  <c r="N889" i="16"/>
  <c r="L889" i="16"/>
  <c r="K889" i="16"/>
  <c r="J889" i="16"/>
  <c r="I889" i="16"/>
  <c r="G889" i="16"/>
  <c r="N888" i="16"/>
  <c r="L888" i="16"/>
  <c r="K888" i="16"/>
  <c r="J888" i="16"/>
  <c r="I888" i="16"/>
  <c r="G888" i="16"/>
  <c r="N887" i="16"/>
  <c r="L887" i="16"/>
  <c r="K887" i="16"/>
  <c r="J887" i="16"/>
  <c r="I887" i="16"/>
  <c r="G887" i="16"/>
  <c r="N886" i="16"/>
  <c r="L886" i="16"/>
  <c r="K886" i="16"/>
  <c r="J886" i="16"/>
  <c r="I886" i="16"/>
  <c r="G886" i="16"/>
  <c r="N885" i="16"/>
  <c r="L885" i="16"/>
  <c r="K885" i="16"/>
  <c r="J885" i="16"/>
  <c r="I885" i="16"/>
  <c r="G885" i="16"/>
  <c r="N884" i="16"/>
  <c r="L884" i="16"/>
  <c r="K884" i="16"/>
  <c r="J884" i="16"/>
  <c r="I884" i="16"/>
  <c r="G884" i="16"/>
  <c r="N883" i="16"/>
  <c r="L883" i="16"/>
  <c r="K883" i="16"/>
  <c r="J883" i="16"/>
  <c r="I883" i="16"/>
  <c r="G883" i="16"/>
  <c r="N882" i="16"/>
  <c r="L882" i="16"/>
  <c r="K882" i="16"/>
  <c r="J882" i="16"/>
  <c r="I882" i="16"/>
  <c r="G882" i="16"/>
  <c r="N881" i="16"/>
  <c r="L881" i="16"/>
  <c r="K881" i="16"/>
  <c r="J881" i="16"/>
  <c r="I881" i="16"/>
  <c r="G881" i="16"/>
  <c r="N880" i="16"/>
  <c r="L880" i="16"/>
  <c r="K880" i="16"/>
  <c r="J880" i="16"/>
  <c r="I880" i="16"/>
  <c r="G880" i="16"/>
  <c r="N879" i="16"/>
  <c r="L879" i="16"/>
  <c r="K879" i="16"/>
  <c r="J879" i="16"/>
  <c r="I879" i="16"/>
  <c r="G879" i="16"/>
  <c r="N878" i="16"/>
  <c r="L878" i="16"/>
  <c r="K878" i="16"/>
  <c r="J878" i="16"/>
  <c r="I878" i="16"/>
  <c r="G878" i="16"/>
  <c r="N877" i="16"/>
  <c r="L877" i="16"/>
  <c r="K877" i="16"/>
  <c r="J877" i="16"/>
  <c r="I877" i="16"/>
  <c r="G877" i="16"/>
  <c r="N876" i="16"/>
  <c r="L876" i="16"/>
  <c r="K876" i="16"/>
  <c r="J876" i="16"/>
  <c r="I876" i="16"/>
  <c r="G876" i="16"/>
  <c r="N875" i="16"/>
  <c r="L875" i="16"/>
  <c r="K875" i="16"/>
  <c r="J875" i="16"/>
  <c r="I875" i="16"/>
  <c r="G875" i="16"/>
  <c r="N874" i="16"/>
  <c r="L874" i="16"/>
  <c r="K874" i="16"/>
  <c r="J874" i="16"/>
  <c r="I874" i="16"/>
  <c r="G874" i="16"/>
  <c r="N873" i="16"/>
  <c r="L873" i="16"/>
  <c r="K873" i="16"/>
  <c r="J873" i="16"/>
  <c r="I873" i="16"/>
  <c r="G873" i="16"/>
  <c r="N872" i="16"/>
  <c r="L872" i="16"/>
  <c r="K872" i="16"/>
  <c r="J872" i="16"/>
  <c r="I872" i="16"/>
  <c r="G872" i="16"/>
  <c r="N871" i="16"/>
  <c r="L871" i="16"/>
  <c r="K871" i="16"/>
  <c r="J871" i="16"/>
  <c r="I871" i="16"/>
  <c r="G871" i="16"/>
  <c r="N870" i="16"/>
  <c r="L870" i="16"/>
  <c r="K870" i="16"/>
  <c r="J870" i="16"/>
  <c r="I870" i="16"/>
  <c r="G870" i="16"/>
  <c r="N869" i="16"/>
  <c r="L869" i="16"/>
  <c r="K869" i="16"/>
  <c r="J869" i="16"/>
  <c r="I869" i="16"/>
  <c r="G869" i="16"/>
  <c r="N868" i="16"/>
  <c r="L868" i="16"/>
  <c r="K868" i="16"/>
  <c r="J868" i="16"/>
  <c r="I868" i="16"/>
  <c r="G868" i="16"/>
  <c r="N867" i="16"/>
  <c r="L867" i="16"/>
  <c r="K867" i="16"/>
  <c r="J867" i="16"/>
  <c r="I867" i="16"/>
  <c r="G867" i="16"/>
  <c r="N866" i="16"/>
  <c r="L866" i="16"/>
  <c r="K866" i="16"/>
  <c r="J866" i="16"/>
  <c r="I866" i="16"/>
  <c r="G866" i="16"/>
  <c r="N865" i="16"/>
  <c r="L865" i="16"/>
  <c r="K865" i="16"/>
  <c r="J865" i="16"/>
  <c r="I865" i="16"/>
  <c r="G865" i="16"/>
  <c r="N864" i="16"/>
  <c r="L864" i="16"/>
  <c r="K864" i="16"/>
  <c r="J864" i="16"/>
  <c r="I864" i="16"/>
  <c r="G864" i="16"/>
  <c r="N863" i="16"/>
  <c r="L863" i="16"/>
  <c r="K863" i="16"/>
  <c r="J863" i="16"/>
  <c r="I863" i="16"/>
  <c r="G863" i="16"/>
  <c r="N862" i="16"/>
  <c r="L862" i="16"/>
  <c r="K862" i="16"/>
  <c r="J862" i="16"/>
  <c r="I862" i="16"/>
  <c r="G862" i="16"/>
  <c r="N861" i="16"/>
  <c r="L861" i="16"/>
  <c r="K861" i="16"/>
  <c r="J861" i="16"/>
  <c r="I861" i="16"/>
  <c r="G861" i="16"/>
  <c r="N860" i="16"/>
  <c r="L860" i="16"/>
  <c r="K860" i="16"/>
  <c r="J860" i="16"/>
  <c r="I860" i="16"/>
  <c r="G860" i="16"/>
  <c r="N859" i="16"/>
  <c r="L859" i="16"/>
  <c r="K859" i="16"/>
  <c r="J859" i="16"/>
  <c r="I859" i="16"/>
  <c r="G859" i="16"/>
  <c r="N858" i="16"/>
  <c r="L858" i="16"/>
  <c r="K858" i="16"/>
  <c r="J858" i="16"/>
  <c r="I858" i="16"/>
  <c r="G858" i="16"/>
  <c r="N857" i="16"/>
  <c r="L857" i="16"/>
  <c r="K857" i="16"/>
  <c r="J857" i="16"/>
  <c r="I857" i="16"/>
  <c r="G857" i="16"/>
  <c r="N856" i="16"/>
  <c r="L856" i="16"/>
  <c r="K856" i="16"/>
  <c r="J856" i="16"/>
  <c r="I856" i="16"/>
  <c r="G856" i="16"/>
  <c r="N855" i="16"/>
  <c r="L855" i="16"/>
  <c r="K855" i="16"/>
  <c r="J855" i="16"/>
  <c r="I855" i="16"/>
  <c r="G855" i="16"/>
  <c r="N854" i="16"/>
  <c r="L854" i="16"/>
  <c r="K854" i="16"/>
  <c r="J854" i="16"/>
  <c r="I854" i="16"/>
  <c r="G854" i="16"/>
  <c r="N853" i="16"/>
  <c r="L853" i="16"/>
  <c r="K853" i="16"/>
  <c r="J853" i="16"/>
  <c r="I853" i="16"/>
  <c r="G853" i="16"/>
  <c r="N852" i="16"/>
  <c r="L852" i="16"/>
  <c r="K852" i="16"/>
  <c r="J852" i="16"/>
  <c r="I852" i="16"/>
  <c r="G852" i="16"/>
  <c r="N851" i="16"/>
  <c r="L851" i="16"/>
  <c r="K851" i="16"/>
  <c r="J851" i="16"/>
  <c r="I851" i="16"/>
  <c r="G851" i="16"/>
  <c r="N850" i="16"/>
  <c r="L850" i="16"/>
  <c r="K850" i="16"/>
  <c r="J850" i="16"/>
  <c r="I850" i="16"/>
  <c r="G850" i="16"/>
  <c r="N849" i="16"/>
  <c r="L849" i="16"/>
  <c r="K849" i="16"/>
  <c r="J849" i="16"/>
  <c r="I849" i="16"/>
  <c r="G849" i="16"/>
  <c r="N848" i="16"/>
  <c r="L848" i="16"/>
  <c r="K848" i="16"/>
  <c r="J848" i="16"/>
  <c r="I848" i="16"/>
  <c r="G848" i="16"/>
  <c r="N847" i="16"/>
  <c r="L847" i="16"/>
  <c r="K847" i="16"/>
  <c r="J847" i="16"/>
  <c r="I847" i="16"/>
  <c r="G847" i="16"/>
  <c r="N846" i="16"/>
  <c r="L846" i="16"/>
  <c r="K846" i="16"/>
  <c r="J846" i="16"/>
  <c r="I846" i="16"/>
  <c r="G846" i="16"/>
  <c r="N845" i="16"/>
  <c r="L845" i="16"/>
  <c r="K845" i="16"/>
  <c r="J845" i="16"/>
  <c r="I845" i="16"/>
  <c r="G845" i="16"/>
  <c r="N844" i="16"/>
  <c r="L844" i="16"/>
  <c r="K844" i="16"/>
  <c r="J844" i="16"/>
  <c r="I844" i="16"/>
  <c r="G844" i="16"/>
  <c r="N843" i="16"/>
  <c r="L843" i="16"/>
  <c r="K843" i="16"/>
  <c r="J843" i="16"/>
  <c r="I843" i="16"/>
  <c r="G843" i="16"/>
  <c r="N842" i="16"/>
  <c r="L842" i="16"/>
  <c r="K842" i="16"/>
  <c r="J842" i="16"/>
  <c r="I842" i="16"/>
  <c r="G842" i="16"/>
  <c r="N841" i="16"/>
  <c r="L841" i="16"/>
  <c r="K841" i="16"/>
  <c r="J841" i="16"/>
  <c r="I841" i="16"/>
  <c r="G841" i="16"/>
  <c r="N840" i="16"/>
  <c r="L840" i="16"/>
  <c r="K840" i="16"/>
  <c r="J840" i="16"/>
  <c r="I840" i="16"/>
  <c r="G840" i="16"/>
  <c r="N839" i="16"/>
  <c r="L839" i="16"/>
  <c r="K839" i="16"/>
  <c r="J839" i="16"/>
  <c r="I839" i="16"/>
  <c r="G839" i="16"/>
  <c r="N838" i="16"/>
  <c r="L838" i="16"/>
  <c r="K838" i="16"/>
  <c r="J838" i="16"/>
  <c r="I838" i="16"/>
  <c r="G838" i="16"/>
  <c r="N837" i="16"/>
  <c r="L837" i="16"/>
  <c r="K837" i="16"/>
  <c r="J837" i="16"/>
  <c r="I837" i="16"/>
  <c r="G837" i="16"/>
  <c r="N836" i="16"/>
  <c r="L836" i="16"/>
  <c r="K836" i="16"/>
  <c r="J836" i="16"/>
  <c r="I836" i="16"/>
  <c r="G836" i="16"/>
  <c r="N835" i="16"/>
  <c r="L835" i="16"/>
  <c r="K835" i="16"/>
  <c r="J835" i="16"/>
  <c r="I835" i="16"/>
  <c r="G835" i="16"/>
  <c r="N834" i="16"/>
  <c r="L834" i="16"/>
  <c r="K834" i="16"/>
  <c r="J834" i="16"/>
  <c r="I834" i="16"/>
  <c r="G834" i="16"/>
  <c r="N833" i="16"/>
  <c r="L833" i="16"/>
  <c r="K833" i="16"/>
  <c r="J833" i="16"/>
  <c r="I833" i="16"/>
  <c r="G833" i="16"/>
  <c r="N832" i="16"/>
  <c r="L832" i="16"/>
  <c r="K832" i="16"/>
  <c r="J832" i="16"/>
  <c r="I832" i="16"/>
  <c r="G832" i="16"/>
  <c r="N831" i="16"/>
  <c r="L831" i="16"/>
  <c r="K831" i="16"/>
  <c r="J831" i="16"/>
  <c r="I831" i="16"/>
  <c r="G831" i="16"/>
  <c r="N830" i="16"/>
  <c r="L830" i="16"/>
  <c r="K830" i="16"/>
  <c r="J830" i="16"/>
  <c r="I830" i="16"/>
  <c r="G830" i="16"/>
  <c r="N829" i="16"/>
  <c r="L829" i="16"/>
  <c r="K829" i="16"/>
  <c r="J829" i="16"/>
  <c r="I829" i="16"/>
  <c r="G829" i="16"/>
  <c r="N828" i="16"/>
  <c r="L828" i="16"/>
  <c r="K828" i="16"/>
  <c r="J828" i="16"/>
  <c r="I828" i="16"/>
  <c r="G828" i="16"/>
  <c r="N827" i="16"/>
  <c r="L827" i="16"/>
  <c r="K827" i="16"/>
  <c r="J827" i="16"/>
  <c r="I827" i="16"/>
  <c r="G827" i="16"/>
  <c r="N826" i="16"/>
  <c r="L826" i="16"/>
  <c r="K826" i="16"/>
  <c r="J826" i="16"/>
  <c r="I826" i="16"/>
  <c r="G826" i="16"/>
  <c r="N825" i="16"/>
  <c r="L825" i="16"/>
  <c r="K825" i="16"/>
  <c r="J825" i="16"/>
  <c r="I825" i="16"/>
  <c r="G825" i="16"/>
  <c r="N824" i="16"/>
  <c r="L824" i="16"/>
  <c r="K824" i="16"/>
  <c r="J824" i="16"/>
  <c r="I824" i="16"/>
  <c r="G824" i="16"/>
  <c r="N823" i="16"/>
  <c r="L823" i="16"/>
  <c r="K823" i="16"/>
  <c r="J823" i="16"/>
  <c r="I823" i="16"/>
  <c r="G823" i="16"/>
  <c r="N822" i="16"/>
  <c r="L822" i="16"/>
  <c r="K822" i="16"/>
  <c r="J822" i="16"/>
  <c r="I822" i="16"/>
  <c r="G822" i="16"/>
  <c r="N821" i="16"/>
  <c r="L821" i="16"/>
  <c r="K821" i="16"/>
  <c r="J821" i="16"/>
  <c r="I821" i="16"/>
  <c r="G821" i="16"/>
  <c r="N820" i="16"/>
  <c r="L820" i="16"/>
  <c r="K820" i="16"/>
  <c r="J820" i="16"/>
  <c r="I820" i="16"/>
  <c r="G820" i="16"/>
  <c r="N819" i="16"/>
  <c r="L819" i="16"/>
  <c r="K819" i="16"/>
  <c r="J819" i="16"/>
  <c r="I819" i="16"/>
  <c r="G819" i="16"/>
  <c r="N818" i="16"/>
  <c r="L818" i="16"/>
  <c r="K818" i="16"/>
  <c r="J818" i="16"/>
  <c r="I818" i="16"/>
  <c r="G818" i="16"/>
  <c r="N817" i="16"/>
  <c r="L817" i="16"/>
  <c r="K817" i="16"/>
  <c r="J817" i="16"/>
  <c r="I817" i="16"/>
  <c r="G817" i="16"/>
  <c r="N816" i="16"/>
  <c r="L816" i="16"/>
  <c r="K816" i="16"/>
  <c r="J816" i="16"/>
  <c r="I816" i="16"/>
  <c r="G816" i="16"/>
  <c r="N815" i="16"/>
  <c r="L815" i="16"/>
  <c r="K815" i="16"/>
  <c r="J815" i="16"/>
  <c r="I815" i="16"/>
  <c r="G815" i="16"/>
  <c r="N814" i="16"/>
  <c r="L814" i="16"/>
  <c r="K814" i="16"/>
  <c r="J814" i="16"/>
  <c r="I814" i="16"/>
  <c r="G814" i="16"/>
  <c r="N813" i="16"/>
  <c r="L813" i="16"/>
  <c r="K813" i="16"/>
  <c r="J813" i="16"/>
  <c r="I813" i="16"/>
  <c r="G813" i="16"/>
  <c r="N812" i="16"/>
  <c r="L812" i="16"/>
  <c r="K812" i="16"/>
  <c r="J812" i="16"/>
  <c r="I812" i="16"/>
  <c r="G812" i="16"/>
  <c r="N811" i="16"/>
  <c r="L811" i="16"/>
  <c r="K811" i="16"/>
  <c r="J811" i="16"/>
  <c r="I811" i="16"/>
  <c r="G811" i="16"/>
  <c r="N810" i="16"/>
  <c r="L810" i="16"/>
  <c r="K810" i="16"/>
  <c r="J810" i="16"/>
  <c r="I810" i="16"/>
  <c r="G810" i="16"/>
  <c r="N809" i="16"/>
  <c r="L809" i="16"/>
  <c r="K809" i="16"/>
  <c r="J809" i="16"/>
  <c r="I809" i="16"/>
  <c r="G809" i="16"/>
  <c r="N808" i="16"/>
  <c r="L808" i="16"/>
  <c r="K808" i="16"/>
  <c r="J808" i="16"/>
  <c r="I808" i="16"/>
  <c r="G808" i="16"/>
  <c r="N807" i="16"/>
  <c r="L807" i="16"/>
  <c r="K807" i="16"/>
  <c r="J807" i="16"/>
  <c r="I807" i="16"/>
  <c r="G807" i="16"/>
  <c r="N806" i="16"/>
  <c r="L806" i="16"/>
  <c r="K806" i="16"/>
  <c r="J806" i="16"/>
  <c r="I806" i="16"/>
  <c r="G806" i="16"/>
  <c r="N805" i="16"/>
  <c r="L805" i="16"/>
  <c r="K805" i="16"/>
  <c r="J805" i="16"/>
  <c r="I805" i="16"/>
  <c r="G805" i="16"/>
  <c r="N804" i="16"/>
  <c r="L804" i="16"/>
  <c r="K804" i="16"/>
  <c r="J804" i="16"/>
  <c r="I804" i="16"/>
  <c r="G804" i="16"/>
  <c r="N803" i="16"/>
  <c r="L803" i="16"/>
  <c r="K803" i="16"/>
  <c r="J803" i="16"/>
  <c r="I803" i="16"/>
  <c r="G803" i="16"/>
  <c r="N802" i="16"/>
  <c r="L802" i="16"/>
  <c r="K802" i="16"/>
  <c r="J802" i="16"/>
  <c r="I802" i="16"/>
  <c r="G802" i="16"/>
  <c r="N801" i="16"/>
  <c r="L801" i="16"/>
  <c r="K801" i="16"/>
  <c r="J801" i="16"/>
  <c r="I801" i="16"/>
  <c r="G801" i="16"/>
  <c r="N800" i="16"/>
  <c r="L800" i="16"/>
  <c r="K800" i="16"/>
  <c r="J800" i="16"/>
  <c r="I800" i="16"/>
  <c r="G800" i="16"/>
  <c r="N799" i="16"/>
  <c r="L799" i="16"/>
  <c r="K799" i="16"/>
  <c r="J799" i="16"/>
  <c r="I799" i="16"/>
  <c r="G799" i="16"/>
  <c r="N798" i="16"/>
  <c r="L798" i="16"/>
  <c r="K798" i="16"/>
  <c r="J798" i="16"/>
  <c r="I798" i="16"/>
  <c r="G798" i="16"/>
  <c r="N797" i="16"/>
  <c r="L797" i="16"/>
  <c r="K797" i="16"/>
  <c r="J797" i="16"/>
  <c r="I797" i="16"/>
  <c r="G797" i="16"/>
  <c r="N796" i="16"/>
  <c r="L796" i="16"/>
  <c r="K796" i="16"/>
  <c r="J796" i="16"/>
  <c r="I796" i="16"/>
  <c r="G796" i="16"/>
  <c r="N795" i="16"/>
  <c r="L795" i="16"/>
  <c r="K795" i="16"/>
  <c r="J795" i="16"/>
  <c r="I795" i="16"/>
  <c r="G795" i="16"/>
  <c r="N794" i="16"/>
  <c r="L794" i="16"/>
  <c r="K794" i="16"/>
  <c r="J794" i="16"/>
  <c r="I794" i="16"/>
  <c r="G794" i="16"/>
  <c r="N793" i="16"/>
  <c r="L793" i="16"/>
  <c r="K793" i="16"/>
  <c r="J793" i="16"/>
  <c r="I793" i="16"/>
  <c r="G793" i="16"/>
  <c r="N792" i="16"/>
  <c r="L792" i="16"/>
  <c r="K792" i="16"/>
  <c r="J792" i="16"/>
  <c r="I792" i="16"/>
  <c r="G792" i="16"/>
  <c r="N791" i="16"/>
  <c r="L791" i="16"/>
  <c r="K791" i="16"/>
  <c r="J791" i="16"/>
  <c r="I791" i="16"/>
  <c r="G791" i="16"/>
  <c r="N790" i="16"/>
  <c r="L790" i="16"/>
  <c r="K790" i="16"/>
  <c r="J790" i="16"/>
  <c r="I790" i="16"/>
  <c r="G790" i="16"/>
  <c r="N789" i="16"/>
  <c r="L789" i="16"/>
  <c r="K789" i="16"/>
  <c r="J789" i="16"/>
  <c r="I789" i="16"/>
  <c r="G789" i="16"/>
  <c r="N788" i="16"/>
  <c r="L788" i="16"/>
  <c r="K788" i="16"/>
  <c r="J788" i="16"/>
  <c r="I788" i="16"/>
  <c r="G788" i="16"/>
  <c r="N787" i="16"/>
  <c r="L787" i="16"/>
  <c r="K787" i="16"/>
  <c r="J787" i="16"/>
  <c r="I787" i="16"/>
  <c r="G787" i="16"/>
  <c r="N786" i="16"/>
  <c r="L786" i="16"/>
  <c r="K786" i="16"/>
  <c r="J786" i="16"/>
  <c r="I786" i="16"/>
  <c r="G786" i="16"/>
  <c r="N785" i="16"/>
  <c r="L785" i="16"/>
  <c r="K785" i="16"/>
  <c r="J785" i="16"/>
  <c r="I785" i="16"/>
  <c r="G785" i="16"/>
  <c r="N784" i="16"/>
  <c r="L784" i="16"/>
  <c r="K784" i="16"/>
  <c r="J784" i="16"/>
  <c r="I784" i="16"/>
  <c r="G784" i="16"/>
  <c r="N783" i="16"/>
  <c r="L783" i="16"/>
  <c r="K783" i="16"/>
  <c r="J783" i="16"/>
  <c r="I783" i="16"/>
  <c r="G783" i="16"/>
  <c r="N782" i="16"/>
  <c r="L782" i="16"/>
  <c r="K782" i="16"/>
  <c r="J782" i="16"/>
  <c r="I782" i="16"/>
  <c r="G782" i="16"/>
  <c r="N781" i="16"/>
  <c r="L781" i="16"/>
  <c r="K781" i="16"/>
  <c r="J781" i="16"/>
  <c r="I781" i="16"/>
  <c r="G781" i="16"/>
  <c r="N780" i="16"/>
  <c r="L780" i="16"/>
  <c r="K780" i="16"/>
  <c r="J780" i="16"/>
  <c r="I780" i="16"/>
  <c r="G780" i="16"/>
  <c r="N779" i="16"/>
  <c r="L779" i="16"/>
  <c r="K779" i="16"/>
  <c r="J779" i="16"/>
  <c r="I779" i="16"/>
  <c r="G779" i="16"/>
  <c r="N778" i="16"/>
  <c r="L778" i="16"/>
  <c r="K778" i="16"/>
  <c r="J778" i="16"/>
  <c r="I778" i="16"/>
  <c r="G778" i="16"/>
  <c r="N777" i="16"/>
  <c r="L777" i="16"/>
  <c r="K777" i="16"/>
  <c r="J777" i="16"/>
  <c r="I777" i="16"/>
  <c r="G777" i="16"/>
  <c r="N776" i="16"/>
  <c r="L776" i="16"/>
  <c r="K776" i="16"/>
  <c r="J776" i="16"/>
  <c r="I776" i="16"/>
  <c r="G776" i="16"/>
  <c r="N775" i="16"/>
  <c r="L775" i="16"/>
  <c r="K775" i="16"/>
  <c r="J775" i="16"/>
  <c r="I775" i="16"/>
  <c r="G775" i="16"/>
  <c r="N774" i="16"/>
  <c r="L774" i="16"/>
  <c r="K774" i="16"/>
  <c r="J774" i="16"/>
  <c r="I774" i="16"/>
  <c r="G774" i="16"/>
  <c r="N773" i="16"/>
  <c r="L773" i="16"/>
  <c r="K773" i="16"/>
  <c r="J773" i="16"/>
  <c r="I773" i="16"/>
  <c r="G773" i="16"/>
  <c r="N772" i="16"/>
  <c r="L772" i="16"/>
  <c r="K772" i="16"/>
  <c r="J772" i="16"/>
  <c r="I772" i="16"/>
  <c r="G772" i="16"/>
  <c r="N771" i="16"/>
  <c r="L771" i="16"/>
  <c r="K771" i="16"/>
  <c r="J771" i="16"/>
  <c r="I771" i="16"/>
  <c r="G771" i="16"/>
  <c r="N770" i="16"/>
  <c r="L770" i="16"/>
  <c r="K770" i="16"/>
  <c r="J770" i="16"/>
  <c r="I770" i="16"/>
  <c r="G770" i="16"/>
  <c r="N769" i="16"/>
  <c r="L769" i="16"/>
  <c r="K769" i="16"/>
  <c r="J769" i="16"/>
  <c r="I769" i="16"/>
  <c r="G769" i="16"/>
  <c r="N768" i="16"/>
  <c r="L768" i="16"/>
  <c r="K768" i="16"/>
  <c r="J768" i="16"/>
  <c r="I768" i="16"/>
  <c r="G768" i="16"/>
  <c r="N767" i="16"/>
  <c r="L767" i="16"/>
  <c r="K767" i="16"/>
  <c r="J767" i="16"/>
  <c r="I767" i="16"/>
  <c r="G767" i="16"/>
  <c r="N766" i="16"/>
  <c r="L766" i="16"/>
  <c r="K766" i="16"/>
  <c r="J766" i="16"/>
  <c r="I766" i="16"/>
  <c r="G766" i="16"/>
  <c r="N765" i="16"/>
  <c r="L765" i="16"/>
  <c r="K765" i="16"/>
  <c r="J765" i="16"/>
  <c r="I765" i="16"/>
  <c r="G765" i="16"/>
  <c r="N764" i="16"/>
  <c r="L764" i="16"/>
  <c r="K764" i="16"/>
  <c r="J764" i="16"/>
  <c r="I764" i="16"/>
  <c r="G764" i="16"/>
  <c r="N763" i="16"/>
  <c r="L763" i="16"/>
  <c r="K763" i="16"/>
  <c r="J763" i="16"/>
  <c r="I763" i="16"/>
  <c r="G763" i="16"/>
  <c r="N762" i="16"/>
  <c r="L762" i="16"/>
  <c r="K762" i="16"/>
  <c r="J762" i="16"/>
  <c r="I762" i="16"/>
  <c r="G762" i="16"/>
  <c r="N761" i="16"/>
  <c r="L761" i="16"/>
  <c r="K761" i="16"/>
  <c r="J761" i="16"/>
  <c r="I761" i="16"/>
  <c r="G761" i="16"/>
  <c r="N760" i="16"/>
  <c r="L760" i="16"/>
  <c r="K760" i="16"/>
  <c r="J760" i="16"/>
  <c r="I760" i="16"/>
  <c r="G760" i="16"/>
  <c r="N759" i="16"/>
  <c r="L759" i="16"/>
  <c r="K759" i="16"/>
  <c r="J759" i="16"/>
  <c r="I759" i="16"/>
  <c r="G759" i="16"/>
  <c r="N758" i="16"/>
  <c r="L758" i="16"/>
  <c r="K758" i="16"/>
  <c r="J758" i="16"/>
  <c r="I758" i="16"/>
  <c r="G758" i="16"/>
  <c r="N757" i="16"/>
  <c r="L757" i="16"/>
  <c r="K757" i="16"/>
  <c r="J757" i="16"/>
  <c r="I757" i="16"/>
  <c r="G757" i="16"/>
  <c r="N756" i="16"/>
  <c r="L756" i="16"/>
  <c r="K756" i="16"/>
  <c r="J756" i="16"/>
  <c r="I756" i="16"/>
  <c r="G756" i="16"/>
  <c r="N755" i="16"/>
  <c r="L755" i="16"/>
  <c r="K755" i="16"/>
  <c r="J755" i="16"/>
  <c r="I755" i="16"/>
  <c r="G755" i="16"/>
  <c r="N754" i="16"/>
  <c r="L754" i="16"/>
  <c r="K754" i="16"/>
  <c r="J754" i="16"/>
  <c r="I754" i="16"/>
  <c r="G754" i="16"/>
  <c r="N753" i="16"/>
  <c r="L753" i="16"/>
  <c r="K753" i="16"/>
  <c r="J753" i="16"/>
  <c r="I753" i="16"/>
  <c r="G753" i="16"/>
  <c r="N752" i="16"/>
  <c r="L752" i="16"/>
  <c r="K752" i="16"/>
  <c r="J752" i="16"/>
  <c r="I752" i="16"/>
  <c r="G752" i="16"/>
  <c r="N751" i="16"/>
  <c r="L751" i="16"/>
  <c r="K751" i="16"/>
  <c r="J751" i="16"/>
  <c r="I751" i="16"/>
  <c r="G751" i="16"/>
  <c r="N750" i="16"/>
  <c r="L750" i="16"/>
  <c r="K750" i="16"/>
  <c r="J750" i="16"/>
  <c r="I750" i="16"/>
  <c r="G750" i="16"/>
  <c r="N749" i="16"/>
  <c r="L749" i="16"/>
  <c r="K749" i="16"/>
  <c r="J749" i="16"/>
  <c r="I749" i="16"/>
  <c r="G749" i="16"/>
  <c r="N748" i="16"/>
  <c r="L748" i="16"/>
  <c r="K748" i="16"/>
  <c r="J748" i="16"/>
  <c r="I748" i="16"/>
  <c r="G748" i="16"/>
  <c r="N747" i="16"/>
  <c r="L747" i="16"/>
  <c r="K747" i="16"/>
  <c r="J747" i="16"/>
  <c r="I747" i="16"/>
  <c r="G747" i="16"/>
  <c r="N746" i="16"/>
  <c r="L746" i="16"/>
  <c r="K746" i="16"/>
  <c r="J746" i="16"/>
  <c r="I746" i="16"/>
  <c r="G746" i="16"/>
  <c r="N745" i="16"/>
  <c r="L745" i="16"/>
  <c r="K745" i="16"/>
  <c r="J745" i="16"/>
  <c r="I745" i="16"/>
  <c r="G745" i="16"/>
  <c r="N744" i="16"/>
  <c r="L744" i="16"/>
  <c r="K744" i="16"/>
  <c r="J744" i="16"/>
  <c r="I744" i="16"/>
  <c r="G744" i="16"/>
  <c r="N743" i="16"/>
  <c r="L743" i="16"/>
  <c r="K743" i="16"/>
  <c r="J743" i="16"/>
  <c r="I743" i="16"/>
  <c r="G743" i="16"/>
  <c r="N742" i="16"/>
  <c r="L742" i="16"/>
  <c r="K742" i="16"/>
  <c r="J742" i="16"/>
  <c r="I742" i="16"/>
  <c r="G742" i="16"/>
  <c r="N741" i="16"/>
  <c r="L741" i="16"/>
  <c r="K741" i="16"/>
  <c r="J741" i="16"/>
  <c r="I741" i="16"/>
  <c r="G741" i="16"/>
  <c r="N740" i="16"/>
  <c r="L740" i="16"/>
  <c r="K740" i="16"/>
  <c r="J740" i="16"/>
  <c r="I740" i="16"/>
  <c r="G740" i="16"/>
  <c r="N739" i="16"/>
  <c r="L739" i="16"/>
  <c r="K739" i="16"/>
  <c r="J739" i="16"/>
  <c r="I739" i="16"/>
  <c r="G739" i="16"/>
  <c r="N738" i="16"/>
  <c r="L738" i="16"/>
  <c r="K738" i="16"/>
  <c r="J738" i="16"/>
  <c r="I738" i="16"/>
  <c r="G738" i="16"/>
  <c r="N737" i="16"/>
  <c r="L737" i="16"/>
  <c r="K737" i="16"/>
  <c r="J737" i="16"/>
  <c r="I737" i="16"/>
  <c r="G737" i="16"/>
  <c r="N736" i="16"/>
  <c r="L736" i="16"/>
  <c r="K736" i="16"/>
  <c r="J736" i="16"/>
  <c r="I736" i="16"/>
  <c r="G736" i="16"/>
  <c r="N735" i="16"/>
  <c r="L735" i="16"/>
  <c r="K735" i="16"/>
  <c r="J735" i="16"/>
  <c r="I735" i="16"/>
  <c r="G735" i="16"/>
  <c r="N734" i="16"/>
  <c r="L734" i="16"/>
  <c r="K734" i="16"/>
  <c r="J734" i="16"/>
  <c r="I734" i="16"/>
  <c r="G734" i="16"/>
  <c r="N733" i="16"/>
  <c r="L733" i="16"/>
  <c r="K733" i="16"/>
  <c r="J733" i="16"/>
  <c r="I733" i="16"/>
  <c r="G733" i="16"/>
  <c r="N732" i="16"/>
  <c r="L732" i="16"/>
  <c r="K732" i="16"/>
  <c r="J732" i="16"/>
  <c r="I732" i="16"/>
  <c r="G732" i="16"/>
  <c r="N731" i="16"/>
  <c r="L731" i="16"/>
  <c r="K731" i="16"/>
  <c r="J731" i="16"/>
  <c r="I731" i="16"/>
  <c r="G731" i="16"/>
  <c r="N730" i="16"/>
  <c r="L730" i="16"/>
  <c r="K730" i="16"/>
  <c r="J730" i="16"/>
  <c r="I730" i="16"/>
  <c r="G730" i="16"/>
  <c r="N729" i="16"/>
  <c r="L729" i="16"/>
  <c r="K729" i="16"/>
  <c r="J729" i="16"/>
  <c r="I729" i="16"/>
  <c r="G729" i="16"/>
  <c r="N728" i="16"/>
  <c r="L728" i="16"/>
  <c r="K728" i="16"/>
  <c r="J728" i="16"/>
  <c r="I728" i="16"/>
  <c r="G728" i="16"/>
  <c r="N727" i="16"/>
  <c r="L727" i="16"/>
  <c r="K727" i="16"/>
  <c r="J727" i="16"/>
  <c r="I727" i="16"/>
  <c r="G727" i="16"/>
  <c r="N726" i="16"/>
  <c r="L726" i="16"/>
  <c r="K726" i="16"/>
  <c r="J726" i="16"/>
  <c r="I726" i="16"/>
  <c r="G726" i="16"/>
  <c r="N725" i="16"/>
  <c r="L725" i="16"/>
  <c r="K725" i="16"/>
  <c r="J725" i="16"/>
  <c r="I725" i="16"/>
  <c r="G725" i="16"/>
  <c r="N724" i="16"/>
  <c r="L724" i="16"/>
  <c r="K724" i="16"/>
  <c r="J724" i="16"/>
  <c r="I724" i="16"/>
  <c r="G724" i="16"/>
  <c r="N723" i="16"/>
  <c r="L723" i="16"/>
  <c r="K723" i="16"/>
  <c r="J723" i="16"/>
  <c r="I723" i="16"/>
  <c r="G723" i="16"/>
  <c r="N722" i="16"/>
  <c r="L722" i="16"/>
  <c r="K722" i="16"/>
  <c r="J722" i="16"/>
  <c r="I722" i="16"/>
  <c r="G722" i="16"/>
  <c r="N721" i="16"/>
  <c r="L721" i="16"/>
  <c r="K721" i="16"/>
  <c r="J721" i="16"/>
  <c r="I721" i="16"/>
  <c r="G721" i="16"/>
  <c r="N720" i="16"/>
  <c r="L720" i="16"/>
  <c r="K720" i="16"/>
  <c r="J720" i="16"/>
  <c r="I720" i="16"/>
  <c r="G720" i="16"/>
  <c r="N719" i="16"/>
  <c r="L719" i="16"/>
  <c r="K719" i="16"/>
  <c r="J719" i="16"/>
  <c r="I719" i="16"/>
  <c r="G719" i="16"/>
  <c r="N718" i="16"/>
  <c r="L718" i="16"/>
  <c r="K718" i="16"/>
  <c r="J718" i="16"/>
  <c r="I718" i="16"/>
  <c r="G718" i="16"/>
  <c r="N717" i="16"/>
  <c r="L717" i="16"/>
  <c r="K717" i="16"/>
  <c r="J717" i="16"/>
  <c r="I717" i="16"/>
  <c r="G717" i="16"/>
  <c r="N716" i="16"/>
  <c r="L716" i="16"/>
  <c r="K716" i="16"/>
  <c r="J716" i="16"/>
  <c r="I716" i="16"/>
  <c r="G716" i="16"/>
  <c r="N715" i="16"/>
  <c r="L715" i="16"/>
  <c r="K715" i="16"/>
  <c r="J715" i="16"/>
  <c r="I715" i="16"/>
  <c r="G715" i="16"/>
  <c r="N714" i="16"/>
  <c r="L714" i="16"/>
  <c r="K714" i="16"/>
  <c r="J714" i="16"/>
  <c r="I714" i="16"/>
  <c r="G714" i="16"/>
  <c r="N713" i="16"/>
  <c r="L713" i="16"/>
  <c r="K713" i="16"/>
  <c r="J713" i="16"/>
  <c r="I713" i="16"/>
  <c r="G713" i="16"/>
  <c r="N712" i="16"/>
  <c r="L712" i="16"/>
  <c r="K712" i="16"/>
  <c r="J712" i="16"/>
  <c r="I712" i="16"/>
  <c r="G712" i="16"/>
  <c r="N711" i="16"/>
  <c r="L711" i="16"/>
  <c r="K711" i="16"/>
  <c r="J711" i="16"/>
  <c r="I711" i="16"/>
  <c r="G711" i="16"/>
  <c r="N710" i="16"/>
  <c r="L710" i="16"/>
  <c r="K710" i="16"/>
  <c r="J710" i="16"/>
  <c r="I710" i="16"/>
  <c r="G710" i="16"/>
  <c r="N709" i="16"/>
  <c r="L709" i="16"/>
  <c r="K709" i="16"/>
  <c r="J709" i="16"/>
  <c r="I709" i="16"/>
  <c r="G709" i="16"/>
  <c r="N708" i="16"/>
  <c r="L708" i="16"/>
  <c r="K708" i="16"/>
  <c r="J708" i="16"/>
  <c r="I708" i="16"/>
  <c r="G708" i="16"/>
  <c r="N707" i="16"/>
  <c r="L707" i="16"/>
  <c r="K707" i="16"/>
  <c r="J707" i="16"/>
  <c r="I707" i="16"/>
  <c r="G707" i="16"/>
  <c r="N706" i="16"/>
  <c r="L706" i="16"/>
  <c r="K706" i="16"/>
  <c r="J706" i="16"/>
  <c r="I706" i="16"/>
  <c r="G706" i="16"/>
  <c r="N705" i="16"/>
  <c r="L705" i="16"/>
  <c r="K705" i="16"/>
  <c r="J705" i="16"/>
  <c r="I705" i="16"/>
  <c r="G705" i="16"/>
  <c r="N704" i="16"/>
  <c r="L704" i="16"/>
  <c r="K704" i="16"/>
  <c r="J704" i="16"/>
  <c r="I704" i="16"/>
  <c r="G704" i="16"/>
  <c r="N703" i="16"/>
  <c r="L703" i="16"/>
  <c r="K703" i="16"/>
  <c r="J703" i="16"/>
  <c r="I703" i="16"/>
  <c r="G703" i="16"/>
  <c r="N702" i="16"/>
  <c r="L702" i="16"/>
  <c r="K702" i="16"/>
  <c r="J702" i="16"/>
  <c r="I702" i="16"/>
  <c r="G702" i="16"/>
  <c r="N701" i="16"/>
  <c r="L701" i="16"/>
  <c r="K701" i="16"/>
  <c r="J701" i="16"/>
  <c r="I701" i="16"/>
  <c r="G701" i="16"/>
  <c r="N700" i="16"/>
  <c r="L700" i="16"/>
  <c r="K700" i="16"/>
  <c r="J700" i="16"/>
  <c r="I700" i="16"/>
  <c r="G700" i="16"/>
  <c r="N699" i="16"/>
  <c r="L699" i="16"/>
  <c r="K699" i="16"/>
  <c r="J699" i="16"/>
  <c r="I699" i="16"/>
  <c r="G699" i="16"/>
  <c r="N698" i="16"/>
  <c r="L698" i="16"/>
  <c r="K698" i="16"/>
  <c r="J698" i="16"/>
  <c r="I698" i="16"/>
  <c r="G698" i="16"/>
  <c r="N697" i="16"/>
  <c r="L697" i="16"/>
  <c r="K697" i="16"/>
  <c r="J697" i="16"/>
  <c r="I697" i="16"/>
  <c r="G697" i="16"/>
  <c r="N696" i="16"/>
  <c r="L696" i="16"/>
  <c r="K696" i="16"/>
  <c r="J696" i="16"/>
  <c r="I696" i="16"/>
  <c r="G696" i="16"/>
  <c r="N695" i="16"/>
  <c r="L695" i="16"/>
  <c r="K695" i="16"/>
  <c r="J695" i="16"/>
  <c r="I695" i="16"/>
  <c r="G695" i="16"/>
  <c r="N694" i="16"/>
  <c r="L694" i="16"/>
  <c r="K694" i="16"/>
  <c r="J694" i="16"/>
  <c r="I694" i="16"/>
  <c r="G694" i="16"/>
  <c r="N693" i="16"/>
  <c r="L693" i="16"/>
  <c r="K693" i="16"/>
  <c r="J693" i="16"/>
  <c r="I693" i="16"/>
  <c r="G693" i="16"/>
  <c r="N692" i="16"/>
  <c r="L692" i="16"/>
  <c r="K692" i="16"/>
  <c r="J692" i="16"/>
  <c r="I692" i="16"/>
  <c r="G692" i="16"/>
  <c r="N691" i="16"/>
  <c r="L691" i="16"/>
  <c r="K691" i="16"/>
  <c r="J691" i="16"/>
  <c r="I691" i="16"/>
  <c r="G691" i="16"/>
  <c r="N690" i="16"/>
  <c r="L690" i="16"/>
  <c r="K690" i="16"/>
  <c r="J690" i="16"/>
  <c r="I690" i="16"/>
  <c r="G690" i="16"/>
  <c r="N689" i="16"/>
  <c r="L689" i="16"/>
  <c r="K689" i="16"/>
  <c r="J689" i="16"/>
  <c r="I689" i="16"/>
  <c r="G689" i="16"/>
  <c r="N688" i="16"/>
  <c r="L688" i="16"/>
  <c r="K688" i="16"/>
  <c r="J688" i="16"/>
  <c r="I688" i="16"/>
  <c r="G688" i="16"/>
  <c r="N687" i="16"/>
  <c r="L687" i="16"/>
  <c r="K687" i="16"/>
  <c r="J687" i="16"/>
  <c r="I687" i="16"/>
  <c r="G687" i="16"/>
  <c r="N686" i="16"/>
  <c r="L686" i="16"/>
  <c r="K686" i="16"/>
  <c r="J686" i="16"/>
  <c r="I686" i="16"/>
  <c r="G686" i="16"/>
  <c r="N685" i="16"/>
  <c r="L685" i="16"/>
  <c r="K685" i="16"/>
  <c r="J685" i="16"/>
  <c r="I685" i="16"/>
  <c r="G685" i="16"/>
  <c r="N684" i="16"/>
  <c r="L684" i="16"/>
  <c r="K684" i="16"/>
  <c r="J684" i="16"/>
  <c r="I684" i="16"/>
  <c r="G684" i="16"/>
  <c r="N683" i="16"/>
  <c r="L683" i="16"/>
  <c r="K683" i="16"/>
  <c r="J683" i="16"/>
  <c r="I683" i="16"/>
  <c r="G683" i="16"/>
  <c r="N682" i="16"/>
  <c r="L682" i="16"/>
  <c r="K682" i="16"/>
  <c r="J682" i="16"/>
  <c r="I682" i="16"/>
  <c r="G682" i="16"/>
  <c r="N681" i="16"/>
  <c r="L681" i="16"/>
  <c r="K681" i="16"/>
  <c r="J681" i="16"/>
  <c r="I681" i="16"/>
  <c r="G681" i="16"/>
  <c r="N680" i="16"/>
  <c r="L680" i="16"/>
  <c r="K680" i="16"/>
  <c r="J680" i="16"/>
  <c r="I680" i="16"/>
  <c r="G680" i="16"/>
  <c r="N679" i="16"/>
  <c r="L679" i="16"/>
  <c r="K679" i="16"/>
  <c r="J679" i="16"/>
  <c r="I679" i="16"/>
  <c r="G679" i="16"/>
  <c r="N678" i="16"/>
  <c r="L678" i="16"/>
  <c r="K678" i="16"/>
  <c r="J678" i="16"/>
  <c r="I678" i="16"/>
  <c r="G678" i="16"/>
  <c r="N677" i="16"/>
  <c r="L677" i="16"/>
  <c r="K677" i="16"/>
  <c r="J677" i="16"/>
  <c r="I677" i="16"/>
  <c r="G677" i="16"/>
  <c r="N676" i="16"/>
  <c r="L676" i="16"/>
  <c r="K676" i="16"/>
  <c r="J676" i="16"/>
  <c r="I676" i="16"/>
  <c r="G676" i="16"/>
  <c r="N675" i="16"/>
  <c r="L675" i="16"/>
  <c r="K675" i="16"/>
  <c r="J675" i="16"/>
  <c r="I675" i="16"/>
  <c r="G675" i="16"/>
  <c r="N674" i="16"/>
  <c r="L674" i="16"/>
  <c r="K674" i="16"/>
  <c r="J674" i="16"/>
  <c r="I674" i="16"/>
  <c r="G674" i="16"/>
  <c r="N673" i="16"/>
  <c r="L673" i="16"/>
  <c r="K673" i="16"/>
  <c r="J673" i="16"/>
  <c r="I673" i="16"/>
  <c r="G673" i="16"/>
  <c r="N672" i="16"/>
  <c r="L672" i="16"/>
  <c r="K672" i="16"/>
  <c r="J672" i="16"/>
  <c r="I672" i="16"/>
  <c r="G672" i="16"/>
  <c r="N671" i="16"/>
  <c r="L671" i="16"/>
  <c r="K671" i="16"/>
  <c r="J671" i="16"/>
  <c r="I671" i="16"/>
  <c r="G671" i="16"/>
  <c r="N670" i="16"/>
  <c r="L670" i="16"/>
  <c r="K670" i="16"/>
  <c r="J670" i="16"/>
  <c r="I670" i="16"/>
  <c r="G670" i="16"/>
  <c r="N669" i="16"/>
  <c r="L669" i="16"/>
  <c r="K669" i="16"/>
  <c r="J669" i="16"/>
  <c r="I669" i="16"/>
  <c r="G669" i="16"/>
  <c r="N668" i="16"/>
  <c r="L668" i="16"/>
  <c r="K668" i="16"/>
  <c r="J668" i="16"/>
  <c r="I668" i="16"/>
  <c r="G668" i="16"/>
  <c r="N667" i="16"/>
  <c r="L667" i="16"/>
  <c r="K667" i="16"/>
  <c r="J667" i="16"/>
  <c r="I667" i="16"/>
  <c r="G667" i="16"/>
  <c r="N666" i="16"/>
  <c r="L666" i="16"/>
  <c r="K666" i="16"/>
  <c r="J666" i="16"/>
  <c r="I666" i="16"/>
  <c r="G666" i="16"/>
  <c r="N665" i="16"/>
  <c r="L665" i="16"/>
  <c r="K665" i="16"/>
  <c r="J665" i="16"/>
  <c r="I665" i="16"/>
  <c r="G665" i="16"/>
  <c r="N664" i="16"/>
  <c r="L664" i="16"/>
  <c r="K664" i="16"/>
  <c r="J664" i="16"/>
  <c r="I664" i="16"/>
  <c r="G664" i="16"/>
  <c r="N663" i="16"/>
  <c r="L663" i="16"/>
  <c r="K663" i="16"/>
  <c r="J663" i="16"/>
  <c r="I663" i="16"/>
  <c r="G663" i="16"/>
  <c r="N662" i="16"/>
  <c r="L662" i="16"/>
  <c r="K662" i="16"/>
  <c r="J662" i="16"/>
  <c r="I662" i="16"/>
  <c r="G662" i="16"/>
  <c r="N661" i="16"/>
  <c r="L661" i="16"/>
  <c r="K661" i="16"/>
  <c r="J661" i="16"/>
  <c r="I661" i="16"/>
  <c r="G661" i="16"/>
  <c r="N660" i="16"/>
  <c r="L660" i="16"/>
  <c r="K660" i="16"/>
  <c r="J660" i="16"/>
  <c r="I660" i="16"/>
  <c r="G660" i="16"/>
  <c r="N659" i="16"/>
  <c r="L659" i="16"/>
  <c r="K659" i="16"/>
  <c r="J659" i="16"/>
  <c r="I659" i="16"/>
  <c r="G659" i="16"/>
  <c r="N658" i="16"/>
  <c r="L658" i="16"/>
  <c r="K658" i="16"/>
  <c r="J658" i="16"/>
  <c r="I658" i="16"/>
  <c r="G658" i="16"/>
  <c r="N657" i="16"/>
  <c r="L657" i="16"/>
  <c r="K657" i="16"/>
  <c r="J657" i="16"/>
  <c r="I657" i="16"/>
  <c r="G657" i="16"/>
  <c r="N656" i="16"/>
  <c r="L656" i="16"/>
  <c r="K656" i="16"/>
  <c r="J656" i="16"/>
  <c r="I656" i="16"/>
  <c r="G656" i="16"/>
  <c r="N655" i="16"/>
  <c r="L655" i="16"/>
  <c r="K655" i="16"/>
  <c r="J655" i="16"/>
  <c r="I655" i="16"/>
  <c r="G655" i="16"/>
  <c r="N654" i="16"/>
  <c r="L654" i="16"/>
  <c r="K654" i="16"/>
  <c r="J654" i="16"/>
  <c r="I654" i="16"/>
  <c r="G654" i="16"/>
  <c r="N653" i="16"/>
  <c r="L653" i="16"/>
  <c r="K653" i="16"/>
  <c r="J653" i="16"/>
  <c r="I653" i="16"/>
  <c r="G653" i="16"/>
  <c r="N652" i="16"/>
  <c r="L652" i="16"/>
  <c r="K652" i="16"/>
  <c r="J652" i="16"/>
  <c r="I652" i="16"/>
  <c r="G652" i="16"/>
  <c r="N651" i="16"/>
  <c r="L651" i="16"/>
  <c r="K651" i="16"/>
  <c r="J651" i="16"/>
  <c r="I651" i="16"/>
  <c r="G651" i="16"/>
  <c r="N650" i="16"/>
  <c r="L650" i="16"/>
  <c r="K650" i="16"/>
  <c r="J650" i="16"/>
  <c r="I650" i="16"/>
  <c r="G650" i="16"/>
  <c r="N649" i="16"/>
  <c r="L649" i="16"/>
  <c r="K649" i="16"/>
  <c r="J649" i="16"/>
  <c r="I649" i="16"/>
  <c r="G649" i="16"/>
  <c r="N648" i="16"/>
  <c r="L648" i="16"/>
  <c r="K648" i="16"/>
  <c r="J648" i="16"/>
  <c r="I648" i="16"/>
  <c r="G648" i="16"/>
  <c r="N647" i="16"/>
  <c r="L647" i="16"/>
  <c r="K647" i="16"/>
  <c r="J647" i="16"/>
  <c r="I647" i="16"/>
  <c r="G647" i="16"/>
  <c r="N646" i="16"/>
  <c r="L646" i="16"/>
  <c r="K646" i="16"/>
  <c r="J646" i="16"/>
  <c r="I646" i="16"/>
  <c r="G646" i="16"/>
  <c r="N645" i="16"/>
  <c r="L645" i="16"/>
  <c r="K645" i="16"/>
  <c r="J645" i="16"/>
  <c r="I645" i="16"/>
  <c r="G645" i="16"/>
  <c r="N644" i="16"/>
  <c r="L644" i="16"/>
  <c r="K644" i="16"/>
  <c r="J644" i="16"/>
  <c r="I644" i="16"/>
  <c r="G644" i="16"/>
  <c r="N643" i="16"/>
  <c r="L643" i="16"/>
  <c r="K643" i="16"/>
  <c r="J643" i="16"/>
  <c r="I643" i="16"/>
  <c r="G643" i="16"/>
  <c r="N642" i="16"/>
  <c r="L642" i="16"/>
  <c r="K642" i="16"/>
  <c r="J642" i="16"/>
  <c r="I642" i="16"/>
  <c r="G642" i="16"/>
  <c r="N641" i="16"/>
  <c r="L641" i="16"/>
  <c r="K641" i="16"/>
  <c r="J641" i="16"/>
  <c r="I641" i="16"/>
  <c r="G641" i="16"/>
  <c r="N640" i="16"/>
  <c r="L640" i="16"/>
  <c r="K640" i="16"/>
  <c r="J640" i="16"/>
  <c r="I640" i="16"/>
  <c r="G640" i="16"/>
  <c r="N639" i="16"/>
  <c r="L639" i="16"/>
  <c r="K639" i="16"/>
  <c r="J639" i="16"/>
  <c r="I639" i="16"/>
  <c r="G639" i="16"/>
  <c r="N638" i="16"/>
  <c r="L638" i="16"/>
  <c r="K638" i="16"/>
  <c r="J638" i="16"/>
  <c r="I638" i="16"/>
  <c r="G638" i="16"/>
  <c r="N637" i="16"/>
  <c r="L637" i="16"/>
  <c r="K637" i="16"/>
  <c r="J637" i="16"/>
  <c r="I637" i="16"/>
  <c r="G637" i="16"/>
  <c r="N636" i="16"/>
  <c r="L636" i="16"/>
  <c r="K636" i="16"/>
  <c r="J636" i="16"/>
  <c r="I636" i="16"/>
  <c r="G636" i="16"/>
  <c r="N635" i="16"/>
  <c r="L635" i="16"/>
  <c r="K635" i="16"/>
  <c r="J635" i="16"/>
  <c r="I635" i="16"/>
  <c r="G635" i="16"/>
  <c r="N634" i="16"/>
  <c r="L634" i="16"/>
  <c r="K634" i="16"/>
  <c r="J634" i="16"/>
  <c r="I634" i="16"/>
  <c r="G634" i="16"/>
  <c r="N633" i="16"/>
  <c r="L633" i="16"/>
  <c r="K633" i="16"/>
  <c r="J633" i="16"/>
  <c r="I633" i="16"/>
  <c r="G633" i="16"/>
  <c r="N632" i="16"/>
  <c r="L632" i="16"/>
  <c r="K632" i="16"/>
  <c r="J632" i="16"/>
  <c r="I632" i="16"/>
  <c r="G632" i="16"/>
  <c r="N631" i="16"/>
  <c r="L631" i="16"/>
  <c r="K631" i="16"/>
  <c r="J631" i="16"/>
  <c r="I631" i="16"/>
  <c r="G631" i="16"/>
  <c r="N630" i="16"/>
  <c r="L630" i="16"/>
  <c r="K630" i="16"/>
  <c r="J630" i="16"/>
  <c r="I630" i="16"/>
  <c r="G630" i="16"/>
  <c r="N629" i="16"/>
  <c r="L629" i="16"/>
  <c r="K629" i="16"/>
  <c r="J629" i="16"/>
  <c r="I629" i="16"/>
  <c r="G629" i="16"/>
  <c r="N628" i="16"/>
  <c r="L628" i="16"/>
  <c r="K628" i="16"/>
  <c r="J628" i="16"/>
  <c r="I628" i="16"/>
  <c r="G628" i="16"/>
  <c r="N627" i="16"/>
  <c r="L627" i="16"/>
  <c r="K627" i="16"/>
  <c r="J627" i="16"/>
  <c r="I627" i="16"/>
  <c r="G627" i="16"/>
  <c r="N626" i="16"/>
  <c r="L626" i="16"/>
  <c r="K626" i="16"/>
  <c r="J626" i="16"/>
  <c r="I626" i="16"/>
  <c r="G626" i="16"/>
  <c r="N625" i="16"/>
  <c r="L625" i="16"/>
  <c r="K625" i="16"/>
  <c r="J625" i="16"/>
  <c r="I625" i="16"/>
  <c r="G625" i="16"/>
  <c r="N624" i="16"/>
  <c r="L624" i="16"/>
  <c r="K624" i="16"/>
  <c r="J624" i="16"/>
  <c r="I624" i="16"/>
  <c r="G624" i="16"/>
  <c r="N623" i="16"/>
  <c r="L623" i="16"/>
  <c r="K623" i="16"/>
  <c r="J623" i="16"/>
  <c r="I623" i="16"/>
  <c r="G623" i="16"/>
  <c r="N622" i="16"/>
  <c r="L622" i="16"/>
  <c r="K622" i="16"/>
  <c r="J622" i="16"/>
  <c r="I622" i="16"/>
  <c r="G622" i="16"/>
  <c r="N621" i="16"/>
  <c r="L621" i="16"/>
  <c r="K621" i="16"/>
  <c r="J621" i="16"/>
  <c r="I621" i="16"/>
  <c r="G621" i="16"/>
  <c r="N620" i="16"/>
  <c r="L620" i="16"/>
  <c r="K620" i="16"/>
  <c r="J620" i="16"/>
  <c r="I620" i="16"/>
  <c r="G620" i="16"/>
  <c r="N619" i="16"/>
  <c r="L619" i="16"/>
  <c r="K619" i="16"/>
  <c r="J619" i="16"/>
  <c r="I619" i="16"/>
  <c r="G619" i="16"/>
  <c r="N618" i="16"/>
  <c r="L618" i="16"/>
  <c r="K618" i="16"/>
  <c r="J618" i="16"/>
  <c r="I618" i="16"/>
  <c r="G618" i="16"/>
  <c r="N617" i="16"/>
  <c r="L617" i="16"/>
  <c r="K617" i="16"/>
  <c r="J617" i="16"/>
  <c r="I617" i="16"/>
  <c r="G617" i="16"/>
  <c r="N616" i="16"/>
  <c r="L616" i="16"/>
  <c r="K616" i="16"/>
  <c r="J616" i="16"/>
  <c r="I616" i="16"/>
  <c r="G616" i="16"/>
  <c r="N615" i="16"/>
  <c r="L615" i="16"/>
  <c r="K615" i="16"/>
  <c r="J615" i="16"/>
  <c r="I615" i="16"/>
  <c r="G615" i="16"/>
  <c r="N614" i="16"/>
  <c r="L614" i="16"/>
  <c r="K614" i="16"/>
  <c r="J614" i="16"/>
  <c r="I614" i="16"/>
  <c r="G614" i="16"/>
  <c r="N613" i="16"/>
  <c r="L613" i="16"/>
  <c r="K613" i="16"/>
  <c r="J613" i="16"/>
  <c r="I613" i="16"/>
  <c r="G613" i="16"/>
  <c r="N612" i="16"/>
  <c r="L612" i="16"/>
  <c r="K612" i="16"/>
  <c r="J612" i="16"/>
  <c r="I612" i="16"/>
  <c r="G612" i="16"/>
  <c r="N611" i="16"/>
  <c r="L611" i="16"/>
  <c r="K611" i="16"/>
  <c r="J611" i="16"/>
  <c r="I611" i="16"/>
  <c r="G611" i="16"/>
  <c r="N610" i="16"/>
  <c r="L610" i="16"/>
  <c r="K610" i="16"/>
  <c r="J610" i="16"/>
  <c r="I610" i="16"/>
  <c r="G610" i="16"/>
  <c r="N609" i="16"/>
  <c r="L609" i="16"/>
  <c r="K609" i="16"/>
  <c r="J609" i="16"/>
  <c r="I609" i="16"/>
  <c r="G609" i="16"/>
  <c r="N608" i="16"/>
  <c r="L608" i="16"/>
  <c r="K608" i="16"/>
  <c r="J608" i="16"/>
  <c r="I608" i="16"/>
  <c r="G608" i="16"/>
  <c r="N607" i="16"/>
  <c r="L607" i="16"/>
  <c r="K607" i="16"/>
  <c r="J607" i="16"/>
  <c r="I607" i="16"/>
  <c r="G607" i="16"/>
  <c r="N606" i="16"/>
  <c r="L606" i="16"/>
  <c r="K606" i="16"/>
  <c r="J606" i="16"/>
  <c r="I606" i="16"/>
  <c r="G606" i="16"/>
  <c r="N605" i="16"/>
  <c r="L605" i="16"/>
  <c r="K605" i="16"/>
  <c r="J605" i="16"/>
  <c r="I605" i="16"/>
  <c r="G605" i="16"/>
  <c r="N604" i="16"/>
  <c r="L604" i="16"/>
  <c r="K604" i="16"/>
  <c r="J604" i="16"/>
  <c r="I604" i="16"/>
  <c r="G604" i="16"/>
  <c r="N603" i="16"/>
  <c r="L603" i="16"/>
  <c r="K603" i="16"/>
  <c r="J603" i="16"/>
  <c r="I603" i="16"/>
  <c r="G603" i="16"/>
  <c r="N602" i="16"/>
  <c r="L602" i="16"/>
  <c r="K602" i="16"/>
  <c r="J602" i="16"/>
  <c r="I602" i="16"/>
  <c r="G602" i="16"/>
  <c r="N601" i="16"/>
  <c r="L601" i="16"/>
  <c r="K601" i="16"/>
  <c r="J601" i="16"/>
  <c r="I601" i="16"/>
  <c r="G601" i="16"/>
  <c r="N600" i="16"/>
  <c r="L600" i="16"/>
  <c r="K600" i="16"/>
  <c r="J600" i="16"/>
  <c r="I600" i="16"/>
  <c r="G600" i="16"/>
  <c r="N599" i="16"/>
  <c r="L599" i="16"/>
  <c r="K599" i="16"/>
  <c r="J599" i="16"/>
  <c r="I599" i="16"/>
  <c r="G599" i="16"/>
  <c r="N598" i="16"/>
  <c r="L598" i="16"/>
  <c r="K598" i="16"/>
  <c r="J598" i="16"/>
  <c r="I598" i="16"/>
  <c r="G598" i="16"/>
  <c r="N597" i="16"/>
  <c r="L597" i="16"/>
  <c r="K597" i="16"/>
  <c r="J597" i="16"/>
  <c r="I597" i="16"/>
  <c r="G597" i="16"/>
  <c r="N596" i="16"/>
  <c r="L596" i="16"/>
  <c r="K596" i="16"/>
  <c r="J596" i="16"/>
  <c r="I596" i="16"/>
  <c r="G596" i="16"/>
  <c r="N595" i="16"/>
  <c r="L595" i="16"/>
  <c r="K595" i="16"/>
  <c r="J595" i="16"/>
  <c r="I595" i="16"/>
  <c r="G595" i="16"/>
  <c r="N594" i="16"/>
  <c r="L594" i="16"/>
  <c r="K594" i="16"/>
  <c r="J594" i="16"/>
  <c r="I594" i="16"/>
  <c r="G594" i="16"/>
  <c r="N593" i="16"/>
  <c r="L593" i="16"/>
  <c r="K593" i="16"/>
  <c r="J593" i="16"/>
  <c r="I593" i="16"/>
  <c r="G593" i="16"/>
  <c r="N592" i="16"/>
  <c r="L592" i="16"/>
  <c r="K592" i="16"/>
  <c r="J592" i="16"/>
  <c r="I592" i="16"/>
  <c r="G592" i="16"/>
  <c r="N591" i="16"/>
  <c r="L591" i="16"/>
  <c r="K591" i="16"/>
  <c r="J591" i="16"/>
  <c r="I591" i="16"/>
  <c r="G591" i="16"/>
  <c r="N590" i="16"/>
  <c r="L590" i="16"/>
  <c r="K590" i="16"/>
  <c r="J590" i="16"/>
  <c r="I590" i="16"/>
  <c r="G590" i="16"/>
  <c r="N589" i="16"/>
  <c r="L589" i="16"/>
  <c r="K589" i="16"/>
  <c r="J589" i="16"/>
  <c r="I589" i="16"/>
  <c r="G589" i="16"/>
  <c r="N588" i="16"/>
  <c r="L588" i="16"/>
  <c r="K588" i="16"/>
  <c r="J588" i="16"/>
  <c r="I588" i="16"/>
  <c r="G588" i="16"/>
  <c r="N587" i="16"/>
  <c r="L587" i="16"/>
  <c r="K587" i="16"/>
  <c r="J587" i="16"/>
  <c r="I587" i="16"/>
  <c r="G587" i="16"/>
  <c r="N586" i="16"/>
  <c r="L586" i="16"/>
  <c r="K586" i="16"/>
  <c r="J586" i="16"/>
  <c r="I586" i="16"/>
  <c r="G586" i="16"/>
  <c r="N585" i="16"/>
  <c r="L585" i="16"/>
  <c r="K585" i="16"/>
  <c r="J585" i="16"/>
  <c r="I585" i="16"/>
  <c r="G585" i="16"/>
  <c r="N584" i="16"/>
  <c r="L584" i="16"/>
  <c r="K584" i="16"/>
  <c r="J584" i="16"/>
  <c r="I584" i="16"/>
  <c r="G584" i="16"/>
  <c r="N583" i="16"/>
  <c r="L583" i="16"/>
  <c r="K583" i="16"/>
  <c r="J583" i="16"/>
  <c r="I583" i="16"/>
  <c r="G583" i="16"/>
  <c r="N582" i="16"/>
  <c r="L582" i="16"/>
  <c r="K582" i="16"/>
  <c r="J582" i="16"/>
  <c r="I582" i="16"/>
  <c r="G582" i="16"/>
  <c r="N581" i="16"/>
  <c r="L581" i="16"/>
  <c r="K581" i="16"/>
  <c r="J581" i="16"/>
  <c r="I581" i="16"/>
  <c r="G581" i="16"/>
  <c r="N580" i="16"/>
  <c r="L580" i="16"/>
  <c r="K580" i="16"/>
  <c r="J580" i="16"/>
  <c r="I580" i="16"/>
  <c r="G580" i="16"/>
  <c r="N579" i="16"/>
  <c r="L579" i="16"/>
  <c r="K579" i="16"/>
  <c r="J579" i="16"/>
  <c r="I579" i="16"/>
  <c r="G579" i="16"/>
  <c r="N578" i="16"/>
  <c r="L578" i="16"/>
  <c r="K578" i="16"/>
  <c r="J578" i="16"/>
  <c r="I578" i="16"/>
  <c r="G578" i="16"/>
  <c r="N577" i="16"/>
  <c r="L577" i="16"/>
  <c r="K577" i="16"/>
  <c r="J577" i="16"/>
  <c r="I577" i="16"/>
  <c r="G577" i="16"/>
  <c r="N576" i="16"/>
  <c r="L576" i="16"/>
  <c r="K576" i="16"/>
  <c r="J576" i="16"/>
  <c r="I576" i="16"/>
  <c r="G576" i="16"/>
  <c r="N575" i="16"/>
  <c r="L575" i="16"/>
  <c r="K575" i="16"/>
  <c r="J575" i="16"/>
  <c r="I575" i="16"/>
  <c r="G575" i="16"/>
  <c r="N574" i="16"/>
  <c r="L574" i="16"/>
  <c r="K574" i="16"/>
  <c r="J574" i="16"/>
  <c r="I574" i="16"/>
  <c r="G574" i="16"/>
  <c r="N573" i="16"/>
  <c r="L573" i="16"/>
  <c r="K573" i="16"/>
  <c r="J573" i="16"/>
  <c r="I573" i="16"/>
  <c r="G573" i="16"/>
  <c r="N572" i="16"/>
  <c r="L572" i="16"/>
  <c r="K572" i="16"/>
  <c r="J572" i="16"/>
  <c r="I572" i="16"/>
  <c r="G572" i="16"/>
  <c r="N571" i="16"/>
  <c r="L571" i="16"/>
  <c r="K571" i="16"/>
  <c r="J571" i="16"/>
  <c r="I571" i="16"/>
  <c r="G571" i="16"/>
  <c r="N570" i="16"/>
  <c r="L570" i="16"/>
  <c r="K570" i="16"/>
  <c r="J570" i="16"/>
  <c r="I570" i="16"/>
  <c r="G570" i="16"/>
  <c r="N569" i="16"/>
  <c r="L569" i="16"/>
  <c r="K569" i="16"/>
  <c r="J569" i="16"/>
  <c r="I569" i="16"/>
  <c r="G569" i="16"/>
  <c r="N568" i="16"/>
  <c r="L568" i="16"/>
  <c r="K568" i="16"/>
  <c r="J568" i="16"/>
  <c r="I568" i="16"/>
  <c r="G568" i="16"/>
  <c r="N567" i="16"/>
  <c r="L567" i="16"/>
  <c r="K567" i="16"/>
  <c r="J567" i="16"/>
  <c r="I567" i="16"/>
  <c r="G567" i="16"/>
  <c r="N566" i="16"/>
  <c r="L566" i="16"/>
  <c r="K566" i="16"/>
  <c r="J566" i="16"/>
  <c r="I566" i="16"/>
  <c r="G566" i="16"/>
  <c r="N565" i="16"/>
  <c r="L565" i="16"/>
  <c r="K565" i="16"/>
  <c r="J565" i="16"/>
  <c r="I565" i="16"/>
  <c r="G565" i="16"/>
  <c r="N564" i="16"/>
  <c r="L564" i="16"/>
  <c r="K564" i="16"/>
  <c r="J564" i="16"/>
  <c r="I564" i="16"/>
  <c r="G564" i="16"/>
  <c r="N563" i="16"/>
  <c r="L563" i="16"/>
  <c r="K563" i="16"/>
  <c r="J563" i="16"/>
  <c r="I563" i="16"/>
  <c r="G563" i="16"/>
  <c r="N562" i="16"/>
  <c r="L562" i="16"/>
  <c r="K562" i="16"/>
  <c r="J562" i="16"/>
  <c r="I562" i="16"/>
  <c r="G562" i="16"/>
  <c r="N561" i="16"/>
  <c r="L561" i="16"/>
  <c r="K561" i="16"/>
  <c r="J561" i="16"/>
  <c r="I561" i="16"/>
  <c r="G561" i="16"/>
  <c r="N560" i="16"/>
  <c r="L560" i="16"/>
  <c r="K560" i="16"/>
  <c r="J560" i="16"/>
  <c r="I560" i="16"/>
  <c r="G560" i="16"/>
  <c r="N559" i="16"/>
  <c r="L559" i="16"/>
  <c r="K559" i="16"/>
  <c r="J559" i="16"/>
  <c r="I559" i="16"/>
  <c r="G559" i="16"/>
  <c r="N558" i="16"/>
  <c r="L558" i="16"/>
  <c r="K558" i="16"/>
  <c r="J558" i="16"/>
  <c r="I558" i="16"/>
  <c r="G558" i="16"/>
  <c r="N557" i="16"/>
  <c r="L557" i="16"/>
  <c r="K557" i="16"/>
  <c r="J557" i="16"/>
  <c r="I557" i="16"/>
  <c r="G557" i="16"/>
  <c r="N556" i="16"/>
  <c r="L556" i="16"/>
  <c r="K556" i="16"/>
  <c r="J556" i="16"/>
  <c r="I556" i="16"/>
  <c r="G556" i="16"/>
  <c r="N555" i="16"/>
  <c r="L555" i="16"/>
  <c r="K555" i="16"/>
  <c r="J555" i="16"/>
  <c r="I555" i="16"/>
  <c r="G555" i="16"/>
  <c r="N554" i="16"/>
  <c r="L554" i="16"/>
  <c r="K554" i="16"/>
  <c r="J554" i="16"/>
  <c r="I554" i="16"/>
  <c r="G554" i="16"/>
  <c r="N553" i="16"/>
  <c r="L553" i="16"/>
  <c r="K553" i="16"/>
  <c r="J553" i="16"/>
  <c r="I553" i="16"/>
  <c r="G553" i="16"/>
  <c r="N552" i="16"/>
  <c r="L552" i="16"/>
  <c r="K552" i="16"/>
  <c r="J552" i="16"/>
  <c r="I552" i="16"/>
  <c r="G552" i="16"/>
  <c r="N551" i="16"/>
  <c r="L551" i="16"/>
  <c r="K551" i="16"/>
  <c r="J551" i="16"/>
  <c r="I551" i="16"/>
  <c r="G551" i="16"/>
  <c r="N550" i="16"/>
  <c r="L550" i="16"/>
  <c r="K550" i="16"/>
  <c r="J550" i="16"/>
  <c r="I550" i="16"/>
  <c r="G550" i="16"/>
  <c r="N549" i="16"/>
  <c r="L549" i="16"/>
  <c r="K549" i="16"/>
  <c r="J549" i="16"/>
  <c r="I549" i="16"/>
  <c r="G549" i="16"/>
  <c r="N548" i="16"/>
  <c r="L548" i="16"/>
  <c r="K548" i="16"/>
  <c r="J548" i="16"/>
  <c r="I548" i="16"/>
  <c r="G548" i="16"/>
  <c r="N547" i="16"/>
  <c r="L547" i="16"/>
  <c r="K547" i="16"/>
  <c r="J547" i="16"/>
  <c r="I547" i="16"/>
  <c r="G547" i="16"/>
  <c r="N546" i="16"/>
  <c r="L546" i="16"/>
  <c r="K546" i="16"/>
  <c r="J546" i="16"/>
  <c r="I546" i="16"/>
  <c r="G546" i="16"/>
  <c r="N545" i="16"/>
  <c r="L545" i="16"/>
  <c r="K545" i="16"/>
  <c r="J545" i="16"/>
  <c r="I545" i="16"/>
  <c r="G545" i="16"/>
  <c r="N544" i="16"/>
  <c r="L544" i="16"/>
  <c r="K544" i="16"/>
  <c r="J544" i="16"/>
  <c r="I544" i="16"/>
  <c r="G544" i="16"/>
  <c r="N543" i="16"/>
  <c r="L543" i="16"/>
  <c r="K543" i="16"/>
  <c r="J543" i="16"/>
  <c r="I543" i="16"/>
  <c r="G543" i="16"/>
  <c r="N542" i="16"/>
  <c r="L542" i="16"/>
  <c r="K542" i="16"/>
  <c r="J542" i="16"/>
  <c r="I542" i="16"/>
  <c r="G542" i="16"/>
  <c r="N541" i="16"/>
  <c r="L541" i="16"/>
  <c r="K541" i="16"/>
  <c r="J541" i="16"/>
  <c r="I541" i="16"/>
  <c r="G541" i="16"/>
  <c r="N540" i="16"/>
  <c r="L540" i="16"/>
  <c r="K540" i="16"/>
  <c r="J540" i="16"/>
  <c r="I540" i="16"/>
  <c r="G540" i="16"/>
  <c r="N539" i="16"/>
  <c r="L539" i="16"/>
  <c r="K539" i="16"/>
  <c r="J539" i="16"/>
  <c r="I539" i="16"/>
  <c r="G539" i="16"/>
  <c r="N538" i="16"/>
  <c r="L538" i="16"/>
  <c r="K538" i="16"/>
  <c r="J538" i="16"/>
  <c r="I538" i="16"/>
  <c r="G538" i="16"/>
  <c r="N537" i="16"/>
  <c r="L537" i="16"/>
  <c r="K537" i="16"/>
  <c r="J537" i="16"/>
  <c r="I537" i="16"/>
  <c r="G537" i="16"/>
  <c r="N536" i="16"/>
  <c r="L536" i="16"/>
  <c r="K536" i="16"/>
  <c r="J536" i="16"/>
  <c r="I536" i="16"/>
  <c r="G536" i="16"/>
  <c r="N535" i="16"/>
  <c r="L535" i="16"/>
  <c r="K535" i="16"/>
  <c r="J535" i="16"/>
  <c r="I535" i="16"/>
  <c r="G535" i="16"/>
  <c r="N534" i="16"/>
  <c r="L534" i="16"/>
  <c r="K534" i="16"/>
  <c r="J534" i="16"/>
  <c r="I534" i="16"/>
  <c r="G534" i="16"/>
  <c r="N533" i="16"/>
  <c r="L533" i="16"/>
  <c r="K533" i="16"/>
  <c r="J533" i="16"/>
  <c r="I533" i="16"/>
  <c r="G533" i="16"/>
  <c r="N532" i="16"/>
  <c r="L532" i="16"/>
  <c r="K532" i="16"/>
  <c r="J532" i="16"/>
  <c r="I532" i="16"/>
  <c r="G532" i="16"/>
  <c r="N531" i="16"/>
  <c r="L531" i="16"/>
  <c r="K531" i="16"/>
  <c r="J531" i="16"/>
  <c r="I531" i="16"/>
  <c r="G531" i="16"/>
  <c r="N530" i="16"/>
  <c r="L530" i="16"/>
  <c r="K530" i="16"/>
  <c r="J530" i="16"/>
  <c r="I530" i="16"/>
  <c r="G530" i="16"/>
  <c r="N529" i="16"/>
  <c r="L529" i="16"/>
  <c r="K529" i="16"/>
  <c r="J529" i="16"/>
  <c r="I529" i="16"/>
  <c r="G529" i="16"/>
  <c r="N528" i="16"/>
  <c r="L528" i="16"/>
  <c r="K528" i="16"/>
  <c r="J528" i="16"/>
  <c r="I528" i="16"/>
  <c r="G528" i="16"/>
  <c r="N527" i="16"/>
  <c r="L527" i="16"/>
  <c r="K527" i="16"/>
  <c r="J527" i="16"/>
  <c r="I527" i="16"/>
  <c r="G527" i="16"/>
  <c r="N526" i="16"/>
  <c r="L526" i="16"/>
  <c r="K526" i="16"/>
  <c r="J526" i="16"/>
  <c r="I526" i="16"/>
  <c r="G526" i="16"/>
  <c r="N525" i="16"/>
  <c r="L525" i="16"/>
  <c r="K525" i="16"/>
  <c r="J525" i="16"/>
  <c r="I525" i="16"/>
  <c r="G525" i="16"/>
  <c r="N524" i="16"/>
  <c r="L524" i="16"/>
  <c r="K524" i="16"/>
  <c r="J524" i="16"/>
  <c r="I524" i="16"/>
  <c r="G524" i="16"/>
  <c r="N523" i="16"/>
  <c r="L523" i="16"/>
  <c r="K523" i="16"/>
  <c r="J523" i="16"/>
  <c r="I523" i="16"/>
  <c r="G523" i="16"/>
  <c r="N522" i="16"/>
  <c r="L522" i="16"/>
  <c r="K522" i="16"/>
  <c r="J522" i="16"/>
  <c r="I522" i="16"/>
  <c r="G522" i="16"/>
  <c r="N521" i="16"/>
  <c r="L521" i="16"/>
  <c r="K521" i="16"/>
  <c r="J521" i="16"/>
  <c r="I521" i="16"/>
  <c r="G521" i="16"/>
  <c r="N520" i="16"/>
  <c r="L520" i="16"/>
  <c r="K520" i="16"/>
  <c r="J520" i="16"/>
  <c r="I520" i="16"/>
  <c r="G520" i="16"/>
  <c r="N519" i="16"/>
  <c r="L519" i="16"/>
  <c r="K519" i="16"/>
  <c r="J519" i="16"/>
  <c r="I519" i="16"/>
  <c r="G519" i="16"/>
  <c r="N518" i="16"/>
  <c r="L518" i="16"/>
  <c r="K518" i="16"/>
  <c r="J518" i="16"/>
  <c r="I518" i="16"/>
  <c r="G518" i="16"/>
  <c r="N517" i="16"/>
  <c r="L517" i="16"/>
  <c r="K517" i="16"/>
  <c r="J517" i="16"/>
  <c r="I517" i="16"/>
  <c r="G517" i="16"/>
  <c r="N516" i="16"/>
  <c r="L516" i="16"/>
  <c r="K516" i="16"/>
  <c r="J516" i="16"/>
  <c r="I516" i="16"/>
  <c r="G516" i="16"/>
  <c r="N515" i="16"/>
  <c r="L515" i="16"/>
  <c r="K515" i="16"/>
  <c r="J515" i="16"/>
  <c r="I515" i="16"/>
  <c r="G515" i="16"/>
  <c r="N514" i="16"/>
  <c r="L514" i="16"/>
  <c r="K514" i="16"/>
  <c r="J514" i="16"/>
  <c r="I514" i="16"/>
  <c r="G514" i="16"/>
  <c r="N513" i="16"/>
  <c r="L513" i="16"/>
  <c r="K513" i="16"/>
  <c r="J513" i="16"/>
  <c r="I513" i="16"/>
  <c r="G513" i="16"/>
  <c r="N512" i="16"/>
  <c r="L512" i="16"/>
  <c r="K512" i="16"/>
  <c r="J512" i="16"/>
  <c r="I512" i="16"/>
  <c r="G512" i="16"/>
  <c r="N511" i="16"/>
  <c r="L511" i="16"/>
  <c r="K511" i="16"/>
  <c r="J511" i="16"/>
  <c r="I511" i="16"/>
  <c r="G511" i="16"/>
  <c r="N510" i="16"/>
  <c r="L510" i="16"/>
  <c r="K510" i="16"/>
  <c r="J510" i="16"/>
  <c r="I510" i="16"/>
  <c r="G510" i="16"/>
  <c r="N509" i="16"/>
  <c r="L509" i="16"/>
  <c r="K509" i="16"/>
  <c r="J509" i="16"/>
  <c r="I509" i="16"/>
  <c r="G509" i="16"/>
  <c r="N508" i="16"/>
  <c r="L508" i="16"/>
  <c r="K508" i="16"/>
  <c r="J508" i="16"/>
  <c r="I508" i="16"/>
  <c r="G508" i="16"/>
  <c r="N507" i="16"/>
  <c r="L507" i="16"/>
  <c r="K507" i="16"/>
  <c r="J507" i="16"/>
  <c r="I507" i="16"/>
  <c r="G507" i="16"/>
  <c r="N506" i="16"/>
  <c r="L506" i="16"/>
  <c r="K506" i="16"/>
  <c r="J506" i="16"/>
  <c r="I506" i="16"/>
  <c r="G506" i="16"/>
  <c r="N505" i="16"/>
  <c r="L505" i="16"/>
  <c r="K505" i="16"/>
  <c r="J505" i="16"/>
  <c r="I505" i="16"/>
  <c r="G505" i="16"/>
  <c r="N504" i="16"/>
  <c r="L504" i="16"/>
  <c r="K504" i="16"/>
  <c r="J504" i="16"/>
  <c r="I504" i="16"/>
  <c r="G504" i="16"/>
  <c r="N503" i="16"/>
  <c r="L503" i="16"/>
  <c r="K503" i="16"/>
  <c r="J503" i="16"/>
  <c r="I503" i="16"/>
  <c r="G503" i="16"/>
  <c r="N502" i="16"/>
  <c r="L502" i="16"/>
  <c r="K502" i="16"/>
  <c r="J502" i="16"/>
  <c r="I502" i="16"/>
  <c r="G502" i="16"/>
  <c r="N501" i="16"/>
  <c r="L501" i="16"/>
  <c r="K501" i="16"/>
  <c r="J501" i="16"/>
  <c r="I501" i="16"/>
  <c r="G501" i="16"/>
  <c r="N500" i="16"/>
  <c r="L500" i="16"/>
  <c r="K500" i="16"/>
  <c r="J500" i="16"/>
  <c r="I500" i="16"/>
  <c r="G500" i="16"/>
  <c r="N499" i="16"/>
  <c r="L499" i="16"/>
  <c r="K499" i="16"/>
  <c r="J499" i="16"/>
  <c r="I499" i="16"/>
  <c r="G499" i="16"/>
  <c r="N498" i="16"/>
  <c r="L498" i="16"/>
  <c r="K498" i="16"/>
  <c r="J498" i="16"/>
  <c r="I498" i="16"/>
  <c r="G498" i="16"/>
  <c r="N497" i="16"/>
  <c r="L497" i="16"/>
  <c r="K497" i="16"/>
  <c r="J497" i="16"/>
  <c r="I497" i="16"/>
  <c r="G497" i="16"/>
  <c r="N496" i="16"/>
  <c r="L496" i="16"/>
  <c r="K496" i="16"/>
  <c r="J496" i="16"/>
  <c r="I496" i="16"/>
  <c r="G496" i="16"/>
  <c r="N495" i="16"/>
  <c r="L495" i="16"/>
  <c r="K495" i="16"/>
  <c r="J495" i="16"/>
  <c r="I495" i="16"/>
  <c r="G495" i="16"/>
  <c r="N494" i="16"/>
  <c r="L494" i="16"/>
  <c r="K494" i="16"/>
  <c r="J494" i="16"/>
  <c r="I494" i="16"/>
  <c r="G494" i="16"/>
  <c r="N493" i="16"/>
  <c r="L493" i="16"/>
  <c r="K493" i="16"/>
  <c r="J493" i="16"/>
  <c r="I493" i="16"/>
  <c r="G493" i="16"/>
  <c r="N492" i="16"/>
  <c r="L492" i="16"/>
  <c r="K492" i="16"/>
  <c r="J492" i="16"/>
  <c r="I492" i="16"/>
  <c r="G492" i="16"/>
  <c r="N491" i="16"/>
  <c r="L491" i="16"/>
  <c r="K491" i="16"/>
  <c r="J491" i="16"/>
  <c r="I491" i="16"/>
  <c r="G491" i="16"/>
  <c r="N490" i="16"/>
  <c r="L490" i="16"/>
  <c r="K490" i="16"/>
  <c r="J490" i="16"/>
  <c r="I490" i="16"/>
  <c r="G490" i="16"/>
  <c r="N489" i="16"/>
  <c r="L489" i="16"/>
  <c r="K489" i="16"/>
  <c r="J489" i="16"/>
  <c r="I489" i="16"/>
  <c r="G489" i="16"/>
  <c r="N488" i="16"/>
  <c r="L488" i="16"/>
  <c r="K488" i="16"/>
  <c r="J488" i="16"/>
  <c r="I488" i="16"/>
  <c r="G488" i="16"/>
  <c r="N487" i="16"/>
  <c r="L487" i="16"/>
  <c r="K487" i="16"/>
  <c r="J487" i="16"/>
  <c r="I487" i="16"/>
  <c r="G487" i="16"/>
  <c r="N486" i="16"/>
  <c r="L486" i="16"/>
  <c r="K486" i="16"/>
  <c r="J486" i="16"/>
  <c r="I486" i="16"/>
  <c r="G486" i="16"/>
  <c r="N485" i="16"/>
  <c r="L485" i="16"/>
  <c r="K485" i="16"/>
  <c r="J485" i="16"/>
  <c r="I485" i="16"/>
  <c r="G485" i="16"/>
  <c r="N484" i="16"/>
  <c r="L484" i="16"/>
  <c r="K484" i="16"/>
  <c r="J484" i="16"/>
  <c r="I484" i="16"/>
  <c r="G484" i="16"/>
  <c r="N483" i="16"/>
  <c r="L483" i="16"/>
  <c r="K483" i="16"/>
  <c r="J483" i="16"/>
  <c r="I483" i="16"/>
  <c r="G483" i="16"/>
  <c r="N482" i="16"/>
  <c r="L482" i="16"/>
  <c r="K482" i="16"/>
  <c r="J482" i="16"/>
  <c r="I482" i="16"/>
  <c r="G482" i="16"/>
  <c r="N481" i="16"/>
  <c r="L481" i="16"/>
  <c r="K481" i="16"/>
  <c r="J481" i="16"/>
  <c r="I481" i="16"/>
  <c r="G481" i="16"/>
  <c r="N480" i="16"/>
  <c r="L480" i="16"/>
  <c r="K480" i="16"/>
  <c r="J480" i="16"/>
  <c r="I480" i="16"/>
  <c r="G480" i="16"/>
  <c r="N479" i="16"/>
  <c r="L479" i="16"/>
  <c r="K479" i="16"/>
  <c r="J479" i="16"/>
  <c r="I479" i="16"/>
  <c r="G479" i="16"/>
  <c r="N478" i="16"/>
  <c r="L478" i="16"/>
  <c r="K478" i="16"/>
  <c r="J478" i="16"/>
  <c r="I478" i="16"/>
  <c r="G478" i="16"/>
  <c r="N477" i="16"/>
  <c r="L477" i="16"/>
  <c r="K477" i="16"/>
  <c r="J477" i="16"/>
  <c r="I477" i="16"/>
  <c r="G477" i="16"/>
  <c r="N476" i="16"/>
  <c r="L476" i="16"/>
  <c r="K476" i="16"/>
  <c r="J476" i="16"/>
  <c r="I476" i="16"/>
  <c r="G476" i="16"/>
  <c r="N475" i="16"/>
  <c r="L475" i="16"/>
  <c r="K475" i="16"/>
  <c r="J475" i="16"/>
  <c r="I475" i="16"/>
  <c r="G475" i="16"/>
  <c r="N474" i="16"/>
  <c r="L474" i="16"/>
  <c r="K474" i="16"/>
  <c r="J474" i="16"/>
  <c r="I474" i="16"/>
  <c r="G474" i="16"/>
  <c r="N473" i="16"/>
  <c r="L473" i="16"/>
  <c r="K473" i="16"/>
  <c r="J473" i="16"/>
  <c r="I473" i="16"/>
  <c r="G473" i="16"/>
  <c r="N472" i="16"/>
  <c r="L472" i="16"/>
  <c r="K472" i="16"/>
  <c r="J472" i="16"/>
  <c r="I472" i="16"/>
  <c r="G472" i="16"/>
  <c r="N471" i="16"/>
  <c r="L471" i="16"/>
  <c r="K471" i="16"/>
  <c r="J471" i="16"/>
  <c r="I471" i="16"/>
  <c r="G471" i="16"/>
  <c r="N470" i="16"/>
  <c r="L470" i="16"/>
  <c r="K470" i="16"/>
  <c r="J470" i="16"/>
  <c r="I470" i="16"/>
  <c r="G470" i="16"/>
  <c r="N469" i="16"/>
  <c r="L469" i="16"/>
  <c r="K469" i="16"/>
  <c r="J469" i="16"/>
  <c r="I469" i="16"/>
  <c r="G469" i="16"/>
  <c r="N468" i="16"/>
  <c r="L468" i="16"/>
  <c r="K468" i="16"/>
  <c r="J468" i="16"/>
  <c r="I468" i="16"/>
  <c r="G468" i="16"/>
  <c r="N467" i="16"/>
  <c r="L467" i="16"/>
  <c r="K467" i="16"/>
  <c r="J467" i="16"/>
  <c r="I467" i="16"/>
  <c r="G467" i="16"/>
  <c r="N466" i="16"/>
  <c r="L466" i="16"/>
  <c r="K466" i="16"/>
  <c r="J466" i="16"/>
  <c r="I466" i="16"/>
  <c r="G466" i="16"/>
  <c r="N465" i="16"/>
  <c r="L465" i="16"/>
  <c r="K465" i="16"/>
  <c r="J465" i="16"/>
  <c r="I465" i="16"/>
  <c r="G465" i="16"/>
  <c r="N464" i="16"/>
  <c r="L464" i="16"/>
  <c r="K464" i="16"/>
  <c r="J464" i="16"/>
  <c r="I464" i="16"/>
  <c r="G464" i="16"/>
  <c r="N463" i="16"/>
  <c r="L463" i="16"/>
  <c r="K463" i="16"/>
  <c r="J463" i="16"/>
  <c r="I463" i="16"/>
  <c r="G463" i="16"/>
  <c r="N462" i="16"/>
  <c r="L462" i="16"/>
  <c r="K462" i="16"/>
  <c r="J462" i="16"/>
  <c r="I462" i="16"/>
  <c r="G462" i="16"/>
  <c r="N461" i="16"/>
  <c r="L461" i="16"/>
  <c r="K461" i="16"/>
  <c r="J461" i="16"/>
  <c r="I461" i="16"/>
  <c r="G461" i="16"/>
  <c r="N460" i="16"/>
  <c r="L460" i="16"/>
  <c r="K460" i="16"/>
  <c r="J460" i="16"/>
  <c r="I460" i="16"/>
  <c r="G460" i="16"/>
  <c r="N459" i="16"/>
  <c r="L459" i="16"/>
  <c r="K459" i="16"/>
  <c r="J459" i="16"/>
  <c r="I459" i="16"/>
  <c r="G459" i="16"/>
  <c r="N458" i="16"/>
  <c r="L458" i="16"/>
  <c r="K458" i="16"/>
  <c r="J458" i="16"/>
  <c r="I458" i="16"/>
  <c r="G458" i="16"/>
  <c r="N457" i="16"/>
  <c r="L457" i="16"/>
  <c r="K457" i="16"/>
  <c r="J457" i="16"/>
  <c r="I457" i="16"/>
  <c r="G457" i="16"/>
  <c r="N456" i="16"/>
  <c r="L456" i="16"/>
  <c r="K456" i="16"/>
  <c r="J456" i="16"/>
  <c r="I456" i="16"/>
  <c r="G456" i="16"/>
  <c r="N455" i="16"/>
  <c r="L455" i="16"/>
  <c r="K455" i="16"/>
  <c r="J455" i="16"/>
  <c r="I455" i="16"/>
  <c r="G455" i="16"/>
  <c r="N454" i="16"/>
  <c r="L454" i="16"/>
  <c r="K454" i="16"/>
  <c r="J454" i="16"/>
  <c r="I454" i="16"/>
  <c r="G454" i="16"/>
  <c r="N453" i="16"/>
  <c r="L453" i="16"/>
  <c r="K453" i="16"/>
  <c r="J453" i="16"/>
  <c r="I453" i="16"/>
  <c r="G453" i="16"/>
  <c r="N452" i="16"/>
  <c r="L452" i="16"/>
  <c r="K452" i="16"/>
  <c r="J452" i="16"/>
  <c r="I452" i="16"/>
  <c r="G452" i="16"/>
  <c r="N451" i="16"/>
  <c r="L451" i="16"/>
  <c r="K451" i="16"/>
  <c r="J451" i="16"/>
  <c r="I451" i="16"/>
  <c r="G451" i="16"/>
  <c r="N450" i="16"/>
  <c r="L450" i="16"/>
  <c r="K450" i="16"/>
  <c r="J450" i="16"/>
  <c r="I450" i="16"/>
  <c r="G450" i="16"/>
  <c r="N449" i="16"/>
  <c r="L449" i="16"/>
  <c r="K449" i="16"/>
  <c r="J449" i="16"/>
  <c r="I449" i="16"/>
  <c r="G449" i="16"/>
  <c r="N448" i="16"/>
  <c r="L448" i="16"/>
  <c r="K448" i="16"/>
  <c r="J448" i="16"/>
  <c r="I448" i="16"/>
  <c r="G448" i="16"/>
  <c r="N447" i="16"/>
  <c r="L447" i="16"/>
  <c r="K447" i="16"/>
  <c r="J447" i="16"/>
  <c r="I447" i="16"/>
  <c r="G447" i="16"/>
  <c r="N446" i="16"/>
  <c r="L446" i="16"/>
  <c r="K446" i="16"/>
  <c r="J446" i="16"/>
  <c r="I446" i="16"/>
  <c r="G446" i="16"/>
  <c r="N445" i="16"/>
  <c r="L445" i="16"/>
  <c r="K445" i="16"/>
  <c r="J445" i="16"/>
  <c r="I445" i="16"/>
  <c r="G445" i="16"/>
  <c r="N444" i="16"/>
  <c r="L444" i="16"/>
  <c r="K444" i="16"/>
  <c r="J444" i="16"/>
  <c r="I444" i="16"/>
  <c r="G444" i="16"/>
  <c r="N443" i="16"/>
  <c r="L443" i="16"/>
  <c r="K443" i="16"/>
  <c r="J443" i="16"/>
  <c r="I443" i="16"/>
  <c r="G443" i="16"/>
  <c r="N442" i="16"/>
  <c r="L442" i="16"/>
  <c r="K442" i="16"/>
  <c r="J442" i="16"/>
  <c r="I442" i="16"/>
  <c r="G442" i="16"/>
  <c r="N441" i="16"/>
  <c r="L441" i="16"/>
  <c r="K441" i="16"/>
  <c r="J441" i="16"/>
  <c r="I441" i="16"/>
  <c r="G441" i="16"/>
  <c r="N440" i="16"/>
  <c r="L440" i="16"/>
  <c r="K440" i="16"/>
  <c r="J440" i="16"/>
  <c r="I440" i="16"/>
  <c r="G440" i="16"/>
  <c r="N439" i="16"/>
  <c r="L439" i="16"/>
  <c r="K439" i="16"/>
  <c r="J439" i="16"/>
  <c r="I439" i="16"/>
  <c r="G439" i="16"/>
  <c r="N438" i="16"/>
  <c r="L438" i="16"/>
  <c r="K438" i="16"/>
  <c r="J438" i="16"/>
  <c r="I438" i="16"/>
  <c r="G438" i="16"/>
  <c r="N437" i="16"/>
  <c r="L437" i="16"/>
  <c r="K437" i="16"/>
  <c r="J437" i="16"/>
  <c r="I437" i="16"/>
  <c r="G437" i="16"/>
  <c r="N436" i="16"/>
  <c r="L436" i="16"/>
  <c r="K436" i="16"/>
  <c r="J436" i="16"/>
  <c r="I436" i="16"/>
  <c r="G436" i="16"/>
  <c r="N435" i="16"/>
  <c r="L435" i="16"/>
  <c r="K435" i="16"/>
  <c r="J435" i="16"/>
  <c r="I435" i="16"/>
  <c r="G435" i="16"/>
  <c r="N434" i="16"/>
  <c r="L434" i="16"/>
  <c r="K434" i="16"/>
  <c r="J434" i="16"/>
  <c r="I434" i="16"/>
  <c r="G434" i="16"/>
  <c r="N433" i="16"/>
  <c r="L433" i="16"/>
  <c r="K433" i="16"/>
  <c r="J433" i="16"/>
  <c r="I433" i="16"/>
  <c r="G433" i="16"/>
  <c r="N432" i="16"/>
  <c r="L432" i="16"/>
  <c r="K432" i="16"/>
  <c r="J432" i="16"/>
  <c r="I432" i="16"/>
  <c r="G432" i="16"/>
  <c r="N431" i="16"/>
  <c r="L431" i="16"/>
  <c r="K431" i="16"/>
  <c r="J431" i="16"/>
  <c r="I431" i="16"/>
  <c r="G431" i="16"/>
  <c r="N430" i="16"/>
  <c r="L430" i="16"/>
  <c r="K430" i="16"/>
  <c r="J430" i="16"/>
  <c r="I430" i="16"/>
  <c r="G430" i="16"/>
  <c r="N429" i="16"/>
  <c r="L429" i="16"/>
  <c r="K429" i="16"/>
  <c r="J429" i="16"/>
  <c r="I429" i="16"/>
  <c r="G429" i="16"/>
  <c r="N428" i="16"/>
  <c r="L428" i="16"/>
  <c r="K428" i="16"/>
  <c r="J428" i="16"/>
  <c r="I428" i="16"/>
  <c r="G428" i="16"/>
  <c r="N427" i="16"/>
  <c r="L427" i="16"/>
  <c r="K427" i="16"/>
  <c r="J427" i="16"/>
  <c r="I427" i="16"/>
  <c r="G427" i="16"/>
  <c r="N426" i="16"/>
  <c r="L426" i="16"/>
  <c r="K426" i="16"/>
  <c r="J426" i="16"/>
  <c r="I426" i="16"/>
  <c r="G426" i="16"/>
  <c r="N425" i="16"/>
  <c r="L425" i="16"/>
  <c r="K425" i="16"/>
  <c r="J425" i="16"/>
  <c r="I425" i="16"/>
  <c r="G425" i="16"/>
  <c r="N424" i="16"/>
  <c r="L424" i="16"/>
  <c r="K424" i="16"/>
  <c r="J424" i="16"/>
  <c r="I424" i="16"/>
  <c r="G424" i="16"/>
  <c r="N423" i="16"/>
  <c r="L423" i="16"/>
  <c r="K423" i="16"/>
  <c r="J423" i="16"/>
  <c r="I423" i="16"/>
  <c r="G423" i="16"/>
  <c r="N422" i="16"/>
  <c r="L422" i="16"/>
  <c r="K422" i="16"/>
  <c r="J422" i="16"/>
  <c r="I422" i="16"/>
  <c r="G422" i="16"/>
  <c r="N421" i="16"/>
  <c r="L421" i="16"/>
  <c r="K421" i="16"/>
  <c r="J421" i="16"/>
  <c r="I421" i="16"/>
  <c r="G421" i="16"/>
  <c r="N420" i="16"/>
  <c r="L420" i="16"/>
  <c r="K420" i="16"/>
  <c r="J420" i="16"/>
  <c r="I420" i="16"/>
  <c r="G420" i="16"/>
  <c r="N419" i="16"/>
  <c r="L419" i="16"/>
  <c r="K419" i="16"/>
  <c r="J419" i="16"/>
  <c r="I419" i="16"/>
  <c r="G419" i="16"/>
  <c r="N418" i="16"/>
  <c r="L418" i="16"/>
  <c r="K418" i="16"/>
  <c r="J418" i="16"/>
  <c r="I418" i="16"/>
  <c r="G418" i="16"/>
  <c r="N417" i="16"/>
  <c r="L417" i="16"/>
  <c r="K417" i="16"/>
  <c r="J417" i="16"/>
  <c r="I417" i="16"/>
  <c r="G417" i="16"/>
  <c r="N416" i="16"/>
  <c r="L416" i="16"/>
  <c r="K416" i="16"/>
  <c r="J416" i="16"/>
  <c r="I416" i="16"/>
  <c r="G416" i="16"/>
  <c r="N415" i="16"/>
  <c r="L415" i="16"/>
  <c r="K415" i="16"/>
  <c r="J415" i="16"/>
  <c r="I415" i="16"/>
  <c r="G415" i="16"/>
  <c r="N414" i="16"/>
  <c r="L414" i="16"/>
  <c r="K414" i="16"/>
  <c r="J414" i="16"/>
  <c r="I414" i="16"/>
  <c r="G414" i="16"/>
  <c r="N413" i="16"/>
  <c r="L413" i="16"/>
  <c r="K413" i="16"/>
  <c r="J413" i="16"/>
  <c r="I413" i="16"/>
  <c r="G413" i="16"/>
  <c r="N412" i="16"/>
  <c r="L412" i="16"/>
  <c r="K412" i="16"/>
  <c r="J412" i="16"/>
  <c r="I412" i="16"/>
  <c r="G412" i="16"/>
  <c r="N411" i="16"/>
  <c r="L411" i="16"/>
  <c r="K411" i="16"/>
  <c r="J411" i="16"/>
  <c r="I411" i="16"/>
  <c r="G411" i="16"/>
  <c r="N410" i="16"/>
  <c r="L410" i="16"/>
  <c r="K410" i="16"/>
  <c r="J410" i="16"/>
  <c r="I410" i="16"/>
  <c r="G410" i="16"/>
  <c r="N409" i="16"/>
  <c r="L409" i="16"/>
  <c r="K409" i="16"/>
  <c r="J409" i="16"/>
  <c r="I409" i="16"/>
  <c r="G409" i="16"/>
  <c r="N408" i="16"/>
  <c r="L408" i="16"/>
  <c r="K408" i="16"/>
  <c r="J408" i="16"/>
  <c r="I408" i="16"/>
  <c r="G408" i="16"/>
  <c r="N407" i="16"/>
  <c r="L407" i="16"/>
  <c r="K407" i="16"/>
  <c r="J407" i="16"/>
  <c r="I407" i="16"/>
  <c r="G407" i="16"/>
  <c r="N406" i="16"/>
  <c r="L406" i="16"/>
  <c r="K406" i="16"/>
  <c r="J406" i="16"/>
  <c r="I406" i="16"/>
  <c r="G406" i="16"/>
  <c r="N405" i="16"/>
  <c r="L405" i="16"/>
  <c r="K405" i="16"/>
  <c r="J405" i="16"/>
  <c r="I405" i="16"/>
  <c r="G405" i="16"/>
  <c r="N404" i="16"/>
  <c r="L404" i="16"/>
  <c r="K404" i="16"/>
  <c r="J404" i="16"/>
  <c r="I404" i="16"/>
  <c r="G404" i="16"/>
  <c r="N403" i="16"/>
  <c r="L403" i="16"/>
  <c r="K403" i="16"/>
  <c r="J403" i="16"/>
  <c r="I403" i="16"/>
  <c r="G403" i="16"/>
  <c r="N402" i="16"/>
  <c r="L402" i="16"/>
  <c r="K402" i="16"/>
  <c r="J402" i="16"/>
  <c r="I402" i="16"/>
  <c r="G402" i="16"/>
  <c r="N401" i="16"/>
  <c r="L401" i="16"/>
  <c r="K401" i="16"/>
  <c r="J401" i="16"/>
  <c r="I401" i="16"/>
  <c r="G401" i="16"/>
  <c r="N400" i="16"/>
  <c r="L400" i="16"/>
  <c r="K400" i="16"/>
  <c r="J400" i="16"/>
  <c r="I400" i="16"/>
  <c r="G400" i="16"/>
  <c r="N399" i="16"/>
  <c r="L399" i="16"/>
  <c r="K399" i="16"/>
  <c r="J399" i="16"/>
  <c r="I399" i="16"/>
  <c r="G399" i="16"/>
  <c r="N398" i="16"/>
  <c r="L398" i="16"/>
  <c r="K398" i="16"/>
  <c r="J398" i="16"/>
  <c r="I398" i="16"/>
  <c r="G398" i="16"/>
  <c r="N397" i="16"/>
  <c r="L397" i="16"/>
  <c r="K397" i="16"/>
  <c r="J397" i="16"/>
  <c r="I397" i="16"/>
  <c r="G397" i="16"/>
  <c r="N396" i="16"/>
  <c r="L396" i="16"/>
  <c r="K396" i="16"/>
  <c r="J396" i="16"/>
  <c r="I396" i="16"/>
  <c r="G396" i="16"/>
  <c r="N395" i="16"/>
  <c r="L395" i="16"/>
  <c r="K395" i="16"/>
  <c r="J395" i="16"/>
  <c r="I395" i="16"/>
  <c r="G395" i="16"/>
  <c r="N394" i="16"/>
  <c r="L394" i="16"/>
  <c r="K394" i="16"/>
  <c r="J394" i="16"/>
  <c r="I394" i="16"/>
  <c r="G394" i="16"/>
  <c r="N393" i="16"/>
  <c r="L393" i="16"/>
  <c r="K393" i="16"/>
  <c r="J393" i="16"/>
  <c r="I393" i="16"/>
  <c r="G393" i="16"/>
  <c r="N392" i="16"/>
  <c r="L392" i="16"/>
  <c r="K392" i="16"/>
  <c r="J392" i="16"/>
  <c r="I392" i="16"/>
  <c r="G392" i="16"/>
  <c r="N391" i="16"/>
  <c r="L391" i="16"/>
  <c r="K391" i="16"/>
  <c r="J391" i="16"/>
  <c r="I391" i="16"/>
  <c r="G391" i="16"/>
  <c r="N390" i="16"/>
  <c r="L390" i="16"/>
  <c r="K390" i="16"/>
  <c r="J390" i="16"/>
  <c r="I390" i="16"/>
  <c r="G390" i="16"/>
  <c r="N389" i="16"/>
  <c r="L389" i="16"/>
  <c r="K389" i="16"/>
  <c r="J389" i="16"/>
  <c r="I389" i="16"/>
  <c r="G389" i="16"/>
  <c r="N388" i="16"/>
  <c r="L388" i="16"/>
  <c r="K388" i="16"/>
  <c r="J388" i="16"/>
  <c r="I388" i="16"/>
  <c r="G388" i="16"/>
  <c r="N387" i="16"/>
  <c r="L387" i="16"/>
  <c r="K387" i="16"/>
  <c r="J387" i="16"/>
  <c r="I387" i="16"/>
  <c r="G387" i="16"/>
  <c r="N386" i="16"/>
  <c r="L386" i="16"/>
  <c r="K386" i="16"/>
  <c r="J386" i="16"/>
  <c r="I386" i="16"/>
  <c r="G386" i="16"/>
  <c r="N385" i="16"/>
  <c r="L385" i="16"/>
  <c r="K385" i="16"/>
  <c r="J385" i="16"/>
  <c r="I385" i="16"/>
  <c r="G385" i="16"/>
  <c r="N384" i="16"/>
  <c r="L384" i="16"/>
  <c r="K384" i="16"/>
  <c r="J384" i="16"/>
  <c r="I384" i="16"/>
  <c r="G384" i="16"/>
  <c r="N383" i="16"/>
  <c r="L383" i="16"/>
  <c r="K383" i="16"/>
  <c r="J383" i="16"/>
  <c r="I383" i="16"/>
  <c r="G383" i="16"/>
  <c r="N382" i="16"/>
  <c r="L382" i="16"/>
  <c r="K382" i="16"/>
  <c r="J382" i="16"/>
  <c r="I382" i="16"/>
  <c r="G382" i="16"/>
  <c r="N381" i="16"/>
  <c r="L381" i="16"/>
  <c r="K381" i="16"/>
  <c r="J381" i="16"/>
  <c r="I381" i="16"/>
  <c r="G381" i="16"/>
  <c r="N380" i="16"/>
  <c r="L380" i="16"/>
  <c r="K380" i="16"/>
  <c r="J380" i="16"/>
  <c r="I380" i="16"/>
  <c r="G380" i="16"/>
  <c r="N379" i="16"/>
  <c r="L379" i="16"/>
  <c r="K379" i="16"/>
  <c r="J379" i="16"/>
  <c r="I379" i="16"/>
  <c r="G379" i="16"/>
  <c r="N378" i="16"/>
  <c r="L378" i="16"/>
  <c r="K378" i="16"/>
  <c r="J378" i="16"/>
  <c r="I378" i="16"/>
  <c r="G378" i="16"/>
  <c r="N377" i="16"/>
  <c r="L377" i="16"/>
  <c r="K377" i="16"/>
  <c r="J377" i="16"/>
  <c r="I377" i="16"/>
  <c r="G377" i="16"/>
  <c r="N376" i="16"/>
  <c r="L376" i="16"/>
  <c r="K376" i="16"/>
  <c r="J376" i="16"/>
  <c r="I376" i="16"/>
  <c r="G376" i="16"/>
  <c r="N375" i="16"/>
  <c r="L375" i="16"/>
  <c r="K375" i="16"/>
  <c r="J375" i="16"/>
  <c r="I375" i="16"/>
  <c r="G375" i="16"/>
  <c r="N374" i="16"/>
  <c r="L374" i="16"/>
  <c r="K374" i="16"/>
  <c r="J374" i="16"/>
  <c r="I374" i="16"/>
  <c r="G374" i="16"/>
  <c r="N373" i="16"/>
  <c r="L373" i="16"/>
  <c r="K373" i="16"/>
  <c r="J373" i="16"/>
  <c r="I373" i="16"/>
  <c r="G373" i="16"/>
  <c r="N372" i="16"/>
  <c r="L372" i="16"/>
  <c r="K372" i="16"/>
  <c r="J372" i="16"/>
  <c r="I372" i="16"/>
  <c r="G372" i="16"/>
  <c r="N371" i="16"/>
  <c r="L371" i="16"/>
  <c r="K371" i="16"/>
  <c r="J371" i="16"/>
  <c r="I371" i="16"/>
  <c r="G371" i="16"/>
  <c r="N370" i="16"/>
  <c r="L370" i="16"/>
  <c r="K370" i="16"/>
  <c r="J370" i="16"/>
  <c r="I370" i="16"/>
  <c r="G370" i="16"/>
  <c r="N369" i="16"/>
  <c r="L369" i="16"/>
  <c r="K369" i="16"/>
  <c r="J369" i="16"/>
  <c r="I369" i="16"/>
  <c r="G369" i="16"/>
  <c r="N368" i="16"/>
  <c r="L368" i="16"/>
  <c r="K368" i="16"/>
  <c r="J368" i="16"/>
  <c r="I368" i="16"/>
  <c r="G368" i="16"/>
  <c r="N367" i="16"/>
  <c r="L367" i="16"/>
  <c r="K367" i="16"/>
  <c r="J367" i="16"/>
  <c r="I367" i="16"/>
  <c r="G367" i="16"/>
  <c r="N366" i="16"/>
  <c r="L366" i="16"/>
  <c r="K366" i="16"/>
  <c r="J366" i="16"/>
  <c r="I366" i="16"/>
  <c r="G366" i="16"/>
  <c r="N365" i="16"/>
  <c r="L365" i="16"/>
  <c r="K365" i="16"/>
  <c r="J365" i="16"/>
  <c r="I365" i="16"/>
  <c r="G365" i="16"/>
  <c r="N364" i="16"/>
  <c r="L364" i="16"/>
  <c r="K364" i="16"/>
  <c r="J364" i="16"/>
  <c r="I364" i="16"/>
  <c r="G364" i="16"/>
  <c r="N363" i="16"/>
  <c r="L363" i="16"/>
  <c r="K363" i="16"/>
  <c r="J363" i="16"/>
  <c r="I363" i="16"/>
  <c r="G363" i="16"/>
  <c r="N362" i="16"/>
  <c r="L362" i="16"/>
  <c r="K362" i="16"/>
  <c r="J362" i="16"/>
  <c r="I362" i="16"/>
  <c r="G362" i="16"/>
  <c r="N361" i="16"/>
  <c r="L361" i="16"/>
  <c r="K361" i="16"/>
  <c r="J361" i="16"/>
  <c r="I361" i="16"/>
  <c r="G361" i="16"/>
  <c r="N360" i="16"/>
  <c r="L360" i="16"/>
  <c r="K360" i="16"/>
  <c r="J360" i="16"/>
  <c r="I360" i="16"/>
  <c r="G360" i="16"/>
  <c r="N359" i="16"/>
  <c r="L359" i="16"/>
  <c r="K359" i="16"/>
  <c r="J359" i="16"/>
  <c r="I359" i="16"/>
  <c r="G359" i="16"/>
  <c r="N358" i="16"/>
  <c r="L358" i="16"/>
  <c r="K358" i="16"/>
  <c r="J358" i="16"/>
  <c r="I358" i="16"/>
  <c r="G358" i="16"/>
  <c r="N357" i="16"/>
  <c r="L357" i="16"/>
  <c r="K357" i="16"/>
  <c r="J357" i="16"/>
  <c r="I357" i="16"/>
  <c r="G357" i="16"/>
  <c r="N356" i="16"/>
  <c r="L356" i="16"/>
  <c r="K356" i="16"/>
  <c r="J356" i="16"/>
  <c r="I356" i="16"/>
  <c r="G356" i="16"/>
  <c r="N355" i="16"/>
  <c r="L355" i="16"/>
  <c r="K355" i="16"/>
  <c r="J355" i="16"/>
  <c r="I355" i="16"/>
  <c r="G355" i="16"/>
  <c r="N354" i="16"/>
  <c r="L354" i="16"/>
  <c r="K354" i="16"/>
  <c r="J354" i="16"/>
  <c r="I354" i="16"/>
  <c r="G354" i="16"/>
  <c r="N353" i="16"/>
  <c r="L353" i="16"/>
  <c r="K353" i="16"/>
  <c r="J353" i="16"/>
  <c r="I353" i="16"/>
  <c r="G353" i="16"/>
  <c r="N352" i="16"/>
  <c r="L352" i="16"/>
  <c r="K352" i="16"/>
  <c r="J352" i="16"/>
  <c r="I352" i="16"/>
  <c r="G352" i="16"/>
  <c r="N351" i="16"/>
  <c r="L351" i="16"/>
  <c r="K351" i="16"/>
  <c r="J351" i="16"/>
  <c r="I351" i="16"/>
  <c r="G351" i="16"/>
  <c r="N350" i="16"/>
  <c r="L350" i="16"/>
  <c r="K350" i="16"/>
  <c r="J350" i="16"/>
  <c r="I350" i="16"/>
  <c r="G350" i="16"/>
  <c r="N349" i="16"/>
  <c r="L349" i="16"/>
  <c r="K349" i="16"/>
  <c r="J349" i="16"/>
  <c r="I349" i="16"/>
  <c r="G349" i="16"/>
  <c r="N348" i="16"/>
  <c r="L348" i="16"/>
  <c r="K348" i="16"/>
  <c r="J348" i="16"/>
  <c r="I348" i="16"/>
  <c r="G348" i="16"/>
  <c r="N347" i="16"/>
  <c r="L347" i="16"/>
  <c r="K347" i="16"/>
  <c r="J347" i="16"/>
  <c r="I347" i="16"/>
  <c r="G347" i="16"/>
  <c r="N346" i="16"/>
  <c r="L346" i="16"/>
  <c r="K346" i="16"/>
  <c r="J346" i="16"/>
  <c r="I346" i="16"/>
  <c r="G346" i="16"/>
  <c r="N345" i="16"/>
  <c r="L345" i="16"/>
  <c r="K345" i="16"/>
  <c r="J345" i="16"/>
  <c r="I345" i="16"/>
  <c r="G345" i="16"/>
  <c r="N344" i="16"/>
  <c r="L344" i="16"/>
  <c r="K344" i="16"/>
  <c r="J344" i="16"/>
  <c r="I344" i="16"/>
  <c r="G344" i="16"/>
  <c r="N343" i="16"/>
  <c r="L343" i="16"/>
  <c r="K343" i="16"/>
  <c r="J343" i="16"/>
  <c r="I343" i="16"/>
  <c r="G343" i="16"/>
  <c r="N342" i="16"/>
  <c r="L342" i="16"/>
  <c r="K342" i="16"/>
  <c r="J342" i="16"/>
  <c r="I342" i="16"/>
  <c r="G342" i="16"/>
  <c r="N341" i="16"/>
  <c r="L341" i="16"/>
  <c r="K341" i="16"/>
  <c r="J341" i="16"/>
  <c r="I341" i="16"/>
  <c r="G341" i="16"/>
  <c r="N340" i="16"/>
  <c r="L340" i="16"/>
  <c r="K340" i="16"/>
  <c r="J340" i="16"/>
  <c r="I340" i="16"/>
  <c r="G340" i="16"/>
  <c r="N339" i="16"/>
  <c r="L339" i="16"/>
  <c r="K339" i="16"/>
  <c r="J339" i="16"/>
  <c r="I339" i="16"/>
  <c r="G339" i="16"/>
  <c r="N338" i="16"/>
  <c r="L338" i="16"/>
  <c r="K338" i="16"/>
  <c r="J338" i="16"/>
  <c r="I338" i="16"/>
  <c r="G338" i="16"/>
  <c r="N337" i="16"/>
  <c r="L337" i="16"/>
  <c r="K337" i="16"/>
  <c r="J337" i="16"/>
  <c r="I337" i="16"/>
  <c r="G337" i="16"/>
  <c r="N336" i="16"/>
  <c r="L336" i="16"/>
  <c r="K336" i="16"/>
  <c r="J336" i="16"/>
  <c r="I336" i="16"/>
  <c r="G336" i="16"/>
  <c r="N335" i="16"/>
  <c r="L335" i="16"/>
  <c r="K335" i="16"/>
  <c r="J335" i="16"/>
  <c r="I335" i="16"/>
  <c r="G335" i="16"/>
  <c r="N334" i="16"/>
  <c r="L334" i="16"/>
  <c r="K334" i="16"/>
  <c r="J334" i="16"/>
  <c r="I334" i="16"/>
  <c r="G334" i="16"/>
  <c r="N333" i="16"/>
  <c r="L333" i="16"/>
  <c r="K333" i="16"/>
  <c r="J333" i="16"/>
  <c r="I333" i="16"/>
  <c r="G333" i="16"/>
  <c r="N332" i="16"/>
  <c r="L332" i="16"/>
  <c r="K332" i="16"/>
  <c r="J332" i="16"/>
  <c r="I332" i="16"/>
  <c r="G332" i="16"/>
  <c r="N331" i="16"/>
  <c r="L331" i="16"/>
  <c r="K331" i="16"/>
  <c r="J331" i="16"/>
  <c r="I331" i="16"/>
  <c r="G331" i="16"/>
  <c r="N330" i="16"/>
  <c r="L330" i="16"/>
  <c r="K330" i="16"/>
  <c r="J330" i="16"/>
  <c r="I330" i="16"/>
  <c r="G330" i="16"/>
  <c r="N329" i="16"/>
  <c r="L329" i="16"/>
  <c r="K329" i="16"/>
  <c r="J329" i="16"/>
  <c r="I329" i="16"/>
  <c r="G329" i="16"/>
  <c r="N328" i="16"/>
  <c r="L328" i="16"/>
  <c r="K328" i="16"/>
  <c r="J328" i="16"/>
  <c r="I328" i="16"/>
  <c r="G328" i="16"/>
  <c r="N327" i="16"/>
  <c r="L327" i="16"/>
  <c r="K327" i="16"/>
  <c r="J327" i="16"/>
  <c r="I327" i="16"/>
  <c r="G327" i="16"/>
  <c r="N326" i="16"/>
  <c r="L326" i="16"/>
  <c r="K326" i="16"/>
  <c r="J326" i="16"/>
  <c r="I326" i="16"/>
  <c r="G326" i="16"/>
  <c r="N325" i="16"/>
  <c r="L325" i="16"/>
  <c r="K325" i="16"/>
  <c r="J325" i="16"/>
  <c r="I325" i="16"/>
  <c r="G325" i="16"/>
  <c r="N324" i="16"/>
  <c r="L324" i="16"/>
  <c r="K324" i="16"/>
  <c r="J324" i="16"/>
  <c r="I324" i="16"/>
  <c r="G324" i="16"/>
  <c r="N323" i="16"/>
  <c r="L323" i="16"/>
  <c r="K323" i="16"/>
  <c r="J323" i="16"/>
  <c r="I323" i="16"/>
  <c r="G323" i="16"/>
  <c r="N322" i="16"/>
  <c r="L322" i="16"/>
  <c r="K322" i="16"/>
  <c r="J322" i="16"/>
  <c r="I322" i="16"/>
  <c r="G322" i="16"/>
  <c r="N321" i="16"/>
  <c r="L321" i="16"/>
  <c r="K321" i="16"/>
  <c r="J321" i="16"/>
  <c r="I321" i="16"/>
  <c r="G321" i="16"/>
  <c r="N320" i="16"/>
  <c r="L320" i="16"/>
  <c r="K320" i="16"/>
  <c r="J320" i="16"/>
  <c r="I320" i="16"/>
  <c r="G320" i="16"/>
  <c r="N319" i="16"/>
  <c r="L319" i="16"/>
  <c r="K319" i="16"/>
  <c r="J319" i="16"/>
  <c r="I319" i="16"/>
  <c r="G319" i="16"/>
  <c r="N318" i="16"/>
  <c r="L318" i="16"/>
  <c r="K318" i="16"/>
  <c r="J318" i="16"/>
  <c r="I318" i="16"/>
  <c r="G318" i="16"/>
  <c r="N317" i="16"/>
  <c r="L317" i="16"/>
  <c r="K317" i="16"/>
  <c r="J317" i="16"/>
  <c r="I317" i="16"/>
  <c r="G317" i="16"/>
  <c r="N316" i="16"/>
  <c r="L316" i="16"/>
  <c r="K316" i="16"/>
  <c r="J316" i="16"/>
  <c r="I316" i="16"/>
  <c r="G316" i="16"/>
  <c r="N315" i="16"/>
  <c r="L315" i="16"/>
  <c r="K315" i="16"/>
  <c r="J315" i="16"/>
  <c r="I315" i="16"/>
  <c r="G315" i="16"/>
  <c r="N314" i="16"/>
  <c r="L314" i="16"/>
  <c r="K314" i="16"/>
  <c r="J314" i="16"/>
  <c r="I314" i="16"/>
  <c r="G314" i="16"/>
  <c r="N313" i="16"/>
  <c r="L313" i="16"/>
  <c r="K313" i="16"/>
  <c r="J313" i="16"/>
  <c r="I313" i="16"/>
  <c r="G313" i="16"/>
  <c r="N312" i="16"/>
  <c r="L312" i="16"/>
  <c r="K312" i="16"/>
  <c r="J312" i="16"/>
  <c r="I312" i="16"/>
  <c r="G312" i="16"/>
  <c r="N311" i="16"/>
  <c r="L311" i="16"/>
  <c r="K311" i="16"/>
  <c r="J311" i="16"/>
  <c r="I311" i="16"/>
  <c r="G311" i="16"/>
  <c r="N310" i="16"/>
  <c r="L310" i="16"/>
  <c r="K310" i="16"/>
  <c r="J310" i="16"/>
  <c r="I310" i="16"/>
  <c r="G310" i="16"/>
  <c r="N309" i="16"/>
  <c r="L309" i="16"/>
  <c r="K309" i="16"/>
  <c r="J309" i="16"/>
  <c r="I309" i="16"/>
  <c r="G309" i="16"/>
  <c r="N308" i="16"/>
  <c r="L308" i="16"/>
  <c r="K308" i="16"/>
  <c r="J308" i="16"/>
  <c r="I308" i="16"/>
  <c r="G308" i="16"/>
  <c r="N307" i="16"/>
  <c r="L307" i="16"/>
  <c r="K307" i="16"/>
  <c r="J307" i="16"/>
  <c r="I307" i="16"/>
  <c r="G307" i="16"/>
  <c r="N306" i="16"/>
  <c r="L306" i="16"/>
  <c r="K306" i="16"/>
  <c r="J306" i="16"/>
  <c r="I306" i="16"/>
  <c r="G306" i="16"/>
  <c r="N305" i="16"/>
  <c r="L305" i="16"/>
  <c r="K305" i="16"/>
  <c r="J305" i="16"/>
  <c r="I305" i="16"/>
  <c r="G305" i="16"/>
  <c r="N304" i="16"/>
  <c r="L304" i="16"/>
  <c r="K304" i="16"/>
  <c r="J304" i="16"/>
  <c r="I304" i="16"/>
  <c r="G304" i="16"/>
  <c r="N303" i="16"/>
  <c r="L303" i="16"/>
  <c r="K303" i="16"/>
  <c r="J303" i="16"/>
  <c r="I303" i="16"/>
  <c r="G303" i="16"/>
  <c r="N302" i="16"/>
  <c r="L302" i="16"/>
  <c r="K302" i="16"/>
  <c r="J302" i="16"/>
  <c r="I302" i="16"/>
  <c r="G302" i="16"/>
  <c r="N301" i="16"/>
  <c r="L301" i="16"/>
  <c r="K301" i="16"/>
  <c r="J301" i="16"/>
  <c r="I301" i="16"/>
  <c r="G301" i="16"/>
  <c r="N300" i="16"/>
  <c r="L300" i="16"/>
  <c r="K300" i="16"/>
  <c r="J300" i="16"/>
  <c r="I300" i="16"/>
  <c r="G300" i="16"/>
  <c r="N299" i="16"/>
  <c r="L299" i="16"/>
  <c r="K299" i="16"/>
  <c r="J299" i="16"/>
  <c r="I299" i="16"/>
  <c r="G299" i="16"/>
  <c r="N298" i="16"/>
  <c r="L298" i="16"/>
  <c r="K298" i="16"/>
  <c r="J298" i="16"/>
  <c r="I298" i="16"/>
  <c r="G298" i="16"/>
  <c r="N297" i="16"/>
  <c r="L297" i="16"/>
  <c r="K297" i="16"/>
  <c r="J297" i="16"/>
  <c r="I297" i="16"/>
  <c r="G297" i="16"/>
  <c r="N296" i="16"/>
  <c r="L296" i="16"/>
  <c r="K296" i="16"/>
  <c r="J296" i="16"/>
  <c r="I296" i="16"/>
  <c r="G296" i="16"/>
  <c r="N295" i="16"/>
  <c r="L295" i="16"/>
  <c r="K295" i="16"/>
  <c r="J295" i="16"/>
  <c r="I295" i="16"/>
  <c r="G295" i="16"/>
  <c r="N294" i="16"/>
  <c r="L294" i="16"/>
  <c r="K294" i="16"/>
  <c r="J294" i="16"/>
  <c r="I294" i="16"/>
  <c r="G294" i="16"/>
  <c r="N293" i="16"/>
  <c r="L293" i="16"/>
  <c r="K293" i="16"/>
  <c r="J293" i="16"/>
  <c r="I293" i="16"/>
  <c r="G293" i="16"/>
  <c r="N292" i="16"/>
  <c r="L292" i="16"/>
  <c r="K292" i="16"/>
  <c r="J292" i="16"/>
  <c r="I292" i="16"/>
  <c r="G292" i="16"/>
  <c r="N291" i="16"/>
  <c r="L291" i="16"/>
  <c r="K291" i="16"/>
  <c r="J291" i="16"/>
  <c r="I291" i="16"/>
  <c r="G291" i="16"/>
  <c r="N290" i="16"/>
  <c r="L290" i="16"/>
  <c r="K290" i="16"/>
  <c r="J290" i="16"/>
  <c r="I290" i="16"/>
  <c r="G290" i="16"/>
  <c r="N289" i="16"/>
  <c r="L289" i="16"/>
  <c r="K289" i="16"/>
  <c r="J289" i="16"/>
  <c r="I289" i="16"/>
  <c r="G289" i="16"/>
  <c r="N288" i="16"/>
  <c r="L288" i="16"/>
  <c r="K288" i="16"/>
  <c r="J288" i="16"/>
  <c r="I288" i="16"/>
  <c r="G288" i="16"/>
  <c r="N287" i="16"/>
  <c r="L287" i="16"/>
  <c r="K287" i="16"/>
  <c r="J287" i="16"/>
  <c r="I287" i="16"/>
  <c r="G287" i="16"/>
  <c r="N286" i="16"/>
  <c r="L286" i="16"/>
  <c r="K286" i="16"/>
  <c r="J286" i="16"/>
  <c r="I286" i="16"/>
  <c r="G286" i="16"/>
  <c r="N285" i="16"/>
  <c r="L285" i="16"/>
  <c r="K285" i="16"/>
  <c r="J285" i="16"/>
  <c r="I285" i="16"/>
  <c r="G285" i="16"/>
  <c r="N284" i="16"/>
  <c r="L284" i="16"/>
  <c r="K284" i="16"/>
  <c r="J284" i="16"/>
  <c r="I284" i="16"/>
  <c r="G284" i="16"/>
  <c r="N283" i="16"/>
  <c r="L283" i="16"/>
  <c r="K283" i="16"/>
  <c r="J283" i="16"/>
  <c r="I283" i="16"/>
  <c r="G283" i="16"/>
  <c r="N282" i="16"/>
  <c r="L282" i="16"/>
  <c r="K282" i="16"/>
  <c r="J282" i="16"/>
  <c r="I282" i="16"/>
  <c r="G282" i="16"/>
  <c r="N281" i="16"/>
  <c r="L281" i="16"/>
  <c r="K281" i="16"/>
  <c r="J281" i="16"/>
  <c r="I281" i="16"/>
  <c r="G281" i="16"/>
  <c r="N280" i="16"/>
  <c r="L280" i="16"/>
  <c r="K280" i="16"/>
  <c r="J280" i="16"/>
  <c r="I280" i="16"/>
  <c r="G280" i="16"/>
  <c r="N279" i="16"/>
  <c r="L279" i="16"/>
  <c r="K279" i="16"/>
  <c r="J279" i="16"/>
  <c r="I279" i="16"/>
  <c r="G279" i="16"/>
  <c r="N278" i="16"/>
  <c r="L278" i="16"/>
  <c r="K278" i="16"/>
  <c r="J278" i="16"/>
  <c r="I278" i="16"/>
  <c r="G278" i="16"/>
  <c r="N277" i="16"/>
  <c r="L277" i="16"/>
  <c r="K277" i="16"/>
  <c r="J277" i="16"/>
  <c r="I277" i="16"/>
  <c r="G277" i="16"/>
  <c r="N276" i="16"/>
  <c r="L276" i="16"/>
  <c r="K276" i="16"/>
  <c r="J276" i="16"/>
  <c r="I276" i="16"/>
  <c r="G276" i="16"/>
  <c r="N275" i="16"/>
  <c r="L275" i="16"/>
  <c r="K275" i="16"/>
  <c r="J275" i="16"/>
  <c r="I275" i="16"/>
  <c r="G275" i="16"/>
  <c r="N274" i="16"/>
  <c r="L274" i="16"/>
  <c r="K274" i="16"/>
  <c r="J274" i="16"/>
  <c r="I274" i="16"/>
  <c r="G274" i="16"/>
  <c r="N273" i="16"/>
  <c r="L273" i="16"/>
  <c r="K273" i="16"/>
  <c r="J273" i="16"/>
  <c r="I273" i="16"/>
  <c r="G273" i="16"/>
  <c r="N272" i="16"/>
  <c r="L272" i="16"/>
  <c r="K272" i="16"/>
  <c r="J272" i="16"/>
  <c r="I272" i="16"/>
  <c r="G272" i="16"/>
  <c r="N271" i="16"/>
  <c r="L271" i="16"/>
  <c r="K271" i="16"/>
  <c r="J271" i="16"/>
  <c r="I271" i="16"/>
  <c r="G271" i="16"/>
  <c r="N270" i="16"/>
  <c r="L270" i="16"/>
  <c r="K270" i="16"/>
  <c r="J270" i="16"/>
  <c r="I270" i="16"/>
  <c r="G270" i="16"/>
  <c r="N269" i="16"/>
  <c r="L269" i="16"/>
  <c r="K269" i="16"/>
  <c r="J269" i="16"/>
  <c r="I269" i="16"/>
  <c r="G269" i="16"/>
  <c r="N268" i="16"/>
  <c r="L268" i="16"/>
  <c r="K268" i="16"/>
  <c r="J268" i="16"/>
  <c r="I268" i="16"/>
  <c r="G268" i="16"/>
  <c r="N267" i="16"/>
  <c r="L267" i="16"/>
  <c r="K267" i="16"/>
  <c r="J267" i="16"/>
  <c r="I267" i="16"/>
  <c r="G267" i="16"/>
  <c r="N266" i="16"/>
  <c r="L266" i="16"/>
  <c r="K266" i="16"/>
  <c r="J266" i="16"/>
  <c r="I266" i="16"/>
  <c r="G266" i="16"/>
  <c r="N265" i="16"/>
  <c r="L265" i="16"/>
  <c r="K265" i="16"/>
  <c r="J265" i="16"/>
  <c r="I265" i="16"/>
  <c r="G265" i="16"/>
  <c r="N264" i="16"/>
  <c r="L264" i="16"/>
  <c r="K264" i="16"/>
  <c r="J264" i="16"/>
  <c r="I264" i="16"/>
  <c r="G264" i="16"/>
  <c r="N263" i="16"/>
  <c r="L263" i="16"/>
  <c r="K263" i="16"/>
  <c r="J263" i="16"/>
  <c r="I263" i="16"/>
  <c r="G263" i="16"/>
  <c r="N262" i="16"/>
  <c r="L262" i="16"/>
  <c r="K262" i="16"/>
  <c r="J262" i="16"/>
  <c r="I262" i="16"/>
  <c r="G262" i="16"/>
  <c r="N261" i="16"/>
  <c r="L261" i="16"/>
  <c r="K261" i="16"/>
  <c r="J261" i="16"/>
  <c r="I261" i="16"/>
  <c r="G261" i="16"/>
  <c r="N260" i="16"/>
  <c r="L260" i="16"/>
  <c r="K260" i="16"/>
  <c r="J260" i="16"/>
  <c r="I260" i="16"/>
  <c r="G260" i="16"/>
  <c r="N259" i="16"/>
  <c r="L259" i="16"/>
  <c r="K259" i="16"/>
  <c r="J259" i="16"/>
  <c r="I259" i="16"/>
  <c r="G259" i="16"/>
  <c r="N258" i="16"/>
  <c r="L258" i="16"/>
  <c r="K258" i="16"/>
  <c r="J258" i="16"/>
  <c r="I258" i="16"/>
  <c r="G258" i="16"/>
  <c r="N257" i="16"/>
  <c r="L257" i="16"/>
  <c r="K257" i="16"/>
  <c r="J257" i="16"/>
  <c r="I257" i="16"/>
  <c r="G257" i="16"/>
  <c r="N256" i="16"/>
  <c r="L256" i="16"/>
  <c r="K256" i="16"/>
  <c r="J256" i="16"/>
  <c r="I256" i="16"/>
  <c r="G256" i="16"/>
  <c r="N255" i="16"/>
  <c r="L255" i="16"/>
  <c r="K255" i="16"/>
  <c r="J255" i="16"/>
  <c r="I255" i="16"/>
  <c r="G255" i="16"/>
  <c r="N254" i="16"/>
  <c r="L254" i="16"/>
  <c r="K254" i="16"/>
  <c r="J254" i="16"/>
  <c r="I254" i="16"/>
  <c r="G254" i="16"/>
  <c r="N253" i="16"/>
  <c r="L253" i="16"/>
  <c r="K253" i="16"/>
  <c r="J253" i="16"/>
  <c r="I253" i="16"/>
  <c r="G253" i="16"/>
  <c r="N252" i="16"/>
  <c r="L252" i="16"/>
  <c r="K252" i="16"/>
  <c r="J252" i="16"/>
  <c r="I252" i="16"/>
  <c r="G252" i="16"/>
  <c r="N251" i="16"/>
  <c r="L251" i="16"/>
  <c r="K251" i="16"/>
  <c r="J251" i="16"/>
  <c r="I251" i="16"/>
  <c r="G251" i="16"/>
  <c r="N250" i="16"/>
  <c r="L250" i="16"/>
  <c r="K250" i="16"/>
  <c r="J250" i="16"/>
  <c r="I250" i="16"/>
  <c r="G250" i="16"/>
  <c r="N249" i="16"/>
  <c r="L249" i="16"/>
  <c r="K249" i="16"/>
  <c r="J249" i="16"/>
  <c r="I249" i="16"/>
  <c r="G249" i="16"/>
  <c r="N248" i="16"/>
  <c r="L248" i="16"/>
  <c r="K248" i="16"/>
  <c r="J248" i="16"/>
  <c r="I248" i="16"/>
  <c r="G248" i="16"/>
  <c r="N247" i="16"/>
  <c r="L247" i="16"/>
  <c r="K247" i="16"/>
  <c r="J247" i="16"/>
  <c r="I247" i="16"/>
  <c r="G247" i="16"/>
  <c r="N246" i="16"/>
  <c r="L246" i="16"/>
  <c r="K246" i="16"/>
  <c r="J246" i="16"/>
  <c r="I246" i="16"/>
  <c r="G246" i="16"/>
  <c r="N245" i="16"/>
  <c r="L245" i="16"/>
  <c r="K245" i="16"/>
  <c r="J245" i="16"/>
  <c r="I245" i="16"/>
  <c r="G245" i="16"/>
  <c r="N244" i="16"/>
  <c r="L244" i="16"/>
  <c r="K244" i="16"/>
  <c r="J244" i="16"/>
  <c r="I244" i="16"/>
  <c r="G244" i="16"/>
  <c r="N243" i="16"/>
  <c r="L243" i="16"/>
  <c r="K243" i="16"/>
  <c r="J243" i="16"/>
  <c r="I243" i="16"/>
  <c r="G243" i="16"/>
  <c r="N242" i="16"/>
  <c r="L242" i="16"/>
  <c r="K242" i="16"/>
  <c r="J242" i="16"/>
  <c r="I242" i="16"/>
  <c r="G242" i="16"/>
  <c r="N241" i="16"/>
  <c r="L241" i="16"/>
  <c r="K241" i="16"/>
  <c r="J241" i="16"/>
  <c r="I241" i="16"/>
  <c r="G241" i="16"/>
  <c r="N240" i="16"/>
  <c r="L240" i="16"/>
  <c r="K240" i="16"/>
  <c r="J240" i="16"/>
  <c r="I240" i="16"/>
  <c r="G240" i="16"/>
  <c r="N239" i="16"/>
  <c r="L239" i="16"/>
  <c r="K239" i="16"/>
  <c r="J239" i="16"/>
  <c r="I239" i="16"/>
  <c r="G239" i="16"/>
  <c r="N238" i="16"/>
  <c r="L238" i="16"/>
  <c r="K238" i="16"/>
  <c r="J238" i="16"/>
  <c r="I238" i="16"/>
  <c r="G238" i="16"/>
  <c r="N237" i="16"/>
  <c r="L237" i="16"/>
  <c r="K237" i="16"/>
  <c r="J237" i="16"/>
  <c r="I237" i="16"/>
  <c r="G237" i="16"/>
  <c r="N236" i="16"/>
  <c r="L236" i="16"/>
  <c r="K236" i="16"/>
  <c r="J236" i="16"/>
  <c r="I236" i="16"/>
  <c r="G236" i="16"/>
  <c r="N235" i="16"/>
  <c r="L235" i="16"/>
  <c r="K235" i="16"/>
  <c r="J235" i="16"/>
  <c r="I235" i="16"/>
  <c r="G235" i="16"/>
  <c r="N234" i="16"/>
  <c r="L234" i="16"/>
  <c r="K234" i="16"/>
  <c r="J234" i="16"/>
  <c r="I234" i="16"/>
  <c r="G234" i="16"/>
  <c r="N233" i="16"/>
  <c r="L233" i="16"/>
  <c r="K233" i="16"/>
  <c r="J233" i="16"/>
  <c r="I233" i="16"/>
  <c r="G233" i="16"/>
  <c r="N232" i="16"/>
  <c r="L232" i="16"/>
  <c r="K232" i="16"/>
  <c r="J232" i="16"/>
  <c r="I232" i="16"/>
  <c r="G232" i="16"/>
  <c r="N231" i="16"/>
  <c r="L231" i="16"/>
  <c r="K231" i="16"/>
  <c r="J231" i="16"/>
  <c r="I231" i="16"/>
  <c r="G231" i="16"/>
  <c r="N230" i="16"/>
  <c r="L230" i="16"/>
  <c r="K230" i="16"/>
  <c r="J230" i="16"/>
  <c r="I230" i="16"/>
  <c r="G230" i="16"/>
  <c r="N229" i="16"/>
  <c r="L229" i="16"/>
  <c r="K229" i="16"/>
  <c r="J229" i="16"/>
  <c r="I229" i="16"/>
  <c r="G229" i="16"/>
  <c r="N228" i="16"/>
  <c r="L228" i="16"/>
  <c r="K228" i="16"/>
  <c r="J228" i="16"/>
  <c r="I228" i="16"/>
  <c r="G228" i="16"/>
  <c r="N227" i="16"/>
  <c r="L227" i="16"/>
  <c r="K227" i="16"/>
  <c r="J227" i="16"/>
  <c r="I227" i="16"/>
  <c r="G227" i="16"/>
  <c r="N226" i="16"/>
  <c r="L226" i="16"/>
  <c r="K226" i="16"/>
  <c r="J226" i="16"/>
  <c r="I226" i="16"/>
  <c r="G226" i="16"/>
  <c r="N225" i="16"/>
  <c r="L225" i="16"/>
  <c r="K225" i="16"/>
  <c r="J225" i="16"/>
  <c r="I225" i="16"/>
  <c r="G225" i="16"/>
  <c r="N224" i="16"/>
  <c r="L224" i="16"/>
  <c r="K224" i="16"/>
  <c r="J224" i="16"/>
  <c r="I224" i="16"/>
  <c r="G224" i="16"/>
  <c r="N223" i="16"/>
  <c r="L223" i="16"/>
  <c r="K223" i="16"/>
  <c r="J223" i="16"/>
  <c r="I223" i="16"/>
  <c r="G223" i="16"/>
  <c r="N222" i="16"/>
  <c r="L222" i="16"/>
  <c r="K222" i="16"/>
  <c r="J222" i="16"/>
  <c r="I222" i="16"/>
  <c r="G222" i="16"/>
  <c r="N221" i="16"/>
  <c r="L221" i="16"/>
  <c r="K221" i="16"/>
  <c r="J221" i="16"/>
  <c r="I221" i="16"/>
  <c r="G221" i="16"/>
  <c r="N220" i="16"/>
  <c r="L220" i="16"/>
  <c r="K220" i="16"/>
  <c r="J220" i="16"/>
  <c r="I220" i="16"/>
  <c r="G220" i="16"/>
  <c r="N219" i="16"/>
  <c r="L219" i="16"/>
  <c r="K219" i="16"/>
  <c r="J219" i="16"/>
  <c r="I219" i="16"/>
  <c r="G219" i="16"/>
  <c r="N218" i="16"/>
  <c r="L218" i="16"/>
  <c r="K218" i="16"/>
  <c r="J218" i="16"/>
  <c r="I218" i="16"/>
  <c r="G218" i="16"/>
  <c r="N217" i="16"/>
  <c r="L217" i="16"/>
  <c r="K217" i="16"/>
  <c r="J217" i="16"/>
  <c r="I217" i="16"/>
  <c r="G217" i="16"/>
  <c r="N216" i="16"/>
  <c r="L216" i="16"/>
  <c r="K216" i="16"/>
  <c r="J216" i="16"/>
  <c r="I216" i="16"/>
  <c r="G216" i="16"/>
  <c r="N215" i="16"/>
  <c r="L215" i="16"/>
  <c r="K215" i="16"/>
  <c r="J215" i="16"/>
  <c r="I215" i="16"/>
  <c r="G215" i="16"/>
  <c r="N214" i="16"/>
  <c r="L214" i="16"/>
  <c r="K214" i="16"/>
  <c r="J214" i="16"/>
  <c r="I214" i="16"/>
  <c r="G214" i="16"/>
  <c r="N213" i="16"/>
  <c r="L213" i="16"/>
  <c r="K213" i="16"/>
  <c r="J213" i="16"/>
  <c r="I213" i="16"/>
  <c r="G213" i="16"/>
  <c r="N212" i="16"/>
  <c r="L212" i="16"/>
  <c r="K212" i="16"/>
  <c r="J212" i="16"/>
  <c r="I212" i="16"/>
  <c r="G212" i="16"/>
  <c r="N211" i="16"/>
  <c r="L211" i="16"/>
  <c r="K211" i="16"/>
  <c r="J211" i="16"/>
  <c r="I211" i="16"/>
  <c r="G211" i="16"/>
  <c r="N210" i="16"/>
  <c r="L210" i="16"/>
  <c r="K210" i="16"/>
  <c r="J210" i="16"/>
  <c r="I210" i="16"/>
  <c r="G210" i="16"/>
  <c r="N209" i="16"/>
  <c r="L209" i="16"/>
  <c r="K209" i="16"/>
  <c r="J209" i="16"/>
  <c r="I209" i="16"/>
  <c r="G209" i="16"/>
  <c r="N208" i="16"/>
  <c r="L208" i="16"/>
  <c r="K208" i="16"/>
  <c r="J208" i="16"/>
  <c r="I208" i="16"/>
  <c r="G208" i="16"/>
  <c r="N207" i="16"/>
  <c r="L207" i="16"/>
  <c r="K207" i="16"/>
  <c r="J207" i="16"/>
  <c r="I207" i="16"/>
  <c r="G207" i="16"/>
  <c r="N206" i="16"/>
  <c r="L206" i="16"/>
  <c r="K206" i="16"/>
  <c r="J206" i="16"/>
  <c r="I206" i="16"/>
  <c r="G206" i="16"/>
  <c r="N205" i="16"/>
  <c r="L205" i="16"/>
  <c r="K205" i="16"/>
  <c r="J205" i="16"/>
  <c r="I205" i="16"/>
  <c r="G205" i="16"/>
  <c r="N204" i="16"/>
  <c r="L204" i="16"/>
  <c r="K204" i="16"/>
  <c r="J204" i="16"/>
  <c r="I204" i="16"/>
  <c r="G204" i="16"/>
  <c r="N203" i="16"/>
  <c r="L203" i="16"/>
  <c r="K203" i="16"/>
  <c r="J203" i="16"/>
  <c r="I203" i="16"/>
  <c r="G203" i="16"/>
  <c r="N202" i="16"/>
  <c r="L202" i="16"/>
  <c r="K202" i="16"/>
  <c r="J202" i="16"/>
  <c r="I202" i="16"/>
  <c r="G202" i="16"/>
  <c r="N201" i="16"/>
  <c r="L201" i="16"/>
  <c r="K201" i="16"/>
  <c r="J201" i="16"/>
  <c r="I201" i="16"/>
  <c r="G201" i="16"/>
  <c r="N200" i="16"/>
  <c r="L200" i="16"/>
  <c r="K200" i="16"/>
  <c r="J200" i="16"/>
  <c r="I200" i="16"/>
  <c r="G200" i="16"/>
  <c r="N199" i="16"/>
  <c r="L199" i="16"/>
  <c r="K199" i="16"/>
  <c r="J199" i="16"/>
  <c r="I199" i="16"/>
  <c r="G199" i="16"/>
  <c r="N198" i="16"/>
  <c r="L198" i="16"/>
  <c r="K198" i="16"/>
  <c r="J198" i="16"/>
  <c r="I198" i="16"/>
  <c r="G198" i="16"/>
  <c r="N197" i="16"/>
  <c r="L197" i="16"/>
  <c r="K197" i="16"/>
  <c r="J197" i="16"/>
  <c r="I197" i="16"/>
  <c r="G197" i="16"/>
  <c r="N196" i="16"/>
  <c r="L196" i="16"/>
  <c r="K196" i="16"/>
  <c r="J196" i="16"/>
  <c r="I196" i="16"/>
  <c r="G196" i="16"/>
  <c r="N195" i="16"/>
  <c r="L195" i="16"/>
  <c r="K195" i="16"/>
  <c r="J195" i="16"/>
  <c r="I195" i="16"/>
  <c r="G195" i="16"/>
  <c r="N194" i="16"/>
  <c r="L194" i="16"/>
  <c r="K194" i="16"/>
  <c r="J194" i="16"/>
  <c r="I194" i="16"/>
  <c r="G194" i="16"/>
  <c r="N193" i="16"/>
  <c r="L193" i="16"/>
  <c r="K193" i="16"/>
  <c r="J193" i="16"/>
  <c r="I193" i="16"/>
  <c r="G193" i="16"/>
  <c r="N192" i="16"/>
  <c r="L192" i="16"/>
  <c r="K192" i="16"/>
  <c r="J192" i="16"/>
  <c r="I192" i="16"/>
  <c r="G192" i="16"/>
  <c r="N191" i="16"/>
  <c r="L191" i="16"/>
  <c r="K191" i="16"/>
  <c r="J191" i="16"/>
  <c r="I191" i="16"/>
  <c r="G191" i="16"/>
  <c r="N190" i="16"/>
  <c r="L190" i="16"/>
  <c r="K190" i="16"/>
  <c r="J190" i="16"/>
  <c r="I190" i="16"/>
  <c r="G190" i="16"/>
  <c r="N189" i="16"/>
  <c r="L189" i="16"/>
  <c r="K189" i="16"/>
  <c r="J189" i="16"/>
  <c r="I189" i="16"/>
  <c r="G189" i="16"/>
  <c r="N188" i="16"/>
  <c r="L188" i="16"/>
  <c r="K188" i="16"/>
  <c r="J188" i="16"/>
  <c r="I188" i="16"/>
  <c r="G188" i="16"/>
  <c r="N187" i="16"/>
  <c r="L187" i="16"/>
  <c r="K187" i="16"/>
  <c r="J187" i="16"/>
  <c r="I187" i="16"/>
  <c r="G187" i="16"/>
  <c r="N186" i="16"/>
  <c r="L186" i="16"/>
  <c r="K186" i="16"/>
  <c r="J186" i="16"/>
  <c r="I186" i="16"/>
  <c r="G186" i="16"/>
  <c r="N185" i="16"/>
  <c r="L185" i="16"/>
  <c r="K185" i="16"/>
  <c r="J185" i="16"/>
  <c r="I185" i="16"/>
  <c r="G185" i="16"/>
  <c r="N184" i="16"/>
  <c r="L184" i="16"/>
  <c r="K184" i="16"/>
  <c r="J184" i="16"/>
  <c r="I184" i="16"/>
  <c r="G184" i="16"/>
  <c r="N183" i="16"/>
  <c r="L183" i="16"/>
  <c r="K183" i="16"/>
  <c r="J183" i="16"/>
  <c r="I183" i="16"/>
  <c r="G183" i="16"/>
  <c r="N182" i="16"/>
  <c r="L182" i="16"/>
  <c r="K182" i="16"/>
  <c r="J182" i="16"/>
  <c r="I182" i="16"/>
  <c r="G182" i="16"/>
  <c r="N181" i="16"/>
  <c r="L181" i="16"/>
  <c r="K181" i="16"/>
  <c r="J181" i="16"/>
  <c r="I181" i="16"/>
  <c r="G181" i="16"/>
  <c r="N180" i="16"/>
  <c r="L180" i="16"/>
  <c r="K180" i="16"/>
  <c r="J180" i="16"/>
  <c r="I180" i="16"/>
  <c r="G180" i="16"/>
  <c r="N179" i="16"/>
  <c r="L179" i="16"/>
  <c r="K179" i="16"/>
  <c r="J179" i="16"/>
  <c r="I179" i="16"/>
  <c r="G179" i="16"/>
  <c r="N178" i="16"/>
  <c r="L178" i="16"/>
  <c r="K178" i="16"/>
  <c r="J178" i="16"/>
  <c r="I178" i="16"/>
  <c r="G178" i="16"/>
  <c r="N177" i="16"/>
  <c r="L177" i="16"/>
  <c r="K177" i="16"/>
  <c r="J177" i="16"/>
  <c r="I177" i="16"/>
  <c r="G177" i="16"/>
  <c r="N176" i="16"/>
  <c r="L176" i="16"/>
  <c r="K176" i="16"/>
  <c r="J176" i="16"/>
  <c r="I176" i="16"/>
  <c r="G176" i="16"/>
  <c r="N175" i="16"/>
  <c r="L175" i="16"/>
  <c r="K175" i="16"/>
  <c r="J175" i="16"/>
  <c r="I175" i="16"/>
  <c r="G175" i="16"/>
  <c r="N174" i="16"/>
  <c r="L174" i="16"/>
  <c r="K174" i="16"/>
  <c r="J174" i="16"/>
  <c r="I174" i="16"/>
  <c r="G174" i="16"/>
  <c r="N173" i="16"/>
  <c r="L173" i="16"/>
  <c r="K173" i="16"/>
  <c r="J173" i="16"/>
  <c r="I173" i="16"/>
  <c r="G173" i="16"/>
  <c r="N172" i="16"/>
  <c r="L172" i="16"/>
  <c r="K172" i="16"/>
  <c r="J172" i="16"/>
  <c r="I172" i="16"/>
  <c r="G172" i="16"/>
  <c r="N171" i="16"/>
  <c r="L171" i="16"/>
  <c r="K171" i="16"/>
  <c r="J171" i="16"/>
  <c r="I171" i="16"/>
  <c r="G171" i="16"/>
  <c r="N170" i="16"/>
  <c r="L170" i="16"/>
  <c r="K170" i="16"/>
  <c r="J170" i="16"/>
  <c r="I170" i="16"/>
  <c r="G170" i="16"/>
  <c r="N169" i="16"/>
  <c r="L169" i="16"/>
  <c r="K169" i="16"/>
  <c r="J169" i="16"/>
  <c r="I169" i="16"/>
  <c r="G169" i="16"/>
  <c r="N168" i="16"/>
  <c r="L168" i="16"/>
  <c r="K168" i="16"/>
  <c r="J168" i="16"/>
  <c r="I168" i="16"/>
  <c r="G168" i="16"/>
  <c r="N167" i="16"/>
  <c r="L167" i="16"/>
  <c r="K167" i="16"/>
  <c r="J167" i="16"/>
  <c r="I167" i="16"/>
  <c r="G167" i="16"/>
  <c r="N166" i="16"/>
  <c r="L166" i="16"/>
  <c r="K166" i="16"/>
  <c r="J166" i="16"/>
  <c r="I166" i="16"/>
  <c r="G166" i="16"/>
  <c r="N165" i="16"/>
  <c r="L165" i="16"/>
  <c r="K165" i="16"/>
  <c r="J165" i="16"/>
  <c r="I165" i="16"/>
  <c r="G165" i="16"/>
  <c r="N164" i="16"/>
  <c r="L164" i="16"/>
  <c r="K164" i="16"/>
  <c r="J164" i="16"/>
  <c r="I164" i="16"/>
  <c r="G164" i="16"/>
  <c r="N163" i="16"/>
  <c r="L163" i="16"/>
  <c r="K163" i="16"/>
  <c r="J163" i="16"/>
  <c r="I163" i="16"/>
  <c r="G163" i="16"/>
  <c r="N162" i="16"/>
  <c r="L162" i="16"/>
  <c r="K162" i="16"/>
  <c r="J162" i="16"/>
  <c r="I162" i="16"/>
  <c r="G162" i="16"/>
  <c r="N161" i="16"/>
  <c r="L161" i="16"/>
  <c r="K161" i="16"/>
  <c r="J161" i="16"/>
  <c r="I161" i="16"/>
  <c r="G161" i="16"/>
  <c r="N160" i="16"/>
  <c r="L160" i="16"/>
  <c r="K160" i="16"/>
  <c r="J160" i="16"/>
  <c r="I160" i="16"/>
  <c r="G160" i="16"/>
  <c r="N159" i="16"/>
  <c r="L159" i="16"/>
  <c r="K159" i="16"/>
  <c r="J159" i="16"/>
  <c r="I159" i="16"/>
  <c r="G159" i="16"/>
  <c r="N158" i="16"/>
  <c r="L158" i="16"/>
  <c r="K158" i="16"/>
  <c r="J158" i="16"/>
  <c r="I158" i="16"/>
  <c r="G158" i="16"/>
  <c r="N157" i="16"/>
  <c r="L157" i="16"/>
  <c r="K157" i="16"/>
  <c r="J157" i="16"/>
  <c r="I157" i="16"/>
  <c r="G157" i="16"/>
  <c r="N156" i="16"/>
  <c r="L156" i="16"/>
  <c r="K156" i="16"/>
  <c r="J156" i="16"/>
  <c r="I156" i="16"/>
  <c r="G156" i="16"/>
  <c r="N155" i="16"/>
  <c r="L155" i="16"/>
  <c r="K155" i="16"/>
  <c r="J155" i="16"/>
  <c r="I155" i="16"/>
  <c r="G155" i="16"/>
  <c r="N154" i="16"/>
  <c r="L154" i="16"/>
  <c r="K154" i="16"/>
  <c r="J154" i="16"/>
  <c r="I154" i="16"/>
  <c r="G154" i="16"/>
  <c r="N153" i="16"/>
  <c r="L153" i="16"/>
  <c r="K153" i="16"/>
  <c r="J153" i="16"/>
  <c r="I153" i="16"/>
  <c r="G153" i="16"/>
  <c r="N152" i="16"/>
  <c r="L152" i="16"/>
  <c r="K152" i="16"/>
  <c r="J152" i="16"/>
  <c r="I152" i="16"/>
  <c r="G152" i="16"/>
  <c r="N151" i="16"/>
  <c r="L151" i="16"/>
  <c r="K151" i="16"/>
  <c r="J151" i="16"/>
  <c r="I151" i="16"/>
  <c r="G151" i="16"/>
  <c r="N150" i="16"/>
  <c r="L150" i="16"/>
  <c r="K150" i="16"/>
  <c r="J150" i="16"/>
  <c r="I150" i="16"/>
  <c r="G150" i="16"/>
  <c r="N149" i="16"/>
  <c r="L149" i="16"/>
  <c r="K149" i="16"/>
  <c r="J149" i="16"/>
  <c r="I149" i="16"/>
  <c r="G149" i="16"/>
  <c r="N148" i="16"/>
  <c r="L148" i="16"/>
  <c r="K148" i="16"/>
  <c r="J148" i="16"/>
  <c r="I148" i="16"/>
  <c r="G148" i="16"/>
  <c r="N147" i="16"/>
  <c r="L147" i="16"/>
  <c r="K147" i="16"/>
  <c r="J147" i="16"/>
  <c r="I147" i="16"/>
  <c r="G147" i="16"/>
  <c r="N146" i="16"/>
  <c r="L146" i="16"/>
  <c r="K146" i="16"/>
  <c r="J146" i="16"/>
  <c r="I146" i="16"/>
  <c r="G146" i="16"/>
  <c r="N145" i="16"/>
  <c r="L145" i="16"/>
  <c r="K145" i="16"/>
  <c r="J145" i="16"/>
  <c r="I145" i="16"/>
  <c r="G145" i="16"/>
  <c r="N144" i="16"/>
  <c r="L144" i="16"/>
  <c r="K144" i="16"/>
  <c r="J144" i="16"/>
  <c r="I144" i="16"/>
  <c r="G144" i="16"/>
  <c r="N143" i="16"/>
  <c r="L143" i="16"/>
  <c r="K143" i="16"/>
  <c r="J143" i="16"/>
  <c r="I143" i="16"/>
  <c r="G143" i="16"/>
  <c r="N142" i="16"/>
  <c r="L142" i="16"/>
  <c r="K142" i="16"/>
  <c r="J142" i="16"/>
  <c r="I142" i="16"/>
  <c r="G142" i="16"/>
  <c r="N141" i="16"/>
  <c r="L141" i="16"/>
  <c r="K141" i="16"/>
  <c r="J141" i="16"/>
  <c r="I141" i="16"/>
  <c r="G141" i="16"/>
  <c r="N140" i="16"/>
  <c r="L140" i="16"/>
  <c r="K140" i="16"/>
  <c r="J140" i="16"/>
  <c r="I140" i="16"/>
  <c r="G140" i="16"/>
  <c r="N139" i="16"/>
  <c r="L139" i="16"/>
  <c r="K139" i="16"/>
  <c r="J139" i="16"/>
  <c r="I139" i="16"/>
  <c r="G139" i="16"/>
  <c r="N138" i="16"/>
  <c r="L138" i="16"/>
  <c r="K138" i="16"/>
  <c r="J138" i="16"/>
  <c r="I138" i="16"/>
  <c r="G138" i="16"/>
  <c r="N137" i="16"/>
  <c r="L137" i="16"/>
  <c r="K137" i="16"/>
  <c r="J137" i="16"/>
  <c r="I137" i="16"/>
  <c r="G137" i="16"/>
  <c r="N136" i="16"/>
  <c r="L136" i="16"/>
  <c r="K136" i="16"/>
  <c r="J136" i="16"/>
  <c r="I136" i="16"/>
  <c r="G136" i="16"/>
  <c r="N135" i="16"/>
  <c r="L135" i="16"/>
  <c r="K135" i="16"/>
  <c r="J135" i="16"/>
  <c r="I135" i="16"/>
  <c r="G135" i="16"/>
  <c r="N134" i="16"/>
  <c r="L134" i="16"/>
  <c r="K134" i="16"/>
  <c r="J134" i="16"/>
  <c r="I134" i="16"/>
  <c r="G134" i="16"/>
  <c r="N133" i="16"/>
  <c r="L133" i="16"/>
  <c r="K133" i="16"/>
  <c r="J133" i="16"/>
  <c r="I133" i="16"/>
  <c r="G133" i="16"/>
  <c r="N132" i="16"/>
  <c r="L132" i="16"/>
  <c r="K132" i="16"/>
  <c r="J132" i="16"/>
  <c r="I132" i="16"/>
  <c r="G132" i="16"/>
  <c r="N131" i="16"/>
  <c r="L131" i="16"/>
  <c r="K131" i="16"/>
  <c r="J131" i="16"/>
  <c r="I131" i="16"/>
  <c r="G131" i="16"/>
  <c r="N130" i="16"/>
  <c r="L130" i="16"/>
  <c r="K130" i="16"/>
  <c r="J130" i="16"/>
  <c r="I130" i="16"/>
  <c r="G130" i="16"/>
  <c r="N129" i="16"/>
  <c r="L129" i="16"/>
  <c r="K129" i="16"/>
  <c r="J129" i="16"/>
  <c r="I129" i="16"/>
  <c r="G129" i="16"/>
  <c r="N128" i="16"/>
  <c r="L128" i="16"/>
  <c r="K128" i="16"/>
  <c r="J128" i="16"/>
  <c r="I128" i="16"/>
  <c r="G128" i="16"/>
  <c r="N127" i="16"/>
  <c r="L127" i="16"/>
  <c r="K127" i="16"/>
  <c r="J127" i="16"/>
  <c r="I127" i="16"/>
  <c r="G127" i="16"/>
  <c r="N126" i="16"/>
  <c r="L126" i="16"/>
  <c r="K126" i="16"/>
  <c r="J126" i="16"/>
  <c r="I126" i="16"/>
  <c r="G126" i="16"/>
  <c r="N125" i="16"/>
  <c r="L125" i="16"/>
  <c r="K125" i="16"/>
  <c r="J125" i="16"/>
  <c r="I125" i="16"/>
  <c r="G125" i="16"/>
  <c r="N124" i="16"/>
  <c r="L124" i="16"/>
  <c r="K124" i="16"/>
  <c r="J124" i="16"/>
  <c r="I124" i="16"/>
  <c r="G124" i="16"/>
  <c r="N123" i="16"/>
  <c r="L123" i="16"/>
  <c r="K123" i="16"/>
  <c r="J123" i="16"/>
  <c r="I123" i="16"/>
  <c r="G123" i="16"/>
  <c r="N122" i="16"/>
  <c r="L122" i="16"/>
  <c r="K122" i="16"/>
  <c r="J122" i="16"/>
  <c r="I122" i="16"/>
  <c r="G122" i="16"/>
  <c r="N121" i="16"/>
  <c r="L121" i="16"/>
  <c r="K121" i="16"/>
  <c r="J121" i="16"/>
  <c r="I121" i="16"/>
  <c r="G121" i="16"/>
  <c r="N120" i="16"/>
  <c r="L120" i="16"/>
  <c r="K120" i="16"/>
  <c r="J120" i="16"/>
  <c r="I120" i="16"/>
  <c r="G120" i="16"/>
  <c r="N119" i="16"/>
  <c r="L119" i="16"/>
  <c r="K119" i="16"/>
  <c r="J119" i="16"/>
  <c r="I119" i="16"/>
  <c r="G119" i="16"/>
  <c r="N118" i="16"/>
  <c r="L118" i="16"/>
  <c r="K118" i="16"/>
  <c r="J118" i="16"/>
  <c r="I118" i="16"/>
  <c r="G118" i="16"/>
  <c r="N117" i="16"/>
  <c r="L117" i="16"/>
  <c r="K117" i="16"/>
  <c r="J117" i="16"/>
  <c r="I117" i="16"/>
  <c r="G117" i="16"/>
  <c r="N116" i="16"/>
  <c r="L116" i="16"/>
  <c r="K116" i="16"/>
  <c r="J116" i="16"/>
  <c r="I116" i="16"/>
  <c r="G116" i="16"/>
  <c r="N115" i="16"/>
  <c r="L115" i="16"/>
  <c r="K115" i="16"/>
  <c r="J115" i="16"/>
  <c r="I115" i="16"/>
  <c r="G115" i="16"/>
  <c r="N114" i="16"/>
  <c r="L114" i="16"/>
  <c r="K114" i="16"/>
  <c r="J114" i="16"/>
  <c r="I114" i="16"/>
  <c r="G114" i="16"/>
  <c r="N113" i="16"/>
  <c r="L113" i="16"/>
  <c r="K113" i="16"/>
  <c r="J113" i="16"/>
  <c r="I113" i="16"/>
  <c r="G113" i="16"/>
  <c r="N112" i="16"/>
  <c r="L112" i="16"/>
  <c r="K112" i="16"/>
  <c r="J112" i="16"/>
  <c r="I112" i="16"/>
  <c r="G112" i="16"/>
  <c r="N111" i="16"/>
  <c r="L111" i="16"/>
  <c r="K111" i="16"/>
  <c r="J111" i="16"/>
  <c r="I111" i="16"/>
  <c r="G111" i="16"/>
  <c r="N110" i="16"/>
  <c r="L110" i="16"/>
  <c r="K110" i="16"/>
  <c r="J110" i="16"/>
  <c r="I110" i="16"/>
  <c r="G110" i="16"/>
  <c r="N109" i="16"/>
  <c r="L109" i="16"/>
  <c r="K109" i="16"/>
  <c r="J109" i="16"/>
  <c r="I109" i="16"/>
  <c r="G109" i="16"/>
  <c r="N108" i="16"/>
  <c r="L108" i="16"/>
  <c r="K108" i="16"/>
  <c r="J108" i="16"/>
  <c r="I108" i="16"/>
  <c r="G108" i="16"/>
  <c r="N107" i="16"/>
  <c r="L107" i="16"/>
  <c r="K107" i="16"/>
  <c r="J107" i="16"/>
  <c r="I107" i="16"/>
  <c r="G107" i="16"/>
  <c r="N106" i="16"/>
  <c r="L106" i="16"/>
  <c r="K106" i="16"/>
  <c r="J106" i="16"/>
  <c r="I106" i="16"/>
  <c r="G106" i="16"/>
  <c r="N105" i="16"/>
  <c r="L105" i="16"/>
  <c r="K105" i="16"/>
  <c r="J105" i="16"/>
  <c r="I105" i="16"/>
  <c r="G105" i="16"/>
  <c r="N104" i="16"/>
  <c r="L104" i="16"/>
  <c r="K104" i="16"/>
  <c r="J104" i="16"/>
  <c r="I104" i="16"/>
  <c r="G104" i="16"/>
  <c r="N103" i="16"/>
  <c r="L103" i="16"/>
  <c r="K103" i="16"/>
  <c r="J103" i="16"/>
  <c r="I103" i="16"/>
  <c r="G103" i="16"/>
  <c r="N102" i="16"/>
  <c r="L102" i="16"/>
  <c r="K102" i="16"/>
  <c r="J102" i="16"/>
  <c r="I102" i="16"/>
  <c r="G102" i="16"/>
  <c r="N101" i="16"/>
  <c r="L101" i="16"/>
  <c r="K101" i="16"/>
  <c r="J101" i="16"/>
  <c r="I101" i="16"/>
  <c r="G101" i="16"/>
  <c r="N100" i="16"/>
  <c r="L100" i="16"/>
  <c r="K100" i="16"/>
  <c r="J100" i="16"/>
  <c r="I100" i="16"/>
  <c r="G100" i="16"/>
  <c r="N99" i="16"/>
  <c r="L99" i="16"/>
  <c r="K99" i="16"/>
  <c r="J99" i="16"/>
  <c r="I99" i="16"/>
  <c r="G99" i="16"/>
  <c r="N98" i="16"/>
  <c r="L98" i="16"/>
  <c r="K98" i="16"/>
  <c r="J98" i="16"/>
  <c r="I98" i="16"/>
  <c r="G98" i="16"/>
  <c r="N97" i="16"/>
  <c r="L97" i="16"/>
  <c r="K97" i="16"/>
  <c r="J97" i="16"/>
  <c r="I97" i="16"/>
  <c r="G97" i="16"/>
  <c r="N96" i="16"/>
  <c r="L96" i="16"/>
  <c r="K96" i="16"/>
  <c r="J96" i="16"/>
  <c r="I96" i="16"/>
  <c r="G96" i="16"/>
  <c r="N95" i="16"/>
  <c r="L95" i="16"/>
  <c r="K95" i="16"/>
  <c r="J95" i="16"/>
  <c r="I95" i="16"/>
  <c r="G95" i="16"/>
  <c r="N94" i="16"/>
  <c r="L94" i="16"/>
  <c r="K94" i="16"/>
  <c r="J94" i="16"/>
  <c r="I94" i="16"/>
  <c r="G94" i="16"/>
  <c r="N93" i="16"/>
  <c r="L93" i="16"/>
  <c r="K93" i="16"/>
  <c r="J93" i="16"/>
  <c r="I93" i="16"/>
  <c r="G93" i="16"/>
  <c r="N92" i="16"/>
  <c r="L92" i="16"/>
  <c r="K92" i="16"/>
  <c r="J92" i="16"/>
  <c r="I92" i="16"/>
  <c r="G92" i="16"/>
  <c r="N91" i="16"/>
  <c r="L91" i="16"/>
  <c r="K91" i="16"/>
  <c r="J91" i="16"/>
  <c r="I91" i="16"/>
  <c r="G91" i="16"/>
  <c r="N90" i="16"/>
  <c r="L90" i="16"/>
  <c r="K90" i="16"/>
  <c r="J90" i="16"/>
  <c r="I90" i="16"/>
  <c r="G90" i="16"/>
  <c r="N89" i="16"/>
  <c r="L89" i="16"/>
  <c r="K89" i="16"/>
  <c r="J89" i="16"/>
  <c r="I89" i="16"/>
  <c r="G89" i="16"/>
  <c r="N88" i="16"/>
  <c r="L88" i="16"/>
  <c r="K88" i="16"/>
  <c r="J88" i="16"/>
  <c r="I88" i="16"/>
  <c r="G88" i="16"/>
  <c r="N87" i="16"/>
  <c r="L87" i="16"/>
  <c r="K87" i="16"/>
  <c r="J87" i="16"/>
  <c r="I87" i="16"/>
  <c r="G87" i="16"/>
  <c r="N86" i="16"/>
  <c r="L86" i="16"/>
  <c r="K86" i="16"/>
  <c r="J86" i="16"/>
  <c r="I86" i="16"/>
  <c r="G86" i="16"/>
  <c r="N85" i="16"/>
  <c r="L85" i="16"/>
  <c r="K85" i="16"/>
  <c r="J85" i="16"/>
  <c r="I85" i="16"/>
  <c r="G85" i="16"/>
  <c r="N84" i="16"/>
  <c r="L84" i="16"/>
  <c r="K84" i="16"/>
  <c r="J84" i="16"/>
  <c r="I84" i="16"/>
  <c r="G84" i="16"/>
  <c r="N83" i="16"/>
  <c r="L83" i="16"/>
  <c r="K83" i="16"/>
  <c r="J83" i="16"/>
  <c r="I83" i="16"/>
  <c r="G83" i="16"/>
  <c r="N82" i="16"/>
  <c r="L82" i="16"/>
  <c r="K82" i="16"/>
  <c r="J82" i="16"/>
  <c r="I82" i="16"/>
  <c r="G82" i="16"/>
  <c r="N81" i="16"/>
  <c r="L81" i="16"/>
  <c r="K81" i="16"/>
  <c r="J81" i="16"/>
  <c r="I81" i="16"/>
  <c r="G81" i="16"/>
  <c r="N80" i="16"/>
  <c r="L80" i="16"/>
  <c r="K80" i="16"/>
  <c r="J80" i="16"/>
  <c r="I80" i="16"/>
  <c r="G80" i="16"/>
  <c r="N79" i="16"/>
  <c r="L79" i="16"/>
  <c r="K79" i="16"/>
  <c r="J79" i="16"/>
  <c r="I79" i="16"/>
  <c r="G79" i="16"/>
  <c r="N78" i="16"/>
  <c r="L78" i="16"/>
  <c r="K78" i="16"/>
  <c r="J78" i="16"/>
  <c r="I78" i="16"/>
  <c r="G78" i="16"/>
  <c r="N77" i="16"/>
  <c r="L77" i="16"/>
  <c r="K77" i="16"/>
  <c r="J77" i="16"/>
  <c r="I77" i="16"/>
  <c r="G77" i="16"/>
  <c r="N76" i="16"/>
  <c r="L76" i="16"/>
  <c r="K76" i="16"/>
  <c r="J76" i="16"/>
  <c r="I76" i="16"/>
  <c r="G76" i="16"/>
  <c r="N75" i="16"/>
  <c r="L75" i="16"/>
  <c r="K75" i="16"/>
  <c r="J75" i="16"/>
  <c r="I75" i="16"/>
  <c r="G75" i="16"/>
  <c r="N74" i="16"/>
  <c r="L74" i="16"/>
  <c r="K74" i="16"/>
  <c r="J74" i="16"/>
  <c r="I74" i="16"/>
  <c r="G74" i="16"/>
  <c r="N73" i="16"/>
  <c r="L73" i="16"/>
  <c r="K73" i="16"/>
  <c r="J73" i="16"/>
  <c r="I73" i="16"/>
  <c r="G73" i="16"/>
  <c r="N72" i="16"/>
  <c r="L72" i="16"/>
  <c r="K72" i="16"/>
  <c r="J72" i="16"/>
  <c r="I72" i="16"/>
  <c r="G72" i="16"/>
  <c r="N71" i="16"/>
  <c r="L71" i="16"/>
  <c r="K71" i="16"/>
  <c r="J71" i="16"/>
  <c r="I71" i="16"/>
  <c r="G71" i="16"/>
  <c r="N70" i="16"/>
  <c r="L70" i="16"/>
  <c r="K70" i="16"/>
  <c r="J70" i="16"/>
  <c r="I70" i="16"/>
  <c r="G70" i="16"/>
  <c r="N69" i="16"/>
  <c r="L69" i="16"/>
  <c r="K69" i="16"/>
  <c r="J69" i="16"/>
  <c r="I69" i="16"/>
  <c r="G69" i="16"/>
  <c r="N68" i="16"/>
  <c r="L68" i="16"/>
  <c r="K68" i="16"/>
  <c r="J68" i="16"/>
  <c r="I68" i="16"/>
  <c r="G68" i="16"/>
  <c r="N67" i="16"/>
  <c r="L67" i="16"/>
  <c r="K67" i="16"/>
  <c r="J67" i="16"/>
  <c r="I67" i="16"/>
  <c r="G67" i="16"/>
  <c r="N66" i="16"/>
  <c r="L66" i="16"/>
  <c r="K66" i="16"/>
  <c r="J66" i="16"/>
  <c r="I66" i="16"/>
  <c r="G66" i="16"/>
  <c r="N65" i="16"/>
  <c r="L65" i="16"/>
  <c r="K65" i="16"/>
  <c r="J65" i="16"/>
  <c r="I65" i="16"/>
  <c r="G65" i="16"/>
  <c r="N64" i="16"/>
  <c r="L64" i="16"/>
  <c r="K64" i="16"/>
  <c r="J64" i="16"/>
  <c r="I64" i="16"/>
  <c r="G64" i="16"/>
  <c r="N63" i="16"/>
  <c r="L63" i="16"/>
  <c r="K63" i="16"/>
  <c r="J63" i="16"/>
  <c r="I63" i="16"/>
  <c r="G63" i="16"/>
  <c r="N62" i="16"/>
  <c r="L62" i="16"/>
  <c r="K62" i="16"/>
  <c r="J62" i="16"/>
  <c r="I62" i="16"/>
  <c r="G62" i="16"/>
  <c r="N61" i="16"/>
  <c r="L61" i="16"/>
  <c r="K61" i="16"/>
  <c r="J61" i="16"/>
  <c r="I61" i="16"/>
  <c r="G61" i="16"/>
  <c r="N60" i="16"/>
  <c r="L60" i="16"/>
  <c r="K60" i="16"/>
  <c r="J60" i="16"/>
  <c r="I60" i="16"/>
  <c r="G60" i="16"/>
  <c r="N59" i="16"/>
  <c r="L59" i="16"/>
  <c r="K59" i="16"/>
  <c r="J59" i="16"/>
  <c r="I59" i="16"/>
  <c r="G59" i="16"/>
  <c r="N58" i="16"/>
  <c r="L58" i="16"/>
  <c r="K58" i="16"/>
  <c r="J58" i="16"/>
  <c r="I58" i="16"/>
  <c r="G58" i="16"/>
  <c r="N57" i="16"/>
  <c r="L57" i="16"/>
  <c r="K57" i="16"/>
  <c r="J57" i="16"/>
  <c r="I57" i="16"/>
  <c r="G57" i="16"/>
  <c r="N56" i="16"/>
  <c r="L56" i="16"/>
  <c r="K56" i="16"/>
  <c r="J56" i="16"/>
  <c r="I56" i="16"/>
  <c r="G56" i="16"/>
  <c r="N55" i="16"/>
  <c r="L55" i="16"/>
  <c r="K55" i="16"/>
  <c r="J55" i="16"/>
  <c r="I55" i="16"/>
  <c r="G55" i="16"/>
  <c r="N54" i="16"/>
  <c r="L54" i="16"/>
  <c r="K54" i="16"/>
  <c r="J54" i="16"/>
  <c r="I54" i="16"/>
  <c r="G54" i="16"/>
  <c r="N53" i="16"/>
  <c r="L53" i="16"/>
  <c r="K53" i="16"/>
  <c r="J53" i="16"/>
  <c r="I53" i="16"/>
  <c r="G53" i="16"/>
  <c r="N52" i="16"/>
  <c r="L52" i="16"/>
  <c r="K52" i="16"/>
  <c r="J52" i="16"/>
  <c r="I52" i="16"/>
  <c r="G52" i="16"/>
  <c r="N51" i="16"/>
  <c r="L51" i="16"/>
  <c r="K51" i="16"/>
  <c r="J51" i="16"/>
  <c r="I51" i="16"/>
  <c r="G51" i="16"/>
  <c r="N50" i="16"/>
  <c r="L50" i="16"/>
  <c r="K50" i="16"/>
  <c r="J50" i="16"/>
  <c r="I50" i="16"/>
  <c r="G50" i="16"/>
  <c r="N49" i="16"/>
  <c r="L49" i="16"/>
  <c r="K49" i="16"/>
  <c r="J49" i="16"/>
  <c r="I49" i="16"/>
  <c r="G49" i="16"/>
  <c r="N48" i="16"/>
  <c r="L48" i="16"/>
  <c r="K48" i="16"/>
  <c r="J48" i="16"/>
  <c r="I48" i="16"/>
  <c r="G48" i="16"/>
  <c r="N47" i="16"/>
  <c r="L47" i="16"/>
  <c r="K47" i="16"/>
  <c r="J47" i="16"/>
  <c r="I47" i="16"/>
  <c r="G47" i="16"/>
  <c r="N46" i="16"/>
  <c r="L46" i="16"/>
  <c r="K46" i="16"/>
  <c r="J46" i="16"/>
  <c r="I46" i="16"/>
  <c r="G46" i="16"/>
  <c r="N45" i="16"/>
  <c r="L45" i="16"/>
  <c r="K45" i="16"/>
  <c r="J45" i="16"/>
  <c r="I45" i="16"/>
  <c r="G45" i="16"/>
  <c r="N44" i="16"/>
  <c r="L44" i="16"/>
  <c r="K44" i="16"/>
  <c r="J44" i="16"/>
  <c r="I44" i="16"/>
  <c r="G44" i="16"/>
  <c r="N43" i="16"/>
  <c r="L43" i="16"/>
  <c r="K43" i="16"/>
  <c r="J43" i="16"/>
  <c r="I43" i="16"/>
  <c r="G43" i="16"/>
  <c r="N42" i="16"/>
  <c r="L42" i="16"/>
  <c r="K42" i="16"/>
  <c r="J42" i="16"/>
  <c r="I42" i="16"/>
  <c r="G42" i="16"/>
  <c r="N41" i="16"/>
  <c r="L41" i="16"/>
  <c r="K41" i="16"/>
  <c r="J41" i="16"/>
  <c r="I41" i="16"/>
  <c r="G41" i="16"/>
  <c r="N40" i="16"/>
  <c r="L40" i="16"/>
  <c r="K40" i="16"/>
  <c r="J40" i="16"/>
  <c r="I40" i="16"/>
  <c r="G40" i="16"/>
  <c r="N39" i="16"/>
  <c r="L39" i="16"/>
  <c r="K39" i="16"/>
  <c r="J39" i="16"/>
  <c r="I39" i="16"/>
  <c r="G39" i="16"/>
  <c r="N38" i="16"/>
  <c r="L38" i="16"/>
  <c r="K38" i="16"/>
  <c r="J38" i="16"/>
  <c r="I38" i="16"/>
  <c r="G38" i="16"/>
  <c r="N37" i="16"/>
  <c r="L37" i="16"/>
  <c r="K37" i="16"/>
  <c r="J37" i="16"/>
  <c r="I37" i="16"/>
  <c r="G37" i="16"/>
  <c r="N36" i="16"/>
  <c r="L36" i="16"/>
  <c r="K36" i="16"/>
  <c r="J36" i="16"/>
  <c r="I36" i="16"/>
  <c r="G36" i="16"/>
  <c r="N35" i="16"/>
  <c r="L35" i="16"/>
  <c r="K35" i="16"/>
  <c r="J35" i="16"/>
  <c r="I35" i="16"/>
  <c r="G35" i="16"/>
  <c r="N34" i="16"/>
  <c r="L34" i="16"/>
  <c r="K34" i="16"/>
  <c r="J34" i="16"/>
  <c r="I34" i="16"/>
  <c r="G34" i="16"/>
  <c r="N33" i="16"/>
  <c r="L33" i="16"/>
  <c r="K33" i="16"/>
  <c r="J33" i="16"/>
  <c r="I33" i="16"/>
  <c r="G33" i="16"/>
  <c r="N32" i="16"/>
  <c r="L32" i="16"/>
  <c r="K32" i="16"/>
  <c r="J32" i="16"/>
  <c r="I32" i="16"/>
  <c r="G32" i="16"/>
  <c r="N31" i="16"/>
  <c r="L31" i="16"/>
  <c r="K31" i="16"/>
  <c r="J31" i="16"/>
  <c r="I31" i="16"/>
  <c r="G31" i="16"/>
  <c r="N30" i="16"/>
  <c r="L30" i="16"/>
  <c r="K30" i="16"/>
  <c r="J30" i="16"/>
  <c r="I30" i="16"/>
  <c r="G30" i="16"/>
  <c r="N29" i="16"/>
  <c r="L29" i="16"/>
  <c r="K29" i="16"/>
  <c r="J29" i="16"/>
  <c r="I29" i="16"/>
  <c r="N28" i="16"/>
  <c r="L28" i="16"/>
  <c r="K28" i="16"/>
  <c r="J28" i="16"/>
  <c r="I28" i="16"/>
  <c r="G28" i="16"/>
  <c r="N27" i="16"/>
  <c r="L27" i="16"/>
  <c r="K27" i="16"/>
  <c r="J27" i="16"/>
  <c r="I27" i="16"/>
  <c r="G27" i="16"/>
  <c r="N26" i="16"/>
  <c r="L26" i="16"/>
  <c r="K26" i="16"/>
  <c r="J26" i="16"/>
  <c r="I26" i="16"/>
  <c r="G26" i="16"/>
  <c r="N25" i="16"/>
  <c r="K25" i="16"/>
  <c r="J25" i="16"/>
  <c r="I25" i="16"/>
  <c r="G25" i="16"/>
  <c r="N24" i="16"/>
  <c r="L24" i="16"/>
  <c r="K24" i="16"/>
  <c r="J24" i="16"/>
  <c r="I24" i="16"/>
  <c r="G24" i="16"/>
  <c r="N23" i="16"/>
  <c r="L23" i="16"/>
  <c r="K23" i="16"/>
  <c r="J23" i="16"/>
  <c r="I23" i="16"/>
  <c r="G23" i="16"/>
  <c r="N22" i="16"/>
  <c r="L22" i="16"/>
  <c r="K22" i="16"/>
  <c r="J22" i="16"/>
  <c r="I22" i="16"/>
  <c r="G22" i="16"/>
  <c r="N21" i="16"/>
  <c r="L21" i="16"/>
  <c r="K21" i="16"/>
  <c r="J21" i="16"/>
  <c r="I21" i="16"/>
  <c r="G21" i="16"/>
  <c r="N20" i="16"/>
  <c r="L20" i="16"/>
  <c r="K20" i="16"/>
  <c r="J20" i="16"/>
  <c r="I20" i="16"/>
  <c r="G20" i="16"/>
  <c r="N19" i="16"/>
  <c r="L19" i="16"/>
  <c r="K19" i="16"/>
  <c r="J19" i="16"/>
  <c r="I19" i="16"/>
  <c r="G19" i="16"/>
  <c r="N18" i="16"/>
  <c r="L18" i="16"/>
  <c r="K18" i="16"/>
  <c r="J18" i="16"/>
  <c r="I18" i="16"/>
  <c r="G18" i="16"/>
  <c r="N17" i="16"/>
  <c r="L17" i="16"/>
  <c r="K17" i="16"/>
  <c r="J17" i="16"/>
  <c r="I17" i="16"/>
  <c r="G17" i="16"/>
  <c r="N16" i="16"/>
  <c r="L16" i="16"/>
  <c r="K16" i="16"/>
  <c r="I16" i="16"/>
  <c r="G16" i="16"/>
  <c r="N15" i="16"/>
  <c r="L15" i="16"/>
  <c r="K15" i="16"/>
  <c r="J15" i="16"/>
  <c r="I15" i="16"/>
  <c r="G15" i="16"/>
  <c r="N14" i="16"/>
  <c r="L14" i="16"/>
  <c r="K14" i="16"/>
  <c r="J14" i="16"/>
  <c r="I14" i="16"/>
  <c r="G14" i="16"/>
  <c r="N13" i="16"/>
  <c r="L13" i="16"/>
  <c r="K13" i="16"/>
  <c r="I13" i="16"/>
  <c r="G13" i="16"/>
  <c r="N12" i="16"/>
  <c r="L12" i="16"/>
  <c r="K12" i="16"/>
  <c r="J12" i="16"/>
  <c r="I12" i="16"/>
  <c r="G12" i="16"/>
  <c r="N11" i="16"/>
  <c r="L11" i="16"/>
  <c r="K11" i="16"/>
  <c r="J11" i="16"/>
  <c r="I11" i="16"/>
  <c r="G11" i="16"/>
  <c r="N10" i="16"/>
  <c r="L10" i="16"/>
  <c r="K10" i="16"/>
  <c r="J10" i="16"/>
  <c r="I10" i="16"/>
  <c r="G10" i="16"/>
  <c r="N9" i="16"/>
  <c r="L9" i="16"/>
  <c r="K9" i="16"/>
  <c r="J9" i="16"/>
  <c r="I9" i="16"/>
  <c r="G9" i="16"/>
  <c r="N8" i="16"/>
  <c r="L8" i="16"/>
  <c r="K8" i="16"/>
  <c r="J8" i="16"/>
  <c r="I8" i="16"/>
  <c r="G8" i="16"/>
  <c r="N7" i="16"/>
  <c r="L7" i="16"/>
  <c r="K7" i="16"/>
  <c r="J7" i="16"/>
  <c r="I7" i="16"/>
  <c r="G7" i="16"/>
  <c r="N6" i="16"/>
  <c r="L6" i="16"/>
  <c r="K6" i="16"/>
  <c r="J6" i="16"/>
  <c r="I6" i="16"/>
  <c r="G6" i="16"/>
  <c r="N5" i="16"/>
  <c r="L5" i="16"/>
  <c r="K5" i="16"/>
  <c r="J5" i="16"/>
  <c r="I5" i="16"/>
  <c r="G5" i="16"/>
  <c r="BH1115" i="18"/>
  <c r="CM1115" i="18"/>
  <c r="M774" i="16" l="1"/>
  <c r="O774" i="16" s="1"/>
  <c r="M1118" i="16"/>
  <c r="O1118" i="16" s="1"/>
  <c r="M1001" i="16"/>
  <c r="O1001" i="16" s="1"/>
  <c r="M1026" i="16"/>
  <c r="O1026" i="16" s="1"/>
  <c r="M716" i="16"/>
  <c r="O716" i="16" s="1"/>
  <c r="M773" i="16"/>
  <c r="O773" i="16" s="1"/>
  <c r="M763" i="16"/>
  <c r="O763" i="16" s="1"/>
  <c r="M664" i="16"/>
  <c r="O664" i="16" s="1"/>
  <c r="M772" i="16"/>
  <c r="O772" i="16" s="1"/>
  <c r="M787" i="16"/>
  <c r="O787" i="16" s="1"/>
  <c r="M809" i="16"/>
  <c r="O809" i="16" s="1"/>
  <c r="M984" i="16"/>
  <c r="O984" i="16" s="1"/>
  <c r="M1016" i="16"/>
  <c r="O1016" i="16" s="1"/>
  <c r="M1111" i="16"/>
  <c r="O1111" i="16" s="1"/>
  <c r="M583" i="16"/>
  <c r="O583" i="16" s="1"/>
  <c r="M565" i="16"/>
  <c r="O565" i="16" s="1"/>
  <c r="M618" i="16"/>
  <c r="O618" i="16" s="1"/>
  <c r="M681" i="16"/>
  <c r="O681" i="16" s="1"/>
  <c r="M912" i="16"/>
  <c r="O912" i="16" s="1"/>
  <c r="M788" i="16"/>
  <c r="O788" i="16" s="1"/>
  <c r="M914" i="16"/>
  <c r="O914" i="16" s="1"/>
  <c r="M938" i="16"/>
  <c r="O938" i="16" s="1"/>
  <c r="M605" i="16"/>
  <c r="O605" i="16" s="1"/>
  <c r="M847" i="16"/>
  <c r="O847" i="16" s="1"/>
  <c r="M684" i="16"/>
  <c r="O684" i="16" s="1"/>
  <c r="M979" i="16"/>
  <c r="O979" i="16" s="1"/>
  <c r="M987" i="16"/>
  <c r="O987" i="16" s="1"/>
  <c r="M726" i="16"/>
  <c r="O726" i="16" s="1"/>
  <c r="M910" i="16"/>
  <c r="O910" i="16" s="1"/>
  <c r="M918" i="16"/>
  <c r="O918" i="16" s="1"/>
  <c r="M1027" i="16"/>
  <c r="O1027" i="16" s="1"/>
  <c r="M567" i="16"/>
  <c r="O567" i="16" s="1"/>
  <c r="M611" i="16"/>
  <c r="O611" i="16" s="1"/>
  <c r="M669" i="16"/>
  <c r="O669" i="16" s="1"/>
  <c r="M677" i="16"/>
  <c r="O677" i="16" s="1"/>
  <c r="M814" i="16"/>
  <c r="O814" i="16" s="1"/>
  <c r="M830" i="16"/>
  <c r="O830" i="16" s="1"/>
  <c r="M751" i="16"/>
  <c r="O751" i="16" s="1"/>
  <c r="M759" i="16"/>
  <c r="O759" i="16" s="1"/>
  <c r="M797" i="16"/>
  <c r="O797" i="16" s="1"/>
  <c r="M805" i="16"/>
  <c r="O805" i="16" s="1"/>
  <c r="M821" i="16"/>
  <c r="O821" i="16" s="1"/>
  <c r="M829" i="16"/>
  <c r="O829" i="16" s="1"/>
  <c r="M937" i="16"/>
  <c r="O937" i="16" s="1"/>
  <c r="M1055" i="16"/>
  <c r="O1055" i="16" s="1"/>
  <c r="M1056" i="16"/>
  <c r="O1056" i="16" s="1"/>
  <c r="M1098" i="16"/>
  <c r="O1098" i="16" s="1"/>
  <c r="M994" i="16"/>
  <c r="O994" i="16" s="1"/>
  <c r="M750" i="16"/>
  <c r="O750" i="16" s="1"/>
  <c r="M919" i="16"/>
  <c r="O919" i="16" s="1"/>
  <c r="M944" i="16"/>
  <c r="O944" i="16" s="1"/>
  <c r="M953" i="16"/>
  <c r="O953" i="16" s="1"/>
  <c r="M656" i="16"/>
  <c r="O656" i="16" s="1"/>
  <c r="M705" i="16"/>
  <c r="O705" i="16" s="1"/>
  <c r="M721" i="16"/>
  <c r="O721" i="16" s="1"/>
  <c r="M748" i="16"/>
  <c r="O748" i="16" s="1"/>
  <c r="M756" i="16"/>
  <c r="O756" i="16" s="1"/>
  <c r="M793" i="16"/>
  <c r="O793" i="16" s="1"/>
  <c r="M817" i="16"/>
  <c r="O817" i="16" s="1"/>
  <c r="M884" i="16"/>
  <c r="O884" i="16" s="1"/>
  <c r="M893" i="16"/>
  <c r="O893" i="16" s="1"/>
  <c r="M933" i="16"/>
  <c r="O933" i="16" s="1"/>
  <c r="M569" i="16"/>
  <c r="O569" i="16" s="1"/>
  <c r="M663" i="16"/>
  <c r="O663" i="16" s="1"/>
  <c r="M775" i="16"/>
  <c r="O775" i="16" s="1"/>
  <c r="M792" i="16"/>
  <c r="O792" i="16" s="1"/>
  <c r="M799" i="16"/>
  <c r="O799" i="16" s="1"/>
  <c r="M833" i="16"/>
  <c r="O833" i="16" s="1"/>
  <c r="M966" i="16"/>
  <c r="O966" i="16" s="1"/>
  <c r="M983" i="16"/>
  <c r="O983" i="16" s="1"/>
  <c r="M579" i="16"/>
  <c r="O579" i="16" s="1"/>
  <c r="M580" i="16"/>
  <c r="O580" i="16" s="1"/>
  <c r="M589" i="16"/>
  <c r="O589" i="16" s="1"/>
  <c r="M606" i="16"/>
  <c r="O606" i="16" s="1"/>
  <c r="M682" i="16"/>
  <c r="O682" i="16" s="1"/>
  <c r="M700" i="16"/>
  <c r="O700" i="16" s="1"/>
  <c r="M727" i="16"/>
  <c r="O727" i="16" s="1"/>
  <c r="M753" i="16"/>
  <c r="O753" i="16" s="1"/>
  <c r="M782" i="16"/>
  <c r="O782" i="16" s="1"/>
  <c r="M800" i="16"/>
  <c r="O800" i="16" s="1"/>
  <c r="M889" i="16"/>
  <c r="O889" i="16" s="1"/>
  <c r="M958" i="16"/>
  <c r="O958" i="16" s="1"/>
  <c r="M967" i="16"/>
  <c r="O967" i="16" s="1"/>
  <c r="M975" i="16"/>
  <c r="O975" i="16" s="1"/>
  <c r="M976" i="16"/>
  <c r="O976" i="16" s="1"/>
  <c r="M985" i="16"/>
  <c r="O985" i="16" s="1"/>
  <c r="M993" i="16"/>
  <c r="O993" i="16" s="1"/>
  <c r="M1095" i="16"/>
  <c r="O1095" i="16" s="1"/>
  <c r="M588" i="16"/>
  <c r="O588" i="16" s="1"/>
  <c r="M596" i="16"/>
  <c r="O596" i="16" s="1"/>
  <c r="M613" i="16"/>
  <c r="O613" i="16" s="1"/>
  <c r="M622" i="16"/>
  <c r="O622" i="16" s="1"/>
  <c r="M816" i="16"/>
  <c r="O816" i="16" s="1"/>
  <c r="M880" i="16"/>
  <c r="O880" i="16" s="1"/>
  <c r="M888" i="16"/>
  <c r="O888" i="16" s="1"/>
  <c r="M905" i="16"/>
  <c r="O905" i="16" s="1"/>
  <c r="M939" i="16"/>
  <c r="O939" i="16" s="1"/>
  <c r="M1052" i="16"/>
  <c r="O1052" i="16" s="1"/>
  <c r="M1103" i="16"/>
  <c r="O1103" i="16" s="1"/>
  <c r="M1112" i="16"/>
  <c r="O1112" i="16" s="1"/>
  <c r="M560" i="16"/>
  <c r="O560" i="16" s="1"/>
  <c r="M576" i="16"/>
  <c r="O576" i="16" s="1"/>
  <c r="M629" i="16"/>
  <c r="O629" i="16" s="1"/>
  <c r="M679" i="16"/>
  <c r="O679" i="16" s="1"/>
  <c r="M680" i="16"/>
  <c r="O680" i="16" s="1"/>
  <c r="M706" i="16"/>
  <c r="O706" i="16" s="1"/>
  <c r="M715" i="16"/>
  <c r="O715" i="16" s="1"/>
  <c r="M724" i="16"/>
  <c r="O724" i="16" s="1"/>
  <c r="M789" i="16"/>
  <c r="O789" i="16" s="1"/>
  <c r="M798" i="16"/>
  <c r="O798" i="16" s="1"/>
  <c r="M806" i="16"/>
  <c r="O806" i="16" s="1"/>
  <c r="M823" i="16"/>
  <c r="O823" i="16" s="1"/>
  <c r="M824" i="16"/>
  <c r="O824" i="16" s="1"/>
  <c r="M863" i="16"/>
  <c r="O863" i="16" s="1"/>
  <c r="M871" i="16"/>
  <c r="O871" i="16" s="1"/>
  <c r="M886" i="16"/>
  <c r="O886" i="16" s="1"/>
  <c r="M929" i="16"/>
  <c r="O929" i="16" s="1"/>
  <c r="M946" i="16"/>
  <c r="O946" i="16" s="1"/>
  <c r="M964" i="16"/>
  <c r="O964" i="16" s="1"/>
  <c r="M1015" i="16"/>
  <c r="O1015" i="16" s="1"/>
  <c r="M1032" i="16"/>
  <c r="O1032" i="16" s="1"/>
  <c r="M1033" i="16"/>
  <c r="O1033" i="16" s="1"/>
  <c r="M1040" i="16"/>
  <c r="O1040" i="16" s="1"/>
  <c r="M1075" i="16"/>
  <c r="O1075" i="16" s="1"/>
  <c r="M1085" i="16"/>
  <c r="O1085" i="16" s="1"/>
  <c r="M609" i="16"/>
  <c r="O609" i="16" s="1"/>
  <c r="M685" i="16"/>
  <c r="O685" i="16" s="1"/>
  <c r="M694" i="16"/>
  <c r="O694" i="16" s="1"/>
  <c r="M703" i="16"/>
  <c r="O703" i="16" s="1"/>
  <c r="M704" i="16"/>
  <c r="O704" i="16" s="1"/>
  <c r="M757" i="16"/>
  <c r="O757" i="16" s="1"/>
  <c r="M796" i="16"/>
  <c r="O796" i="16" s="1"/>
  <c r="M803" i="16"/>
  <c r="O803" i="16" s="1"/>
  <c r="M877" i="16"/>
  <c r="O877" i="16" s="1"/>
  <c r="M885" i="16"/>
  <c r="O885" i="16" s="1"/>
  <c r="M894" i="16"/>
  <c r="O894" i="16" s="1"/>
  <c r="M911" i="16"/>
  <c r="O911" i="16" s="1"/>
  <c r="M961" i="16"/>
  <c r="O961" i="16" s="1"/>
  <c r="M980" i="16"/>
  <c r="O980" i="16" s="1"/>
  <c r="M989" i="16"/>
  <c r="O989" i="16" s="1"/>
  <c r="M996" i="16"/>
  <c r="O996" i="16" s="1"/>
  <c r="M1048" i="16"/>
  <c r="O1048" i="16" s="1"/>
  <c r="M1109" i="16"/>
  <c r="O1109" i="16" s="1"/>
  <c r="M1117" i="16"/>
  <c r="O1117" i="16" s="1"/>
  <c r="M564" i="16"/>
  <c r="O564" i="16" s="1"/>
  <c r="M608" i="16"/>
  <c r="O608" i="16" s="1"/>
  <c r="M615" i="16"/>
  <c r="O615" i="16" s="1"/>
  <c r="M625" i="16"/>
  <c r="O625" i="16" s="1"/>
  <c r="M651" i="16"/>
  <c r="O651" i="16" s="1"/>
  <c r="M660" i="16"/>
  <c r="O660" i="16" s="1"/>
  <c r="M683" i="16"/>
  <c r="O683" i="16" s="1"/>
  <c r="M710" i="16"/>
  <c r="O710" i="16" s="1"/>
  <c r="M737" i="16"/>
  <c r="O737" i="16" s="1"/>
  <c r="M776" i="16"/>
  <c r="O776" i="16" s="1"/>
  <c r="M784" i="16"/>
  <c r="O784" i="16" s="1"/>
  <c r="M811" i="16"/>
  <c r="O811" i="16" s="1"/>
  <c r="M874" i="16"/>
  <c r="O874" i="16" s="1"/>
  <c r="M875" i="16"/>
  <c r="O875" i="16" s="1"/>
  <c r="M882" i="16"/>
  <c r="O882" i="16" s="1"/>
  <c r="M890" i="16"/>
  <c r="O890" i="16" s="1"/>
  <c r="M943" i="16"/>
  <c r="O943" i="16" s="1"/>
  <c r="M968" i="16"/>
  <c r="O968" i="16" s="1"/>
  <c r="M986" i="16"/>
  <c r="O986" i="16" s="1"/>
  <c r="M1019" i="16"/>
  <c r="O1019" i="16" s="1"/>
  <c r="M1029" i="16"/>
  <c r="O1029" i="16" s="1"/>
  <c r="M1045" i="16"/>
  <c r="O1045" i="16" s="1"/>
  <c r="M1080" i="16"/>
  <c r="O1080" i="16" s="1"/>
  <c r="M1089" i="16"/>
  <c r="O1089" i="16" s="1"/>
  <c r="M1105" i="16"/>
  <c r="O1105" i="16" s="1"/>
  <c r="M513" i="16"/>
  <c r="O513" i="16" s="1"/>
  <c r="M517" i="16"/>
  <c r="O517" i="16" s="1"/>
  <c r="M574" i="16"/>
  <c r="O574" i="16" s="1"/>
  <c r="M719" i="16"/>
  <c r="O719" i="16" s="1"/>
  <c r="M743" i="16"/>
  <c r="O743" i="16" s="1"/>
  <c r="M791" i="16"/>
  <c r="O791" i="16" s="1"/>
  <c r="M867" i="16"/>
  <c r="O867" i="16" s="1"/>
  <c r="M1099" i="16"/>
  <c r="O1099" i="16" s="1"/>
  <c r="M559" i="16"/>
  <c r="O559" i="16" s="1"/>
  <c r="M563" i="16"/>
  <c r="O563" i="16" s="1"/>
  <c r="M568" i="16"/>
  <c r="O568" i="16" s="1"/>
  <c r="M573" i="16"/>
  <c r="O573" i="16" s="1"/>
  <c r="M591" i="16"/>
  <c r="O591" i="16" s="1"/>
  <c r="M628" i="16"/>
  <c r="O628" i="16" s="1"/>
  <c r="M637" i="16"/>
  <c r="O637" i="16" s="1"/>
  <c r="M646" i="16"/>
  <c r="O646" i="16" s="1"/>
  <c r="M650" i="16"/>
  <c r="O650" i="16" s="1"/>
  <c r="M659" i="16"/>
  <c r="O659" i="16" s="1"/>
  <c r="M668" i="16"/>
  <c r="O668" i="16" s="1"/>
  <c r="M676" i="16"/>
  <c r="O676" i="16" s="1"/>
  <c r="M690" i="16"/>
  <c r="O690" i="16" s="1"/>
  <c r="M708" i="16"/>
  <c r="O708" i="16" s="1"/>
  <c r="M836" i="16"/>
  <c r="O836" i="16" s="1"/>
  <c r="M840" i="16"/>
  <c r="O840" i="16" s="1"/>
  <c r="M866" i="16"/>
  <c r="O866" i="16" s="1"/>
  <c r="M870" i="16"/>
  <c r="O870" i="16" s="1"/>
  <c r="M883" i="16"/>
  <c r="O883" i="16" s="1"/>
  <c r="M887" i="16"/>
  <c r="O887" i="16" s="1"/>
  <c r="M926" i="16"/>
  <c r="O926" i="16" s="1"/>
  <c r="M930" i="16"/>
  <c r="O930" i="16" s="1"/>
  <c r="M974" i="16"/>
  <c r="O974" i="16" s="1"/>
  <c r="M992" i="16"/>
  <c r="O992" i="16" s="1"/>
  <c r="M998" i="16"/>
  <c r="O998" i="16" s="1"/>
  <c r="M1010" i="16"/>
  <c r="O1010" i="16" s="1"/>
  <c r="M1014" i="16"/>
  <c r="O1014" i="16" s="1"/>
  <c r="M1018" i="16"/>
  <c r="O1018" i="16" s="1"/>
  <c r="M1022" i="16"/>
  <c r="O1022" i="16" s="1"/>
  <c r="M1058" i="16"/>
  <c r="O1058" i="16" s="1"/>
  <c r="M1093" i="16"/>
  <c r="O1093" i="16" s="1"/>
  <c r="M557" i="16"/>
  <c r="O557" i="16" s="1"/>
  <c r="M561" i="16"/>
  <c r="O561" i="16" s="1"/>
  <c r="M575" i="16"/>
  <c r="O575" i="16" s="1"/>
  <c r="M598" i="16"/>
  <c r="O598" i="16" s="1"/>
  <c r="M602" i="16"/>
  <c r="O602" i="16" s="1"/>
  <c r="M607" i="16"/>
  <c r="O607" i="16" s="1"/>
  <c r="M627" i="16"/>
  <c r="O627" i="16" s="1"/>
  <c r="M641" i="16"/>
  <c r="O641" i="16" s="1"/>
  <c r="M662" i="16"/>
  <c r="O662" i="16" s="1"/>
  <c r="M689" i="16"/>
  <c r="O689" i="16" s="1"/>
  <c r="M693" i="16"/>
  <c r="O693" i="16" s="1"/>
  <c r="M697" i="16"/>
  <c r="O697" i="16" s="1"/>
  <c r="M702" i="16"/>
  <c r="O702" i="16" s="1"/>
  <c r="M720" i="16"/>
  <c r="O720" i="16" s="1"/>
  <c r="M749" i="16"/>
  <c r="O749" i="16" s="1"/>
  <c r="M767" i="16"/>
  <c r="O767" i="16" s="1"/>
  <c r="M801" i="16"/>
  <c r="O801" i="16" s="1"/>
  <c r="M813" i="16"/>
  <c r="O813" i="16" s="1"/>
  <c r="M822" i="16"/>
  <c r="O822" i="16" s="1"/>
  <c r="M826" i="16"/>
  <c r="O826" i="16" s="1"/>
  <c r="M835" i="16"/>
  <c r="O835" i="16" s="1"/>
  <c r="M843" i="16"/>
  <c r="O843" i="16" s="1"/>
  <c r="M848" i="16"/>
  <c r="O848" i="16" s="1"/>
  <c r="M852" i="16"/>
  <c r="O852" i="16" s="1"/>
  <c r="M857" i="16"/>
  <c r="O857" i="16" s="1"/>
  <c r="M865" i="16"/>
  <c r="O865" i="16" s="1"/>
  <c r="M947" i="16"/>
  <c r="O947" i="16" s="1"/>
  <c r="M951" i="16"/>
  <c r="O951" i="16" s="1"/>
  <c r="M956" i="16"/>
  <c r="O956" i="16" s="1"/>
  <c r="M1043" i="16"/>
  <c r="O1043" i="16" s="1"/>
  <c r="M1057" i="16"/>
  <c r="O1057" i="16" s="1"/>
  <c r="M955" i="16"/>
  <c r="O955" i="16" s="1"/>
  <c r="M965" i="16"/>
  <c r="O965" i="16" s="1"/>
  <c r="M991" i="16"/>
  <c r="O991" i="16" s="1"/>
  <c r="M1013" i="16"/>
  <c r="O1013" i="16" s="1"/>
  <c r="M1021" i="16"/>
  <c r="O1021" i="16" s="1"/>
  <c r="M1031" i="16"/>
  <c r="O1031" i="16" s="1"/>
  <c r="M1044" i="16"/>
  <c r="O1044" i="16" s="1"/>
  <c r="M1074" i="16"/>
  <c r="O1074" i="16" s="1"/>
  <c r="M1087" i="16"/>
  <c r="O1087" i="16" s="1"/>
  <c r="M1106" i="16"/>
  <c r="O1106" i="16" s="1"/>
  <c r="M582" i="16"/>
  <c r="O582" i="16" s="1"/>
  <c r="M590" i="16"/>
  <c r="O590" i="16" s="1"/>
  <c r="M599" i="16"/>
  <c r="O599" i="16" s="1"/>
  <c r="M603" i="16"/>
  <c r="O603" i="16" s="1"/>
  <c r="M604" i="16"/>
  <c r="O604" i="16" s="1"/>
  <c r="M614" i="16"/>
  <c r="O614" i="16" s="1"/>
  <c r="M616" i="16"/>
  <c r="O616" i="16" s="1"/>
  <c r="M626" i="16"/>
  <c r="O626" i="16" s="1"/>
  <c r="M644" i="16"/>
  <c r="O644" i="16" s="1"/>
  <c r="M647" i="16"/>
  <c r="O647" i="16" s="1"/>
  <c r="M652" i="16"/>
  <c r="O652" i="16" s="1"/>
  <c r="M678" i="16"/>
  <c r="O678" i="16" s="1"/>
  <c r="M696" i="16"/>
  <c r="O696" i="16" s="1"/>
  <c r="M707" i="16"/>
  <c r="O707" i="16" s="1"/>
  <c r="M711" i="16"/>
  <c r="O711" i="16" s="1"/>
  <c r="M712" i="16"/>
  <c r="O712" i="16" s="1"/>
  <c r="M713" i="16"/>
  <c r="O713" i="16" s="1"/>
  <c r="M717" i="16"/>
  <c r="O717" i="16" s="1"/>
  <c r="M732" i="16"/>
  <c r="O732" i="16" s="1"/>
  <c r="M746" i="16"/>
  <c r="O746" i="16" s="1"/>
  <c r="M755" i="16"/>
  <c r="O755" i="16" s="1"/>
  <c r="M760" i="16"/>
  <c r="O760" i="16" s="1"/>
  <c r="M761" i="16"/>
  <c r="O761" i="16" s="1"/>
  <c r="M765" i="16"/>
  <c r="O765" i="16" s="1"/>
  <c r="M777" i="16"/>
  <c r="O777" i="16" s="1"/>
  <c r="M804" i="16"/>
  <c r="O804" i="16" s="1"/>
  <c r="M807" i="16"/>
  <c r="O807" i="16" s="1"/>
  <c r="M819" i="16"/>
  <c r="O819" i="16" s="1"/>
  <c r="M854" i="16"/>
  <c r="O854" i="16" s="1"/>
  <c r="M860" i="16"/>
  <c r="O860" i="16" s="1"/>
  <c r="M868" i="16"/>
  <c r="O868" i="16" s="1"/>
  <c r="M898" i="16"/>
  <c r="O898" i="16" s="1"/>
  <c r="M899" i="16"/>
  <c r="O899" i="16" s="1"/>
  <c r="M902" i="16"/>
  <c r="O902" i="16" s="1"/>
  <c r="M903" i="16"/>
  <c r="O903" i="16" s="1"/>
  <c r="M907" i="16"/>
  <c r="O907" i="16" s="1"/>
  <c r="M921" i="16"/>
  <c r="O921" i="16" s="1"/>
  <c r="M925" i="16"/>
  <c r="O925" i="16" s="1"/>
  <c r="M940" i="16"/>
  <c r="O940" i="16" s="1"/>
  <c r="M948" i="16"/>
  <c r="O948" i="16" s="1"/>
  <c r="M952" i="16"/>
  <c r="O952" i="16" s="1"/>
  <c r="M963" i="16"/>
  <c r="O963" i="16" s="1"/>
  <c r="M972" i="16"/>
  <c r="O972" i="16" s="1"/>
  <c r="M977" i="16"/>
  <c r="O977" i="16" s="1"/>
  <c r="M999" i="16"/>
  <c r="O999" i="16" s="1"/>
  <c r="M1003" i="16"/>
  <c r="O1003" i="16" s="1"/>
  <c r="M1012" i="16"/>
  <c r="O1012" i="16" s="1"/>
  <c r="M1020" i="16"/>
  <c r="O1020" i="16" s="1"/>
  <c r="M1023" i="16"/>
  <c r="O1023" i="16" s="1"/>
  <c r="M1030" i="16"/>
  <c r="O1030" i="16" s="1"/>
  <c r="M1049" i="16"/>
  <c r="O1049" i="16" s="1"/>
  <c r="M1050" i="16"/>
  <c r="O1050" i="16" s="1"/>
  <c r="M1053" i="16"/>
  <c r="O1053" i="16" s="1"/>
  <c r="M1061" i="16"/>
  <c r="O1061" i="16" s="1"/>
  <c r="M1065" i="16"/>
  <c r="O1065" i="16" s="1"/>
  <c r="M1068" i="16"/>
  <c r="O1068" i="16" s="1"/>
  <c r="M1076" i="16"/>
  <c r="O1076" i="16" s="1"/>
  <c r="M1090" i="16"/>
  <c r="O1090" i="16" s="1"/>
  <c r="M1096" i="16"/>
  <c r="O1096" i="16" s="1"/>
  <c r="M1100" i="16"/>
  <c r="O1100" i="16" s="1"/>
  <c r="M1101" i="16"/>
  <c r="O1101" i="16" s="1"/>
  <c r="M1104" i="16"/>
  <c r="O1104" i="16" s="1"/>
  <c r="M1114" i="16"/>
  <c r="O1114" i="16" s="1"/>
  <c r="M526" i="16"/>
  <c r="O526" i="16" s="1"/>
  <c r="M530" i="16"/>
  <c r="O530" i="16" s="1"/>
  <c r="M534" i="16"/>
  <c r="O534" i="16" s="1"/>
  <c r="M458" i="16"/>
  <c r="O458" i="16" s="1"/>
  <c r="M345" i="16"/>
  <c r="O345" i="16" s="1"/>
  <c r="M370" i="16"/>
  <c r="O370" i="16" s="1"/>
  <c r="M380" i="16"/>
  <c r="O380" i="16" s="1"/>
  <c r="M549" i="16"/>
  <c r="O549" i="16" s="1"/>
  <c r="M535" i="16"/>
  <c r="O535" i="16" s="1"/>
  <c r="M479" i="16"/>
  <c r="O479" i="16" s="1"/>
  <c r="M483" i="16"/>
  <c r="O483" i="16" s="1"/>
  <c r="M484" i="16"/>
  <c r="O484" i="16" s="1"/>
  <c r="M485" i="16"/>
  <c r="O485" i="16" s="1"/>
  <c r="M489" i="16"/>
  <c r="O489" i="16" s="1"/>
  <c r="M498" i="16"/>
  <c r="O498" i="16" s="1"/>
  <c r="M503" i="16"/>
  <c r="O503" i="16" s="1"/>
  <c r="M385" i="16"/>
  <c r="O385" i="16" s="1"/>
  <c r="M394" i="16"/>
  <c r="O394" i="16" s="1"/>
  <c r="M465" i="16"/>
  <c r="O465" i="16" s="1"/>
  <c r="M474" i="16"/>
  <c r="O474" i="16" s="1"/>
  <c r="M492" i="16"/>
  <c r="O492" i="16" s="1"/>
  <c r="M512" i="16"/>
  <c r="O512" i="16" s="1"/>
  <c r="M520" i="16"/>
  <c r="O520" i="16" s="1"/>
  <c r="M533" i="16"/>
  <c r="O533" i="16" s="1"/>
  <c r="M536" i="16"/>
  <c r="O536" i="16" s="1"/>
  <c r="M323" i="16"/>
  <c r="O323" i="16" s="1"/>
  <c r="M438" i="16"/>
  <c r="O438" i="16" s="1"/>
  <c r="M153" i="16"/>
  <c r="O153" i="16" s="1"/>
  <c r="M407" i="16"/>
  <c r="O407" i="16" s="1"/>
  <c r="M411" i="16"/>
  <c r="O411" i="16" s="1"/>
  <c r="M417" i="16"/>
  <c r="O417" i="16" s="1"/>
  <c r="M502" i="16"/>
  <c r="O502" i="16" s="1"/>
  <c r="M88" i="16"/>
  <c r="O88" i="16" s="1"/>
  <c r="M188" i="16"/>
  <c r="O188" i="16" s="1"/>
  <c r="M259" i="16"/>
  <c r="O259" i="16" s="1"/>
  <c r="M335" i="16"/>
  <c r="O335" i="16" s="1"/>
  <c r="M343" i="16"/>
  <c r="O343" i="16" s="1"/>
  <c r="M372" i="16"/>
  <c r="O372" i="16" s="1"/>
  <c r="M399" i="16"/>
  <c r="O399" i="16" s="1"/>
  <c r="M409" i="16"/>
  <c r="O409" i="16" s="1"/>
  <c r="M424" i="16"/>
  <c r="O424" i="16" s="1"/>
  <c r="M455" i="16"/>
  <c r="O455" i="16" s="1"/>
  <c r="M464" i="16"/>
  <c r="O464" i="16" s="1"/>
  <c r="M491" i="16"/>
  <c r="O491" i="16" s="1"/>
  <c r="M518" i="16"/>
  <c r="O518" i="16" s="1"/>
  <c r="M537" i="16"/>
  <c r="O537" i="16" s="1"/>
  <c r="M550" i="16"/>
  <c r="O550" i="16" s="1"/>
  <c r="M553" i="16"/>
  <c r="O553" i="16" s="1"/>
  <c r="M236" i="16"/>
  <c r="O236" i="16" s="1"/>
  <c r="M355" i="16"/>
  <c r="O355" i="16" s="1"/>
  <c r="M363" i="16"/>
  <c r="O363" i="16" s="1"/>
  <c r="M426" i="16"/>
  <c r="O426" i="16" s="1"/>
  <c r="M445" i="16"/>
  <c r="O445" i="16" s="1"/>
  <c r="M453" i="16"/>
  <c r="O453" i="16" s="1"/>
  <c r="M462" i="16"/>
  <c r="O462" i="16" s="1"/>
  <c r="M470" i="16"/>
  <c r="O470" i="16" s="1"/>
  <c r="M475" i="16"/>
  <c r="O475" i="16" s="1"/>
  <c r="M507" i="16"/>
  <c r="O507" i="16" s="1"/>
  <c r="M555" i="16"/>
  <c r="O555" i="16" s="1"/>
  <c r="M192" i="16"/>
  <c r="O192" i="16" s="1"/>
  <c r="M264" i="16"/>
  <c r="O264" i="16" s="1"/>
  <c r="M379" i="16"/>
  <c r="O379" i="16" s="1"/>
  <c r="M384" i="16"/>
  <c r="O384" i="16" s="1"/>
  <c r="M104" i="16"/>
  <c r="O104" i="16" s="1"/>
  <c r="M117" i="16"/>
  <c r="O117" i="16" s="1"/>
  <c r="M154" i="16"/>
  <c r="O154" i="16" s="1"/>
  <c r="M232" i="16"/>
  <c r="O232" i="16" s="1"/>
  <c r="M268" i="16"/>
  <c r="O268" i="16" s="1"/>
  <c r="M387" i="16"/>
  <c r="O387" i="16" s="1"/>
  <c r="M392" i="16"/>
  <c r="O392" i="16" s="1"/>
  <c r="M406" i="16"/>
  <c r="O406" i="16" s="1"/>
  <c r="M420" i="16"/>
  <c r="O420" i="16" s="1"/>
  <c r="M434" i="16"/>
  <c r="O434" i="16" s="1"/>
  <c r="M449" i="16"/>
  <c r="O449" i="16" s="1"/>
  <c r="M463" i="16"/>
  <c r="O463" i="16" s="1"/>
  <c r="M467" i="16"/>
  <c r="O467" i="16" s="1"/>
  <c r="M487" i="16"/>
  <c r="O487" i="16" s="1"/>
  <c r="M511" i="16"/>
  <c r="O511" i="16" s="1"/>
  <c r="M515" i="16"/>
  <c r="O515" i="16" s="1"/>
  <c r="M519" i="16"/>
  <c r="O519" i="16" s="1"/>
  <c r="M528" i="16"/>
  <c r="O528" i="16" s="1"/>
  <c r="M224" i="16"/>
  <c r="O224" i="16" s="1"/>
  <c r="M332" i="16"/>
  <c r="O332" i="16" s="1"/>
  <c r="M353" i="16"/>
  <c r="O353" i="16" s="1"/>
  <c r="M373" i="16"/>
  <c r="O373" i="16" s="1"/>
  <c r="M388" i="16"/>
  <c r="O388" i="16" s="1"/>
  <c r="M421" i="16"/>
  <c r="O421" i="16" s="1"/>
  <c r="M134" i="16"/>
  <c r="O134" i="16" s="1"/>
  <c r="M165" i="16"/>
  <c r="O165" i="16" s="1"/>
  <c r="M178" i="16"/>
  <c r="O178" i="16" s="1"/>
  <c r="M273" i="16"/>
  <c r="O273" i="16" s="1"/>
  <c r="M290" i="16"/>
  <c r="O290" i="16" s="1"/>
  <c r="M9" i="16"/>
  <c r="O9" i="16" s="1"/>
  <c r="M115" i="16"/>
  <c r="O115" i="16" s="1"/>
  <c r="M123" i="16"/>
  <c r="O123" i="16" s="1"/>
  <c r="M139" i="16"/>
  <c r="O139" i="16" s="1"/>
  <c r="M152" i="16"/>
  <c r="O152" i="16" s="1"/>
  <c r="M258" i="16"/>
  <c r="O258" i="16" s="1"/>
  <c r="M262" i="16"/>
  <c r="O262" i="16" s="1"/>
  <c r="M295" i="16"/>
  <c r="O295" i="16" s="1"/>
  <c r="M315" i="16"/>
  <c r="O315" i="16" s="1"/>
  <c r="M328" i="16"/>
  <c r="O328" i="16" s="1"/>
  <c r="M333" i="16"/>
  <c r="O333" i="16" s="1"/>
  <c r="M337" i="16"/>
  <c r="O337" i="16" s="1"/>
  <c r="M341" i="16"/>
  <c r="O341" i="16" s="1"/>
  <c r="M342" i="16"/>
  <c r="O342" i="16" s="1"/>
  <c r="M350" i="16"/>
  <c r="O350" i="16" s="1"/>
  <c r="M362" i="16"/>
  <c r="O362" i="16" s="1"/>
  <c r="M371" i="16"/>
  <c r="O371" i="16" s="1"/>
  <c r="M377" i="16"/>
  <c r="O377" i="16" s="1"/>
  <c r="M419" i="16"/>
  <c r="O419" i="16" s="1"/>
  <c r="M422" i="16"/>
  <c r="O422" i="16" s="1"/>
  <c r="M440" i="16"/>
  <c r="O440" i="16" s="1"/>
  <c r="M448" i="16"/>
  <c r="O448" i="16" s="1"/>
  <c r="M451" i="16"/>
  <c r="O451" i="16" s="1"/>
  <c r="M452" i="16"/>
  <c r="O452" i="16" s="1"/>
  <c r="M456" i="16"/>
  <c r="O456" i="16" s="1"/>
  <c r="M469" i="16"/>
  <c r="O469" i="16" s="1"/>
  <c r="M494" i="16"/>
  <c r="O494" i="16" s="1"/>
  <c r="M495" i="16"/>
  <c r="O495" i="16" s="1"/>
  <c r="M514" i="16"/>
  <c r="O514" i="16" s="1"/>
  <c r="M522" i="16"/>
  <c r="O522" i="16" s="1"/>
  <c r="M523" i="16"/>
  <c r="O523" i="16" s="1"/>
  <c r="M531" i="16"/>
  <c r="O531" i="16" s="1"/>
  <c r="M539" i="16"/>
  <c r="O539" i="16" s="1"/>
  <c r="M552" i="16"/>
  <c r="O552" i="16" s="1"/>
  <c r="M442" i="16"/>
  <c r="O442" i="16" s="1"/>
  <c r="M446" i="16"/>
  <c r="O446" i="16" s="1"/>
  <c r="M454" i="16"/>
  <c r="O454" i="16" s="1"/>
  <c r="M478" i="16"/>
  <c r="O478" i="16" s="1"/>
  <c r="M546" i="16"/>
  <c r="O546" i="16" s="1"/>
  <c r="M185" i="16"/>
  <c r="O185" i="16" s="1"/>
  <c r="M16" i="16"/>
  <c r="O16" i="16" s="1"/>
  <c r="M81" i="16"/>
  <c r="O81" i="16" s="1"/>
  <c r="M93" i="16"/>
  <c r="O93" i="16" s="1"/>
  <c r="M105" i="16"/>
  <c r="O105" i="16" s="1"/>
  <c r="M131" i="16"/>
  <c r="O131" i="16" s="1"/>
  <c r="M137" i="16"/>
  <c r="O137" i="16" s="1"/>
  <c r="M155" i="16"/>
  <c r="O155" i="16" s="1"/>
  <c r="M161" i="16"/>
  <c r="O161" i="16" s="1"/>
  <c r="M176" i="16"/>
  <c r="O176" i="16" s="1"/>
  <c r="M184" i="16"/>
  <c r="O184" i="16" s="1"/>
  <c r="M193" i="16"/>
  <c r="O193" i="16" s="1"/>
  <c r="M196" i="16"/>
  <c r="O196" i="16" s="1"/>
  <c r="M216" i="16"/>
  <c r="O216" i="16" s="1"/>
  <c r="M229" i="16"/>
  <c r="O229" i="16" s="1"/>
  <c r="M235" i="16"/>
  <c r="O235" i="16" s="1"/>
  <c r="M242" i="16"/>
  <c r="O242" i="16" s="1"/>
  <c r="M248" i="16"/>
  <c r="O248" i="16" s="1"/>
  <c r="M256" i="16"/>
  <c r="O256" i="16" s="1"/>
  <c r="M257" i="16"/>
  <c r="O257" i="16" s="1"/>
  <c r="M265" i="16"/>
  <c r="O265" i="16" s="1"/>
  <c r="M284" i="16"/>
  <c r="O284" i="16" s="1"/>
  <c r="M288" i="16"/>
  <c r="O288" i="16" s="1"/>
  <c r="M112" i="16"/>
  <c r="O112" i="16" s="1"/>
  <c r="M35" i="16"/>
  <c r="O35" i="16" s="1"/>
  <c r="M41" i="16"/>
  <c r="O41" i="16" s="1"/>
  <c r="M51" i="16"/>
  <c r="O51" i="16" s="1"/>
  <c r="M65" i="16"/>
  <c r="O65" i="16" s="1"/>
  <c r="M91" i="16"/>
  <c r="O91" i="16" s="1"/>
  <c r="M293" i="16"/>
  <c r="O293" i="16" s="1"/>
  <c r="M297" i="16"/>
  <c r="O297" i="16" s="1"/>
  <c r="M300" i="16"/>
  <c r="O300" i="16" s="1"/>
  <c r="M301" i="16"/>
  <c r="O301" i="16" s="1"/>
  <c r="M324" i="16"/>
  <c r="O324" i="16" s="1"/>
  <c r="M285" i="16"/>
  <c r="O285" i="16" s="1"/>
  <c r="M172" i="16"/>
  <c r="O172" i="16" s="1"/>
  <c r="M173" i="16"/>
  <c r="O173" i="16" s="1"/>
  <c r="M197" i="16"/>
  <c r="O197" i="16" s="1"/>
  <c r="M205" i="16"/>
  <c r="O205" i="16" s="1"/>
  <c r="M226" i="16"/>
  <c r="O226" i="16" s="1"/>
  <c r="M240" i="16"/>
  <c r="O240" i="16" s="1"/>
  <c r="M249" i="16"/>
  <c r="O249" i="16" s="1"/>
  <c r="M263" i="16"/>
  <c r="O263" i="16" s="1"/>
  <c r="M267" i="16"/>
  <c r="O267" i="16" s="1"/>
  <c r="M278" i="16"/>
  <c r="O278" i="16" s="1"/>
  <c r="M282" i="16"/>
  <c r="O282" i="16" s="1"/>
  <c r="M287" i="16"/>
  <c r="O287" i="16" s="1"/>
  <c r="M291" i="16"/>
  <c r="O291" i="16" s="1"/>
  <c r="M307" i="16"/>
  <c r="O307" i="16" s="1"/>
  <c r="M311" i="16"/>
  <c r="O311" i="16" s="1"/>
  <c r="M331" i="16"/>
  <c r="O331" i="16" s="1"/>
  <c r="M391" i="16"/>
  <c r="O391" i="16" s="1"/>
  <c r="M403" i="16"/>
  <c r="O403" i="16" s="1"/>
  <c r="M405" i="16"/>
  <c r="O405" i="16" s="1"/>
  <c r="M415" i="16"/>
  <c r="O415" i="16" s="1"/>
  <c r="M354" i="16"/>
  <c r="O354" i="16" s="1"/>
  <c r="M85" i="16"/>
  <c r="O85" i="16" s="1"/>
  <c r="M96" i="16"/>
  <c r="O96" i="16" s="1"/>
  <c r="M101" i="16"/>
  <c r="O101" i="16" s="1"/>
  <c r="M106" i="16"/>
  <c r="O106" i="16" s="1"/>
  <c r="M120" i="16"/>
  <c r="O120" i="16" s="1"/>
  <c r="M144" i="16"/>
  <c r="O144" i="16" s="1"/>
  <c r="M42" i="16"/>
  <c r="O42" i="16" s="1"/>
  <c r="M56" i="16"/>
  <c r="O56" i="16" s="1"/>
  <c r="M80" i="16"/>
  <c r="O80" i="16" s="1"/>
  <c r="M109" i="16"/>
  <c r="O109" i="16" s="1"/>
  <c r="M128" i="16"/>
  <c r="O128" i="16" s="1"/>
  <c r="M132" i="16"/>
  <c r="O132" i="16" s="1"/>
  <c r="M156" i="16"/>
  <c r="O156" i="16" s="1"/>
  <c r="M49" i="16"/>
  <c r="O49" i="16" s="1"/>
  <c r="M64" i="16"/>
  <c r="O64" i="16" s="1"/>
  <c r="M89" i="16"/>
  <c r="O89" i="16" s="1"/>
  <c r="M90" i="16"/>
  <c r="O90" i="16" s="1"/>
  <c r="M94" i="16"/>
  <c r="O94" i="16" s="1"/>
  <c r="M97" i="16"/>
  <c r="O97" i="16" s="1"/>
  <c r="M107" i="16"/>
  <c r="O107" i="16" s="1"/>
  <c r="M113" i="16"/>
  <c r="O113" i="16" s="1"/>
  <c r="M121" i="16"/>
  <c r="O121" i="16" s="1"/>
  <c r="M122" i="16"/>
  <c r="O122" i="16" s="1"/>
  <c r="M127" i="16"/>
  <c r="O127" i="16" s="1"/>
  <c r="M135" i="16"/>
  <c r="O135" i="16" s="1"/>
  <c r="M136" i="16"/>
  <c r="O136" i="16" s="1"/>
  <c r="M145" i="16"/>
  <c r="O145" i="16" s="1"/>
  <c r="M151" i="16"/>
  <c r="O151" i="16" s="1"/>
  <c r="M160" i="16"/>
  <c r="O160" i="16" s="1"/>
  <c r="M170" i="16"/>
  <c r="O170" i="16" s="1"/>
  <c r="M208" i="16"/>
  <c r="O208" i="16" s="1"/>
  <c r="M209" i="16"/>
  <c r="O209" i="16" s="1"/>
  <c r="M212" i="16"/>
  <c r="O212" i="16" s="1"/>
  <c r="M218" i="16"/>
  <c r="O218" i="16" s="1"/>
  <c r="M228" i="16"/>
  <c r="O228" i="16" s="1"/>
  <c r="M234" i="16"/>
  <c r="O234" i="16" s="1"/>
  <c r="M250" i="16"/>
  <c r="O250" i="16" s="1"/>
  <c r="M260" i="16"/>
  <c r="O260" i="16" s="1"/>
  <c r="M266" i="16"/>
  <c r="O266" i="16" s="1"/>
  <c r="M271" i="16"/>
  <c r="O271" i="16" s="1"/>
  <c r="M272" i="16"/>
  <c r="O272" i="16" s="1"/>
  <c r="M296" i="16"/>
  <c r="O296" i="16" s="1"/>
  <c r="M308" i="16"/>
  <c r="O308" i="16" s="1"/>
  <c r="M309" i="16"/>
  <c r="O309" i="16" s="1"/>
  <c r="M346" i="16"/>
  <c r="O346" i="16" s="1"/>
  <c r="M351" i="16"/>
  <c r="O351" i="16" s="1"/>
  <c r="M357" i="16"/>
  <c r="O357" i="16" s="1"/>
  <c r="M361" i="16"/>
  <c r="O361" i="16" s="1"/>
  <c r="M364" i="16"/>
  <c r="O364" i="16" s="1"/>
  <c r="M368" i="16"/>
  <c r="O368" i="16" s="1"/>
  <c r="M381" i="16"/>
  <c r="O381" i="16" s="1"/>
  <c r="M393" i="16"/>
  <c r="O393" i="16" s="1"/>
  <c r="M410" i="16"/>
  <c r="O410" i="16" s="1"/>
  <c r="M17" i="16"/>
  <c r="O17" i="16" s="1"/>
  <c r="M32" i="16"/>
  <c r="O32" i="16" s="1"/>
  <c r="M48" i="16"/>
  <c r="O48" i="16" s="1"/>
  <c r="M215" i="16"/>
  <c r="O215" i="16" s="1"/>
  <c r="M450" i="16"/>
  <c r="O450" i="16" s="1"/>
  <c r="M116" i="16"/>
  <c r="O116" i="16" s="1"/>
  <c r="M149" i="16"/>
  <c r="O149" i="16" s="1"/>
  <c r="M202" i="16"/>
  <c r="O202" i="16" s="1"/>
  <c r="M102" i="16"/>
  <c r="O102" i="16" s="1"/>
  <c r="M110" i="16"/>
  <c r="O110" i="16" s="1"/>
  <c r="M143" i="16"/>
  <c r="O143" i="16" s="1"/>
  <c r="M163" i="16"/>
  <c r="O163" i="16" s="1"/>
  <c r="M233" i="16"/>
  <c r="O233" i="16" s="1"/>
  <c r="M237" i="16"/>
  <c r="O237" i="16" s="1"/>
  <c r="M275" i="16"/>
  <c r="O275" i="16" s="1"/>
  <c r="M723" i="16"/>
  <c r="O723" i="16" s="1"/>
  <c r="M125" i="16"/>
  <c r="O125" i="16" s="1"/>
  <c r="M466" i="16"/>
  <c r="O466" i="16" s="1"/>
  <c r="M594" i="16"/>
  <c r="O594" i="16" s="1"/>
  <c r="M243" i="16"/>
  <c r="O243" i="16" s="1"/>
  <c r="M340" i="16"/>
  <c r="O340" i="16" s="1"/>
  <c r="M349" i="16"/>
  <c r="O349" i="16" s="1"/>
  <c r="M376" i="16"/>
  <c r="O376" i="16" s="1"/>
  <c r="M783" i="16"/>
  <c r="O783" i="16" s="1"/>
  <c r="M87" i="16"/>
  <c r="O87" i="16" s="1"/>
  <c r="M276" i="16"/>
  <c r="O276" i="16" s="1"/>
  <c r="M280" i="16"/>
  <c r="O280" i="16" s="1"/>
  <c r="M322" i="16"/>
  <c r="O322" i="16" s="1"/>
  <c r="M418" i="16"/>
  <c r="O418" i="16" s="1"/>
  <c r="M78" i="16"/>
  <c r="O78" i="16" s="1"/>
  <c r="M82" i="16"/>
  <c r="O82" i="16" s="1"/>
  <c r="M140" i="16"/>
  <c r="O140" i="16" s="1"/>
  <c r="M168" i="16"/>
  <c r="O168" i="16" s="1"/>
  <c r="M299" i="16"/>
  <c r="O299" i="16" s="1"/>
  <c r="M443" i="16"/>
  <c r="O443" i="16" s="1"/>
  <c r="M206" i="16"/>
  <c r="O206" i="16" s="1"/>
  <c r="M306" i="16"/>
  <c r="O306" i="16" s="1"/>
  <c r="M665" i="16"/>
  <c r="O665" i="16" s="1"/>
  <c r="M27" i="16"/>
  <c r="O27" i="16" s="1"/>
  <c r="M38" i="16"/>
  <c r="O38" i="16" s="1"/>
  <c r="M57" i="16"/>
  <c r="O57" i="16" s="1"/>
  <c r="M130" i="16"/>
  <c r="O130" i="16" s="1"/>
  <c r="M298" i="16"/>
  <c r="O298" i="16" s="1"/>
  <c r="M540" i="16"/>
  <c r="O540" i="16" s="1"/>
  <c r="M897" i="16"/>
  <c r="O897" i="16" s="1"/>
  <c r="M771" i="16"/>
  <c r="O771" i="16" s="1"/>
  <c r="M220" i="16"/>
  <c r="O220" i="16" s="1"/>
  <c r="M186" i="16"/>
  <c r="O186" i="16" s="1"/>
  <c r="M92" i="16"/>
  <c r="O92" i="16" s="1"/>
  <c r="M129" i="16"/>
  <c r="O129" i="16" s="1"/>
  <c r="M158" i="16"/>
  <c r="O158" i="16" s="1"/>
  <c r="M289" i="16"/>
  <c r="O289" i="16" s="1"/>
  <c r="M459" i="16"/>
  <c r="O459" i="16" s="1"/>
  <c r="M904" i="16"/>
  <c r="O904" i="16" s="1"/>
  <c r="M851" i="16"/>
  <c r="O851" i="16" s="1"/>
  <c r="M124" i="16"/>
  <c r="O124" i="16" s="1"/>
  <c r="M157" i="16"/>
  <c r="O157" i="16" s="1"/>
  <c r="M162" i="16"/>
  <c r="O162" i="16" s="1"/>
  <c r="M200" i="16"/>
  <c r="O200" i="16" s="1"/>
  <c r="M348" i="16"/>
  <c r="O348" i="16" s="1"/>
  <c r="M396" i="16"/>
  <c r="O396" i="16" s="1"/>
  <c r="M400" i="16"/>
  <c r="O400" i="16" s="1"/>
  <c r="M413" i="16"/>
  <c r="O413" i="16" s="1"/>
  <c r="M482" i="16"/>
  <c r="O482" i="16" s="1"/>
  <c r="M524" i="16"/>
  <c r="O524" i="16" s="1"/>
  <c r="M545" i="16"/>
  <c r="O545" i="16" s="1"/>
  <c r="M640" i="16"/>
  <c r="O640" i="16" s="1"/>
  <c r="M744" i="16"/>
  <c r="O744" i="16" s="1"/>
  <c r="M850" i="16"/>
  <c r="O850" i="16" s="1"/>
  <c r="M896" i="16"/>
  <c r="O896" i="16" s="1"/>
  <c r="M928" i="16"/>
  <c r="O928" i="16" s="1"/>
  <c r="M1008" i="16"/>
  <c r="O1008" i="16" s="1"/>
  <c r="M18" i="16"/>
  <c r="O18" i="16" s="1"/>
  <c r="M25" i="16"/>
  <c r="O25" i="16" s="1"/>
  <c r="M72" i="16"/>
  <c r="O72" i="16" s="1"/>
  <c r="M77" i="16"/>
  <c r="O77" i="16" s="1"/>
  <c r="M99" i="16"/>
  <c r="O99" i="16" s="1"/>
  <c r="M100" i="16"/>
  <c r="O100" i="16" s="1"/>
  <c r="M114" i="16"/>
  <c r="O114" i="16" s="1"/>
  <c r="M133" i="16"/>
  <c r="O133" i="16" s="1"/>
  <c r="M138" i="16"/>
  <c r="O138" i="16" s="1"/>
  <c r="M180" i="16"/>
  <c r="O180" i="16" s="1"/>
  <c r="M195" i="16"/>
  <c r="O195" i="16" s="1"/>
  <c r="M204" i="16"/>
  <c r="O204" i="16" s="1"/>
  <c r="M231" i="16"/>
  <c r="O231" i="16" s="1"/>
  <c r="M241" i="16"/>
  <c r="O241" i="16" s="1"/>
  <c r="M283" i="16"/>
  <c r="O283" i="16" s="1"/>
  <c r="M305" i="16"/>
  <c r="O305" i="16" s="1"/>
  <c r="M313" i="16"/>
  <c r="O313" i="16" s="1"/>
  <c r="M317" i="16"/>
  <c r="O317" i="16" s="1"/>
  <c r="M386" i="16"/>
  <c r="O386" i="16" s="1"/>
  <c r="M395" i="16"/>
  <c r="O395" i="16" s="1"/>
  <c r="M431" i="16"/>
  <c r="O431" i="16" s="1"/>
  <c r="M593" i="16"/>
  <c r="O593" i="16" s="1"/>
  <c r="M632" i="16"/>
  <c r="O632" i="16" s="1"/>
  <c r="M636" i="16"/>
  <c r="O636" i="16" s="1"/>
  <c r="M648" i="16"/>
  <c r="O648" i="16" s="1"/>
  <c r="M655" i="16"/>
  <c r="O655" i="16" s="1"/>
  <c r="M825" i="16"/>
  <c r="O825" i="16" s="1"/>
  <c r="M1077" i="16"/>
  <c r="O1077" i="16" s="1"/>
  <c r="M1091" i="16"/>
  <c r="O1091" i="16" s="1"/>
  <c r="M86" i="16"/>
  <c r="O86" i="16" s="1"/>
  <c r="M119" i="16"/>
  <c r="O119" i="16" s="1"/>
  <c r="M148" i="16"/>
  <c r="O148" i="16" s="1"/>
  <c r="M171" i="16"/>
  <c r="O171" i="16" s="1"/>
  <c r="M181" i="16"/>
  <c r="O181" i="16" s="1"/>
  <c r="M321" i="16"/>
  <c r="O321" i="16" s="1"/>
  <c r="M330" i="16"/>
  <c r="O330" i="16" s="1"/>
  <c r="M375" i="16"/>
  <c r="O375" i="16" s="1"/>
  <c r="M436" i="16"/>
  <c r="O436" i="16" s="1"/>
  <c r="M490" i="16"/>
  <c r="O490" i="16" s="1"/>
  <c r="M508" i="16"/>
  <c r="O508" i="16" s="1"/>
  <c r="M532" i="16"/>
  <c r="O532" i="16" s="1"/>
  <c r="M691" i="16"/>
  <c r="O691" i="16" s="1"/>
  <c r="M741" i="16"/>
  <c r="O741" i="16" s="1"/>
  <c r="M37" i="16"/>
  <c r="O37" i="16" s="1"/>
  <c r="M40" i="16"/>
  <c r="O40" i="16" s="1"/>
  <c r="M52" i="16"/>
  <c r="O52" i="16" s="1"/>
  <c r="M118" i="16"/>
  <c r="O118" i="16" s="1"/>
  <c r="M183" i="16"/>
  <c r="O183" i="16" s="1"/>
  <c r="M213" i="16"/>
  <c r="O213" i="16" s="1"/>
  <c r="M217" i="16"/>
  <c r="O217" i="16" s="1"/>
  <c r="M481" i="16"/>
  <c r="O481" i="16" s="1"/>
  <c r="M497" i="16"/>
  <c r="O497" i="16" s="1"/>
  <c r="M527" i="16"/>
  <c r="O527" i="16" s="1"/>
  <c r="M581" i="16"/>
  <c r="O581" i="16" s="1"/>
  <c r="M585" i="16"/>
  <c r="O585" i="16" s="1"/>
  <c r="M736" i="16"/>
  <c r="O736" i="16" s="1"/>
  <c r="M1070" i="16"/>
  <c r="O1070" i="16" s="1"/>
  <c r="M28" i="16"/>
  <c r="O28" i="16" s="1"/>
  <c r="M146" i="16"/>
  <c r="O146" i="16" s="1"/>
  <c r="M203" i="16"/>
  <c r="O203" i="16" s="1"/>
  <c r="M245" i="16"/>
  <c r="O245" i="16" s="1"/>
  <c r="M253" i="16"/>
  <c r="O253" i="16" s="1"/>
  <c r="M312" i="16"/>
  <c r="O312" i="16" s="1"/>
  <c r="M316" i="16"/>
  <c r="O316" i="16" s="1"/>
  <c r="M416" i="16"/>
  <c r="O416" i="16" s="1"/>
  <c r="M430" i="16"/>
  <c r="O430" i="16" s="1"/>
  <c r="M477" i="16"/>
  <c r="O477" i="16" s="1"/>
  <c r="M541" i="16"/>
  <c r="O541" i="16" s="1"/>
  <c r="M544" i="16"/>
  <c r="O544" i="16" s="1"/>
  <c r="M556" i="16"/>
  <c r="O556" i="16" s="1"/>
  <c r="M577" i="16"/>
  <c r="O577" i="16" s="1"/>
  <c r="M631" i="16"/>
  <c r="O631" i="16" s="1"/>
  <c r="M762" i="16"/>
  <c r="O762" i="16" s="1"/>
  <c r="M177" i="16"/>
  <c r="O177" i="16" s="1"/>
  <c r="M191" i="16"/>
  <c r="O191" i="16" s="1"/>
  <c r="M201" i="16"/>
  <c r="O201" i="16" s="1"/>
  <c r="M223" i="16"/>
  <c r="O223" i="16" s="1"/>
  <c r="M261" i="16"/>
  <c r="O261" i="16" s="1"/>
  <c r="M326" i="16"/>
  <c r="O326" i="16" s="1"/>
  <c r="M339" i="16"/>
  <c r="O339" i="16" s="1"/>
  <c r="M620" i="16"/>
  <c r="O620" i="16" s="1"/>
  <c r="M672" i="16"/>
  <c r="O672" i="16" s="1"/>
  <c r="M699" i="16"/>
  <c r="O699" i="16" s="1"/>
  <c r="M936" i="16"/>
  <c r="O936" i="16" s="1"/>
  <c r="M954" i="16"/>
  <c r="O954" i="16" s="1"/>
  <c r="M969" i="16"/>
  <c r="O969" i="16" s="1"/>
  <c r="M1036" i="16"/>
  <c r="O1036" i="16" s="1"/>
  <c r="M1039" i="16"/>
  <c r="O1039" i="16" s="1"/>
  <c r="M103" i="16"/>
  <c r="O103" i="16" s="1"/>
  <c r="M230" i="16"/>
  <c r="O230" i="16" s="1"/>
  <c r="M320" i="16"/>
  <c r="O320" i="16" s="1"/>
  <c r="M356" i="16"/>
  <c r="O356" i="16" s="1"/>
  <c r="M360" i="16"/>
  <c r="O360" i="16" s="1"/>
  <c r="M412" i="16"/>
  <c r="O412" i="16" s="1"/>
  <c r="M493" i="16"/>
  <c r="O493" i="16" s="1"/>
  <c r="M924" i="16"/>
  <c r="O924" i="16" s="1"/>
  <c r="M1073" i="16"/>
  <c r="O1073" i="16" s="1"/>
  <c r="M24" i="16"/>
  <c r="O24" i="16" s="1"/>
  <c r="M39" i="16"/>
  <c r="O39" i="16" s="1"/>
  <c r="M59" i="16"/>
  <c r="O59" i="16" s="1"/>
  <c r="M75" i="16"/>
  <c r="O75" i="16" s="1"/>
  <c r="M83" i="16"/>
  <c r="O83" i="16" s="1"/>
  <c r="M84" i="16"/>
  <c r="O84" i="16" s="1"/>
  <c r="M98" i="16"/>
  <c r="O98" i="16" s="1"/>
  <c r="M108" i="16"/>
  <c r="O108" i="16" s="1"/>
  <c r="M126" i="16"/>
  <c r="O126" i="16" s="1"/>
  <c r="M141" i="16"/>
  <c r="O141" i="16" s="1"/>
  <c r="M150" i="16"/>
  <c r="O150" i="16" s="1"/>
  <c r="M159" i="16"/>
  <c r="O159" i="16" s="1"/>
  <c r="M164" i="16"/>
  <c r="O164" i="16" s="1"/>
  <c r="M169" i="16"/>
  <c r="O169" i="16" s="1"/>
  <c r="M174" i="16"/>
  <c r="O174" i="16" s="1"/>
  <c r="M189" i="16"/>
  <c r="O189" i="16" s="1"/>
  <c r="M194" i="16"/>
  <c r="O194" i="16" s="1"/>
  <c r="M221" i="16"/>
  <c r="O221" i="16" s="1"/>
  <c r="M225" i="16"/>
  <c r="O225" i="16" s="1"/>
  <c r="M252" i="16"/>
  <c r="O252" i="16" s="1"/>
  <c r="M277" i="16"/>
  <c r="O277" i="16" s="1"/>
  <c r="M286" i="16"/>
  <c r="O286" i="16" s="1"/>
  <c r="M304" i="16"/>
  <c r="O304" i="16" s="1"/>
  <c r="M359" i="16"/>
  <c r="O359" i="16" s="1"/>
  <c r="M447" i="16"/>
  <c r="O447" i="16" s="1"/>
  <c r="M472" i="16"/>
  <c r="O472" i="16" s="1"/>
  <c r="M488" i="16"/>
  <c r="O488" i="16" s="1"/>
  <c r="M506" i="16"/>
  <c r="O506" i="16" s="1"/>
  <c r="M908" i="16"/>
  <c r="O908" i="16" s="1"/>
  <c r="M916" i="16"/>
  <c r="O916" i="16" s="1"/>
  <c r="M988" i="16"/>
  <c r="O988" i="16" s="1"/>
  <c r="M735" i="16"/>
  <c r="O735" i="16" s="1"/>
  <c r="M855" i="16"/>
  <c r="O855" i="16" s="1"/>
  <c r="M873" i="16"/>
  <c r="O873" i="16" s="1"/>
  <c r="M1054" i="16"/>
  <c r="O1054" i="16" s="1"/>
  <c r="M1066" i="16"/>
  <c r="O1066" i="16" s="1"/>
  <c r="M274" i="16"/>
  <c r="O274" i="16" s="1"/>
  <c r="M369" i="16"/>
  <c r="O369" i="16" s="1"/>
  <c r="M435" i="16"/>
  <c r="O435" i="16" s="1"/>
  <c r="M457" i="16"/>
  <c r="O457" i="16" s="1"/>
  <c r="M471" i="16"/>
  <c r="O471" i="16" s="1"/>
  <c r="M496" i="16"/>
  <c r="O496" i="16" s="1"/>
  <c r="M501" i="16"/>
  <c r="O501" i="16" s="1"/>
  <c r="M542" i="16"/>
  <c r="O542" i="16" s="1"/>
  <c r="M639" i="16"/>
  <c r="O639" i="16" s="1"/>
  <c r="M643" i="16"/>
  <c r="O643" i="16" s="1"/>
  <c r="M667" i="16"/>
  <c r="O667" i="16" s="1"/>
  <c r="M671" i="16"/>
  <c r="O671" i="16" s="1"/>
  <c r="M8" i="16"/>
  <c r="O8" i="16" s="1"/>
  <c r="M11" i="16"/>
  <c r="O11" i="16" s="1"/>
  <c r="M19" i="16"/>
  <c r="O19" i="16" s="1"/>
  <c r="M63" i="16"/>
  <c r="O63" i="16" s="1"/>
  <c r="M95" i="16"/>
  <c r="O95" i="16" s="1"/>
  <c r="M111" i="16"/>
  <c r="O111" i="16" s="1"/>
  <c r="M142" i="16"/>
  <c r="O142" i="16" s="1"/>
  <c r="M147" i="16"/>
  <c r="O147" i="16" s="1"/>
  <c r="M210" i="16"/>
  <c r="O210" i="16" s="1"/>
  <c r="M303" i="16"/>
  <c r="O303" i="16" s="1"/>
  <c r="M365" i="16"/>
  <c r="O365" i="16" s="1"/>
  <c r="M390" i="16"/>
  <c r="O390" i="16" s="1"/>
  <c r="M404" i="16"/>
  <c r="O404" i="16" s="1"/>
  <c r="M429" i="16"/>
  <c r="O429" i="16" s="1"/>
  <c r="M461" i="16"/>
  <c r="O461" i="16" s="1"/>
  <c r="M538" i="16"/>
  <c r="O538" i="16" s="1"/>
  <c r="M572" i="16"/>
  <c r="O572" i="16" s="1"/>
  <c r="M600" i="16"/>
  <c r="O600" i="16" s="1"/>
  <c r="M612" i="16"/>
  <c r="O612" i="16" s="1"/>
  <c r="M621" i="16"/>
  <c r="O621" i="16" s="1"/>
  <c r="M635" i="16"/>
  <c r="O635" i="16" s="1"/>
  <c r="M654" i="16"/>
  <c r="O654" i="16" s="1"/>
  <c r="M945" i="16"/>
  <c r="O945" i="16" s="1"/>
  <c r="M1009" i="16"/>
  <c r="O1009" i="16" s="1"/>
  <c r="M327" i="16"/>
  <c r="O327" i="16" s="1"/>
  <c r="M336" i="16"/>
  <c r="O336" i="16" s="1"/>
  <c r="M347" i="16"/>
  <c r="O347" i="16" s="1"/>
  <c r="M352" i="16"/>
  <c r="O352" i="16" s="1"/>
  <c r="M367" i="16"/>
  <c r="O367" i="16" s="1"/>
  <c r="M389" i="16"/>
  <c r="O389" i="16" s="1"/>
  <c r="M423" i="16"/>
  <c r="O423" i="16" s="1"/>
  <c r="M428" i="16"/>
  <c r="O428" i="16" s="1"/>
  <c r="M486" i="16"/>
  <c r="O486" i="16" s="1"/>
  <c r="M499" i="16"/>
  <c r="O499" i="16" s="1"/>
  <c r="M504" i="16"/>
  <c r="O504" i="16" s="1"/>
  <c r="M571" i="16"/>
  <c r="O571" i="16" s="1"/>
  <c r="M653" i="16"/>
  <c r="O653" i="16" s="1"/>
  <c r="M745" i="16"/>
  <c r="O745" i="16" s="1"/>
  <c r="M314" i="16"/>
  <c r="O314" i="16" s="1"/>
  <c r="M319" i="16"/>
  <c r="O319" i="16" s="1"/>
  <c r="M334" i="16"/>
  <c r="O334" i="16" s="1"/>
  <c r="M378" i="16"/>
  <c r="O378" i="16" s="1"/>
  <c r="M383" i="16"/>
  <c r="O383" i="16" s="1"/>
  <c r="M398" i="16"/>
  <c r="O398" i="16" s="1"/>
  <c r="M460" i="16"/>
  <c r="O460" i="16" s="1"/>
  <c r="M480" i="16"/>
  <c r="O480" i="16" s="1"/>
  <c r="M510" i="16"/>
  <c r="O510" i="16" s="1"/>
  <c r="M516" i="16"/>
  <c r="O516" i="16" s="1"/>
  <c r="M521" i="16"/>
  <c r="O521" i="16" s="1"/>
  <c r="M529" i="16"/>
  <c r="O529" i="16" s="1"/>
  <c r="M547" i="16"/>
  <c r="O547" i="16" s="1"/>
  <c r="M558" i="16"/>
  <c r="O558" i="16" s="1"/>
  <c r="M630" i="16"/>
  <c r="O630" i="16" s="1"/>
  <c r="M675" i="16"/>
  <c r="O675" i="16" s="1"/>
  <c r="M718" i="16"/>
  <c r="O718" i="16" s="1"/>
  <c r="M786" i="16"/>
  <c r="O786" i="16" s="1"/>
  <c r="M845" i="16"/>
  <c r="O845" i="16" s="1"/>
  <c r="M869" i="16"/>
  <c r="O869" i="16" s="1"/>
  <c r="M881" i="16"/>
  <c r="O881" i="16" s="1"/>
  <c r="M900" i="16"/>
  <c r="O900" i="16" s="1"/>
  <c r="M1046" i="16"/>
  <c r="O1046" i="16" s="1"/>
  <c r="M1115" i="16"/>
  <c r="O1115" i="16" s="1"/>
  <c r="M244" i="16"/>
  <c r="O244" i="16" s="1"/>
  <c r="M269" i="16"/>
  <c r="O269" i="16" s="1"/>
  <c r="M279" i="16"/>
  <c r="O279" i="16" s="1"/>
  <c r="M344" i="16"/>
  <c r="O344" i="16" s="1"/>
  <c r="M408" i="16"/>
  <c r="O408" i="16" s="1"/>
  <c r="M432" i="16"/>
  <c r="O432" i="16" s="1"/>
  <c r="M439" i="16"/>
  <c r="O439" i="16" s="1"/>
  <c r="M505" i="16"/>
  <c r="O505" i="16" s="1"/>
  <c r="M525" i="16"/>
  <c r="O525" i="16" s="1"/>
  <c r="M592" i="16"/>
  <c r="O592" i="16" s="1"/>
  <c r="M624" i="16"/>
  <c r="O624" i="16" s="1"/>
  <c r="M642" i="16"/>
  <c r="O642" i="16" s="1"/>
  <c r="M666" i="16"/>
  <c r="O666" i="16" s="1"/>
  <c r="M688" i="16"/>
  <c r="O688" i="16" s="1"/>
  <c r="M692" i="16"/>
  <c r="O692" i="16" s="1"/>
  <c r="M739" i="16"/>
  <c r="O739" i="16" s="1"/>
  <c r="M810" i="16"/>
  <c r="O810" i="16" s="1"/>
  <c r="M827" i="16"/>
  <c r="O827" i="16" s="1"/>
  <c r="M856" i="16"/>
  <c r="O856" i="16" s="1"/>
  <c r="M1064" i="16"/>
  <c r="O1064" i="16" s="1"/>
  <c r="M397" i="16"/>
  <c r="O397" i="16" s="1"/>
  <c r="M401" i="16"/>
  <c r="O401" i="16" s="1"/>
  <c r="M402" i="16"/>
  <c r="O402" i="16" s="1"/>
  <c r="M414" i="16"/>
  <c r="O414" i="16" s="1"/>
  <c r="M427" i="16"/>
  <c r="O427" i="16" s="1"/>
  <c r="M437" i="16"/>
  <c r="O437" i="16" s="1"/>
  <c r="M473" i="16"/>
  <c r="O473" i="16" s="1"/>
  <c r="M509" i="16"/>
  <c r="O509" i="16" s="1"/>
  <c r="M562" i="16"/>
  <c r="O562" i="16" s="1"/>
  <c r="M619" i="16"/>
  <c r="O619" i="16" s="1"/>
  <c r="M623" i="16"/>
  <c r="O623" i="16" s="1"/>
  <c r="M657" i="16"/>
  <c r="O657" i="16" s="1"/>
  <c r="M674" i="16"/>
  <c r="O674" i="16" s="1"/>
  <c r="M687" i="16"/>
  <c r="O687" i="16" s="1"/>
  <c r="M764" i="16"/>
  <c r="O764" i="16" s="1"/>
  <c r="M781" i="16"/>
  <c r="O781" i="16" s="1"/>
  <c r="M832" i="16"/>
  <c r="O832" i="16" s="1"/>
  <c r="M864" i="16"/>
  <c r="O864" i="16" s="1"/>
  <c r="M982" i="16"/>
  <c r="O982" i="16" s="1"/>
  <c r="M1110" i="16"/>
  <c r="O1110" i="16" s="1"/>
  <c r="M768" i="16"/>
  <c r="O768" i="16" s="1"/>
  <c r="M942" i="16"/>
  <c r="O942" i="16" s="1"/>
  <c r="M962" i="16"/>
  <c r="O962" i="16" s="1"/>
  <c r="M1002" i="16"/>
  <c r="O1002" i="16" s="1"/>
  <c r="M1060" i="16"/>
  <c r="O1060" i="16" s="1"/>
  <c r="M1088" i="16"/>
  <c r="O1088" i="16" s="1"/>
  <c r="M1092" i="16"/>
  <c r="O1092" i="16" s="1"/>
  <c r="M1097" i="16"/>
  <c r="O1097" i="16" s="1"/>
  <c r="M587" i="16"/>
  <c r="O587" i="16" s="1"/>
  <c r="M597" i="16"/>
  <c r="O597" i="16" s="1"/>
  <c r="M601" i="16"/>
  <c r="O601" i="16" s="1"/>
  <c r="M638" i="16"/>
  <c r="O638" i="16" s="1"/>
  <c r="M670" i="16"/>
  <c r="O670" i="16" s="1"/>
  <c r="M728" i="16"/>
  <c r="O728" i="16" s="1"/>
  <c r="M731" i="16"/>
  <c r="O731" i="16" s="1"/>
  <c r="M740" i="16"/>
  <c r="O740" i="16" s="1"/>
  <c r="M758" i="16"/>
  <c r="O758" i="16" s="1"/>
  <c r="M828" i="16"/>
  <c r="O828" i="16" s="1"/>
  <c r="M838" i="16"/>
  <c r="O838" i="16" s="1"/>
  <c r="M846" i="16"/>
  <c r="O846" i="16" s="1"/>
  <c r="M927" i="16"/>
  <c r="O927" i="16" s="1"/>
  <c r="M802" i="16"/>
  <c r="O802" i="16" s="1"/>
  <c r="M841" i="16"/>
  <c r="O841" i="16" s="1"/>
  <c r="M990" i="16"/>
  <c r="O990" i="16" s="1"/>
  <c r="M1069" i="16"/>
  <c r="O1069" i="16" s="1"/>
  <c r="M1072" i="16"/>
  <c r="O1072" i="16" s="1"/>
  <c r="M595" i="16"/>
  <c r="O595" i="16" s="1"/>
  <c r="M633" i="16"/>
  <c r="O633" i="16" s="1"/>
  <c r="M695" i="16"/>
  <c r="O695" i="16" s="1"/>
  <c r="M709" i="16"/>
  <c r="O709" i="16" s="1"/>
  <c r="M730" i="16"/>
  <c r="O730" i="16" s="1"/>
  <c r="M820" i="16"/>
  <c r="O820" i="16" s="1"/>
  <c r="M837" i="16"/>
  <c r="O837" i="16" s="1"/>
  <c r="M892" i="16"/>
  <c r="O892" i="16" s="1"/>
  <c r="M922" i="16"/>
  <c r="O922" i="16" s="1"/>
  <c r="M934" i="16"/>
  <c r="O934" i="16" s="1"/>
  <c r="M959" i="16"/>
  <c r="O959" i="16" s="1"/>
  <c r="M978" i="16"/>
  <c r="O978" i="16" s="1"/>
  <c r="M1116" i="16"/>
  <c r="O1116" i="16" s="1"/>
  <c r="M729" i="16"/>
  <c r="O729" i="16" s="1"/>
  <c r="M733" i="16"/>
  <c r="O733" i="16" s="1"/>
  <c r="M738" i="16"/>
  <c r="O738" i="16" s="1"/>
  <c r="M742" i="16"/>
  <c r="O742" i="16" s="1"/>
  <c r="M752" i="16"/>
  <c r="O752" i="16" s="1"/>
  <c r="M831" i="16"/>
  <c r="O831" i="16" s="1"/>
  <c r="M844" i="16"/>
  <c r="O844" i="16" s="1"/>
  <c r="M923" i="16"/>
  <c r="O923" i="16" s="1"/>
  <c r="M932" i="16"/>
  <c r="O932" i="16" s="1"/>
  <c r="M941" i="16"/>
  <c r="O941" i="16" s="1"/>
  <c r="M1007" i="16"/>
  <c r="O1007" i="16" s="1"/>
  <c r="M1025" i="16"/>
  <c r="O1025" i="16" s="1"/>
  <c r="M1082" i="16"/>
  <c r="O1082" i="16" s="1"/>
  <c r="M673" i="16"/>
  <c r="O673" i="16" s="1"/>
  <c r="M769" i="16"/>
  <c r="O769" i="16" s="1"/>
  <c r="M780" i="16"/>
  <c r="O780" i="16" s="1"/>
  <c r="M794" i="16"/>
  <c r="O794" i="16" s="1"/>
  <c r="M812" i="16"/>
  <c r="O812" i="16" s="1"/>
  <c r="M839" i="16"/>
  <c r="O839" i="16" s="1"/>
  <c r="M858" i="16"/>
  <c r="O858" i="16" s="1"/>
  <c r="M878" i="16"/>
  <c r="O878" i="16" s="1"/>
  <c r="M906" i="16"/>
  <c r="O906" i="16" s="1"/>
  <c r="M935" i="16"/>
  <c r="O935" i="16" s="1"/>
  <c r="M950" i="16"/>
  <c r="O950" i="16" s="1"/>
  <c r="M1034" i="16"/>
  <c r="O1034" i="16" s="1"/>
  <c r="M1037" i="16"/>
  <c r="O1037" i="16" s="1"/>
  <c r="M1078" i="16"/>
  <c r="O1078" i="16" s="1"/>
  <c r="M1006" i="16"/>
  <c r="O1006" i="16" s="1"/>
  <c r="M1017" i="16"/>
  <c r="O1017" i="16" s="1"/>
  <c r="M1024" i="16"/>
  <c r="O1024" i="16" s="1"/>
  <c r="M1081" i="16"/>
  <c r="O1081" i="16" s="1"/>
  <c r="M973" i="16"/>
  <c r="O973" i="16" s="1"/>
  <c r="M1000" i="16"/>
  <c r="O1000" i="16" s="1"/>
  <c r="M1005" i="16"/>
  <c r="O1005" i="16" s="1"/>
  <c r="M1035" i="16"/>
  <c r="O1035" i="16" s="1"/>
  <c r="M1038" i="16"/>
  <c r="O1038" i="16" s="1"/>
  <c r="M1051" i="16"/>
  <c r="O1051" i="16" s="1"/>
  <c r="M1119" i="16"/>
  <c r="O1119" i="16" s="1"/>
  <c r="M747" i="16"/>
  <c r="O747" i="16" s="1"/>
  <c r="M785" i="16"/>
  <c r="O785" i="16" s="1"/>
  <c r="M815" i="16"/>
  <c r="O815" i="16" s="1"/>
  <c r="M842" i="16"/>
  <c r="O842" i="16" s="1"/>
  <c r="M859" i="16"/>
  <c r="O859" i="16" s="1"/>
  <c r="M879" i="16"/>
  <c r="O879" i="16" s="1"/>
  <c r="M895" i="16"/>
  <c r="O895" i="16" s="1"/>
  <c r="M915" i="16"/>
  <c r="O915" i="16" s="1"/>
  <c r="M920" i="16"/>
  <c r="O920" i="16" s="1"/>
  <c r="M960" i="16"/>
  <c r="O960" i="16" s="1"/>
  <c r="M1071" i="16"/>
  <c r="O1071" i="16" s="1"/>
  <c r="M1084" i="16"/>
  <c r="O1084" i="16" s="1"/>
  <c r="M970" i="16"/>
  <c r="O970" i="16" s="1"/>
  <c r="M995" i="16"/>
  <c r="O995" i="16" s="1"/>
  <c r="M1004" i="16"/>
  <c r="O1004" i="16" s="1"/>
  <c r="M1011" i="16"/>
  <c r="O1011" i="16" s="1"/>
  <c r="M1067" i="16"/>
  <c r="O1067" i="16" s="1"/>
  <c r="M1079" i="16"/>
  <c r="O1079" i="16" s="1"/>
  <c r="M1083" i="16"/>
  <c r="O1083" i="16" s="1"/>
  <c r="M1102" i="16"/>
  <c r="O1102" i="16" s="1"/>
  <c r="M1107" i="16"/>
  <c r="O1107" i="16" s="1"/>
  <c r="M1108" i="16"/>
  <c r="O1108" i="16" s="1"/>
  <c r="M1113" i="16"/>
  <c r="O1113" i="16" s="1"/>
  <c r="M13" i="16"/>
  <c r="O13" i="16" s="1"/>
  <c r="M14" i="16"/>
  <c r="O14" i="16" s="1"/>
  <c r="M53" i="16"/>
  <c r="O53" i="16" s="1"/>
  <c r="M54" i="16"/>
  <c r="O54" i="16" s="1"/>
  <c r="M58" i="16"/>
  <c r="O58" i="16" s="1"/>
  <c r="M68" i="16"/>
  <c r="O68" i="16" s="1"/>
  <c r="M79" i="16"/>
  <c r="O79" i="16" s="1"/>
  <c r="M10" i="16"/>
  <c r="O10" i="16" s="1"/>
  <c r="M15" i="16"/>
  <c r="O15" i="16" s="1"/>
  <c r="M29" i="16"/>
  <c r="O29" i="16" s="1"/>
  <c r="M30" i="16"/>
  <c r="O30" i="16" s="1"/>
  <c r="M7" i="16"/>
  <c r="O7" i="16" s="1"/>
  <c r="M45" i="16"/>
  <c r="O45" i="16" s="1"/>
  <c r="M46" i="16"/>
  <c r="O46" i="16" s="1"/>
  <c r="M50" i="16"/>
  <c r="O50" i="16" s="1"/>
  <c r="M60" i="16"/>
  <c r="O60" i="16" s="1"/>
  <c r="M71" i="16"/>
  <c r="O71" i="16" s="1"/>
  <c r="M21" i="16"/>
  <c r="O21" i="16" s="1"/>
  <c r="M22" i="16"/>
  <c r="O22" i="16" s="1"/>
  <c r="M26" i="16"/>
  <c r="O26" i="16" s="1"/>
  <c r="M36" i="16"/>
  <c r="O36" i="16" s="1"/>
  <c r="M47" i="16"/>
  <c r="O47" i="16" s="1"/>
  <c r="M34" i="16"/>
  <c r="O34" i="16" s="1"/>
  <c r="M44" i="16"/>
  <c r="O44" i="16" s="1"/>
  <c r="M55" i="16"/>
  <c r="O55" i="16" s="1"/>
  <c r="M5" i="16"/>
  <c r="O5" i="16" s="1"/>
  <c r="M6" i="16"/>
  <c r="O6" i="16" s="1"/>
  <c r="M23" i="16"/>
  <c r="O23" i="16" s="1"/>
  <c r="M33" i="16"/>
  <c r="O33" i="16" s="1"/>
  <c r="M61" i="16"/>
  <c r="O61" i="16" s="1"/>
  <c r="M62" i="16"/>
  <c r="O62" i="16" s="1"/>
  <c r="M66" i="16"/>
  <c r="O66" i="16" s="1"/>
  <c r="M67" i="16"/>
  <c r="O67" i="16" s="1"/>
  <c r="M76" i="16"/>
  <c r="O76" i="16" s="1"/>
  <c r="M20" i="16"/>
  <c r="O20" i="16" s="1"/>
  <c r="M31" i="16"/>
  <c r="O31" i="16" s="1"/>
  <c r="M69" i="16"/>
  <c r="O69" i="16" s="1"/>
  <c r="M70" i="16"/>
  <c r="O70" i="16" s="1"/>
  <c r="M74" i="16"/>
  <c r="O74" i="16" s="1"/>
  <c r="M12" i="16"/>
  <c r="O12" i="16" s="1"/>
  <c r="M43" i="16"/>
  <c r="O43" i="16" s="1"/>
  <c r="M73" i="16"/>
  <c r="O73" i="16" s="1"/>
  <c r="M199" i="16"/>
  <c r="O199" i="16" s="1"/>
  <c r="M239" i="16"/>
  <c r="O239" i="16" s="1"/>
  <c r="M246" i="16"/>
  <c r="O246" i="16" s="1"/>
  <c r="M182" i="16"/>
  <c r="O182" i="16" s="1"/>
  <c r="M214" i="16"/>
  <c r="O214" i="16" s="1"/>
  <c r="M251" i="16"/>
  <c r="O251" i="16" s="1"/>
  <c r="M175" i="16"/>
  <c r="O175" i="16" s="1"/>
  <c r="M187" i="16"/>
  <c r="O187" i="16" s="1"/>
  <c r="M207" i="16"/>
  <c r="O207" i="16" s="1"/>
  <c r="M219" i="16"/>
  <c r="O219" i="16" s="1"/>
  <c r="M254" i="16"/>
  <c r="O254" i="16" s="1"/>
  <c r="M179" i="16"/>
  <c r="O179" i="16" s="1"/>
  <c r="M190" i="16"/>
  <c r="O190" i="16" s="1"/>
  <c r="M222" i="16"/>
  <c r="O222" i="16" s="1"/>
  <c r="M227" i="16"/>
  <c r="O227" i="16" s="1"/>
  <c r="M247" i="16"/>
  <c r="O247" i="16" s="1"/>
  <c r="M167" i="16"/>
  <c r="O167" i="16" s="1"/>
  <c r="M211" i="16"/>
  <c r="O211" i="16" s="1"/>
  <c r="M281" i="16"/>
  <c r="O281" i="16" s="1"/>
  <c r="M166" i="16"/>
  <c r="O166" i="16" s="1"/>
  <c r="M198" i="16"/>
  <c r="O198" i="16" s="1"/>
  <c r="M238" i="16"/>
  <c r="O238" i="16" s="1"/>
  <c r="M255" i="16"/>
  <c r="O255" i="16" s="1"/>
  <c r="M292" i="16"/>
  <c r="O292" i="16" s="1"/>
  <c r="M270" i="16"/>
  <c r="O270" i="16" s="1"/>
  <c r="M338" i="16"/>
  <c r="O338" i="16" s="1"/>
  <c r="M294" i="16"/>
  <c r="O294" i="16" s="1"/>
  <c r="M329" i="16"/>
  <c r="O329" i="16" s="1"/>
  <c r="M325" i="16"/>
  <c r="O325" i="16" s="1"/>
  <c r="M358" i="16"/>
  <c r="O358" i="16" s="1"/>
  <c r="M468" i="16"/>
  <c r="O468" i="16" s="1"/>
  <c r="M500" i="16"/>
  <c r="O500" i="16" s="1"/>
  <c r="M318" i="16"/>
  <c r="O318" i="16" s="1"/>
  <c r="M382" i="16"/>
  <c r="O382" i="16" s="1"/>
  <c r="M433" i="16"/>
  <c r="O433" i="16" s="1"/>
  <c r="M302" i="16"/>
  <c r="O302" i="16" s="1"/>
  <c r="M366" i="16"/>
  <c r="O366" i="16" s="1"/>
  <c r="M441" i="16"/>
  <c r="O441" i="16" s="1"/>
  <c r="M444" i="16"/>
  <c r="O444" i="16" s="1"/>
  <c r="M310" i="16"/>
  <c r="O310" i="16" s="1"/>
  <c r="M374" i="16"/>
  <c r="O374" i="16" s="1"/>
  <c r="M425" i="16"/>
  <c r="O425" i="16" s="1"/>
  <c r="M476" i="16"/>
  <c r="O476" i="16" s="1"/>
  <c r="M548" i="16"/>
  <c r="O548" i="16" s="1"/>
  <c r="M701" i="16"/>
  <c r="O701" i="16" s="1"/>
  <c r="M566" i="16"/>
  <c r="O566" i="16" s="1"/>
  <c r="M617" i="16"/>
  <c r="O617" i="16" s="1"/>
  <c r="M686" i="16"/>
  <c r="O686" i="16" s="1"/>
  <c r="M543" i="16"/>
  <c r="O543" i="16" s="1"/>
  <c r="M551" i="16"/>
  <c r="O551" i="16" s="1"/>
  <c r="M554" i="16"/>
  <c r="O554" i="16" s="1"/>
  <c r="M584" i="16"/>
  <c r="O584" i="16" s="1"/>
  <c r="M645" i="16"/>
  <c r="O645" i="16" s="1"/>
  <c r="M586" i="16"/>
  <c r="O586" i="16" s="1"/>
  <c r="M649" i="16"/>
  <c r="O649" i="16" s="1"/>
  <c r="M725" i="16"/>
  <c r="O725" i="16" s="1"/>
  <c r="M754" i="16"/>
  <c r="O754" i="16" s="1"/>
  <c r="M766" i="16"/>
  <c r="O766" i="16" s="1"/>
  <c r="M610" i="16"/>
  <c r="O610" i="16" s="1"/>
  <c r="M634" i="16"/>
  <c r="O634" i="16" s="1"/>
  <c r="M661" i="16"/>
  <c r="O661" i="16" s="1"/>
  <c r="M570" i="16"/>
  <c r="O570" i="16" s="1"/>
  <c r="M734" i="16"/>
  <c r="O734" i="16" s="1"/>
  <c r="M795" i="16"/>
  <c r="O795" i="16" s="1"/>
  <c r="M578" i="16"/>
  <c r="O578" i="16" s="1"/>
  <c r="M876" i="16"/>
  <c r="O876" i="16" s="1"/>
  <c r="M778" i="16"/>
  <c r="O778" i="16" s="1"/>
  <c r="M818" i="16"/>
  <c r="O818" i="16" s="1"/>
  <c r="M861" i="16"/>
  <c r="O861" i="16" s="1"/>
  <c r="M714" i="16"/>
  <c r="O714" i="16" s="1"/>
  <c r="M698" i="16"/>
  <c r="O698" i="16" s="1"/>
  <c r="M779" i="16"/>
  <c r="O779" i="16" s="1"/>
  <c r="M808" i="16"/>
  <c r="O808" i="16" s="1"/>
  <c r="M849" i="16"/>
  <c r="O849" i="16" s="1"/>
  <c r="M872" i="16"/>
  <c r="O872" i="16" s="1"/>
  <c r="M658" i="16"/>
  <c r="O658" i="16" s="1"/>
  <c r="M722" i="16"/>
  <c r="O722" i="16" s="1"/>
  <c r="M790" i="16"/>
  <c r="O790" i="16" s="1"/>
  <c r="M909" i="16"/>
  <c r="O909" i="16" s="1"/>
  <c r="M971" i="16"/>
  <c r="O971" i="16" s="1"/>
  <c r="M1042" i="16"/>
  <c r="O1042" i="16" s="1"/>
  <c r="M901" i="16"/>
  <c r="O901" i="16" s="1"/>
  <c r="M949" i="16"/>
  <c r="O949" i="16" s="1"/>
  <c r="M1047" i="16"/>
  <c r="O1047" i="16" s="1"/>
  <c r="M770" i="16"/>
  <c r="O770" i="16" s="1"/>
  <c r="M834" i="16"/>
  <c r="O834" i="16" s="1"/>
  <c r="M862" i="16"/>
  <c r="O862" i="16" s="1"/>
  <c r="M891" i="16"/>
  <c r="O891" i="16" s="1"/>
  <c r="M913" i="16"/>
  <c r="O913" i="16" s="1"/>
  <c r="M931" i="16"/>
  <c r="O931" i="16" s="1"/>
  <c r="M997" i="16"/>
  <c r="O997" i="16" s="1"/>
  <c r="M1059" i="16"/>
  <c r="O1059" i="16" s="1"/>
  <c r="M1062" i="16"/>
  <c r="O1062" i="16" s="1"/>
  <c r="M957" i="16"/>
  <c r="O957" i="16" s="1"/>
  <c r="M853" i="16"/>
  <c r="O853" i="16" s="1"/>
  <c r="M917" i="16"/>
  <c r="O917" i="16" s="1"/>
  <c r="M981" i="16"/>
  <c r="O981" i="16" s="1"/>
  <c r="M1063" i="16"/>
  <c r="O1063" i="16" s="1"/>
  <c r="M1086" i="16"/>
  <c r="O1086" i="16" s="1"/>
  <c r="M1028" i="16"/>
  <c r="O1028" i="16" s="1"/>
  <c r="M1041" i="16"/>
  <c r="O1041" i="16" s="1"/>
  <c r="M1094" i="16"/>
  <c r="O1094" i="16" s="1"/>
  <c r="M1080" i="2" l="1"/>
  <c r="G4" i="16" l="1"/>
  <c r="I4" i="16"/>
  <c r="J4" i="16"/>
  <c r="K4" i="16"/>
  <c r="N4" i="16"/>
  <c r="M4" i="16" l="1"/>
  <c r="O4" i="16" s="1"/>
  <c r="M1" i="16" s="1"/>
  <c r="L1087" i="2" l="1"/>
  <c r="C7" i="15" l="1"/>
  <c r="G7" i="15" s="1"/>
  <c r="C5" i="15" l="1"/>
  <c r="E5" i="15" s="1"/>
  <c r="N1" i="2"/>
  <c r="A3" i="21" l="1"/>
  <c r="B3" i="21" s="1"/>
  <c r="A4" i="21"/>
  <c r="B4" i="21" s="1"/>
  <c r="G4" i="21" s="1"/>
  <c r="A5" i="21"/>
  <c r="B5" i="21" s="1"/>
  <c r="G5" i="21" s="1"/>
  <c r="A6" i="21"/>
  <c r="B6" i="21" s="1"/>
  <c r="G6" i="21" s="1"/>
  <c r="A7" i="21"/>
  <c r="B7" i="21" s="1"/>
  <c r="A8" i="21"/>
  <c r="B8" i="21" s="1"/>
  <c r="A9" i="21"/>
  <c r="B9" i="21" s="1"/>
  <c r="A10" i="21"/>
  <c r="B10" i="21" s="1"/>
  <c r="A11" i="21"/>
  <c r="B11" i="21" s="1"/>
  <c r="A12" i="21"/>
  <c r="B12" i="21" s="1"/>
  <c r="A13" i="21"/>
  <c r="B13" i="21" s="1"/>
  <c r="A14" i="21"/>
  <c r="B14" i="21" s="1"/>
  <c r="A15" i="21"/>
  <c r="B15" i="21" s="1"/>
  <c r="A16" i="21"/>
  <c r="B16" i="21" s="1"/>
  <c r="A17" i="21"/>
  <c r="B17" i="21" s="1"/>
  <c r="A18" i="21"/>
  <c r="B18" i="21" s="1"/>
  <c r="A19" i="21"/>
  <c r="B19" i="21" s="1"/>
  <c r="A20" i="21"/>
  <c r="B20" i="21" s="1"/>
  <c r="A21" i="21"/>
  <c r="B21" i="21" s="1"/>
  <c r="A22" i="21"/>
  <c r="B22" i="21" s="1"/>
  <c r="A23" i="21"/>
  <c r="B23" i="21" s="1"/>
  <c r="A24" i="21"/>
  <c r="B24" i="21" s="1"/>
  <c r="A25" i="21"/>
  <c r="B25" i="21" s="1"/>
  <c r="A26" i="21"/>
  <c r="B26" i="21" s="1"/>
  <c r="A27" i="21"/>
  <c r="B27" i="21" s="1"/>
  <c r="A28" i="21"/>
  <c r="B28" i="21" s="1"/>
  <c r="A29" i="21"/>
  <c r="B29" i="21" s="1"/>
  <c r="A30" i="21"/>
  <c r="B30" i="21" s="1"/>
  <c r="A31" i="21"/>
  <c r="B31" i="21" s="1"/>
  <c r="A32" i="21"/>
  <c r="B32" i="21" s="1"/>
  <c r="A33" i="21"/>
  <c r="B33" i="21" s="1"/>
  <c r="A34" i="21"/>
  <c r="B34" i="21" s="1"/>
  <c r="A35" i="21"/>
  <c r="B35" i="21" s="1"/>
  <c r="A36" i="21"/>
  <c r="B36" i="21" s="1"/>
  <c r="A37" i="21"/>
  <c r="B37" i="21" s="1"/>
  <c r="A38" i="21"/>
  <c r="B38" i="21" s="1"/>
  <c r="A39" i="21"/>
  <c r="B39" i="21" s="1"/>
  <c r="A40" i="21"/>
  <c r="B40" i="21" s="1"/>
  <c r="A41" i="21"/>
  <c r="B41" i="21" s="1"/>
  <c r="A42" i="21"/>
  <c r="B42" i="21" s="1"/>
  <c r="A43" i="21"/>
  <c r="B43" i="21" s="1"/>
  <c r="A44" i="21"/>
  <c r="B44" i="21" s="1"/>
  <c r="A45" i="21"/>
  <c r="B45" i="21" s="1"/>
  <c r="A46" i="21"/>
  <c r="B46" i="21" s="1"/>
  <c r="A47" i="21"/>
  <c r="B47" i="21" s="1"/>
  <c r="A48" i="21"/>
  <c r="B48" i="21" s="1"/>
  <c r="A49" i="21"/>
  <c r="B49" i="21" s="1"/>
  <c r="A50" i="21"/>
  <c r="B50" i="21" s="1"/>
  <c r="A51" i="21"/>
  <c r="B51" i="21" s="1"/>
  <c r="A52" i="21"/>
  <c r="B52" i="21" s="1"/>
  <c r="A53" i="21"/>
  <c r="B53" i="21" s="1"/>
  <c r="A54" i="21"/>
  <c r="B54" i="21" s="1"/>
  <c r="A55" i="21"/>
  <c r="B55" i="21" s="1"/>
  <c r="A56" i="21"/>
  <c r="B56" i="21" s="1"/>
  <c r="A57" i="21"/>
  <c r="B57" i="21" s="1"/>
  <c r="A58" i="21"/>
  <c r="B58" i="21" s="1"/>
  <c r="A59" i="21"/>
  <c r="B59" i="21" s="1"/>
  <c r="A60" i="21"/>
  <c r="B60" i="21" s="1"/>
  <c r="A61" i="21"/>
  <c r="B61" i="21" s="1"/>
  <c r="A62" i="21"/>
  <c r="B62" i="21" s="1"/>
  <c r="A63" i="21"/>
  <c r="B63" i="21" s="1"/>
  <c r="A64" i="21"/>
  <c r="B64" i="21" s="1"/>
  <c r="A65" i="21"/>
  <c r="B65" i="21" s="1"/>
  <c r="A66" i="21"/>
  <c r="B66" i="21" s="1"/>
  <c r="A67" i="21"/>
  <c r="B67" i="21" s="1"/>
  <c r="A68" i="21"/>
  <c r="B68" i="21" s="1"/>
  <c r="A69" i="21"/>
  <c r="B69" i="21" s="1"/>
  <c r="A70" i="21"/>
  <c r="B70" i="21" s="1"/>
  <c r="A71" i="21"/>
  <c r="B71" i="21" s="1"/>
  <c r="A72" i="21"/>
  <c r="B72" i="21" s="1"/>
  <c r="A73" i="21"/>
  <c r="B73" i="21" s="1"/>
  <c r="A74" i="21"/>
  <c r="B74" i="21" s="1"/>
  <c r="A75" i="21"/>
  <c r="B75" i="21" s="1"/>
  <c r="A76" i="21"/>
  <c r="B76" i="21" s="1"/>
  <c r="A77" i="21"/>
  <c r="B77" i="21" s="1"/>
  <c r="A78" i="21"/>
  <c r="B78" i="21" s="1"/>
  <c r="A79" i="21"/>
  <c r="B79" i="21" s="1"/>
  <c r="A80" i="21"/>
  <c r="B80" i="21" s="1"/>
  <c r="A81" i="21"/>
  <c r="B81" i="21" s="1"/>
  <c r="A82" i="21"/>
  <c r="B82" i="21" s="1"/>
  <c r="A83" i="21"/>
  <c r="B83" i="21" s="1"/>
  <c r="A84" i="21"/>
  <c r="B84" i="21" s="1"/>
  <c r="A85" i="21"/>
  <c r="B85" i="21" s="1"/>
  <c r="A86" i="21"/>
  <c r="B86" i="21" s="1"/>
  <c r="A87" i="21"/>
  <c r="B87" i="21" s="1"/>
  <c r="A88" i="21"/>
  <c r="B88" i="21" s="1"/>
  <c r="A89" i="21"/>
  <c r="B89" i="21" s="1"/>
  <c r="A90" i="21"/>
  <c r="B90" i="21" s="1"/>
  <c r="A91" i="21"/>
  <c r="B91" i="21" s="1"/>
  <c r="A92" i="21"/>
  <c r="B92" i="21" s="1"/>
  <c r="A93" i="21"/>
  <c r="B93" i="21" s="1"/>
  <c r="A94" i="21"/>
  <c r="B94" i="21" s="1"/>
  <c r="A95" i="21"/>
  <c r="B95" i="21" s="1"/>
  <c r="A96" i="21"/>
  <c r="B96" i="21" s="1"/>
  <c r="A97" i="21"/>
  <c r="B97" i="21" s="1"/>
  <c r="A98" i="21"/>
  <c r="B98" i="21" s="1"/>
  <c r="A99" i="21"/>
  <c r="B99" i="21" s="1"/>
  <c r="A100" i="21"/>
  <c r="B100" i="21" s="1"/>
  <c r="A101" i="21"/>
  <c r="B101" i="21" s="1"/>
  <c r="A102" i="21"/>
  <c r="B102" i="21" s="1"/>
  <c r="A103" i="21"/>
  <c r="B103" i="21" s="1"/>
  <c r="A104" i="21"/>
  <c r="B104" i="21" s="1"/>
  <c r="A105" i="21"/>
  <c r="B105" i="21" s="1"/>
  <c r="A106" i="21"/>
  <c r="B106" i="21" s="1"/>
  <c r="A107" i="21"/>
  <c r="B107" i="21" s="1"/>
  <c r="A108" i="21"/>
  <c r="B108" i="21" s="1"/>
  <c r="A109" i="21"/>
  <c r="B109" i="21" s="1"/>
  <c r="A110" i="21"/>
  <c r="B110" i="21" s="1"/>
  <c r="A111" i="21"/>
  <c r="B111" i="21" s="1"/>
  <c r="A112" i="21"/>
  <c r="B112" i="21" s="1"/>
  <c r="A113" i="21"/>
  <c r="B113" i="21" s="1"/>
  <c r="A114" i="21"/>
  <c r="B114" i="21" s="1"/>
  <c r="A115" i="21"/>
  <c r="B115" i="21" s="1"/>
  <c r="A116" i="21"/>
  <c r="B116" i="21" s="1"/>
  <c r="A117" i="21"/>
  <c r="B117" i="21" s="1"/>
  <c r="A118" i="21"/>
  <c r="B118" i="21" s="1"/>
  <c r="A119" i="21"/>
  <c r="B119" i="21" s="1"/>
  <c r="A120" i="21"/>
  <c r="B120" i="21" s="1"/>
  <c r="A121" i="21"/>
  <c r="B121" i="21" s="1"/>
  <c r="A122" i="21"/>
  <c r="B122" i="21" s="1"/>
  <c r="A123" i="21"/>
  <c r="B123" i="21" s="1"/>
  <c r="A124" i="21"/>
  <c r="B124" i="21" s="1"/>
  <c r="A125" i="21"/>
  <c r="B125" i="21" s="1"/>
  <c r="A126" i="21"/>
  <c r="B126" i="21" s="1"/>
  <c r="A127" i="21"/>
  <c r="B127" i="21" s="1"/>
  <c r="A128" i="21"/>
  <c r="B128" i="21" s="1"/>
  <c r="A129" i="21"/>
  <c r="B129" i="21" s="1"/>
  <c r="A130" i="21"/>
  <c r="B130" i="21" s="1"/>
  <c r="A131" i="21"/>
  <c r="B131" i="21" s="1"/>
  <c r="A132" i="21"/>
  <c r="B132" i="21" s="1"/>
  <c r="A133" i="21"/>
  <c r="B133" i="21" s="1"/>
  <c r="A134" i="21"/>
  <c r="B134" i="21" s="1"/>
  <c r="A135" i="21"/>
  <c r="B135" i="21" s="1"/>
  <c r="A136" i="21"/>
  <c r="B136" i="21" s="1"/>
  <c r="A137" i="21"/>
  <c r="B137" i="21" s="1"/>
  <c r="A138" i="21"/>
  <c r="B138" i="21" s="1"/>
  <c r="A139" i="21"/>
  <c r="B139" i="21" s="1"/>
  <c r="A140" i="21"/>
  <c r="B140" i="21" s="1"/>
  <c r="A141" i="21"/>
  <c r="B141" i="21" s="1"/>
  <c r="A142" i="21"/>
  <c r="B142" i="21" s="1"/>
  <c r="A143" i="21"/>
  <c r="B143" i="21" s="1"/>
  <c r="A144" i="21"/>
  <c r="B144" i="21" s="1"/>
  <c r="A145" i="21"/>
  <c r="B145" i="21" s="1"/>
  <c r="A146" i="21"/>
  <c r="B146" i="21" s="1"/>
  <c r="A147" i="21"/>
  <c r="B147" i="21" s="1"/>
  <c r="A148" i="21"/>
  <c r="B148" i="21" s="1"/>
  <c r="A149" i="21"/>
  <c r="B149" i="21" s="1"/>
  <c r="A150" i="21"/>
  <c r="B150" i="21" s="1"/>
  <c r="A151" i="21"/>
  <c r="B151" i="21" s="1"/>
  <c r="A152" i="21"/>
  <c r="B152" i="21" s="1"/>
  <c r="A153" i="21"/>
  <c r="B153" i="21" s="1"/>
  <c r="A154" i="21"/>
  <c r="B154" i="21" s="1"/>
  <c r="A155" i="21"/>
  <c r="B155" i="21" s="1"/>
  <c r="A156" i="21"/>
  <c r="B156" i="21" s="1"/>
  <c r="A157" i="21"/>
  <c r="B157" i="21" s="1"/>
  <c r="A158" i="21"/>
  <c r="B158" i="21" s="1"/>
  <c r="A159" i="21"/>
  <c r="B159" i="21" s="1"/>
  <c r="A160" i="21"/>
  <c r="B160" i="21" s="1"/>
  <c r="A161" i="21"/>
  <c r="B161" i="21" s="1"/>
  <c r="A162" i="21"/>
  <c r="B162" i="21" s="1"/>
  <c r="A163" i="21"/>
  <c r="B163" i="21" s="1"/>
  <c r="A164" i="21"/>
  <c r="B164" i="21" s="1"/>
  <c r="A165" i="21"/>
  <c r="B165" i="21" s="1"/>
  <c r="A166" i="21"/>
  <c r="B166" i="21" s="1"/>
  <c r="A167" i="21"/>
  <c r="B167" i="21" s="1"/>
  <c r="A168" i="21"/>
  <c r="B168" i="21" s="1"/>
  <c r="A169" i="21"/>
  <c r="B169" i="21" s="1"/>
  <c r="A170" i="21"/>
  <c r="B170" i="21" s="1"/>
  <c r="A171" i="21"/>
  <c r="B171" i="21" s="1"/>
  <c r="A172" i="21"/>
  <c r="B172" i="21" s="1"/>
  <c r="A173" i="21"/>
  <c r="B173" i="21" s="1"/>
  <c r="A174" i="21"/>
  <c r="B174" i="21" s="1"/>
  <c r="A175" i="21"/>
  <c r="B175" i="21" s="1"/>
  <c r="A176" i="21"/>
  <c r="B176" i="21" s="1"/>
  <c r="A177" i="21"/>
  <c r="B177" i="21" s="1"/>
  <c r="A178" i="21"/>
  <c r="B178" i="21" s="1"/>
  <c r="A179" i="21"/>
  <c r="B179" i="21" s="1"/>
  <c r="A180" i="21"/>
  <c r="B180" i="21" s="1"/>
  <c r="A181" i="21"/>
  <c r="B181" i="21" s="1"/>
  <c r="A182" i="21"/>
  <c r="B182" i="21" s="1"/>
  <c r="A183" i="21"/>
  <c r="B183" i="21" s="1"/>
  <c r="A184" i="21"/>
  <c r="B184" i="21" s="1"/>
  <c r="A185" i="21"/>
  <c r="B185" i="21" s="1"/>
  <c r="A186" i="21"/>
  <c r="B186" i="21" s="1"/>
  <c r="A187" i="21"/>
  <c r="B187" i="21" s="1"/>
  <c r="A188" i="21"/>
  <c r="B188" i="21" s="1"/>
  <c r="A189" i="21"/>
  <c r="B189" i="21" s="1"/>
  <c r="A190" i="21"/>
  <c r="B190" i="21" s="1"/>
  <c r="A191" i="21"/>
  <c r="B191" i="21" s="1"/>
  <c r="A192" i="21"/>
  <c r="B192" i="21" s="1"/>
  <c r="A193" i="21"/>
  <c r="B193" i="21" s="1"/>
  <c r="A194" i="21"/>
  <c r="B194" i="21" s="1"/>
  <c r="A195" i="21"/>
  <c r="B195" i="21" s="1"/>
  <c r="A196" i="21"/>
  <c r="B196" i="21" s="1"/>
  <c r="A197" i="21"/>
  <c r="B197" i="21" s="1"/>
  <c r="A198" i="21"/>
  <c r="B198" i="21" s="1"/>
  <c r="A199" i="21"/>
  <c r="B199" i="21" s="1"/>
  <c r="A200" i="21"/>
  <c r="B200" i="21" s="1"/>
  <c r="A201" i="21"/>
  <c r="B201" i="21" s="1"/>
  <c r="A202" i="21"/>
  <c r="B202" i="21" s="1"/>
  <c r="A203" i="21"/>
  <c r="B203" i="21" s="1"/>
  <c r="A204" i="21"/>
  <c r="B204" i="21" s="1"/>
  <c r="A205" i="21"/>
  <c r="B205" i="21" s="1"/>
  <c r="A206" i="21"/>
  <c r="B206" i="21" s="1"/>
  <c r="A207" i="21"/>
  <c r="B207" i="21" s="1"/>
  <c r="A208" i="21"/>
  <c r="B208" i="21" s="1"/>
  <c r="A209" i="21"/>
  <c r="B209" i="21" s="1"/>
  <c r="A210" i="21"/>
  <c r="B210" i="21" s="1"/>
  <c r="A211" i="21"/>
  <c r="B211" i="21" s="1"/>
  <c r="A212" i="21"/>
  <c r="B212" i="21" s="1"/>
  <c r="A213" i="21"/>
  <c r="B213" i="21" s="1"/>
  <c r="A214" i="21"/>
  <c r="B214" i="21" s="1"/>
  <c r="A215" i="21"/>
  <c r="B215" i="21" s="1"/>
  <c r="A216" i="21"/>
  <c r="B216" i="21" s="1"/>
  <c r="A217" i="21"/>
  <c r="B217" i="21" s="1"/>
  <c r="A218" i="21"/>
  <c r="B218" i="21" s="1"/>
  <c r="A219" i="21"/>
  <c r="B219" i="21" s="1"/>
  <c r="A220" i="21"/>
  <c r="B220" i="21" s="1"/>
  <c r="A221" i="21"/>
  <c r="B221" i="21" s="1"/>
  <c r="A222" i="21"/>
  <c r="B222" i="21" s="1"/>
  <c r="A223" i="21"/>
  <c r="B223" i="21" s="1"/>
  <c r="A224" i="21"/>
  <c r="B224" i="21" s="1"/>
  <c r="A225" i="21"/>
  <c r="B225" i="21" s="1"/>
  <c r="A226" i="21"/>
  <c r="B226" i="21" s="1"/>
  <c r="A227" i="21"/>
  <c r="B227" i="21" s="1"/>
  <c r="A228" i="21"/>
  <c r="B228" i="21" s="1"/>
  <c r="A229" i="21"/>
  <c r="B229" i="21" s="1"/>
  <c r="A230" i="21"/>
  <c r="B230" i="21" s="1"/>
  <c r="A231" i="21"/>
  <c r="B231" i="21" s="1"/>
  <c r="A232" i="21"/>
  <c r="B232" i="21" s="1"/>
  <c r="A233" i="21"/>
  <c r="B233" i="21" s="1"/>
  <c r="A234" i="21"/>
  <c r="B234" i="21" s="1"/>
  <c r="A235" i="21"/>
  <c r="B235" i="21" s="1"/>
  <c r="A236" i="21"/>
  <c r="B236" i="21" s="1"/>
  <c r="A237" i="21"/>
  <c r="B237" i="21" s="1"/>
  <c r="A238" i="21"/>
  <c r="B238" i="21" s="1"/>
  <c r="A239" i="21"/>
  <c r="B239" i="21" s="1"/>
  <c r="A240" i="21"/>
  <c r="B240" i="21" s="1"/>
  <c r="A241" i="21"/>
  <c r="B241" i="21" s="1"/>
  <c r="A242" i="21"/>
  <c r="B242" i="21" s="1"/>
  <c r="A243" i="21"/>
  <c r="B243" i="21" s="1"/>
  <c r="A244" i="21"/>
  <c r="B244" i="21" s="1"/>
  <c r="A245" i="21"/>
  <c r="B245" i="21" s="1"/>
  <c r="A246" i="21"/>
  <c r="B246" i="21" s="1"/>
  <c r="A247" i="21"/>
  <c r="B247" i="21" s="1"/>
  <c r="A248" i="21"/>
  <c r="B248" i="21" s="1"/>
  <c r="A249" i="21"/>
  <c r="B249" i="21" s="1"/>
  <c r="A250" i="21"/>
  <c r="B250" i="21" s="1"/>
  <c r="A251" i="21"/>
  <c r="B251" i="21" s="1"/>
  <c r="A252" i="21"/>
  <c r="B252" i="21" s="1"/>
  <c r="A253" i="21"/>
  <c r="B253" i="21" s="1"/>
  <c r="A254" i="21"/>
  <c r="B254" i="21" s="1"/>
  <c r="A255" i="21"/>
  <c r="B255" i="21" s="1"/>
  <c r="A256" i="21"/>
  <c r="B256" i="21" s="1"/>
  <c r="A257" i="21"/>
  <c r="B257" i="21" s="1"/>
  <c r="A258" i="21"/>
  <c r="B258" i="21" s="1"/>
  <c r="A259" i="21"/>
  <c r="B259" i="21" s="1"/>
  <c r="A260" i="21"/>
  <c r="B260" i="21" s="1"/>
  <c r="A261" i="21"/>
  <c r="B261" i="21" s="1"/>
  <c r="A262" i="21"/>
  <c r="B262" i="21" s="1"/>
  <c r="A263" i="21"/>
  <c r="B263" i="21" s="1"/>
  <c r="A264" i="21"/>
  <c r="B264" i="21" s="1"/>
  <c r="A265" i="21"/>
  <c r="B265" i="21" s="1"/>
  <c r="A266" i="21"/>
  <c r="B266" i="21" s="1"/>
  <c r="A267" i="21"/>
  <c r="B267" i="21" s="1"/>
  <c r="A268" i="21"/>
  <c r="B268" i="21" s="1"/>
  <c r="A269" i="21"/>
  <c r="B269" i="21" s="1"/>
  <c r="A270" i="21"/>
  <c r="B270" i="21" s="1"/>
  <c r="A271" i="21"/>
  <c r="B271" i="21" s="1"/>
  <c r="A272" i="21"/>
  <c r="B272" i="21" s="1"/>
  <c r="A273" i="21"/>
  <c r="B273" i="21" s="1"/>
  <c r="A274" i="21"/>
  <c r="B274" i="21" s="1"/>
  <c r="A275" i="21"/>
  <c r="B275" i="21" s="1"/>
  <c r="A276" i="21"/>
  <c r="B276" i="21" s="1"/>
  <c r="A277" i="21"/>
  <c r="B277" i="21" s="1"/>
  <c r="A278" i="21"/>
  <c r="B278" i="21" s="1"/>
  <c r="A279" i="21"/>
  <c r="B279" i="21" s="1"/>
  <c r="A280" i="21"/>
  <c r="B280" i="21" s="1"/>
  <c r="A281" i="21"/>
  <c r="B281" i="21" s="1"/>
  <c r="A282" i="21"/>
  <c r="B282" i="21" s="1"/>
  <c r="A283" i="21"/>
  <c r="B283" i="21" s="1"/>
  <c r="A284" i="21"/>
  <c r="B284" i="21" s="1"/>
  <c r="A285" i="21"/>
  <c r="B285" i="21" s="1"/>
  <c r="A286" i="21"/>
  <c r="B286" i="21" s="1"/>
  <c r="A287" i="21"/>
  <c r="B287" i="21" s="1"/>
  <c r="A288" i="21"/>
  <c r="B288" i="21" s="1"/>
  <c r="A289" i="21"/>
  <c r="B289" i="21" s="1"/>
  <c r="A290" i="21"/>
  <c r="B290" i="21" s="1"/>
  <c r="A291" i="21"/>
  <c r="B291" i="21" s="1"/>
  <c r="A292" i="21"/>
  <c r="B292" i="21" s="1"/>
  <c r="A293" i="21"/>
  <c r="B293" i="21" s="1"/>
  <c r="A294" i="21"/>
  <c r="B294" i="21" s="1"/>
  <c r="A295" i="21"/>
  <c r="B295" i="21" s="1"/>
  <c r="A296" i="21"/>
  <c r="B296" i="21" s="1"/>
  <c r="A297" i="21"/>
  <c r="B297" i="21" s="1"/>
  <c r="A298" i="21"/>
  <c r="B298" i="21" s="1"/>
  <c r="A299" i="21"/>
  <c r="B299" i="21" s="1"/>
  <c r="A300" i="21"/>
  <c r="B300" i="21" s="1"/>
  <c r="A301" i="21"/>
  <c r="B301" i="21" s="1"/>
  <c r="A302" i="21"/>
  <c r="B302" i="21" s="1"/>
  <c r="A303" i="21"/>
  <c r="B303" i="21" s="1"/>
  <c r="A304" i="21"/>
  <c r="B304" i="21" s="1"/>
  <c r="A305" i="21"/>
  <c r="B305" i="21" s="1"/>
  <c r="A306" i="21"/>
  <c r="B306" i="21" s="1"/>
  <c r="A307" i="21"/>
  <c r="B307" i="21" s="1"/>
  <c r="A308" i="21"/>
  <c r="B308" i="21" s="1"/>
  <c r="A309" i="21"/>
  <c r="B309" i="21" s="1"/>
  <c r="A310" i="21"/>
  <c r="B310" i="21" s="1"/>
  <c r="A311" i="21"/>
  <c r="B311" i="21" s="1"/>
  <c r="A312" i="21"/>
  <c r="B312" i="21" s="1"/>
  <c r="A313" i="21"/>
  <c r="B313" i="21" s="1"/>
  <c r="A314" i="21"/>
  <c r="B314" i="21" s="1"/>
  <c r="A315" i="21"/>
  <c r="B315" i="21" s="1"/>
  <c r="A316" i="21"/>
  <c r="B316" i="21" s="1"/>
  <c r="A317" i="21"/>
  <c r="B317" i="21" s="1"/>
  <c r="A318" i="21"/>
  <c r="B318" i="21" s="1"/>
  <c r="A319" i="21"/>
  <c r="B319" i="21" s="1"/>
  <c r="A320" i="21"/>
  <c r="B320" i="21" s="1"/>
  <c r="A321" i="21"/>
  <c r="B321" i="21" s="1"/>
  <c r="A322" i="21"/>
  <c r="B322" i="21" s="1"/>
  <c r="A323" i="21"/>
  <c r="B323" i="21" s="1"/>
  <c r="A324" i="21"/>
  <c r="B324" i="21" s="1"/>
  <c r="A325" i="21"/>
  <c r="B325" i="21" s="1"/>
  <c r="A326" i="21"/>
  <c r="B326" i="21" s="1"/>
  <c r="A327" i="21"/>
  <c r="B327" i="21" s="1"/>
  <c r="A328" i="21"/>
  <c r="B328" i="21" s="1"/>
  <c r="A329" i="21"/>
  <c r="B329" i="21" s="1"/>
  <c r="A330" i="21"/>
  <c r="B330" i="21" s="1"/>
  <c r="A331" i="21"/>
  <c r="B331" i="21" s="1"/>
  <c r="A332" i="21"/>
  <c r="B332" i="21" s="1"/>
  <c r="A333" i="21"/>
  <c r="B333" i="21" s="1"/>
  <c r="A334" i="21"/>
  <c r="B334" i="21" s="1"/>
  <c r="A335" i="21"/>
  <c r="B335" i="21" s="1"/>
  <c r="A336" i="21"/>
  <c r="B336" i="21" s="1"/>
  <c r="A337" i="21"/>
  <c r="B337" i="21" s="1"/>
  <c r="A338" i="21"/>
  <c r="B338" i="21" s="1"/>
  <c r="A339" i="21"/>
  <c r="B339" i="21" s="1"/>
  <c r="A340" i="21"/>
  <c r="B340" i="21" s="1"/>
  <c r="A341" i="21"/>
  <c r="B341" i="21" s="1"/>
  <c r="A342" i="21"/>
  <c r="B342" i="21" s="1"/>
  <c r="A343" i="21"/>
  <c r="B343" i="21" s="1"/>
  <c r="A344" i="21"/>
  <c r="B344" i="21" s="1"/>
  <c r="A345" i="21"/>
  <c r="B345" i="21" s="1"/>
  <c r="A346" i="21"/>
  <c r="B346" i="21" s="1"/>
  <c r="A347" i="21"/>
  <c r="B347" i="21" s="1"/>
  <c r="A348" i="21"/>
  <c r="B348" i="21" s="1"/>
  <c r="A349" i="21"/>
  <c r="B349" i="21" s="1"/>
  <c r="A350" i="21"/>
  <c r="B350" i="21" s="1"/>
  <c r="A351" i="21"/>
  <c r="B351" i="21" s="1"/>
  <c r="A352" i="21"/>
  <c r="B352" i="21" s="1"/>
  <c r="A353" i="21"/>
  <c r="B353" i="21" s="1"/>
  <c r="A354" i="21"/>
  <c r="B354" i="21" s="1"/>
  <c r="A355" i="21"/>
  <c r="B355" i="21" s="1"/>
  <c r="A356" i="21"/>
  <c r="B356" i="21" s="1"/>
  <c r="A357" i="21"/>
  <c r="B357" i="21" s="1"/>
  <c r="A358" i="21"/>
  <c r="B358" i="21" s="1"/>
  <c r="A359" i="21"/>
  <c r="B359" i="21" s="1"/>
  <c r="A360" i="21"/>
  <c r="B360" i="21" s="1"/>
  <c r="A361" i="21"/>
  <c r="B361" i="21" s="1"/>
  <c r="A362" i="21"/>
  <c r="B362" i="21" s="1"/>
  <c r="A363" i="21"/>
  <c r="B363" i="21" s="1"/>
  <c r="A364" i="21"/>
  <c r="B364" i="21" s="1"/>
  <c r="A365" i="21"/>
  <c r="B365" i="21" s="1"/>
  <c r="A366" i="21"/>
  <c r="B366" i="21" s="1"/>
  <c r="A367" i="21"/>
  <c r="B367" i="21" s="1"/>
  <c r="A368" i="21"/>
  <c r="B368" i="21" s="1"/>
  <c r="A369" i="21"/>
  <c r="B369" i="21" s="1"/>
  <c r="A370" i="21"/>
  <c r="B370" i="21" s="1"/>
  <c r="A371" i="21"/>
  <c r="B371" i="21" s="1"/>
  <c r="A372" i="21"/>
  <c r="B372" i="21" s="1"/>
  <c r="A373" i="21"/>
  <c r="B373" i="21" s="1"/>
  <c r="A374" i="21"/>
  <c r="B374" i="21" s="1"/>
  <c r="A375" i="21"/>
  <c r="B375" i="21" s="1"/>
  <c r="A376" i="21"/>
  <c r="B376" i="21" s="1"/>
  <c r="A377" i="21"/>
  <c r="B377" i="21" s="1"/>
  <c r="A378" i="21"/>
  <c r="B378" i="21" s="1"/>
  <c r="A379" i="21"/>
  <c r="B379" i="21" s="1"/>
  <c r="A380" i="21"/>
  <c r="B380" i="21" s="1"/>
  <c r="A381" i="21"/>
  <c r="B381" i="21" s="1"/>
  <c r="A382" i="21"/>
  <c r="B382" i="21" s="1"/>
  <c r="A383" i="21"/>
  <c r="B383" i="21" s="1"/>
  <c r="A384" i="21"/>
  <c r="B384" i="21" s="1"/>
  <c r="A385" i="21"/>
  <c r="B385" i="21" s="1"/>
  <c r="A386" i="21"/>
  <c r="B386" i="21" s="1"/>
  <c r="A387" i="21"/>
  <c r="B387" i="21" s="1"/>
  <c r="A388" i="21"/>
  <c r="B388" i="21" s="1"/>
  <c r="A389" i="21"/>
  <c r="B389" i="21" s="1"/>
  <c r="A390" i="21"/>
  <c r="B390" i="21" s="1"/>
  <c r="A391" i="21"/>
  <c r="B391" i="21" s="1"/>
  <c r="A392" i="21"/>
  <c r="B392" i="21" s="1"/>
  <c r="A393" i="21"/>
  <c r="B393" i="21" s="1"/>
  <c r="A394" i="21"/>
  <c r="B394" i="21" s="1"/>
  <c r="A395" i="21"/>
  <c r="B395" i="21" s="1"/>
  <c r="A396" i="21"/>
  <c r="B396" i="21" s="1"/>
  <c r="A397" i="21"/>
  <c r="B397" i="21" s="1"/>
  <c r="A398" i="21"/>
  <c r="B398" i="21" s="1"/>
  <c r="A399" i="21"/>
  <c r="B399" i="21" s="1"/>
  <c r="A400" i="21"/>
  <c r="B400" i="21" s="1"/>
  <c r="A401" i="21"/>
  <c r="B401" i="21" s="1"/>
  <c r="A402" i="21"/>
  <c r="B402" i="21" s="1"/>
  <c r="A403" i="21"/>
  <c r="B403" i="21" s="1"/>
  <c r="A404" i="21"/>
  <c r="B404" i="21" s="1"/>
  <c r="A405" i="21"/>
  <c r="B405" i="21" s="1"/>
  <c r="A406" i="21"/>
  <c r="B406" i="21" s="1"/>
  <c r="A407" i="21"/>
  <c r="B407" i="21" s="1"/>
  <c r="A408" i="21"/>
  <c r="B408" i="21" s="1"/>
  <c r="A409" i="21"/>
  <c r="B409" i="21" s="1"/>
  <c r="A410" i="21"/>
  <c r="B410" i="21" s="1"/>
  <c r="A411" i="21"/>
  <c r="B411" i="21" s="1"/>
  <c r="A412" i="21"/>
  <c r="B412" i="21" s="1"/>
  <c r="A413" i="21"/>
  <c r="B413" i="21" s="1"/>
  <c r="A414" i="21"/>
  <c r="B414" i="21" s="1"/>
  <c r="A415" i="21"/>
  <c r="B415" i="21" s="1"/>
  <c r="A416" i="21"/>
  <c r="B416" i="21" s="1"/>
  <c r="A417" i="21"/>
  <c r="B417" i="21" s="1"/>
  <c r="A418" i="21"/>
  <c r="B418" i="21" s="1"/>
  <c r="A419" i="21"/>
  <c r="B419" i="21" s="1"/>
  <c r="A420" i="21"/>
  <c r="B420" i="21" s="1"/>
  <c r="A421" i="21"/>
  <c r="B421" i="21" s="1"/>
  <c r="A422" i="21"/>
  <c r="B422" i="21" s="1"/>
  <c r="A423" i="21"/>
  <c r="B423" i="21" s="1"/>
  <c r="A424" i="21"/>
  <c r="B424" i="21" s="1"/>
  <c r="A425" i="21"/>
  <c r="B425" i="21" s="1"/>
  <c r="A426" i="21"/>
  <c r="B426" i="21" s="1"/>
  <c r="A427" i="21"/>
  <c r="B427" i="21" s="1"/>
  <c r="A428" i="21"/>
  <c r="B428" i="21" s="1"/>
  <c r="A429" i="21"/>
  <c r="B429" i="21" s="1"/>
  <c r="A430" i="21"/>
  <c r="B430" i="21" s="1"/>
  <c r="A431" i="21"/>
  <c r="B431" i="21" s="1"/>
  <c r="A432" i="21"/>
  <c r="B432" i="21" s="1"/>
  <c r="A433" i="21"/>
  <c r="B433" i="21" s="1"/>
  <c r="A434" i="21"/>
  <c r="B434" i="21" s="1"/>
  <c r="A435" i="21"/>
  <c r="B435" i="21" s="1"/>
  <c r="A436" i="21"/>
  <c r="B436" i="21" s="1"/>
  <c r="A437" i="21"/>
  <c r="B437" i="21" s="1"/>
  <c r="A438" i="21"/>
  <c r="B438" i="21" s="1"/>
  <c r="A439" i="21"/>
  <c r="B439" i="21" s="1"/>
  <c r="A440" i="21"/>
  <c r="B440" i="21" s="1"/>
  <c r="A441" i="21"/>
  <c r="B441" i="21" s="1"/>
  <c r="A442" i="21"/>
  <c r="B442" i="21" s="1"/>
  <c r="A443" i="21"/>
  <c r="B443" i="21" s="1"/>
  <c r="A444" i="21"/>
  <c r="B444" i="21" s="1"/>
  <c r="A445" i="21"/>
  <c r="B445" i="21" s="1"/>
  <c r="A446" i="21"/>
  <c r="B446" i="21" s="1"/>
  <c r="A447" i="21"/>
  <c r="B447" i="21" s="1"/>
  <c r="A448" i="21"/>
  <c r="B448" i="21" s="1"/>
  <c r="A449" i="21"/>
  <c r="B449" i="21" s="1"/>
  <c r="A450" i="21"/>
  <c r="B450" i="21" s="1"/>
  <c r="A451" i="21"/>
  <c r="B451" i="21" s="1"/>
  <c r="A452" i="21"/>
  <c r="B452" i="21" s="1"/>
  <c r="A453" i="21"/>
  <c r="B453" i="21" s="1"/>
  <c r="A454" i="21"/>
  <c r="B454" i="21" s="1"/>
  <c r="A455" i="21"/>
  <c r="B455" i="21" s="1"/>
  <c r="A456" i="21"/>
  <c r="B456" i="21" s="1"/>
  <c r="A457" i="21"/>
  <c r="B457" i="21" s="1"/>
  <c r="A458" i="21"/>
  <c r="B458" i="21" s="1"/>
  <c r="A459" i="21"/>
  <c r="B459" i="21" s="1"/>
  <c r="A460" i="21"/>
  <c r="B460" i="21" s="1"/>
  <c r="A461" i="21"/>
  <c r="B461" i="21" s="1"/>
  <c r="A462" i="21"/>
  <c r="B462" i="21" s="1"/>
  <c r="A463" i="21"/>
  <c r="B463" i="21" s="1"/>
  <c r="A464" i="21"/>
  <c r="B464" i="21" s="1"/>
  <c r="A465" i="21"/>
  <c r="B465" i="21" s="1"/>
  <c r="A466" i="21"/>
  <c r="B466" i="21" s="1"/>
  <c r="A467" i="21"/>
  <c r="B467" i="21" s="1"/>
  <c r="A468" i="21"/>
  <c r="B468" i="21" s="1"/>
  <c r="A469" i="21"/>
  <c r="B469" i="21" s="1"/>
  <c r="A470" i="21"/>
  <c r="B470" i="21" s="1"/>
  <c r="A471" i="21"/>
  <c r="B471" i="21" s="1"/>
  <c r="A472" i="21"/>
  <c r="B472" i="21" s="1"/>
  <c r="A473" i="21"/>
  <c r="B473" i="21" s="1"/>
  <c r="A474" i="21"/>
  <c r="B474" i="21" s="1"/>
  <c r="A475" i="21"/>
  <c r="B475" i="21" s="1"/>
  <c r="A476" i="21"/>
  <c r="B476" i="21" s="1"/>
  <c r="A477" i="21"/>
  <c r="B477" i="21" s="1"/>
  <c r="A478" i="21"/>
  <c r="B478" i="21" s="1"/>
  <c r="A479" i="21"/>
  <c r="B479" i="21" s="1"/>
  <c r="A480" i="21"/>
  <c r="B480" i="21" s="1"/>
  <c r="A481" i="21"/>
  <c r="B481" i="21" s="1"/>
  <c r="A482" i="21"/>
  <c r="B482" i="21" s="1"/>
  <c r="A483" i="21"/>
  <c r="B483" i="21" s="1"/>
  <c r="A484" i="21"/>
  <c r="B484" i="21" s="1"/>
  <c r="A485" i="21"/>
  <c r="B485" i="21" s="1"/>
  <c r="A486" i="21"/>
  <c r="B486" i="21" s="1"/>
  <c r="A487" i="21"/>
  <c r="B487" i="21" s="1"/>
  <c r="A488" i="21"/>
  <c r="B488" i="21" s="1"/>
  <c r="A489" i="21"/>
  <c r="B489" i="21" s="1"/>
  <c r="A490" i="21"/>
  <c r="B490" i="21" s="1"/>
  <c r="A491" i="21"/>
  <c r="B491" i="21" s="1"/>
  <c r="A492" i="21"/>
  <c r="B492" i="21" s="1"/>
  <c r="A493" i="21"/>
  <c r="B493" i="21" s="1"/>
  <c r="A494" i="21"/>
  <c r="B494" i="21" s="1"/>
  <c r="D3" i="21"/>
  <c r="D4" i="21"/>
  <c r="D5" i="21"/>
  <c r="D6" i="21"/>
  <c r="D7" i="21"/>
  <c r="D8" i="21"/>
  <c r="D9" i="21"/>
  <c r="D10" i="21"/>
  <c r="D11" i="21"/>
  <c r="D12" i="21"/>
  <c r="D13" i="21"/>
  <c r="D14" i="21"/>
  <c r="D15" i="21"/>
  <c r="D16" i="21"/>
  <c r="D17" i="21"/>
  <c r="D18" i="21"/>
  <c r="D19" i="21"/>
  <c r="D20" i="21"/>
  <c r="D21" i="21"/>
  <c r="D22" i="21"/>
  <c r="D23" i="21"/>
  <c r="D24" i="21"/>
  <c r="D25" i="21"/>
  <c r="D26" i="21"/>
  <c r="D27" i="21"/>
  <c r="D28" i="21"/>
  <c r="D29" i="21"/>
  <c r="D30" i="21"/>
  <c r="D31" i="21"/>
  <c r="D32" i="21"/>
  <c r="D33" i="21"/>
  <c r="D34" i="21"/>
  <c r="D35" i="21"/>
  <c r="D36" i="21"/>
  <c r="D37" i="21"/>
  <c r="D38" i="21"/>
  <c r="D39" i="21"/>
  <c r="D40" i="21"/>
  <c r="D41" i="21"/>
  <c r="D42" i="21"/>
  <c r="D43" i="21"/>
  <c r="D44" i="21"/>
  <c r="D45" i="21"/>
  <c r="D46" i="21"/>
  <c r="D47" i="21"/>
  <c r="D48" i="21"/>
  <c r="D49" i="21"/>
  <c r="D50" i="21"/>
  <c r="D51" i="21"/>
  <c r="D52" i="21"/>
  <c r="D53" i="21"/>
  <c r="D54" i="21"/>
  <c r="D55" i="21"/>
  <c r="D56" i="21"/>
  <c r="D57" i="21"/>
  <c r="D58" i="21"/>
  <c r="D59" i="21"/>
  <c r="D60" i="21"/>
  <c r="D61" i="21"/>
  <c r="D62" i="21"/>
  <c r="D63" i="21"/>
  <c r="D64" i="21"/>
  <c r="D65" i="21"/>
  <c r="D66" i="21"/>
  <c r="D67" i="21"/>
  <c r="D68" i="21"/>
  <c r="D69" i="21"/>
  <c r="D70" i="21"/>
  <c r="D71" i="21"/>
  <c r="D72" i="21"/>
  <c r="D73" i="21"/>
  <c r="D74" i="21"/>
  <c r="D75" i="21"/>
  <c r="D76" i="21"/>
  <c r="D77" i="21"/>
  <c r="D78" i="21"/>
  <c r="D79" i="21"/>
  <c r="D80" i="21"/>
  <c r="D81" i="21"/>
  <c r="D82" i="21"/>
  <c r="D83" i="21"/>
  <c r="D84" i="21"/>
  <c r="D85" i="21"/>
  <c r="D86" i="21"/>
  <c r="D87" i="21"/>
  <c r="D88" i="21"/>
  <c r="D89" i="21"/>
  <c r="D90" i="21"/>
  <c r="D91" i="21"/>
  <c r="D92" i="21"/>
  <c r="D93" i="21"/>
  <c r="D94" i="21"/>
  <c r="D95" i="21"/>
  <c r="D96" i="21"/>
  <c r="D97" i="21"/>
  <c r="D98" i="21"/>
  <c r="D99" i="21"/>
  <c r="D100" i="21"/>
  <c r="D101" i="21"/>
  <c r="D102" i="21"/>
  <c r="D103" i="21"/>
  <c r="D104" i="21"/>
  <c r="D105" i="21"/>
  <c r="D106" i="21"/>
  <c r="D107" i="21"/>
  <c r="D108" i="21"/>
  <c r="D109" i="21"/>
  <c r="D110" i="21"/>
  <c r="D111" i="21"/>
  <c r="D112" i="21"/>
  <c r="D113" i="21"/>
  <c r="D114" i="21"/>
  <c r="D115" i="21"/>
  <c r="D116" i="21"/>
  <c r="D117" i="21"/>
  <c r="D118" i="21"/>
  <c r="D119" i="21"/>
  <c r="D120" i="21"/>
  <c r="D121" i="21"/>
  <c r="D122" i="21"/>
  <c r="D123" i="21"/>
  <c r="D124" i="21"/>
  <c r="D125" i="21"/>
  <c r="D126" i="21"/>
  <c r="D127" i="21"/>
  <c r="D128" i="21"/>
  <c r="D129" i="21"/>
  <c r="D130" i="21"/>
  <c r="D131" i="21"/>
  <c r="D132" i="21"/>
  <c r="D133" i="21"/>
  <c r="D134" i="21"/>
  <c r="D135" i="21"/>
  <c r="D136" i="21"/>
  <c r="D137" i="21"/>
  <c r="D138" i="21"/>
  <c r="D139" i="21"/>
  <c r="D140" i="21"/>
  <c r="D141" i="21"/>
  <c r="D142" i="21"/>
  <c r="D143" i="21"/>
  <c r="D144" i="21"/>
  <c r="D145" i="21"/>
  <c r="D146" i="21"/>
  <c r="D147" i="21"/>
  <c r="D148" i="21"/>
  <c r="D149" i="21"/>
  <c r="D150" i="21"/>
  <c r="D151" i="21"/>
  <c r="D152" i="21"/>
  <c r="D153" i="21"/>
  <c r="D154" i="21"/>
  <c r="D155" i="21"/>
  <c r="D156" i="21"/>
  <c r="D157" i="21"/>
  <c r="D158" i="21"/>
  <c r="D159" i="21"/>
  <c r="D160" i="21"/>
  <c r="D161" i="21"/>
  <c r="D162" i="21"/>
  <c r="D163" i="21"/>
  <c r="D164" i="21"/>
  <c r="D165" i="21"/>
  <c r="D166" i="21"/>
  <c r="D167" i="21"/>
  <c r="D168" i="21"/>
  <c r="D169" i="21"/>
  <c r="D170" i="21"/>
  <c r="D171" i="21"/>
  <c r="D172" i="21"/>
  <c r="D173" i="21"/>
  <c r="D174" i="21"/>
  <c r="D175" i="21"/>
  <c r="D176" i="21"/>
  <c r="D177" i="21"/>
  <c r="D178" i="21"/>
  <c r="D179" i="21"/>
  <c r="D180" i="21"/>
  <c r="D181" i="21"/>
  <c r="D182" i="21"/>
  <c r="D183" i="21"/>
  <c r="D184" i="21"/>
  <c r="D185" i="21"/>
  <c r="D186" i="21"/>
  <c r="D187" i="21"/>
  <c r="D188" i="21"/>
  <c r="D189" i="21"/>
  <c r="D190" i="21"/>
  <c r="D191" i="21"/>
  <c r="D192" i="21"/>
  <c r="D193" i="21"/>
  <c r="D194" i="21"/>
  <c r="D195" i="21"/>
  <c r="D196" i="21"/>
  <c r="D197" i="21"/>
  <c r="D198" i="21"/>
  <c r="D199" i="21"/>
  <c r="D200" i="21"/>
  <c r="D201" i="21"/>
  <c r="D202" i="21"/>
  <c r="D203" i="21"/>
  <c r="D204" i="21"/>
  <c r="D205" i="21"/>
  <c r="D206" i="21"/>
  <c r="D207" i="21"/>
  <c r="D208" i="21"/>
  <c r="D209" i="21"/>
  <c r="D210" i="21"/>
  <c r="D211" i="21"/>
  <c r="D212" i="21"/>
  <c r="D213" i="21"/>
  <c r="D214" i="21"/>
  <c r="D215" i="21"/>
  <c r="D216" i="21"/>
  <c r="D217" i="21"/>
  <c r="D218" i="21"/>
  <c r="D219" i="21"/>
  <c r="D220" i="21"/>
  <c r="D221" i="21"/>
  <c r="D222" i="21"/>
  <c r="D223" i="21"/>
  <c r="D224" i="21"/>
  <c r="D225" i="21"/>
  <c r="D226" i="21"/>
  <c r="D227" i="21"/>
  <c r="D228" i="21"/>
  <c r="D229" i="21"/>
  <c r="D230" i="21"/>
  <c r="D231" i="21"/>
  <c r="D232" i="21"/>
  <c r="D233" i="21"/>
  <c r="D234" i="21"/>
  <c r="D235" i="21"/>
  <c r="D236" i="21"/>
  <c r="D237" i="21"/>
  <c r="D238" i="21"/>
  <c r="D239" i="21"/>
  <c r="D240" i="21"/>
  <c r="D241" i="21"/>
  <c r="D242" i="21"/>
  <c r="D243" i="21"/>
  <c r="D244" i="21"/>
  <c r="D245" i="21"/>
  <c r="D246" i="21"/>
  <c r="D247" i="21"/>
  <c r="D248" i="21"/>
  <c r="D249" i="21"/>
  <c r="D250" i="21"/>
  <c r="D251" i="21"/>
  <c r="D252" i="21"/>
  <c r="D253" i="21"/>
  <c r="D254" i="21"/>
  <c r="D255" i="21"/>
  <c r="D256" i="21"/>
  <c r="D257" i="21"/>
  <c r="D258" i="21"/>
  <c r="D259" i="21"/>
  <c r="D260" i="21"/>
  <c r="D261" i="21"/>
  <c r="D262" i="21"/>
  <c r="D263" i="21"/>
  <c r="D264" i="21"/>
  <c r="D265" i="21"/>
  <c r="D266" i="21"/>
  <c r="D267" i="21"/>
  <c r="D268" i="21"/>
  <c r="D269" i="21"/>
  <c r="D270" i="21"/>
  <c r="D271" i="21"/>
  <c r="D272" i="21"/>
  <c r="D273" i="21"/>
  <c r="D274" i="21"/>
  <c r="D275" i="21"/>
  <c r="D276" i="21"/>
  <c r="D277" i="21"/>
  <c r="D278" i="21"/>
  <c r="D279" i="21"/>
  <c r="D280" i="21"/>
  <c r="D281" i="21"/>
  <c r="D282" i="21"/>
  <c r="D283" i="21"/>
  <c r="D284" i="21"/>
  <c r="D285" i="21"/>
  <c r="D286" i="21"/>
  <c r="D287" i="21"/>
  <c r="D288" i="21"/>
  <c r="D289" i="21"/>
  <c r="D290" i="21"/>
  <c r="D291" i="21"/>
  <c r="D292" i="21"/>
  <c r="D293" i="21"/>
  <c r="D294" i="21"/>
  <c r="D295" i="21"/>
  <c r="D296" i="21"/>
  <c r="D297" i="21"/>
  <c r="D298" i="21"/>
  <c r="D299" i="21"/>
  <c r="D300" i="21"/>
  <c r="D301" i="21"/>
  <c r="D302" i="21"/>
  <c r="D303" i="21"/>
  <c r="D304" i="21"/>
  <c r="D305" i="21"/>
  <c r="D306" i="21"/>
  <c r="D307" i="21"/>
  <c r="D308" i="21"/>
  <c r="D309" i="21"/>
  <c r="D310" i="21"/>
  <c r="D311" i="21"/>
  <c r="D312" i="21"/>
  <c r="D313" i="21"/>
  <c r="D314" i="21"/>
  <c r="D315" i="21"/>
  <c r="D316" i="21"/>
  <c r="D317" i="21"/>
  <c r="D318" i="21"/>
  <c r="D319" i="21"/>
  <c r="D320" i="21"/>
  <c r="D321" i="21"/>
  <c r="D322" i="21"/>
  <c r="D323" i="21"/>
  <c r="D324" i="21"/>
  <c r="D325" i="21"/>
  <c r="D326" i="21"/>
  <c r="D327" i="21"/>
  <c r="D328" i="21"/>
  <c r="D329" i="21"/>
  <c r="D330" i="21"/>
  <c r="D331" i="21"/>
  <c r="D332" i="21"/>
  <c r="D333" i="21"/>
  <c r="D334" i="21"/>
  <c r="D335" i="21"/>
  <c r="D336" i="21"/>
  <c r="D337" i="21"/>
  <c r="D338" i="21"/>
  <c r="D339" i="21"/>
  <c r="D340" i="21"/>
  <c r="D341" i="21"/>
  <c r="D342" i="21"/>
  <c r="D343" i="21"/>
  <c r="D344" i="21"/>
  <c r="D345" i="21"/>
  <c r="D346" i="21"/>
  <c r="D347" i="21"/>
  <c r="D348" i="21"/>
  <c r="D349" i="21"/>
  <c r="D350" i="21"/>
  <c r="D351" i="21"/>
  <c r="D352" i="21"/>
  <c r="D353" i="21"/>
  <c r="D354" i="21"/>
  <c r="D355" i="21"/>
  <c r="D356" i="21"/>
  <c r="D357" i="21"/>
  <c r="D358" i="21"/>
  <c r="D359" i="21"/>
  <c r="D360" i="21"/>
  <c r="D361" i="21"/>
  <c r="D362" i="21"/>
  <c r="D363" i="21"/>
  <c r="D364" i="21"/>
  <c r="D365" i="21"/>
  <c r="D366" i="21"/>
  <c r="D367" i="21"/>
  <c r="D368" i="21"/>
  <c r="D369" i="21"/>
  <c r="D370" i="21"/>
  <c r="D371" i="21"/>
  <c r="D372" i="21"/>
  <c r="D373" i="21"/>
  <c r="D374" i="21"/>
  <c r="D375" i="21"/>
  <c r="D376" i="21"/>
  <c r="D377" i="21"/>
  <c r="D378" i="21"/>
  <c r="D379" i="21"/>
  <c r="D380" i="21"/>
  <c r="D381" i="21"/>
  <c r="D382" i="21"/>
  <c r="D383" i="21"/>
  <c r="D384" i="21"/>
  <c r="D385" i="21"/>
  <c r="D386" i="21"/>
  <c r="D387" i="21"/>
  <c r="D388" i="21"/>
  <c r="D389" i="21"/>
  <c r="D390" i="21"/>
  <c r="D391" i="21"/>
  <c r="D392" i="21"/>
  <c r="D393" i="21"/>
  <c r="D394" i="21"/>
  <c r="D395" i="21"/>
  <c r="D396" i="21"/>
  <c r="D397" i="21"/>
  <c r="D398" i="21"/>
  <c r="D399" i="21"/>
  <c r="D400" i="21"/>
  <c r="D401" i="21"/>
  <c r="D402" i="21"/>
  <c r="D403" i="21"/>
  <c r="D404" i="21"/>
  <c r="D405" i="21"/>
  <c r="D406" i="21"/>
  <c r="D407" i="21"/>
  <c r="D408" i="21"/>
  <c r="D409" i="21"/>
  <c r="D410" i="21"/>
  <c r="D411" i="21"/>
  <c r="D412" i="21"/>
  <c r="D413" i="21"/>
  <c r="D414" i="21"/>
  <c r="D415" i="21"/>
  <c r="D416" i="21"/>
  <c r="D417" i="21"/>
  <c r="D418" i="21"/>
  <c r="D419" i="21"/>
  <c r="D420" i="21"/>
  <c r="D421" i="21"/>
  <c r="D422" i="21"/>
  <c r="D423" i="21"/>
  <c r="D424" i="21"/>
  <c r="D425" i="21"/>
  <c r="D426" i="21"/>
  <c r="D427" i="21"/>
  <c r="D428" i="21"/>
  <c r="D429" i="21"/>
  <c r="D430" i="21"/>
  <c r="D431" i="21"/>
  <c r="D432" i="21"/>
  <c r="D433" i="21"/>
  <c r="D434" i="21"/>
  <c r="D435" i="21"/>
  <c r="D436" i="21"/>
  <c r="D437" i="21"/>
  <c r="D438" i="21"/>
  <c r="D439" i="21"/>
  <c r="D440" i="21"/>
  <c r="D441" i="21"/>
  <c r="D442" i="21"/>
  <c r="D443" i="21"/>
  <c r="D444" i="21"/>
  <c r="D445" i="21"/>
  <c r="D446" i="21"/>
  <c r="D447" i="21"/>
  <c r="D448" i="21"/>
  <c r="D449" i="21"/>
  <c r="D450" i="21"/>
  <c r="D451" i="21"/>
  <c r="D452" i="21"/>
  <c r="D453" i="21"/>
  <c r="D454" i="21"/>
  <c r="D455" i="21"/>
  <c r="D456" i="21"/>
  <c r="D457" i="21"/>
  <c r="D458" i="21"/>
  <c r="D459" i="21"/>
  <c r="D460" i="21"/>
  <c r="D461" i="21"/>
  <c r="D462" i="21"/>
  <c r="D463" i="21"/>
  <c r="D464" i="21"/>
  <c r="D465" i="21"/>
  <c r="D466" i="21"/>
  <c r="D467" i="21"/>
  <c r="D468" i="21"/>
  <c r="D469" i="21"/>
  <c r="D470" i="21"/>
  <c r="D471" i="21"/>
  <c r="D472" i="21"/>
  <c r="D473" i="21"/>
  <c r="D474" i="21"/>
  <c r="D475" i="21"/>
  <c r="D476" i="21"/>
  <c r="D477" i="21"/>
  <c r="D478" i="21"/>
  <c r="D479" i="21"/>
  <c r="D480" i="21"/>
  <c r="D481" i="21"/>
  <c r="D482" i="21"/>
  <c r="D483" i="21"/>
  <c r="D484" i="21"/>
  <c r="D485" i="21"/>
  <c r="D486" i="21"/>
  <c r="D487" i="21"/>
  <c r="D488" i="21"/>
  <c r="D489" i="21"/>
  <c r="D490" i="21"/>
  <c r="D491" i="21"/>
  <c r="D492" i="21"/>
  <c r="D493" i="21"/>
  <c r="D494" i="21"/>
  <c r="CM1" i="18" l="1"/>
  <c r="G494" i="21"/>
  <c r="G493" i="21"/>
  <c r="G492" i="21"/>
  <c r="G491" i="21"/>
  <c r="G489" i="21"/>
  <c r="G487" i="21"/>
  <c r="G486" i="21"/>
  <c r="G485" i="21"/>
  <c r="G484" i="21"/>
  <c r="G483" i="21"/>
  <c r="G482" i="21"/>
  <c r="G481" i="21"/>
  <c r="G479" i="21"/>
  <c r="G478" i="21"/>
  <c r="G477" i="21"/>
  <c r="G475" i="21"/>
  <c r="G474" i="21"/>
  <c r="G473" i="21"/>
  <c r="G471" i="21"/>
  <c r="G470" i="21"/>
  <c r="G469" i="21"/>
  <c r="G467" i="21"/>
  <c r="G466" i="21"/>
  <c r="G465" i="21"/>
  <c r="G464" i="21"/>
  <c r="G463" i="21"/>
  <c r="G461" i="21"/>
  <c r="G459" i="21"/>
  <c r="G458" i="21"/>
  <c r="G457" i="21"/>
  <c r="G456" i="21"/>
  <c r="G455" i="21"/>
  <c r="G454" i="21"/>
  <c r="G453" i="21"/>
  <c r="G451" i="21"/>
  <c r="G450" i="21"/>
  <c r="G449" i="21"/>
  <c r="G447" i="21"/>
  <c r="G446" i="21"/>
  <c r="G445" i="21"/>
  <c r="G443" i="21"/>
  <c r="G442" i="21"/>
  <c r="G441" i="21"/>
  <c r="G439" i="21"/>
  <c r="G438" i="21"/>
  <c r="G437" i="21"/>
  <c r="G435" i="21"/>
  <c r="G434" i="21"/>
  <c r="G433" i="21"/>
  <c r="G431" i="21"/>
  <c r="G430" i="21"/>
  <c r="G429" i="21"/>
  <c r="G428" i="21"/>
  <c r="G427" i="21"/>
  <c r="G426" i="21"/>
  <c r="G425" i="21"/>
  <c r="G423" i="21"/>
  <c r="G422" i="21"/>
  <c r="G420" i="21"/>
  <c r="G419" i="21"/>
  <c r="G418" i="21"/>
  <c r="G417" i="21"/>
  <c r="G415" i="21"/>
  <c r="G414" i="21"/>
  <c r="G413" i="21"/>
  <c r="G411" i="21"/>
  <c r="G410" i="21"/>
  <c r="G409" i="21"/>
  <c r="G407" i="21"/>
  <c r="G406" i="21"/>
  <c r="G405" i="21"/>
  <c r="G404" i="21"/>
  <c r="G403" i="21"/>
  <c r="G402" i="21"/>
  <c r="G401" i="21"/>
  <c r="G399" i="21"/>
  <c r="G398" i="21"/>
  <c r="G397" i="21"/>
  <c r="G395" i="21"/>
  <c r="G394" i="21"/>
  <c r="G393" i="21"/>
  <c r="G392" i="21"/>
  <c r="G391" i="21"/>
  <c r="G390" i="21"/>
  <c r="G389" i="21"/>
  <c r="G387" i="21"/>
  <c r="G386" i="21"/>
  <c r="G385" i="21"/>
  <c r="G383" i="21"/>
  <c r="G382" i="21"/>
  <c r="G381" i="21"/>
  <c r="G379" i="21"/>
  <c r="G378" i="21"/>
  <c r="G377" i="21"/>
  <c r="G376" i="21"/>
  <c r="G375" i="21"/>
  <c r="G374" i="21"/>
  <c r="G373" i="21"/>
  <c r="G371" i="21"/>
  <c r="G370" i="21"/>
  <c r="G369" i="21"/>
  <c r="G367" i="21"/>
  <c r="G366" i="21"/>
  <c r="G365" i="21"/>
  <c r="G363" i="21"/>
  <c r="G362" i="21"/>
  <c r="G361" i="21"/>
  <c r="G360" i="21"/>
  <c r="G359" i="21"/>
  <c r="G358" i="21"/>
  <c r="G357" i="21"/>
  <c r="G355" i="21"/>
  <c r="G354" i="21"/>
  <c r="G353" i="21"/>
  <c r="G351" i="21"/>
  <c r="G350" i="21"/>
  <c r="G349" i="21"/>
  <c r="G347" i="21"/>
  <c r="G346" i="21"/>
  <c r="G345" i="21"/>
  <c r="G344" i="21"/>
  <c r="G343" i="21"/>
  <c r="G342" i="21"/>
  <c r="G341" i="21"/>
  <c r="G339" i="21"/>
  <c r="G338" i="21"/>
  <c r="G337" i="21"/>
  <c r="G335" i="21"/>
  <c r="G334" i="21"/>
  <c r="G333" i="21"/>
  <c r="G331" i="21"/>
  <c r="G330" i="21"/>
  <c r="G329" i="21"/>
  <c r="G328" i="21"/>
  <c r="G327" i="21"/>
  <c r="G326" i="21"/>
  <c r="G325" i="21"/>
  <c r="G323" i="21"/>
  <c r="G322" i="21"/>
  <c r="G321" i="21"/>
  <c r="G319" i="21"/>
  <c r="G318" i="21"/>
  <c r="G317" i="21"/>
  <c r="G315" i="21"/>
  <c r="G314" i="21"/>
  <c r="G313" i="21"/>
  <c r="G312" i="21"/>
  <c r="G311" i="21"/>
  <c r="G310" i="21"/>
  <c r="G309" i="21"/>
  <c r="G307" i="21"/>
  <c r="G306" i="21"/>
  <c r="G305" i="21"/>
  <c r="G303" i="21"/>
  <c r="G302" i="21"/>
  <c r="G301" i="21"/>
  <c r="G299" i="21"/>
  <c r="G298" i="21"/>
  <c r="G297" i="21"/>
  <c r="G296" i="21"/>
  <c r="G295" i="21"/>
  <c r="G294" i="21"/>
  <c r="G293" i="21"/>
  <c r="G291" i="21"/>
  <c r="G290" i="21"/>
  <c r="G289" i="21"/>
  <c r="G287" i="21"/>
  <c r="G286" i="21"/>
  <c r="G285" i="21"/>
  <c r="G283" i="21"/>
  <c r="G282" i="21"/>
  <c r="G281" i="21"/>
  <c r="G280" i="21"/>
  <c r="G279" i="21"/>
  <c r="G278" i="21"/>
  <c r="G277" i="21"/>
  <c r="G275" i="21"/>
  <c r="G274" i="21"/>
  <c r="G273" i="21"/>
  <c r="G271" i="21"/>
  <c r="G270" i="21"/>
  <c r="G269" i="21"/>
  <c r="G267" i="21"/>
  <c r="G266" i="21"/>
  <c r="G265" i="21"/>
  <c r="G264" i="21"/>
  <c r="G263" i="21"/>
  <c r="G262" i="21"/>
  <c r="G261" i="21"/>
  <c r="G259" i="21"/>
  <c r="G258" i="21"/>
  <c r="G257" i="21"/>
  <c r="G255" i="21"/>
  <c r="G254" i="21"/>
  <c r="G253" i="21"/>
  <c r="G251" i="21"/>
  <c r="G250" i="21"/>
  <c r="G249" i="21"/>
  <c r="G248" i="21"/>
  <c r="G247" i="21"/>
  <c r="G246" i="21"/>
  <c r="G245" i="21"/>
  <c r="G243" i="21"/>
  <c r="G242" i="21"/>
  <c r="G241" i="21"/>
  <c r="G239" i="21"/>
  <c r="G238" i="21"/>
  <c r="G237" i="21"/>
  <c r="G235" i="21"/>
  <c r="G234" i="21"/>
  <c r="G233" i="21"/>
  <c r="G232" i="21"/>
  <c r="G231" i="21"/>
  <c r="G230" i="21"/>
  <c r="G229" i="21"/>
  <c r="G227" i="21"/>
  <c r="G226" i="21"/>
  <c r="G225" i="21"/>
  <c r="G223" i="21"/>
  <c r="G222" i="21"/>
  <c r="G221" i="21"/>
  <c r="G219" i="21"/>
  <c r="G218" i="21"/>
  <c r="G215" i="21"/>
  <c r="G214" i="21"/>
  <c r="G213" i="21"/>
  <c r="G211" i="21"/>
  <c r="G210" i="21"/>
  <c r="G209" i="21"/>
  <c r="G207" i="21"/>
  <c r="G206" i="21"/>
  <c r="G205" i="21"/>
  <c r="G203" i="21"/>
  <c r="G202" i="21"/>
  <c r="G201" i="21"/>
  <c r="G200" i="21"/>
  <c r="G199" i="21"/>
  <c r="G198" i="21"/>
  <c r="G197" i="21"/>
  <c r="G195" i="21"/>
  <c r="G194" i="21"/>
  <c r="G193" i="21"/>
  <c r="G191" i="21"/>
  <c r="G190" i="21"/>
  <c r="G189" i="21"/>
  <c r="G187" i="21"/>
  <c r="G186" i="21"/>
  <c r="G185" i="21"/>
  <c r="G184" i="21"/>
  <c r="G183" i="21"/>
  <c r="G182" i="21"/>
  <c r="G181" i="21"/>
  <c r="G180" i="21"/>
  <c r="G179" i="21"/>
  <c r="G178" i="21"/>
  <c r="G177" i="21"/>
  <c r="G176" i="21"/>
  <c r="G175" i="21"/>
  <c r="G174" i="21"/>
  <c r="G173" i="21"/>
  <c r="G172" i="21"/>
  <c r="G171" i="21"/>
  <c r="G170" i="21"/>
  <c r="G169" i="21"/>
  <c r="G168" i="21"/>
  <c r="G167" i="21"/>
  <c r="G166" i="21"/>
  <c r="G165" i="21"/>
  <c r="G164" i="21"/>
  <c r="G163" i="21"/>
  <c r="G162" i="21"/>
  <c r="G161" i="21"/>
  <c r="G160" i="21"/>
  <c r="G159" i="21"/>
  <c r="G158" i="21"/>
  <c r="G157" i="21"/>
  <c r="G156" i="21"/>
  <c r="G155" i="21"/>
  <c r="G154" i="21"/>
  <c r="G153" i="21"/>
  <c r="G152" i="21"/>
  <c r="G151" i="21"/>
  <c r="G150" i="21"/>
  <c r="G149" i="21"/>
  <c r="G148" i="21"/>
  <c r="G147" i="21"/>
  <c r="G146" i="21"/>
  <c r="G145" i="21"/>
  <c r="G144" i="21"/>
  <c r="G143" i="21"/>
  <c r="G142" i="21"/>
  <c r="G141" i="21"/>
  <c r="G140" i="21"/>
  <c r="G139" i="21"/>
  <c r="G138" i="21"/>
  <c r="G137" i="21"/>
  <c r="G136" i="21"/>
  <c r="G135" i="21"/>
  <c r="G134" i="21"/>
  <c r="G133" i="21"/>
  <c r="G132" i="21"/>
  <c r="G131" i="21"/>
  <c r="G129" i="21"/>
  <c r="G128" i="21"/>
  <c r="G127" i="21"/>
  <c r="G126" i="21"/>
  <c r="G125" i="21"/>
  <c r="G124" i="21"/>
  <c r="G123" i="21"/>
  <c r="G122" i="21"/>
  <c r="G121" i="21"/>
  <c r="G120" i="21"/>
  <c r="G119" i="21"/>
  <c r="G118" i="21"/>
  <c r="G117" i="21"/>
  <c r="G116" i="21"/>
  <c r="G115" i="21"/>
  <c r="G114" i="21"/>
  <c r="G113" i="21"/>
  <c r="G112" i="21"/>
  <c r="G111" i="21"/>
  <c r="G130" i="21"/>
  <c r="G188" i="21"/>
  <c r="G192" i="21"/>
  <c r="G196" i="21"/>
  <c r="G204" i="21"/>
  <c r="G208" i="21"/>
  <c r="G212" i="21"/>
  <c r="G220" i="21"/>
  <c r="G224" i="21"/>
  <c r="G228" i="21"/>
  <c r="G236" i="21"/>
  <c r="G240" i="21"/>
  <c r="G244" i="21"/>
  <c r="G252" i="21"/>
  <c r="G256" i="21"/>
  <c r="G260" i="21"/>
  <c r="G268" i="21"/>
  <c r="G272" i="21"/>
  <c r="G276" i="21"/>
  <c r="G284" i="21"/>
  <c r="G288" i="21"/>
  <c r="G292" i="21"/>
  <c r="G300" i="21"/>
  <c r="G304" i="21"/>
  <c r="G308" i="21"/>
  <c r="G316" i="21"/>
  <c r="G320" i="21"/>
  <c r="G324" i="21"/>
  <c r="G332" i="21"/>
  <c r="G336" i="21"/>
  <c r="G340" i="21"/>
  <c r="G348" i="21"/>
  <c r="G352" i="21"/>
  <c r="G356" i="21"/>
  <c r="G364" i="21"/>
  <c r="G368" i="21"/>
  <c r="G372" i="21"/>
  <c r="G380" i="21"/>
  <c r="G384" i="21"/>
  <c r="G388" i="21"/>
  <c r="G396" i="21"/>
  <c r="G400" i="21"/>
  <c r="G408" i="21"/>
  <c r="G412" i="21"/>
  <c r="G416" i="21"/>
  <c r="G421" i="21"/>
  <c r="G424" i="21"/>
  <c r="G432" i="21"/>
  <c r="G436" i="21"/>
  <c r="G440" i="21"/>
  <c r="G444" i="21"/>
  <c r="G448" i="21"/>
  <c r="G452" i="21"/>
  <c r="G460" i="21"/>
  <c r="G462" i="21"/>
  <c r="G468" i="21"/>
  <c r="G472" i="21"/>
  <c r="G476" i="21"/>
  <c r="G480" i="21"/>
  <c r="G488" i="21"/>
  <c r="G490" i="21"/>
  <c r="D8" i="15"/>
  <c r="G216" i="21" l="1"/>
  <c r="G217" i="21"/>
  <c r="G7" i="21" l="1"/>
  <c r="G8" i="21"/>
  <c r="G9" i="21"/>
  <c r="G10" i="21"/>
  <c r="G11" i="21"/>
  <c r="G12" i="21"/>
  <c r="G13" i="21"/>
  <c r="G14" i="21"/>
  <c r="G15" i="21"/>
  <c r="G16" i="21"/>
  <c r="G17" i="21"/>
  <c r="G18" i="21"/>
  <c r="G19" i="21"/>
  <c r="G20" i="21"/>
  <c r="G21" i="21"/>
  <c r="G22" i="21"/>
  <c r="G23" i="21"/>
  <c r="G24" i="21"/>
  <c r="G25" i="21"/>
  <c r="G26" i="21"/>
  <c r="G27" i="21"/>
  <c r="G28" i="21"/>
  <c r="G29" i="21"/>
  <c r="G30" i="21"/>
  <c r="G31" i="21"/>
  <c r="G32" i="21"/>
  <c r="G33" i="21"/>
  <c r="G34" i="21"/>
  <c r="G35" i="21"/>
  <c r="G36" i="21"/>
  <c r="G37" i="21"/>
  <c r="G38" i="21"/>
  <c r="G39" i="21"/>
  <c r="G40" i="21"/>
  <c r="G41" i="21"/>
  <c r="G42" i="21"/>
  <c r="G43" i="21"/>
  <c r="G44" i="21"/>
  <c r="G45" i="21"/>
  <c r="G46" i="21"/>
  <c r="G47" i="21"/>
  <c r="G48" i="21"/>
  <c r="G49" i="21"/>
  <c r="G50" i="21"/>
  <c r="G51" i="21"/>
  <c r="G52" i="21"/>
  <c r="G53" i="21"/>
  <c r="G54" i="21"/>
  <c r="G55" i="21"/>
  <c r="G56" i="21"/>
  <c r="G57" i="21"/>
  <c r="G58" i="21"/>
  <c r="G59" i="21"/>
  <c r="G60" i="21"/>
  <c r="G61" i="21"/>
  <c r="G62" i="21"/>
  <c r="G63" i="21"/>
  <c r="G64" i="21"/>
  <c r="G65" i="21"/>
  <c r="G66" i="21"/>
  <c r="G67" i="21"/>
  <c r="G68" i="21"/>
  <c r="G69" i="21"/>
  <c r="G70" i="21"/>
  <c r="G71" i="21"/>
  <c r="G72" i="21"/>
  <c r="G73" i="21"/>
  <c r="G74" i="21"/>
  <c r="G75" i="21"/>
  <c r="G76" i="21"/>
  <c r="G77" i="21"/>
  <c r="G78" i="21"/>
  <c r="G79" i="21"/>
  <c r="G106" i="21"/>
  <c r="G3" i="21"/>
  <c r="E494" i="21"/>
  <c r="F491" i="21"/>
  <c r="E490" i="21"/>
  <c r="F483" i="21"/>
  <c r="E482" i="21"/>
  <c r="E478" i="21"/>
  <c r="F475" i="21"/>
  <c r="E474" i="21"/>
  <c r="F467" i="21"/>
  <c r="E466" i="21"/>
  <c r="E462" i="21"/>
  <c r="F459" i="21"/>
  <c r="E458" i="21"/>
  <c r="F451" i="21"/>
  <c r="E450" i="21"/>
  <c r="E446" i="21"/>
  <c r="F443" i="21"/>
  <c r="E442" i="21"/>
  <c r="F435" i="21"/>
  <c r="E434" i="21"/>
  <c r="E430" i="21"/>
  <c r="F427" i="21"/>
  <c r="E426" i="21"/>
  <c r="G110" i="21" l="1"/>
  <c r="F102" i="21"/>
  <c r="G102" i="21"/>
  <c r="G98" i="21"/>
  <c r="F94" i="21"/>
  <c r="G94" i="21"/>
  <c r="G90" i="21"/>
  <c r="E86" i="21"/>
  <c r="G86" i="21"/>
  <c r="G82" i="21"/>
  <c r="G109" i="21"/>
  <c r="G105" i="21"/>
  <c r="G101" i="21"/>
  <c r="G97" i="21"/>
  <c r="G93" i="21"/>
  <c r="G89" i="21"/>
  <c r="F85" i="21"/>
  <c r="G85" i="21"/>
  <c r="G81" i="21"/>
  <c r="E104" i="21"/>
  <c r="G104" i="21"/>
  <c r="G88" i="21"/>
  <c r="E241" i="21"/>
  <c r="E249" i="21"/>
  <c r="E257" i="21"/>
  <c r="E265" i="21"/>
  <c r="E313" i="21"/>
  <c r="E321" i="21"/>
  <c r="F126" i="21"/>
  <c r="F138" i="21"/>
  <c r="F146" i="21"/>
  <c r="F154" i="21"/>
  <c r="F166" i="21"/>
  <c r="F182" i="21"/>
  <c r="F198" i="21"/>
  <c r="F222" i="21"/>
  <c r="F118" i="21"/>
  <c r="F130" i="21"/>
  <c r="F150" i="21"/>
  <c r="F162" i="21"/>
  <c r="F174" i="21"/>
  <c r="F186" i="21"/>
  <c r="F194" i="21"/>
  <c r="F206" i="21"/>
  <c r="F214" i="21"/>
  <c r="F226" i="21"/>
  <c r="F234" i="21"/>
  <c r="F242" i="21"/>
  <c r="F250" i="21"/>
  <c r="F262" i="21"/>
  <c r="F278" i="21"/>
  <c r="F282" i="21"/>
  <c r="F290" i="21"/>
  <c r="F306" i="21"/>
  <c r="E330" i="21"/>
  <c r="E350" i="21"/>
  <c r="E354" i="21"/>
  <c r="E362" i="21"/>
  <c r="E370" i="21"/>
  <c r="E378" i="21"/>
  <c r="E418" i="21"/>
  <c r="F115" i="21"/>
  <c r="F123" i="21"/>
  <c r="F131" i="21"/>
  <c r="F139" i="21"/>
  <c r="F147" i="21"/>
  <c r="F159" i="21"/>
  <c r="F167" i="21"/>
  <c r="F175" i="21"/>
  <c r="F183" i="21"/>
  <c r="F191" i="21"/>
  <c r="F199" i="21"/>
  <c r="F207" i="21"/>
  <c r="F215" i="21"/>
  <c r="F223" i="21"/>
  <c r="F231" i="21"/>
  <c r="E239" i="21"/>
  <c r="E247" i="21"/>
  <c r="E255" i="21"/>
  <c r="E263" i="21"/>
  <c r="E271" i="21"/>
  <c r="E279" i="21"/>
  <c r="E287" i="21"/>
  <c r="E295" i="21"/>
  <c r="E303" i="21"/>
  <c r="E311" i="21"/>
  <c r="E319" i="21"/>
  <c r="E323" i="21"/>
  <c r="F331" i="21"/>
  <c r="F371" i="21"/>
  <c r="F379" i="21"/>
  <c r="F387" i="21"/>
  <c r="F395" i="21"/>
  <c r="F403" i="21"/>
  <c r="F411" i="21"/>
  <c r="F419" i="21"/>
  <c r="E273" i="21"/>
  <c r="E281" i="21"/>
  <c r="E289" i="21"/>
  <c r="E297" i="21"/>
  <c r="E305" i="21"/>
  <c r="F114" i="21"/>
  <c r="F122" i="21"/>
  <c r="F134" i="21"/>
  <c r="F142" i="21"/>
  <c r="F158" i="21"/>
  <c r="F170" i="21"/>
  <c r="F178" i="21"/>
  <c r="F190" i="21"/>
  <c r="F202" i="21"/>
  <c r="F210" i="21"/>
  <c r="F218" i="21"/>
  <c r="F230" i="21"/>
  <c r="F238" i="21"/>
  <c r="F246" i="21"/>
  <c r="F254" i="21"/>
  <c r="F258" i="21"/>
  <c r="F266" i="21"/>
  <c r="F294" i="21"/>
  <c r="E334" i="21"/>
  <c r="E338" i="21"/>
  <c r="E346" i="21"/>
  <c r="E366" i="21"/>
  <c r="E382" i="21"/>
  <c r="E386" i="21"/>
  <c r="E394" i="21"/>
  <c r="E398" i="21"/>
  <c r="E402" i="21"/>
  <c r="E410" i="21"/>
  <c r="E414" i="21"/>
  <c r="F111" i="21"/>
  <c r="F119" i="21"/>
  <c r="F127" i="21"/>
  <c r="F135" i="21"/>
  <c r="F143" i="21"/>
  <c r="F151" i="21"/>
  <c r="F155" i="21"/>
  <c r="F163" i="21"/>
  <c r="F171" i="21"/>
  <c r="F179" i="21"/>
  <c r="F187" i="21"/>
  <c r="F195" i="21"/>
  <c r="F203" i="21"/>
  <c r="F211" i="21"/>
  <c r="F219" i="21"/>
  <c r="F227" i="21"/>
  <c r="F235" i="21"/>
  <c r="E243" i="21"/>
  <c r="E251" i="21"/>
  <c r="E259" i="21"/>
  <c r="E267" i="21"/>
  <c r="E275" i="21"/>
  <c r="E283" i="21"/>
  <c r="E291" i="21"/>
  <c r="E299" i="21"/>
  <c r="E307" i="21"/>
  <c r="E315" i="21"/>
  <c r="F339" i="21"/>
  <c r="F347" i="21"/>
  <c r="F355" i="21"/>
  <c r="F363" i="21"/>
  <c r="F112" i="21"/>
  <c r="F116" i="21"/>
  <c r="F120" i="21"/>
  <c r="F124" i="21"/>
  <c r="F128" i="21"/>
  <c r="F132" i="21"/>
  <c r="F136" i="21"/>
  <c r="F140" i="21"/>
  <c r="F144" i="21"/>
  <c r="F148" i="21"/>
  <c r="F152" i="21"/>
  <c r="F156" i="21"/>
  <c r="F160" i="21"/>
  <c r="F164" i="21"/>
  <c r="F168" i="21"/>
  <c r="F172" i="21"/>
  <c r="F176" i="21"/>
  <c r="F180" i="21"/>
  <c r="F184" i="21"/>
  <c r="F188" i="21"/>
  <c r="F192" i="21"/>
  <c r="F196" i="21"/>
  <c r="F200" i="21"/>
  <c r="F204" i="21"/>
  <c r="F208" i="21"/>
  <c r="F212" i="21"/>
  <c r="F216" i="21"/>
  <c r="F220" i="21"/>
  <c r="F224" i="21"/>
  <c r="F228" i="21"/>
  <c r="F232" i="21"/>
  <c r="F236" i="21"/>
  <c r="F110" i="21"/>
  <c r="F106" i="21"/>
  <c r="F98" i="21"/>
  <c r="F88" i="21"/>
  <c r="F90" i="21"/>
  <c r="F82" i="21"/>
  <c r="E172" i="21"/>
  <c r="E236" i="21"/>
  <c r="E112" i="21"/>
  <c r="E176" i="21"/>
  <c r="F265" i="21"/>
  <c r="E140" i="21"/>
  <c r="E204" i="21"/>
  <c r="F321" i="21"/>
  <c r="E144" i="21"/>
  <c r="E208" i="21"/>
  <c r="F430" i="21"/>
  <c r="E306" i="21"/>
  <c r="E124" i="21"/>
  <c r="E156" i="21"/>
  <c r="E188" i="21"/>
  <c r="E220" i="21"/>
  <c r="E278" i="21"/>
  <c r="F366" i="21"/>
  <c r="F494" i="21"/>
  <c r="F446" i="21"/>
  <c r="E128" i="21"/>
  <c r="E160" i="21"/>
  <c r="E192" i="21"/>
  <c r="E224" i="21"/>
  <c r="E282" i="21"/>
  <c r="F382" i="21"/>
  <c r="F310" i="21"/>
  <c r="E310" i="21"/>
  <c r="F314" i="21"/>
  <c r="E314" i="21"/>
  <c r="F318" i="21"/>
  <c r="E318" i="21"/>
  <c r="F322" i="21"/>
  <c r="E322" i="21"/>
  <c r="E326" i="21"/>
  <c r="F326" i="21"/>
  <c r="E358" i="21"/>
  <c r="F358" i="21"/>
  <c r="E374" i="21"/>
  <c r="F374" i="21"/>
  <c r="E390" i="21"/>
  <c r="F390" i="21"/>
  <c r="E406" i="21"/>
  <c r="F406" i="21"/>
  <c r="E422" i="21"/>
  <c r="F422" i="21"/>
  <c r="E438" i="21"/>
  <c r="F438" i="21"/>
  <c r="E454" i="21"/>
  <c r="F454" i="21"/>
  <c r="E470" i="21"/>
  <c r="F470" i="21"/>
  <c r="E486" i="21"/>
  <c r="F486" i="21"/>
  <c r="E290" i="21"/>
  <c r="F334" i="21"/>
  <c r="F398" i="21"/>
  <c r="F462" i="21"/>
  <c r="F270" i="21"/>
  <c r="E270" i="21"/>
  <c r="F274" i="21"/>
  <c r="E274" i="21"/>
  <c r="F286" i="21"/>
  <c r="E286" i="21"/>
  <c r="F298" i="21"/>
  <c r="E298" i="21"/>
  <c r="F302" i="21"/>
  <c r="E302" i="21"/>
  <c r="E342" i="21"/>
  <c r="F342" i="21"/>
  <c r="F327" i="21"/>
  <c r="E327" i="21"/>
  <c r="F335" i="21"/>
  <c r="E335" i="21"/>
  <c r="F343" i="21"/>
  <c r="E343" i="21"/>
  <c r="F351" i="21"/>
  <c r="E351" i="21"/>
  <c r="F359" i="21"/>
  <c r="E359" i="21"/>
  <c r="F367" i="21"/>
  <c r="E367" i="21"/>
  <c r="F375" i="21"/>
  <c r="E375" i="21"/>
  <c r="F383" i="21"/>
  <c r="E383" i="21"/>
  <c r="F391" i="21"/>
  <c r="E391" i="21"/>
  <c r="F399" i="21"/>
  <c r="E399" i="21"/>
  <c r="F407" i="21"/>
  <c r="E407" i="21"/>
  <c r="F415" i="21"/>
  <c r="E415" i="21"/>
  <c r="F423" i="21"/>
  <c r="E423" i="21"/>
  <c r="F431" i="21"/>
  <c r="E431" i="21"/>
  <c r="F439" i="21"/>
  <c r="E439" i="21"/>
  <c r="F447" i="21"/>
  <c r="E447" i="21"/>
  <c r="F455" i="21"/>
  <c r="E455" i="21"/>
  <c r="F463" i="21"/>
  <c r="E463" i="21"/>
  <c r="F471" i="21"/>
  <c r="E471" i="21"/>
  <c r="F479" i="21"/>
  <c r="E479" i="21"/>
  <c r="F487" i="21"/>
  <c r="E487" i="21"/>
  <c r="E294" i="21"/>
  <c r="F350" i="21"/>
  <c r="F414" i="21"/>
  <c r="F478" i="21"/>
  <c r="E116" i="21"/>
  <c r="E132" i="21"/>
  <c r="E148" i="21"/>
  <c r="E164" i="21"/>
  <c r="E180" i="21"/>
  <c r="E196" i="21"/>
  <c r="E212" i="21"/>
  <c r="E228" i="21"/>
  <c r="E120" i="21"/>
  <c r="E136" i="21"/>
  <c r="E152" i="21"/>
  <c r="E168" i="21"/>
  <c r="E184" i="21"/>
  <c r="E200" i="21"/>
  <c r="E216" i="21"/>
  <c r="E232" i="21"/>
  <c r="F289" i="21"/>
  <c r="E88" i="21"/>
  <c r="F89" i="21"/>
  <c r="E89" i="21"/>
  <c r="F97" i="21"/>
  <c r="E97" i="21"/>
  <c r="F105" i="21"/>
  <c r="E105" i="21"/>
  <c r="F113" i="21"/>
  <c r="E113" i="21"/>
  <c r="F117" i="21"/>
  <c r="E117" i="21"/>
  <c r="F121" i="21"/>
  <c r="E121" i="21"/>
  <c r="F125" i="21"/>
  <c r="E125" i="21"/>
  <c r="F129" i="21"/>
  <c r="E129" i="21"/>
  <c r="F133" i="21"/>
  <c r="E133" i="21"/>
  <c r="F137" i="21"/>
  <c r="E137" i="21"/>
  <c r="F141" i="21"/>
  <c r="E141" i="21"/>
  <c r="F145" i="21"/>
  <c r="E145" i="21"/>
  <c r="F149" i="21"/>
  <c r="E149" i="21"/>
  <c r="F153" i="21"/>
  <c r="E153" i="21"/>
  <c r="F157" i="21"/>
  <c r="E157" i="21"/>
  <c r="F161" i="21"/>
  <c r="E161" i="21"/>
  <c r="F165" i="21"/>
  <c r="E165" i="21"/>
  <c r="F169" i="21"/>
  <c r="E169" i="21"/>
  <c r="F173" i="21"/>
  <c r="E173" i="21"/>
  <c r="F177" i="21"/>
  <c r="E177" i="21"/>
  <c r="F181" i="21"/>
  <c r="E181" i="21"/>
  <c r="F185" i="21"/>
  <c r="E185" i="21"/>
  <c r="F189" i="21"/>
  <c r="E189" i="21"/>
  <c r="F193" i="21"/>
  <c r="E193" i="21"/>
  <c r="F197" i="21"/>
  <c r="E197" i="21"/>
  <c r="F201" i="21"/>
  <c r="E201" i="21"/>
  <c r="F205" i="21"/>
  <c r="E205" i="21"/>
  <c r="F209" i="21"/>
  <c r="E209" i="21"/>
  <c r="F213" i="21"/>
  <c r="E213" i="21"/>
  <c r="F217" i="21"/>
  <c r="E217" i="21"/>
  <c r="F221" i="21"/>
  <c r="E221" i="21"/>
  <c r="F225" i="21"/>
  <c r="E225" i="21"/>
  <c r="F229" i="21"/>
  <c r="E229" i="21"/>
  <c r="F233" i="21"/>
  <c r="E233" i="21"/>
  <c r="F237" i="21"/>
  <c r="E237" i="21"/>
  <c r="E245" i="21"/>
  <c r="F245" i="21"/>
  <c r="E253" i="21"/>
  <c r="F253" i="21"/>
  <c r="E261" i="21"/>
  <c r="F261" i="21"/>
  <c r="E269" i="21"/>
  <c r="F269" i="21"/>
  <c r="E277" i="21"/>
  <c r="F277" i="21"/>
  <c r="E285" i="21"/>
  <c r="F285" i="21"/>
  <c r="E293" i="21"/>
  <c r="F293" i="21"/>
  <c r="E301" i="21"/>
  <c r="F301" i="21"/>
  <c r="E309" i="21"/>
  <c r="F309" i="21"/>
  <c r="E317" i="21"/>
  <c r="F317" i="21"/>
  <c r="F325" i="21"/>
  <c r="E325" i="21"/>
  <c r="F329" i="21"/>
  <c r="E329" i="21"/>
  <c r="F333" i="21"/>
  <c r="E333" i="21"/>
  <c r="F337" i="21"/>
  <c r="E337" i="21"/>
  <c r="F341" i="21"/>
  <c r="E341" i="21"/>
  <c r="F345" i="21"/>
  <c r="E345" i="21"/>
  <c r="F349" i="21"/>
  <c r="E349" i="21"/>
  <c r="F353" i="21"/>
  <c r="E353" i="21"/>
  <c r="F357" i="21"/>
  <c r="E357" i="21"/>
  <c r="F361" i="21"/>
  <c r="E361" i="21"/>
  <c r="F365" i="21"/>
  <c r="E365" i="21"/>
  <c r="F369" i="21"/>
  <c r="E369" i="21"/>
  <c r="F373" i="21"/>
  <c r="E373" i="21"/>
  <c r="F377" i="21"/>
  <c r="E377" i="21"/>
  <c r="F381" i="21"/>
  <c r="E381" i="21"/>
  <c r="F385" i="21"/>
  <c r="E385" i="21"/>
  <c r="F389" i="21"/>
  <c r="E389" i="21"/>
  <c r="F393" i="21"/>
  <c r="E393" i="21"/>
  <c r="F397" i="21"/>
  <c r="E397" i="21"/>
  <c r="F401" i="21"/>
  <c r="E401" i="21"/>
  <c r="F405" i="21"/>
  <c r="E405" i="21"/>
  <c r="F409" i="21"/>
  <c r="E409" i="21"/>
  <c r="F413" i="21"/>
  <c r="E413" i="21"/>
  <c r="F417" i="21"/>
  <c r="E417" i="21"/>
  <c r="F421" i="21"/>
  <c r="E421" i="21"/>
  <c r="F425" i="21"/>
  <c r="E425" i="21"/>
  <c r="F429" i="21"/>
  <c r="E429" i="21"/>
  <c r="F433" i="21"/>
  <c r="E433" i="21"/>
  <c r="F437" i="21"/>
  <c r="E437" i="21"/>
  <c r="F441" i="21"/>
  <c r="E441" i="21"/>
  <c r="F445" i="21"/>
  <c r="E445" i="21"/>
  <c r="F449" i="21"/>
  <c r="E449" i="21"/>
  <c r="F453" i="21"/>
  <c r="E453" i="21"/>
  <c r="F457" i="21"/>
  <c r="E457" i="21"/>
  <c r="F461" i="21"/>
  <c r="E461" i="21"/>
  <c r="F465" i="21"/>
  <c r="E465" i="21"/>
  <c r="F469" i="21"/>
  <c r="E469" i="21"/>
  <c r="F473" i="21"/>
  <c r="E473" i="21"/>
  <c r="F477" i="21"/>
  <c r="E477" i="21"/>
  <c r="F481" i="21"/>
  <c r="E481" i="21"/>
  <c r="F485" i="21"/>
  <c r="E485" i="21"/>
  <c r="F489" i="21"/>
  <c r="E489" i="21"/>
  <c r="F493" i="21"/>
  <c r="E493" i="21"/>
  <c r="F241" i="21"/>
  <c r="F281" i="21"/>
  <c r="F313" i="21"/>
  <c r="F249" i="21"/>
  <c r="F273" i="21"/>
  <c r="F305" i="21"/>
  <c r="F257" i="21"/>
  <c r="F297" i="21"/>
  <c r="E81" i="21"/>
  <c r="F81" i="21"/>
  <c r="E242" i="21"/>
  <c r="E250" i="21"/>
  <c r="E258" i="21"/>
  <c r="E266" i="21"/>
  <c r="E90" i="21"/>
  <c r="E98" i="21"/>
  <c r="E106" i="21"/>
  <c r="E110" i="21"/>
  <c r="E114" i="21"/>
  <c r="E118" i="21"/>
  <c r="E122" i="21"/>
  <c r="E126" i="21"/>
  <c r="E130" i="21"/>
  <c r="E134" i="21"/>
  <c r="E138" i="21"/>
  <c r="E142" i="21"/>
  <c r="E146" i="21"/>
  <c r="E150" i="21"/>
  <c r="E154" i="21"/>
  <c r="E158" i="21"/>
  <c r="E162" i="21"/>
  <c r="E166" i="21"/>
  <c r="E170" i="21"/>
  <c r="E174" i="21"/>
  <c r="E178" i="21"/>
  <c r="E182" i="21"/>
  <c r="E186" i="21"/>
  <c r="E190" i="21"/>
  <c r="E194" i="21"/>
  <c r="E198" i="21"/>
  <c r="E202" i="21"/>
  <c r="E206" i="21"/>
  <c r="E210" i="21"/>
  <c r="E214" i="21"/>
  <c r="E218" i="21"/>
  <c r="E222" i="21"/>
  <c r="E226" i="21"/>
  <c r="E230" i="21"/>
  <c r="E234" i="21"/>
  <c r="E238" i="21"/>
  <c r="F240" i="21"/>
  <c r="E240" i="21"/>
  <c r="F244" i="21"/>
  <c r="E244" i="21"/>
  <c r="F248" i="21"/>
  <c r="E248" i="21"/>
  <c r="F252" i="21"/>
  <c r="E252" i="21"/>
  <c r="F256" i="21"/>
  <c r="E256" i="21"/>
  <c r="F260" i="21"/>
  <c r="E260" i="21"/>
  <c r="F264" i="21"/>
  <c r="E264" i="21"/>
  <c r="F268" i="21"/>
  <c r="E268" i="21"/>
  <c r="F272" i="21"/>
  <c r="E272" i="21"/>
  <c r="F276" i="21"/>
  <c r="E276" i="21"/>
  <c r="F280" i="21"/>
  <c r="E280" i="21"/>
  <c r="F284" i="21"/>
  <c r="E284" i="21"/>
  <c r="F288" i="21"/>
  <c r="E288" i="21"/>
  <c r="F292" i="21"/>
  <c r="E292" i="21"/>
  <c r="F296" i="21"/>
  <c r="E296" i="21"/>
  <c r="F300" i="21"/>
  <c r="E300" i="21"/>
  <c r="F304" i="21"/>
  <c r="E304" i="21"/>
  <c r="F308" i="21"/>
  <c r="E308" i="21"/>
  <c r="F312" i="21"/>
  <c r="E312" i="21"/>
  <c r="F316" i="21"/>
  <c r="E316" i="21"/>
  <c r="F320" i="21"/>
  <c r="E320" i="21"/>
  <c r="F324" i="21"/>
  <c r="E324" i="21"/>
  <c r="E328" i="21"/>
  <c r="F328" i="21"/>
  <c r="E332" i="21"/>
  <c r="F332" i="21"/>
  <c r="E336" i="21"/>
  <c r="F336" i="21"/>
  <c r="E340" i="21"/>
  <c r="F340" i="21"/>
  <c r="E344" i="21"/>
  <c r="F344" i="21"/>
  <c r="E348" i="21"/>
  <c r="F348" i="21"/>
  <c r="E352" i="21"/>
  <c r="F352" i="21"/>
  <c r="E356" i="21"/>
  <c r="F356" i="21"/>
  <c r="E360" i="21"/>
  <c r="F360" i="21"/>
  <c r="E364" i="21"/>
  <c r="F364" i="21"/>
  <c r="E368" i="21"/>
  <c r="F368" i="21"/>
  <c r="E372" i="21"/>
  <c r="F372" i="21"/>
  <c r="E376" i="21"/>
  <c r="F376" i="21"/>
  <c r="E380" i="21"/>
  <c r="F380" i="21"/>
  <c r="E384" i="21"/>
  <c r="F384" i="21"/>
  <c r="E388" i="21"/>
  <c r="F388" i="21"/>
  <c r="E392" i="21"/>
  <c r="F392" i="21"/>
  <c r="E396" i="21"/>
  <c r="F396" i="21"/>
  <c r="E400" i="21"/>
  <c r="F400" i="21"/>
  <c r="E404" i="21"/>
  <c r="F404" i="21"/>
  <c r="E408" i="21"/>
  <c r="F408" i="21"/>
  <c r="E412" i="21"/>
  <c r="F412" i="21"/>
  <c r="E416" i="21"/>
  <c r="F416" i="21"/>
  <c r="E420" i="21"/>
  <c r="F420" i="21"/>
  <c r="E424" i="21"/>
  <c r="F424" i="21"/>
  <c r="E428" i="21"/>
  <c r="F428" i="21"/>
  <c r="E432" i="21"/>
  <c r="F432" i="21"/>
  <c r="E436" i="21"/>
  <c r="F436" i="21"/>
  <c r="E440" i="21"/>
  <c r="F440" i="21"/>
  <c r="E444" i="21"/>
  <c r="F444" i="21"/>
  <c r="E448" i="21"/>
  <c r="F448" i="21"/>
  <c r="E452" i="21"/>
  <c r="F452" i="21"/>
  <c r="E456" i="21"/>
  <c r="F456" i="21"/>
  <c r="E460" i="21"/>
  <c r="F460" i="21"/>
  <c r="E464" i="21"/>
  <c r="F464" i="21"/>
  <c r="E468" i="21"/>
  <c r="F468" i="21"/>
  <c r="E472" i="21"/>
  <c r="F472" i="21"/>
  <c r="E476" i="21"/>
  <c r="F476" i="21"/>
  <c r="E480" i="21"/>
  <c r="F480" i="21"/>
  <c r="E484" i="21"/>
  <c r="F484" i="21"/>
  <c r="E488" i="21"/>
  <c r="F488" i="21"/>
  <c r="E492" i="21"/>
  <c r="F492" i="21"/>
  <c r="E246" i="21"/>
  <c r="E254" i="21"/>
  <c r="E262" i="21"/>
  <c r="E111" i="21"/>
  <c r="E115" i="21"/>
  <c r="E119" i="21"/>
  <c r="E123" i="21"/>
  <c r="E127" i="21"/>
  <c r="E131" i="21"/>
  <c r="E135" i="21"/>
  <c r="E139" i="21"/>
  <c r="E143" i="21"/>
  <c r="E147" i="21"/>
  <c r="E151" i="21"/>
  <c r="E155" i="21"/>
  <c r="E159" i="21"/>
  <c r="E163" i="21"/>
  <c r="E167" i="21"/>
  <c r="E171" i="21"/>
  <c r="E175" i="21"/>
  <c r="E179" i="21"/>
  <c r="E183" i="21"/>
  <c r="E187" i="21"/>
  <c r="E191" i="21"/>
  <c r="E195" i="21"/>
  <c r="E199" i="21"/>
  <c r="E203" i="21"/>
  <c r="E207" i="21"/>
  <c r="E211" i="21"/>
  <c r="E215" i="21"/>
  <c r="E219" i="21"/>
  <c r="E223" i="21"/>
  <c r="E227" i="21"/>
  <c r="E231" i="21"/>
  <c r="E235" i="21"/>
  <c r="F239" i="21"/>
  <c r="F243" i="21"/>
  <c r="F247" i="21"/>
  <c r="F251" i="21"/>
  <c r="F255" i="21"/>
  <c r="F259" i="21"/>
  <c r="F263" i="21"/>
  <c r="F267" i="21"/>
  <c r="F271" i="21"/>
  <c r="F275" i="21"/>
  <c r="F279" i="21"/>
  <c r="F283" i="21"/>
  <c r="F287" i="21"/>
  <c r="F291" i="21"/>
  <c r="F295" i="21"/>
  <c r="F299" i="21"/>
  <c r="F303" i="21"/>
  <c r="F307" i="21"/>
  <c r="F311" i="21"/>
  <c r="F315" i="21"/>
  <c r="F319" i="21"/>
  <c r="F323" i="21"/>
  <c r="F330" i="21"/>
  <c r="F338" i="21"/>
  <c r="F346" i="21"/>
  <c r="F354" i="21"/>
  <c r="F362" i="21"/>
  <c r="F370" i="21"/>
  <c r="F378" i="21"/>
  <c r="F386" i="21"/>
  <c r="F394" i="21"/>
  <c r="F402" i="21"/>
  <c r="F410" i="21"/>
  <c r="F418" i="21"/>
  <c r="F426" i="21"/>
  <c r="F434" i="21"/>
  <c r="F442" i="21"/>
  <c r="F450" i="21"/>
  <c r="F458" i="21"/>
  <c r="F466" i="21"/>
  <c r="F474" i="21"/>
  <c r="F482" i="21"/>
  <c r="F490" i="21"/>
  <c r="E331" i="21"/>
  <c r="E339" i="21"/>
  <c r="E347" i="21"/>
  <c r="E355" i="21"/>
  <c r="E363" i="21"/>
  <c r="E371" i="21"/>
  <c r="E379" i="21"/>
  <c r="E387" i="21"/>
  <c r="E395" i="21"/>
  <c r="E403" i="21"/>
  <c r="E411" i="21"/>
  <c r="E419" i="21"/>
  <c r="E427" i="21"/>
  <c r="E435" i="21"/>
  <c r="E443" i="21"/>
  <c r="E451" i="21"/>
  <c r="E459" i="21"/>
  <c r="E467" i="21"/>
  <c r="E475" i="21"/>
  <c r="E483" i="21"/>
  <c r="E491" i="21"/>
  <c r="E82" i="21"/>
  <c r="F93" i="21" l="1"/>
  <c r="E94" i="21"/>
  <c r="F101" i="21"/>
  <c r="E85" i="21"/>
  <c r="F109" i="21"/>
  <c r="F86" i="21"/>
  <c r="E102" i="21"/>
  <c r="F104" i="21"/>
  <c r="E109" i="21"/>
  <c r="E101" i="21"/>
  <c r="E93" i="21"/>
  <c r="F96" i="21"/>
  <c r="G96" i="21"/>
  <c r="F87" i="21"/>
  <c r="G87" i="21"/>
  <c r="G103" i="21"/>
  <c r="E80" i="21"/>
  <c r="G80" i="21"/>
  <c r="E100" i="21"/>
  <c r="G100" i="21"/>
  <c r="G91" i="21"/>
  <c r="E107" i="21"/>
  <c r="G107" i="21"/>
  <c r="G84" i="21"/>
  <c r="F108" i="21"/>
  <c r="G108" i="21"/>
  <c r="F95" i="21"/>
  <c r="G95" i="21"/>
  <c r="F92" i="21"/>
  <c r="G92" i="21"/>
  <c r="E83" i="21"/>
  <c r="G83" i="21"/>
  <c r="E99" i="21"/>
  <c r="G99" i="21"/>
  <c r="F84" i="21"/>
  <c r="E96" i="21" l="1"/>
  <c r="F80" i="21"/>
  <c r="F100" i="21"/>
  <c r="F103" i="21"/>
  <c r="F83" i="21"/>
  <c r="F91" i="21"/>
  <c r="E92" i="21"/>
  <c r="F107" i="21"/>
  <c r="E87" i="21"/>
  <c r="F99" i="21"/>
  <c r="E108" i="21"/>
  <c r="E91" i="21"/>
  <c r="E103" i="21"/>
  <c r="E95" i="21"/>
  <c r="E84" i="21"/>
  <c r="E71" i="21"/>
  <c r="F8" i="21"/>
  <c r="E8" i="21"/>
  <c r="F20" i="21"/>
  <c r="E20" i="21"/>
  <c r="F28" i="21"/>
  <c r="E28" i="21"/>
  <c r="F40" i="21"/>
  <c r="E40" i="21"/>
  <c r="F52" i="21"/>
  <c r="E52" i="21"/>
  <c r="F60" i="21"/>
  <c r="E60" i="21"/>
  <c r="F72" i="21"/>
  <c r="E72" i="21"/>
  <c r="F4" i="21"/>
  <c r="E4" i="21"/>
  <c r="F12" i="21"/>
  <c r="E12" i="21"/>
  <c r="F24" i="21"/>
  <c r="E24" i="21"/>
  <c r="F36" i="21"/>
  <c r="E36" i="21"/>
  <c r="F44" i="21"/>
  <c r="E44" i="21"/>
  <c r="F56" i="21"/>
  <c r="E56" i="21"/>
  <c r="F68" i="21"/>
  <c r="E68" i="21"/>
  <c r="F76" i="21"/>
  <c r="E76" i="21"/>
  <c r="F10" i="21"/>
  <c r="E10" i="21"/>
  <c r="E18" i="21"/>
  <c r="F18" i="21"/>
  <c r="F26" i="21"/>
  <c r="E26" i="21"/>
  <c r="E34" i="21"/>
  <c r="F34" i="21"/>
  <c r="F46" i="21"/>
  <c r="E46" i="21"/>
  <c r="F54" i="21"/>
  <c r="E54" i="21"/>
  <c r="F62" i="21"/>
  <c r="E62" i="21"/>
  <c r="F74" i="21"/>
  <c r="E74" i="21"/>
  <c r="F7" i="21"/>
  <c r="E7" i="21"/>
  <c r="F19" i="21"/>
  <c r="E19" i="21"/>
  <c r="F27" i="21"/>
  <c r="E27" i="21"/>
  <c r="F39" i="21"/>
  <c r="E39" i="21"/>
  <c r="F47" i="21"/>
  <c r="E47" i="21"/>
  <c r="F55" i="21"/>
  <c r="E55" i="21"/>
  <c r="F63" i="21"/>
  <c r="E63" i="21"/>
  <c r="F75" i="21"/>
  <c r="E75" i="21"/>
  <c r="F16" i="21"/>
  <c r="E16" i="21"/>
  <c r="F64" i="21"/>
  <c r="E64" i="21"/>
  <c r="F6" i="21"/>
  <c r="E6" i="21"/>
  <c r="F14" i="21"/>
  <c r="E14" i="21"/>
  <c r="F22" i="21"/>
  <c r="E22" i="21"/>
  <c r="F30" i="21"/>
  <c r="E30" i="21"/>
  <c r="F38" i="21"/>
  <c r="E38" i="21"/>
  <c r="F42" i="21"/>
  <c r="E42" i="21"/>
  <c r="F50" i="21"/>
  <c r="E50" i="21"/>
  <c r="F58" i="21"/>
  <c r="E58" i="21"/>
  <c r="F66" i="21"/>
  <c r="E66" i="21"/>
  <c r="F70" i="21"/>
  <c r="E70" i="21"/>
  <c r="F11" i="21"/>
  <c r="E11" i="21"/>
  <c r="F15" i="21"/>
  <c r="E15" i="21"/>
  <c r="F23" i="21"/>
  <c r="E23" i="21"/>
  <c r="F31" i="21"/>
  <c r="E31" i="21"/>
  <c r="F35" i="21"/>
  <c r="E35" i="21"/>
  <c r="F43" i="21"/>
  <c r="E43" i="21"/>
  <c r="F51" i="21"/>
  <c r="E51" i="21"/>
  <c r="F59" i="21"/>
  <c r="E59" i="21"/>
  <c r="F67" i="21"/>
  <c r="E67" i="21"/>
  <c r="F71" i="21"/>
  <c r="F79" i="21"/>
  <c r="E79" i="21"/>
  <c r="F32" i="21"/>
  <c r="E32" i="21"/>
  <c r="F48" i="21"/>
  <c r="E48" i="21"/>
  <c r="E5" i="21"/>
  <c r="F5" i="21"/>
  <c r="E9" i="21"/>
  <c r="F9" i="21"/>
  <c r="E13" i="21"/>
  <c r="F13" i="21"/>
  <c r="E17" i="21"/>
  <c r="F17" i="21"/>
  <c r="E21" i="21"/>
  <c r="F21" i="21"/>
  <c r="E25" i="21"/>
  <c r="F25" i="21"/>
  <c r="E29" i="21"/>
  <c r="F29" i="21"/>
  <c r="E33" i="21"/>
  <c r="F33" i="21"/>
  <c r="E37" i="21"/>
  <c r="F37" i="21"/>
  <c r="E41" i="21"/>
  <c r="F41" i="21"/>
  <c r="E45" i="21"/>
  <c r="F45" i="21"/>
  <c r="E49" i="21"/>
  <c r="F49" i="21"/>
  <c r="E53" i="21"/>
  <c r="F53" i="21"/>
  <c r="E57" i="21"/>
  <c r="F57" i="21"/>
  <c r="E61" i="21"/>
  <c r="F61" i="21"/>
  <c r="E65" i="21"/>
  <c r="F65" i="21"/>
  <c r="E69" i="21"/>
  <c r="F69" i="21"/>
  <c r="E73" i="21"/>
  <c r="F73" i="21"/>
  <c r="E77" i="21"/>
  <c r="F77" i="21"/>
  <c r="E78" i="21"/>
  <c r="F78" i="21"/>
  <c r="E3" i="21" l="1"/>
  <c r="F3" i="21"/>
  <c r="E7" i="15" l="1"/>
  <c r="N1" i="7"/>
  <c r="E8" i="15" l="1"/>
  <c r="L1" i="16" l="1"/>
  <c r="L1085" i="2"/>
  <c r="M1088" i="2" l="1"/>
  <c r="M1091" i="2" s="1"/>
  <c r="M1087" i="2"/>
  <c r="M1090" i="2" l="1"/>
  <c r="M1093" i="2" s="1"/>
  <c r="K1099" i="2"/>
  <c r="M1084" i="2"/>
  <c r="M1085" i="2" l="1"/>
  <c r="K1098" i="2" s="1"/>
</calcChain>
</file>

<file path=xl/sharedStrings.xml><?xml version="1.0" encoding="utf-8"?>
<sst xmlns="http://schemas.openxmlformats.org/spreadsheetml/2006/main" count="21241" uniqueCount="8467">
  <si>
    <t>UF</t>
  </si>
  <si>
    <t>TOTAL DA NF</t>
  </si>
  <si>
    <t>MATERIAL</t>
  </si>
  <si>
    <t>SERVIÇO</t>
  </si>
  <si>
    <t>BASE CALC. INSS</t>
  </si>
  <si>
    <t>BASE CALC. ISS</t>
  </si>
  <si>
    <t>LÍQUIDO NF</t>
  </si>
  <si>
    <t>NF</t>
  </si>
  <si>
    <t>PIS 0,65%</t>
  </si>
  <si>
    <t>COFINS 3%</t>
  </si>
  <si>
    <t>IRRF 1,5%</t>
  </si>
  <si>
    <t>CSLL 1%</t>
  </si>
  <si>
    <t>PO</t>
  </si>
  <si>
    <t>FATURAR POR PO</t>
  </si>
  <si>
    <t>FATURAR POR MUNICÍPIO</t>
  </si>
  <si>
    <t>O ISS desta NFS-e será retido pelo tomador de serviço.</t>
  </si>
  <si>
    <t>7.02</t>
  </si>
  <si>
    <t>7.03</t>
  </si>
  <si>
    <t>DEDUÇÃO INSS</t>
  </si>
  <si>
    <t>DEDUÇÃO ISS</t>
  </si>
  <si>
    <t>RET. INSS</t>
  </si>
  <si>
    <t>Líquido NF</t>
  </si>
  <si>
    <t>COLOCAR PERCENTUAL</t>
  </si>
  <si>
    <t>OUTRAS RETENÇÕES</t>
  </si>
  <si>
    <t>Data</t>
  </si>
  <si>
    <t>LEGISLAÇÃO</t>
  </si>
  <si>
    <t>DETALHAMENTO DO FATURAMENTO</t>
  </si>
  <si>
    <t>DISPONÍVEL PARA FATURAR</t>
  </si>
  <si>
    <t>FATURADO</t>
  </si>
  <si>
    <t>% DO FATURADO</t>
  </si>
  <si>
    <t>TOTAL  -  7.03</t>
  </si>
  <si>
    <t>TOTAL  -  7.02</t>
  </si>
  <si>
    <t>TOTAL GERAL</t>
  </si>
  <si>
    <t>MUNICÍPIO</t>
  </si>
  <si>
    <t>SITE 
NAME</t>
  </si>
  <si>
    <t>ItemCode</t>
  </si>
  <si>
    <t>Preço</t>
  </si>
  <si>
    <t>Qty</t>
  </si>
  <si>
    <t>Total</t>
  </si>
  <si>
    <t>CÓDIGO FAT</t>
  </si>
  <si>
    <t>CODE</t>
  </si>
  <si>
    <t>TAX CODE</t>
  </si>
  <si>
    <t>WL</t>
  </si>
  <si>
    <t>MW</t>
  </si>
  <si>
    <t>BOM
CODE</t>
  </si>
  <si>
    <t>CW</t>
  </si>
  <si>
    <t>Proporção</t>
  </si>
  <si>
    <t>Valor da Parcela</t>
  </si>
  <si>
    <t>Customer</t>
  </si>
  <si>
    <t>poLineLocationId</t>
  </si>
  <si>
    <t>vendorCode</t>
  </si>
  <si>
    <t>vendorId</t>
  </si>
  <si>
    <t>Companycode</t>
  </si>
  <si>
    <t>poHeadId</t>
  </si>
  <si>
    <t>poReleaseId</t>
  </si>
  <si>
    <t>polineId</t>
  </si>
  <si>
    <t>vendorSiteId</t>
  </si>
  <si>
    <t>termsId</t>
  </si>
  <si>
    <t>milestoneId</t>
  </si>
  <si>
    <t>digestCode</t>
  </si>
  <si>
    <t>invOrgId</t>
  </si>
  <si>
    <t>attribute2</t>
  </si>
  <si>
    <t>poSource</t>
  </si>
  <si>
    <t>Location</t>
  </si>
  <si>
    <t>CNPJ</t>
  </si>
  <si>
    <t>PO Type</t>
  </si>
  <si>
    <t>PO Qty</t>
  </si>
  <si>
    <t>Billed Qty</t>
  </si>
  <si>
    <t>offsetQty</t>
  </si>
  <si>
    <t>Currency</t>
  </si>
  <si>
    <t>shipToLocationId</t>
  </si>
  <si>
    <t>Unit Price</t>
  </si>
  <si>
    <t>LC Code</t>
  </si>
  <si>
    <t>ISS Tax Type</t>
  </si>
  <si>
    <t>ISS Rate</t>
  </si>
  <si>
    <t>INSS Base Rate</t>
  </si>
  <si>
    <t>INSS Rate</t>
  </si>
  <si>
    <t>IRRF Rate</t>
  </si>
  <si>
    <t>PCC Rate</t>
  </si>
  <si>
    <t>Terms Date Rule</t>
  </si>
  <si>
    <t>Terms</t>
  </si>
  <si>
    <t>site</t>
  </si>
  <si>
    <t>Acceptance Milestone</t>
  </si>
  <si>
    <t>Proportion</t>
  </si>
  <si>
    <t>Description</t>
  </si>
  <si>
    <t>Payment Type</t>
  </si>
  <si>
    <t>payment terms</t>
  </si>
  <si>
    <t>Payment Method</t>
  </si>
  <si>
    <t>Item code</t>
  </si>
  <si>
    <t>Project Code</t>
  </si>
  <si>
    <t>Project Name</t>
  </si>
  <si>
    <t>UOM</t>
  </si>
  <si>
    <t>PO Ship TO</t>
  </si>
  <si>
    <t>Manufacturer</t>
  </si>
  <si>
    <t>Billing*</t>
  </si>
  <si>
    <t>Invoice Type(Brazil)</t>
  </si>
  <si>
    <t>DOC_Fiscal</t>
  </si>
  <si>
    <t>Series</t>
  </si>
  <si>
    <t>Invoice No*</t>
  </si>
  <si>
    <t>Invoice Date*</t>
  </si>
  <si>
    <t>Invoice Key</t>
  </si>
  <si>
    <t>BR BarCode</t>
  </si>
  <si>
    <t>ICMS type</t>
  </si>
  <si>
    <t>ICMS Base</t>
  </si>
  <si>
    <t>ICMS Amount</t>
  </si>
  <si>
    <t>ICMS ST Base</t>
  </si>
  <si>
    <t>ICMS ST Amount</t>
  </si>
  <si>
    <t>IPI Base</t>
  </si>
  <si>
    <t>IPI Amount</t>
  </si>
  <si>
    <t>ISS_City</t>
  </si>
  <si>
    <t>ISS_State</t>
  </si>
  <si>
    <t>ISS_Base</t>
  </si>
  <si>
    <t>Service_Code</t>
  </si>
  <si>
    <t>Iss_Type</t>
  </si>
  <si>
    <t>INSS_Base</t>
  </si>
  <si>
    <t>INSS_Tax</t>
  </si>
  <si>
    <t>IR_Type</t>
  </si>
  <si>
    <t>IR_Categ</t>
  </si>
  <si>
    <t>IR_Base</t>
  </si>
  <si>
    <t>IR_Rate</t>
  </si>
  <si>
    <t>AWT_Group</t>
  </si>
  <si>
    <t>remark</t>
  </si>
  <si>
    <t>Coluna1</t>
  </si>
  <si>
    <t>Coluna2</t>
  </si>
  <si>
    <t>Coluna3</t>
  </si>
  <si>
    <t>Coluna4</t>
  </si>
  <si>
    <t>Coluna5</t>
  </si>
  <si>
    <t>Coluna6</t>
  </si>
  <si>
    <t>Coluna7</t>
  </si>
  <si>
    <t>SITE</t>
  </si>
  <si>
    <t>ESCOPO</t>
  </si>
  <si>
    <t>CIDADE</t>
  </si>
  <si>
    <t>X</t>
  </si>
  <si>
    <t>CC</t>
  </si>
  <si>
    <t>GLS</t>
  </si>
  <si>
    <t>CEALD09</t>
  </si>
  <si>
    <t>CEALD26</t>
  </si>
  <si>
    <t>SR-FLAL12</t>
  </si>
  <si>
    <t>SR-FLIC01</t>
  </si>
  <si>
    <t>SR-RCBGC2</t>
  </si>
  <si>
    <t>ALMRI01</t>
  </si>
  <si>
    <t>RNPIM05</t>
  </si>
  <si>
    <t>NATAL</t>
  </si>
  <si>
    <t>GALINHOS</t>
  </si>
  <si>
    <t>RNPIM10</t>
  </si>
  <si>
    <t>PITER50</t>
  </si>
  <si>
    <t>CEMES10</t>
  </si>
  <si>
    <t>PITER22</t>
  </si>
  <si>
    <t>NRF</t>
  </si>
  <si>
    <t>FORTALEZA</t>
  </si>
  <si>
    <t>RECIFE</t>
  </si>
  <si>
    <t>PARNAMIRIM</t>
  </si>
  <si>
    <t>TERESINA</t>
  </si>
  <si>
    <t>PAULISTA</t>
  </si>
  <si>
    <t>PROJETO</t>
  </si>
  <si>
    <t>SR-RCEMJ0</t>
  </si>
  <si>
    <t>SR-NAZAJ0</t>
  </si>
  <si>
    <t>SR-IGNVJ1</t>
  </si>
  <si>
    <t>SR-GNGNJ0</t>
  </si>
  <si>
    <t>SR-PWPWJ2</t>
  </si>
  <si>
    <t>PEISS03</t>
  </si>
  <si>
    <t>SR-RICHJ0</t>
  </si>
  <si>
    <t>SR-SBSBJ0</t>
  </si>
  <si>
    <t>SR-PLJGJ2</t>
  </si>
  <si>
    <t>SR-CRMNJ2</t>
  </si>
  <si>
    <t>SR-NVFLJ0</t>
  </si>
  <si>
    <t>SR-ATATJ1</t>
  </si>
  <si>
    <t>SR-WIWIJ0</t>
  </si>
  <si>
    <t>SR-TMXMJ0</t>
  </si>
  <si>
    <t>SR-TSPCJ0</t>
  </si>
  <si>
    <t>SR-CWCWJ3</t>
  </si>
  <si>
    <t>SR-JZCEJ0</t>
  </si>
  <si>
    <t>TNO</t>
  </si>
  <si>
    <t>SR-RCPSJ1</t>
  </si>
  <si>
    <t>SR-JZNWJ1</t>
  </si>
  <si>
    <t>SR-JGPDJ6</t>
  </si>
  <si>
    <t>SR-PWPWJ6</t>
  </si>
  <si>
    <t>SR-BARNJ0 - TERMW02</t>
  </si>
  <si>
    <t>SR-OLACJ0</t>
  </si>
  <si>
    <t>SR-MCSRJ5</t>
  </si>
  <si>
    <t>SR-RCCDJ3</t>
  </si>
  <si>
    <t>SR-NZRZJ0</t>
  </si>
  <si>
    <t>SR-NZRZJ0 - CZCZ00</t>
  </si>
  <si>
    <t>SR-MCBDJ0</t>
  </si>
  <si>
    <t>CEPJSR2</t>
  </si>
  <si>
    <t>SR-GGGGJ0</t>
  </si>
  <si>
    <t>SR-FLJAJ4</t>
  </si>
  <si>
    <t>SR-MLCEJ0</t>
  </si>
  <si>
    <t>SR-MLCEJ0 - CDCD00</t>
  </si>
  <si>
    <t>SR-SSFEJ0 - CDCD00</t>
  </si>
  <si>
    <t>SR-MNTAJ0</t>
  </si>
  <si>
    <t>SR-PWPWJ4</t>
  </si>
  <si>
    <t>SR-PWPWC2</t>
  </si>
  <si>
    <t>SR-RCCAJ1</t>
  </si>
  <si>
    <t>DFSQN0I</t>
  </si>
  <si>
    <t>BACAR51</t>
  </si>
  <si>
    <t>SR-CRJPJ0 - SR-VHVRJ0</t>
  </si>
  <si>
    <t>GOGNA0P</t>
  </si>
  <si>
    <t>DFSQN09</t>
  </si>
  <si>
    <t>DFSQSG2</t>
  </si>
  <si>
    <t>CEPAR15</t>
  </si>
  <si>
    <t>SR-PLHNJ0 - IAXMW01</t>
  </si>
  <si>
    <t>SR-BDBDJ1</t>
  </si>
  <si>
    <t>JCC</t>
  </si>
  <si>
    <t>JCC - JRC</t>
  </si>
  <si>
    <t>CEPAC06</t>
  </si>
  <si>
    <t>GOGNA58</t>
  </si>
  <si>
    <t>SR-RCSTJ3</t>
  </si>
  <si>
    <t>CEPAR12</t>
  </si>
  <si>
    <t>MLG-XMM</t>
  </si>
  <si>
    <t>POD</t>
  </si>
  <si>
    <t>SR-JPBSJ5</t>
  </si>
  <si>
    <t>DFSQN33</t>
  </si>
  <si>
    <t>SR-NTRDJ1</t>
  </si>
  <si>
    <t>SR-PIPIJ2</t>
  </si>
  <si>
    <t>SR-NTPNJ0</t>
  </si>
  <si>
    <t>SR-MCPVJ3</t>
  </si>
  <si>
    <t>SR-CLCLJ2</t>
  </si>
  <si>
    <t>SR-CBGBJ0</t>
  </si>
  <si>
    <t>NBRBAI0047</t>
  </si>
  <si>
    <t>NBRBAI0167</t>
  </si>
  <si>
    <t>NBRBAI0174</t>
  </si>
  <si>
    <t>NBRBAI0176</t>
  </si>
  <si>
    <t>NBRBAI0225</t>
  </si>
  <si>
    <t>NBRBAI0108</t>
  </si>
  <si>
    <t>NBRBAI0124</t>
  </si>
  <si>
    <t>NBRBAI0090</t>
  </si>
  <si>
    <t>NBRBAI0213</t>
  </si>
  <si>
    <t>NBRBAI0049</t>
  </si>
  <si>
    <t>CEPAR25</t>
  </si>
  <si>
    <t>SR-JGCVJ0</t>
  </si>
  <si>
    <t>JID</t>
  </si>
  <si>
    <t>BABTM02</t>
  </si>
  <si>
    <t>BAJUA22</t>
  </si>
  <si>
    <t>CEPAR11</t>
  </si>
  <si>
    <t>BAPGU06</t>
  </si>
  <si>
    <t>SR-JJJJJ1</t>
  </si>
  <si>
    <t>PIPNA14</t>
  </si>
  <si>
    <t>SR-MCLVJ0</t>
  </si>
  <si>
    <t>SR-AGAGJ0</t>
  </si>
  <si>
    <t>SR-OBOBJ0</t>
  </si>
  <si>
    <t>SR-TVTVJ1</t>
  </si>
  <si>
    <t>SR-PLMDJ0</t>
  </si>
  <si>
    <t>SR-FLCEJ6</t>
  </si>
  <si>
    <t>SR-FLPVJ0</t>
  </si>
  <si>
    <t>SR-GBGBJ2</t>
  </si>
  <si>
    <t>SR-FLFIJ0</t>
  </si>
  <si>
    <t>SR-FLMPJ0</t>
  </si>
  <si>
    <t>SR-FLALJ0</t>
  </si>
  <si>
    <t>SR-FLVTJ2</t>
  </si>
  <si>
    <t>SR-FLALJ8</t>
  </si>
  <si>
    <t>SR-FLMPJ1</t>
  </si>
  <si>
    <t>SR-FLCEA0</t>
  </si>
  <si>
    <t>SR-GEGEJ2</t>
  </si>
  <si>
    <t>SR-NTQTJ2</t>
  </si>
  <si>
    <t>SR-OLSBJ0</t>
  </si>
  <si>
    <t>SR-RCZBJ0</t>
  </si>
  <si>
    <t>SR-ABABJ0</t>
  </si>
  <si>
    <t>SR-ARARJ9</t>
  </si>
  <si>
    <t>SR-FLPSJ3</t>
  </si>
  <si>
    <t>SR-NTLNJ7</t>
  </si>
  <si>
    <t>SR-ARARJ5</t>
  </si>
  <si>
    <t>SR-RCAGJ0</t>
  </si>
  <si>
    <t>IDP</t>
  </si>
  <si>
    <t>API</t>
  </si>
  <si>
    <t>PGQ</t>
  </si>
  <si>
    <t>SDD</t>
  </si>
  <si>
    <t>BCO</t>
  </si>
  <si>
    <t>IBF</t>
  </si>
  <si>
    <t>DFGMA08</t>
  </si>
  <si>
    <t>CECEN15</t>
  </si>
  <si>
    <t>VTZ</t>
  </si>
  <si>
    <t>VPE</t>
  </si>
  <si>
    <t>BII</t>
  </si>
  <si>
    <t>CT3</t>
  </si>
  <si>
    <t>SR-IOIOJ0</t>
  </si>
  <si>
    <t>SR-FLJAJ2</t>
  </si>
  <si>
    <t>DET</t>
  </si>
  <si>
    <t>BAILH14</t>
  </si>
  <si>
    <t>RNCAY02</t>
  </si>
  <si>
    <t>PITERA4</t>
  </si>
  <si>
    <t>TTM</t>
  </si>
  <si>
    <t>PESHM05</t>
  </si>
  <si>
    <t>SR-CGABJ2</t>
  </si>
  <si>
    <t>SR-CLCLJ5</t>
  </si>
  <si>
    <t>SR-NTPBJ0</t>
  </si>
  <si>
    <t>SR-OFOFJ0</t>
  </si>
  <si>
    <t>SR-ARARB6</t>
  </si>
  <si>
    <t>UCU</t>
  </si>
  <si>
    <t>SR-PKPKJ0</t>
  </si>
  <si>
    <t>FAS</t>
  </si>
  <si>
    <t>JTD</t>
  </si>
  <si>
    <t>BA1151</t>
  </si>
  <si>
    <t>ALATL01</t>
  </si>
  <si>
    <t>ALMHD04</t>
  </si>
  <si>
    <t>BA1404</t>
  </si>
  <si>
    <t>CECEN17</t>
  </si>
  <si>
    <t>PE3373</t>
  </si>
  <si>
    <t>ORI</t>
  </si>
  <si>
    <t>RNALC05</t>
  </si>
  <si>
    <t>PECRU05</t>
  </si>
  <si>
    <t>ICM-XSR</t>
  </si>
  <si>
    <t>ICM</t>
  </si>
  <si>
    <t>JUC</t>
  </si>
  <si>
    <t>RNPTG25</t>
  </si>
  <si>
    <t>PBRTT01</t>
  </si>
  <si>
    <t>CECUC07</t>
  </si>
  <si>
    <t>CEMES07</t>
  </si>
  <si>
    <t>IBJ</t>
  </si>
  <si>
    <t>ICC</t>
  </si>
  <si>
    <t>SR-NTCPJ3</t>
  </si>
  <si>
    <t>GMI</t>
  </si>
  <si>
    <t>SZI</t>
  </si>
  <si>
    <t>GSP</t>
  </si>
  <si>
    <t>FSA</t>
  </si>
  <si>
    <t>FLS</t>
  </si>
  <si>
    <t>BAILH19</t>
  </si>
  <si>
    <t>PEPUI05</t>
  </si>
  <si>
    <t>IAY</t>
  </si>
  <si>
    <t>PEGVT02</t>
  </si>
  <si>
    <t>PEJBO07</t>
  </si>
  <si>
    <t>RNPIM02</t>
  </si>
  <si>
    <t>ALSJJ02</t>
  </si>
  <si>
    <t>PEABU01</t>
  </si>
  <si>
    <t>CEAER11</t>
  </si>
  <si>
    <t>CEPAR19</t>
  </si>
  <si>
    <t>THS</t>
  </si>
  <si>
    <t>LLL</t>
  </si>
  <si>
    <t>PIATS02</t>
  </si>
  <si>
    <t>PBSPH02</t>
  </si>
  <si>
    <t>CEPIC03</t>
  </si>
  <si>
    <t>CEPJS01</t>
  </si>
  <si>
    <t>PITER67</t>
  </si>
  <si>
    <t>PECRU11</t>
  </si>
  <si>
    <t>SR-AGCLJ0</t>
  </si>
  <si>
    <t>PITER06</t>
  </si>
  <si>
    <t>PEBJM01</t>
  </si>
  <si>
    <t>ISL</t>
  </si>
  <si>
    <t>PITER57</t>
  </si>
  <si>
    <t>MNO</t>
  </si>
  <si>
    <t>FMD</t>
  </si>
  <si>
    <t>PIH</t>
  </si>
  <si>
    <t>NBRBAC0010</t>
  </si>
  <si>
    <t>SR-PWPWA5</t>
  </si>
  <si>
    <t>CEHZT02</t>
  </si>
  <si>
    <t>PIMCL01</t>
  </si>
  <si>
    <t>NBRBAC0007</t>
  </si>
  <si>
    <t>LDG</t>
  </si>
  <si>
    <t>SR-MCGLJ0</t>
  </si>
  <si>
    <t>NBRBAI0044</t>
  </si>
  <si>
    <t>NBRPBI0025</t>
  </si>
  <si>
    <t>SR-OLPEJ0</t>
  </si>
  <si>
    <t>CEAER03</t>
  </si>
  <si>
    <t>COR</t>
  </si>
  <si>
    <t>PIATS05</t>
  </si>
  <si>
    <t>PIBTL01</t>
  </si>
  <si>
    <t>NBRBAI0098</t>
  </si>
  <si>
    <t>PIPNA01</t>
  </si>
  <si>
    <t>SR-JTJTJ1</t>
  </si>
  <si>
    <t>SR-MGMGJ2</t>
  </si>
  <si>
    <t>SR-SCSCJ5</t>
  </si>
  <si>
    <t>NQQ</t>
  </si>
  <si>
    <t>DFSQN07</t>
  </si>
  <si>
    <t>BAALG08</t>
  </si>
  <si>
    <t>PEISS04</t>
  </si>
  <si>
    <t>SR-IMIMJ1</t>
  </si>
  <si>
    <t>SR-RCBGA9</t>
  </si>
  <si>
    <t>SR-EXEXJ2</t>
  </si>
  <si>
    <t>SR-TVTVJ0</t>
  </si>
  <si>
    <t>BASMF23</t>
  </si>
  <si>
    <t>SR-RCSAJ3</t>
  </si>
  <si>
    <t>SNZ</t>
  </si>
  <si>
    <t>CECUC11</t>
  </si>
  <si>
    <t>CECUC14</t>
  </si>
  <si>
    <t>PEIPJ06</t>
  </si>
  <si>
    <t>PEISS05</t>
  </si>
  <si>
    <t>SR-RCBGA1</t>
  </si>
  <si>
    <t>BHS</t>
  </si>
  <si>
    <t>BACIS14</t>
  </si>
  <si>
    <t>DFTAG18</t>
  </si>
  <si>
    <t>SR-FLALJ3</t>
  </si>
  <si>
    <t>RAI</t>
  </si>
  <si>
    <t>SR-NTCEJ0</t>
  </si>
  <si>
    <t>CEPAR16</t>
  </si>
  <si>
    <t>CEMCW03</t>
  </si>
  <si>
    <t>CEFLA90</t>
  </si>
  <si>
    <t>RNLNV28</t>
  </si>
  <si>
    <t>PEOLD03</t>
  </si>
  <si>
    <t>SR-TBPIJ0</t>
  </si>
  <si>
    <t>SR-DELPJ0</t>
  </si>
  <si>
    <t>SR-IPGLJ2</t>
  </si>
  <si>
    <t>PEPTAI1</t>
  </si>
  <si>
    <t>SR-FLMRJ1</t>
  </si>
  <si>
    <t>SR-SPKOJ0</t>
  </si>
  <si>
    <t>GOTDA02</t>
  </si>
  <si>
    <t>CEIGE04</t>
  </si>
  <si>
    <t>ALFAR28</t>
  </si>
  <si>
    <t>CEJNE07</t>
  </si>
  <si>
    <t>SR-STALJ0</t>
  </si>
  <si>
    <t>PSO</t>
  </si>
  <si>
    <t>NQC</t>
  </si>
  <si>
    <t>SR-PICLJ0</t>
  </si>
  <si>
    <t>PQC</t>
  </si>
  <si>
    <t>PEPTA22</t>
  </si>
  <si>
    <t>NBRPEC0026</t>
  </si>
  <si>
    <t>PITERA8</t>
  </si>
  <si>
    <t>PINZI01</t>
  </si>
  <si>
    <t>GJU</t>
  </si>
  <si>
    <t>SR-CDWOJ0</t>
  </si>
  <si>
    <t>BAFSA58</t>
  </si>
  <si>
    <t>PIMMI01</t>
  </si>
  <si>
    <t>SR-TRTRJ5</t>
  </si>
  <si>
    <t>SR-RCCAJ5</t>
  </si>
  <si>
    <t>NBRCEI0076</t>
  </si>
  <si>
    <t>TCN</t>
  </si>
  <si>
    <t>SSM</t>
  </si>
  <si>
    <t>CBE</t>
  </si>
  <si>
    <t>CEMCW02</t>
  </si>
  <si>
    <t>CEESB03</t>
  </si>
  <si>
    <t>SR-TMXMJ1</t>
  </si>
  <si>
    <t>SR-OLRDJ0</t>
  </si>
  <si>
    <t>BAFSA69</t>
  </si>
  <si>
    <t>SR-CLGGJ0</t>
  </si>
  <si>
    <t>SR-POMGJ0</t>
  </si>
  <si>
    <t>SR-JCBNJ0</t>
  </si>
  <si>
    <t>SR-CLCLJ3</t>
  </si>
  <si>
    <t>SLRCIL05</t>
  </si>
  <si>
    <t>SR-STMDJ0</t>
  </si>
  <si>
    <t>SR-MCPEJ0</t>
  </si>
  <si>
    <t>PEABU04</t>
  </si>
  <si>
    <t>PECBO04</t>
  </si>
  <si>
    <t>BAIRA01</t>
  </si>
  <si>
    <t>CESGA02</t>
  </si>
  <si>
    <t>RNMRO04</t>
  </si>
  <si>
    <t>BAVAL01</t>
  </si>
  <si>
    <t>BRX</t>
  </si>
  <si>
    <t>BAIRE01</t>
  </si>
  <si>
    <t>SR-TMXMJ2</t>
  </si>
  <si>
    <t>SR-SYSYJ2</t>
  </si>
  <si>
    <t>DFTAG19</t>
  </si>
  <si>
    <t>PEGOI01</t>
  </si>
  <si>
    <t>BAIBI01</t>
  </si>
  <si>
    <t>SR-PILZJ0 - POZMW01</t>
  </si>
  <si>
    <t>POZMW01 - GBGB02</t>
  </si>
  <si>
    <t>CERUS01</t>
  </si>
  <si>
    <t>PECGB10</t>
  </si>
  <si>
    <t>ALCLI09</t>
  </si>
  <si>
    <t>BAALG15</t>
  </si>
  <si>
    <t>CEAER09</t>
  </si>
  <si>
    <t>GORQT03</t>
  </si>
  <si>
    <t>ESA</t>
  </si>
  <si>
    <t>PCE</t>
  </si>
  <si>
    <t>PBCPX01</t>
  </si>
  <si>
    <t>PIUUC03</t>
  </si>
  <si>
    <t>JCS</t>
  </si>
  <si>
    <t>CEPAR27</t>
  </si>
  <si>
    <t>PNX</t>
  </si>
  <si>
    <t>GND</t>
  </si>
  <si>
    <t>BAPOJ05</t>
  </si>
  <si>
    <t>ALBNA02</t>
  </si>
  <si>
    <t>BAVCT39</t>
  </si>
  <si>
    <t>PIPNAX2</t>
  </si>
  <si>
    <t>MCH</t>
  </si>
  <si>
    <t>SR-PNFTJ0</t>
  </si>
  <si>
    <t>BAALG04</t>
  </si>
  <si>
    <t>GOIDR01</t>
  </si>
  <si>
    <t>MOR</t>
  </si>
  <si>
    <t>DTU</t>
  </si>
  <si>
    <t>DFSQN32</t>
  </si>
  <si>
    <t>CLD-XJU</t>
  </si>
  <si>
    <t>RDU</t>
  </si>
  <si>
    <t>JRC-XJJ</t>
  </si>
  <si>
    <t>NVG</t>
  </si>
  <si>
    <t>BJS</t>
  </si>
  <si>
    <t>SR-PDPTJ0</t>
  </si>
  <si>
    <t>SKHMW01-JDOMW01</t>
  </si>
  <si>
    <t>BAPGR22</t>
  </si>
  <si>
    <t>SR-NTNPJ0</t>
  </si>
  <si>
    <t>CYJ</t>
  </si>
  <si>
    <t>SR-QOQO00</t>
  </si>
  <si>
    <t>SR-RCSAJ9</t>
  </si>
  <si>
    <t>ARR</t>
  </si>
  <si>
    <t>JTI-XJU</t>
  </si>
  <si>
    <t>PECGB12</t>
  </si>
  <si>
    <t>SR-TCMBJ0</t>
  </si>
  <si>
    <t>SR-TSQJJ0</t>
  </si>
  <si>
    <t>PENDT08</t>
  </si>
  <si>
    <t>BAAFA01</t>
  </si>
  <si>
    <t>PICAG01</t>
  </si>
  <si>
    <t>RNPDL01</t>
  </si>
  <si>
    <t>BACEN14</t>
  </si>
  <si>
    <t>GOGNA77</t>
  </si>
  <si>
    <t>SR-ALGHJ0</t>
  </si>
  <si>
    <t xml:space="preserve">RJG </t>
  </si>
  <si>
    <t>BALNS01</t>
  </si>
  <si>
    <t>ALPCV01</t>
  </si>
  <si>
    <t>PIFLO01</t>
  </si>
  <si>
    <t>PECGB01</t>
  </si>
  <si>
    <t>PEITSR3</t>
  </si>
  <si>
    <t>RNT</t>
  </si>
  <si>
    <t>GOGNA90</t>
  </si>
  <si>
    <t>SR-BRPIJ0</t>
  </si>
  <si>
    <t>PIAMD01</t>
  </si>
  <si>
    <t>PEIPJ01</t>
  </si>
  <si>
    <t>BAPGR14</t>
  </si>
  <si>
    <t>BABON22</t>
  </si>
  <si>
    <t>BACAJ28</t>
  </si>
  <si>
    <t>SR-FLALJ7</t>
  </si>
  <si>
    <t>BACAJ27</t>
  </si>
  <si>
    <t>PECRU42</t>
  </si>
  <si>
    <t>PBBEX02</t>
  </si>
  <si>
    <t>BACAJ02</t>
  </si>
  <si>
    <t>BAPGR03</t>
  </si>
  <si>
    <t>GOTDA09</t>
  </si>
  <si>
    <t>BACAJ31</t>
  </si>
  <si>
    <t>BACAJ29</t>
  </si>
  <si>
    <t>BACAJ37</t>
  </si>
  <si>
    <t>BABON36</t>
  </si>
  <si>
    <t>PECGB05</t>
  </si>
  <si>
    <t>PECBO02</t>
  </si>
  <si>
    <t>PEIPS02</t>
  </si>
  <si>
    <t>BASMF09</t>
  </si>
  <si>
    <t>BACAJ03</t>
  </si>
  <si>
    <t>SR-ELSMJ0</t>
  </si>
  <si>
    <t>BAPGR23</t>
  </si>
  <si>
    <t>BAAAE08</t>
  </si>
  <si>
    <t>PEIPS33</t>
  </si>
  <si>
    <t>PEOLD05</t>
  </si>
  <si>
    <t>JIP</t>
  </si>
  <si>
    <t>CASA01-CASA03</t>
  </si>
  <si>
    <t>CEMES02</t>
  </si>
  <si>
    <t>RNJOA01</t>
  </si>
  <si>
    <t>PIJ</t>
  </si>
  <si>
    <t>BASMF22</t>
  </si>
  <si>
    <t>CEPIC12</t>
  </si>
  <si>
    <t>RNGOH03</t>
  </si>
  <si>
    <t>BAFSA37</t>
  </si>
  <si>
    <t>BAFSA38</t>
  </si>
  <si>
    <t>RNGOH01</t>
  </si>
  <si>
    <t>PECGB02</t>
  </si>
  <si>
    <t>PEJBO06</t>
  </si>
  <si>
    <t>DFSQN23</t>
  </si>
  <si>
    <t>CEAQU02</t>
  </si>
  <si>
    <t>BAFSA66</t>
  </si>
  <si>
    <t>GOVPI09</t>
  </si>
  <si>
    <t>BAIRA02</t>
  </si>
  <si>
    <t>PBTAB03</t>
  </si>
  <si>
    <t>PEISS01</t>
  </si>
  <si>
    <t>BAILH27</t>
  </si>
  <si>
    <t xml:space="preserve">NBRPII0005 </t>
  </si>
  <si>
    <t>NBRBAI0048</t>
  </si>
  <si>
    <t>NBRBAI0132</t>
  </si>
  <si>
    <t>NBRBAI0226</t>
  </si>
  <si>
    <t>NBRBAI0228</t>
  </si>
  <si>
    <t>NBRBAI0227</t>
  </si>
  <si>
    <t>NBRBAI0231</t>
  </si>
  <si>
    <t>NBRBAI0190</t>
  </si>
  <si>
    <t>PECBO16</t>
  </si>
  <si>
    <t>PEBOV03</t>
  </si>
  <si>
    <t>PECRU03</t>
  </si>
  <si>
    <t>SHJ</t>
  </si>
  <si>
    <t>SR-FLJSJ9</t>
  </si>
  <si>
    <t>KNN</t>
  </si>
  <si>
    <t>FCU</t>
  </si>
  <si>
    <t>GVO</t>
  </si>
  <si>
    <t>JBV</t>
  </si>
  <si>
    <t>ABI</t>
  </si>
  <si>
    <t>NFT</t>
  </si>
  <si>
    <t>AEP</t>
  </si>
  <si>
    <t>SIT</t>
  </si>
  <si>
    <t>BKR</t>
  </si>
  <si>
    <t>CRQ</t>
  </si>
  <si>
    <t>BBY</t>
  </si>
  <si>
    <t>SR-CCCCJ2</t>
  </si>
  <si>
    <t>SR-CCCCA7</t>
  </si>
  <si>
    <t>SR-PIPIJ9</t>
  </si>
  <si>
    <t>SR-STSTJ1</t>
  </si>
  <si>
    <t>CCY</t>
  </si>
  <si>
    <t>LJA</t>
  </si>
  <si>
    <t>PBU</t>
  </si>
  <si>
    <t>FBQ</t>
  </si>
  <si>
    <t>PCY</t>
  </si>
  <si>
    <t>RPX</t>
  </si>
  <si>
    <t>TRD</t>
  </si>
  <si>
    <t>VMG</t>
  </si>
  <si>
    <t>CVL</t>
  </si>
  <si>
    <t>PJB</t>
  </si>
  <si>
    <t>CRA</t>
  </si>
  <si>
    <t>JDO</t>
  </si>
  <si>
    <t>GRP</t>
  </si>
  <si>
    <t>UMD</t>
  </si>
  <si>
    <t>QUI</t>
  </si>
  <si>
    <t>SNG</t>
  </si>
  <si>
    <t>MWI</t>
  </si>
  <si>
    <t>QOO</t>
  </si>
  <si>
    <t>CSB-CNV</t>
  </si>
  <si>
    <t>JUS</t>
  </si>
  <si>
    <t>OAS</t>
  </si>
  <si>
    <t>UJN</t>
  </si>
  <si>
    <t>CSS</t>
  </si>
  <si>
    <t>LOI-BAO</t>
  </si>
  <si>
    <t>PVY</t>
  </si>
  <si>
    <t>CDM</t>
  </si>
  <si>
    <t>LHM</t>
  </si>
  <si>
    <t>ACM</t>
  </si>
  <si>
    <t>PPI</t>
  </si>
  <si>
    <t>SOS</t>
  </si>
  <si>
    <t>APU</t>
  </si>
  <si>
    <t>CNQ</t>
  </si>
  <si>
    <t>PEC</t>
  </si>
  <si>
    <t>CVZ</t>
  </si>
  <si>
    <t>FMO</t>
  </si>
  <si>
    <t>TMA</t>
  </si>
  <si>
    <t>TUN</t>
  </si>
  <si>
    <t>ALMGI01</t>
  </si>
  <si>
    <t>PEBJH01</t>
  </si>
  <si>
    <t>SR-GNGNJ1</t>
  </si>
  <si>
    <t>SUL</t>
  </si>
  <si>
    <t>BUY</t>
  </si>
  <si>
    <t>DUN</t>
  </si>
  <si>
    <t>BAMRU05</t>
  </si>
  <si>
    <t>DOS</t>
  </si>
  <si>
    <t>JCO</t>
  </si>
  <si>
    <t>LQU</t>
  </si>
  <si>
    <t>INS</t>
  </si>
  <si>
    <t>SRS</t>
  </si>
  <si>
    <t>BACEN29</t>
  </si>
  <si>
    <t>PEPUI03</t>
  </si>
  <si>
    <t>PEBVT39</t>
  </si>
  <si>
    <t>TII</t>
  </si>
  <si>
    <t>PEJBO10</t>
  </si>
  <si>
    <t>OLV</t>
  </si>
  <si>
    <t>ASI</t>
  </si>
  <si>
    <t>RBC</t>
  </si>
  <si>
    <t>MSY</t>
  </si>
  <si>
    <t>RID</t>
  </si>
  <si>
    <t>ECM</t>
  </si>
  <si>
    <t>GBR</t>
  </si>
  <si>
    <t>DPD</t>
  </si>
  <si>
    <t>PCB</t>
  </si>
  <si>
    <t>ESP</t>
  </si>
  <si>
    <t>RVR</t>
  </si>
  <si>
    <t>BACARI5</t>
  </si>
  <si>
    <t>ATZ</t>
  </si>
  <si>
    <t>PBPMU01</t>
  </si>
  <si>
    <t>ALSYM01</t>
  </si>
  <si>
    <t>PED</t>
  </si>
  <si>
    <t>SR-JPVLJ4</t>
  </si>
  <si>
    <t>MRI</t>
  </si>
  <si>
    <t>BFQ</t>
  </si>
  <si>
    <t>PITER07</t>
  </si>
  <si>
    <t>QSM</t>
  </si>
  <si>
    <t>NRC</t>
  </si>
  <si>
    <t>ASV</t>
  </si>
  <si>
    <t>CSB</t>
  </si>
  <si>
    <t>RCY</t>
  </si>
  <si>
    <t>ALAIR01</t>
  </si>
  <si>
    <t>CAP</t>
  </si>
  <si>
    <t>LBS</t>
  </si>
  <si>
    <t>UNM</t>
  </si>
  <si>
    <t>XAU</t>
  </si>
  <si>
    <t>MLV</t>
  </si>
  <si>
    <t>ICY</t>
  </si>
  <si>
    <t>PENDT15</t>
  </si>
  <si>
    <t>PEIPS03</t>
  </si>
  <si>
    <t>PECRU37</t>
  </si>
  <si>
    <t>PDN</t>
  </si>
  <si>
    <t>SR-XMXMJ0</t>
  </si>
  <si>
    <t>PBCGE01</t>
  </si>
  <si>
    <t>PETAM01</t>
  </si>
  <si>
    <t>QDO</t>
  </si>
  <si>
    <t>PITER15</t>
  </si>
  <si>
    <t>PEIPS18</t>
  </si>
  <si>
    <t>PUW</t>
  </si>
  <si>
    <t>SXF</t>
  </si>
  <si>
    <t>PEIPJ02</t>
  </si>
  <si>
    <t>SR-CMTBJ2</t>
  </si>
  <si>
    <t>TTT</t>
  </si>
  <si>
    <t>POC</t>
  </si>
  <si>
    <t>SR-POMGJ0 - T_SMEL</t>
  </si>
  <si>
    <t>PEIPJR5</t>
  </si>
  <si>
    <t>SCT</t>
  </si>
  <si>
    <t>CEL</t>
  </si>
  <si>
    <t>PTP</t>
  </si>
  <si>
    <t>UCA</t>
  </si>
  <si>
    <t>PEIPJR1</t>
  </si>
  <si>
    <t>DRR</t>
  </si>
  <si>
    <t>MUT</t>
  </si>
  <si>
    <t>JOR</t>
  </si>
  <si>
    <t>PTZ</t>
  </si>
  <si>
    <t>IGC</t>
  </si>
  <si>
    <t>PETTA03</t>
  </si>
  <si>
    <t>AMJ</t>
  </si>
  <si>
    <t>SIG</t>
  </si>
  <si>
    <t>QND</t>
  </si>
  <si>
    <t>RAA</t>
  </si>
  <si>
    <t>SPC</t>
  </si>
  <si>
    <t>PWP</t>
  </si>
  <si>
    <t>SSX</t>
  </si>
  <si>
    <t>PEIBE01</t>
  </si>
  <si>
    <t>LIM</t>
  </si>
  <si>
    <t>JCL</t>
  </si>
  <si>
    <t>SNA</t>
  </si>
  <si>
    <t>VSE</t>
  </si>
  <si>
    <t>ARU</t>
  </si>
  <si>
    <t>LAB</t>
  </si>
  <si>
    <t>SIN</t>
  </si>
  <si>
    <t>MOT</t>
  </si>
  <si>
    <t>AQZ</t>
  </si>
  <si>
    <t>BXD</t>
  </si>
  <si>
    <t>ECO</t>
  </si>
  <si>
    <t>PDL</t>
  </si>
  <si>
    <t>SR-RCMGJ1</t>
  </si>
  <si>
    <t>PITER26</t>
  </si>
  <si>
    <t>MIH</t>
  </si>
  <si>
    <t>PEBJM06</t>
  </si>
  <si>
    <t>HRT</t>
  </si>
  <si>
    <t>CCA</t>
  </si>
  <si>
    <t>MJN</t>
  </si>
  <si>
    <t>SR-QGQGJ1</t>
  </si>
  <si>
    <t>RCS</t>
  </si>
  <si>
    <t>SR-MNCEJ1</t>
  </si>
  <si>
    <t>SR-TEZHJ1</t>
  </si>
  <si>
    <t>IUC</t>
  </si>
  <si>
    <t>RAS</t>
  </si>
  <si>
    <t>PKP</t>
  </si>
  <si>
    <t>PESNH01</t>
  </si>
  <si>
    <t>SCU</t>
  </si>
  <si>
    <t>SR-ALS039</t>
  </si>
  <si>
    <t>SR-TNTNJ3</t>
  </si>
  <si>
    <t>SUA</t>
  </si>
  <si>
    <t>AEA</t>
  </si>
  <si>
    <t>CTI</t>
  </si>
  <si>
    <t>GBB</t>
  </si>
  <si>
    <t>NBRBAI0121</t>
  </si>
  <si>
    <t>JPS</t>
  </si>
  <si>
    <t>VEA</t>
  </si>
  <si>
    <t>MOU</t>
  </si>
  <si>
    <t>BBQ</t>
  </si>
  <si>
    <t>TDM</t>
  </si>
  <si>
    <t>VSI</t>
  </si>
  <si>
    <t>ZMB</t>
  </si>
  <si>
    <t>JOD</t>
  </si>
  <si>
    <t>SEP</t>
  </si>
  <si>
    <t>BASMF03</t>
  </si>
  <si>
    <t>TZZ</t>
  </si>
  <si>
    <t>BAUBT01</t>
  </si>
  <si>
    <t>BTE</t>
  </si>
  <si>
    <t>PRI</t>
  </si>
  <si>
    <t>PVL</t>
  </si>
  <si>
    <t>SR-PES159</t>
  </si>
  <si>
    <t>VAS</t>
  </si>
  <si>
    <t>AAJ</t>
  </si>
  <si>
    <t>CCH</t>
  </si>
  <si>
    <t>MHB</t>
  </si>
  <si>
    <t>QPF</t>
  </si>
  <si>
    <t>SCH</t>
  </si>
  <si>
    <t>SR-FLMAJ0</t>
  </si>
  <si>
    <t>CUP</t>
  </si>
  <si>
    <t>COS</t>
  </si>
  <si>
    <t>CTE</t>
  </si>
  <si>
    <t>RDN</t>
  </si>
  <si>
    <t>BATPT01</t>
  </si>
  <si>
    <t>BAVCT23</t>
  </si>
  <si>
    <t>BAVCT06</t>
  </si>
  <si>
    <t>DID</t>
  </si>
  <si>
    <t>STN</t>
  </si>
  <si>
    <t>BBN</t>
  </si>
  <si>
    <t>AAG</t>
  </si>
  <si>
    <t>RMG</t>
  </si>
  <si>
    <t>ASJ</t>
  </si>
  <si>
    <t>GNA</t>
  </si>
  <si>
    <t>EXP</t>
  </si>
  <si>
    <t>GEN</t>
  </si>
  <si>
    <t>JCY</t>
  </si>
  <si>
    <t>MMN</t>
  </si>
  <si>
    <t>LAG</t>
  </si>
  <si>
    <t>BFL</t>
  </si>
  <si>
    <t>KRR</t>
  </si>
  <si>
    <t>MAQ</t>
  </si>
  <si>
    <t>ONO</t>
  </si>
  <si>
    <t>BAVCT08</t>
  </si>
  <si>
    <t>RMU</t>
  </si>
  <si>
    <t>SR-ARARJ4</t>
  </si>
  <si>
    <t>BAVCT30</t>
  </si>
  <si>
    <t>PECBOR3</t>
  </si>
  <si>
    <t>PECBOR4</t>
  </si>
  <si>
    <t>SJO</t>
  </si>
  <si>
    <t>PEVSA09</t>
  </si>
  <si>
    <t>NBRBAI0229</t>
  </si>
  <si>
    <t>BAITA30</t>
  </si>
  <si>
    <t>NLU</t>
  </si>
  <si>
    <t>SXS</t>
  </si>
  <si>
    <t>PUZ</t>
  </si>
  <si>
    <t>MEB</t>
  </si>
  <si>
    <t>NVX</t>
  </si>
  <si>
    <t>VPR</t>
  </si>
  <si>
    <t>SRG</t>
  </si>
  <si>
    <t>XGO</t>
  </si>
  <si>
    <t>SR-ARCEJ0</t>
  </si>
  <si>
    <t>TOT</t>
  </si>
  <si>
    <t>AEO</t>
  </si>
  <si>
    <t>SR-JCRUJ0</t>
  </si>
  <si>
    <t>BTP</t>
  </si>
  <si>
    <t>BACAJ34</t>
  </si>
  <si>
    <t>CAJ</t>
  </si>
  <si>
    <t>CSH</t>
  </si>
  <si>
    <t>MBX</t>
  </si>
  <si>
    <t>GIH</t>
  </si>
  <si>
    <t>RMO</t>
  </si>
  <si>
    <t>BAVCT22</t>
  </si>
  <si>
    <t>TNL</t>
  </si>
  <si>
    <t>BABON03</t>
  </si>
  <si>
    <t>CET</t>
  </si>
  <si>
    <t>BABON30</t>
  </si>
  <si>
    <t>BACAJ23</t>
  </si>
  <si>
    <t>AEJ</t>
  </si>
  <si>
    <t>BAVCT01</t>
  </si>
  <si>
    <t>BACAB51</t>
  </si>
  <si>
    <t>PEFEN01</t>
  </si>
  <si>
    <t>BAPGR05</t>
  </si>
  <si>
    <t>BEP</t>
  </si>
  <si>
    <t>CEBAE07</t>
  </si>
  <si>
    <t>ATC</t>
  </si>
  <si>
    <t>BAPGR11</t>
  </si>
  <si>
    <t>BACEN22</t>
  </si>
  <si>
    <t>PEBVT08</t>
  </si>
  <si>
    <t>XCV</t>
  </si>
  <si>
    <t>MOW</t>
  </si>
  <si>
    <t>BAVCT35</t>
  </si>
  <si>
    <t>BASMF18</t>
  </si>
  <si>
    <t>ABM</t>
  </si>
  <si>
    <t>GUM</t>
  </si>
  <si>
    <t>SR-AQPDJ1</t>
  </si>
  <si>
    <t>CRP</t>
  </si>
  <si>
    <t>TOR</t>
  </si>
  <si>
    <t>ARC</t>
  </si>
  <si>
    <t>JJA</t>
  </si>
  <si>
    <t>CMD</t>
  </si>
  <si>
    <t>SIF</t>
  </si>
  <si>
    <t>BRE</t>
  </si>
  <si>
    <t>BTK</t>
  </si>
  <si>
    <t>CIA</t>
  </si>
  <si>
    <t>SR-NTPNA2</t>
  </si>
  <si>
    <t>CER</t>
  </si>
  <si>
    <t>MUS</t>
  </si>
  <si>
    <t>SGD</t>
  </si>
  <si>
    <t>SME</t>
  </si>
  <si>
    <t>FCX</t>
  </si>
  <si>
    <t>FMC</t>
  </si>
  <si>
    <t>UNI</t>
  </si>
  <si>
    <t>BACAB01</t>
  </si>
  <si>
    <t>NCS</t>
  </si>
  <si>
    <t>RHE</t>
  </si>
  <si>
    <t>ADT</t>
  </si>
  <si>
    <t>BQR</t>
  </si>
  <si>
    <t>PNQ</t>
  </si>
  <si>
    <t>OHD</t>
  </si>
  <si>
    <t>BAILH20</t>
  </si>
  <si>
    <t>BALFS16</t>
  </si>
  <si>
    <t>BAPGR17</t>
  </si>
  <si>
    <t>BAPOC04</t>
  </si>
  <si>
    <t>PECRUR4</t>
  </si>
  <si>
    <t>PEPTA21</t>
  </si>
  <si>
    <t>PETIU01</t>
  </si>
  <si>
    <t>BAVCT04</t>
  </si>
  <si>
    <t>BALFS25</t>
  </si>
  <si>
    <t>BACAJ32</t>
  </si>
  <si>
    <t>BACAR28</t>
  </si>
  <si>
    <t>BMP</t>
  </si>
  <si>
    <t>XJB</t>
  </si>
  <si>
    <t>BALFS29</t>
  </si>
  <si>
    <t>CEPAR09</t>
  </si>
  <si>
    <t>CPT</t>
  </si>
  <si>
    <t>PCH</t>
  </si>
  <si>
    <t>PLN</t>
  </si>
  <si>
    <t>SMR</t>
  </si>
  <si>
    <t>TTV</t>
  </si>
  <si>
    <t>GTH</t>
  </si>
  <si>
    <t>MLI</t>
  </si>
  <si>
    <t>CBD</t>
  </si>
  <si>
    <t>PDC</t>
  </si>
  <si>
    <t>PVH</t>
  </si>
  <si>
    <t>PLU</t>
  </si>
  <si>
    <t>PWC</t>
  </si>
  <si>
    <t>SRB</t>
  </si>
  <si>
    <t>KST</t>
  </si>
  <si>
    <t>MBV</t>
  </si>
  <si>
    <t>MPG</t>
  </si>
  <si>
    <t>MPJ</t>
  </si>
  <si>
    <t>PBV</t>
  </si>
  <si>
    <t>JQB</t>
  </si>
  <si>
    <t>MSP</t>
  </si>
  <si>
    <t>PLE</t>
  </si>
  <si>
    <t>PYA</t>
  </si>
  <si>
    <t>RRD</t>
  </si>
  <si>
    <t>SDH</t>
  </si>
  <si>
    <t>SJW</t>
  </si>
  <si>
    <t>SLM</t>
  </si>
  <si>
    <t>SLQ</t>
  </si>
  <si>
    <t>XAA</t>
  </si>
  <si>
    <t>CPE</t>
  </si>
  <si>
    <t>PMG</t>
  </si>
  <si>
    <t>PVD</t>
  </si>
  <si>
    <t>PWD</t>
  </si>
  <si>
    <t>PXZ</t>
  </si>
  <si>
    <t>AMF</t>
  </si>
  <si>
    <t>ATU</t>
  </si>
  <si>
    <t>CNL</t>
  </si>
  <si>
    <t>FCO</t>
  </si>
  <si>
    <t>OSM</t>
  </si>
  <si>
    <t>SOE</t>
  </si>
  <si>
    <t>UMR</t>
  </si>
  <si>
    <t>DPB</t>
  </si>
  <si>
    <t>FOR</t>
  </si>
  <si>
    <t>GAS</t>
  </si>
  <si>
    <t>HES</t>
  </si>
  <si>
    <t>IGB</t>
  </si>
  <si>
    <t>JNF</t>
  </si>
  <si>
    <t>OUE</t>
  </si>
  <si>
    <t>HBJ</t>
  </si>
  <si>
    <t>IGT</t>
  </si>
  <si>
    <t>MBE</t>
  </si>
  <si>
    <t>KCS</t>
  </si>
  <si>
    <t>TBN</t>
  </si>
  <si>
    <t>MCX</t>
  </si>
  <si>
    <t>ETA</t>
  </si>
  <si>
    <t>MMR</t>
  </si>
  <si>
    <t>PVC</t>
  </si>
  <si>
    <t>TAL</t>
  </si>
  <si>
    <t>BLN</t>
  </si>
  <si>
    <t>CHR</t>
  </si>
  <si>
    <t>EVL</t>
  </si>
  <si>
    <t>IGY</t>
  </si>
  <si>
    <t>JAU</t>
  </si>
  <si>
    <t>MGC</t>
  </si>
  <si>
    <t>LGX</t>
  </si>
  <si>
    <t>MNA</t>
  </si>
  <si>
    <t>MOD</t>
  </si>
  <si>
    <t>OLH</t>
  </si>
  <si>
    <t>PBA</t>
  </si>
  <si>
    <t>ALW</t>
  </si>
  <si>
    <t>PMO</t>
  </si>
  <si>
    <t>PUL</t>
  </si>
  <si>
    <t>MAE</t>
  </si>
  <si>
    <t>MLD</t>
  </si>
  <si>
    <t>PEACV01</t>
  </si>
  <si>
    <t>PEPTA07</t>
  </si>
  <si>
    <t>PEPTA23</t>
  </si>
  <si>
    <t>PESTA01</t>
  </si>
  <si>
    <t>BAAMA40</t>
  </si>
  <si>
    <t>BAAMA41</t>
  </si>
  <si>
    <t>BAAMA55</t>
  </si>
  <si>
    <t>BAAMA97</t>
  </si>
  <si>
    <t>BABON02</t>
  </si>
  <si>
    <t>BABRO05</t>
  </si>
  <si>
    <t>BABRO08</t>
  </si>
  <si>
    <t>BABRO11</t>
  </si>
  <si>
    <t>BACAB02</t>
  </si>
  <si>
    <t>BACAB04</t>
  </si>
  <si>
    <t>BACAB06</t>
  </si>
  <si>
    <t>BACAB27</t>
  </si>
  <si>
    <t>BACAJ10</t>
  </si>
  <si>
    <t>BACAJ38</t>
  </si>
  <si>
    <t>BACAR47</t>
  </si>
  <si>
    <t>BACEN16</t>
  </si>
  <si>
    <t>BABON08</t>
  </si>
  <si>
    <t>BACIS01</t>
  </si>
  <si>
    <t>BACISR1</t>
  </si>
  <si>
    <t>BAITA51</t>
  </si>
  <si>
    <t>BAJUA18</t>
  </si>
  <si>
    <t>BALFS02</t>
  </si>
  <si>
    <t>BALFS30</t>
  </si>
  <si>
    <t>BALFS32</t>
  </si>
  <si>
    <t>BALFS40</t>
  </si>
  <si>
    <t>BAPGR25</t>
  </si>
  <si>
    <t>BAPOC01</t>
  </si>
  <si>
    <t>BASMF05</t>
  </si>
  <si>
    <t>BATPT02</t>
  </si>
  <si>
    <t>BAVCT27</t>
  </si>
  <si>
    <t>BAVCZ06</t>
  </si>
  <si>
    <t>PEPTA92</t>
  </si>
  <si>
    <t>RNPNG03</t>
  </si>
  <si>
    <t>BAITA62</t>
  </si>
  <si>
    <t>BABON44</t>
  </si>
  <si>
    <t>AFZ</t>
  </si>
  <si>
    <t>POP</t>
  </si>
  <si>
    <t>SFS</t>
  </si>
  <si>
    <t>RSJ</t>
  </si>
  <si>
    <t>BAAMA25</t>
  </si>
  <si>
    <t>BAAMA26</t>
  </si>
  <si>
    <t>ADZ</t>
  </si>
  <si>
    <t>RAT</t>
  </si>
  <si>
    <t>BDO</t>
  </si>
  <si>
    <t>RDA</t>
  </si>
  <si>
    <t>FIM</t>
  </si>
  <si>
    <t>FZN</t>
  </si>
  <si>
    <t>PPC</t>
  </si>
  <si>
    <t>PPP</t>
  </si>
  <si>
    <t>LCC</t>
  </si>
  <si>
    <t>INE</t>
  </si>
  <si>
    <t>MTG</t>
  </si>
  <si>
    <t>JGU</t>
  </si>
  <si>
    <t>LST</t>
  </si>
  <si>
    <t>JEP</t>
  </si>
  <si>
    <t>BOV</t>
  </si>
  <si>
    <t>MGG</t>
  </si>
  <si>
    <t>PDR</t>
  </si>
  <si>
    <t>XRR</t>
  </si>
  <si>
    <t>CCT</t>
  </si>
  <si>
    <t>AER</t>
  </si>
  <si>
    <t>SR-RNS047</t>
  </si>
  <si>
    <t>SR-RNS053</t>
  </si>
  <si>
    <t>IMB</t>
  </si>
  <si>
    <t>MAB</t>
  </si>
  <si>
    <t>MOE</t>
  </si>
  <si>
    <t>NOP</t>
  </si>
  <si>
    <t>ARS</t>
  </si>
  <si>
    <t>PQX</t>
  </si>
  <si>
    <t>GOC</t>
  </si>
  <si>
    <t>CRW</t>
  </si>
  <si>
    <t>RAL</t>
  </si>
  <si>
    <t>SSC</t>
  </si>
  <si>
    <t>BBC</t>
  </si>
  <si>
    <t>QXN</t>
  </si>
  <si>
    <t>DOM</t>
  </si>
  <si>
    <t>XPE</t>
  </si>
  <si>
    <t>JEX</t>
  </si>
  <si>
    <t>EVN</t>
  </si>
  <si>
    <t>BAN</t>
  </si>
  <si>
    <t>FRP_KEY</t>
  </si>
  <si>
    <t>FSH</t>
  </si>
  <si>
    <t>BPP</t>
  </si>
  <si>
    <t>KKO</t>
  </si>
  <si>
    <t>MVV</t>
  </si>
  <si>
    <t>FEP</t>
  </si>
  <si>
    <t>UPS</t>
  </si>
  <si>
    <t>SCD</t>
  </si>
  <si>
    <t>ITU</t>
  </si>
  <si>
    <t>SJC</t>
  </si>
  <si>
    <t>LDE</t>
  </si>
  <si>
    <t>RDC</t>
  </si>
  <si>
    <t>RPB</t>
  </si>
  <si>
    <t>MAX</t>
  </si>
  <si>
    <t>KTP</t>
  </si>
  <si>
    <t>PJU</t>
  </si>
  <si>
    <t>PVA</t>
  </si>
  <si>
    <t>POH</t>
  </si>
  <si>
    <t>SDJ</t>
  </si>
  <si>
    <t>CMT</t>
  </si>
  <si>
    <t>BACEN04</t>
  </si>
  <si>
    <t>BAAMA57</t>
  </si>
  <si>
    <t>BAAMA13</t>
  </si>
  <si>
    <t>BAAMA94</t>
  </si>
  <si>
    <t>BABON35</t>
  </si>
  <si>
    <t>BABRO09</t>
  </si>
  <si>
    <t>BACAB05</t>
  </si>
  <si>
    <t>BACAB23</t>
  </si>
  <si>
    <t>BACAB45</t>
  </si>
  <si>
    <t>BAAMA72</t>
  </si>
  <si>
    <t>BAAMA99</t>
  </si>
  <si>
    <t>BAAMA98</t>
  </si>
  <si>
    <t>VMH</t>
  </si>
  <si>
    <t>PWL</t>
  </si>
  <si>
    <t>ATI</t>
  </si>
  <si>
    <t>MER</t>
  </si>
  <si>
    <t>PSC</t>
  </si>
  <si>
    <t>CRR</t>
  </si>
  <si>
    <t>RND</t>
  </si>
  <si>
    <t>OLO</t>
  </si>
  <si>
    <t>POM</t>
  </si>
  <si>
    <t>CAB</t>
  </si>
  <si>
    <t>VRF</t>
  </si>
  <si>
    <t>XPI</t>
  </si>
  <si>
    <t>GGA</t>
  </si>
  <si>
    <t>SJG</t>
  </si>
  <si>
    <t>BABON06</t>
  </si>
  <si>
    <t>BACAB47</t>
  </si>
  <si>
    <t>BACAR03</t>
  </si>
  <si>
    <t>PLS</t>
  </si>
  <si>
    <t>RBO</t>
  </si>
  <si>
    <t>RSP</t>
  </si>
  <si>
    <t>MTR</t>
  </si>
  <si>
    <t>NZR</t>
  </si>
  <si>
    <t>MRG</t>
  </si>
  <si>
    <t>ACT</t>
  </si>
  <si>
    <t>PEBOV39</t>
  </si>
  <si>
    <t>PEBOV14</t>
  </si>
  <si>
    <t>PEBOV05</t>
  </si>
  <si>
    <t>PEBOV51</t>
  </si>
  <si>
    <t>PEBOV06</t>
  </si>
  <si>
    <t>PEBOV16</t>
  </si>
  <si>
    <t>PEBOV02</t>
  </si>
  <si>
    <t>PEBOV04</t>
  </si>
  <si>
    <t>PEBOV52</t>
  </si>
  <si>
    <t>PEBOV07</t>
  </si>
  <si>
    <t>PEBOV12</t>
  </si>
  <si>
    <t>PEBOV13</t>
  </si>
  <si>
    <t>PEBOV20</t>
  </si>
  <si>
    <t>PEBOV21</t>
  </si>
  <si>
    <t>PEBOV29</t>
  </si>
  <si>
    <t>PMU</t>
  </si>
  <si>
    <t>IGE</t>
  </si>
  <si>
    <t>AOO</t>
  </si>
  <si>
    <t>CMC</t>
  </si>
  <si>
    <t>BACEN06</t>
  </si>
  <si>
    <t>BAPGR21</t>
  </si>
  <si>
    <t>BACAB18</t>
  </si>
  <si>
    <t>BABAR19</t>
  </si>
  <si>
    <t>SR-CES275</t>
  </si>
  <si>
    <t>SR-CES025</t>
  </si>
  <si>
    <t>XJT</t>
  </si>
  <si>
    <t>CAN</t>
  </si>
  <si>
    <t>KSB</t>
  </si>
  <si>
    <t>SR-LALAJ0</t>
  </si>
  <si>
    <t>VMU</t>
  </si>
  <si>
    <t>SR-RCBVJ2</t>
  </si>
  <si>
    <t>JJL</t>
  </si>
  <si>
    <t>SR-PBS033</t>
  </si>
  <si>
    <t>SR-SNSNJ6</t>
  </si>
  <si>
    <t>ANC</t>
  </si>
  <si>
    <t>SBO</t>
  </si>
  <si>
    <t>SPA</t>
  </si>
  <si>
    <t>BACEN12</t>
  </si>
  <si>
    <t>NVV</t>
  </si>
  <si>
    <t>STS</t>
  </si>
  <si>
    <t>SR-AQAQJ1</t>
  </si>
  <si>
    <t>GBU</t>
  </si>
  <si>
    <t>AJK</t>
  </si>
  <si>
    <t>MPT</t>
  </si>
  <si>
    <t>XCB</t>
  </si>
  <si>
    <t>UPC</t>
  </si>
  <si>
    <t>ICU</t>
  </si>
  <si>
    <t>TTL</t>
  </si>
  <si>
    <t>TSH</t>
  </si>
  <si>
    <t>IDI</t>
  </si>
  <si>
    <t>POF</t>
  </si>
  <si>
    <t>PPL</t>
  </si>
  <si>
    <t>MIV</t>
  </si>
  <si>
    <t>IPB</t>
  </si>
  <si>
    <t>PCN</t>
  </si>
  <si>
    <t>CAU</t>
  </si>
  <si>
    <t>RAR</t>
  </si>
  <si>
    <t>GSM</t>
  </si>
  <si>
    <t>SPG</t>
  </si>
  <si>
    <t>BABON10</t>
  </si>
  <si>
    <t>BAIAP02</t>
  </si>
  <si>
    <t>BABON20</t>
  </si>
  <si>
    <t>BAAMA14</t>
  </si>
  <si>
    <t>BACAR18</t>
  </si>
  <si>
    <t>BAAMA73</t>
  </si>
  <si>
    <t>BAAMA71</t>
  </si>
  <si>
    <t>BAAMA74</t>
  </si>
  <si>
    <t>BACEN07</t>
  </si>
  <si>
    <t>BABAR03</t>
  </si>
  <si>
    <t>APAR01</t>
  </si>
  <si>
    <t>4GBABDA5857</t>
  </si>
  <si>
    <t>7NLFSCE02</t>
  </si>
  <si>
    <t>4G-SAIG06</t>
  </si>
  <si>
    <t>BASDR_0092</t>
  </si>
  <si>
    <t>CLN</t>
  </si>
  <si>
    <t>PSP</t>
  </si>
  <si>
    <t>CGO</t>
  </si>
  <si>
    <t>PIG</t>
  </si>
  <si>
    <t>VSP</t>
  </si>
  <si>
    <t>BRP</t>
  </si>
  <si>
    <t>LSC</t>
  </si>
  <si>
    <t>ESR</t>
  </si>
  <si>
    <t>SDV</t>
  </si>
  <si>
    <t>MDR</t>
  </si>
  <si>
    <t>PDM</t>
  </si>
  <si>
    <t>FFR</t>
  </si>
  <si>
    <t>BER</t>
  </si>
  <si>
    <t>CVA</t>
  </si>
  <si>
    <t>MPM</t>
  </si>
  <si>
    <t>AAL</t>
  </si>
  <si>
    <t>PJI</t>
  </si>
  <si>
    <t>PYS</t>
  </si>
  <si>
    <t>SEG</t>
  </si>
  <si>
    <t>UAM</t>
  </si>
  <si>
    <t>XJJ</t>
  </si>
  <si>
    <t>BQA</t>
  </si>
  <si>
    <t>EBR</t>
  </si>
  <si>
    <t>IJS</t>
  </si>
  <si>
    <t>IPA</t>
  </si>
  <si>
    <t>IUZ</t>
  </si>
  <si>
    <t>NVH</t>
  </si>
  <si>
    <t>OEA</t>
  </si>
  <si>
    <t>AOM</t>
  </si>
  <si>
    <t>EAS</t>
  </si>
  <si>
    <t>SUE</t>
  </si>
  <si>
    <t>BON</t>
  </si>
  <si>
    <t>COA</t>
  </si>
  <si>
    <t>SBQ</t>
  </si>
  <si>
    <t>KAU</t>
  </si>
  <si>
    <t>BACAR01</t>
  </si>
  <si>
    <t>SR-PBS036</t>
  </si>
  <si>
    <t>SR-RCSAA1</t>
  </si>
  <si>
    <t>SR-RCILJ0</t>
  </si>
  <si>
    <t>SR-PBS032</t>
  </si>
  <si>
    <t>SR-CES176</t>
  </si>
  <si>
    <t>SR-MNSQJ1</t>
  </si>
  <si>
    <t>SR-BSBSJ5</t>
  </si>
  <si>
    <t>BABAR20</t>
  </si>
  <si>
    <t>BABAR29</t>
  </si>
  <si>
    <t>PEIPS27</t>
  </si>
  <si>
    <t>RPV</t>
  </si>
  <si>
    <t>CEALD05</t>
  </si>
  <si>
    <t>CEALD07</t>
  </si>
  <si>
    <t>BAAMA95</t>
  </si>
  <si>
    <t>BAAMA96</t>
  </si>
  <si>
    <t>BABON13</t>
  </si>
  <si>
    <t>IPL</t>
  </si>
  <si>
    <t>CWL</t>
  </si>
  <si>
    <t>PBO</t>
  </si>
  <si>
    <t>BACAB12</t>
  </si>
  <si>
    <t>BAAMA47</t>
  </si>
  <si>
    <t>BAAMA37</t>
  </si>
  <si>
    <t>BACAJ05</t>
  </si>
  <si>
    <t>BAAMA76</t>
  </si>
  <si>
    <t>BACEN19</t>
  </si>
  <si>
    <t>BAAMA35</t>
  </si>
  <si>
    <t>BAAMA56</t>
  </si>
  <si>
    <t>BAAMA77</t>
  </si>
  <si>
    <t>BAAMA02</t>
  </si>
  <si>
    <t>BAAMA03</t>
  </si>
  <si>
    <t>BEI</t>
  </si>
  <si>
    <t>AGR</t>
  </si>
  <si>
    <t>CDU</t>
  </si>
  <si>
    <t>CEALD25</t>
  </si>
  <si>
    <t>CEPAC04</t>
  </si>
  <si>
    <t>CVC</t>
  </si>
  <si>
    <t>CPY</t>
  </si>
  <si>
    <t>ATR</t>
  </si>
  <si>
    <t>PEBOV24</t>
  </si>
  <si>
    <t>CJU</t>
  </si>
  <si>
    <t>PEEPH42</t>
  </si>
  <si>
    <t>SR-ALS042</t>
  </si>
  <si>
    <t>PBCWX07</t>
  </si>
  <si>
    <t>PBTAB18</t>
  </si>
  <si>
    <t>PBTAB05</t>
  </si>
  <si>
    <t>ALFAR07</t>
  </si>
  <si>
    <t>ALFAR16</t>
  </si>
  <si>
    <t>ALFAR19</t>
  </si>
  <si>
    <t>BOO</t>
  </si>
  <si>
    <t>PEBOV50</t>
  </si>
  <si>
    <t>PEBOV46</t>
  </si>
  <si>
    <t>BACEN13</t>
  </si>
  <si>
    <t>BAALG09</t>
  </si>
  <si>
    <t>BAITA61</t>
  </si>
  <si>
    <t>BAITA35</t>
  </si>
  <si>
    <t>BAITA05</t>
  </si>
  <si>
    <t>CEALD16</t>
  </si>
  <si>
    <t>BABAR05</t>
  </si>
  <si>
    <t>BAAMA83</t>
  </si>
  <si>
    <t>BAAMA79</t>
  </si>
  <si>
    <t>BAVCZ05</t>
  </si>
  <si>
    <t>BAAMA78</t>
  </si>
  <si>
    <t>BACAB14</t>
  </si>
  <si>
    <t>BAJCN05</t>
  </si>
  <si>
    <t>BABAR15</t>
  </si>
  <si>
    <t>BAITA11</t>
  </si>
  <si>
    <t>BACEN05</t>
  </si>
  <si>
    <t>BAITA46</t>
  </si>
  <si>
    <t>BAVCZ02</t>
  </si>
  <si>
    <t>BACEN17</t>
  </si>
  <si>
    <t>BAPGR13</t>
  </si>
  <si>
    <t>BACEN01</t>
  </si>
  <si>
    <t>BAITA08</t>
  </si>
  <si>
    <t>BAJCN02</t>
  </si>
  <si>
    <t>ALCLI36</t>
  </si>
  <si>
    <t>ALFAR62</t>
  </si>
  <si>
    <t>ALMHD12</t>
  </si>
  <si>
    <t>ALSWS01</t>
  </si>
  <si>
    <t>ALBLX01</t>
  </si>
  <si>
    <t>BAMAD01</t>
  </si>
  <si>
    <t>BAILH05</t>
  </si>
  <si>
    <t>BAAMA10</t>
  </si>
  <si>
    <t>BAAMA09</t>
  </si>
  <si>
    <t>BABAR06</t>
  </si>
  <si>
    <t>BAAMA59</t>
  </si>
  <si>
    <t>BABAR08</t>
  </si>
  <si>
    <t>BABAR12</t>
  </si>
  <si>
    <t>BAAMA81</t>
  </si>
  <si>
    <t>BABAR28</t>
  </si>
  <si>
    <t>BAICE01</t>
  </si>
  <si>
    <t>BAAMA28</t>
  </si>
  <si>
    <t>BABON15</t>
  </si>
  <si>
    <t>BABRO04</t>
  </si>
  <si>
    <t>BACAJ11</t>
  </si>
  <si>
    <t>BACDS01</t>
  </si>
  <si>
    <t>BAPGR12</t>
  </si>
  <si>
    <t>BATAP01</t>
  </si>
  <si>
    <t>BAAMA07</t>
  </si>
  <si>
    <t>BAAMA17</t>
  </si>
  <si>
    <t>BAAMA50</t>
  </si>
  <si>
    <t>BAAMA80</t>
  </si>
  <si>
    <t>BABAR02</t>
  </si>
  <si>
    <t>BABAR25</t>
  </si>
  <si>
    <t>BALFS09</t>
  </si>
  <si>
    <t>BAVCZ01</t>
  </si>
  <si>
    <t>PEEPH14</t>
  </si>
  <si>
    <t>ALFAR36</t>
  </si>
  <si>
    <t>RNALC12</t>
  </si>
  <si>
    <t>RNLNV10</t>
  </si>
  <si>
    <t>ALATL02</t>
  </si>
  <si>
    <t>PEEPH39</t>
  </si>
  <si>
    <t>ALFAR23</t>
  </si>
  <si>
    <t>PESEC01</t>
  </si>
  <si>
    <t>CEPAC09</t>
  </si>
  <si>
    <t>RNLNV27</t>
  </si>
  <si>
    <t>PEBOV41</t>
  </si>
  <si>
    <t>PEEPH02</t>
  </si>
  <si>
    <t>PEEPH04</t>
  </si>
  <si>
    <t>CEALD11</t>
  </si>
  <si>
    <t>CEPAC11</t>
  </si>
  <si>
    <t>CEPAC07</t>
  </si>
  <si>
    <t>CEPAR03</t>
  </si>
  <si>
    <t>CEPAR06</t>
  </si>
  <si>
    <t>ARL</t>
  </si>
  <si>
    <t>FBR</t>
  </si>
  <si>
    <t>VGC</t>
  </si>
  <si>
    <t>SHS</t>
  </si>
  <si>
    <t>VRB</t>
  </si>
  <si>
    <t>MLB</t>
  </si>
  <si>
    <t>JAC</t>
  </si>
  <si>
    <t>MAP</t>
  </si>
  <si>
    <t>TRC</t>
  </si>
  <si>
    <t>JLC</t>
  </si>
  <si>
    <t>JST</t>
  </si>
  <si>
    <t>TUR</t>
  </si>
  <si>
    <t>UNF</t>
  </si>
  <si>
    <t>CHA</t>
  </si>
  <si>
    <t>HEN</t>
  </si>
  <si>
    <t>CLB</t>
  </si>
  <si>
    <t>BTR</t>
  </si>
  <si>
    <t>GTA</t>
  </si>
  <si>
    <t>ECL</t>
  </si>
  <si>
    <t>CXT</t>
  </si>
  <si>
    <t>PMD</t>
  </si>
  <si>
    <t>CBM</t>
  </si>
  <si>
    <t>AVP</t>
  </si>
  <si>
    <t>BUS</t>
  </si>
  <si>
    <t>CIV</t>
  </si>
  <si>
    <t>QEN</t>
  </si>
  <si>
    <t>CFX</t>
  </si>
  <si>
    <t>MAU</t>
  </si>
  <si>
    <t>RSA</t>
  </si>
  <si>
    <t>SWE</t>
  </si>
  <si>
    <t>SUK</t>
  </si>
  <si>
    <t>VSB</t>
  </si>
  <si>
    <t>AJB</t>
  </si>
  <si>
    <t>BUC</t>
  </si>
  <si>
    <t>MCC</t>
  </si>
  <si>
    <t>RLM</t>
  </si>
  <si>
    <t>PRZ</t>
  </si>
  <si>
    <t>TWE</t>
  </si>
  <si>
    <t>PBTAB20</t>
  </si>
  <si>
    <t>PBBQO02</t>
  </si>
  <si>
    <t>PBSBT02</t>
  </si>
  <si>
    <t>PITERA1</t>
  </si>
  <si>
    <t>PITERA2</t>
  </si>
  <si>
    <t>PEBVT01</t>
  </si>
  <si>
    <t>PITER83</t>
  </si>
  <si>
    <t>PITER51</t>
  </si>
  <si>
    <t>PITERR1</t>
  </si>
  <si>
    <t>PITERR2</t>
  </si>
  <si>
    <t>RNPNG06</t>
  </si>
  <si>
    <t>RNSII01</t>
  </si>
  <si>
    <t>PEBOV36</t>
  </si>
  <si>
    <t>PEBOV48</t>
  </si>
  <si>
    <t>PEIPS04</t>
  </si>
  <si>
    <t>PEIPS39</t>
  </si>
  <si>
    <t>PEOLD12</t>
  </si>
  <si>
    <t>PEPUI08</t>
  </si>
  <si>
    <t>PEISS02</t>
  </si>
  <si>
    <t>PEIMC02</t>
  </si>
  <si>
    <t>MOC</t>
  </si>
  <si>
    <t>BACAB10</t>
  </si>
  <si>
    <t>BACEN10</t>
  </si>
  <si>
    <t>CECEN05</t>
  </si>
  <si>
    <t>CEPAC08</t>
  </si>
  <si>
    <t>CEPAC10</t>
  </si>
  <si>
    <t>PEEPH34</t>
  </si>
  <si>
    <t>PTV</t>
  </si>
  <si>
    <t>RTZ</t>
  </si>
  <si>
    <t>EPL</t>
  </si>
  <si>
    <t>BAIAP03</t>
  </si>
  <si>
    <t>BACAB26</t>
  </si>
  <si>
    <t>BACSN01</t>
  </si>
  <si>
    <t>BAJBI04</t>
  </si>
  <si>
    <t>HPD</t>
  </si>
  <si>
    <t>OPK</t>
  </si>
  <si>
    <t>VIE</t>
  </si>
  <si>
    <t>TBY</t>
  </si>
  <si>
    <t>BACAB15</t>
  </si>
  <si>
    <t>TEB_GUU</t>
  </si>
  <si>
    <t>GUU_TEB</t>
  </si>
  <si>
    <t>LHU</t>
  </si>
  <si>
    <t>SR-AZAZJ5</t>
  </si>
  <si>
    <t>SR-CCCCB7</t>
  </si>
  <si>
    <t>SR-RCMA06</t>
  </si>
  <si>
    <t>SR-MCPC03</t>
  </si>
  <si>
    <t>SR-RCPW01</t>
  </si>
  <si>
    <t>SR-RCBI00</t>
  </si>
  <si>
    <t>SR-MCPV13</t>
  </si>
  <si>
    <t>SR-FLMNJ0</t>
  </si>
  <si>
    <t>SR-FLRTJ2</t>
  </si>
  <si>
    <t>SR-MCJT08</t>
  </si>
  <si>
    <t>SR-MCMN01</t>
  </si>
  <si>
    <t>SR-FLAL01</t>
  </si>
  <si>
    <t>SR-FLCCJ1</t>
  </si>
  <si>
    <t>SR-NTTR01</t>
  </si>
  <si>
    <t>SR-RCBG13</t>
  </si>
  <si>
    <t>SR-FLST01</t>
  </si>
  <si>
    <t>SR-FLMC01</t>
  </si>
  <si>
    <t>SR-RCCF04</t>
  </si>
  <si>
    <t>SR-CES267</t>
  </si>
  <si>
    <t>SR-NTCD00</t>
  </si>
  <si>
    <t>SR-FLSHJ0</t>
  </si>
  <si>
    <t>SR-FLSC01</t>
  </si>
  <si>
    <t>SR-RCBG33</t>
  </si>
  <si>
    <t>SR-RCIP02</t>
  </si>
  <si>
    <t>SR-MCPT00</t>
  </si>
  <si>
    <t>SR-MCJT01</t>
  </si>
  <si>
    <t>PBCRI20</t>
  </si>
  <si>
    <t>NPP - FZJ</t>
  </si>
  <si>
    <t>NUN</t>
  </si>
  <si>
    <t>GBE</t>
  </si>
  <si>
    <t>BCB-PED</t>
  </si>
  <si>
    <t>PED-BCB</t>
  </si>
  <si>
    <t>CNH - RJC</t>
  </si>
  <si>
    <t>BABRO06</t>
  </si>
  <si>
    <t>JSS</t>
  </si>
  <si>
    <t>CES</t>
  </si>
  <si>
    <t>PSZ</t>
  </si>
  <si>
    <t>PDB</t>
  </si>
  <si>
    <t>BAAMA06</t>
  </si>
  <si>
    <t>TLE</t>
  </si>
  <si>
    <t>NSO</t>
  </si>
  <si>
    <t>CNP</t>
  </si>
  <si>
    <t>MCJ</t>
  </si>
  <si>
    <t>VIS</t>
  </si>
  <si>
    <t>JPO</t>
  </si>
  <si>
    <t>ONL</t>
  </si>
  <si>
    <t>SR-FLDA01</t>
  </si>
  <si>
    <t>SR-FLPE00</t>
  </si>
  <si>
    <t>SR-RCPW00</t>
  </si>
  <si>
    <t>SR-RCPW03</t>
  </si>
  <si>
    <t>SR-RCST00</t>
  </si>
  <si>
    <t>SR-RCCF01</t>
  </si>
  <si>
    <t>SR-NTMLJ0</t>
  </si>
  <si>
    <t>SR-NTLNJ1</t>
  </si>
  <si>
    <t>SR-MCJT02</t>
  </si>
  <si>
    <t>SR-NTAC03</t>
  </si>
  <si>
    <t>SR-MCBD00</t>
  </si>
  <si>
    <t>SR-MCPV07</t>
  </si>
  <si>
    <t>SR-MCJT05</t>
  </si>
  <si>
    <t>SR-MCPC05</t>
  </si>
  <si>
    <t>SR-FLMR02</t>
  </si>
  <si>
    <t>SR-RCBG02</t>
  </si>
  <si>
    <t>FST</t>
  </si>
  <si>
    <t>ENM</t>
  </si>
  <si>
    <t>DTH</t>
  </si>
  <si>
    <t>BNO</t>
  </si>
  <si>
    <t>AET</t>
  </si>
  <si>
    <t>PCA</t>
  </si>
  <si>
    <t>UFP</t>
  </si>
  <si>
    <t>BOT</t>
  </si>
  <si>
    <t>BEX</t>
  </si>
  <si>
    <t>CBQ</t>
  </si>
  <si>
    <t>CNU</t>
  </si>
  <si>
    <t>JOF</t>
  </si>
  <si>
    <t>ANZ</t>
  </si>
  <si>
    <t>QTS</t>
  </si>
  <si>
    <t>SAB</t>
  </si>
  <si>
    <t>BCR</t>
  </si>
  <si>
    <t>CMU</t>
  </si>
  <si>
    <t>NJU</t>
  </si>
  <si>
    <t>JDI</t>
  </si>
  <si>
    <t>LMG</t>
  </si>
  <si>
    <t>BAIBU03</t>
  </si>
  <si>
    <t>AZL</t>
  </si>
  <si>
    <t>GIA - XCB</t>
  </si>
  <si>
    <t>ALMGR01</t>
  </si>
  <si>
    <t>SR-MCFT01</t>
  </si>
  <si>
    <t>SR-MCPV01</t>
  </si>
  <si>
    <t>SR- MCSR00</t>
  </si>
  <si>
    <t>SR-RCGC07</t>
  </si>
  <si>
    <t>ONA</t>
  </si>
  <si>
    <t>OML</t>
  </si>
  <si>
    <t>SMD</t>
  </si>
  <si>
    <t>SR-RCPNJ5</t>
  </si>
  <si>
    <t>OMZ</t>
  </si>
  <si>
    <t>PBR</t>
  </si>
  <si>
    <t>SR-PIS002</t>
  </si>
  <si>
    <t>SR-PIS076</t>
  </si>
  <si>
    <t>SR-PIS092</t>
  </si>
  <si>
    <t>SR-PIS078</t>
  </si>
  <si>
    <t>SR-PIS072</t>
  </si>
  <si>
    <t>PTW</t>
  </si>
  <si>
    <t>TNR</t>
  </si>
  <si>
    <t>OFW</t>
  </si>
  <si>
    <t>OAZ</t>
  </si>
  <si>
    <t>OFU</t>
  </si>
  <si>
    <t>NAZARIA</t>
  </si>
  <si>
    <t>IGREJA NOVA</t>
  </si>
  <si>
    <t>REGENERAÇÃO</t>
  </si>
  <si>
    <t>IGARASSU</t>
  </si>
  <si>
    <t>RIACHUELO</t>
  </si>
  <si>
    <t>SÃO BENTO</t>
  </si>
  <si>
    <t>CARUARU</t>
  </si>
  <si>
    <t>NOVA FLORESTA</t>
  </si>
  <si>
    <t>ARACATI</t>
  </si>
  <si>
    <t>IPUBI</t>
  </si>
  <si>
    <t>TAMANDARÉ</t>
  </si>
  <si>
    <t>CONDE</t>
  </si>
  <si>
    <t>JUAZEIRO DO NORTE</t>
  </si>
  <si>
    <t>BRASÍLIA</t>
  </si>
  <si>
    <t>JABOATÃO DOS GUARARAPES</t>
  </si>
  <si>
    <t>AREIA DE BARAÚNAS - AREIA DE BARAÚNAS</t>
  </si>
  <si>
    <t>OLINDA</t>
  </si>
  <si>
    <t>MACEIÓ</t>
  </si>
  <si>
    <t>NAZAREZINHO</t>
  </si>
  <si>
    <t>NAZAREZINHO - CAJAZEIRAS</t>
  </si>
  <si>
    <t>HORIZONTE</t>
  </si>
  <si>
    <t>GUARAMIRANGA</t>
  </si>
  <si>
    <t>MULUNGU</t>
  </si>
  <si>
    <t>MULUNGU - GURINHÉM</t>
  </si>
  <si>
    <t>SALDAGO DO SÃO FELIX - GURINHÉM</t>
  </si>
  <si>
    <t>MONTADAS - PUXINANÃ</t>
  </si>
  <si>
    <t>MONTADAS</t>
  </si>
  <si>
    <t>CAMAÇARI</t>
  </si>
  <si>
    <t>CORONEL JOÃO PESSOA - VENHA-VER</t>
  </si>
  <si>
    <t>GOIÂNIA</t>
  </si>
  <si>
    <t>PALHANO</t>
  </si>
  <si>
    <t>BARRA DE SÃO MIGUEL</t>
  </si>
  <si>
    <t>GURJÃO</t>
  </si>
  <si>
    <t>JERICOACOARA</t>
  </si>
  <si>
    <t>MARANGUAPE - FORTALEZA</t>
  </si>
  <si>
    <t>POSSE</t>
  </si>
  <si>
    <t>JOÃO PESSOA</t>
  </si>
  <si>
    <t>PALMEIRA DOS INDIOS</t>
  </si>
  <si>
    <t>CABEDELO</t>
  </si>
  <si>
    <t>CABO DE SANTO AGOSTINHO</t>
  </si>
  <si>
    <t>BOTUPORÃ</t>
  </si>
  <si>
    <t>DOM BASÍLIO</t>
  </si>
  <si>
    <t>IUIÚ</t>
  </si>
  <si>
    <t>JACARACI</t>
  </si>
  <si>
    <t>RIO DO ANTÔNIO</t>
  </si>
  <si>
    <t>PRESIDENTE JÂNIO QUADROS</t>
  </si>
  <si>
    <t>VITÓRIA DA CONQUISTA</t>
  </si>
  <si>
    <t>JIQUIRIÇA</t>
  </si>
  <si>
    <t>JUCURUÇU</t>
  </si>
  <si>
    <t>BUERAREMA</t>
  </si>
  <si>
    <t>LUZIÂNIA</t>
  </si>
  <si>
    <t>BOA VISTA DO TUPIM</t>
  </si>
  <si>
    <t>JUAZEIRO</t>
  </si>
  <si>
    <t>PORTO SEGURO</t>
  </si>
  <si>
    <t>PARNAÍBA</t>
  </si>
  <si>
    <t>MACEIO</t>
  </si>
  <si>
    <t>ALAGOA GRANDE</t>
  </si>
  <si>
    <t>POMBOS</t>
  </si>
  <si>
    <t>TEOTONIO VILELA</t>
  </si>
  <si>
    <t>GUARABIRA</t>
  </si>
  <si>
    <t>VERA CRUZ</t>
  </si>
  <si>
    <t>ABREU E LIMA</t>
  </si>
  <si>
    <t>ARAPIRACA</t>
  </si>
  <si>
    <t>IPIRANGA DO PIAUÍ</t>
  </si>
  <si>
    <t>ANÁPOLIS</t>
  </si>
  <si>
    <t>PLANALTINA</t>
  </si>
  <si>
    <t>SÃO DOMINGOS</t>
  </si>
  <si>
    <t>BUÍQUE</t>
  </si>
  <si>
    <t>ITUMBIARA</t>
  </si>
  <si>
    <t>VALPARAISO DE GOIAS</t>
  </si>
  <si>
    <t>CALDAS NOVAS</t>
  </si>
  <si>
    <t>ITAPIPOCA</t>
  </si>
  <si>
    <t>GARANHUNS</t>
  </si>
  <si>
    <t>ILHÉUS</t>
  </si>
  <si>
    <t>CEARÁ MIRIM</t>
  </si>
  <si>
    <t>SIRINHAÉM</t>
  </si>
  <si>
    <t>CAMPINA GRANDE</t>
  </si>
  <si>
    <t>OLHO D'ÁGUA DAS FLORES</t>
  </si>
  <si>
    <t>URUÇUÍ</t>
  </si>
  <si>
    <t>PIRIPIRI</t>
  </si>
  <si>
    <t>FREI MIGUELINHO</t>
  </si>
  <si>
    <t>JATAÚBA</t>
  </si>
  <si>
    <t>SALVADOR</t>
  </si>
  <si>
    <t>ATALAIA</t>
  </si>
  <si>
    <t>MARECHAL DEODORO</t>
  </si>
  <si>
    <t>LAURO DE FREITAS</t>
  </si>
  <si>
    <t>SERRA TALHADA</t>
  </si>
  <si>
    <t>SERRITA</t>
  </si>
  <si>
    <t>JATAI</t>
  </si>
  <si>
    <t>RIO TINTO</t>
  </si>
  <si>
    <t>CAUCAIA</t>
  </si>
  <si>
    <t>IBIRAJUBA</t>
  </si>
  <si>
    <t>ITAPACI</t>
  </si>
  <si>
    <t>SANTA TEREZINHA</t>
  </si>
  <si>
    <t>FLORES</t>
  </si>
  <si>
    <t>FLORIANO</t>
  </si>
  <si>
    <t>IATI</t>
  </si>
  <si>
    <t>GRAVATÁ</t>
  </si>
  <si>
    <t>SÃO JOSÉ DA LAJE</t>
  </si>
  <si>
    <t>LEOPOLDO DE BULHÕES</t>
  </si>
  <si>
    <t>ALTOS</t>
  </si>
  <si>
    <t>SAPÉ</t>
  </si>
  <si>
    <t>PACAJUS</t>
  </si>
  <si>
    <t>AGRICOLÂNDIA</t>
  </si>
  <si>
    <t>BELO JARDIM</t>
  </si>
  <si>
    <t>MINEIROS</t>
  </si>
  <si>
    <t>FORMOSA</t>
  </si>
  <si>
    <t>JAPARATINGA</t>
  </si>
  <si>
    <t>MARCOLÂNDIA</t>
  </si>
  <si>
    <t>LAGOA DOS GATOS</t>
  </si>
  <si>
    <t>QUEIMADAS</t>
  </si>
  <si>
    <t>BERTOLÍNIA</t>
  </si>
  <si>
    <t>MUCUGÊ</t>
  </si>
  <si>
    <t>SANTA CRUZ DO CAPIBARIPE</t>
  </si>
  <si>
    <t>NIQUELÂNDIA</t>
  </si>
  <si>
    <t>ALAGOINHAS</t>
  </si>
  <si>
    <t>ILHA DE ITAMARACÁ</t>
  </si>
  <si>
    <t>EXTREMOZ</t>
  </si>
  <si>
    <t>SIMÕES FILHO</t>
  </si>
  <si>
    <t>SANTA CRUZ</t>
  </si>
  <si>
    <t>IPOJUCA</t>
  </si>
  <si>
    <t>BOM CONSELHO</t>
  </si>
  <si>
    <t>CANDEIAS</t>
  </si>
  <si>
    <t>MARACANAU</t>
  </si>
  <si>
    <t>TAMBORIL DO PIAUÍ</t>
  </si>
  <si>
    <t>DOM EXPEDITO LOPES</t>
  </si>
  <si>
    <t>PETROLINA</t>
  </si>
  <si>
    <t>SÃO PEDRO</t>
  </si>
  <si>
    <t>TRINDADE</t>
  </si>
  <si>
    <t>ITAPAGÉ</t>
  </si>
  <si>
    <t>SANTA LUZ</t>
  </si>
  <si>
    <t>COLÔNIA DO PIAUÍ</t>
  </si>
  <si>
    <t>PESQUEIRA</t>
  </si>
  <si>
    <t>NAZARÉ DO PIAUÍ</t>
  </si>
  <si>
    <t>TRAIRI</t>
  </si>
  <si>
    <t>CAMPO REDONDO</t>
  </si>
  <si>
    <t>FEIRA DE SANTANA</t>
  </si>
  <si>
    <t>MANOEL EMÍDIO</t>
  </si>
  <si>
    <t>PEDRA BRANCA</t>
  </si>
  <si>
    <t>GOIANIA</t>
  </si>
  <si>
    <t>SÃO SIMÃO</t>
  </si>
  <si>
    <t>CAMPOS BELOS</t>
  </si>
  <si>
    <t>EUSÉBIO</t>
  </si>
  <si>
    <t>COLÔNIA DO GURGUÉIA</t>
  </si>
  <si>
    <t>PORTO DO MANGUE</t>
  </si>
  <si>
    <t>JACOBINA DO PIAUÍ</t>
  </si>
  <si>
    <t>ANTÔNIO ALMEIDA</t>
  </si>
  <si>
    <t>MARCOS PARENTE</t>
  </si>
  <si>
    <t>IRARÁ</t>
  </si>
  <si>
    <t>SÃO GONÇALO DO AMARANTE</t>
  </si>
  <si>
    <t>MOSSORÓ</t>
  </si>
  <si>
    <t>VALENÇA</t>
  </si>
  <si>
    <t>SOBRAL</t>
  </si>
  <si>
    <t>ITACARÉ</t>
  </si>
  <si>
    <t>SURUBIM</t>
  </si>
  <si>
    <t>GOIANA</t>
  </si>
  <si>
    <t>IBICARAI</t>
  </si>
  <si>
    <t>PILÕEZINHOS</t>
  </si>
  <si>
    <t>PILÕEZINHOS-GUABIRABA</t>
  </si>
  <si>
    <t>RUSSAS</t>
  </si>
  <si>
    <t>CAMARAGIBE</t>
  </si>
  <si>
    <t>RIO QUENTE</t>
  </si>
  <si>
    <t>CAAPORÃ</t>
  </si>
  <si>
    <t>JOÃO COSTA</t>
  </si>
  <si>
    <t>PARAÚNA</t>
  </si>
  <si>
    <t>GOIANÉSIA</t>
  </si>
  <si>
    <t>POJUCA</t>
  </si>
  <si>
    <t>BARRA DE SANTO ANTÔNIO</t>
  </si>
  <si>
    <t>PENAFORTE</t>
  </si>
  <si>
    <t>INDIARA</t>
  </si>
  <si>
    <t>CALÇADO - JUPI</t>
  </si>
  <si>
    <t>JIJOCA DE JERICOACOARA</t>
  </si>
  <si>
    <t>NOVA GLORIAS</t>
  </si>
  <si>
    <t>BOM JESUS</t>
  </si>
  <si>
    <t>PEDRA PRETA</t>
  </si>
  <si>
    <t>SALGADINHO - JUNCO DO SERIDO</t>
  </si>
  <si>
    <t>TAQUARANA</t>
  </si>
  <si>
    <t>ARARIPINA</t>
  </si>
  <si>
    <t>JUCATI - JUPI</t>
  </si>
  <si>
    <t>TACAIMBO</t>
  </si>
  <si>
    <t>ÁGUA FRIA</t>
  </si>
  <si>
    <t>PEDRO AVELINO</t>
  </si>
  <si>
    <t>ALAGOINHA</t>
  </si>
  <si>
    <t>RIO VERDE</t>
  </si>
  <si>
    <t>LIVRAMENTO DE NOSSA SENHORA</t>
  </si>
  <si>
    <t>PORTO CALVO</t>
  </si>
  <si>
    <t>SÃO RAIMUNDO NONATO</t>
  </si>
  <si>
    <t>BREJO DO PIAUÍ</t>
  </si>
  <si>
    <t>BAYEUX</t>
  </si>
  <si>
    <t>ELISEU MARTINS</t>
  </si>
  <si>
    <t>ANAGÉ</t>
  </si>
  <si>
    <t>JOÃO CÂMARA</t>
  </si>
  <si>
    <t>PICOS</t>
  </si>
  <si>
    <t>GOIANINHA</t>
  </si>
  <si>
    <t>AQUIRAZ</t>
  </si>
  <si>
    <t>VALPARAÍSO DE GOIÁS</t>
  </si>
  <si>
    <t>LAGOA ALEGRE</t>
  </si>
  <si>
    <t>BREJÕES</t>
  </si>
  <si>
    <t>ITUAÇU</t>
  </si>
  <si>
    <t>RIO DE CONTAS</t>
  </si>
  <si>
    <t>CANDIBA</t>
  </si>
  <si>
    <t>ARACATU</t>
  </si>
  <si>
    <t>CAETANOS</t>
  </si>
  <si>
    <t>NOVA CANAÃ</t>
  </si>
  <si>
    <t>JATAÍ</t>
  </si>
  <si>
    <t>ABAIARA</t>
  </si>
  <si>
    <t>CRATEÚS</t>
  </si>
  <si>
    <t>ARARIPE</t>
  </si>
  <si>
    <t>IGUATU</t>
  </si>
  <si>
    <t>CROATÁ</t>
  </si>
  <si>
    <t>SATUBA</t>
  </si>
  <si>
    <t>FARIAS BRITO</t>
  </si>
  <si>
    <t>CRUZ</t>
  </si>
  <si>
    <t>VITÓRIA DE SANTO ANTÃO</t>
  </si>
  <si>
    <t>PIRACANJUBA</t>
  </si>
  <si>
    <t>QUIXADÁ</t>
  </si>
  <si>
    <t>CANAVIEIRAS</t>
  </si>
  <si>
    <t>OCARA</t>
  </si>
  <si>
    <t>LAGOA DO OURO - BREJÃO</t>
  </si>
  <si>
    <t>CEDRO</t>
  </si>
  <si>
    <t>FORTIM</t>
  </si>
  <si>
    <t>TAMBORIL</t>
  </si>
  <si>
    <t>MARAGOGI</t>
  </si>
  <si>
    <t>BREJINHO</t>
  </si>
  <si>
    <t>MARAÚ</t>
  </si>
  <si>
    <t>DOIS RIACHOS</t>
  </si>
  <si>
    <t>SÃO LUIS DO QUINTUDE</t>
  </si>
  <si>
    <t>SANTA RITA</t>
  </si>
  <si>
    <t>OLIVENÇA</t>
  </si>
  <si>
    <t>PITIMBU</t>
  </si>
  <si>
    <t>SÃO MIGUEL DOS MILAGRES</t>
  </si>
  <si>
    <t>PENEDO</t>
  </si>
  <si>
    <t>MURICI</t>
  </si>
  <si>
    <t>BEBERIBE</t>
  </si>
  <si>
    <t>QUIXERAMOBIM</t>
  </si>
  <si>
    <t>NOVA RUSSAS</t>
  </si>
  <si>
    <t>AURORA</t>
  </si>
  <si>
    <t>CAIRUS</t>
  </si>
  <si>
    <t>CAPITÃO DE CAMPOS</t>
  </si>
  <si>
    <t>UPANEMA</t>
  </si>
  <si>
    <t>AÇU</t>
  </si>
  <si>
    <t>IGACY</t>
  </si>
  <si>
    <t>MERUOCA</t>
  </si>
  <si>
    <t>MATINHAS</t>
  </si>
  <si>
    <t>PARACURU</t>
  </si>
  <si>
    <t>SÃO FERNANDO</t>
  </si>
  <si>
    <t>TIMBAÚBA DOS BATISTAS</t>
  </si>
  <si>
    <t>SÃO CAETANO</t>
  </si>
  <si>
    <t>TORITAMA</t>
  </si>
  <si>
    <t>SENADOR POMPEU</t>
  </si>
  <si>
    <t>SALGADO DE SÃO FELIX</t>
  </si>
  <si>
    <t>ITAMBÉ</t>
  </si>
  <si>
    <t>ACARAÚ</t>
  </si>
  <si>
    <t>CASINHAS</t>
  </si>
  <si>
    <t>CRATO</t>
  </si>
  <si>
    <t>MORRINHOS</t>
  </si>
  <si>
    <t>QUEBRANGULO</t>
  </si>
  <si>
    <t>TEREZINHA</t>
  </si>
  <si>
    <t>IPAUMIRIM</t>
  </si>
  <si>
    <t>RIACHO DAS ALMAS</t>
  </si>
  <si>
    <t>PIQUET CARNEIRO</t>
  </si>
  <si>
    <t>SANHARÓ</t>
  </si>
  <si>
    <t>SÃO BENEDITO</t>
  </si>
  <si>
    <t>TANQUE D'ARCA</t>
  </si>
  <si>
    <t>TAQUARITINGA DO NORTE</t>
  </si>
  <si>
    <t>ASSARÉ</t>
  </si>
  <si>
    <t>MATRIZ DE CAMARAGIBE</t>
  </si>
  <si>
    <t>TEOLÂDIA</t>
  </si>
  <si>
    <t>VERTENTES</t>
  </si>
  <si>
    <t>JOÃO DIAS</t>
  </si>
  <si>
    <t>SERRINHA DOS PINTOS</t>
  </si>
  <si>
    <t>UBAITABA</t>
  </si>
  <si>
    <t>MILHÃ</t>
  </si>
  <si>
    <t>QUIPAPÁ</t>
  </si>
  <si>
    <t>LUCENA</t>
  </si>
  <si>
    <t>ITAPETINGA</t>
  </si>
  <si>
    <t>BEZERROS</t>
  </si>
  <si>
    <t>PACATUBA</t>
  </si>
  <si>
    <t>LAGOA</t>
  </si>
  <si>
    <t>CARPINA</t>
  </si>
  <si>
    <t>RIO FORMOSO</t>
  </si>
  <si>
    <t>MORENO</t>
  </si>
  <si>
    <t>SANTA BRÍGIDA</t>
  </si>
  <si>
    <t>SÃO JOSÉ DO SABUGI</t>
  </si>
  <si>
    <t>PUREZA</t>
  </si>
  <si>
    <t>SERRA GRANDE</t>
  </si>
  <si>
    <t>ARARA</t>
  </si>
  <si>
    <t>JACARAÚ</t>
  </si>
  <si>
    <t>MARAIAL</t>
  </si>
  <si>
    <t>GURINHÉM</t>
  </si>
  <si>
    <t>REMÍGIO</t>
  </si>
  <si>
    <t>TENENTE LAURENTINO CRUZ</t>
  </si>
  <si>
    <t>FERNANDO DE NORONHA</t>
  </si>
  <si>
    <t>CASCAVÉL</t>
  </si>
  <si>
    <t>GUAMARÉ</t>
  </si>
  <si>
    <t>CAJUEIRO DA PRAIA</t>
  </si>
  <si>
    <t>CHÃ DE ALEGRIA</t>
  </si>
  <si>
    <t>CAPOEIRAS</t>
  </si>
  <si>
    <t>SALGADINHO</t>
  </si>
  <si>
    <t>SÃO MAMEDE</t>
  </si>
  <si>
    <t>BARBALHA</t>
  </si>
  <si>
    <t>NÍSIA FLORESTA</t>
  </si>
  <si>
    <t>BRANQUINHA</t>
  </si>
  <si>
    <t>OLHO D'ÁGUA DO CASADO</t>
  </si>
  <si>
    <t>POÇÕES</t>
  </si>
  <si>
    <t>TIMBAÚBA</t>
  </si>
  <si>
    <t>JAGUARIBE</t>
  </si>
  <si>
    <t>PARICONHA</t>
  </si>
  <si>
    <t>SÃO MIGUEL DOS CAMPOS</t>
  </si>
  <si>
    <t>TEOTÔNIO VILELA</t>
  </si>
  <si>
    <t>CALDAS BRANDÃO</t>
  </si>
  <si>
    <t>PEDRO VELHO</t>
  </si>
  <si>
    <t>CANINDÉ</t>
  </si>
  <si>
    <t>MOMBAÇA</t>
  </si>
  <si>
    <t>PARAIPABA</t>
  </si>
  <si>
    <t>JOAQUIM GOMES</t>
  </si>
  <si>
    <t>PALESTINA</t>
  </si>
  <si>
    <t>PASSIRA</t>
  </si>
  <si>
    <t>SÃO JOSÉ DOS RAMOS</t>
  </si>
  <si>
    <t>SÃO LOURENÇO DA MATA</t>
  </si>
  <si>
    <t>CUPIRA</t>
  </si>
  <si>
    <t>ACOPIARA</t>
  </si>
  <si>
    <t>CARNAUBAL</t>
  </si>
  <si>
    <t>ORÓS</t>
  </si>
  <si>
    <t>SOLONÓPOLE</t>
  </si>
  <si>
    <t>MARANGUAPE</t>
  </si>
  <si>
    <t>DEPUTADO IRAPUAN PINHEIRO</t>
  </si>
  <si>
    <t>GROAÍRAS</t>
  </si>
  <si>
    <t>CARIRÉ</t>
  </si>
  <si>
    <t>TABULEIRO DO NORTE</t>
  </si>
  <si>
    <t>MATARACA</t>
  </si>
  <si>
    <t>BARCELONA</t>
  </si>
  <si>
    <t>CACHOEIRINHA</t>
  </si>
  <si>
    <t>IGARACY</t>
  </si>
  <si>
    <t>LAGOA SECA</t>
  </si>
  <si>
    <t>MANAÍRA</t>
  </si>
  <si>
    <t>MOGEIRO</t>
  </si>
  <si>
    <t>OLHO D'ÁGUA</t>
  </si>
  <si>
    <t>ALTO LONGÁ</t>
  </si>
  <si>
    <t>PATOS</t>
  </si>
  <si>
    <t>PALMARES</t>
  </si>
  <si>
    <t>MÃE D´ÁGUA</t>
  </si>
  <si>
    <t>MALTA</t>
  </si>
  <si>
    <t>ARCOVERDE</t>
  </si>
  <si>
    <t>SANTA TERESINHA</t>
  </si>
  <si>
    <t>SANTA MARIA DA BOA VISTA</t>
  </si>
  <si>
    <t>AFONSO BEZERRA</t>
  </si>
  <si>
    <t>PALMEIRA DOS ÍNDIOS</t>
  </si>
  <si>
    <t>BREJO DA MADRE DE DEUS</t>
  </si>
  <si>
    <t>PAUDALHO</t>
  </si>
  <si>
    <t>LUÍS CORREIA</t>
  </si>
  <si>
    <t>DONA INÊS</t>
  </si>
  <si>
    <t>JAGUARETAMA</t>
  </si>
  <si>
    <t>LASTRO</t>
  </si>
  <si>
    <t>BOA VIAGEM</t>
  </si>
  <si>
    <t>MORADA NOVA</t>
  </si>
  <si>
    <t>ICÓ</t>
  </si>
  <si>
    <t>EQUADOR</t>
  </si>
  <si>
    <t>RIACHO DE SANTANA</t>
  </si>
  <si>
    <t>ITATIRA</t>
  </si>
  <si>
    <t>MASSARANDUBA</t>
  </si>
  <si>
    <t>NOVO ORIENTE</t>
  </si>
  <si>
    <t>DOMINGOS MOURÃO</t>
  </si>
  <si>
    <t>BARRAS</t>
  </si>
  <si>
    <t>BOM PRINCÍPIO DO PIAUÍ</t>
  </si>
  <si>
    <t>CAICÓ</t>
  </si>
  <si>
    <t>MORAÚJO</t>
  </si>
  <si>
    <t>FERNANDO PEDROZA</t>
  </si>
  <si>
    <t>UNIÃO DOS PALMARES</t>
  </si>
  <si>
    <t>ITAÚ</t>
  </si>
  <si>
    <t>SÃO JOÃO</t>
  </si>
  <si>
    <t>JUCÁS</t>
  </si>
  <si>
    <t>CEARÁ-MIRIM</t>
  </si>
  <si>
    <t>ALCANTIL</t>
  </si>
  <si>
    <t>MONTEIRO</t>
  </si>
  <si>
    <t>PASSO DE CAMARAGIBE</t>
  </si>
  <si>
    <t>GLÓRIA DO GOITÁ</t>
  </si>
  <si>
    <t>SÃO JOSÉ DA COROA GRANDE</t>
  </si>
  <si>
    <t>RIBEIRÃO</t>
  </si>
  <si>
    <t>PARAMBU</t>
  </si>
  <si>
    <t>APUIARÉS</t>
  </si>
  <si>
    <t>CHORÓ</t>
  </si>
  <si>
    <t>ANTONINA DO NORTE</t>
  </si>
  <si>
    <t>IGUATU (JOSÉ DE ALENCAR)</t>
  </si>
  <si>
    <t>CARIÚS</t>
  </si>
  <si>
    <t>LAGOA DA CANOA</t>
  </si>
  <si>
    <t>UBAJARA</t>
  </si>
  <si>
    <t>IBIAPINA</t>
  </si>
  <si>
    <t>GUAIÚBA</t>
  </si>
  <si>
    <t>MASSAPÊ</t>
  </si>
  <si>
    <t>URUOCA</t>
  </si>
  <si>
    <t>INDEPENDÊNCIA</t>
  </si>
  <si>
    <t>MISSÃO VELHA</t>
  </si>
  <si>
    <t>CAPELA</t>
  </si>
  <si>
    <t>CURRAL NOVO DO PIAUÍ</t>
  </si>
  <si>
    <t>PATOS DO PIAUÍ</t>
  </si>
  <si>
    <t>CAPITÃO GERVÁSIO OLIVEIRA</t>
  </si>
  <si>
    <t>ILHA GRANDE</t>
  </si>
  <si>
    <t>ESPERANTINA</t>
  </si>
  <si>
    <t>SÃO JOSÉ DO DIVINO</t>
  </si>
  <si>
    <t>MADEIRO</t>
  </si>
  <si>
    <t>CANAVIEIRA</t>
  </si>
  <si>
    <t>ARACOIABA</t>
  </si>
  <si>
    <t>UMIRIM</t>
  </si>
  <si>
    <t>BARROQUINHA</t>
  </si>
  <si>
    <t>IPUEIRAS</t>
  </si>
  <si>
    <t>BONITO</t>
  </si>
  <si>
    <t>MACAÚ</t>
  </si>
  <si>
    <t>CURRAL DE CIMA</t>
  </si>
  <si>
    <t>OLIVEDOS</t>
  </si>
  <si>
    <t>TIBAU DO SUL</t>
  </si>
  <si>
    <t>ITAINÓPOLIS</t>
  </si>
  <si>
    <t>BODOCÓ</t>
  </si>
  <si>
    <t>JACOBINA</t>
  </si>
  <si>
    <t>MARECHAL</t>
  </si>
  <si>
    <t>BELÉM</t>
  </si>
  <si>
    <t>SÃO SEBASTIÃO</t>
  </si>
  <si>
    <t>MADRE DE DEUS</t>
  </si>
  <si>
    <t>IRECÊ</t>
  </si>
  <si>
    <t>ITAPISSUMA</t>
  </si>
  <si>
    <t>TAUÁ</t>
  </si>
  <si>
    <t>BAÍA DA TRAIÇÃO</t>
  </si>
  <si>
    <t>CAMOCIM DE SÃO FÉLIX</t>
  </si>
  <si>
    <t>BOQUEIRÃO</t>
  </si>
  <si>
    <t>SÃO JOSÉ DO MIPIBU</t>
  </si>
  <si>
    <t>JABORANDI</t>
  </si>
  <si>
    <t>BELMONTE</t>
  </si>
  <si>
    <t>ARNEIROZ</t>
  </si>
  <si>
    <t>IGRAPIÚNA</t>
  </si>
  <si>
    <t>IBIRAPITANGA</t>
  </si>
  <si>
    <t>BOQUIM</t>
  </si>
  <si>
    <t>PEDRINHAS</t>
  </si>
  <si>
    <t>MALHADA</t>
  </si>
  <si>
    <t>CARINHANHA</t>
  </si>
  <si>
    <t>CANAPI</t>
  </si>
  <si>
    <t>QUITERIANÓPOLIS</t>
  </si>
  <si>
    <t>SABOEIRO</t>
  </si>
  <si>
    <t>JARDIM</t>
  </si>
  <si>
    <t>LAVRAS DA MANGABEIRA</t>
  </si>
  <si>
    <t>ITABUNA</t>
  </si>
  <si>
    <t>MATA GRANDE</t>
  </si>
  <si>
    <t>ALAGOINHA DO PIAUÍ</t>
  </si>
  <si>
    <t>CALDEIRÃO GRANDE DO PIAUÍ</t>
  </si>
  <si>
    <t>FRANCISCO MACEDO</t>
  </si>
  <si>
    <t>CAMPO ALEGRE DO FIDALGO</t>
  </si>
  <si>
    <t>BETÂNIA DO PIAUÍ</t>
  </si>
  <si>
    <t>PE</t>
  </si>
  <si>
    <t>PI</t>
  </si>
  <si>
    <t>AL</t>
  </si>
  <si>
    <t>RN</t>
  </si>
  <si>
    <t>PB</t>
  </si>
  <si>
    <t>CE</t>
  </si>
  <si>
    <t>DF</t>
  </si>
  <si>
    <t>BA</t>
  </si>
  <si>
    <t>GO</t>
  </si>
  <si>
    <t>SE</t>
  </si>
  <si>
    <t>NLKLRB02</t>
  </si>
  <si>
    <t>18NLTICP01</t>
  </si>
  <si>
    <t>PRCPHC3</t>
  </si>
  <si>
    <t>SLFNMO01</t>
  </si>
  <si>
    <t>PRCLGR1</t>
  </si>
  <si>
    <t>PRFOZ04</t>
  </si>
  <si>
    <t>3SLAUTC01</t>
  </si>
  <si>
    <t>SLFNMM01</t>
  </si>
  <si>
    <t>PRCSF02</t>
  </si>
  <si>
    <t>SLPGES01</t>
  </si>
  <si>
    <t>SR-PIVD01</t>
  </si>
  <si>
    <t>PRAPSR1</t>
  </si>
  <si>
    <t>PRMGA28</t>
  </si>
  <si>
    <t>SR-PRVX02</t>
  </si>
  <si>
    <t>SR-CVMF51</t>
  </si>
  <si>
    <t>SR-FNCE01</t>
  </si>
  <si>
    <t>SLGPSS01</t>
  </si>
  <si>
    <t>NLBLCR01</t>
  </si>
  <si>
    <t>PRGRP10</t>
  </si>
  <si>
    <t>SR-LPLP01</t>
  </si>
  <si>
    <t>SCIAI14</t>
  </si>
  <si>
    <t>SR-BSCE04</t>
  </si>
  <si>
    <t>SR-PGOF01</t>
  </si>
  <si>
    <t>SR-BVIJ06</t>
  </si>
  <si>
    <t>SR-FALG02</t>
  </si>
  <si>
    <t>SR-PEAR65</t>
  </si>
  <si>
    <t>SR-MJVD01</t>
  </si>
  <si>
    <t>SR-CDIG01</t>
  </si>
  <si>
    <t>SR-KSMO02</t>
  </si>
  <si>
    <t>SCJGS02</t>
  </si>
  <si>
    <t>SCCUA17</t>
  </si>
  <si>
    <t>SCCBS02</t>
  </si>
  <si>
    <t>SR-SJBR35</t>
  </si>
  <si>
    <t>SCCCO24</t>
  </si>
  <si>
    <t>PRPNG03</t>
  </si>
  <si>
    <t>PRPNG04</t>
  </si>
  <si>
    <t>NBRSCR0215</t>
  </si>
  <si>
    <t>SCFNSD3</t>
  </si>
  <si>
    <t>NBRSCC0020</t>
  </si>
  <si>
    <t>PRCSFB1</t>
  </si>
  <si>
    <t>PRTEB06</t>
  </si>
  <si>
    <t>SCCCO04</t>
  </si>
  <si>
    <t>PRCSF21</t>
  </si>
  <si>
    <t>PRCCJ13</t>
  </si>
  <si>
    <t>SR-TLLE01</t>
  </si>
  <si>
    <t>SR-PTCE01</t>
  </si>
  <si>
    <t>SR-PTNO01</t>
  </si>
  <si>
    <t>PRCLG13</t>
  </si>
  <si>
    <t>PRCPH43</t>
  </si>
  <si>
    <t>SCBQE42</t>
  </si>
  <si>
    <t>PRCPHC2</t>
  </si>
  <si>
    <t>SR-UVMO01</t>
  </si>
  <si>
    <t>PRPNS09</t>
  </si>
  <si>
    <t>PRCPH20</t>
  </si>
  <si>
    <t>SR-CYCE02</t>
  </si>
  <si>
    <t>SR-JVLT36</t>
  </si>
  <si>
    <t>SR-FBTR01</t>
  </si>
  <si>
    <t>SCGMM05</t>
  </si>
  <si>
    <t>SCSOO26</t>
  </si>
  <si>
    <t>SR-APUC12</t>
  </si>
  <si>
    <t>SR-PGLT29</t>
  </si>
  <si>
    <t>PRSGX01</t>
  </si>
  <si>
    <t>PRSJP11</t>
  </si>
  <si>
    <t>DFTAG28</t>
  </si>
  <si>
    <t>SR-BRNY01</t>
  </si>
  <si>
    <t>SR-PGRO01</t>
  </si>
  <si>
    <t>SCSGE02</t>
  </si>
  <si>
    <t>SCGRB05</t>
  </si>
  <si>
    <t>SR-LACE02</t>
  </si>
  <si>
    <t>SCGMM02</t>
  </si>
  <si>
    <t>PRIOR04</t>
  </si>
  <si>
    <t>PRUMR11</t>
  </si>
  <si>
    <t>PRLDA17</t>
  </si>
  <si>
    <t>PRMGA16</t>
  </si>
  <si>
    <t>PRLDA53</t>
  </si>
  <si>
    <t>SR-COLT03</t>
  </si>
  <si>
    <t>SCBCU40</t>
  </si>
  <si>
    <t>PRPNG06</t>
  </si>
  <si>
    <t>PRLDA54</t>
  </si>
  <si>
    <t>PRLDA57</t>
  </si>
  <si>
    <t>PRMGA15</t>
  </si>
  <si>
    <t>SR-KTCE04</t>
  </si>
  <si>
    <t>PRMGA41</t>
  </si>
  <si>
    <t>SR-KTCR01</t>
  </si>
  <si>
    <t>PRLDA09</t>
  </si>
  <si>
    <t>PRLDA03</t>
  </si>
  <si>
    <t>PRMGA18</t>
  </si>
  <si>
    <t>PRCAB06</t>
  </si>
  <si>
    <t>PRCSC21</t>
  </si>
  <si>
    <t>PRLDA45</t>
  </si>
  <si>
    <t>PRLDA14</t>
  </si>
  <si>
    <t>PRLDA06</t>
  </si>
  <si>
    <t>PRCABR1</t>
  </si>
  <si>
    <t>PRIOR02</t>
  </si>
  <si>
    <t>PRFNB03</t>
  </si>
  <si>
    <t>SR-MARQ01</t>
  </si>
  <si>
    <t>SR-PGJA01</t>
  </si>
  <si>
    <t>PRLDA23</t>
  </si>
  <si>
    <t>PRLDA27</t>
  </si>
  <si>
    <t>PRFNB02</t>
  </si>
  <si>
    <t>PRLDA69</t>
  </si>
  <si>
    <t>PRIOR01</t>
  </si>
  <si>
    <t>SR-LGVM01</t>
  </si>
  <si>
    <t>PRLDA43</t>
  </si>
  <si>
    <t>SR-RBRM01</t>
  </si>
  <si>
    <t>SR-LDBA14</t>
  </si>
  <si>
    <t>SR-CTLL54</t>
  </si>
  <si>
    <t>SR-TMCE31</t>
  </si>
  <si>
    <t>PRAPU02</t>
  </si>
  <si>
    <t>SR-CTVK01</t>
  </si>
  <si>
    <t>PRAUC17</t>
  </si>
  <si>
    <t>DFSQS36</t>
  </si>
  <si>
    <t>PRCPH49</t>
  </si>
  <si>
    <t>SR-PGUN60</t>
  </si>
  <si>
    <t>SR-CTLL82</t>
  </si>
  <si>
    <t>DFSQN40</t>
  </si>
  <si>
    <t>PRCPH50</t>
  </si>
  <si>
    <t>DFSQN73</t>
  </si>
  <si>
    <t>SCRSL09</t>
  </si>
  <si>
    <t>SR-TPPE01</t>
  </si>
  <si>
    <t>SR-IHCE01</t>
  </si>
  <si>
    <t>SR-NSBA01</t>
  </si>
  <si>
    <t>DFSQS80</t>
  </si>
  <si>
    <t>SR-CTCV51</t>
  </si>
  <si>
    <t>SR-CTDO01</t>
  </si>
  <si>
    <t>SR-SYMO01</t>
  </si>
  <si>
    <t>ECS_DF</t>
  </si>
  <si>
    <t>CXA_GO</t>
  </si>
  <si>
    <t>SR-CTIP01</t>
  </si>
  <si>
    <t>GV2_MT</t>
  </si>
  <si>
    <t>SR-IVCE02</t>
  </si>
  <si>
    <t>CFO_RO</t>
  </si>
  <si>
    <t>SR-CTAV01</t>
  </si>
  <si>
    <t>SR-CTVA01</t>
  </si>
  <si>
    <t>JIM_RO</t>
  </si>
  <si>
    <t>JIS_RO</t>
  </si>
  <si>
    <t>SR-CTCS01</t>
  </si>
  <si>
    <t>SR-CTBB01</t>
  </si>
  <si>
    <t>BSA_RO</t>
  </si>
  <si>
    <t>ARE_TO</t>
  </si>
  <si>
    <t>ENL_DF</t>
  </si>
  <si>
    <t>SR-CTTB01</t>
  </si>
  <si>
    <t>SR-CTOP01</t>
  </si>
  <si>
    <t>ARZ_RO</t>
  </si>
  <si>
    <t>SR-CTJS01</t>
  </si>
  <si>
    <t>SPL_GO</t>
  </si>
  <si>
    <t>STZ_GO</t>
  </si>
  <si>
    <t>SR-CTLL25</t>
  </si>
  <si>
    <t>SR-CTHT01</t>
  </si>
  <si>
    <t>SR-CTRI01</t>
  </si>
  <si>
    <t>SR-CTLL20</t>
  </si>
  <si>
    <t>SR-CTAC01</t>
  </si>
  <si>
    <t>SR-CTLL33</t>
  </si>
  <si>
    <t>SR-CTLL52</t>
  </si>
  <si>
    <t>SR-CTTN01</t>
  </si>
  <si>
    <t>SR-CTLL10</t>
  </si>
  <si>
    <t>SR-CTPM01</t>
  </si>
  <si>
    <t>SR-LDLT02</t>
  </si>
  <si>
    <t>SR-PNLL02</t>
  </si>
  <si>
    <t>SR-SFMO01</t>
  </si>
  <si>
    <t>SR-SGCE02</t>
  </si>
  <si>
    <t>SINOP</t>
  </si>
  <si>
    <t>COLORADO</t>
  </si>
  <si>
    <t>TIJUCAS</t>
  </si>
  <si>
    <t>CURITIBA</t>
  </si>
  <si>
    <t>FLORIANÓPOLIS</t>
  </si>
  <si>
    <t>CAMPO LARGO</t>
  </si>
  <si>
    <t>FOZ DO IGUAÇU</t>
  </si>
  <si>
    <t>ARAUCARIA</t>
  </si>
  <si>
    <t>PONTA GROSSA</t>
  </si>
  <si>
    <t>PINHAIS</t>
  </si>
  <si>
    <t>ARAPONGAS</t>
  </si>
  <si>
    <t>MARINGÁ</t>
  </si>
  <si>
    <t>PORTO VITORIA</t>
  </si>
  <si>
    <t>CLEVELANDIA</t>
  </si>
  <si>
    <t>FLORIANOPOLIS</t>
  </si>
  <si>
    <t>GASPAR</t>
  </si>
  <si>
    <t>BLUMENAU</t>
  </si>
  <si>
    <t>GUARAPUAVA</t>
  </si>
  <si>
    <t>LIDIANÓPOLIS</t>
  </si>
  <si>
    <t>ITAJAÍ</t>
  </si>
  <si>
    <t>BALNEARIO BARRA DO SUL</t>
  </si>
  <si>
    <t>BARRA VELHA</t>
  </si>
  <si>
    <t>FRANCISCO ALVES</t>
  </si>
  <si>
    <t>PENHA</t>
  </si>
  <si>
    <t>MARACAJA</t>
  </si>
  <si>
    <t>CRUZEIRO DO IGUACU</t>
  </si>
  <si>
    <t>COCAL DO SUL</t>
  </si>
  <si>
    <t>JARAGUÁ DO SUL</t>
  </si>
  <si>
    <t>CRICIÚMA</t>
  </si>
  <si>
    <t>CURITIBANOS</t>
  </si>
  <si>
    <t>SÃO JORGE D'OESTE</t>
  </si>
  <si>
    <t>CHAPECÓ</t>
  </si>
  <si>
    <t>PARANAGUÁ</t>
  </si>
  <si>
    <t>LAGES</t>
  </si>
  <si>
    <t>TELÊMACO BORBA</t>
  </si>
  <si>
    <t>TELEMÂCO BORBA</t>
  </si>
  <si>
    <t>PITANGA</t>
  </si>
  <si>
    <t>BRUSQUE</t>
  </si>
  <si>
    <t>CURITBA</t>
  </si>
  <si>
    <t>UNIÃO DA VITÓRIA</t>
  </si>
  <si>
    <t>CARAMBEÍ</t>
  </si>
  <si>
    <t>JOINVILLE</t>
  </si>
  <si>
    <t>FRANCISCO BELTRÃO</t>
  </si>
  <si>
    <t>GUARAMIRIM</t>
  </si>
  <si>
    <t>SÃO JOSÉ</t>
  </si>
  <si>
    <t>APUCARANA</t>
  </si>
  <si>
    <t>SENGÉS</t>
  </si>
  <si>
    <t>SÃO JOSÉ DOS PINHAIS</t>
  </si>
  <si>
    <t>BRAGANEY</t>
  </si>
  <si>
    <t>SÃO MIGUEL DO OESTE</t>
  </si>
  <si>
    <t>GAROPABA</t>
  </si>
  <si>
    <t>LAPA</t>
  </si>
  <si>
    <t>IBIPORÃ</t>
  </si>
  <si>
    <t>UMUARAMA</t>
  </si>
  <si>
    <t>LONDRINA</t>
  </si>
  <si>
    <t>COLOMBO</t>
  </si>
  <si>
    <t>BALNEÁRIO CAMBORIÚ</t>
  </si>
  <si>
    <t>CASTRO</t>
  </si>
  <si>
    <t>CAMBÉ</t>
  </si>
  <si>
    <t>MARQUINHA</t>
  </si>
  <si>
    <t>RIO BRANCO DO SUL</t>
  </si>
  <si>
    <t>TAMARANA</t>
  </si>
  <si>
    <t>ARAUCÁRIA</t>
  </si>
  <si>
    <t>RIO DO SUL</t>
  </si>
  <si>
    <t>TUPÃSSI</t>
  </si>
  <si>
    <t>ITAPERUÇU</t>
  </si>
  <si>
    <t>NOVA SANTA BÁRBARA</t>
  </si>
  <si>
    <t>SÃO JOÃO DO IVAÍ</t>
  </si>
  <si>
    <t>CRIXÁS</t>
  </si>
  <si>
    <t>CUIABÁ</t>
  </si>
  <si>
    <t>IMBITUVA</t>
  </si>
  <si>
    <t>VILHENA</t>
  </si>
  <si>
    <t>CACOAL</t>
  </si>
  <si>
    <t>JI-PARANÁ</t>
  </si>
  <si>
    <t>ARAGUAÍNA</t>
  </si>
  <si>
    <t>ARIQUEMES</t>
  </si>
  <si>
    <t>SANTA TEREZINHA DE GOIÁS</t>
  </si>
  <si>
    <t>APARECIDA DE GOIÂNIA</t>
  </si>
  <si>
    <t>SÃO MIGUEL DO ARAGUAIA</t>
  </si>
  <si>
    <t>SERRANÓPOLIS</t>
  </si>
  <si>
    <t>CÁCERES</t>
  </si>
  <si>
    <t>RONDONÓPOLIS</t>
  </si>
  <si>
    <t>ITIQUIRA</t>
  </si>
  <si>
    <t>SORRISO</t>
  </si>
  <si>
    <t>SANTO ANTÔNIO DA BARRA</t>
  </si>
  <si>
    <t>NOVA MUTUM</t>
  </si>
  <si>
    <t>NOBRES</t>
  </si>
  <si>
    <t>QUERÊNCIA</t>
  </si>
  <si>
    <t>MONTES CLARO DE GOIÁS</t>
  </si>
  <si>
    <t>SÃO FRANCISCO DO SUL</t>
  </si>
  <si>
    <t>VÁRZEA GRANDE</t>
  </si>
  <si>
    <t>VILA BOA</t>
  </si>
  <si>
    <t>IPAMERI</t>
  </si>
  <si>
    <t>URUANA</t>
  </si>
  <si>
    <t>MT</t>
  </si>
  <si>
    <t>PR</t>
  </si>
  <si>
    <t>SC</t>
  </si>
  <si>
    <t>RO</t>
  </si>
  <si>
    <t>TO</t>
  </si>
  <si>
    <t>SUN</t>
  </si>
  <si>
    <t>GDU</t>
  </si>
  <si>
    <t>VTH</t>
  </si>
  <si>
    <t>CDE</t>
  </si>
  <si>
    <t>VIB</t>
  </si>
  <si>
    <t>RIP</t>
  </si>
  <si>
    <t>UUN</t>
  </si>
  <si>
    <t>BLV</t>
  </si>
  <si>
    <t>PPV</t>
  </si>
  <si>
    <t>FAN</t>
  </si>
  <si>
    <t>TSO</t>
  </si>
  <si>
    <t>SW1</t>
  </si>
  <si>
    <t>TCO</t>
  </si>
  <si>
    <t>SGG</t>
  </si>
  <si>
    <t>SPW</t>
  </si>
  <si>
    <t>SWR</t>
  </si>
  <si>
    <t>SCE</t>
  </si>
  <si>
    <t>CHN</t>
  </si>
  <si>
    <t>TCE</t>
  </si>
  <si>
    <t>TCS</t>
  </si>
  <si>
    <t>REC</t>
  </si>
  <si>
    <t>ARQ</t>
  </si>
  <si>
    <t>BJD</t>
  </si>
  <si>
    <t>BTM</t>
  </si>
  <si>
    <t>C10</t>
  </si>
  <si>
    <t>BIR</t>
  </si>
  <si>
    <t>MNH</t>
  </si>
  <si>
    <t>SRF</t>
  </si>
  <si>
    <t>DTN</t>
  </si>
  <si>
    <t>NTS</t>
  </si>
  <si>
    <t>CMN</t>
  </si>
  <si>
    <t>PDD</t>
  </si>
  <si>
    <t>CQN</t>
  </si>
  <si>
    <t>SAC</t>
  </si>
  <si>
    <t>BQS</t>
  </si>
  <si>
    <t>GLE</t>
  </si>
  <si>
    <t>NM6</t>
  </si>
  <si>
    <t>NBD</t>
  </si>
  <si>
    <t>QRN</t>
  </si>
  <si>
    <t>MCG</t>
  </si>
  <si>
    <t>QDN</t>
  </si>
  <si>
    <t>TDS</t>
  </si>
  <si>
    <t>SITE2</t>
  </si>
  <si>
    <t>SR-PIS137</t>
  </si>
  <si>
    <t>VALENÇA DO PIAUÍ</t>
  </si>
  <si>
    <t>PIVPI91</t>
  </si>
  <si>
    <t>PIVPI90</t>
  </si>
  <si>
    <t>FRANCISCO SANTOS</t>
  </si>
  <si>
    <t>QQL</t>
  </si>
  <si>
    <t>NE2</t>
  </si>
  <si>
    <t>NE1</t>
  </si>
  <si>
    <t>RS</t>
  </si>
  <si>
    <t>SO</t>
  </si>
  <si>
    <t>MS</t>
  </si>
  <si>
    <t>CO</t>
  </si>
  <si>
    <t>EMA</t>
  </si>
  <si>
    <t>AT7</t>
  </si>
  <si>
    <t>DIC</t>
  </si>
  <si>
    <t>GEL</t>
  </si>
  <si>
    <t>ISAÍAS COELHO</t>
  </si>
  <si>
    <t>SR-PIS141</t>
  </si>
  <si>
    <t>TOTAL</t>
  </si>
  <si>
    <t>SR-PIS101</t>
  </si>
  <si>
    <t>OMT</t>
  </si>
  <si>
    <t>BYX</t>
  </si>
  <si>
    <t>SR-FLPNJ1</t>
  </si>
  <si>
    <t>IBA</t>
  </si>
  <si>
    <t>SR-PIS138</t>
  </si>
  <si>
    <t>SR-PIS102</t>
  </si>
  <si>
    <t>NBRBAI0066</t>
  </si>
  <si>
    <t>NBRBAI0087</t>
  </si>
  <si>
    <t>NBRBAC0048</t>
  </si>
  <si>
    <t>NBRBAI0129</t>
  </si>
  <si>
    <t>NBRBAI0091</t>
  </si>
  <si>
    <t>NBRPEC0001</t>
  </si>
  <si>
    <t>NBRRNC0014</t>
  </si>
  <si>
    <t>NBRPEI0024</t>
  </si>
  <si>
    <t>TTR</t>
  </si>
  <si>
    <t>SR-CMPNJ0</t>
  </si>
  <si>
    <t>SR-PIS117</t>
  </si>
  <si>
    <t>SR-PIS113</t>
  </si>
  <si>
    <t>SR-PIS123</t>
  </si>
  <si>
    <t>SR-PIS080</t>
  </si>
  <si>
    <t>SR-PIS089</t>
  </si>
  <si>
    <t>SR-PIS142</t>
  </si>
  <si>
    <t>OUQ</t>
  </si>
  <si>
    <t>XMC</t>
  </si>
  <si>
    <t>ISM</t>
  </si>
  <si>
    <t>SR-PIS094</t>
  </si>
  <si>
    <t>OKH</t>
  </si>
  <si>
    <t>MONSENHOR HIPÓLITO</t>
  </si>
  <si>
    <t>BAYUEX</t>
  </si>
  <si>
    <t>SIGEFREDO PACHECO</t>
  </si>
  <si>
    <t>MURICI DOS PORTELAS</t>
  </si>
  <si>
    <t>CAMPINAS DO PIAUÍ</t>
  </si>
  <si>
    <t>SANTO INÁCIO DO PIAUÍ</t>
  </si>
  <si>
    <t>RIO GRANDE DO PIAUÍ</t>
  </si>
  <si>
    <t>SÃO JOSÉ DO PEIXE</t>
  </si>
  <si>
    <t>CAMPO LARGO DO PIAUÍ</t>
  </si>
  <si>
    <t>JARDIM DE PIRANHAS</t>
  </si>
  <si>
    <t>JATOBÁ DO PIAUÍ</t>
  </si>
  <si>
    <t>IBITITÁ</t>
  </si>
  <si>
    <t>BAIIY02</t>
  </si>
  <si>
    <t>BASNT01</t>
  </si>
  <si>
    <t>BAMSA01</t>
  </si>
  <si>
    <t>BACAN01</t>
  </si>
  <si>
    <t>BABLT02</t>
  </si>
  <si>
    <t>ALJQO01</t>
  </si>
  <si>
    <t>ALPIB01</t>
  </si>
  <si>
    <t>ALKIS01</t>
  </si>
  <si>
    <t>SANTANA</t>
  </si>
  <si>
    <t>CANSANÇÃO</t>
  </si>
  <si>
    <t>MONTE SANTO</t>
  </si>
  <si>
    <t>BARRO ALTO</t>
  </si>
  <si>
    <t>CRAÍBAS</t>
  </si>
  <si>
    <t>PIAÇABUÇU</t>
  </si>
  <si>
    <t>JUNQUEIRO</t>
  </si>
  <si>
    <t>VL9</t>
  </si>
  <si>
    <t>PDM_</t>
  </si>
  <si>
    <t>CXD</t>
  </si>
  <si>
    <t>BSU</t>
  </si>
  <si>
    <t>RAZ</t>
  </si>
  <si>
    <t>OZI</t>
  </si>
  <si>
    <t>FPC</t>
  </si>
  <si>
    <t>ORIZONA</t>
  </si>
  <si>
    <t>SCG</t>
  </si>
  <si>
    <t>UMC</t>
  </si>
  <si>
    <t>GUARACIABA DO NORTE</t>
  </si>
  <si>
    <t>GRN</t>
  </si>
  <si>
    <t>GRM</t>
  </si>
  <si>
    <t>SR-FLCEJ3</t>
  </si>
  <si>
    <t>SR-MCFAJ4</t>
  </si>
  <si>
    <t>SR-MCCEJ1</t>
  </si>
  <si>
    <t>SR-RCUNJ1</t>
  </si>
  <si>
    <t>SR-NTIPJ0</t>
  </si>
  <si>
    <t>MDR_</t>
  </si>
  <si>
    <t>BABLP02</t>
  </si>
  <si>
    <t>BELO CAMPO</t>
  </si>
  <si>
    <t>SR-CTLL37</t>
  </si>
  <si>
    <t>IBG</t>
  </si>
  <si>
    <t>MAM</t>
  </si>
  <si>
    <t>TC8</t>
  </si>
  <si>
    <t>HFM</t>
  </si>
  <si>
    <t>LGS</t>
  </si>
  <si>
    <t>CAMPO MOURÃO</t>
  </si>
  <si>
    <t>CM1</t>
  </si>
  <si>
    <t>TAQUARATINGA DO NORTE</t>
  </si>
  <si>
    <t>TTA</t>
  </si>
  <si>
    <t>BJN</t>
  </si>
  <si>
    <t>ALMEA01</t>
  </si>
  <si>
    <t>BASTZ03</t>
  </si>
  <si>
    <t>BAGVM04</t>
  </si>
  <si>
    <t>ALMZC02</t>
  </si>
  <si>
    <t>PICLP01</t>
  </si>
  <si>
    <t>PIDEL01</t>
  </si>
  <si>
    <t>CEEDS25</t>
  </si>
  <si>
    <t>CEEDS07</t>
  </si>
  <si>
    <t>MESSIAS</t>
  </si>
  <si>
    <t>ARACI</t>
  </si>
  <si>
    <t>CACHOEIRA</t>
  </si>
  <si>
    <t>OUW</t>
  </si>
  <si>
    <t>JJM</t>
  </si>
  <si>
    <t>TIA</t>
  </si>
  <si>
    <t>FER</t>
  </si>
  <si>
    <t>NCT_RN</t>
  </si>
  <si>
    <t>MAMBAÍ</t>
  </si>
  <si>
    <t>CQ6</t>
  </si>
  <si>
    <t>CZH</t>
  </si>
  <si>
    <t>COCALZINHO DE GOIÁS</t>
  </si>
  <si>
    <t>MRF</t>
  </si>
  <si>
    <t>APUAREMA</t>
  </si>
  <si>
    <t>APU_PE</t>
  </si>
  <si>
    <t>SR-FNCH01</t>
  </si>
  <si>
    <t>POÇO DAS TRINCHEIRAS</t>
  </si>
  <si>
    <t>ALPCH01</t>
  </si>
  <si>
    <t>OIU</t>
  </si>
  <si>
    <t>ITAREMA</t>
  </si>
  <si>
    <t>OUT</t>
  </si>
  <si>
    <t>LAGOA SALGADA</t>
  </si>
  <si>
    <t>OIX</t>
  </si>
  <si>
    <t>CRJ</t>
  </si>
  <si>
    <t>CNN</t>
  </si>
  <si>
    <t>BABAR10</t>
  </si>
  <si>
    <t>CEBAE03</t>
  </si>
  <si>
    <t>CEBAE08</t>
  </si>
  <si>
    <t/>
  </si>
  <si>
    <t>56A0939</t>
  </si>
  <si>
    <t>56A0A2P</t>
  </si>
  <si>
    <t>PO No,</t>
  </si>
  <si>
    <t>Release No,</t>
  </si>
  <si>
    <t>Line No,</t>
  </si>
  <si>
    <t>Shipment No,</t>
  </si>
  <si>
    <t>AC Qty,</t>
  </si>
  <si>
    <t>Unbilled Qty,</t>
  </si>
  <si>
    <t>Sub Contract No,</t>
  </si>
  <si>
    <t>Sales Contract No,</t>
  </si>
  <si>
    <t>Invoice Amount (Incl, Tax)*</t>
  </si>
  <si>
    <t>MOJ</t>
  </si>
  <si>
    <t>IMW</t>
  </si>
  <si>
    <t>JDM</t>
  </si>
  <si>
    <t>XSR</t>
  </si>
  <si>
    <t>XMM</t>
  </si>
  <si>
    <t>MLG</t>
  </si>
  <si>
    <t>SXA</t>
  </si>
  <si>
    <t>XMD</t>
  </si>
  <si>
    <t>XJU</t>
  </si>
  <si>
    <t>CLD</t>
  </si>
  <si>
    <t>XTN</t>
  </si>
  <si>
    <t>RUR</t>
  </si>
  <si>
    <t>JTI</t>
  </si>
  <si>
    <t>FRP</t>
  </si>
  <si>
    <t>CIS</t>
  </si>
  <si>
    <t>SAR</t>
  </si>
  <si>
    <t>ODP</t>
  </si>
  <si>
    <t>BJA</t>
  </si>
  <si>
    <t>SITE_ID</t>
  </si>
  <si>
    <t>VIVO WL</t>
  </si>
  <si>
    <t>VIVO MW</t>
  </si>
  <si>
    <t>56A0CP2</t>
  </si>
  <si>
    <t>CLARO WL</t>
  </si>
  <si>
    <t>TIM WL</t>
  </si>
  <si>
    <t>56A0GFT</t>
  </si>
  <si>
    <t>56A0HN1</t>
  </si>
  <si>
    <t>56A08Y1</t>
  </si>
  <si>
    <t>TIM BATTERY</t>
  </si>
  <si>
    <t>56A05CP</t>
  </si>
  <si>
    <t>TIM MW</t>
  </si>
  <si>
    <t>56A0F8R</t>
  </si>
  <si>
    <t>56A0G11</t>
  </si>
  <si>
    <t>CLARO BATTERY</t>
  </si>
  <si>
    <t>VIVO JERI</t>
  </si>
  <si>
    <t>OPERADORA</t>
  </si>
  <si>
    <t>VIVO</t>
  </si>
  <si>
    <t>TIM</t>
  </si>
  <si>
    <t>CLARO</t>
  </si>
  <si>
    <t>DU</t>
  </si>
  <si>
    <t>BASDR_0092_LIT</t>
  </si>
  <si>
    <t>CEPAR05</t>
  </si>
  <si>
    <t>PBIGR01</t>
  </si>
  <si>
    <t>PEBVT12</t>
  </si>
  <si>
    <t>PBDIA01</t>
  </si>
  <si>
    <t>CEMCW04</t>
  </si>
  <si>
    <t>CECUC04</t>
  </si>
  <si>
    <t>PIVPI01</t>
  </si>
  <si>
    <t>CECUC06</t>
  </si>
  <si>
    <t>PEAAB01</t>
  </si>
  <si>
    <t>PICGV01</t>
  </si>
  <si>
    <t>CEPJS02</t>
  </si>
  <si>
    <t>PENZM01</t>
  </si>
  <si>
    <t>CEIRA90</t>
  </si>
  <si>
    <t>PEFRS01</t>
  </si>
  <si>
    <t>CECVL02</t>
  </si>
  <si>
    <t>CESOL03</t>
  </si>
  <si>
    <t>PECUN01</t>
  </si>
  <si>
    <t>CEBBBR2</t>
  </si>
  <si>
    <t>CECZW01</t>
  </si>
  <si>
    <t>PEIBE02</t>
  </si>
  <si>
    <t>CEBBBR3</t>
  </si>
  <si>
    <t>CETRA02</t>
  </si>
  <si>
    <t>CECSR01</t>
  </si>
  <si>
    <t>CEVRZ01</t>
  </si>
  <si>
    <t>CEVRZ02</t>
  </si>
  <si>
    <t>CELVM01</t>
  </si>
  <si>
    <t>CEMGS01</t>
  </si>
  <si>
    <t>CEMRT01</t>
  </si>
  <si>
    <t>PEEPH30</t>
  </si>
  <si>
    <t>PEEPH43</t>
  </si>
  <si>
    <t>BABAR11</t>
  </si>
  <si>
    <t>PEBOV34</t>
  </si>
  <si>
    <t>PEMDL11</t>
  </si>
  <si>
    <t xml:space="preserve">BABRO06 </t>
  </si>
  <si>
    <t>BACEN03</t>
  </si>
  <si>
    <t>PEMDL04</t>
  </si>
  <si>
    <t>IKL</t>
  </si>
  <si>
    <t>JJU</t>
  </si>
  <si>
    <t>TEB-GUU</t>
  </si>
  <si>
    <t>DST</t>
  </si>
  <si>
    <t>SR-MCFT02</t>
  </si>
  <si>
    <t>SR-MCPV12</t>
  </si>
  <si>
    <t>PEBOV01</t>
  </si>
  <si>
    <t>CECIE02</t>
  </si>
  <si>
    <t>CEPAR21</t>
  </si>
  <si>
    <t>SFT</t>
  </si>
  <si>
    <t>MKR</t>
  </si>
  <si>
    <t>PNM</t>
  </si>
  <si>
    <t>SR-MCSR00</t>
  </si>
  <si>
    <t>TBV-BJA</t>
  </si>
  <si>
    <t>BXD-JUA</t>
  </si>
  <si>
    <t>SR-PIS071</t>
  </si>
  <si>
    <t>OID</t>
  </si>
  <si>
    <t>SDU</t>
  </si>
  <si>
    <t>OVS</t>
  </si>
  <si>
    <t>APU-MRF</t>
  </si>
  <si>
    <t>GIA-XCB</t>
  </si>
  <si>
    <t>SR-PIS147</t>
  </si>
  <si>
    <t>SR-PIS086</t>
  </si>
  <si>
    <t>SR-PIS104</t>
  </si>
  <si>
    <t>SR-PIS105</t>
  </si>
  <si>
    <t>SR-FLJM01</t>
  </si>
  <si>
    <t>GRC</t>
  </si>
  <si>
    <t>SR-JPIEJ0</t>
  </si>
  <si>
    <t>NTC</t>
  </si>
  <si>
    <t>SQI</t>
  </si>
  <si>
    <t>SR-PIS103</t>
  </si>
  <si>
    <t>SR-PIS126</t>
  </si>
  <si>
    <t>SR-PIS070</t>
  </si>
  <si>
    <t>SR-PIS083</t>
  </si>
  <si>
    <t>SR-PIS146</t>
  </si>
  <si>
    <t>OIU-ARU</t>
  </si>
  <si>
    <t>SR-MCPCJ0</t>
  </si>
  <si>
    <t>BPS-CTS</t>
  </si>
  <si>
    <t>SR-FLDU02</t>
  </si>
  <si>
    <t>CEBAE02</t>
  </si>
  <si>
    <t>PEXEX01</t>
  </si>
  <si>
    <t>AAX</t>
  </si>
  <si>
    <t>SR-MCJTJ4</t>
  </si>
  <si>
    <t>SR-FLPC05</t>
  </si>
  <si>
    <t>PESDM01</t>
  </si>
  <si>
    <t>CCR-MLD</t>
  </si>
  <si>
    <t>BAUBA01</t>
  </si>
  <si>
    <t>SR-FLQCJ0</t>
  </si>
  <si>
    <t>ODI-ACB</t>
  </si>
  <si>
    <t>OJK</t>
  </si>
  <si>
    <t>PEARJ01</t>
  </si>
  <si>
    <t>SDO-SDR</t>
  </si>
  <si>
    <t>CEAER28</t>
  </si>
  <si>
    <t>OGW</t>
  </si>
  <si>
    <t>OMJ-CMA</t>
  </si>
  <si>
    <t>SR-RCMXJ1</t>
  </si>
  <si>
    <t>SR-RCBVJ6</t>
  </si>
  <si>
    <t>PEOLD21</t>
  </si>
  <si>
    <t>SR-JPMN03</t>
  </si>
  <si>
    <t>BPN</t>
  </si>
  <si>
    <t>VLR</t>
  </si>
  <si>
    <t>BAILH28</t>
  </si>
  <si>
    <t>SR-JPAMJ0</t>
  </si>
  <si>
    <t>TVM</t>
  </si>
  <si>
    <t>SR-CES024</t>
  </si>
  <si>
    <t>SBB</t>
  </si>
  <si>
    <t>BASAO02</t>
  </si>
  <si>
    <t>BASAO03</t>
  </si>
  <si>
    <t>PEMAA01</t>
  </si>
  <si>
    <t>BASUY01</t>
  </si>
  <si>
    <t>CEAER08</t>
  </si>
  <si>
    <t>RNSII02</t>
  </si>
  <si>
    <t>PESDM02</t>
  </si>
  <si>
    <t>CRN</t>
  </si>
  <si>
    <t>BRD</t>
  </si>
  <si>
    <t>SR-PIS096</t>
  </si>
  <si>
    <t>SR-CES123</t>
  </si>
  <si>
    <t>OIY</t>
  </si>
  <si>
    <t>SR-CES042</t>
  </si>
  <si>
    <t>BZE</t>
  </si>
  <si>
    <t>SR-RCBHJ0</t>
  </si>
  <si>
    <t>MDC-CIS</t>
  </si>
  <si>
    <t>SR-RCAPJ0</t>
  </si>
  <si>
    <t>SR-CES002</t>
  </si>
  <si>
    <t>SR-MCPCJ1</t>
  </si>
  <si>
    <t>SR-PIS109</t>
  </si>
  <si>
    <t>FRC</t>
  </si>
  <si>
    <t>CNT</t>
  </si>
  <si>
    <t>OTG</t>
  </si>
  <si>
    <t>CDS</t>
  </si>
  <si>
    <t>CNB</t>
  </si>
  <si>
    <t>SR-JPCEJ4</t>
  </si>
  <si>
    <t>JTY</t>
  </si>
  <si>
    <t>OIN</t>
  </si>
  <si>
    <t>OJT</t>
  </si>
  <si>
    <t>BASAD03</t>
  </si>
  <si>
    <t>BZR</t>
  </si>
  <si>
    <t>SR-CES044</t>
  </si>
  <si>
    <t>FCP</t>
  </si>
  <si>
    <t>FRM</t>
  </si>
  <si>
    <t>CEPAR31</t>
  </si>
  <si>
    <t>SR-CES051</t>
  </si>
  <si>
    <t>EEL</t>
  </si>
  <si>
    <t>QGO</t>
  </si>
  <si>
    <t>SR-RNS066</t>
  </si>
  <si>
    <t>SR-MXMXJ2</t>
  </si>
  <si>
    <t>SR-RNS061</t>
  </si>
  <si>
    <t>OVN</t>
  </si>
  <si>
    <t>STE</t>
  </si>
  <si>
    <t>DTL</t>
  </si>
  <si>
    <t>GIG</t>
  </si>
  <si>
    <t>ODI</t>
  </si>
  <si>
    <t>OOQ</t>
  </si>
  <si>
    <t>SR-PIAGJ0</t>
  </si>
  <si>
    <t>CQU</t>
  </si>
  <si>
    <t>CFC</t>
  </si>
  <si>
    <t>OLR</t>
  </si>
  <si>
    <t>EQR</t>
  </si>
  <si>
    <t>CRG</t>
  </si>
  <si>
    <t>LMQ-XGR</t>
  </si>
  <si>
    <t>IIS</t>
  </si>
  <si>
    <t>SBU</t>
  </si>
  <si>
    <t>STU</t>
  </si>
  <si>
    <t>HBT</t>
  </si>
  <si>
    <t>VLE</t>
  </si>
  <si>
    <t>QAO</t>
  </si>
  <si>
    <t>IAW</t>
  </si>
  <si>
    <t>ORK</t>
  </si>
  <si>
    <t>SR-PES165</t>
  </si>
  <si>
    <t>LUC</t>
  </si>
  <si>
    <t>ODQ</t>
  </si>
  <si>
    <t>OOU</t>
  </si>
  <si>
    <t>OVL</t>
  </si>
  <si>
    <t>SR-TSMB00</t>
  </si>
  <si>
    <t>ODV</t>
  </si>
  <si>
    <t>OKB</t>
  </si>
  <si>
    <t>OEE</t>
  </si>
  <si>
    <t>FAT</t>
  </si>
  <si>
    <t>SR-RNS063</t>
  </si>
  <si>
    <t>IPJ</t>
  </si>
  <si>
    <t>BJT</t>
  </si>
  <si>
    <t>OMB</t>
  </si>
  <si>
    <t>HLX</t>
  </si>
  <si>
    <t>OQS</t>
  </si>
  <si>
    <t>OAQ</t>
  </si>
  <si>
    <t>OVR</t>
  </si>
  <si>
    <t>OQB</t>
  </si>
  <si>
    <t>SSZ</t>
  </si>
  <si>
    <t>SR-PIPMJ0</t>
  </si>
  <si>
    <t>DDC</t>
  </si>
  <si>
    <t>PEXEX02</t>
  </si>
  <si>
    <t>OAX</t>
  </si>
  <si>
    <t>OAP</t>
  </si>
  <si>
    <t>OCB</t>
  </si>
  <si>
    <t>SR-CES099</t>
  </si>
  <si>
    <t>GAZ</t>
  </si>
  <si>
    <t>OAU</t>
  </si>
  <si>
    <t>OAY</t>
  </si>
  <si>
    <t>SR-SJVJJ1</t>
  </si>
  <si>
    <t>ONI</t>
  </si>
  <si>
    <t>OBV</t>
  </si>
  <si>
    <t>OAT</t>
  </si>
  <si>
    <t>OQM</t>
  </si>
  <si>
    <t>OIH</t>
  </si>
  <si>
    <t>OBH</t>
  </si>
  <si>
    <t>OFD</t>
  </si>
  <si>
    <t>OMG</t>
  </si>
  <si>
    <t>SBT</t>
  </si>
  <si>
    <t>OGM</t>
  </si>
  <si>
    <t>PRE</t>
  </si>
  <si>
    <t>OAJ</t>
  </si>
  <si>
    <t>OAI</t>
  </si>
  <si>
    <t>OHG</t>
  </si>
  <si>
    <t>SR-GMCEJ1</t>
  </si>
  <si>
    <t>ODN</t>
  </si>
  <si>
    <t>SRA</t>
  </si>
  <si>
    <t>OUN</t>
  </si>
  <si>
    <t>OVE</t>
  </si>
  <si>
    <t>OIH-PPO</t>
  </si>
  <si>
    <t>ORR</t>
  </si>
  <si>
    <t>OBV-XRL</t>
  </si>
  <si>
    <t>ORQ</t>
  </si>
  <si>
    <t>OPR</t>
  </si>
  <si>
    <t>ITP</t>
  </si>
  <si>
    <t>OJF</t>
  </si>
  <si>
    <t>BAFSA64</t>
  </si>
  <si>
    <t>ALCBH01</t>
  </si>
  <si>
    <t>SR-CES114</t>
  </si>
  <si>
    <t>SR-MCFA09</t>
  </si>
  <si>
    <t>BAVCZ09</t>
  </si>
  <si>
    <t>OJQ</t>
  </si>
  <si>
    <t>OPN</t>
  </si>
  <si>
    <t>BAVCZ11</t>
  </si>
  <si>
    <t>OLT-XQU</t>
  </si>
  <si>
    <t>OAK</t>
  </si>
  <si>
    <t>SR-MCMNJ4</t>
  </si>
  <si>
    <t>OFG</t>
  </si>
  <si>
    <t>OGS</t>
  </si>
  <si>
    <t>OHM</t>
  </si>
  <si>
    <t>ODO</t>
  </si>
  <si>
    <t>OIB</t>
  </si>
  <si>
    <t>OKE</t>
  </si>
  <si>
    <t>SR-SJCBJ1</t>
  </si>
  <si>
    <t>OJQ-XSU</t>
  </si>
  <si>
    <t>ODP-CAN</t>
  </si>
  <si>
    <t>OTA-XBA</t>
  </si>
  <si>
    <t>OLN-VN1</t>
  </si>
  <si>
    <t>SLP-PED</t>
  </si>
  <si>
    <t>ALSTU01</t>
  </si>
  <si>
    <t>BAGLO03</t>
  </si>
  <si>
    <t>LUZ</t>
  </si>
  <si>
    <t>LOU</t>
  </si>
  <si>
    <t>OMD</t>
  </si>
  <si>
    <t>ONJ</t>
  </si>
  <si>
    <t>TBU</t>
  </si>
  <si>
    <t>OES</t>
  </si>
  <si>
    <t>OEV</t>
  </si>
  <si>
    <t>OBK</t>
  </si>
  <si>
    <t>LJD</t>
  </si>
  <si>
    <t>RSM</t>
  </si>
  <si>
    <t>SR-MCJGJ3</t>
  </si>
  <si>
    <t>OLS</t>
  </si>
  <si>
    <t>NGG</t>
  </si>
  <si>
    <t>OLQ</t>
  </si>
  <si>
    <t>OOC</t>
  </si>
  <si>
    <t>OOJ</t>
  </si>
  <si>
    <t>LZL</t>
  </si>
  <si>
    <t>OBT-XMD</t>
  </si>
  <si>
    <t>OLL</t>
  </si>
  <si>
    <t>OLY</t>
  </si>
  <si>
    <t>SR-MCFT00</t>
  </si>
  <si>
    <t>OIF-UPC</t>
  </si>
  <si>
    <t>OOZ</t>
  </si>
  <si>
    <t>ONV-XEB</t>
  </si>
  <si>
    <t>ONV</t>
  </si>
  <si>
    <t>OUP</t>
  </si>
  <si>
    <t>OBZ</t>
  </si>
  <si>
    <t>OUP-FPI</t>
  </si>
  <si>
    <t>OVU</t>
  </si>
  <si>
    <t>OOL</t>
  </si>
  <si>
    <t>OUG-FPI</t>
  </si>
  <si>
    <t>CNS</t>
  </si>
  <si>
    <t>OJH</t>
  </si>
  <si>
    <t>OAC</t>
  </si>
  <si>
    <t>OOM</t>
  </si>
  <si>
    <t>OOP</t>
  </si>
  <si>
    <t>OSO</t>
  </si>
  <si>
    <t>SMS</t>
  </si>
  <si>
    <t>ONM</t>
  </si>
  <si>
    <t>CJI-VMM</t>
  </si>
  <si>
    <t>ORG</t>
  </si>
  <si>
    <t>PZH</t>
  </si>
  <si>
    <t>OSE</t>
  </si>
  <si>
    <t>CAJ-SVF</t>
  </si>
  <si>
    <t>OTE-JQP</t>
  </si>
  <si>
    <t>OLW</t>
  </si>
  <si>
    <t>BASER04</t>
  </si>
  <si>
    <t>OBT</t>
  </si>
  <si>
    <t>SR-SSPRJ1</t>
  </si>
  <si>
    <t>OBN</t>
  </si>
  <si>
    <t>ODE</t>
  </si>
  <si>
    <t xml:space="preserve">OAN </t>
  </si>
  <si>
    <t>ODM</t>
  </si>
  <si>
    <t>TPH</t>
  </si>
  <si>
    <t>ODH</t>
  </si>
  <si>
    <t>UUU</t>
  </si>
  <si>
    <t>SDW</t>
  </si>
  <si>
    <t>PZT</t>
  </si>
  <si>
    <t>OEP</t>
  </si>
  <si>
    <t>OBU</t>
  </si>
  <si>
    <t>VCM</t>
  </si>
  <si>
    <t>VIT</t>
  </si>
  <si>
    <t>PRC</t>
  </si>
  <si>
    <t>SRT</t>
  </si>
  <si>
    <t>XGU</t>
  </si>
  <si>
    <t>SJE</t>
  </si>
  <si>
    <t>OHN</t>
  </si>
  <si>
    <t>OIO</t>
  </si>
  <si>
    <t>OVC</t>
  </si>
  <si>
    <t>OLN</t>
  </si>
  <si>
    <t>OJN</t>
  </si>
  <si>
    <t>OQP</t>
  </si>
  <si>
    <t>BAIRA03</t>
  </si>
  <si>
    <t>OAG</t>
  </si>
  <si>
    <t>CRL</t>
  </si>
  <si>
    <t>OQF</t>
  </si>
  <si>
    <t>ORM</t>
  </si>
  <si>
    <t>BAIGP02</t>
  </si>
  <si>
    <t>OBI</t>
  </si>
  <si>
    <t>OAV</t>
  </si>
  <si>
    <t>OTA</t>
  </si>
  <si>
    <t>PFX</t>
  </si>
  <si>
    <t>OTE</t>
  </si>
  <si>
    <t>OSX</t>
  </si>
  <si>
    <t>OQT</t>
  </si>
  <si>
    <t>SR-CES030</t>
  </si>
  <si>
    <t>OPB</t>
  </si>
  <si>
    <t>MIA</t>
  </si>
  <si>
    <t>OGI</t>
  </si>
  <si>
    <t>RNPGR01</t>
  </si>
  <si>
    <t>OQU</t>
  </si>
  <si>
    <t>TML</t>
  </si>
  <si>
    <t>OEC</t>
  </si>
  <si>
    <t>OJO</t>
  </si>
  <si>
    <t>PRL</t>
  </si>
  <si>
    <t>RNCUO01</t>
  </si>
  <si>
    <t>SRN</t>
  </si>
  <si>
    <t>PEF</t>
  </si>
  <si>
    <t>BACTA03</t>
  </si>
  <si>
    <t>OLU</t>
  </si>
  <si>
    <t>OLX</t>
  </si>
  <si>
    <t>OUY</t>
  </si>
  <si>
    <t>OGQ</t>
  </si>
  <si>
    <t>OIZ</t>
  </si>
  <si>
    <t>CEALD04</t>
  </si>
  <si>
    <t>AGY</t>
  </si>
  <si>
    <t>ALPAP01</t>
  </si>
  <si>
    <t>SVR</t>
  </si>
  <si>
    <t>BAECU01</t>
  </si>
  <si>
    <t>OSU</t>
  </si>
  <si>
    <t>MAD</t>
  </si>
  <si>
    <t>BAITE04</t>
  </si>
  <si>
    <t>BASNB01</t>
  </si>
  <si>
    <t>PBCRI01</t>
  </si>
  <si>
    <t>NBRALC0015</t>
  </si>
  <si>
    <t>NBRPBC0015</t>
  </si>
  <si>
    <t>NBRPEC0013</t>
  </si>
  <si>
    <t>OFJ</t>
  </si>
  <si>
    <t>OBM</t>
  </si>
  <si>
    <t>ITC</t>
  </si>
  <si>
    <t>OJX</t>
  </si>
  <si>
    <t>AQB</t>
  </si>
  <si>
    <t>DVG</t>
  </si>
  <si>
    <t>JRG</t>
  </si>
  <si>
    <t>XPA</t>
  </si>
  <si>
    <t>SR-RCSWJ6</t>
  </si>
  <si>
    <t>SR-RCIPJ4</t>
  </si>
  <si>
    <t>SR-MCSRJ4</t>
  </si>
  <si>
    <t>BABAA80</t>
  </si>
  <si>
    <t>ORV</t>
  </si>
  <si>
    <t>OPB-XGO</t>
  </si>
  <si>
    <t>PBPHS01</t>
  </si>
  <si>
    <t>BACIS18</t>
  </si>
  <si>
    <t>BDU</t>
  </si>
  <si>
    <t>CPR</t>
  </si>
  <si>
    <t>OAM</t>
  </si>
  <si>
    <t>PBSOS01</t>
  </si>
  <si>
    <t>BAAEX01</t>
  </si>
  <si>
    <t>BAEMD01</t>
  </si>
  <si>
    <t>RNSLG01</t>
  </si>
  <si>
    <t>PEIQW02</t>
  </si>
  <si>
    <t>ALCPE01</t>
  </si>
  <si>
    <t>SR-RCCFJ5</t>
  </si>
  <si>
    <t>ORE</t>
  </si>
  <si>
    <t>SR-JPJGJ0</t>
  </si>
  <si>
    <t>SR-RCAT00</t>
  </si>
  <si>
    <t>SR-JPBS02</t>
  </si>
  <si>
    <t>SR-NTEPJ3</t>
  </si>
  <si>
    <t>SR-PIUWJ0</t>
  </si>
  <si>
    <t>SR-TSCEJ5</t>
  </si>
  <si>
    <t>SR-TSMPJ0</t>
  </si>
  <si>
    <t>SR-RCBG05</t>
  </si>
  <si>
    <t>SR-RCSWJ1</t>
  </si>
  <si>
    <t>SR-RCBG03</t>
  </si>
  <si>
    <t>SR-RCHMJ0</t>
  </si>
  <si>
    <t>SR-CES067</t>
  </si>
  <si>
    <t>SR-CES117</t>
  </si>
  <si>
    <t>ALJQO02</t>
  </si>
  <si>
    <t>BABDS02</t>
  </si>
  <si>
    <t>BAMUU01</t>
  </si>
  <si>
    <t>CEPDT01</t>
  </si>
  <si>
    <t>CEPMC01</t>
  </si>
  <si>
    <t>BACALR2</t>
  </si>
  <si>
    <t>SR-CES241</t>
  </si>
  <si>
    <t>SR-FLCEA3</t>
  </si>
  <si>
    <t>OAC-XAZ</t>
  </si>
  <si>
    <t>SR-FLMR05</t>
  </si>
  <si>
    <t>OSB</t>
  </si>
  <si>
    <t>BAPGR02</t>
  </si>
  <si>
    <t>ALIBG01</t>
  </si>
  <si>
    <t>ODC</t>
  </si>
  <si>
    <t>QMI</t>
  </si>
  <si>
    <t>JAB</t>
  </si>
  <si>
    <t>PQM</t>
  </si>
  <si>
    <t>SR-RCIPJ1</t>
  </si>
  <si>
    <t>BAJUA27</t>
  </si>
  <si>
    <t>BAUNA02</t>
  </si>
  <si>
    <t>BABAV01</t>
  </si>
  <si>
    <t>BADMA01</t>
  </si>
  <si>
    <t>SR-FLCEJ0</t>
  </si>
  <si>
    <t>BAIUI03</t>
  </si>
  <si>
    <t>SR-RCTRJ0</t>
  </si>
  <si>
    <t>SR-RCGCJ2</t>
  </si>
  <si>
    <t>MA</t>
  </si>
  <si>
    <t>ILHA DE ITAPARICA</t>
  </si>
  <si>
    <t>TABOCAS DO BREJO VELHO - BREJOLÂNDIA</t>
  </si>
  <si>
    <t>BENEDITINOS</t>
  </si>
  <si>
    <t>NOVA CRUZ</t>
  </si>
  <si>
    <t>MILTON BRANDÃO</t>
  </si>
  <si>
    <t>CONCEIÇÃO DO CANINDÉ</t>
  </si>
  <si>
    <t>NOSSA SENHORA DOS REMÉDIOS</t>
  </si>
  <si>
    <t>PAJEÚ DO PIAUÍ</t>
  </si>
  <si>
    <t>SEBASTIÃO LEAL</t>
  </si>
  <si>
    <t>BELÉM DO PIAUÍ</t>
  </si>
  <si>
    <t>CARIDADE DO PIAUÍ</t>
  </si>
  <si>
    <t>ITAREMA - ACARAÚ</t>
  </si>
  <si>
    <t>BAIANÓPOLIS - CRISTÓPOLIS</t>
  </si>
  <si>
    <t>IBIASSUCÊ - RIO DO ANTÔNIO</t>
  </si>
  <si>
    <t>SÃO DESIDÉRIO - BARREIRAS</t>
  </si>
  <si>
    <t>BELA CRUZ</t>
  </si>
  <si>
    <t>LAGOINHA DO PIAUI</t>
  </si>
  <si>
    <t>VICOSA DO CEARA</t>
  </si>
  <si>
    <t>MADRE DE DEUS - CANDEIAS</t>
  </si>
  <si>
    <t>MIRAIMA</t>
  </si>
  <si>
    <t>PARNAGUA</t>
  </si>
  <si>
    <t>JATI</t>
  </si>
  <si>
    <t>IPU</t>
  </si>
  <si>
    <t>ACARAU</t>
  </si>
  <si>
    <t>RIO DO FOGO</t>
  </si>
  <si>
    <t>MAXARANGUAPE</t>
  </si>
  <si>
    <t>MOSSORO</t>
  </si>
  <si>
    <t>ALVORADA DO GURGUEIA</t>
  </si>
  <si>
    <t>SANTA CRUZ DO CAPIBARIBE</t>
  </si>
  <si>
    <t>BARAUNA</t>
  </si>
  <si>
    <t>PALMEIRA DO PIAUI</t>
  </si>
  <si>
    <t>PEREIRO</t>
  </si>
  <si>
    <t>SAO JOAO DA VARJOTA</t>
  </si>
  <si>
    <t>GEMINIANO</t>
  </si>
  <si>
    <t>SAO JOAO DA CANABRAVA</t>
  </si>
  <si>
    <t>ESCADA</t>
  </si>
  <si>
    <t>SANTANA DO SERIDÓ</t>
  </si>
  <si>
    <t>CAMPO ALEGRE</t>
  </si>
  <si>
    <t>VICÊNCIA</t>
  </si>
  <si>
    <t>SÃO MIGUEL DO TAPUIO</t>
  </si>
  <si>
    <t>PARAZINHO</t>
  </si>
  <si>
    <t>SUSSUAPARA</t>
  </si>
  <si>
    <t>ITAITINGA</t>
  </si>
  <si>
    <t>CARACOL</t>
  </si>
  <si>
    <t>AIUABA</t>
  </si>
  <si>
    <t>CASTRO ALVES</t>
  </si>
  <si>
    <t>SANTA CRUZ DA BAIXA VERDE</t>
  </si>
  <si>
    <t>SANTA BÁRBARA</t>
  </si>
  <si>
    <t>GENTIU DO OURO</t>
  </si>
  <si>
    <t>ANGUERA</t>
  </si>
  <si>
    <t>ELÍSIO MEDRADO</t>
  </si>
  <si>
    <t>CURRAIS</t>
  </si>
  <si>
    <t>TIANGUA</t>
  </si>
  <si>
    <t>BARRA DO MENDES</t>
  </si>
  <si>
    <t>MUTUÍPE</t>
  </si>
  <si>
    <t>PINDORETAMA</t>
  </si>
  <si>
    <t>PALMÁCIA</t>
  </si>
  <si>
    <t>CONCEIÇÃO DO ALMEIDA</t>
  </si>
  <si>
    <t>UMA</t>
  </si>
  <si>
    <t>BARRA DA ESTIVA</t>
  </si>
  <si>
    <t>DÁRIO MEIRA</t>
  </si>
  <si>
    <t>CASA03-CASA01</t>
  </si>
  <si>
    <t>CALÇADO</t>
  </si>
  <si>
    <t>FZJ</t>
  </si>
  <si>
    <t>NPP</t>
  </si>
  <si>
    <t>PKT</t>
  </si>
  <si>
    <t>PPM</t>
  </si>
  <si>
    <t>RJC</t>
  </si>
  <si>
    <t>CNH</t>
  </si>
  <si>
    <t xml:space="preserve">SR-GURJJ0 </t>
  </si>
  <si>
    <t>NLPXNA00</t>
  </si>
  <si>
    <t>XAN</t>
  </si>
  <si>
    <t>ÁGUA BRANCA</t>
  </si>
  <si>
    <t>XMR</t>
  </si>
  <si>
    <t>MARAVILHA</t>
  </si>
  <si>
    <t>AGUIAR</t>
  </si>
  <si>
    <t>CACIMBINHAS</t>
  </si>
  <si>
    <t>CAMPESTRE</t>
  </si>
  <si>
    <t>IBATEGUARA</t>
  </si>
  <si>
    <t>JUMQUEIRO</t>
  </si>
  <si>
    <t>PARIPUEIRA</t>
  </si>
  <si>
    <t>CASA NOVAS</t>
  </si>
  <si>
    <t>EUCLIDES DA CUNHA</t>
  </si>
  <si>
    <t>GLÓRIA</t>
  </si>
  <si>
    <t>ITUBERÁ</t>
  </si>
  <si>
    <t>IGUAÍ</t>
  </si>
  <si>
    <t>SALINAS DA MARGARIDA</t>
  </si>
  <si>
    <t>SÃO GONÇALO DOS CAMPOS</t>
  </si>
  <si>
    <t>SERRINHA</t>
  </si>
  <si>
    <t>SANTA LUZIA</t>
  </si>
  <si>
    <t>UBATÃ</t>
  </si>
  <si>
    <t>BARRO DURO</t>
  </si>
  <si>
    <t>CRATO - JUAZEIRO DO NORTE</t>
  </si>
  <si>
    <t>CAJAPIÓ - SÃO VICENTE FERRER</t>
  </si>
  <si>
    <t>CAJARI - VITÓRIA DO MEARIM</t>
  </si>
  <si>
    <t>CARNAÍBA</t>
  </si>
  <si>
    <t>GRANJA</t>
  </si>
  <si>
    <t>ITAPIÚNA</t>
  </si>
  <si>
    <t>LAJEDO</t>
  </si>
  <si>
    <t>LAVRAS DA MANGABEIRA - GRANJEIRO</t>
  </si>
  <si>
    <t>SÃO LOURENÇO DO PIAUÍ</t>
  </si>
  <si>
    <t>LUZILÂNDIA</t>
  </si>
  <si>
    <t>MAURITI</t>
  </si>
  <si>
    <t>COQUEIRO SECO</t>
  </si>
  <si>
    <t>NOVO LINO</t>
  </si>
  <si>
    <t>MESSIAS - RIO LARGO</t>
  </si>
  <si>
    <t>ALCANTARAS</t>
  </si>
  <si>
    <t>BATURITE</t>
  </si>
  <si>
    <t>BATURITÉ - ARACOIABA</t>
  </si>
  <si>
    <t>CAMOCIM</t>
  </si>
  <si>
    <t>CARIDADE</t>
  </si>
  <si>
    <t>CARIDADE - CANINDÉ</t>
  </si>
  <si>
    <t>CASCAVEL</t>
  </si>
  <si>
    <t>GRANJA - URUOCA</t>
  </si>
  <si>
    <t>GUAIUBA</t>
  </si>
  <si>
    <t>GUAIÚBA - PACAJUS</t>
  </si>
  <si>
    <t>MASSAPÊ - SANTANA DO ACARAÚ</t>
  </si>
  <si>
    <t>MILAGRES</t>
  </si>
  <si>
    <t>PACOTI</t>
  </si>
  <si>
    <t>SANTA QUITÉRIA</t>
  </si>
  <si>
    <t>CAJAZEIRAS</t>
  </si>
  <si>
    <t>OLINDA NOVA DO MARANHÃO - VIANA</t>
  </si>
  <si>
    <t>CATOLÉ DO ROCHA</t>
  </si>
  <si>
    <t>CUBATI</t>
  </si>
  <si>
    <t>ITAPOROROCA - MAMANGUAPE</t>
  </si>
  <si>
    <t>PEDRAS DE FOGO</t>
  </si>
  <si>
    <t xml:space="preserve">SÃO JOÃO DO CARIRI </t>
  </si>
  <si>
    <t>SÃO JOÃO DO CARIRI - SERRA BRANCA</t>
  </si>
  <si>
    <t>ESPERANTINA - BATALHA</t>
  </si>
  <si>
    <t>LUZILÂNDIA - JOAQUIM PIRES</t>
  </si>
  <si>
    <t>PASSAGEM FRANCA DO PIAUI</t>
  </si>
  <si>
    <t>GOIANINHA - ARÊS</t>
  </si>
  <si>
    <t>NISIA FLORESTA</t>
  </si>
  <si>
    <t>POCINHOS</t>
  </si>
  <si>
    <t>SOSSÊGO</t>
  </si>
  <si>
    <t>ARAÇOIABA</t>
  </si>
  <si>
    <t>AMARAJI</t>
  </si>
  <si>
    <t>CAMUTANGA</t>
  </si>
  <si>
    <t>PASSE E FICA</t>
  </si>
  <si>
    <t>FERREIROS</t>
  </si>
  <si>
    <t>ITAQUATINGA</t>
  </si>
  <si>
    <t>NAZARÉ DA MATA</t>
  </si>
  <si>
    <t>XEXÉU</t>
  </si>
  <si>
    <t>PARELHAS</t>
  </si>
  <si>
    <t>CARNAÚBA DOS DANTAS</t>
  </si>
  <si>
    <t>PEDRA GRANDE</t>
  </si>
  <si>
    <t>SÃO PAULO DO POTENGI</t>
  </si>
  <si>
    <t>SEBASTIÃO BARROS</t>
  </si>
  <si>
    <t>SÃO BENTO DO UNA</t>
  </si>
  <si>
    <t>SÃO DOMINGOS DO CARIRI</t>
  </si>
  <si>
    <t>SANTA LUZIA DO PARUÁ - PRECIDENTE MÉDICI</t>
  </si>
  <si>
    <t>SAO BENEDITO</t>
  </si>
  <si>
    <t>BELMONTE - SANTA CRUZ DE CABRÁLIA</t>
  </si>
  <si>
    <t>VIÇOSA DO CEARÁ</t>
  </si>
  <si>
    <t>VÁRZEA ALEGRE - GRANJEIRO</t>
  </si>
  <si>
    <t>AVELINO LOPES</t>
  </si>
  <si>
    <t>CASCAVAL</t>
  </si>
  <si>
    <t>tim</t>
  </si>
  <si>
    <t>SR-PBS031</t>
  </si>
  <si>
    <t>SR-CCCCD5</t>
  </si>
  <si>
    <t>VER</t>
  </si>
  <si>
    <t>VGA</t>
  </si>
  <si>
    <t>CORURIPE</t>
  </si>
  <si>
    <t>JUPI</t>
  </si>
  <si>
    <t>JUCATI</t>
  </si>
  <si>
    <t>GENERAL CARNEIRO</t>
  </si>
  <si>
    <t>G0A</t>
  </si>
  <si>
    <t>LMO</t>
  </si>
  <si>
    <t>SIM</t>
  </si>
  <si>
    <t>CBC</t>
  </si>
  <si>
    <t>CCL</t>
  </si>
  <si>
    <t>CCR</t>
  </si>
  <si>
    <t>TCR</t>
  </si>
  <si>
    <t>BREJOLÂNDIA</t>
  </si>
  <si>
    <t>TUCANO</t>
  </si>
  <si>
    <t>CACULÉ</t>
  </si>
  <si>
    <t>IBIASSUCÊ</t>
  </si>
  <si>
    <t>SÃO DESIDÉRIO</t>
  </si>
  <si>
    <t>TABELA</t>
  </si>
  <si>
    <t>AC</t>
  </si>
  <si>
    <t>SR-RCMXJ5</t>
  </si>
  <si>
    <t>SR-RCBVJ4</t>
  </si>
  <si>
    <t>SR-RCPRJ0</t>
  </si>
  <si>
    <t>SR-CES036</t>
  </si>
  <si>
    <t>SR-SODJJ1</t>
  </si>
  <si>
    <t>SR-CES268</t>
  </si>
  <si>
    <t>REI</t>
  </si>
  <si>
    <t>SR-RNS064</t>
  </si>
  <si>
    <t>CAICO</t>
  </si>
  <si>
    <t>SR-RCVZJ3</t>
  </si>
  <si>
    <t>TQR</t>
  </si>
  <si>
    <t>Taquarana</t>
  </si>
  <si>
    <t>DFTAG34</t>
  </si>
  <si>
    <t>BRASILIA</t>
  </si>
  <si>
    <t>DFSOB09</t>
  </si>
  <si>
    <t>SR-SOJCJ0</t>
  </si>
  <si>
    <t>TOSTZ01</t>
  </si>
  <si>
    <t>SANTA TEREZINHA DO TOCANTINS</t>
  </si>
  <si>
    <t>DFTAG57</t>
  </si>
  <si>
    <t>DFTAG0I</t>
  </si>
  <si>
    <t>SR-CES023</t>
  </si>
  <si>
    <t>PIRES FERREIRA</t>
  </si>
  <si>
    <t>REZ-NBA</t>
  </si>
  <si>
    <t>ARACAJU</t>
  </si>
  <si>
    <t>AGP-XCN</t>
  </si>
  <si>
    <t>CETENDE</t>
  </si>
  <si>
    <t>SR-CES242</t>
  </si>
  <si>
    <t>TAUA</t>
  </si>
  <si>
    <t>NBRALC0</t>
  </si>
  <si>
    <t>PEJBO18</t>
  </si>
  <si>
    <t>PBCRI04</t>
  </si>
  <si>
    <t>CXF</t>
  </si>
  <si>
    <t>TEM</t>
  </si>
  <si>
    <t>BAITA01</t>
  </si>
  <si>
    <t>NBRPBC0</t>
  </si>
  <si>
    <t>BABRO03</t>
  </si>
  <si>
    <t>EPS</t>
  </si>
  <si>
    <t>PDF</t>
  </si>
  <si>
    <t>ABAIRA</t>
  </si>
  <si>
    <t>SFE</t>
  </si>
  <si>
    <t>SÃO FRANCISCO DO CONDE</t>
  </si>
  <si>
    <t>SAU</t>
  </si>
  <si>
    <t>MATA DE SÃO JOAO</t>
  </si>
  <si>
    <t>BQM</t>
  </si>
  <si>
    <t xml:space="preserve">BOQUIM </t>
  </si>
  <si>
    <t>RCD</t>
  </si>
  <si>
    <t>RIACHAO DO DANTAS</t>
  </si>
  <si>
    <t>CBH</t>
  </si>
  <si>
    <t>SANTA CRUZ CABRALIA</t>
  </si>
  <si>
    <t>POA</t>
  </si>
  <si>
    <t>MGD</t>
  </si>
  <si>
    <t>SQP</t>
  </si>
  <si>
    <t>IRA</t>
  </si>
  <si>
    <t>IRARA</t>
  </si>
  <si>
    <t>BCZ</t>
  </si>
  <si>
    <t>AJA</t>
  </si>
  <si>
    <t>BABLT03</t>
  </si>
  <si>
    <t>BAIIY01</t>
  </si>
  <si>
    <t>Ibitita</t>
  </si>
  <si>
    <t>BAIBB02</t>
  </si>
  <si>
    <t>Ibipeba</t>
  </si>
  <si>
    <t>BAMVO01</t>
  </si>
  <si>
    <t>Manoel Vitorino</t>
  </si>
  <si>
    <t>PEPOB02</t>
  </si>
  <si>
    <t>Pombos</t>
  </si>
  <si>
    <t>CETUK01</t>
  </si>
  <si>
    <t>Tururu</t>
  </si>
  <si>
    <t>CEIRA01</t>
  </si>
  <si>
    <t>Iraucuba</t>
  </si>
  <si>
    <t>CECEN08</t>
  </si>
  <si>
    <t>Fortaleza</t>
  </si>
  <si>
    <t>RNJMH01</t>
  </si>
  <si>
    <t>Jardim de Piranhas</t>
  </si>
  <si>
    <t>RNCZE01</t>
  </si>
  <si>
    <t>Cruzeta</t>
  </si>
  <si>
    <t>CECID01</t>
  </si>
  <si>
    <t>Caridade</t>
  </si>
  <si>
    <t>BABON28</t>
  </si>
  <si>
    <t>BACAB09</t>
  </si>
  <si>
    <t>BAAMA45</t>
  </si>
  <si>
    <t>SR-FLCEJ7</t>
  </si>
  <si>
    <t>RNLNV26</t>
  </si>
  <si>
    <t>PAC</t>
  </si>
  <si>
    <t>Bom Jesus da Lapa</t>
  </si>
  <si>
    <t>BABJL05</t>
  </si>
  <si>
    <t>BACEN32</t>
  </si>
  <si>
    <t>Salvador</t>
  </si>
  <si>
    <t>BAIIY03</t>
  </si>
  <si>
    <t>BAIRJ03</t>
  </si>
  <si>
    <t>Irajuba</t>
  </si>
  <si>
    <t>BAMLG01</t>
  </si>
  <si>
    <t>Milagres</t>
  </si>
  <si>
    <t>CEAER30</t>
  </si>
  <si>
    <t>CECZHR1</t>
  </si>
  <si>
    <t>Abaiara</t>
  </si>
  <si>
    <t>CEIBI01</t>
  </si>
  <si>
    <t>Ibiapina</t>
  </si>
  <si>
    <t>CEPAR36</t>
  </si>
  <si>
    <t>DFSQS08</t>
  </si>
  <si>
    <t>Brasilia</t>
  </si>
  <si>
    <t>GOFKAR1</t>
  </si>
  <si>
    <t>Fazenda Nova</t>
  </si>
  <si>
    <t>MTCBA36</t>
  </si>
  <si>
    <t>Cuiaba</t>
  </si>
  <si>
    <t>MTCBA85</t>
  </si>
  <si>
    <t>NBRCEC0</t>
  </si>
  <si>
    <t>PBCRI05</t>
  </si>
  <si>
    <t>Joao Pessoa</t>
  </si>
  <si>
    <t>PBDES01</t>
  </si>
  <si>
    <t>Duas Estradas</t>
  </si>
  <si>
    <t>PBDMI01</t>
  </si>
  <si>
    <t>Damiao</t>
  </si>
  <si>
    <t>PBINA02</t>
  </si>
  <si>
    <t>Inga</t>
  </si>
  <si>
    <t>PBSDZ01</t>
  </si>
  <si>
    <t>Serra da Raiz</t>
  </si>
  <si>
    <t>PEBGB01</t>
  </si>
  <si>
    <t>Barra de Guabiraba</t>
  </si>
  <si>
    <t>PIINU01</t>
  </si>
  <si>
    <t>Inhuma</t>
  </si>
  <si>
    <t>RNTAI01</t>
  </si>
  <si>
    <t>Lagoa Nova</t>
  </si>
  <si>
    <t>TOLZN01</t>
  </si>
  <si>
    <t>Luzinopolis</t>
  </si>
  <si>
    <t>TOPUM01</t>
  </si>
  <si>
    <t>Pium</t>
  </si>
  <si>
    <t>ALJGO01</t>
  </si>
  <si>
    <t>ALSJJ01</t>
  </si>
  <si>
    <t>BASBF05</t>
  </si>
  <si>
    <t>PESTNR1</t>
  </si>
  <si>
    <t>PETQN01</t>
  </si>
  <si>
    <t>PIPPI91</t>
  </si>
  <si>
    <t>08_2A&lt;!</t>
  </si>
  <si>
    <t>48_2A&lt;!</t>
  </si>
  <si>
    <t>BAVCZ10</t>
  </si>
  <si>
    <t>COLONIA LEOPOLDINA</t>
  </si>
  <si>
    <t>SENHOR DO BONFIM</t>
  </si>
  <si>
    <t>ACAUA</t>
  </si>
  <si>
    <t>PHA</t>
  </si>
  <si>
    <t>TOMSA01</t>
  </si>
  <si>
    <t>PIBIL01</t>
  </si>
  <si>
    <t>BAITA66</t>
  </si>
  <si>
    <t>Cajazeirinhas</t>
  </si>
  <si>
    <t>Buriti dos Lopes</t>
  </si>
  <si>
    <t>Monte Santo do Tocantins</t>
  </si>
  <si>
    <t>Maceio</t>
  </si>
  <si>
    <t>PIBLH01</t>
  </si>
  <si>
    <t>Batalha</t>
  </si>
  <si>
    <t>GLO_GO</t>
  </si>
  <si>
    <t>MTAOS01</t>
  </si>
  <si>
    <t>PEEPH37</t>
  </si>
  <si>
    <t>SR-JGBJJ0</t>
  </si>
  <si>
    <t>SR-JGCNJ1</t>
  </si>
  <si>
    <t>SR-JGCNJ2</t>
  </si>
  <si>
    <t>SR-JGCRJ0</t>
  </si>
  <si>
    <t>SR-JGCRJ1</t>
  </si>
  <si>
    <t>SR-JGJDJ1</t>
  </si>
  <si>
    <t>SR-JGMCJ0</t>
  </si>
  <si>
    <t>SR-JGPDA1</t>
  </si>
  <si>
    <t>SR-JGPDA5</t>
  </si>
  <si>
    <t>SR-JGPDJ0</t>
  </si>
  <si>
    <t>SR-JGPDJ1</t>
  </si>
  <si>
    <t>SR-JGPDJ5</t>
  </si>
  <si>
    <t>SR-JGPDJ7</t>
  </si>
  <si>
    <t>SR-JGPZJ0</t>
  </si>
  <si>
    <t>SR-JGPZJ1</t>
  </si>
  <si>
    <t>SR-JGPZJ2</t>
  </si>
  <si>
    <t>SR-JGPZJ3</t>
  </si>
  <si>
    <t>SR-RCBGA0</t>
  </si>
  <si>
    <t>SR-RCIBJ1</t>
  </si>
  <si>
    <t>SR-RCMAJ1</t>
  </si>
  <si>
    <t>ARENAPOLIS</t>
  </si>
  <si>
    <t>SR-FLPC02</t>
  </si>
  <si>
    <t>PIJOS01</t>
  </si>
  <si>
    <t xml:space="preserve">JAICOS </t>
  </si>
  <si>
    <t>SR-MSAOJ3</t>
  </si>
  <si>
    <t>SR-IOIOJ3</t>
  </si>
  <si>
    <t>GOCTL06</t>
  </si>
  <si>
    <t>TOCCH01</t>
  </si>
  <si>
    <t>TOPAL02</t>
  </si>
  <si>
    <t>TOAGC90</t>
  </si>
  <si>
    <t>TOSCU01</t>
  </si>
  <si>
    <t>CATALÃO</t>
  </si>
  <si>
    <t>PALMEIRANTE</t>
  </si>
  <si>
    <t>ARAGUACEMA</t>
  </si>
  <si>
    <t>SUCUPIRA</t>
  </si>
  <si>
    <t>PESZC01</t>
  </si>
  <si>
    <t>Santa Cruz do Capibaribe</t>
  </si>
  <si>
    <t>JRV_GO</t>
  </si>
  <si>
    <t>ASA</t>
  </si>
  <si>
    <t>BMY</t>
  </si>
  <si>
    <t>BNN</t>
  </si>
  <si>
    <t>CAC</t>
  </si>
  <si>
    <t>CSE</t>
  </si>
  <si>
    <t>CSO</t>
  </si>
  <si>
    <t>JAL</t>
  </si>
  <si>
    <t>JJD</t>
  </si>
  <si>
    <t>PEEAAR1</t>
  </si>
  <si>
    <t>PLH</t>
  </si>
  <si>
    <t>SR-FLPKJ0</t>
  </si>
  <si>
    <t>STM</t>
  </si>
  <si>
    <t>VITORIA DE SANTO ANTÃO</t>
  </si>
  <si>
    <t>BAJCN08</t>
  </si>
  <si>
    <t>KEY</t>
  </si>
  <si>
    <t>IGA</t>
  </si>
  <si>
    <t>LQD</t>
  </si>
  <si>
    <t>PAT</t>
  </si>
  <si>
    <t>PFE</t>
  </si>
  <si>
    <t>SBS</t>
  </si>
  <si>
    <t>TOG</t>
  </si>
  <si>
    <t>SOLEDADE</t>
  </si>
  <si>
    <t>CUIABA</t>
  </si>
  <si>
    <t>INGAZEIRA</t>
  </si>
  <si>
    <t>PAU DE FERROS</t>
  </si>
  <si>
    <t>CRB</t>
  </si>
  <si>
    <t>GGT</t>
  </si>
  <si>
    <t>PEL</t>
  </si>
  <si>
    <t>PIN</t>
  </si>
  <si>
    <t>AAI</t>
  </si>
  <si>
    <t xml:space="preserve">ALM
</t>
  </si>
  <si>
    <t>AVO</t>
  </si>
  <si>
    <t>CRD</t>
  </si>
  <si>
    <t>IAT</t>
  </si>
  <si>
    <t>IJR</t>
  </si>
  <si>
    <t>JCV</t>
  </si>
  <si>
    <t>JTC</t>
  </si>
  <si>
    <t>MCQ</t>
  </si>
  <si>
    <t>POK</t>
  </si>
  <si>
    <t>RRR</t>
  </si>
  <si>
    <t>SLD</t>
  </si>
  <si>
    <t>SLO</t>
  </si>
  <si>
    <t>SNC</t>
  </si>
  <si>
    <t>SOY</t>
  </si>
  <si>
    <t>TAB</t>
  </si>
  <si>
    <t>XAC</t>
  </si>
  <si>
    <t>MATA DE SÃO JOÃO</t>
  </si>
  <si>
    <t>BAFSA48</t>
  </si>
  <si>
    <t>BAFSA45</t>
  </si>
  <si>
    <t>BAITO03</t>
  </si>
  <si>
    <t>ITORORO</t>
  </si>
  <si>
    <t>CEAER33</t>
  </si>
  <si>
    <t>Avelino Lopes</t>
  </si>
  <si>
    <t>Correntes</t>
  </si>
  <si>
    <t>Iati</t>
  </si>
  <si>
    <t>Itaíba</t>
  </si>
  <si>
    <t>Jaboatão dos Guararapes</t>
  </si>
  <si>
    <t>Jati</t>
  </si>
  <si>
    <t>Natal</t>
  </si>
  <si>
    <t>Saloá</t>
  </si>
  <si>
    <t>Santana do Mundaú</t>
  </si>
  <si>
    <t>Sanharó</t>
  </si>
  <si>
    <t>Aroeiras do Itaim</t>
  </si>
  <si>
    <t>PBVAR03</t>
  </si>
  <si>
    <t>BACARR3</t>
  </si>
  <si>
    <t>BAMCH05</t>
  </si>
  <si>
    <t>MTMLY01</t>
  </si>
  <si>
    <t>PECHH01</t>
  </si>
  <si>
    <t>PBCGE12</t>
  </si>
  <si>
    <t>PEAFO02</t>
  </si>
  <si>
    <t>BABON14</t>
  </si>
  <si>
    <t>ANB</t>
  </si>
  <si>
    <t>JCM</t>
  </si>
  <si>
    <t>ENB</t>
  </si>
  <si>
    <t>MORRO DO CHAPÉU</t>
  </si>
  <si>
    <t>CANHOTINHO</t>
  </si>
  <si>
    <t>AFRÂNIO</t>
  </si>
  <si>
    <t>Anísio de Abreu</t>
  </si>
  <si>
    <t>João Câmara</t>
  </si>
  <si>
    <t>SERTÂNIA</t>
  </si>
  <si>
    <t>CÂNDIDO SALES</t>
  </si>
  <si>
    <t>TAPIRAMUTÁ</t>
  </si>
  <si>
    <t>Belo Jardim</t>
  </si>
  <si>
    <t>CAPISTRANO</t>
  </si>
  <si>
    <t>CEAER13</t>
  </si>
  <si>
    <t>SR-RCGCJ3</t>
  </si>
  <si>
    <t>PIEEV90</t>
  </si>
  <si>
    <t>ALMGI05</t>
  </si>
  <si>
    <t>CEAER02</t>
  </si>
  <si>
    <t>PBVAR27</t>
  </si>
  <si>
    <t>PBCRI06</t>
  </si>
  <si>
    <t>CEPAC02</t>
  </si>
  <si>
    <t>ALCAS24</t>
  </si>
  <si>
    <t>ALCAS16</t>
  </si>
  <si>
    <t>RNLNV02</t>
  </si>
  <si>
    <t>BAITA23</t>
  </si>
  <si>
    <t>SR-JGMRJ0</t>
  </si>
  <si>
    <t>SR-JGPZJ9</t>
  </si>
  <si>
    <t>ELESBÃO VELOSO</t>
  </si>
  <si>
    <t>Carnaíba</t>
  </si>
  <si>
    <t>JABOATAO DOS GUARARAPES</t>
  </si>
  <si>
    <t>BAMJO07</t>
  </si>
  <si>
    <t>CEEDS01</t>
  </si>
  <si>
    <t>RNPNG01</t>
  </si>
  <si>
    <t>PBCRI02</t>
  </si>
  <si>
    <t>RNLNV06</t>
  </si>
  <si>
    <t>CEPIC11</t>
  </si>
  <si>
    <t>PBVAR06</t>
  </si>
  <si>
    <t>PBVAR01</t>
  </si>
  <si>
    <t>RNPNG07</t>
  </si>
  <si>
    <t>PEMDL06</t>
  </si>
  <si>
    <t>PEBOV23</t>
  </si>
  <si>
    <t>RNLNV16</t>
  </si>
  <si>
    <t>PEBVT31</t>
  </si>
  <si>
    <t>PBTAB01</t>
  </si>
  <si>
    <t>ALFAR01</t>
  </si>
  <si>
    <t>PBTAB02</t>
  </si>
  <si>
    <t>PBCRI30</t>
  </si>
  <si>
    <t>PBCRI33</t>
  </si>
  <si>
    <t>PEIPS32</t>
  </si>
  <si>
    <t>PEMDL05</t>
  </si>
  <si>
    <t>PEIPS28</t>
  </si>
  <si>
    <t>CEEDS26</t>
  </si>
  <si>
    <t>PEGOI02</t>
  </si>
  <si>
    <t>CEPIC04</t>
  </si>
  <si>
    <t>BAITA16</t>
  </si>
  <si>
    <t>BACAR22</t>
  </si>
  <si>
    <t>BAITA02</t>
  </si>
  <si>
    <t>BACAR16</t>
  </si>
  <si>
    <t>BACEN02</t>
  </si>
  <si>
    <t>BAITA09</t>
  </si>
  <si>
    <t>BAITA10</t>
  </si>
  <si>
    <t>BAITA47</t>
  </si>
  <si>
    <t>BAITA58</t>
  </si>
  <si>
    <t>BAITA40</t>
  </si>
  <si>
    <t>BAITA34</t>
  </si>
  <si>
    <t>BAITA32</t>
  </si>
  <si>
    <t>PBCBD07</t>
  </si>
  <si>
    <t>BAMJOR2</t>
  </si>
  <si>
    <t>ALBDG01</t>
  </si>
  <si>
    <t>BACAR54</t>
  </si>
  <si>
    <t>BACARR2</t>
  </si>
  <si>
    <t>BAITA13</t>
  </si>
  <si>
    <t>ALFAR03</t>
  </si>
  <si>
    <t>ALFAR27</t>
  </si>
  <si>
    <t>BAITA21</t>
  </si>
  <si>
    <t>PEEPH38</t>
  </si>
  <si>
    <t>FDT</t>
  </si>
  <si>
    <t>XXQ</t>
  </si>
  <si>
    <t>ANGICOS</t>
  </si>
  <si>
    <t>AGO</t>
  </si>
  <si>
    <t>PCT</t>
  </si>
  <si>
    <t>AMC</t>
  </si>
  <si>
    <t>DAV</t>
  </si>
  <si>
    <t>AXX</t>
  </si>
  <si>
    <t>OAF</t>
  </si>
  <si>
    <t>Olho d'Água das Flores</t>
  </si>
  <si>
    <t>XCS</t>
  </si>
  <si>
    <t>PYC</t>
  </si>
  <si>
    <t>Pilar</t>
  </si>
  <si>
    <t>FOP</t>
  </si>
  <si>
    <t>TRA</t>
  </si>
  <si>
    <t>Maceió</t>
  </si>
  <si>
    <t>LUIS EDUARDO MAGALHAES</t>
  </si>
  <si>
    <t>XIQUE XIQUE</t>
  </si>
  <si>
    <t>CEALDS1</t>
  </si>
  <si>
    <t>RNLNV04</t>
  </si>
  <si>
    <t>BAO</t>
  </si>
  <si>
    <t>TPS</t>
  </si>
  <si>
    <t>NBA</t>
  </si>
  <si>
    <t>SDR</t>
  </si>
  <si>
    <t>SDO</t>
  </si>
  <si>
    <t>VOT</t>
  </si>
  <si>
    <t>XAH</t>
  </si>
  <si>
    <t>MUN</t>
  </si>
  <si>
    <t>SHM</t>
  </si>
  <si>
    <t>SMK</t>
  </si>
  <si>
    <t>HEQ</t>
  </si>
  <si>
    <t>Brejão</t>
  </si>
  <si>
    <t>Teresina</t>
  </si>
  <si>
    <t>Solidão</t>
  </si>
  <si>
    <t>Mulungu</t>
  </si>
  <si>
    <t>Camaragibe</t>
  </si>
  <si>
    <t xml:space="preserve">SÃO DESIDERIO </t>
  </si>
  <si>
    <t>LARANJEIRAS</t>
  </si>
  <si>
    <t>SR-RCBVJ7</t>
  </si>
  <si>
    <t>SR-RCRCJ3</t>
  </si>
  <si>
    <t>CJB</t>
  </si>
  <si>
    <t>ICO</t>
  </si>
  <si>
    <t>João Pessoa</t>
  </si>
  <si>
    <t>HEL</t>
  </si>
  <si>
    <t>GLO</t>
  </si>
  <si>
    <t>Goiana</t>
  </si>
  <si>
    <t>APARECIDA DE GOIANIA</t>
  </si>
  <si>
    <t>ALCLI46</t>
  </si>
  <si>
    <t>Execução por empreitada de obras de construção civil e elétrica – adequação de infraestrutura, instalação e montagem de equipamentos de rede de telefonia celular, conforme pedidos de compra abaixo:</t>
  </si>
  <si>
    <t>SR-FLJAJ0</t>
  </si>
  <si>
    <t>SR-FLRTJ3</t>
  </si>
  <si>
    <t>BAFSA03</t>
  </si>
  <si>
    <t>DFSOB03</t>
  </si>
  <si>
    <t>MTSSZ14</t>
  </si>
  <si>
    <t>BRASILI</t>
  </si>
  <si>
    <t>GOO</t>
  </si>
  <si>
    <t>ETN</t>
  </si>
  <si>
    <t>TPI</t>
  </si>
  <si>
    <t>JAT</t>
  </si>
  <si>
    <t>JGA</t>
  </si>
  <si>
    <t>REZ</t>
  </si>
  <si>
    <t>Recife</t>
  </si>
  <si>
    <t>Rio Largo</t>
  </si>
  <si>
    <t>Paulista</t>
  </si>
  <si>
    <t>CEAER06</t>
  </si>
  <si>
    <t>RNALC04</t>
  </si>
  <si>
    <t>PBVAR11</t>
  </si>
  <si>
    <t>BACAR31</t>
  </si>
  <si>
    <t>BACAR46</t>
  </si>
  <si>
    <t>CEPAR34</t>
  </si>
  <si>
    <t>CEMES01</t>
  </si>
  <si>
    <t>BAAMA86</t>
  </si>
  <si>
    <t>BACAR44</t>
  </si>
  <si>
    <t>BAITA31</t>
  </si>
  <si>
    <t>BABAR31</t>
  </si>
  <si>
    <t>SOF</t>
  </si>
  <si>
    <t>CAE</t>
  </si>
  <si>
    <t>LSA</t>
  </si>
  <si>
    <t>INO</t>
  </si>
  <si>
    <t>Crato</t>
  </si>
  <si>
    <t>Lagoa Salgada</t>
  </si>
  <si>
    <t>Ipojuca</t>
  </si>
  <si>
    <t>153</t>
  </si>
  <si>
    <t>OLT</t>
  </si>
  <si>
    <t>RNNSF02</t>
  </si>
  <si>
    <t>BAITA57</t>
  </si>
  <si>
    <t>BAITA36</t>
  </si>
  <si>
    <t>BAITA65</t>
  </si>
  <si>
    <t>BAITA14</t>
  </si>
  <si>
    <t>ALCAS06</t>
  </si>
  <si>
    <t>ALFARI1</t>
  </si>
  <si>
    <t>CEAER04</t>
  </si>
  <si>
    <t>BACARR7</t>
  </si>
  <si>
    <t>CEJNE02</t>
  </si>
  <si>
    <t>BAITA03</t>
  </si>
  <si>
    <t>BAITA56</t>
  </si>
  <si>
    <t>BACARR4</t>
  </si>
  <si>
    <t>BACAJ06</t>
  </si>
  <si>
    <t>BAITA88</t>
  </si>
  <si>
    <t>PCU</t>
  </si>
  <si>
    <t>IAD</t>
  </si>
  <si>
    <t>NOR</t>
  </si>
  <si>
    <t>BAAMA30</t>
  </si>
  <si>
    <t>PEIPS06</t>
  </si>
  <si>
    <t>PENDT25</t>
  </si>
  <si>
    <t>PEIPS07</t>
  </si>
  <si>
    <t>VAL</t>
  </si>
  <si>
    <t>SM6</t>
  </si>
  <si>
    <t>SOB</t>
  </si>
  <si>
    <t>SHR</t>
  </si>
  <si>
    <t>CLM</t>
  </si>
  <si>
    <t>ACL</t>
  </si>
  <si>
    <t>DHE</t>
  </si>
  <si>
    <t>RNALC09</t>
  </si>
  <si>
    <t>RNALC13</t>
  </si>
  <si>
    <t>RNLNV03</t>
  </si>
  <si>
    <t>PEMDL01</t>
  </si>
  <si>
    <t>CEPIC07</t>
  </si>
  <si>
    <t>CEEDS31</t>
  </si>
  <si>
    <t>CEPIC08</t>
  </si>
  <si>
    <t>BACAR08</t>
  </si>
  <si>
    <t>CEPAC03</t>
  </si>
  <si>
    <t>BACAR02</t>
  </si>
  <si>
    <t>BAITA22</t>
  </si>
  <si>
    <t>BALFS01</t>
  </si>
  <si>
    <t>BACAR13</t>
  </si>
  <si>
    <t>BAITA17</t>
  </si>
  <si>
    <t>BABON61</t>
  </si>
  <si>
    <t>BABON34</t>
  </si>
  <si>
    <t>PEIPS29</t>
  </si>
  <si>
    <t>BACARR5</t>
  </si>
  <si>
    <t>FPI</t>
  </si>
  <si>
    <t>OUG</t>
  </si>
  <si>
    <t>JSI</t>
  </si>
  <si>
    <t>VTA</t>
  </si>
  <si>
    <t>Pacatuba</t>
  </si>
  <si>
    <t>Caucaia</t>
  </si>
  <si>
    <t>ARÊS</t>
  </si>
  <si>
    <t>Juazeiro do Norte</t>
  </si>
  <si>
    <t xml:space="preserve">GOIANIA </t>
  </si>
  <si>
    <t>SOBRADINHO</t>
  </si>
  <si>
    <t>DFSQND8</t>
  </si>
  <si>
    <t>TOPALR2</t>
  </si>
  <si>
    <t>PALMAS</t>
  </si>
  <si>
    <t>BAFSA41</t>
  </si>
  <si>
    <t>BASBF11</t>
  </si>
  <si>
    <t>BASBF10</t>
  </si>
  <si>
    <t>ALCAS18</t>
  </si>
  <si>
    <t>BACEN30</t>
  </si>
  <si>
    <t>ALFAR38</t>
  </si>
  <si>
    <t>BACAB50</t>
  </si>
  <si>
    <t>SR-RCRCJ0</t>
  </si>
  <si>
    <t>SR-PE30CW</t>
  </si>
  <si>
    <t>SR-PE27CW</t>
  </si>
  <si>
    <t>BABRO14</t>
  </si>
  <si>
    <t>ALCLI07</t>
  </si>
  <si>
    <t>ALFAR14</t>
  </si>
  <si>
    <t>SD-RCSAA2</t>
  </si>
  <si>
    <t>BAAMA23</t>
  </si>
  <si>
    <t>PEPUI15</t>
  </si>
  <si>
    <t>TOPMJ23</t>
  </si>
  <si>
    <t>RNVLR01</t>
  </si>
  <si>
    <t>VILA FLOR</t>
  </si>
  <si>
    <t>BAITA53</t>
  </si>
  <si>
    <t>CEPIC05</t>
  </si>
  <si>
    <t>SR-PE25CW</t>
  </si>
  <si>
    <t>ALBLM90</t>
  </si>
  <si>
    <t>BABON11</t>
  </si>
  <si>
    <t>PEMDL34</t>
  </si>
  <si>
    <t>Sim</t>
  </si>
  <si>
    <t>CNR</t>
  </si>
  <si>
    <t>JQP</t>
  </si>
  <si>
    <t>BDM</t>
  </si>
  <si>
    <t>JTR</t>
  </si>
  <si>
    <t>MNE</t>
  </si>
  <si>
    <t>SGI</t>
  </si>
  <si>
    <t>PNT</t>
  </si>
  <si>
    <t>BOC</t>
  </si>
  <si>
    <t>JDZ</t>
  </si>
  <si>
    <t>APL</t>
  </si>
  <si>
    <t>BRJ</t>
  </si>
  <si>
    <t>PGR</t>
  </si>
  <si>
    <t>LSL</t>
  </si>
  <si>
    <t>LGM</t>
  </si>
  <si>
    <t>SSJ</t>
  </si>
  <si>
    <t>OBL</t>
  </si>
  <si>
    <t>AGP</t>
  </si>
  <si>
    <t>XCN</t>
  </si>
  <si>
    <t>BAT</t>
  </si>
  <si>
    <t>Joaquim Pires</t>
  </si>
  <si>
    <t>Monte Alegre</t>
  </si>
  <si>
    <t>SALGUEIRO</t>
  </si>
  <si>
    <t>Paranatama</t>
  </si>
  <si>
    <t>Bom Conselho</t>
  </si>
  <si>
    <t>Petrolina</t>
  </si>
  <si>
    <t>Baturité</t>
  </si>
  <si>
    <t>CATENDE</t>
  </si>
  <si>
    <t>VDO</t>
  </si>
  <si>
    <t>QNO</t>
  </si>
  <si>
    <t>PMQ</t>
  </si>
  <si>
    <t>Arapiraca</t>
  </si>
  <si>
    <t>SD-RCSA</t>
  </si>
  <si>
    <t>SR-RCIMJ7</t>
  </si>
  <si>
    <t>DFSQNY9</t>
  </si>
  <si>
    <t>DFSQS46</t>
  </si>
  <si>
    <t>DFTAGJ3</t>
  </si>
  <si>
    <t>CEICAR1</t>
  </si>
  <si>
    <t>BAFSA16</t>
  </si>
  <si>
    <t>BAFSA11</t>
  </si>
  <si>
    <t>BAFSA47</t>
  </si>
  <si>
    <t>BAFSA06</t>
  </si>
  <si>
    <t>BAITA24</t>
  </si>
  <si>
    <t>BAFSA52</t>
  </si>
  <si>
    <t>BABRO21</t>
  </si>
  <si>
    <t>BAAMA61</t>
  </si>
  <si>
    <t>BAPGR27</t>
  </si>
  <si>
    <t>BAITA44</t>
  </si>
  <si>
    <t>BABON56</t>
  </si>
  <si>
    <t>BACAB41</t>
  </si>
  <si>
    <t>BABON38</t>
  </si>
  <si>
    <t>MAL</t>
  </si>
  <si>
    <t>MDD</t>
  </si>
  <si>
    <t>SGJ</t>
  </si>
  <si>
    <t>AST</t>
  </si>
  <si>
    <t>BOA</t>
  </si>
  <si>
    <t>CPV</t>
  </si>
  <si>
    <t>DAD</t>
  </si>
  <si>
    <t>DSR</t>
  </si>
  <si>
    <t>GSL</t>
  </si>
  <si>
    <t>ALFAR58</t>
  </si>
  <si>
    <t>ALCAS13</t>
  </si>
  <si>
    <t>ALFAR40</t>
  </si>
  <si>
    <t>ALFAR56</t>
  </si>
  <si>
    <t>ALFAR17</t>
  </si>
  <si>
    <t>JGT</t>
  </si>
  <si>
    <t>PMC</t>
  </si>
  <si>
    <t>BAFSA24</t>
  </si>
  <si>
    <t>MIR</t>
  </si>
  <si>
    <t>SR-FLICJ2</t>
  </si>
  <si>
    <t>GUP</t>
  </si>
  <si>
    <t>LIN</t>
  </si>
  <si>
    <t>RNALC15</t>
  </si>
  <si>
    <t>RNLNV21</t>
  </si>
  <si>
    <t>BAAMA89</t>
  </si>
  <si>
    <t>PEIPS12</t>
  </si>
  <si>
    <t>RNALC17</t>
  </si>
  <si>
    <t>RNLNV09</t>
  </si>
  <si>
    <t>UND</t>
  </si>
  <si>
    <t>GNO</t>
  </si>
  <si>
    <t>NBR</t>
  </si>
  <si>
    <t>LDC</t>
  </si>
  <si>
    <t>KAS</t>
  </si>
  <si>
    <t>IRI</t>
  </si>
  <si>
    <t>FAL</t>
  </si>
  <si>
    <t>Malta</t>
  </si>
  <si>
    <t>Mossoró</t>
  </si>
  <si>
    <t>Sao Goncalo do Amarante</t>
  </si>
  <si>
    <t>Condado</t>
  </si>
  <si>
    <t>GIRAU DO PONCIANO</t>
  </si>
  <si>
    <t>LIMOEIRO DO NORTE</t>
  </si>
  <si>
    <t>União</t>
  </si>
  <si>
    <t>Granjeiro</t>
  </si>
  <si>
    <t>Cariré</t>
  </si>
  <si>
    <t>FLORESTA AZUL</t>
  </si>
  <si>
    <t>DFTAG0G</t>
  </si>
  <si>
    <t>DFSQNC9</t>
  </si>
  <si>
    <t>DFSQS18</t>
  </si>
  <si>
    <t>SR-UBUBJ0</t>
  </si>
  <si>
    <t>BAFSA04</t>
  </si>
  <si>
    <t>BABAR37</t>
  </si>
  <si>
    <t>BABON50</t>
  </si>
  <si>
    <t>BABRO25</t>
  </si>
  <si>
    <t>BAAMA64</t>
  </si>
  <si>
    <t>BAITA42</t>
  </si>
  <si>
    <t>BACABA8</t>
  </si>
  <si>
    <t>CEAER05</t>
  </si>
  <si>
    <t>BAFSA49</t>
  </si>
  <si>
    <t>BAITA59</t>
  </si>
  <si>
    <t>BAFSA05</t>
  </si>
  <si>
    <t>SR-RCCA00</t>
  </si>
  <si>
    <t>CEAIB90</t>
  </si>
  <si>
    <t>BAAMA51</t>
  </si>
  <si>
    <t>BAVIV02</t>
  </si>
  <si>
    <t>BAFSA30</t>
  </si>
  <si>
    <t>BAJUA23</t>
  </si>
  <si>
    <t>PEBVT38</t>
  </si>
  <si>
    <t>RNALC02</t>
  </si>
  <si>
    <t>PEPTA05</t>
  </si>
  <si>
    <t>PECRU21</t>
  </si>
  <si>
    <t>PEBVT34</t>
  </si>
  <si>
    <t>PEPTA01</t>
  </si>
  <si>
    <t>PEPTA17</t>
  </si>
  <si>
    <t>PEPTA96</t>
  </si>
  <si>
    <t>CEPIC09</t>
  </si>
  <si>
    <t>BACIS02</t>
  </si>
  <si>
    <t>CEPAR02</t>
  </si>
  <si>
    <t>CEPAR13</t>
  </si>
  <si>
    <t>PBINA01</t>
  </si>
  <si>
    <t>BAFSA21</t>
  </si>
  <si>
    <t>RNPTB05</t>
  </si>
  <si>
    <t>PEJBO12</t>
  </si>
  <si>
    <t>CEPIC13</t>
  </si>
  <si>
    <t>BAJUA31</t>
  </si>
  <si>
    <t>CEPAR08</t>
  </si>
  <si>
    <t>CEPIC06</t>
  </si>
  <si>
    <t>RNPTR14</t>
  </si>
  <si>
    <t>PEJBO22</t>
  </si>
  <si>
    <t>RNLNVI2</t>
  </si>
  <si>
    <t>BABON21</t>
  </si>
  <si>
    <t>BABON07</t>
  </si>
  <si>
    <t>PBCZS01</t>
  </si>
  <si>
    <t>PEJBO13</t>
  </si>
  <si>
    <t>BAJUA25</t>
  </si>
  <si>
    <t>RNPTGI1</t>
  </si>
  <si>
    <t>RNPTR04</t>
  </si>
  <si>
    <t>NBRSEI0</t>
  </si>
  <si>
    <t>INGÁ</t>
  </si>
  <si>
    <t>DIVINA PASTORA</t>
  </si>
  <si>
    <t>AVM</t>
  </si>
  <si>
    <t>PECHD01</t>
  </si>
  <si>
    <t>Sirinhaém</t>
  </si>
  <si>
    <t>CHÃ GRANDE</t>
  </si>
  <si>
    <t>SAP</t>
  </si>
  <si>
    <t>RFG</t>
  </si>
  <si>
    <t>JRP</t>
  </si>
  <si>
    <t>KRV</t>
  </si>
  <si>
    <t>LBD</t>
  </si>
  <si>
    <t>LUE</t>
  </si>
  <si>
    <t>MSE</t>
  </si>
  <si>
    <t>CNJ</t>
  </si>
  <si>
    <t>PAZ</t>
  </si>
  <si>
    <t>BAD</t>
  </si>
  <si>
    <t>MGB</t>
  </si>
  <si>
    <t>FTS</t>
  </si>
  <si>
    <t>JQG</t>
  </si>
  <si>
    <t>Caiçara do Rio do Vento</t>
  </si>
  <si>
    <t>Lucena</t>
  </si>
  <si>
    <t>Conde</t>
  </si>
  <si>
    <t>JDP</t>
  </si>
  <si>
    <t>SR-JGCRJ5</t>
  </si>
  <si>
    <t>PEIPS08</t>
  </si>
  <si>
    <t>BAJCN07</t>
  </si>
  <si>
    <t>CEPAR23</t>
  </si>
  <si>
    <t>RNTUS01</t>
  </si>
  <si>
    <t>SR-FLMRJ7</t>
  </si>
  <si>
    <t>TOUROS</t>
  </si>
  <si>
    <t>CEESB08</t>
  </si>
  <si>
    <t>ALPCV02</t>
  </si>
  <si>
    <t>TOTAQ02</t>
  </si>
  <si>
    <t>MTVAZ07</t>
  </si>
  <si>
    <t>SPD</t>
  </si>
  <si>
    <t>DQO</t>
  </si>
  <si>
    <t>VARZEA GRANDE</t>
  </si>
  <si>
    <t>MPL</t>
  </si>
  <si>
    <t>SQR</t>
  </si>
  <si>
    <t>POT</t>
  </si>
  <si>
    <t>TOXMB02</t>
  </si>
  <si>
    <t>SEQ</t>
  </si>
  <si>
    <t>KRL</t>
  </si>
  <si>
    <t>TOSMG01</t>
  </si>
  <si>
    <t>Caracol</t>
  </si>
  <si>
    <t>TOBIAS BARRETO</t>
  </si>
  <si>
    <t>Xambioa</t>
  </si>
  <si>
    <t>Sao Raimundo Nonato</t>
  </si>
  <si>
    <t>Sao Miguel do Tocantins</t>
  </si>
  <si>
    <t>BAFSA07</t>
  </si>
  <si>
    <t>BAFSA67</t>
  </si>
  <si>
    <t>BAITA43</t>
  </si>
  <si>
    <t>BAAMA90</t>
  </si>
  <si>
    <t>IIC</t>
  </si>
  <si>
    <t>BAFSA19</t>
  </si>
  <si>
    <t>BAF</t>
  </si>
  <si>
    <t>AIR</t>
  </si>
  <si>
    <t>JCH</t>
  </si>
  <si>
    <t>PECRU19</t>
  </si>
  <si>
    <t>BAFSA71</t>
  </si>
  <si>
    <t>BALAR13</t>
  </si>
  <si>
    <t>BAMJO01</t>
  </si>
  <si>
    <t>BACZM09</t>
  </si>
  <si>
    <t>BAIBP05</t>
  </si>
  <si>
    <t>BAIPI13</t>
  </si>
  <si>
    <t>BACAR07</t>
  </si>
  <si>
    <t>BACCT05</t>
  </si>
  <si>
    <t>BARIR01</t>
  </si>
  <si>
    <t>PECRU52</t>
  </si>
  <si>
    <t>BAGVM02</t>
  </si>
  <si>
    <t>BACZM05</t>
  </si>
  <si>
    <t>BARIA03</t>
  </si>
  <si>
    <t>PBSOB01</t>
  </si>
  <si>
    <t>CEPAR14</t>
  </si>
  <si>
    <t>BAIPI14</t>
  </si>
  <si>
    <t>RNPTG02</t>
  </si>
  <si>
    <t>PBGBI01</t>
  </si>
  <si>
    <t>BAAMA22</t>
  </si>
  <si>
    <t>ALCLI23</t>
  </si>
  <si>
    <t>CEPAR17</t>
  </si>
  <si>
    <t>ALCAS14</t>
  </si>
  <si>
    <t>BAMTB01</t>
  </si>
  <si>
    <t>BABRK03</t>
  </si>
  <si>
    <t>AAC</t>
  </si>
  <si>
    <t>OLF</t>
  </si>
  <si>
    <t>RNG</t>
  </si>
  <si>
    <t>OLG</t>
  </si>
  <si>
    <t>IUA</t>
  </si>
  <si>
    <t>BAC</t>
  </si>
  <si>
    <t>JMG</t>
  </si>
  <si>
    <t>SERRA</t>
  </si>
  <si>
    <t>LAMARÃO</t>
  </si>
  <si>
    <t>CRUZ DAS ALMAS</t>
  </si>
  <si>
    <t>INHAMBUPE</t>
  </si>
  <si>
    <t>IPIRÁ</t>
  </si>
  <si>
    <t>CONCEIÇÃO DO COITÉ</t>
  </si>
  <si>
    <t>RIO REAL</t>
  </si>
  <si>
    <t>CABACEIRAS DO PARAGUAÇU</t>
  </si>
  <si>
    <t>RIACHÃO DO JACUÍPE</t>
  </si>
  <si>
    <t>SOBRADO</t>
  </si>
  <si>
    <t>MURITIBA</t>
  </si>
  <si>
    <t>BARROCAS</t>
  </si>
  <si>
    <t>RIO NEGRO</t>
  </si>
  <si>
    <t>Itatuba</t>
  </si>
  <si>
    <t>Jardim de Angicos</t>
  </si>
  <si>
    <t>ES</t>
  </si>
  <si>
    <t>SR-FLMJJ1</t>
  </si>
  <si>
    <t>SR-FLAWJ0</t>
  </si>
  <si>
    <t>SR-FLJBJ2</t>
  </si>
  <si>
    <t>DFTAG26</t>
  </si>
  <si>
    <t>DFGMA50</t>
  </si>
  <si>
    <t>SR-MCTBJ2</t>
  </si>
  <si>
    <t>SR-MCFAJ2</t>
  </si>
  <si>
    <t>SR-JPBSJ4</t>
  </si>
  <si>
    <t>SR-MCSAJ0</t>
  </si>
  <si>
    <t>SR-JPUNJ1</t>
  </si>
  <si>
    <t>SR-MCPRJ0</t>
  </si>
  <si>
    <t>SR-MCANJ0</t>
  </si>
  <si>
    <t>SR-JPMIJ4</t>
  </si>
  <si>
    <t>SR-JPCXJ2</t>
  </si>
  <si>
    <t>SR-JPMGJ7</t>
  </si>
  <si>
    <t>SR-NTPDJ0</t>
  </si>
  <si>
    <t>SR-CRMNJ1</t>
  </si>
  <si>
    <t>SR-FLPFJ0</t>
  </si>
  <si>
    <t>SR-FLPFJ1</t>
  </si>
  <si>
    <t>SR-CRVSJ0</t>
  </si>
  <si>
    <t>SR-CRCEJ2</t>
  </si>
  <si>
    <t>SR-FLJQJ8</t>
  </si>
  <si>
    <t>SR-FLCBJ2</t>
  </si>
  <si>
    <t>SR-EUEUJ6</t>
  </si>
  <si>
    <t>SR-CRMNJ0</t>
  </si>
  <si>
    <t>SR-FLDUJ1</t>
  </si>
  <si>
    <t>SR-FLJQJ2</t>
  </si>
  <si>
    <t>SR-FLPSJ0</t>
  </si>
  <si>
    <t>JOAO PESSOA</t>
  </si>
  <si>
    <t>DFSQSF4</t>
  </si>
  <si>
    <t>PNY</t>
  </si>
  <si>
    <t>FLI</t>
  </si>
  <si>
    <t>CZS</t>
  </si>
  <si>
    <t>BABAR14</t>
  </si>
  <si>
    <t>CEIAG02</t>
  </si>
  <si>
    <t>DQT</t>
  </si>
  <si>
    <t>CEACX01</t>
  </si>
  <si>
    <t>SEB</t>
  </si>
  <si>
    <t>JYP</t>
  </si>
  <si>
    <t>AGA</t>
  </si>
  <si>
    <t>POQ</t>
  </si>
  <si>
    <t>QNP</t>
  </si>
  <si>
    <t>JRV</t>
  </si>
  <si>
    <t>ALCÂNTARAS</t>
  </si>
  <si>
    <t>São Sebastião</t>
  </si>
  <si>
    <t>Araripe</t>
  </si>
  <si>
    <t>QUIRINÓPOLIS</t>
  </si>
  <si>
    <t>SGH</t>
  </si>
  <si>
    <t>UAL</t>
  </si>
  <si>
    <t>LEL</t>
  </si>
  <si>
    <t>IIR</t>
  </si>
  <si>
    <t>ARI</t>
  </si>
  <si>
    <t>IBICUI</t>
  </si>
  <si>
    <t>LZQ</t>
  </si>
  <si>
    <t>TRG</t>
  </si>
  <si>
    <t>DND</t>
  </si>
  <si>
    <t>RNGME01</t>
  </si>
  <si>
    <t>SR-OLRD</t>
  </si>
  <si>
    <t>TEREZOPOLIS DE GOIAS</t>
  </si>
  <si>
    <t>DENISE</t>
  </si>
  <si>
    <t>LUZIANIA</t>
  </si>
  <si>
    <t>DFSOB28</t>
  </si>
  <si>
    <t>BAFSA01</t>
  </si>
  <si>
    <t>BAPGU01</t>
  </si>
  <si>
    <t>BAVAL03</t>
  </si>
  <si>
    <t>BAAMAC7</t>
  </si>
  <si>
    <t>BAFSA70</t>
  </si>
  <si>
    <t>CECEN01</t>
  </si>
  <si>
    <t>BAFSAI6</t>
  </si>
  <si>
    <t>BAFSA36</t>
  </si>
  <si>
    <t>BAFSA53</t>
  </si>
  <si>
    <t>PEBVT32</t>
  </si>
  <si>
    <t>PEBVT40</t>
  </si>
  <si>
    <t>PEBVT37</t>
  </si>
  <si>
    <t>PBTABI1</t>
  </si>
  <si>
    <t>PEBVT98</t>
  </si>
  <si>
    <t>PEPTA03</t>
  </si>
  <si>
    <t>BAAMR01</t>
  </si>
  <si>
    <t>BAPGU17</t>
  </si>
  <si>
    <t>BASAJ04</t>
  </si>
  <si>
    <t>BAETR05</t>
  </si>
  <si>
    <t>BACAJ24</t>
  </si>
  <si>
    <t>BACAM01</t>
  </si>
  <si>
    <t>BAESP01</t>
  </si>
  <si>
    <t>BAPGU04</t>
  </si>
  <si>
    <t>BASAJ11</t>
  </si>
  <si>
    <t>BAJCN06</t>
  </si>
  <si>
    <t>ALCLI01</t>
  </si>
  <si>
    <t>ALMZC03</t>
  </si>
  <si>
    <t>BAALC05</t>
  </si>
  <si>
    <t>ALSMM01</t>
  </si>
  <si>
    <t>BAMJOR3</t>
  </si>
  <si>
    <t>ALPOP01</t>
  </si>
  <si>
    <t>BAEUS08</t>
  </si>
  <si>
    <t>PEIPS34</t>
  </si>
  <si>
    <t>BAIBP04</t>
  </si>
  <si>
    <t>BASAJ05</t>
  </si>
  <si>
    <t>BAITA28</t>
  </si>
  <si>
    <t>PEPUI21</t>
  </si>
  <si>
    <t>AMARGOSA</t>
  </si>
  <si>
    <t>SANTO ANTÔNIO DE JESUS</t>
  </si>
  <si>
    <t>ENTRE RIOS</t>
  </si>
  <si>
    <t>CAMAMU</t>
  </si>
  <si>
    <t>ESPLANADA</t>
  </si>
  <si>
    <t>ALCOBAÇA</t>
  </si>
  <si>
    <t>PORTO DE PEDRAS</t>
  </si>
  <si>
    <t>ALAIR09</t>
  </si>
  <si>
    <t>IDD</t>
  </si>
  <si>
    <t>CBR</t>
  </si>
  <si>
    <t>RNAPD05</t>
  </si>
  <si>
    <t>NM7</t>
  </si>
  <si>
    <t>FVL</t>
  </si>
  <si>
    <t>APODI</t>
  </si>
  <si>
    <t>SR-RCVZ</t>
  </si>
  <si>
    <t>PJA</t>
  </si>
  <si>
    <t>JCT</t>
  </si>
  <si>
    <t>SXQ</t>
  </si>
  <si>
    <t>FUM</t>
  </si>
  <si>
    <t>GLP</t>
  </si>
  <si>
    <t>JTB</t>
  </si>
  <si>
    <t>MOF</t>
  </si>
  <si>
    <t>FRN</t>
  </si>
  <si>
    <t>SBK</t>
  </si>
  <si>
    <t>PTD</t>
  </si>
  <si>
    <t>NCC</t>
  </si>
  <si>
    <t>MCD</t>
  </si>
  <si>
    <t>TBO</t>
  </si>
  <si>
    <t>PAR</t>
  </si>
  <si>
    <t>IBM</t>
  </si>
  <si>
    <t>PHD</t>
  </si>
  <si>
    <t>FCD</t>
  </si>
  <si>
    <t>BDG</t>
  </si>
  <si>
    <t>FGR</t>
  </si>
  <si>
    <t>TNG</t>
  </si>
  <si>
    <t>CGP</t>
  </si>
  <si>
    <t>São João do Rio do Peixe</t>
  </si>
  <si>
    <t>Olinda</t>
  </si>
  <si>
    <t>Marechal Deodoro</t>
  </si>
  <si>
    <t>Serra de São Bento</t>
  </si>
  <si>
    <t>Igarassu</t>
  </si>
  <si>
    <t>Parelhas</t>
  </si>
  <si>
    <t>BARRA DE SAO MIGUEL</t>
  </si>
  <si>
    <t>Feira Grande</t>
  </si>
  <si>
    <t>Tangará</t>
  </si>
  <si>
    <t>SR-MCHE</t>
  </si>
  <si>
    <t>SR-MCLV</t>
  </si>
  <si>
    <t>SR-MCCS</t>
  </si>
  <si>
    <t>SR-JPVL</t>
  </si>
  <si>
    <t>SR-JPTW</t>
  </si>
  <si>
    <t>SR-IPSR</t>
  </si>
  <si>
    <t>SR-FLJG</t>
  </si>
  <si>
    <t>SR-CBSU</t>
  </si>
  <si>
    <t>SR-CBRP</t>
  </si>
  <si>
    <t>SR-CBSM</t>
  </si>
  <si>
    <t>SR-FLJR</t>
  </si>
  <si>
    <t>SR-FLCB</t>
  </si>
  <si>
    <t>SR-IPIP</t>
  </si>
  <si>
    <t>SR-PLTG</t>
  </si>
  <si>
    <t>SR-PLNO</t>
  </si>
  <si>
    <t>SR-PLCE</t>
  </si>
  <si>
    <t>SR-PLJG</t>
  </si>
  <si>
    <t>SR-PY12</t>
  </si>
  <si>
    <t>SR-RCBV</t>
  </si>
  <si>
    <t>SR-PLPA</t>
  </si>
  <si>
    <t>SR-FLGR</t>
  </si>
  <si>
    <t>SR-FLCI</t>
  </si>
  <si>
    <t>SR-PWPW</t>
  </si>
  <si>
    <t>SR-FLBC</t>
  </si>
  <si>
    <t>SR-FLGL</t>
  </si>
  <si>
    <t>SR-CCCC</t>
  </si>
  <si>
    <t>SR-FLPS</t>
  </si>
  <si>
    <t>SR-FLBJ</t>
  </si>
  <si>
    <t>SR-RCIM</t>
  </si>
  <si>
    <t>SR-FLMC</t>
  </si>
  <si>
    <t>SR-RCIL</t>
  </si>
  <si>
    <t>SR-FLEQ</t>
  </si>
  <si>
    <t>SR-FLCN</t>
  </si>
  <si>
    <t>SR-FLJQ</t>
  </si>
  <si>
    <t>SR-CGCQ</t>
  </si>
  <si>
    <t>SR-CGLB</t>
  </si>
  <si>
    <t>SR-FLPC</t>
  </si>
  <si>
    <t>SR-FLPB</t>
  </si>
  <si>
    <t>SR-IPGL</t>
  </si>
  <si>
    <t>SR-IPMR</t>
  </si>
  <si>
    <t>SR-FLVU</t>
  </si>
  <si>
    <t>SR-FLUN</t>
  </si>
  <si>
    <t>SR-CCCE</t>
  </si>
  <si>
    <t>SR-BSBS</t>
  </si>
  <si>
    <t>PARNAMITIM</t>
  </si>
  <si>
    <t>URH</t>
  </si>
  <si>
    <t>DIT</t>
  </si>
  <si>
    <t>SR-FLEQJ9</t>
  </si>
  <si>
    <t>SNT</t>
  </si>
  <si>
    <t>DIAMANTINO</t>
  </si>
  <si>
    <t>GOD</t>
  </si>
  <si>
    <t>AGM</t>
  </si>
  <si>
    <t>OBO</t>
  </si>
  <si>
    <t>Ouro Branco</t>
  </si>
  <si>
    <t>PENDT06</t>
  </si>
  <si>
    <t>CEEDS28</t>
  </si>
  <si>
    <t>CECEN14</t>
  </si>
  <si>
    <t>BAIEC01</t>
  </si>
  <si>
    <t>RNPNG05</t>
  </si>
  <si>
    <t>ALFAR05</t>
  </si>
  <si>
    <t>PBCGE14</t>
  </si>
  <si>
    <t>CEPOY01</t>
  </si>
  <si>
    <t>ALAIR08</t>
  </si>
  <si>
    <t>IPECAETÁ</t>
  </si>
  <si>
    <t>PARAMOTI</t>
  </si>
  <si>
    <t>DFSQN29</t>
  </si>
  <si>
    <t>DFGMA39</t>
  </si>
  <si>
    <t>DFSQS39</t>
  </si>
  <si>
    <t>DFTAG62</t>
  </si>
  <si>
    <t>DFTAG77</t>
  </si>
  <si>
    <t>TOBNZ01</t>
  </si>
  <si>
    <t>DFSQN31</t>
  </si>
  <si>
    <t>Brejinho de Nazare</t>
  </si>
  <si>
    <t>RSV</t>
  </si>
  <si>
    <t>SANTO ANTONIO DO LEVERGER</t>
  </si>
  <si>
    <t>BASNB02</t>
  </si>
  <si>
    <t>RNCRA90</t>
  </si>
  <si>
    <t>ALFAR02</t>
  </si>
  <si>
    <t>PBLGC04</t>
  </si>
  <si>
    <t>CETBLR1</t>
  </si>
  <si>
    <t>PELOI02</t>
  </si>
  <si>
    <t>CARAÚBAS</t>
  </si>
  <si>
    <t>LAGOA DE ITAENGA</t>
  </si>
  <si>
    <t>PONTES E LACERDA</t>
  </si>
  <si>
    <t>BAIMJ01</t>
  </si>
  <si>
    <t>OIC</t>
  </si>
  <si>
    <t>CEASE01</t>
  </si>
  <si>
    <t>OGP</t>
  </si>
  <si>
    <t>BEV</t>
  </si>
  <si>
    <t>RBV</t>
  </si>
  <si>
    <t>ERR</t>
  </si>
  <si>
    <t>BRU</t>
  </si>
  <si>
    <t>XSC</t>
  </si>
  <si>
    <t>DPI</t>
  </si>
  <si>
    <t>ALM</t>
  </si>
  <si>
    <t>CGB</t>
  </si>
  <si>
    <t>MRT</t>
  </si>
  <si>
    <t>CEI</t>
  </si>
  <si>
    <t>RJO</t>
  </si>
  <si>
    <t>SZM</t>
  </si>
  <si>
    <t>PKE</t>
  </si>
  <si>
    <t>POE</t>
  </si>
  <si>
    <t>SEV</t>
  </si>
  <si>
    <t>ITAMARAJU</t>
  </si>
  <si>
    <t>Ererê</t>
  </si>
  <si>
    <t>Deputado Irapuan Pinheiro</t>
  </si>
  <si>
    <t>Mauriti</t>
  </si>
  <si>
    <t>PENTECOSTE</t>
  </si>
  <si>
    <t>SR-FLETJ6</t>
  </si>
  <si>
    <t>SR-PRS284</t>
  </si>
  <si>
    <t>SR-PRS283</t>
  </si>
  <si>
    <t>SR-PRS294</t>
  </si>
  <si>
    <t>SANTA HELENA</t>
  </si>
  <si>
    <t>ALTONIA</t>
  </si>
  <si>
    <t>BASTZ02</t>
  </si>
  <si>
    <t>VALENTE</t>
  </si>
  <si>
    <t>BAPGU03</t>
  </si>
  <si>
    <t>BACAR11</t>
  </si>
  <si>
    <t>BAMAY03</t>
  </si>
  <si>
    <t>BAVCT57</t>
  </si>
  <si>
    <t>BASOQ04</t>
  </si>
  <si>
    <t>BASMF35</t>
  </si>
  <si>
    <t>BAVCT44</t>
  </si>
  <si>
    <t>BASMF24</t>
  </si>
  <si>
    <t>BATQO02</t>
  </si>
  <si>
    <t>BATQO04</t>
  </si>
  <si>
    <t>BAVCT58</t>
  </si>
  <si>
    <t>BATBV03</t>
  </si>
  <si>
    <t>BAPJQ03</t>
  </si>
  <si>
    <t>BAMLD01</t>
  </si>
  <si>
    <t>BASMF38</t>
  </si>
  <si>
    <t>DFSQSA8</t>
  </si>
  <si>
    <t>DFSQS0C</t>
  </si>
  <si>
    <t>BACAB71</t>
  </si>
  <si>
    <t>MAETINGA</t>
  </si>
  <si>
    <t>SÍTIO DO MATO</t>
  </si>
  <si>
    <t>TANQUE NOVO</t>
  </si>
  <si>
    <t>TABOCAS DO BREJO VELHO</t>
  </si>
  <si>
    <t>BACAC01</t>
  </si>
  <si>
    <t>ALCUI04</t>
  </si>
  <si>
    <t>BABON01</t>
  </si>
  <si>
    <t>ALCUI01</t>
  </si>
  <si>
    <t>CAMACAN</t>
  </si>
  <si>
    <t>CIT</t>
  </si>
  <si>
    <t>SR-NTPDJ1</t>
  </si>
  <si>
    <t>SR-MGMGJ0</t>
  </si>
  <si>
    <t>SR-FLVTJ1</t>
  </si>
  <si>
    <t>SR-FLSBJ1</t>
  </si>
  <si>
    <t>SR-FLAUJ0</t>
  </si>
  <si>
    <t>SR-FLDIJ1</t>
  </si>
  <si>
    <t>SR-FLGPJ0</t>
  </si>
  <si>
    <t>SR-FLVUJ2</t>
  </si>
  <si>
    <t>SR-FLLSJ1</t>
  </si>
  <si>
    <t>SR-FLMOJ0</t>
  </si>
  <si>
    <t>SR-FLJSJ1</t>
  </si>
  <si>
    <t>SR-FLMSJ0</t>
  </si>
  <si>
    <t>SR-FLCRJ1</t>
  </si>
  <si>
    <t>SR-EUEUJ5</t>
  </si>
  <si>
    <t>SR-EUEUJ2</t>
  </si>
  <si>
    <t>SR-FLALJ6</t>
  </si>
  <si>
    <t>SR-FLJSJ7</t>
  </si>
  <si>
    <t>Campos Sales</t>
  </si>
  <si>
    <t>JBT</t>
  </si>
  <si>
    <t>PPJ</t>
  </si>
  <si>
    <t>JUA</t>
  </si>
  <si>
    <t>HSE</t>
  </si>
  <si>
    <t>XTB</t>
  </si>
  <si>
    <t>PRP</t>
  </si>
  <si>
    <t>ACV</t>
  </si>
  <si>
    <t>SDT</t>
  </si>
  <si>
    <t>COL</t>
  </si>
  <si>
    <t>ONR</t>
  </si>
  <si>
    <t>ACP</t>
  </si>
  <si>
    <t>RRE</t>
  </si>
  <si>
    <t>NQT</t>
  </si>
  <si>
    <t>Tibau do Sul</t>
  </si>
  <si>
    <t>PELIO01</t>
  </si>
  <si>
    <t>CECUC17</t>
  </si>
  <si>
    <t>ALCLI15</t>
  </si>
  <si>
    <t>BASAT01</t>
  </si>
  <si>
    <t>PEVSA03</t>
  </si>
  <si>
    <t>LIMOEIRO</t>
  </si>
  <si>
    <t>SANTA INÊS</t>
  </si>
  <si>
    <t>TOPNK04</t>
  </si>
  <si>
    <t>DFSQNY6</t>
  </si>
  <si>
    <t>PARANÃ</t>
  </si>
  <si>
    <t>PECAA90</t>
  </si>
  <si>
    <t>CEUUA01</t>
  </si>
  <si>
    <t>PETQN02</t>
  </si>
  <si>
    <t>PBIRN01</t>
  </si>
  <si>
    <t>RNSTMR1</t>
  </si>
  <si>
    <t>BAVAL02</t>
  </si>
  <si>
    <t>URUBURETAMA</t>
  </si>
  <si>
    <t>ITAPORANGA</t>
  </si>
  <si>
    <t>CAIRU</t>
  </si>
  <si>
    <t>NGP</t>
  </si>
  <si>
    <t>ESU</t>
  </si>
  <si>
    <t>AQU</t>
  </si>
  <si>
    <t>USC</t>
  </si>
  <si>
    <t>PPS</t>
  </si>
  <si>
    <t>ILHEUS</t>
  </si>
  <si>
    <t>CEAER29</t>
  </si>
  <si>
    <t>PERHM01</t>
  </si>
  <si>
    <t>ALOUB01</t>
  </si>
  <si>
    <t>OURO BRANCO</t>
  </si>
  <si>
    <t>DFTAG67</t>
  </si>
  <si>
    <t>DFGMA32</t>
  </si>
  <si>
    <t>SEX</t>
  </si>
  <si>
    <t>SR-SODC</t>
  </si>
  <si>
    <t xml:space="preserve">SOBRAL </t>
  </si>
  <si>
    <t>XTO</t>
  </si>
  <si>
    <t>XDA</t>
  </si>
  <si>
    <t>RAM</t>
  </si>
  <si>
    <t>ENC</t>
  </si>
  <si>
    <t>XTT</t>
  </si>
  <si>
    <t>SRC</t>
  </si>
  <si>
    <t>Santa Quitéria</t>
  </si>
  <si>
    <t>Santa Rita</t>
  </si>
  <si>
    <t>MONSENHOR TABOSA</t>
  </si>
  <si>
    <t>ALFAR37</t>
  </si>
  <si>
    <t>CERDC01</t>
  </si>
  <si>
    <t>CEFBO01</t>
  </si>
  <si>
    <t>NRO</t>
  </si>
  <si>
    <t>RNPTR16</t>
  </si>
  <si>
    <t>PBBEX01</t>
  </si>
  <si>
    <t>RNJMS01</t>
  </si>
  <si>
    <t>ACD</t>
  </si>
  <si>
    <t>PEIPS40</t>
  </si>
  <si>
    <t>BAQES01</t>
  </si>
  <si>
    <t>GTB</t>
  </si>
  <si>
    <t>SR-FLCLJ0</t>
  </si>
  <si>
    <t>PECRN90</t>
  </si>
  <si>
    <t>GOGNA87</t>
  </si>
  <si>
    <t>CHC</t>
  </si>
  <si>
    <t>DFTAG54</t>
  </si>
  <si>
    <t>SR-PRS239</t>
  </si>
  <si>
    <t>SR-PRS107</t>
  </si>
  <si>
    <t>SR-CMJB01</t>
  </si>
  <si>
    <t>SR-PRS305</t>
  </si>
  <si>
    <t>REDENÇÃO</t>
  </si>
  <si>
    <t>JARDIM DO SERIDÓ</t>
  </si>
  <si>
    <t>São Lourenço da Mata</t>
  </si>
  <si>
    <t>CARNAUBEIRA DA PENHA</t>
  </si>
  <si>
    <t>GOIATUBA</t>
  </si>
  <si>
    <t>CHACHOEIRA ALTA</t>
  </si>
  <si>
    <t>SARANDI</t>
  </si>
  <si>
    <t>PALMEIRA</t>
  </si>
  <si>
    <t>NOVA ROMA</t>
  </si>
  <si>
    <t>DGO</t>
  </si>
  <si>
    <t>RPO</t>
  </si>
  <si>
    <t>FMV</t>
  </si>
  <si>
    <t>RST</t>
  </si>
  <si>
    <t>PEZ</t>
  </si>
  <si>
    <t>MVH</t>
  </si>
  <si>
    <t>Delmiro Gouveia</t>
  </si>
  <si>
    <t>Fortim</t>
  </si>
  <si>
    <t>Riacho de Santana</t>
  </si>
  <si>
    <t>CURRAIS NOVOS</t>
  </si>
  <si>
    <t>Maravilha</t>
  </si>
  <si>
    <t>KBC</t>
  </si>
  <si>
    <t>VOS</t>
  </si>
  <si>
    <t>Cabaceiras</t>
  </si>
  <si>
    <t>VIÇOSA</t>
  </si>
  <si>
    <t>Barra do Bugres</t>
  </si>
  <si>
    <t>BAVCZ20</t>
  </si>
  <si>
    <t>BALFS38</t>
  </si>
  <si>
    <t>PENDT29</t>
  </si>
  <si>
    <t>CECMS01</t>
  </si>
  <si>
    <t>CEFRQ01</t>
  </si>
  <si>
    <t>BARAT01</t>
  </si>
  <si>
    <t>PESDM06</t>
  </si>
  <si>
    <t>CEJNE05</t>
  </si>
  <si>
    <t>SR-JPMIJ2</t>
  </si>
  <si>
    <t>SR-FLPCJ1</t>
  </si>
  <si>
    <t>SR-FLPEJ0</t>
  </si>
  <si>
    <t>SR-CCCCA4</t>
  </si>
  <si>
    <t>SR-MCUNJ0</t>
  </si>
  <si>
    <t>SR-FLJSJ0</t>
  </si>
  <si>
    <t>SR-FLMTJ1</t>
  </si>
  <si>
    <t>SR-FLBJJ2</t>
  </si>
  <si>
    <t>SR-FLJCJ1</t>
  </si>
  <si>
    <t>SR-CCCCJ9</t>
  </si>
  <si>
    <t>SR-FLSHJ2</t>
  </si>
  <si>
    <t>SR-FLBRJ0</t>
  </si>
  <si>
    <t>SR-FLJGJ1</t>
  </si>
  <si>
    <t>SR-CCCCD2</t>
  </si>
  <si>
    <t>SR-FLCRJ0</t>
  </si>
  <si>
    <t>SR-FLCSJ1</t>
  </si>
  <si>
    <t>SR-FLDTJ0</t>
  </si>
  <si>
    <t>SR-FLUNJ1</t>
  </si>
  <si>
    <t>SR-FLVVJ0</t>
  </si>
  <si>
    <t>SR-CBPCJ0</t>
  </si>
  <si>
    <t>CAMPOS SALES</t>
  </si>
  <si>
    <t>FORQUILHA</t>
  </si>
  <si>
    <t>DFSOB39</t>
  </si>
  <si>
    <t>DFGMA13</t>
  </si>
  <si>
    <t>DFTAG66</t>
  </si>
  <si>
    <t>DFTAGW1</t>
  </si>
  <si>
    <t>DFTAG61</t>
  </si>
  <si>
    <t>DFSQN39</t>
  </si>
  <si>
    <t>DFSQNY2</t>
  </si>
  <si>
    <t>DFGMA14</t>
  </si>
  <si>
    <t>BAVCZ19</t>
  </si>
  <si>
    <t>RVI</t>
  </si>
  <si>
    <t>BASUJ02</t>
  </si>
  <si>
    <t>PX2</t>
  </si>
  <si>
    <t>USR</t>
  </si>
  <si>
    <t>MND</t>
  </si>
  <si>
    <t>PEIPS31</t>
  </si>
  <si>
    <t>Sao Jose do Jacuipe</t>
  </si>
  <si>
    <t>POXORÉU</t>
  </si>
  <si>
    <t>NOVA OLÍMPIA</t>
  </si>
  <si>
    <t>TLS</t>
  </si>
  <si>
    <t>BACAL02</t>
  </si>
  <si>
    <t>RNCRA01</t>
  </si>
  <si>
    <t>VGR</t>
  </si>
  <si>
    <t>PESQM01</t>
  </si>
  <si>
    <t>CENOE01</t>
  </si>
  <si>
    <t>CETBL02</t>
  </si>
  <si>
    <t>PBAHDR1</t>
  </si>
  <si>
    <t>MMV</t>
  </si>
  <si>
    <t>ALBOD01</t>
  </si>
  <si>
    <t>PBJZH01</t>
  </si>
  <si>
    <t>PBBAI01</t>
  </si>
  <si>
    <t>BAYPE03</t>
  </si>
  <si>
    <t>BACAB16</t>
  </si>
  <si>
    <t>CV4</t>
  </si>
  <si>
    <t>SÃO JOAQUIM DO MONTE</t>
  </si>
  <si>
    <t>ALHANDRA</t>
  </si>
  <si>
    <t>BOCA DA MATA</t>
  </si>
  <si>
    <t>JUAZEIRINHO</t>
  </si>
  <si>
    <t>ITAPÉ</t>
  </si>
  <si>
    <t>VAL PARAISO DE GOIAS</t>
  </si>
  <si>
    <t>CAMPO VERDE</t>
  </si>
  <si>
    <t>DFTAG52</t>
  </si>
  <si>
    <t>SR-FLALJ9</t>
  </si>
  <si>
    <t>SR-FLVTJ5</t>
  </si>
  <si>
    <t>SR-FLCEB0</t>
  </si>
  <si>
    <t>PET</t>
  </si>
  <si>
    <t>OGV</t>
  </si>
  <si>
    <t>SR-RCSMJ2</t>
  </si>
  <si>
    <t>SR-RCCDJ2</t>
  </si>
  <si>
    <t>SR-RCCGJ0</t>
  </si>
  <si>
    <t>5G-RCBG16</t>
  </si>
  <si>
    <t>SR-RCAGJ1</t>
  </si>
  <si>
    <t>SR-RCJSJ2</t>
  </si>
  <si>
    <t>SR-NTACJ2</t>
  </si>
  <si>
    <t>SR-RCIMJ1</t>
  </si>
  <si>
    <t>SR-FLSTJ5</t>
  </si>
  <si>
    <t>SR-RCGCJ6</t>
  </si>
  <si>
    <t>SR-FLJA04</t>
  </si>
  <si>
    <t>SR-NTRBJ0</t>
  </si>
  <si>
    <t>SR-RCNDJ0</t>
  </si>
  <si>
    <t>SR-FLAG00</t>
  </si>
  <si>
    <t>SR-RCSAJ4</t>
  </si>
  <si>
    <t>REB</t>
  </si>
  <si>
    <t>ICA</t>
  </si>
  <si>
    <t>AMR</t>
  </si>
  <si>
    <t>NSU</t>
  </si>
  <si>
    <t>VLP</t>
  </si>
  <si>
    <t>Icapuí</t>
  </si>
  <si>
    <t>Amaraji</t>
  </si>
  <si>
    <t>SR-RCBGJ9</t>
  </si>
  <si>
    <t>SR-RCBGJ8</t>
  </si>
  <si>
    <t>SR-CCCCD4</t>
  </si>
  <si>
    <t>SR-JJJJJ2</t>
  </si>
  <si>
    <t>MMG</t>
  </si>
  <si>
    <t>VNO</t>
  </si>
  <si>
    <t>SJS</t>
  </si>
  <si>
    <t>Mamanguape</t>
  </si>
  <si>
    <t>BAFSA02</t>
  </si>
  <si>
    <t>BAMJO80</t>
  </si>
  <si>
    <t>BALFS53</t>
  </si>
  <si>
    <t>BAPOJ09</t>
  </si>
  <si>
    <t>PBPHS02</t>
  </si>
  <si>
    <t>CECEA01</t>
  </si>
  <si>
    <t>BAITA41</t>
  </si>
  <si>
    <t>COREAÚ</t>
  </si>
  <si>
    <t>RNROF01</t>
  </si>
  <si>
    <t>ALFAR21</t>
  </si>
  <si>
    <t>CEA</t>
  </si>
  <si>
    <t>CESUBR1</t>
  </si>
  <si>
    <t>CEP</t>
  </si>
  <si>
    <t>CEM</t>
  </si>
  <si>
    <t>PEI</t>
  </si>
  <si>
    <t>PBMMER3</t>
  </si>
  <si>
    <t>BABRO18</t>
  </si>
  <si>
    <t>BABRO19</t>
  </si>
  <si>
    <t>RNL</t>
  </si>
  <si>
    <t>BAI</t>
  </si>
  <si>
    <t>CEQ</t>
  </si>
  <si>
    <t>CEH</t>
  </si>
  <si>
    <t>CEF</t>
  </si>
  <si>
    <t>SÃO JOÃO DO JAGUARIBE</t>
  </si>
  <si>
    <t>Russas</t>
  </si>
  <si>
    <t>Buenos Aires</t>
  </si>
  <si>
    <t>Hidrolandia</t>
  </si>
  <si>
    <t>Frecheirinha</t>
  </si>
  <si>
    <t>BALFS37</t>
  </si>
  <si>
    <t>BAMJOR6</t>
  </si>
  <si>
    <t>CEANE02</t>
  </si>
  <si>
    <t>DFSQSA6</t>
  </si>
  <si>
    <t>PV7</t>
  </si>
  <si>
    <t>CECZH02</t>
  </si>
  <si>
    <t>5G-RCX001</t>
  </si>
  <si>
    <t>CJS</t>
  </si>
  <si>
    <t>DFSOB52</t>
  </si>
  <si>
    <t>SR-CMTBJ0</t>
  </si>
  <si>
    <t>PBL</t>
  </si>
  <si>
    <t>SR-CMBNJ0</t>
  </si>
  <si>
    <t>PQ2</t>
  </si>
  <si>
    <t>CHOROZINHO</t>
  </si>
  <si>
    <t>Pombal</t>
  </si>
  <si>
    <t>SR-SMSMJ0</t>
  </si>
  <si>
    <t>SR-SMSMJ3</t>
  </si>
  <si>
    <t>SAO LOURENCO DA MATA</t>
  </si>
  <si>
    <t>PRIMAVERA DO LESTE</t>
  </si>
  <si>
    <t>BAAMA24</t>
  </si>
  <si>
    <t>SR-RCISJ2</t>
  </si>
  <si>
    <t>SR-RCVZJ2</t>
  </si>
  <si>
    <t>CEQXAR2</t>
  </si>
  <si>
    <t>PBMMER2</t>
  </si>
  <si>
    <t>RNEXZ03</t>
  </si>
  <si>
    <t>RNMCI01</t>
  </si>
  <si>
    <t>PEOLD08</t>
  </si>
  <si>
    <t>PEABU03</t>
  </si>
  <si>
    <t>CV5</t>
  </si>
  <si>
    <t>VOM</t>
  </si>
  <si>
    <t>V2K</t>
  </si>
  <si>
    <t>MAMANGUAPE</t>
  </si>
  <si>
    <t>MACAÍBA</t>
  </si>
  <si>
    <t>RNPNG14</t>
  </si>
  <si>
    <t>SR-RCARJ0</t>
  </si>
  <si>
    <t>BAPGR32</t>
  </si>
  <si>
    <t>BAPGR26</t>
  </si>
  <si>
    <t>BAGGG01</t>
  </si>
  <si>
    <t>GONGOGI</t>
  </si>
  <si>
    <t>CEDPI02</t>
  </si>
  <si>
    <t>SR-CRSRJ0</t>
  </si>
  <si>
    <t>AUO</t>
  </si>
  <si>
    <t>NWE</t>
  </si>
  <si>
    <t>TOU</t>
  </si>
  <si>
    <t>LMA</t>
  </si>
  <si>
    <t>NCG</t>
  </si>
  <si>
    <t>JTP</t>
  </si>
  <si>
    <t>LNO</t>
  </si>
  <si>
    <t>MSD</t>
  </si>
  <si>
    <t>MCR</t>
  </si>
  <si>
    <t>SFD</t>
  </si>
  <si>
    <t>NLD</t>
  </si>
  <si>
    <t>Touros</t>
  </si>
  <si>
    <t>Limoeiro de Anadia</t>
  </si>
  <si>
    <t>SR-MNCEJ2</t>
  </si>
  <si>
    <t>SR-MNNMJ0</t>
  </si>
  <si>
    <t>SR-CGMVJ0</t>
  </si>
  <si>
    <t>DFSQS0K</t>
  </si>
  <si>
    <t>DFSOB06</t>
  </si>
  <si>
    <t>CEICB01</t>
  </si>
  <si>
    <t>GOALS20</t>
  </si>
  <si>
    <t>MTNBSR1</t>
  </si>
  <si>
    <t>IRAUÇUBA</t>
  </si>
  <si>
    <t>AGUAS LINDAS DE GOIAS</t>
  </si>
  <si>
    <t>PXT</t>
  </si>
  <si>
    <t>PEIXOTO AZEVEDO</t>
  </si>
  <si>
    <t>UAA</t>
  </si>
  <si>
    <t>BASFN14</t>
  </si>
  <si>
    <t>ALMNX01</t>
  </si>
  <si>
    <t>PEBEZ03</t>
  </si>
  <si>
    <t>BAAMA84</t>
  </si>
  <si>
    <t>CUU</t>
  </si>
  <si>
    <t>OMR</t>
  </si>
  <si>
    <t>JRD</t>
  </si>
  <si>
    <t>CEIAG04</t>
  </si>
  <si>
    <t>CECUC20</t>
  </si>
  <si>
    <t>PEMCN01</t>
  </si>
  <si>
    <t>PECAA01</t>
  </si>
  <si>
    <t>BAITA26</t>
  </si>
  <si>
    <t>PEVSA01</t>
  </si>
  <si>
    <t>BASMF26</t>
  </si>
  <si>
    <t>PECRU39</t>
  </si>
  <si>
    <t>MINADOR DO NEGRÃO</t>
  </si>
  <si>
    <t>MACAPARANA</t>
  </si>
  <si>
    <t>RZA</t>
  </si>
  <si>
    <t>ULB</t>
  </si>
  <si>
    <t>PXB</t>
  </si>
  <si>
    <t>MKU</t>
  </si>
  <si>
    <t>PG3</t>
  </si>
  <si>
    <t>PORANGATU</t>
  </si>
  <si>
    <t>PORTO NACIONAL</t>
  </si>
  <si>
    <t>MINAÇU</t>
  </si>
  <si>
    <t>CASA01</t>
  </si>
  <si>
    <t>CAMACARI</t>
  </si>
  <si>
    <t>PDS</t>
  </si>
  <si>
    <t>ALJUD01</t>
  </si>
  <si>
    <t>BAAMA04</t>
  </si>
  <si>
    <t>NSH</t>
  </si>
  <si>
    <t>VMR</t>
  </si>
  <si>
    <t>SMB</t>
  </si>
  <si>
    <t>BACABA6</t>
  </si>
  <si>
    <t>BACAJ16</t>
  </si>
  <si>
    <t>PEBEZ01</t>
  </si>
  <si>
    <t>CEBBBR1</t>
  </si>
  <si>
    <t>MBO</t>
  </si>
  <si>
    <t>PQS</t>
  </si>
  <si>
    <t>SMI</t>
  </si>
  <si>
    <t>NPL</t>
  </si>
  <si>
    <t>RGL</t>
  </si>
  <si>
    <t>RUC</t>
  </si>
  <si>
    <t>SJU</t>
  </si>
  <si>
    <t>STT</t>
  </si>
  <si>
    <t>MRS</t>
  </si>
  <si>
    <t>SMT</t>
  </si>
  <si>
    <t>ALO</t>
  </si>
  <si>
    <t>JUNDIÁ</t>
  </si>
  <si>
    <t>Maribondo</t>
  </si>
  <si>
    <t>NOVO PLANALTO</t>
  </si>
  <si>
    <t>RUBIATABA</t>
  </si>
  <si>
    <t>Santa Terezinha</t>
  </si>
  <si>
    <t>São Miguel do Tapuio</t>
  </si>
  <si>
    <t>PBIBA01</t>
  </si>
  <si>
    <t>BABAR30</t>
  </si>
  <si>
    <t>XFP</t>
  </si>
  <si>
    <t>ITABAIANA</t>
  </si>
  <si>
    <t>MTVAZ25</t>
  </si>
  <si>
    <t>MTNMM08</t>
  </si>
  <si>
    <t>CECEN09</t>
  </si>
  <si>
    <t>PELOO01</t>
  </si>
  <si>
    <t>CEACP01</t>
  </si>
  <si>
    <t>BABON49</t>
  </si>
  <si>
    <t>CECEN02</t>
  </si>
  <si>
    <t>PECUP01</t>
  </si>
  <si>
    <t>BACAR58</t>
  </si>
  <si>
    <t>PETDD01</t>
  </si>
  <si>
    <t>CEESB15</t>
  </si>
  <si>
    <t>CPN</t>
  </si>
  <si>
    <t>SR-PWPWJ7</t>
  </si>
  <si>
    <t>SR-CBSMJ0</t>
  </si>
  <si>
    <t>SR-CCCCA6</t>
  </si>
  <si>
    <t>LAGOA DO OURO</t>
  </si>
  <si>
    <t>ACARAPE</t>
  </si>
  <si>
    <t>BACOW11</t>
  </si>
  <si>
    <t>NBRSEC0</t>
  </si>
  <si>
    <t>PEIPS24</t>
  </si>
  <si>
    <t>BAITR12</t>
  </si>
  <si>
    <t>BAITJ01</t>
  </si>
  <si>
    <t>PEACV02</t>
  </si>
  <si>
    <t>PEPTA29</t>
  </si>
  <si>
    <t>PEAIN01</t>
  </si>
  <si>
    <t>ALCLI13</t>
  </si>
  <si>
    <t>ALCAS23</t>
  </si>
  <si>
    <t>PEAGH01</t>
  </si>
  <si>
    <t>PBCWXR1</t>
  </si>
  <si>
    <t>PEIIM01</t>
  </si>
  <si>
    <t>PBVAR04</t>
  </si>
  <si>
    <t>BACAB46</t>
  </si>
  <si>
    <t>BAILH82</t>
  </si>
  <si>
    <t>BACMF06</t>
  </si>
  <si>
    <t>CESRU01</t>
  </si>
  <si>
    <t>BACAR29</t>
  </si>
  <si>
    <t>PBSRI01</t>
  </si>
  <si>
    <t>ALCLI30</t>
  </si>
  <si>
    <t>PEOLD31</t>
  </si>
  <si>
    <t>BACAR49</t>
  </si>
  <si>
    <t>BABON42</t>
  </si>
  <si>
    <t>ALMHD03</t>
  </si>
  <si>
    <t>ITABERABA</t>
  </si>
  <si>
    <t>ITAJUÍPE</t>
  </si>
  <si>
    <t>ALIANÇA</t>
  </si>
  <si>
    <t>RIO LARGO</t>
  </si>
  <si>
    <t>IBIMIRIM</t>
  </si>
  <si>
    <t>CAMPO FORMOSO</t>
  </si>
  <si>
    <t>SÃO LUÍS DO CURU</t>
  </si>
  <si>
    <t>SR-FLPQ00</t>
  </si>
  <si>
    <t>DFS</t>
  </si>
  <si>
    <t>SR-JPMGJ1</t>
  </si>
  <si>
    <t>DFSOBR3</t>
  </si>
  <si>
    <t>SR-CMJMJ3</t>
  </si>
  <si>
    <t>5G-FLX0</t>
  </si>
  <si>
    <t>PW2</t>
  </si>
  <si>
    <t>SR-JTJTJ0</t>
  </si>
  <si>
    <t>SR-BSBSJ1</t>
  </si>
  <si>
    <t>MTCBA03</t>
  </si>
  <si>
    <t>SR-JGVRJ0</t>
  </si>
  <si>
    <t>TAS</t>
  </si>
  <si>
    <t xml:space="preserve">FORTALEZA </t>
  </si>
  <si>
    <t>DFSQSD0</t>
  </si>
  <si>
    <t>RMT</t>
  </si>
  <si>
    <t>RMP</t>
  </si>
  <si>
    <t>OMN</t>
  </si>
  <si>
    <t>NTL</t>
  </si>
  <si>
    <t>OVB</t>
  </si>
  <si>
    <t>OMV</t>
  </si>
  <si>
    <t>OMS</t>
  </si>
  <si>
    <t>ORY</t>
  </si>
  <si>
    <t>FML</t>
  </si>
  <si>
    <t>LCM</t>
  </si>
  <si>
    <t>MLL</t>
  </si>
  <si>
    <t>MTM</t>
  </si>
  <si>
    <t>OPQ</t>
  </si>
  <si>
    <t>OPY</t>
  </si>
  <si>
    <t>THR</t>
  </si>
  <si>
    <t>XIB</t>
  </si>
  <si>
    <t>JCN</t>
  </si>
  <si>
    <t>BNE</t>
  </si>
  <si>
    <t>XBC</t>
  </si>
  <si>
    <t>ALA</t>
  </si>
  <si>
    <t>LGD</t>
  </si>
  <si>
    <t>SPT</t>
  </si>
  <si>
    <t>OSA</t>
  </si>
  <si>
    <t>OQY</t>
  </si>
  <si>
    <t>MSC</t>
  </si>
  <si>
    <t>BJL</t>
  </si>
  <si>
    <t>São José do Belmonte</t>
  </si>
  <si>
    <t>Lagoa d'Anta</t>
  </si>
  <si>
    <t>Bom Jesus</t>
  </si>
  <si>
    <t>BARRA DO BUGRES</t>
  </si>
  <si>
    <t xml:space="preserve">DIVINA PASTORA </t>
  </si>
  <si>
    <t xml:space="preserve">OLINDA </t>
  </si>
  <si>
    <t>BABON24</t>
  </si>
  <si>
    <t>PEPUI20</t>
  </si>
  <si>
    <t>AT2</t>
  </si>
  <si>
    <t>PEJAQ01</t>
  </si>
  <si>
    <t>BAAMA49</t>
  </si>
  <si>
    <t>PEIPJR2</t>
  </si>
  <si>
    <t>TOPMJ03</t>
  </si>
  <si>
    <t>CEALD12</t>
  </si>
  <si>
    <t>SHD</t>
  </si>
  <si>
    <t>SR-PLCEJ0</t>
  </si>
  <si>
    <t>SEC</t>
  </si>
  <si>
    <t>JAQUEIRA</t>
  </si>
  <si>
    <t>TRAINING_CENTER_SENAI_NE</t>
  </si>
  <si>
    <t>ALTO TAQUARI</t>
  </si>
  <si>
    <t>ENAI_NE</t>
  </si>
  <si>
    <t>BABON59</t>
  </si>
  <si>
    <t>SR-PWPWJ3</t>
  </si>
  <si>
    <t>BAPGU24</t>
  </si>
  <si>
    <t>BAIBU13</t>
  </si>
  <si>
    <t>CEAQU08</t>
  </si>
  <si>
    <t>PEOLD17</t>
  </si>
  <si>
    <t>RNPIM18</t>
  </si>
  <si>
    <t>PBVAR07</t>
  </si>
  <si>
    <t>BAPGU08</t>
  </si>
  <si>
    <t>SANTA CRUZ CABRÁLIA</t>
  </si>
  <si>
    <t>XFA</t>
  </si>
  <si>
    <t>OCE</t>
  </si>
  <si>
    <t>COB</t>
  </si>
  <si>
    <t>XJO</t>
  </si>
  <si>
    <t>TOCAI01</t>
  </si>
  <si>
    <t>BVT</t>
  </si>
  <si>
    <t>COP</t>
  </si>
  <si>
    <t>OTJ</t>
  </si>
  <si>
    <t>JKL</t>
  </si>
  <si>
    <t>ABO</t>
  </si>
  <si>
    <t>NXT</t>
  </si>
  <si>
    <t>JOÃO CAMARA</t>
  </si>
  <si>
    <t>CARIRI DO TOVANTINS</t>
  </si>
  <si>
    <t>NOVA XAVANTINA</t>
  </si>
  <si>
    <t>HRS</t>
  </si>
  <si>
    <t>SR-PWPWA1</t>
  </si>
  <si>
    <t>SR-CCCCB6</t>
  </si>
  <si>
    <t>BAAMA69</t>
  </si>
  <si>
    <t>PEABU02</t>
  </si>
  <si>
    <t>SR-CCCCJ6</t>
  </si>
  <si>
    <t>SR-FLSTJ0</t>
  </si>
  <si>
    <t>DFSQN67</t>
  </si>
  <si>
    <t>SR-PRPRJ6</t>
  </si>
  <si>
    <t>SR-CES271</t>
  </si>
  <si>
    <t>SR-CES204</t>
  </si>
  <si>
    <t>BAAMA29</t>
  </si>
  <si>
    <t>TOV</t>
  </si>
  <si>
    <t>BAAMAA2</t>
  </si>
  <si>
    <t>CETAU01</t>
  </si>
  <si>
    <t>KPF</t>
  </si>
  <si>
    <t>BAPGU20</t>
  </si>
  <si>
    <t>PBCBD05</t>
  </si>
  <si>
    <t>PBCRI09</t>
  </si>
  <si>
    <t>BAPGU10</t>
  </si>
  <si>
    <t>BACTA01</t>
  </si>
  <si>
    <t>PBCRI29</t>
  </si>
  <si>
    <t>NPJ</t>
  </si>
  <si>
    <t>BABRO20</t>
  </si>
  <si>
    <t>NSG</t>
  </si>
  <si>
    <t>BAFSA46</t>
  </si>
  <si>
    <t>NCA</t>
  </si>
  <si>
    <t>SGR</t>
  </si>
  <si>
    <t>ASS</t>
  </si>
  <si>
    <t>SWF</t>
  </si>
  <si>
    <t>XOU</t>
  </si>
  <si>
    <t>OURICURI</t>
  </si>
  <si>
    <t>SR-FLVYJ4</t>
  </si>
  <si>
    <t>SR-JPEXJ1</t>
  </si>
  <si>
    <t>SR-CGBVJ0</t>
  </si>
  <si>
    <t>ALOGG01</t>
  </si>
  <si>
    <t>SR-NTLNJ3</t>
  </si>
  <si>
    <t>SR-IPMRJ0</t>
  </si>
  <si>
    <t>BACAR52</t>
  </si>
  <si>
    <t>MTROI06</t>
  </si>
  <si>
    <t>TS2</t>
  </si>
  <si>
    <t>MNZ</t>
  </si>
  <si>
    <t>MJB</t>
  </si>
  <si>
    <t>OLHO D'ÁGUA GRANDE</t>
  </si>
  <si>
    <t>Maranguape</t>
  </si>
  <si>
    <t xml:space="preserve">RONDONOPOLIS </t>
  </si>
  <si>
    <t>BELEM</t>
  </si>
  <si>
    <t>UVG</t>
  </si>
  <si>
    <t>TOPMJ41</t>
  </si>
  <si>
    <t>MTF</t>
  </si>
  <si>
    <t>MDT</t>
  </si>
  <si>
    <t>OVM</t>
  </si>
  <si>
    <t>XPQ</t>
  </si>
  <si>
    <t>OUB</t>
  </si>
  <si>
    <t>OHI</t>
  </si>
  <si>
    <t>Maracanaú</t>
  </si>
  <si>
    <t>TERRA SANTA</t>
  </si>
  <si>
    <t>PA</t>
  </si>
  <si>
    <t>NO</t>
  </si>
  <si>
    <t>URU</t>
  </si>
  <si>
    <t>VSA</t>
  </si>
  <si>
    <t>AEL</t>
  </si>
  <si>
    <t>CVD</t>
  </si>
  <si>
    <t>STA</t>
  </si>
  <si>
    <t>BQB</t>
  </si>
  <si>
    <t>DQE</t>
  </si>
  <si>
    <t>OJB</t>
  </si>
  <si>
    <t>Areial</t>
  </si>
  <si>
    <t>Barroquinha</t>
  </si>
  <si>
    <t>CEPAR22</t>
  </si>
  <si>
    <t>3GBAASG</t>
  </si>
  <si>
    <t>BARUY01</t>
  </si>
  <si>
    <t>BAVCT46</t>
  </si>
  <si>
    <t>BAVCT54</t>
  </si>
  <si>
    <t>PBCBD01</t>
  </si>
  <si>
    <t>PEBVT06</t>
  </si>
  <si>
    <t>SR-JPMIJ0</t>
  </si>
  <si>
    <t>DAM</t>
  </si>
  <si>
    <t>BAVCT10</t>
  </si>
  <si>
    <t>RUY BARBOSA</t>
  </si>
  <si>
    <t>SR-FLAEJ3</t>
  </si>
  <si>
    <t>SR-JPTBJ0</t>
  </si>
  <si>
    <t>SR-MCFAJ0</t>
  </si>
  <si>
    <t>SR-PWPWJ0</t>
  </si>
  <si>
    <t>SR-MCFAA2</t>
  </si>
  <si>
    <t>SR-MCCEA3</t>
  </si>
  <si>
    <t>SR-MCCEJ5</t>
  </si>
  <si>
    <t>SR-IGIGJ1</t>
  </si>
  <si>
    <t>SR-FLANJ2</t>
  </si>
  <si>
    <t>SR-FLJSA2</t>
  </si>
  <si>
    <t>SR-FLGLJ1</t>
  </si>
  <si>
    <t>SR-FLPCA6</t>
  </si>
  <si>
    <t>SR-FLPVJ1</t>
  </si>
  <si>
    <t>SR-FLJQJ4</t>
  </si>
  <si>
    <t>SR-FLJQJ6</t>
  </si>
  <si>
    <t>SR-FLCEB3</t>
  </si>
  <si>
    <t>SR-FLDIJ3</t>
  </si>
  <si>
    <t>SR-FLJSJ3</t>
  </si>
  <si>
    <t>SR-FLCNJ0</t>
  </si>
  <si>
    <t>SR-FLDIJ7</t>
  </si>
  <si>
    <t>SR-FLPSJ9</t>
  </si>
  <si>
    <t>SR-FLPSJ1</t>
  </si>
  <si>
    <t>SR-FLALA5</t>
  </si>
  <si>
    <t>SR-RCUNJ3</t>
  </si>
  <si>
    <t>BARAT05</t>
  </si>
  <si>
    <t>SR-RCBVJ3</t>
  </si>
  <si>
    <t>SR-FLDMJ1</t>
  </si>
  <si>
    <t>SR-RCDUJ1</t>
  </si>
  <si>
    <t>SR-RCGCJ1</t>
  </si>
  <si>
    <t>SR-RCMTJ0</t>
  </si>
  <si>
    <t>SR-RCSWJ5</t>
  </si>
  <si>
    <t>PBCBD04</t>
  </si>
  <si>
    <t>BALED08</t>
  </si>
  <si>
    <t>PEGUS11</t>
  </si>
  <si>
    <t>PEMDL08</t>
  </si>
  <si>
    <t>PBTAB13</t>
  </si>
  <si>
    <t>TOMTC90</t>
  </si>
  <si>
    <t>BAFSA32</t>
  </si>
  <si>
    <t>BAMRU01</t>
  </si>
  <si>
    <t>PBCRI03</t>
  </si>
  <si>
    <t>PBCRI10</t>
  </si>
  <si>
    <t>SR-FLMCA0</t>
  </si>
  <si>
    <t>LUÍS EDUARDO MAGALHÃES</t>
  </si>
  <si>
    <t>MONTE DO CARMO</t>
  </si>
  <si>
    <t>SR-PTPTB3</t>
  </si>
  <si>
    <t>SR-RCMAJ3</t>
  </si>
  <si>
    <t>SR-RCETJ0</t>
  </si>
  <si>
    <t>SR-RCPNJ3</t>
  </si>
  <si>
    <t>SR-LULUJ1</t>
  </si>
  <si>
    <t>LUIS CORREIA</t>
  </si>
  <si>
    <t>GOGNA51</t>
  </si>
  <si>
    <t>GOGNA4I</t>
  </si>
  <si>
    <t>GOGNA61</t>
  </si>
  <si>
    <t>BABON26</t>
  </si>
  <si>
    <t>BACAB42</t>
  </si>
  <si>
    <t>NPI</t>
  </si>
  <si>
    <t>OFT</t>
  </si>
  <si>
    <t>OFE</t>
  </si>
  <si>
    <t>SR-IPGLJ1</t>
  </si>
  <si>
    <t xml:space="preserve">BAITA61  </t>
  </si>
  <si>
    <t xml:space="preserve">BASNT01 </t>
  </si>
  <si>
    <t>Santana</t>
  </si>
  <si>
    <t xml:space="preserve">BACRX08  </t>
  </si>
  <si>
    <t>Curaca</t>
  </si>
  <si>
    <t xml:space="preserve">BAPGU24  </t>
  </si>
  <si>
    <t xml:space="preserve">BAPGU20  </t>
  </si>
  <si>
    <t>Santa Maria da Boa Vista</t>
  </si>
  <si>
    <t xml:space="preserve">BACOW1  </t>
  </si>
  <si>
    <t>BACAR36</t>
  </si>
  <si>
    <t>Camaçari</t>
  </si>
  <si>
    <t xml:space="preserve">BAVCZ20   </t>
  </si>
  <si>
    <t xml:space="preserve">BAPGU24 </t>
  </si>
  <si>
    <t xml:space="preserve">BAVCZ20  </t>
  </si>
  <si>
    <t xml:space="preserve">BASMF35 </t>
  </si>
  <si>
    <t xml:space="preserve">BAITA61   </t>
  </si>
  <si>
    <t xml:space="preserve">BACAR48 </t>
  </si>
  <si>
    <t xml:space="preserve">BARAT05  </t>
  </si>
  <si>
    <t>RIO ANTONIO</t>
  </si>
  <si>
    <t xml:space="preserve">BACRX08 </t>
  </si>
  <si>
    <t>CURAÇA</t>
  </si>
  <si>
    <t xml:space="preserve">BATBV03 </t>
  </si>
  <si>
    <t xml:space="preserve">BALED08  </t>
  </si>
  <si>
    <t>Luís Eduardo Magalhães</t>
  </si>
  <si>
    <t xml:space="preserve">PESIB04  </t>
  </si>
  <si>
    <t xml:space="preserve">PESIB03 </t>
  </si>
  <si>
    <t>PETBR01</t>
  </si>
  <si>
    <t>Tabira</t>
  </si>
  <si>
    <t xml:space="preserve">BACOW11 </t>
  </si>
  <si>
    <t>BACRX08</t>
  </si>
  <si>
    <t>PESIB04</t>
  </si>
  <si>
    <t>PESIB03</t>
  </si>
  <si>
    <t>SR-OLBNJ3</t>
  </si>
  <si>
    <t>BAPYT02</t>
  </si>
  <si>
    <t>SGJ_RN500</t>
  </si>
  <si>
    <t>SR-RCARJ3</t>
  </si>
  <si>
    <t>SR-RCSTJ1</t>
  </si>
  <si>
    <t>SR-MWMWJ0</t>
  </si>
  <si>
    <t>CEIRC01</t>
  </si>
  <si>
    <t>SR-PWPWJ1</t>
  </si>
  <si>
    <t>SR-MCJAJ0</t>
  </si>
  <si>
    <t>OVJ</t>
  </si>
  <si>
    <t>56A0KFU</t>
  </si>
  <si>
    <t>PIATÃ</t>
  </si>
  <si>
    <t>MASSAPE</t>
  </si>
  <si>
    <t>IRACEMA</t>
  </si>
  <si>
    <t>RNPLW01</t>
  </si>
  <si>
    <t>PBBNN01</t>
  </si>
  <si>
    <t>RNBRN01</t>
  </si>
  <si>
    <t>BAVAL05</t>
  </si>
  <si>
    <t>PORTALEGRE</t>
  </si>
  <si>
    <t>BANANEIRAS</t>
  </si>
  <si>
    <t>BARAÚNA</t>
  </si>
  <si>
    <t>BAVCT48</t>
  </si>
  <si>
    <t>OVH</t>
  </si>
  <si>
    <t>ORF</t>
  </si>
  <si>
    <t>OVK</t>
  </si>
  <si>
    <t>EAH</t>
  </si>
  <si>
    <t>OBE</t>
  </si>
  <si>
    <t>PEOLD19</t>
  </si>
  <si>
    <t>EUSEBIO</t>
  </si>
  <si>
    <t>BABAA03</t>
  </si>
  <si>
    <t>CESIQ01</t>
  </si>
  <si>
    <t>PEBEL01</t>
  </si>
  <si>
    <t>BABAA01</t>
  </si>
  <si>
    <t>BARRA</t>
  </si>
  <si>
    <t>SALITRE</t>
  </si>
  <si>
    <t>BELÉM DE MARIA</t>
  </si>
  <si>
    <t>SR-MCTRJ1</t>
  </si>
  <si>
    <t>SR-NTSRJ0</t>
  </si>
  <si>
    <t>SR-MCPJJ1</t>
  </si>
  <si>
    <t>SR-MCJGJ0</t>
  </si>
  <si>
    <t>SR-MCJTJ0</t>
  </si>
  <si>
    <t>SR-AL13C2</t>
  </si>
  <si>
    <t>BAMJO06</t>
  </si>
  <si>
    <t>BABON25</t>
  </si>
  <si>
    <t>BAJCN17</t>
  </si>
  <si>
    <t>RNPNG12</t>
  </si>
  <si>
    <t>PEPOB01</t>
  </si>
  <si>
    <t>ALRGO03</t>
  </si>
  <si>
    <t>BALFS04</t>
  </si>
  <si>
    <t>PBLGC01</t>
  </si>
  <si>
    <t>PEAGE01</t>
  </si>
  <si>
    <t>AGRESTINA</t>
  </si>
  <si>
    <t>MS3</t>
  </si>
  <si>
    <t>MBC</t>
  </si>
  <si>
    <t>MS1</t>
  </si>
  <si>
    <t>MS4</t>
  </si>
  <si>
    <t>SR-FLVVJ1</t>
  </si>
  <si>
    <t>SR-FLALA7</t>
  </si>
  <si>
    <t>SR-MVMVJ0</t>
  </si>
  <si>
    <t>SR-OOOOJ0</t>
  </si>
  <si>
    <t>SR-FEFEJ0</t>
  </si>
  <si>
    <t>MOMBACA</t>
  </si>
  <si>
    <t>OROS</t>
  </si>
  <si>
    <t>ORIXIMINA</t>
  </si>
  <si>
    <t>MARIBONDO</t>
  </si>
  <si>
    <t>OMX</t>
  </si>
  <si>
    <t>ONC</t>
  </si>
  <si>
    <t>OPS</t>
  </si>
  <si>
    <t>ORA</t>
  </si>
  <si>
    <t>STX</t>
  </si>
  <si>
    <t>XBS</t>
  </si>
  <si>
    <t>RJD</t>
  </si>
  <si>
    <t>IP1</t>
  </si>
  <si>
    <t>IP3</t>
  </si>
  <si>
    <t>OHY</t>
  </si>
  <si>
    <t>CND</t>
  </si>
  <si>
    <t>PXA</t>
  </si>
  <si>
    <t>INA</t>
  </si>
  <si>
    <t>KPH</t>
  </si>
  <si>
    <t>SVI</t>
  </si>
  <si>
    <t>JDR</t>
  </si>
  <si>
    <t>OMY</t>
  </si>
  <si>
    <t>SR-PWPWB2</t>
  </si>
  <si>
    <t>PST</t>
  </si>
  <si>
    <t>CRT</t>
  </si>
  <si>
    <t>LVT</t>
  </si>
  <si>
    <t>Santa Cruz - PB</t>
  </si>
  <si>
    <t>Puxinanã</t>
  </si>
  <si>
    <t>Itabaiana</t>
  </si>
  <si>
    <t>Serra Talhada</t>
  </si>
  <si>
    <t>Jandaíra</t>
  </si>
  <si>
    <t>VQT</t>
  </si>
  <si>
    <t>PTA</t>
  </si>
  <si>
    <t>CSL</t>
  </si>
  <si>
    <t>BAR</t>
  </si>
  <si>
    <t>MBY</t>
  </si>
  <si>
    <t>OHZ</t>
  </si>
  <si>
    <t>JSP</t>
  </si>
  <si>
    <t>CQP</t>
  </si>
  <si>
    <t>Luís Correia</t>
  </si>
  <si>
    <t>BREJO DOS SANTOS</t>
  </si>
  <si>
    <t>PBOLH01</t>
  </si>
  <si>
    <t>CEIDA01</t>
  </si>
  <si>
    <t>BACABA9</t>
  </si>
  <si>
    <t>CEATO01</t>
  </si>
  <si>
    <t>CEPTZ02</t>
  </si>
  <si>
    <t>TGD</t>
  </si>
  <si>
    <t>LON</t>
  </si>
  <si>
    <t>VAZ</t>
  </si>
  <si>
    <t>CEOCR03</t>
  </si>
  <si>
    <t>LES</t>
  </si>
  <si>
    <t>ALU</t>
  </si>
  <si>
    <t>LJL</t>
  </si>
  <si>
    <t>CVN</t>
  </si>
  <si>
    <t>ADR</t>
  </si>
  <si>
    <t>PBI</t>
  </si>
  <si>
    <t>VBA</t>
  </si>
  <si>
    <t>NRL</t>
  </si>
  <si>
    <t>ALTO SANTO</t>
  </si>
  <si>
    <t>POTIRETAMA</t>
  </si>
  <si>
    <t>Várzea</t>
  </si>
  <si>
    <t>Lajes Pintadas</t>
  </si>
  <si>
    <t>Alto do Rodrigues</t>
  </si>
  <si>
    <t>Goiania</t>
  </si>
  <si>
    <t>Aguas Lindas de Goias</t>
  </si>
  <si>
    <t>Luziânia</t>
  </si>
  <si>
    <t xml:space="preserve">Tangara da Serra </t>
  </si>
  <si>
    <t>Campo Verde</t>
  </si>
  <si>
    <t xml:space="preserve"> Brasilia </t>
  </si>
  <si>
    <t>Nossa Senhora do Livramento</t>
  </si>
  <si>
    <t>SR-RCBBJ0</t>
  </si>
  <si>
    <t>SR-FLCJJ1</t>
  </si>
  <si>
    <t>SR-CES032</t>
  </si>
  <si>
    <t>SR-CES027</t>
  </si>
  <si>
    <t>SR-CES203</t>
  </si>
  <si>
    <t>SR-CES244</t>
  </si>
  <si>
    <t>OAO</t>
  </si>
  <si>
    <t>SR-JZJZJ2</t>
  </si>
  <si>
    <t>SR-IPIPJ1</t>
  </si>
  <si>
    <t>STC</t>
  </si>
  <si>
    <t>IP2</t>
  </si>
  <si>
    <t>GPP</t>
  </si>
  <si>
    <t>OAN</t>
  </si>
  <si>
    <t>QUIXERE</t>
  </si>
  <si>
    <t>IBARETAMA</t>
  </si>
  <si>
    <t>PEVSA06</t>
  </si>
  <si>
    <t>CEMIK01</t>
  </si>
  <si>
    <t>SRO</t>
  </si>
  <si>
    <t>OMA</t>
  </si>
  <si>
    <t>CEMUL01</t>
  </si>
  <si>
    <t>JFL</t>
  </si>
  <si>
    <t>MIRAÍMA</t>
  </si>
  <si>
    <t>Orobó</t>
  </si>
  <si>
    <t>TQN</t>
  </si>
  <si>
    <t>EGP</t>
  </si>
  <si>
    <t>OPL</t>
  </si>
  <si>
    <t>XUL</t>
  </si>
  <si>
    <t>PQJ</t>
  </si>
  <si>
    <t>STG</t>
  </si>
  <si>
    <t>MBD</t>
  </si>
  <si>
    <t>TSC</t>
  </si>
  <si>
    <t>OHL</t>
  </si>
  <si>
    <t>OTP</t>
  </si>
  <si>
    <t>OTT</t>
  </si>
  <si>
    <t>CIL</t>
  </si>
  <si>
    <t>TBS</t>
  </si>
  <si>
    <t>DIU</t>
  </si>
  <si>
    <t>TJR</t>
  </si>
  <si>
    <t>PPY</t>
  </si>
  <si>
    <t>DIR</t>
  </si>
  <si>
    <t>FAC</t>
  </si>
  <si>
    <t>MNV</t>
  </si>
  <si>
    <t>RNA</t>
  </si>
  <si>
    <t>TBE</t>
  </si>
  <si>
    <t>SBV</t>
  </si>
  <si>
    <t>MNG</t>
  </si>
  <si>
    <t>SSS</t>
  </si>
  <si>
    <t>CDC</t>
  </si>
  <si>
    <t>OFZ</t>
  </si>
  <si>
    <t>OQO</t>
  </si>
  <si>
    <t>RDV</t>
  </si>
  <si>
    <t>FCA</t>
  </si>
  <si>
    <t>CMB</t>
  </si>
  <si>
    <t>FRG</t>
  </si>
  <si>
    <t>FLC</t>
  </si>
  <si>
    <t>CEN</t>
  </si>
  <si>
    <t>OGX</t>
  </si>
  <si>
    <t>PQP</t>
  </si>
  <si>
    <t>LCV</t>
  </si>
  <si>
    <t>GLB</t>
  </si>
  <si>
    <t>RPA</t>
  </si>
  <si>
    <t>JDC</t>
  </si>
  <si>
    <t>IRB</t>
  </si>
  <si>
    <t>TRR</t>
  </si>
  <si>
    <t>MCB</t>
  </si>
  <si>
    <t>MML</t>
  </si>
  <si>
    <t>ASE</t>
  </si>
  <si>
    <t>RGE</t>
  </si>
  <si>
    <t>TEB</t>
  </si>
  <si>
    <t>GBS</t>
  </si>
  <si>
    <t>XRG</t>
  </si>
  <si>
    <t>ALG</t>
  </si>
  <si>
    <t>XRT</t>
  </si>
  <si>
    <t>COE</t>
  </si>
  <si>
    <t>Taquaritinga do Norte</t>
  </si>
  <si>
    <t>Redenção do Gurguéia</t>
  </si>
  <si>
    <t>Gilbués</t>
  </si>
  <si>
    <t>Alvorada do Gurguéia</t>
  </si>
  <si>
    <t>Cortês</t>
  </si>
  <si>
    <t>Sao Jose do Egito</t>
  </si>
  <si>
    <t>Amarante</t>
  </si>
  <si>
    <t>Redencao do Gurgueia</t>
  </si>
  <si>
    <t>SR-CCCCJ4</t>
  </si>
  <si>
    <t>ANW</t>
  </si>
  <si>
    <t>MPA</t>
  </si>
  <si>
    <t>AAZ</t>
  </si>
  <si>
    <t>YPH</t>
  </si>
  <si>
    <t>AHE</t>
  </si>
  <si>
    <t>TBV</t>
  </si>
  <si>
    <t>OTL</t>
  </si>
  <si>
    <t>CGF</t>
  </si>
  <si>
    <t>VLS</t>
  </si>
  <si>
    <t>CDL</t>
  </si>
  <si>
    <t>OPP</t>
  </si>
  <si>
    <t>OVI</t>
  </si>
  <si>
    <t>CEIOP01</t>
  </si>
  <si>
    <t>CEIDA02</t>
  </si>
  <si>
    <t>CEAER35</t>
  </si>
  <si>
    <t>CEJAS01</t>
  </si>
  <si>
    <t>CEPAR18</t>
  </si>
  <si>
    <t>BABON23</t>
  </si>
  <si>
    <t>BASAMR1</t>
  </si>
  <si>
    <t>AMÉLIA RODRIGUES</t>
  </si>
  <si>
    <t>SR-RCIMA0</t>
  </si>
  <si>
    <t>GOVPI12</t>
  </si>
  <si>
    <t>GOCDOR1</t>
  </si>
  <si>
    <t>TOARN28</t>
  </si>
  <si>
    <t>MTCBA0D</t>
  </si>
  <si>
    <t>TOGOT02</t>
  </si>
  <si>
    <t>TOFLF01</t>
  </si>
  <si>
    <t xml:space="preserve">VALPARAÍSO </t>
  </si>
  <si>
    <t>CIDADE OCIDENTAL</t>
  </si>
  <si>
    <t xml:space="preserve">ARAGUAÍNA </t>
  </si>
  <si>
    <t>GOIATINS</t>
  </si>
  <si>
    <t>FILADÉLFIA</t>
  </si>
  <si>
    <t>ORU</t>
  </si>
  <si>
    <t>ORT</t>
  </si>
  <si>
    <t>CWH</t>
  </si>
  <si>
    <t>LTI</t>
  </si>
  <si>
    <t>OPW</t>
  </si>
  <si>
    <t>HMT</t>
  </si>
  <si>
    <t>JAS</t>
  </si>
  <si>
    <t>DFGMAX2</t>
  </si>
  <si>
    <t>OER</t>
  </si>
  <si>
    <t>XPP</t>
  </si>
  <si>
    <t>CECEN16</t>
  </si>
  <si>
    <t>SR-FLPCA4</t>
  </si>
  <si>
    <t>CEMCW12</t>
  </si>
  <si>
    <t>PECRU38</t>
  </si>
  <si>
    <t>PECHD02</t>
  </si>
  <si>
    <t>PBCHY01</t>
  </si>
  <si>
    <t>PECNB02</t>
  </si>
  <si>
    <t>BAJUA03</t>
  </si>
  <si>
    <t>ALCGN01</t>
  </si>
  <si>
    <t>CEMUE02</t>
  </si>
  <si>
    <t>PESIB02</t>
  </si>
  <si>
    <t>BAWGS01</t>
  </si>
  <si>
    <t>MARACANAÚ</t>
  </si>
  <si>
    <t>CACHOEIRA DOS ÍNDIOS</t>
  </si>
  <si>
    <t>CAMPO GRANDE</t>
  </si>
  <si>
    <t>WENCESLAU GUIMARÃES</t>
  </si>
  <si>
    <t>PEJBO04</t>
  </si>
  <si>
    <t>SR-OLBLJ0</t>
  </si>
  <si>
    <t>CEPFT02</t>
  </si>
  <si>
    <t>SR-RCCXJ3</t>
  </si>
  <si>
    <t>SR-PLPAJ0</t>
  </si>
  <si>
    <t>BAPTQ01</t>
  </si>
  <si>
    <t>BASEU01</t>
  </si>
  <si>
    <t>PRESIDENTE TANCREDO NEVES</t>
  </si>
  <si>
    <t>SAPEAÇU</t>
  </si>
  <si>
    <t>TIG</t>
  </si>
  <si>
    <t>Soma de Total</t>
  </si>
  <si>
    <t>Rótulos de Linha</t>
  </si>
  <si>
    <t>Total Geral</t>
  </si>
  <si>
    <t>TOPIT01</t>
  </si>
  <si>
    <t>MTVAZ05</t>
  </si>
  <si>
    <t>CEBAE15</t>
  </si>
  <si>
    <t>ALFGE02</t>
  </si>
  <si>
    <t>CETNT01</t>
  </si>
  <si>
    <t>FEIRA GRANDE</t>
  </si>
  <si>
    <t>PARAISO DO TOCANTINS</t>
  </si>
  <si>
    <t>PEVCI01</t>
  </si>
  <si>
    <t>PEEPH05</t>
  </si>
  <si>
    <t>CEURM01</t>
  </si>
  <si>
    <t>CERRB01</t>
  </si>
  <si>
    <t>CECUC09</t>
  </si>
  <si>
    <t>CSU</t>
  </si>
  <si>
    <t>SB6</t>
  </si>
  <si>
    <t>RFD</t>
  </si>
  <si>
    <t>AEH</t>
  </si>
  <si>
    <t>QQQ</t>
  </si>
  <si>
    <t>PMA</t>
  </si>
  <si>
    <t>BIC</t>
  </si>
  <si>
    <t>FEI</t>
  </si>
  <si>
    <t>CLQ</t>
  </si>
  <si>
    <t>ADB</t>
  </si>
  <si>
    <t>TQA</t>
  </si>
  <si>
    <t>JPA</t>
  </si>
  <si>
    <t>AIN</t>
  </si>
  <si>
    <t>GUQ</t>
  </si>
  <si>
    <t>CAS</t>
  </si>
  <si>
    <t>CN2</t>
  </si>
  <si>
    <t>JAM</t>
  </si>
  <si>
    <t>SAM</t>
  </si>
  <si>
    <t>LSD</t>
  </si>
  <si>
    <t>RPS</t>
  </si>
  <si>
    <t>PSL</t>
  </si>
  <si>
    <t>CCP</t>
  </si>
  <si>
    <t>JFO</t>
  </si>
  <si>
    <t>SAT</t>
  </si>
  <si>
    <t>GPR</t>
  </si>
  <si>
    <t>AEN</t>
  </si>
  <si>
    <t>TAU</t>
  </si>
  <si>
    <t>BJI</t>
  </si>
  <si>
    <t>PCO</t>
  </si>
  <si>
    <t>PTC</t>
  </si>
  <si>
    <t>TD7</t>
  </si>
  <si>
    <t>GSJ</t>
  </si>
  <si>
    <t>PRV</t>
  </si>
  <si>
    <t>PTS</t>
  </si>
  <si>
    <t>MOS</t>
  </si>
  <si>
    <t>PQN</t>
  </si>
  <si>
    <t>TQ3</t>
  </si>
  <si>
    <t>PWT</t>
  </si>
  <si>
    <t>GQQ</t>
  </si>
  <si>
    <t>CQ1</t>
  </si>
  <si>
    <t>PIM</t>
  </si>
  <si>
    <t>COT</t>
  </si>
  <si>
    <t>TL7</t>
  </si>
  <si>
    <t>PND</t>
  </si>
  <si>
    <t>LQ6</t>
  </si>
  <si>
    <t>BACIS13</t>
  </si>
  <si>
    <t>CEPAR04</t>
  </si>
  <si>
    <t>BAEZL01</t>
  </si>
  <si>
    <t>CEFHH01</t>
  </si>
  <si>
    <t>PEGVT07</t>
  </si>
  <si>
    <t>BACAR61</t>
  </si>
  <si>
    <t>RERIUTABA</t>
  </si>
  <si>
    <t>Custódia</t>
  </si>
  <si>
    <t>Potiretama</t>
  </si>
  <si>
    <t>Aliança</t>
  </si>
  <si>
    <t>Gravatá</t>
  </si>
  <si>
    <t>Acopiara</t>
  </si>
  <si>
    <t>Tauá</t>
  </si>
  <si>
    <t>OROBO</t>
  </si>
  <si>
    <t>Santana do Cariri</t>
  </si>
  <si>
    <t>Parnamirim</t>
  </si>
  <si>
    <t>ENCRUZILHADA</t>
  </si>
  <si>
    <t>FRECHEIRINHA</t>
  </si>
  <si>
    <t>MTCCS01</t>
  </si>
  <si>
    <t>BCC</t>
  </si>
  <si>
    <t>QMO</t>
  </si>
  <si>
    <t>SB5</t>
  </si>
  <si>
    <t>SQC</t>
  </si>
  <si>
    <t>SB7</t>
  </si>
  <si>
    <t>SAD</t>
  </si>
  <si>
    <t>PWQ</t>
  </si>
  <si>
    <t>COO</t>
  </si>
  <si>
    <t>ARN</t>
  </si>
  <si>
    <t>AQT</t>
  </si>
  <si>
    <t>CB3</t>
  </si>
  <si>
    <t>CLS</t>
  </si>
  <si>
    <t>P10</t>
  </si>
  <si>
    <t>CSC</t>
  </si>
  <si>
    <t>CJM</t>
  </si>
  <si>
    <t>RSN</t>
  </si>
  <si>
    <t>CROATA</t>
  </si>
  <si>
    <t>CACERES</t>
  </si>
  <si>
    <t>SR-AUAUJ4</t>
  </si>
  <si>
    <t>SR-RCSTJ2</t>
  </si>
  <si>
    <t>ALMRI03</t>
  </si>
  <si>
    <t>AB2</t>
  </si>
  <si>
    <t>PEMENR1</t>
  </si>
  <si>
    <t>SR-JZNJJ0</t>
  </si>
  <si>
    <t>SR-FLBCJ1</t>
  </si>
  <si>
    <t>PEARR04</t>
  </si>
  <si>
    <t>XUM</t>
  </si>
  <si>
    <t>TVR</t>
  </si>
  <si>
    <t>BGI</t>
  </si>
  <si>
    <t>SYD</t>
  </si>
  <si>
    <t>CEIUE01</t>
  </si>
  <si>
    <t>TYA</t>
  </si>
  <si>
    <t>JFA</t>
  </si>
  <si>
    <t>SR-NTBM01</t>
  </si>
  <si>
    <t>ACU</t>
  </si>
  <si>
    <t>Umbuzeiro</t>
  </si>
  <si>
    <t>Teotônio Vilela</t>
  </si>
  <si>
    <t>Tianguá</t>
  </si>
  <si>
    <t>MQD</t>
  </si>
  <si>
    <t>P43</t>
  </si>
  <si>
    <t>HSF</t>
  </si>
  <si>
    <t>SWQ</t>
  </si>
  <si>
    <t>LQS</t>
  </si>
  <si>
    <t>EMQ</t>
  </si>
  <si>
    <t>GSC</t>
  </si>
  <si>
    <t>PW7</t>
  </si>
  <si>
    <t>IRC</t>
  </si>
  <si>
    <t>RPL</t>
  </si>
  <si>
    <t>GOT</t>
  </si>
  <si>
    <t>SFI</t>
  </si>
  <si>
    <t>MTC</t>
  </si>
  <si>
    <t>PAI</t>
  </si>
  <si>
    <t>ARP</t>
  </si>
  <si>
    <t>AKN</t>
  </si>
  <si>
    <t>LIZ</t>
  </si>
  <si>
    <t>DIS</t>
  </si>
  <si>
    <t>JED</t>
  </si>
  <si>
    <t>NOA</t>
  </si>
  <si>
    <t>JDD</t>
  </si>
  <si>
    <t>ARD</t>
  </si>
  <si>
    <t>JPR</t>
  </si>
  <si>
    <t>CMQ</t>
  </si>
  <si>
    <t>LDT</t>
  </si>
  <si>
    <t>Iguaraci</t>
  </si>
  <si>
    <t>Santa Filomena</t>
  </si>
  <si>
    <t>Aroeiras</t>
  </si>
  <si>
    <t>Jequiá da Praia</t>
  </si>
  <si>
    <t>Morrinhos</t>
  </si>
  <si>
    <t>Goiatins</t>
  </si>
  <si>
    <t>Paranaiguara</t>
  </si>
  <si>
    <t>Aparecida do Rio Negro</t>
  </si>
  <si>
    <t>Lizarda</t>
  </si>
  <si>
    <t>Jatai</t>
  </si>
  <si>
    <t>Novo Acordo</t>
  </si>
  <si>
    <t>Caldas Novas</t>
  </si>
  <si>
    <t>ARE</t>
  </si>
  <si>
    <t>Arês</t>
  </si>
  <si>
    <t>IOI</t>
  </si>
  <si>
    <t>XOR</t>
  </si>
  <si>
    <t>QAS</t>
  </si>
  <si>
    <t>ACH</t>
  </si>
  <si>
    <t>Ibaretama</t>
  </si>
  <si>
    <t>Quixadá</t>
  </si>
  <si>
    <t>BBT</t>
  </si>
  <si>
    <t>JZA</t>
  </si>
  <si>
    <t>BASDE07</t>
  </si>
  <si>
    <t>BARAT04</t>
  </si>
  <si>
    <t>PEMDL10</t>
  </si>
  <si>
    <t>BACAJ25</t>
  </si>
  <si>
    <t>BABRO07</t>
  </si>
  <si>
    <t>CEBAE06</t>
  </si>
  <si>
    <t>CEEDS17</t>
  </si>
  <si>
    <t>BACAB44</t>
  </si>
  <si>
    <t>BABON16</t>
  </si>
  <si>
    <t>BACAB32</t>
  </si>
  <si>
    <t>BACEN27</t>
  </si>
  <si>
    <t>BAITA54</t>
  </si>
  <si>
    <t>BACAB57</t>
  </si>
  <si>
    <t>BACAJ04</t>
  </si>
  <si>
    <t>BACAB33</t>
  </si>
  <si>
    <t>BABON18</t>
  </si>
  <si>
    <t>CEAER10</t>
  </si>
  <si>
    <t>CEAER27</t>
  </si>
  <si>
    <t>BACAJ19</t>
  </si>
  <si>
    <t>BACAJ20</t>
  </si>
  <si>
    <t>BACAJ21</t>
  </si>
  <si>
    <t>BAPGR10</t>
  </si>
  <si>
    <t>BACAB53</t>
  </si>
  <si>
    <t>BACAJ26</t>
  </si>
  <si>
    <t>BABON29</t>
  </si>
  <si>
    <t>SR-JZLSJ1</t>
  </si>
  <si>
    <t>PXO</t>
  </si>
  <si>
    <t>BAIRA04</t>
  </si>
  <si>
    <t>BAMIN01</t>
  </si>
  <si>
    <t>BABXD01</t>
  </si>
  <si>
    <t>MIRANGABA</t>
  </si>
  <si>
    <t>BAIXA GRANDE</t>
  </si>
  <si>
    <t>BALPO01</t>
  </si>
  <si>
    <t>CEHDA01</t>
  </si>
  <si>
    <t>BACTA02</t>
  </si>
  <si>
    <t>BASXX01</t>
  </si>
  <si>
    <t>LAPÃO</t>
  </si>
  <si>
    <t>HIDROLÂNDIA</t>
  </si>
  <si>
    <t>SERRA PRETA</t>
  </si>
  <si>
    <t>IRF</t>
  </si>
  <si>
    <t>AKO</t>
  </si>
  <si>
    <t>SYH</t>
  </si>
  <si>
    <t>PAU</t>
  </si>
  <si>
    <t>MDC</t>
  </si>
  <si>
    <t>IJD</t>
  </si>
  <si>
    <t>NBG</t>
  </si>
  <si>
    <t>GEA</t>
  </si>
  <si>
    <t>VSO</t>
  </si>
  <si>
    <t>TPF</t>
  </si>
  <si>
    <t>BMO</t>
  </si>
  <si>
    <t>NLF</t>
  </si>
  <si>
    <t>QIA</t>
  </si>
  <si>
    <t>IGI</t>
  </si>
  <si>
    <t>MCA</t>
  </si>
  <si>
    <t>TSA</t>
  </si>
  <si>
    <t>TRM</t>
  </si>
  <si>
    <t>STB</t>
  </si>
  <si>
    <t>BDR</t>
  </si>
  <si>
    <t>DFSQSF9</t>
  </si>
  <si>
    <t>Granja</t>
  </si>
  <si>
    <t>Bom Sucesso</t>
  </si>
  <si>
    <t>Quixaba</t>
  </si>
  <si>
    <t>Milhã</t>
  </si>
  <si>
    <t>Cabedelo</t>
  </si>
  <si>
    <t>VITORIA DA CONQUISTA</t>
  </si>
  <si>
    <t>MARAU</t>
  </si>
  <si>
    <t>GCJ</t>
  </si>
  <si>
    <t>SR-RCBGJ1</t>
  </si>
  <si>
    <t>SR-JZLSJ3</t>
  </si>
  <si>
    <t>DFGMA88</t>
  </si>
  <si>
    <t>BACAR48</t>
  </si>
  <si>
    <t>BASMF02</t>
  </si>
  <si>
    <t>BAVCZR1</t>
  </si>
  <si>
    <t>PEGOI03</t>
  </si>
  <si>
    <t>CEARP01</t>
  </si>
  <si>
    <t>PBCWX01</t>
  </si>
  <si>
    <t>CEPUB01</t>
  </si>
  <si>
    <t>CEALD06</t>
  </si>
  <si>
    <t>SR-IPGLJ0</t>
  </si>
  <si>
    <t>SR-IPSRJ0</t>
  </si>
  <si>
    <t>SR-JPVLJ0</t>
  </si>
  <si>
    <t>SR-CCCCJ8</t>
  </si>
  <si>
    <t>SR-PLTBJ0</t>
  </si>
  <si>
    <t>BACAL01</t>
  </si>
  <si>
    <t>CENTRAL</t>
  </si>
  <si>
    <t>ABR</t>
  </si>
  <si>
    <t>ASL</t>
  </si>
  <si>
    <t>BACAT02</t>
  </si>
  <si>
    <t>BAGNB05</t>
  </si>
  <si>
    <t>BAJTN01</t>
  </si>
  <si>
    <t>CEFRQ02</t>
  </si>
  <si>
    <t>PEVCI02</t>
  </si>
  <si>
    <t>PEGOIR8</t>
  </si>
  <si>
    <t>RNTUL01</t>
  </si>
  <si>
    <t>CEMVA01</t>
  </si>
  <si>
    <t>BAITR02</t>
  </si>
  <si>
    <t>PEITS01</t>
  </si>
  <si>
    <t>PEAIN03</t>
  </si>
  <si>
    <t>CEBBB03</t>
  </si>
  <si>
    <t>BAMAY80</t>
  </si>
  <si>
    <t>PBLUN01</t>
  </si>
  <si>
    <t>PILDL01</t>
  </si>
  <si>
    <t>BACCT01</t>
  </si>
  <si>
    <t>PBCPXR1</t>
  </si>
  <si>
    <t>PILGA01</t>
  </si>
  <si>
    <t>PITERA5</t>
  </si>
  <si>
    <t>PIFYS01</t>
  </si>
  <si>
    <t>Areia Branca</t>
  </si>
  <si>
    <t>GUANAMBI</t>
  </si>
  <si>
    <t>JITAÚNA</t>
  </si>
  <si>
    <t>AGUA BOA</t>
  </si>
  <si>
    <t>FILADELFIA</t>
  </si>
  <si>
    <t>LANDRI SALES</t>
  </si>
  <si>
    <t>FRANCISCO AYRES</t>
  </si>
  <si>
    <t>SR-JGPDA6</t>
  </si>
  <si>
    <t>SR-JPTBJ2</t>
  </si>
  <si>
    <t>PBSRIR1</t>
  </si>
  <si>
    <t>IMH</t>
  </si>
  <si>
    <t>CEIPU01</t>
  </si>
  <si>
    <t>SR-FEFEJ1</t>
  </si>
  <si>
    <t>PLR</t>
  </si>
  <si>
    <t>RNLNV08</t>
  </si>
  <si>
    <t>RNPTG27</t>
  </si>
  <si>
    <t>PENDT24</t>
  </si>
  <si>
    <t>RNALC08</t>
  </si>
  <si>
    <t>RNPTG26</t>
  </si>
  <si>
    <t>BACAB08</t>
  </si>
  <si>
    <t>PEIPS14</t>
  </si>
  <si>
    <t>BACAB49</t>
  </si>
  <si>
    <t>BACAJ01</t>
  </si>
  <si>
    <t>RNPTG30</t>
  </si>
  <si>
    <t>PEMDL17</t>
  </si>
  <si>
    <t>RNALC06</t>
  </si>
  <si>
    <t>PEBVT17</t>
  </si>
  <si>
    <t>PENDT16</t>
  </si>
  <si>
    <t>RNPTG31</t>
  </si>
  <si>
    <t>PEMDL09</t>
  </si>
  <si>
    <t>RNPTB12</t>
  </si>
  <si>
    <t>CEPAR35</t>
  </si>
  <si>
    <t>BACAJ22</t>
  </si>
  <si>
    <t>PEIPS38</t>
  </si>
  <si>
    <t>RNPTB02</t>
  </si>
  <si>
    <t>BACAB17</t>
  </si>
  <si>
    <t>BAITA48</t>
  </si>
  <si>
    <t>PEIPS11</t>
  </si>
  <si>
    <t>CEAER26</t>
  </si>
  <si>
    <t>PEMDL07</t>
  </si>
  <si>
    <t>BABON04</t>
  </si>
  <si>
    <t>BACEN11</t>
  </si>
  <si>
    <t>BACEN28</t>
  </si>
  <si>
    <t>CEEDS29</t>
  </si>
  <si>
    <t>RNPTB08</t>
  </si>
  <si>
    <t>BACAB38</t>
  </si>
  <si>
    <t>CEEDS33</t>
  </si>
  <si>
    <t>BACAB48</t>
  </si>
  <si>
    <t>PEBVT19</t>
  </si>
  <si>
    <t>Itapipoca</t>
  </si>
  <si>
    <t>PILAR</t>
  </si>
  <si>
    <t>MTSVG05</t>
  </si>
  <si>
    <t>PEBJM03</t>
  </si>
  <si>
    <t>SANTO ANTONIO DO LEVENGER</t>
  </si>
  <si>
    <t>SR-RCIMJ6</t>
  </si>
  <si>
    <t>PBSRIR1_K</t>
  </si>
  <si>
    <t>RNPTG32</t>
  </si>
  <si>
    <t>SR-TYTYJ0</t>
  </si>
  <si>
    <t>SR-PVPVJ0</t>
  </si>
  <si>
    <t>SR-PRPRJ0</t>
  </si>
  <si>
    <t>SR-FLPC06</t>
  </si>
  <si>
    <t>BAAMA85</t>
  </si>
  <si>
    <t>NLDBDB0</t>
  </si>
  <si>
    <t>SR-IEIEJ0</t>
  </si>
  <si>
    <t>SR-PIATJ0</t>
  </si>
  <si>
    <t>SR-ININJ0</t>
  </si>
  <si>
    <t>SR-CARIJ0</t>
  </si>
  <si>
    <t>SR-PICNJ0</t>
  </si>
  <si>
    <t>SR-MUCAJ0</t>
  </si>
  <si>
    <t>SR-RPCEA4</t>
  </si>
  <si>
    <t>BABAR33</t>
  </si>
  <si>
    <t>OLHO D'AGUA DO PIAUI</t>
  </si>
  <si>
    <t xml:space="preserve">SANTA RITA </t>
  </si>
  <si>
    <t>ITAPAJE</t>
  </si>
  <si>
    <t>ALEGRETE DO PIAUI</t>
  </si>
  <si>
    <t>ITAPIUNA</t>
  </si>
  <si>
    <t>CATARINA</t>
  </si>
  <si>
    <t>MUCAMBO</t>
  </si>
  <si>
    <t>TOPMJ06</t>
  </si>
  <si>
    <t>CEJGB01</t>
  </si>
  <si>
    <t>JAGUARIBARA</t>
  </si>
  <si>
    <t>ABV</t>
  </si>
  <si>
    <t>PEX</t>
  </si>
  <si>
    <t>TSD</t>
  </si>
  <si>
    <t>ICK</t>
  </si>
  <si>
    <t>VBE</t>
  </si>
  <si>
    <t>NML</t>
  </si>
  <si>
    <t>SAS</t>
  </si>
  <si>
    <t>PC5</t>
  </si>
  <si>
    <t>CNC</t>
  </si>
  <si>
    <t>Aracati</t>
  </si>
  <si>
    <t>Solonópole</t>
  </si>
  <si>
    <t>IACIARA</t>
  </si>
  <si>
    <t>NOVA MARILANDIA</t>
  </si>
  <si>
    <t>SR-MCSRJ1</t>
  </si>
  <si>
    <t>DFTAGW7</t>
  </si>
  <si>
    <t>SR-TSMAJ1</t>
  </si>
  <si>
    <t>SR-JZNWJ2</t>
  </si>
  <si>
    <t>CEAER34</t>
  </si>
  <si>
    <t>SR-BRBRJ0</t>
  </si>
  <si>
    <t>SR-RRPIJ1</t>
  </si>
  <si>
    <t>SR-PIPKJ0</t>
  </si>
  <si>
    <t>SR-PICZJ0</t>
  </si>
  <si>
    <t>SR-PIAIJ0</t>
  </si>
  <si>
    <t>SR-PIBCJ0</t>
  </si>
  <si>
    <t>SR-PISLJ0</t>
  </si>
  <si>
    <t>SR-OEOEJ0</t>
  </si>
  <si>
    <t>SR-PIWFJ0</t>
  </si>
  <si>
    <t>SR-PISRJ0</t>
  </si>
  <si>
    <t>BABAR34</t>
  </si>
  <si>
    <t>SR-IGIGJ2</t>
  </si>
  <si>
    <t>SR-JJJJJ5</t>
  </si>
  <si>
    <t>SR-CYCYJ2</t>
  </si>
  <si>
    <t>STZ</t>
  </si>
  <si>
    <t>LND</t>
  </si>
  <si>
    <t>RTG</t>
  </si>
  <si>
    <t>CTT</t>
  </si>
  <si>
    <t>SANTA CRUZ DO PIAUI</t>
  </si>
  <si>
    <t>PAQUETA</t>
  </si>
  <si>
    <t>CAJAZEIRAS DO PIAUI</t>
  </si>
  <si>
    <t>AROEIRAS DO ITAIM</t>
  </si>
  <si>
    <t>BOCAINA</t>
  </si>
  <si>
    <t>SAO LUIS DO PIAUI</t>
  </si>
  <si>
    <t>OEIRAS</t>
  </si>
  <si>
    <t>WALL FERRAZ</t>
  </si>
  <si>
    <t>SANTA ROSA DO PIAUI</t>
  </si>
  <si>
    <t>Santa Teresinha</t>
  </si>
  <si>
    <t>CRATEUS</t>
  </si>
  <si>
    <t>DFSOB25</t>
  </si>
  <si>
    <t>BACAR75</t>
  </si>
  <si>
    <t>PEBVT25</t>
  </si>
  <si>
    <t>SR-FLETJ1</t>
  </si>
  <si>
    <t>SR-ZCZCJ1</t>
  </si>
  <si>
    <t>SR-AAAAJ0</t>
  </si>
  <si>
    <t>CAAPORA</t>
  </si>
  <si>
    <t>RNPTB06</t>
  </si>
  <si>
    <t>PENDT31</t>
  </si>
  <si>
    <t>PEMDL02</t>
  </si>
  <si>
    <t>RNLNV01</t>
  </si>
  <si>
    <t>RNALC01</t>
  </si>
  <si>
    <t>PITERR3</t>
  </si>
  <si>
    <t>RNPTB14</t>
  </si>
  <si>
    <t>PENDT21</t>
  </si>
  <si>
    <t>PEIPS91</t>
  </si>
  <si>
    <t>PEBVT15</t>
  </si>
  <si>
    <t>ALFAR18</t>
  </si>
  <si>
    <t>BACAB22</t>
  </si>
  <si>
    <t>CEAER17</t>
  </si>
  <si>
    <t>ALCLI20</t>
  </si>
  <si>
    <t>ALFAR55</t>
  </si>
  <si>
    <t>ALFAR22</t>
  </si>
  <si>
    <t>ALCAS09</t>
  </si>
  <si>
    <t>BACAB55</t>
  </si>
  <si>
    <t>PECRU41</t>
  </si>
  <si>
    <t>BABAR43</t>
  </si>
  <si>
    <t>PEMDL14</t>
  </si>
  <si>
    <t>PBQUS03</t>
  </si>
  <si>
    <t>PITER81</t>
  </si>
  <si>
    <t>PITER30</t>
  </si>
  <si>
    <t>PITER88</t>
  </si>
  <si>
    <t>DTJ</t>
  </si>
  <si>
    <t>CZA</t>
  </si>
  <si>
    <t>JSE</t>
  </si>
  <si>
    <t>YTN</t>
  </si>
  <si>
    <t>OHB</t>
  </si>
  <si>
    <t>CPZ</t>
  </si>
  <si>
    <t>MHE</t>
  </si>
  <si>
    <t>IBX</t>
  </si>
  <si>
    <t>TFA</t>
  </si>
  <si>
    <t>AUT</t>
  </si>
  <si>
    <t>EUL</t>
  </si>
  <si>
    <t>UVF</t>
  </si>
  <si>
    <t>OHC</t>
  </si>
  <si>
    <t>CEMVA06</t>
  </si>
  <si>
    <t>RNCSS01</t>
  </si>
  <si>
    <t>BLX</t>
  </si>
  <si>
    <t>CMR</t>
  </si>
  <si>
    <t>NSN</t>
  </si>
  <si>
    <t>QNV</t>
  </si>
  <si>
    <t>RBP</t>
  </si>
  <si>
    <t>SJA</t>
  </si>
  <si>
    <t>SNM</t>
  </si>
  <si>
    <t>MSO</t>
  </si>
  <si>
    <t>OEY</t>
  </si>
  <si>
    <t>TSS</t>
  </si>
  <si>
    <t>EMP</t>
  </si>
  <si>
    <t>OBF</t>
  </si>
  <si>
    <t>BVZ</t>
  </si>
  <si>
    <t>Monte Horebe</t>
  </si>
  <si>
    <t>Itapagé</t>
  </si>
  <si>
    <t>Triunfo</t>
  </si>
  <si>
    <t>Aurora</t>
  </si>
  <si>
    <t>Belém</t>
  </si>
  <si>
    <t>Cumaru</t>
  </si>
  <si>
    <t>Nossa Senhora de Nazaré</t>
  </si>
  <si>
    <t>Queimada Nova</t>
  </si>
  <si>
    <t>Ribeira do Piauí</t>
  </si>
  <si>
    <t>São João da Serra</t>
  </si>
  <si>
    <t>SR-JPUNJ5</t>
  </si>
  <si>
    <t>SR-PCPCJ1</t>
  </si>
  <si>
    <t>SR-CARVJ0</t>
  </si>
  <si>
    <t>CAICARA DO RIO DO VENTO</t>
  </si>
  <si>
    <t>TRS</t>
  </si>
  <si>
    <t>AEI</t>
  </si>
  <si>
    <t>QMT</t>
  </si>
  <si>
    <t>AREIA</t>
  </si>
  <si>
    <t>QUEIMADA</t>
  </si>
  <si>
    <t>CEACRR1</t>
  </si>
  <si>
    <t>CEALD22</t>
  </si>
  <si>
    <t>ALCUI03</t>
  </si>
  <si>
    <t>ALBDG03</t>
  </si>
  <si>
    <t>BACWG01</t>
  </si>
  <si>
    <t>PEPTA42</t>
  </si>
  <si>
    <t>ALTNV03</t>
  </si>
  <si>
    <t>PEJBO26</t>
  </si>
  <si>
    <t>ALCLI39</t>
  </si>
  <si>
    <t>ALCLI49</t>
  </si>
  <si>
    <t>ALCLI12</t>
  </si>
  <si>
    <t>PECAA04</t>
  </si>
  <si>
    <t>PEPTA06</t>
  </si>
  <si>
    <t>BAOUL01</t>
  </si>
  <si>
    <t>BAREM01</t>
  </si>
  <si>
    <t>ALRGO01</t>
  </si>
  <si>
    <t>ALVIS90</t>
  </si>
  <si>
    <t>ALFXSR1</t>
  </si>
  <si>
    <t>BAAMA48</t>
  </si>
  <si>
    <t>BABON17</t>
  </si>
  <si>
    <t>PITER47</t>
  </si>
  <si>
    <t>PITER79</t>
  </si>
  <si>
    <t>PITERA3</t>
  </si>
  <si>
    <t>PITER84</t>
  </si>
  <si>
    <t>PITER94</t>
  </si>
  <si>
    <t>CEBAE09</t>
  </si>
  <si>
    <t>CEAER07</t>
  </si>
  <si>
    <t>RNTIB02</t>
  </si>
  <si>
    <t>CAPELA DO ALTO ALEGRE</t>
  </si>
  <si>
    <t>OUROLÂNDIA</t>
  </si>
  <si>
    <t>REMANSO</t>
  </si>
  <si>
    <t>FLEXEIRAS</t>
  </si>
  <si>
    <t>TIBAU</t>
  </si>
  <si>
    <t>SR-JPCEJ9</t>
  </si>
  <si>
    <t>(vazio)</t>
  </si>
  <si>
    <t>ALMHD08</t>
  </si>
  <si>
    <t>ALMHD10</t>
  </si>
  <si>
    <t>CESPM01</t>
  </si>
  <si>
    <t>ALNLO01</t>
  </si>
  <si>
    <t>ALFAR13</t>
  </si>
  <si>
    <t>CEAER32</t>
  </si>
  <si>
    <t>PITER77</t>
  </si>
  <si>
    <t>PITER73</t>
  </si>
  <si>
    <t>PESVF01</t>
  </si>
  <si>
    <t>PBSRI01_K</t>
  </si>
  <si>
    <t>SÃO VICENTE FERRER</t>
  </si>
  <si>
    <t>ALCLI43</t>
  </si>
  <si>
    <t>PITER72</t>
  </si>
  <si>
    <t>GJN</t>
  </si>
  <si>
    <t>TJP</t>
  </si>
  <si>
    <t>APB</t>
  </si>
  <si>
    <t>TPR</t>
  </si>
  <si>
    <t>TFC</t>
  </si>
  <si>
    <t>PQD</t>
  </si>
  <si>
    <t>LGR</t>
  </si>
  <si>
    <t>Tuparetama</t>
  </si>
  <si>
    <t>Lagoa Grande</t>
  </si>
  <si>
    <t>TRÊS LAGOAS</t>
  </si>
  <si>
    <t>ÁGUAS LINDAS DE GOIÁS</t>
  </si>
  <si>
    <t>PEBJM05</t>
  </si>
  <si>
    <t>BACEN34</t>
  </si>
  <si>
    <t>PBCGE11</t>
  </si>
  <si>
    <t>SR-COCOJ1</t>
  </si>
  <si>
    <t>STO</t>
  </si>
  <si>
    <t>GES</t>
  </si>
  <si>
    <t>OHQ</t>
  </si>
  <si>
    <t>PAW</t>
  </si>
  <si>
    <t>RCE</t>
  </si>
  <si>
    <t>KUI</t>
  </si>
  <si>
    <t>OAW</t>
  </si>
  <si>
    <t>RED</t>
  </si>
  <si>
    <t>OFM</t>
  </si>
  <si>
    <t>URN</t>
  </si>
  <si>
    <t>AQR</t>
  </si>
  <si>
    <t>GMA</t>
  </si>
  <si>
    <t>OXS</t>
  </si>
  <si>
    <t>ALR</t>
  </si>
  <si>
    <t>OMF</t>
  </si>
  <si>
    <t>IAB</t>
  </si>
  <si>
    <t>PMS</t>
  </si>
  <si>
    <t>AVU</t>
  </si>
  <si>
    <t>GXM</t>
  </si>
  <si>
    <t>BACAR45</t>
  </si>
  <si>
    <t>GID</t>
  </si>
  <si>
    <t>VAB</t>
  </si>
  <si>
    <t>PTR</t>
  </si>
  <si>
    <t>CQZ</t>
  </si>
  <si>
    <t>RFT</t>
  </si>
  <si>
    <t>RC3</t>
  </si>
  <si>
    <t>GTS</t>
  </si>
  <si>
    <t>GNN</t>
  </si>
  <si>
    <t>GYS</t>
  </si>
  <si>
    <t>PELIO03</t>
  </si>
  <si>
    <t>ALCLI08</t>
  </si>
  <si>
    <t>DES</t>
  </si>
  <si>
    <t>GUS</t>
  </si>
  <si>
    <t>CEAER31</t>
  </si>
  <si>
    <t>CECEN06</t>
  </si>
  <si>
    <t>CEAER25</t>
  </si>
  <si>
    <t>Petrolândia</t>
  </si>
  <si>
    <t>Desterro</t>
  </si>
  <si>
    <t>Redenção</t>
  </si>
  <si>
    <t>UF2</t>
  </si>
  <si>
    <t>FJA</t>
  </si>
  <si>
    <t>FRANCA</t>
  </si>
  <si>
    <t>SP</t>
  </si>
  <si>
    <t>TOCGO06</t>
  </si>
  <si>
    <t>TOAVO01</t>
  </si>
  <si>
    <t>Colinas do Tocantins</t>
  </si>
  <si>
    <t>ALVORADA</t>
  </si>
  <si>
    <t>BABON05</t>
  </si>
  <si>
    <t>PEVSAR1</t>
  </si>
  <si>
    <t>PEGOI07</t>
  </si>
  <si>
    <t>PEACV04</t>
  </si>
  <si>
    <t>BABRO10</t>
  </si>
  <si>
    <t>PEIQW01</t>
  </si>
  <si>
    <t>PITER14</t>
  </si>
  <si>
    <t>RNPTR01</t>
  </si>
  <si>
    <t>PEBVT21</t>
  </si>
  <si>
    <t>ITAQUITINGA</t>
  </si>
  <si>
    <t>QBG</t>
  </si>
  <si>
    <t>JUR</t>
  </si>
  <si>
    <t>UFR</t>
  </si>
  <si>
    <t>JCR</t>
  </si>
  <si>
    <t>AGF</t>
  </si>
  <si>
    <t>ELB</t>
  </si>
  <si>
    <t>CBO</t>
  </si>
  <si>
    <t>CAR</t>
  </si>
  <si>
    <t>Jurema</t>
  </si>
  <si>
    <t>Santana do Acaraú</t>
  </si>
  <si>
    <t>QUIXABEIRA</t>
  </si>
  <si>
    <t>SFN</t>
  </si>
  <si>
    <t>EMT</t>
  </si>
  <si>
    <t>AUY</t>
  </si>
  <si>
    <t>SWX</t>
  </si>
  <si>
    <t>ALC</t>
  </si>
  <si>
    <t>TON</t>
  </si>
  <si>
    <t>CEEDS21</t>
  </si>
  <si>
    <t>DFSQN81</t>
  </si>
  <si>
    <t>PTI</t>
  </si>
  <si>
    <t>REP</t>
  </si>
  <si>
    <t>PBCRI28</t>
  </si>
  <si>
    <t>Crateús</t>
  </si>
  <si>
    <t xml:space="preserve">ARUANA </t>
  </si>
  <si>
    <t xml:space="preserve">PALMAS </t>
  </si>
  <si>
    <t>SANTO ANTONIO DO LESTE</t>
  </si>
  <si>
    <t>ORZ</t>
  </si>
  <si>
    <t>TDQ</t>
  </si>
  <si>
    <t>TBJ</t>
  </si>
  <si>
    <t>CBZ</t>
  </si>
  <si>
    <t>XCE</t>
  </si>
  <si>
    <t>PDH</t>
  </si>
  <si>
    <t>Cuité</t>
  </si>
  <si>
    <t>BEP_SP</t>
  </si>
  <si>
    <t>VTP_SP</t>
  </si>
  <si>
    <t>BOA ESPERANÇA DO SUL</t>
  </si>
  <si>
    <t>CAMPINAS</t>
  </si>
  <si>
    <t>CEEDS06</t>
  </si>
  <si>
    <t>TIN</t>
  </si>
  <si>
    <t>ALAIR02</t>
  </si>
  <si>
    <t>PEMDL27</t>
  </si>
  <si>
    <t>BAFSA55</t>
  </si>
  <si>
    <t>CEBAE01</t>
  </si>
  <si>
    <t>ENE</t>
  </si>
  <si>
    <t>JAX</t>
  </si>
  <si>
    <t>FCJ</t>
  </si>
  <si>
    <t>NA2</t>
  </si>
  <si>
    <t>PEIPJ04</t>
  </si>
  <si>
    <t>GUIRATINGA</t>
  </si>
  <si>
    <t>PLJ</t>
  </si>
  <si>
    <t>SJT</t>
  </si>
  <si>
    <t>DUS</t>
  </si>
  <si>
    <t>São José da Tapera</t>
  </si>
  <si>
    <t>MTROI03</t>
  </si>
  <si>
    <t>TSN</t>
  </si>
  <si>
    <t>PEMDL35</t>
  </si>
  <si>
    <t>CFI</t>
  </si>
  <si>
    <t>SR-RCISJ3</t>
  </si>
  <si>
    <t>DFSQS81</t>
  </si>
  <si>
    <t>SR-RCJSJ1</t>
  </si>
  <si>
    <t>SR-PNPNJ2</t>
  </si>
  <si>
    <t>SR-PNPNJ5</t>
  </si>
  <si>
    <t>SR-ATATJ0</t>
  </si>
  <si>
    <t>SR-BOBOJ3</t>
  </si>
  <si>
    <t>SR-QBQBJ0</t>
  </si>
  <si>
    <t>SR-QXQXJ0</t>
  </si>
  <si>
    <t>SR-QXQXJ2</t>
  </si>
  <si>
    <t>PMN</t>
  </si>
  <si>
    <t>GNB</t>
  </si>
  <si>
    <t>FSJ</t>
  </si>
  <si>
    <t>SR-RCBVA1</t>
  </si>
  <si>
    <t>SR-RCPNA0</t>
  </si>
  <si>
    <t>SR-RCPRJ1</t>
  </si>
  <si>
    <t>PARNAIBA</t>
  </si>
  <si>
    <t>BREJO SANTO</t>
  </si>
  <si>
    <t>QUIXADA</t>
  </si>
  <si>
    <t>SR-RURUJ2</t>
  </si>
  <si>
    <t>NA1</t>
  </si>
  <si>
    <t>PEMDL38</t>
  </si>
  <si>
    <t>RNPIM01</t>
  </si>
  <si>
    <t>CESOL01</t>
  </si>
  <si>
    <t>PEVSA07</t>
  </si>
  <si>
    <t>SR-MCHEJ0</t>
  </si>
  <si>
    <t>PBTAB27</t>
  </si>
  <si>
    <t>PEIPS42</t>
  </si>
  <si>
    <t>CEPAR29</t>
  </si>
  <si>
    <t>RONDONOPOLIS</t>
  </si>
  <si>
    <t>GOIANESIA</t>
  </si>
  <si>
    <t>MAUA</t>
  </si>
  <si>
    <t>TPF_MT</t>
  </si>
  <si>
    <t>TPR_MT</t>
  </si>
  <si>
    <t>VAB_MT</t>
  </si>
  <si>
    <t>TDW_PI</t>
  </si>
  <si>
    <t>OCG_AL</t>
  </si>
  <si>
    <t>LGM_AL</t>
  </si>
  <si>
    <t>NSS_RN</t>
  </si>
  <si>
    <t>OJH_CE</t>
  </si>
  <si>
    <t>MCA_CE</t>
  </si>
  <si>
    <t>Primavera do Leste</t>
  </si>
  <si>
    <t>Varzea Grande</t>
  </si>
  <si>
    <t>Matias Olimpio</t>
  </si>
  <si>
    <t>Girau do Ponciano</t>
  </si>
  <si>
    <t>Maracanau</t>
  </si>
  <si>
    <t>Guiratinga</t>
  </si>
  <si>
    <t>Milha</t>
  </si>
  <si>
    <t>FSJ_MT</t>
  </si>
  <si>
    <t>RNMRO07</t>
  </si>
  <si>
    <t>PEVSA04</t>
  </si>
  <si>
    <t>SR-RCIMJ9</t>
  </si>
  <si>
    <t>SR-RCCXJ1</t>
  </si>
  <si>
    <t>CEESB09</t>
  </si>
  <si>
    <t>DFGMA09</t>
  </si>
  <si>
    <t>SR-EUEUJ1</t>
  </si>
  <si>
    <t>SR-BBPFJ0</t>
  </si>
  <si>
    <t>RHO_PB</t>
  </si>
  <si>
    <t>RKA_SP</t>
  </si>
  <si>
    <t>VVE_GO</t>
  </si>
  <si>
    <t>KRO_SP</t>
  </si>
  <si>
    <t>JGN_SP</t>
  </si>
  <si>
    <t>LON_SP</t>
  </si>
  <si>
    <t>DVN_SP</t>
  </si>
  <si>
    <t>Ribeirão Preto</t>
  </si>
  <si>
    <t>Rio Verde</t>
  </si>
  <si>
    <t>Jaguariuna</t>
  </si>
  <si>
    <t>Campinas</t>
  </si>
  <si>
    <t>DIVINOLANDIA</t>
  </si>
  <si>
    <t>pe</t>
  </si>
  <si>
    <t>Beberibe</t>
  </si>
  <si>
    <t>ST6_DF</t>
  </si>
  <si>
    <t>LDZ_MT</t>
  </si>
  <si>
    <t>TAX_GO</t>
  </si>
  <si>
    <t>AQP_MT</t>
  </si>
  <si>
    <t>RJM_GO</t>
  </si>
  <si>
    <t>RDQ_MT</t>
  </si>
  <si>
    <t>SEL_DF</t>
  </si>
  <si>
    <t>BLA_DF</t>
  </si>
  <si>
    <t>Lucas do Rio Verde</t>
  </si>
  <si>
    <t>Alexania</t>
  </si>
  <si>
    <t>Sinop</t>
  </si>
  <si>
    <t>Dom Aquino</t>
  </si>
  <si>
    <t>RAM_MT</t>
  </si>
  <si>
    <t>PD2_GO</t>
  </si>
  <si>
    <t>JMI_SP</t>
  </si>
  <si>
    <t>PDQ_TO</t>
  </si>
  <si>
    <t>Rondonopolis</t>
  </si>
  <si>
    <t>Palmas</t>
  </si>
  <si>
    <t>PBCGE33</t>
  </si>
  <si>
    <t>PBCRI32</t>
  </si>
  <si>
    <t>PEJBO46</t>
  </si>
  <si>
    <t>ALCAS20</t>
  </si>
  <si>
    <t>PBCRI13</t>
  </si>
  <si>
    <t>RNPTG03</t>
  </si>
  <si>
    <t>BABON37</t>
  </si>
  <si>
    <t>PBCRI27</t>
  </si>
  <si>
    <t>PILZNR1</t>
  </si>
  <si>
    <t>JOAQUIM PIRES</t>
  </si>
  <si>
    <t>BACAB40</t>
  </si>
  <si>
    <t>DFSQNX7</t>
  </si>
  <si>
    <t>CEACA04</t>
  </si>
  <si>
    <t>SR-RCIBJ4</t>
  </si>
  <si>
    <t>SR-NTPT00</t>
  </si>
  <si>
    <t>SR-TRTRJ2</t>
  </si>
  <si>
    <t>SR-RURUJ0</t>
  </si>
  <si>
    <t>SR-TRTRJ3</t>
  </si>
  <si>
    <t>SR-ATATJ4</t>
  </si>
  <si>
    <t>SR-QBQBJ1</t>
  </si>
  <si>
    <t>SR-DBDBJ0</t>
  </si>
  <si>
    <t>SR-RCAFJ0</t>
  </si>
  <si>
    <t>SR-NTLNJ5</t>
  </si>
  <si>
    <t>SR-NTLNJ8</t>
  </si>
  <si>
    <t>DFSQSY6</t>
  </si>
  <si>
    <t>DFSQNC5</t>
  </si>
  <si>
    <t>PECAA05</t>
  </si>
  <si>
    <t>PIPNA02</t>
  </si>
  <si>
    <t>BAFSA20</t>
  </si>
  <si>
    <t>BAITA12</t>
  </si>
  <si>
    <t>BASAJ09</t>
  </si>
  <si>
    <t>BASMF27</t>
  </si>
  <si>
    <t>BASES01</t>
  </si>
  <si>
    <t>PECRU20</t>
  </si>
  <si>
    <t>SANTO ESTÊVÃO</t>
  </si>
  <si>
    <t>DES_MT</t>
  </si>
  <si>
    <t>MIL_TO</t>
  </si>
  <si>
    <t>BMP_GO</t>
  </si>
  <si>
    <t>PDS_TO</t>
  </si>
  <si>
    <t>POQ_TO</t>
  </si>
  <si>
    <t>PEX_MT</t>
  </si>
  <si>
    <t>GID_DF</t>
  </si>
  <si>
    <t>CPV_GO</t>
  </si>
  <si>
    <t>PQD_GO</t>
  </si>
  <si>
    <t>PTI_GO</t>
  </si>
  <si>
    <t>LSN_GO</t>
  </si>
  <si>
    <t>LGR_GO</t>
  </si>
  <si>
    <t>ENE_DF</t>
  </si>
  <si>
    <t>GTS_DF</t>
  </si>
  <si>
    <t>PAT_DF</t>
  </si>
  <si>
    <t>VPD_GO</t>
  </si>
  <si>
    <t>EUR_GO</t>
  </si>
  <si>
    <t>JAM_MT</t>
  </si>
  <si>
    <t>PQO_TO</t>
  </si>
  <si>
    <t>GNB_GO</t>
  </si>
  <si>
    <t>CZS_MT</t>
  </si>
  <si>
    <t>NVG_GO</t>
  </si>
  <si>
    <t>MKT_MT</t>
  </si>
  <si>
    <t>Luziania</t>
  </si>
  <si>
    <t>Aparecida de Goiania</t>
  </si>
  <si>
    <t>Alto Garcas</t>
  </si>
  <si>
    <t>Nova Gloria</t>
  </si>
  <si>
    <t>Matupá</t>
  </si>
  <si>
    <t>BAJUA24</t>
  </si>
  <si>
    <t>RNPTB04</t>
  </si>
  <si>
    <t>SR-PNPNJ1</t>
  </si>
  <si>
    <t>SR-JJJJJ3</t>
  </si>
  <si>
    <t>RIP_SP</t>
  </si>
  <si>
    <t>RIBEIRÃO PRETO</t>
  </si>
  <si>
    <t>JAI</t>
  </si>
  <si>
    <t>YFD</t>
  </si>
  <si>
    <t>PGX</t>
  </si>
  <si>
    <t>ITY</t>
  </si>
  <si>
    <t>XAS</t>
  </si>
  <si>
    <t>OJI</t>
  </si>
  <si>
    <t>YCW</t>
  </si>
  <si>
    <t>OLK</t>
  </si>
  <si>
    <t>PIO</t>
  </si>
  <si>
    <t>OGA</t>
  </si>
  <si>
    <t>Poranga</t>
  </si>
  <si>
    <t>Jaboatao dos Guararapes</t>
  </si>
  <si>
    <t>PWC_DF</t>
  </si>
  <si>
    <t>TSC_MT</t>
  </si>
  <si>
    <t>FSA_MT</t>
  </si>
  <si>
    <t>TSB_MT</t>
  </si>
  <si>
    <t>SR-MCCEJ4</t>
  </si>
  <si>
    <t>CBM_MT</t>
  </si>
  <si>
    <t xml:space="preserve">CUIABA </t>
  </si>
  <si>
    <t>BAIBU16</t>
  </si>
  <si>
    <t>BAFSA63</t>
  </si>
  <si>
    <t>CRE_MT</t>
  </si>
  <si>
    <t>PHI_GO</t>
  </si>
  <si>
    <t>PR2_DF</t>
  </si>
  <si>
    <t>PEJBO03</t>
  </si>
  <si>
    <t>BALFS27</t>
  </si>
  <si>
    <t>ABON12</t>
  </si>
  <si>
    <t>CECEN18</t>
  </si>
  <si>
    <t>SR-NMNMJ0</t>
  </si>
  <si>
    <t>PEPTA11</t>
  </si>
  <si>
    <t>PEGGT01</t>
  </si>
  <si>
    <t>SANTANA DO IPANEMA</t>
  </si>
  <si>
    <t>SA9_SP</t>
  </si>
  <si>
    <t>ATG_SP</t>
  </si>
  <si>
    <t>MGP_SP</t>
  </si>
  <si>
    <t>Piracicaba</t>
  </si>
  <si>
    <t>Artur Nogueira</t>
  </si>
  <si>
    <t>Mogi Guacu</t>
  </si>
  <si>
    <t>SS6_DF</t>
  </si>
  <si>
    <t>CS2_DF</t>
  </si>
  <si>
    <t>MAZ_PE</t>
  </si>
  <si>
    <t>LUB_RN</t>
  </si>
  <si>
    <t>SOU_PB</t>
  </si>
  <si>
    <t>SUE_BA</t>
  </si>
  <si>
    <t>VGE_BA</t>
  </si>
  <si>
    <t>PMW_CE</t>
  </si>
  <si>
    <t>TWR_PB</t>
  </si>
  <si>
    <t>URS_PE</t>
  </si>
  <si>
    <t>ORL_PE</t>
  </si>
  <si>
    <t>OHA_CE</t>
  </si>
  <si>
    <t>BJP_PE</t>
  </si>
  <si>
    <t>BMM_PB</t>
  </si>
  <si>
    <t>DIL_SP</t>
  </si>
  <si>
    <t>Sao Miguel de Taipu</t>
  </si>
  <si>
    <t>Simoes Filho</t>
  </si>
  <si>
    <t>Pindobacu</t>
  </si>
  <si>
    <t>Casa Branca</t>
  </si>
  <si>
    <t>PELOI01</t>
  </si>
  <si>
    <t>BABAR36</t>
  </si>
  <si>
    <t>BALFS03</t>
  </si>
  <si>
    <t>BARIA01</t>
  </si>
  <si>
    <t>PAC_DF</t>
  </si>
  <si>
    <t>SAT_DF</t>
  </si>
  <si>
    <t>GUS_DF</t>
  </si>
  <si>
    <t>BAJUA33</t>
  </si>
  <si>
    <t>ALMGI04</t>
  </si>
  <si>
    <t>PBCZS02</t>
  </si>
  <si>
    <t>PBCGE24</t>
  </si>
  <si>
    <t>BOI_MT</t>
  </si>
  <si>
    <t>Caceres</t>
  </si>
  <si>
    <t>TFC_MT</t>
  </si>
  <si>
    <t>XXD</t>
  </si>
  <si>
    <t>XMK</t>
  </si>
  <si>
    <t>ORL</t>
  </si>
  <si>
    <t>BAVCT45</t>
  </si>
  <si>
    <t>BAIBU07</t>
  </si>
  <si>
    <t>YFC</t>
  </si>
  <si>
    <t>DVS</t>
  </si>
  <si>
    <t>BACAJ07</t>
  </si>
  <si>
    <t xml:space="preserve">CANINDE </t>
  </si>
  <si>
    <t>MORRO CABECA NO TEMPO</t>
  </si>
  <si>
    <t>SR-FLPLJ1</t>
  </si>
  <si>
    <t>SR-AEAEJ0</t>
  </si>
  <si>
    <t>Areia</t>
  </si>
  <si>
    <t>CECIE01</t>
  </si>
  <si>
    <t>Canindé</t>
  </si>
  <si>
    <t>TOPMJ08</t>
  </si>
  <si>
    <t>TOPMJ51</t>
  </si>
  <si>
    <t>PIJFR01</t>
  </si>
  <si>
    <t>Jose de Freitas</t>
  </si>
  <si>
    <t>SR-RCLHJ0</t>
  </si>
  <si>
    <t>RN1286</t>
  </si>
  <si>
    <t>NTCE01</t>
  </si>
  <si>
    <t>RN1128</t>
  </si>
  <si>
    <t>RN1274</t>
  </si>
  <si>
    <t>TOPMJ32</t>
  </si>
  <si>
    <t>PEIPJ07</t>
  </si>
  <si>
    <t>CECUC03</t>
  </si>
  <si>
    <t>SS6</t>
  </si>
  <si>
    <t>RNPTG09</t>
  </si>
  <si>
    <t>BABRO34</t>
  </si>
  <si>
    <t>BASAM02</t>
  </si>
  <si>
    <t>SANTO AMARO</t>
  </si>
  <si>
    <t>TOPMJ02</t>
  </si>
  <si>
    <t>PEPTA04</t>
  </si>
  <si>
    <t>DFSQN0B</t>
  </si>
  <si>
    <t>NOB_SP</t>
  </si>
  <si>
    <t>Nova Odessa</t>
  </si>
  <si>
    <t>MIN_SP</t>
  </si>
  <si>
    <t>VHC_SP</t>
  </si>
  <si>
    <t>Vinhedo</t>
  </si>
  <si>
    <t>MGI_SP</t>
  </si>
  <si>
    <t>ROZ_SP</t>
  </si>
  <si>
    <t>Sao Jose do Rio Preto</t>
  </si>
  <si>
    <t>1CJ_SP</t>
  </si>
  <si>
    <t>NGL_SP</t>
  </si>
  <si>
    <t>NOS_SP</t>
  </si>
  <si>
    <t>VEC_SP</t>
  </si>
  <si>
    <t>Votuporanga</t>
  </si>
  <si>
    <t>CIU_GO</t>
  </si>
  <si>
    <t>SR-AQAQJ0</t>
  </si>
  <si>
    <t xml:space="preserve"> Aquiraz</t>
  </si>
  <si>
    <t>SR-AQPDJ2</t>
  </si>
  <si>
    <t>GIA_CE</t>
  </si>
  <si>
    <t>Groaíras</t>
  </si>
  <si>
    <t>VOS_SP</t>
  </si>
  <si>
    <t>VALINHOS</t>
  </si>
  <si>
    <t>BAVCT29</t>
  </si>
  <si>
    <t>BACAJ08</t>
  </si>
  <si>
    <t>BAMJO10</t>
  </si>
  <si>
    <t>BACEN37</t>
  </si>
  <si>
    <t>BATPT05</t>
  </si>
  <si>
    <t>BAVCT09</t>
  </si>
  <si>
    <t>OHA</t>
  </si>
  <si>
    <t>PECRU14</t>
  </si>
  <si>
    <t>XPS</t>
  </si>
  <si>
    <t>BJP</t>
  </si>
  <si>
    <t>ALK</t>
  </si>
  <si>
    <t>Pendências</t>
  </si>
  <si>
    <t>Bonito</t>
  </si>
  <si>
    <t>SGW_SP</t>
  </si>
  <si>
    <t>LAO_PE</t>
  </si>
  <si>
    <t>TER_PE</t>
  </si>
  <si>
    <t>CR9_SP</t>
  </si>
  <si>
    <t>ONY_PB</t>
  </si>
  <si>
    <t>PEJBO36</t>
  </si>
  <si>
    <t>CETIG01</t>
  </si>
  <si>
    <t>PBTAB17</t>
  </si>
  <si>
    <t>ALCLI47</t>
  </si>
  <si>
    <t>PEBJM02</t>
  </si>
  <si>
    <t>PBBQO01</t>
  </si>
  <si>
    <t>RNPTB13</t>
  </si>
  <si>
    <t>BABON45</t>
  </si>
  <si>
    <t>TIANGUÁ</t>
  </si>
  <si>
    <t>DS3_SP</t>
  </si>
  <si>
    <t>SANTA RITA DO PASSA QUATRO</t>
  </si>
  <si>
    <t>SANTA GERTUDES</t>
  </si>
  <si>
    <t>DOURADO</t>
  </si>
  <si>
    <t>CS2</t>
  </si>
  <si>
    <t>PR2</t>
  </si>
  <si>
    <t>RLA</t>
  </si>
  <si>
    <t>RLB</t>
  </si>
  <si>
    <t>ONS</t>
  </si>
  <si>
    <t>PGS</t>
  </si>
  <si>
    <t>GRT</t>
  </si>
  <si>
    <t>SER</t>
  </si>
  <si>
    <t>PAP</t>
  </si>
  <si>
    <t>SP1</t>
  </si>
  <si>
    <t>OBP</t>
  </si>
  <si>
    <t>RES</t>
  </si>
  <si>
    <t>CIU</t>
  </si>
  <si>
    <t>UBA</t>
  </si>
  <si>
    <t>SPP</t>
  </si>
  <si>
    <t>ONB</t>
  </si>
  <si>
    <t>QUA</t>
  </si>
  <si>
    <t>Ilha de Itamaracá</t>
  </si>
  <si>
    <t>Paripueira</t>
  </si>
  <si>
    <t>CSC_DF</t>
  </si>
  <si>
    <t>SPP_PB</t>
  </si>
  <si>
    <t>OBY_AL</t>
  </si>
  <si>
    <t>Roteiro</t>
  </si>
  <si>
    <t>BPO_AL</t>
  </si>
  <si>
    <t>Barra de São Miguel</t>
  </si>
  <si>
    <t>OVW_RN</t>
  </si>
  <si>
    <t>São Gonçalo do Amarante</t>
  </si>
  <si>
    <t>PEGUS02</t>
  </si>
  <si>
    <t>PEGUS01</t>
  </si>
  <si>
    <t>TOPMJ05</t>
  </si>
  <si>
    <t>SR-AQPDJ3</t>
  </si>
  <si>
    <t>SR-NTAPJ0</t>
  </si>
  <si>
    <t>PQI_SP</t>
  </si>
  <si>
    <t>MLS_SP</t>
  </si>
  <si>
    <t>1SX_SP</t>
  </si>
  <si>
    <t>BAJUA35</t>
  </si>
  <si>
    <t>RN1277</t>
  </si>
  <si>
    <t>NTLN05</t>
  </si>
  <si>
    <t>URD_SP</t>
  </si>
  <si>
    <t>R1P_SP</t>
  </si>
  <si>
    <t>LAN_SP</t>
  </si>
  <si>
    <t>UCHOA</t>
  </si>
  <si>
    <t>RIBEIRAO PRETO</t>
  </si>
  <si>
    <t>SAO SIMAO</t>
  </si>
  <si>
    <t>SANTA GERTRUDES</t>
  </si>
  <si>
    <t>GSD_GO</t>
  </si>
  <si>
    <t>SDN_DF</t>
  </si>
  <si>
    <t>PW9_DF</t>
  </si>
  <si>
    <t>SND_DF</t>
  </si>
  <si>
    <t>CJR_GO</t>
  </si>
  <si>
    <t>SJK_MT</t>
  </si>
  <si>
    <t>Anapolis</t>
  </si>
  <si>
    <t>Sao Jose do Rio Claro</t>
  </si>
  <si>
    <t>PBTABI2</t>
  </si>
  <si>
    <t>ALFAR57</t>
  </si>
  <si>
    <t>PBCGE02</t>
  </si>
  <si>
    <t>BAVCT14</t>
  </si>
  <si>
    <t>CEEDS14</t>
  </si>
  <si>
    <t>BABRO12</t>
  </si>
  <si>
    <t>RNALC16</t>
  </si>
  <si>
    <t>PBVAR30</t>
  </si>
  <si>
    <t>SR-ABABJ1</t>
  </si>
  <si>
    <t>SR-NTNPA0</t>
  </si>
  <si>
    <t>SR-CRCAJ0</t>
  </si>
  <si>
    <t>SR-CRBVJ0</t>
  </si>
  <si>
    <t>4MM_SP</t>
  </si>
  <si>
    <t xml:space="preserve">RDB_SP </t>
  </si>
  <si>
    <t>Monte Mor</t>
  </si>
  <si>
    <t xml:space="preserve"> Aguai</t>
  </si>
  <si>
    <t>RMC</t>
  </si>
  <si>
    <t>OJL</t>
  </si>
  <si>
    <t>TEN</t>
  </si>
  <si>
    <t>GUB</t>
  </si>
  <si>
    <t>MOA</t>
  </si>
  <si>
    <t>MRL</t>
  </si>
  <si>
    <t>PCW</t>
  </si>
  <si>
    <t>KSS</t>
  </si>
  <si>
    <t>SKS</t>
  </si>
  <si>
    <t>TIU</t>
  </si>
  <si>
    <t>CDN</t>
  </si>
  <si>
    <t>XAP</t>
  </si>
  <si>
    <t>OSI</t>
  </si>
  <si>
    <t>LAU</t>
  </si>
  <si>
    <t>MSF</t>
  </si>
  <si>
    <t>SOD</t>
  </si>
  <si>
    <t>Tenório</t>
  </si>
  <si>
    <t>Moreilândia</t>
  </si>
  <si>
    <t>Maragogi</t>
  </si>
  <si>
    <t>Casserengue</t>
  </si>
  <si>
    <t>São José do Seridó</t>
  </si>
  <si>
    <t>Carnaúba dos Dantas</t>
  </si>
  <si>
    <t>Sobral</t>
  </si>
  <si>
    <t>NRE_SP</t>
  </si>
  <si>
    <t>ATA_SP</t>
  </si>
  <si>
    <t xml:space="preserve"> Santa Cruz da Conceicao
</t>
  </si>
  <si>
    <t xml:space="preserve"> Ribeirão Preto</t>
  </si>
  <si>
    <t>BASDR15</t>
  </si>
  <si>
    <t>BACZM02</t>
  </si>
  <si>
    <t>BABRO27</t>
  </si>
  <si>
    <t>PEMDL13</t>
  </si>
  <si>
    <t>BASSP01</t>
  </si>
  <si>
    <t>SÃO SEBASTIÃO DO PASSÉ</t>
  </si>
  <si>
    <t>PBCRI36</t>
  </si>
  <si>
    <t>CEEDS27</t>
  </si>
  <si>
    <t>PEJBO27</t>
  </si>
  <si>
    <t>BAILH11</t>
  </si>
  <si>
    <t>ALCAS22</t>
  </si>
  <si>
    <t>ALCLI10</t>
  </si>
  <si>
    <t>SJU_MT</t>
  </si>
  <si>
    <t>RNACI90</t>
  </si>
  <si>
    <t>REC_GO</t>
  </si>
  <si>
    <t>QNV_DF</t>
  </si>
  <si>
    <t>PIJOS90</t>
  </si>
  <si>
    <t>JAICOS</t>
  </si>
  <si>
    <t>Acari</t>
  </si>
  <si>
    <t>SR-FLPL02</t>
  </si>
  <si>
    <t>SR-NTDXJ4</t>
  </si>
  <si>
    <t>SR-NTPNA0</t>
  </si>
  <si>
    <t>NTCD04</t>
  </si>
  <si>
    <t>TOARN32</t>
  </si>
  <si>
    <t>Araguaina</t>
  </si>
  <si>
    <t>PEIPS10</t>
  </si>
  <si>
    <t>PEMDL15</t>
  </si>
  <si>
    <t>BACAB30</t>
  </si>
  <si>
    <t>BAIBU04</t>
  </si>
  <si>
    <t>BAITF01</t>
  </si>
  <si>
    <t>BAFSA22</t>
  </si>
  <si>
    <t>BAFSA31</t>
  </si>
  <si>
    <t>BAITA39</t>
  </si>
  <si>
    <t>BAGNB02</t>
  </si>
  <si>
    <t>BACDT01</t>
  </si>
  <si>
    <t>PEIPJ16</t>
  </si>
  <si>
    <t>BAAMAI3</t>
  </si>
  <si>
    <t>BACENI1</t>
  </si>
  <si>
    <t>BABAR22</t>
  </si>
  <si>
    <t>BAAMAI2</t>
  </si>
  <si>
    <t>BAIPU10</t>
  </si>
  <si>
    <t>BABRO26</t>
  </si>
  <si>
    <t>BARIB02</t>
  </si>
  <si>
    <t>BACENI2</t>
  </si>
  <si>
    <t>BASAM01</t>
  </si>
  <si>
    <t>BAMJOR5</t>
  </si>
  <si>
    <t>PEEPH01</t>
  </si>
  <si>
    <t>PEEPH36</t>
  </si>
  <si>
    <t>BABRO15</t>
  </si>
  <si>
    <t>ITATIM</t>
  </si>
  <si>
    <t>CÍCERO DANTAS</t>
  </si>
  <si>
    <t>IPIAÚ</t>
  </si>
  <si>
    <t>RIBEIRA DO POMBAL</t>
  </si>
  <si>
    <t>MGPAM19</t>
  </si>
  <si>
    <t>DB3_SP</t>
  </si>
  <si>
    <t>VI2_SP</t>
  </si>
  <si>
    <t>1AA_SP</t>
  </si>
  <si>
    <t>JF0_SP</t>
  </si>
  <si>
    <t>PEJBO02</t>
  </si>
  <si>
    <t>PEJBO34</t>
  </si>
  <si>
    <t>PEJBO44</t>
  </si>
  <si>
    <t>PEBVTI1</t>
  </si>
  <si>
    <t>PEJBO31</t>
  </si>
  <si>
    <t>PEJBO24</t>
  </si>
  <si>
    <t>PEJBO08</t>
  </si>
  <si>
    <t>PBTAB10</t>
  </si>
  <si>
    <t>PBVAR24</t>
  </si>
  <si>
    <t>PEJBO05</t>
  </si>
  <si>
    <t>PEBVT24</t>
  </si>
  <si>
    <t>PBVAR12</t>
  </si>
  <si>
    <t>PEIPS17</t>
  </si>
  <si>
    <t>RNPTG12</t>
  </si>
  <si>
    <t>RNLNVI3</t>
  </si>
  <si>
    <t>RNPTG11</t>
  </si>
  <si>
    <t>PITERI2</t>
  </si>
  <si>
    <t>RNLNVI1</t>
  </si>
  <si>
    <t>PENDT02</t>
  </si>
  <si>
    <t>RNPTG29</t>
  </si>
  <si>
    <t>RNPTG13</t>
  </si>
  <si>
    <t>PENDT10</t>
  </si>
  <si>
    <t>RNPTG23</t>
  </si>
  <si>
    <t>RNPNG15</t>
  </si>
  <si>
    <t>PENDT13</t>
  </si>
  <si>
    <t>PENDT07</t>
  </si>
  <si>
    <t>PEJBO01</t>
  </si>
  <si>
    <t>RNPTG07</t>
  </si>
  <si>
    <t>PITER28</t>
  </si>
  <si>
    <t>Divinolândia</t>
  </si>
  <si>
    <t>Ribeirao Preto</t>
  </si>
  <si>
    <t>Amparo</t>
  </si>
  <si>
    <t>Belo Horizonte</t>
  </si>
  <si>
    <t>MG</t>
  </si>
  <si>
    <t>CEBAE10</t>
  </si>
  <si>
    <t>CEMES12</t>
  </si>
  <si>
    <t>CEEDS03</t>
  </si>
  <si>
    <t>TOTAQ01</t>
  </si>
  <si>
    <t>DFSQN95</t>
  </si>
  <si>
    <t>TOPXE01</t>
  </si>
  <si>
    <t>PEIXE</t>
  </si>
  <si>
    <t>SR-CRSFJ0</t>
  </si>
  <si>
    <t>PB514181</t>
  </si>
  <si>
    <t>TOGUR05</t>
  </si>
  <si>
    <t xml:space="preserve">GURUPI </t>
  </si>
  <si>
    <t>EN1_PE</t>
  </si>
  <si>
    <t>SR-ITITJ0</t>
  </si>
  <si>
    <t>DFSQN28</t>
  </si>
  <si>
    <t>RDP</t>
  </si>
  <si>
    <t>AGB_CE</t>
  </si>
  <si>
    <t>MLT</t>
  </si>
  <si>
    <t>FRH</t>
  </si>
  <si>
    <t>Frei Martinho</t>
  </si>
  <si>
    <t>VIW</t>
  </si>
  <si>
    <t>Vista Serrana</t>
  </si>
  <si>
    <t>SBP</t>
  </si>
  <si>
    <t>SIE</t>
  </si>
  <si>
    <t>Santa Inês</t>
  </si>
  <si>
    <t>TONDD03</t>
  </si>
  <si>
    <t>SR-NTCDJ8</t>
  </si>
  <si>
    <t>SR-NTNNJ3</t>
  </si>
  <si>
    <t>SR-TSPMJ2</t>
  </si>
  <si>
    <t>SR-NTNPJ7</t>
  </si>
  <si>
    <t>SR-NTIPJ2</t>
  </si>
  <si>
    <t>SR-NTPNJ1</t>
  </si>
  <si>
    <t>SR-BSBSJ2</t>
  </si>
  <si>
    <t>SR-TSSAJ4</t>
  </si>
  <si>
    <t>SR-TSDIJ2</t>
  </si>
  <si>
    <t>SR-NTPAJ0</t>
  </si>
  <si>
    <t>SR-NTIPJ3</t>
  </si>
  <si>
    <t>SR-FLBCJ3</t>
  </si>
  <si>
    <t>SR-NTPLJ0</t>
  </si>
  <si>
    <t>SR-NTLNA5</t>
  </si>
  <si>
    <t>SR-NTPBJ2</t>
  </si>
  <si>
    <t>SR-NTCDA2</t>
  </si>
  <si>
    <t>SR-NTCTJ0</t>
  </si>
  <si>
    <t>SR-TSIGJ1</t>
  </si>
  <si>
    <t>SR-TSJQJ7</t>
  </si>
  <si>
    <t>SR-FLCNJ4</t>
  </si>
  <si>
    <t>AGB</t>
  </si>
  <si>
    <t>SR-MCUNJ5</t>
  </si>
  <si>
    <t>SR-MCBEJ5</t>
  </si>
  <si>
    <t>SR-SMGOJ0</t>
  </si>
  <si>
    <t>Sao Miguel do Gostoso</t>
  </si>
  <si>
    <t>OBY</t>
  </si>
  <si>
    <t>SR-NTPJJ1</t>
  </si>
  <si>
    <t>SR-TSCIJ0</t>
  </si>
  <si>
    <t>KBI_PE</t>
  </si>
  <si>
    <t>UAI_CE</t>
  </si>
  <si>
    <t>Calumbi</t>
  </si>
  <si>
    <t>PTY</t>
  </si>
  <si>
    <t>ENO</t>
  </si>
  <si>
    <t>ESL</t>
  </si>
  <si>
    <t>BLS</t>
  </si>
  <si>
    <t>BOI</t>
  </si>
  <si>
    <t>CTB</t>
  </si>
  <si>
    <t>OQC</t>
  </si>
  <si>
    <t>BCH</t>
  </si>
  <si>
    <t>Barbalha</t>
  </si>
  <si>
    <t xml:space="preserve"> Camaragibe</t>
  </si>
  <si>
    <t>BAAMA38</t>
  </si>
  <si>
    <t>ALPND02</t>
  </si>
  <si>
    <t>BAIBU08</t>
  </si>
  <si>
    <t>BAAMA15</t>
  </si>
  <si>
    <t>CZD_MT</t>
  </si>
  <si>
    <t>Campo Novo do Parecis</t>
  </si>
  <si>
    <t>JDU_GO</t>
  </si>
  <si>
    <t>MGULA12</t>
  </si>
  <si>
    <t>Uberlândia</t>
  </si>
  <si>
    <t>BAPAF03</t>
  </si>
  <si>
    <t>PAULO AFONSO</t>
  </si>
  <si>
    <t>CEBAE14</t>
  </si>
  <si>
    <t>BACALR1</t>
  </si>
  <si>
    <t>ALCAS25</t>
  </si>
  <si>
    <t>CEBAE16</t>
  </si>
  <si>
    <t>CEAERI2</t>
  </si>
  <si>
    <t>CEALDI2</t>
  </si>
  <si>
    <t>CEBAE04</t>
  </si>
  <si>
    <t>BABON39</t>
  </si>
  <si>
    <t>BAILH03</t>
  </si>
  <si>
    <t>BABON27</t>
  </si>
  <si>
    <t>PBVARI1</t>
  </si>
  <si>
    <t>PEGOIR2</t>
  </si>
  <si>
    <t>PENDT03</t>
  </si>
  <si>
    <t>PEIPS13</t>
  </si>
  <si>
    <t>BACAB29</t>
  </si>
  <si>
    <t>ALCUIR1</t>
  </si>
  <si>
    <t>TOTAQ14</t>
  </si>
  <si>
    <t>TOTAQ11</t>
  </si>
  <si>
    <t>RNPTG06</t>
  </si>
  <si>
    <t>BACABA4</t>
  </si>
  <si>
    <t>PECOW26</t>
  </si>
  <si>
    <t>TOPMJ21</t>
  </si>
  <si>
    <t>TOARN03</t>
  </si>
  <si>
    <t>ARAGUAINA</t>
  </si>
  <si>
    <t>SR-NTPTJ2</t>
  </si>
  <si>
    <t>DLB_SP</t>
  </si>
  <si>
    <t>CASA BRANCA</t>
  </si>
  <si>
    <t>SFA</t>
  </si>
  <si>
    <t>FJF_SP</t>
  </si>
  <si>
    <t>ROS</t>
  </si>
  <si>
    <t>SR-TSSCJ2</t>
  </si>
  <si>
    <t>SR-TSFMJ2</t>
  </si>
  <si>
    <t>SR-TSBSJ2</t>
  </si>
  <si>
    <t>SR-JZTGJ0</t>
  </si>
  <si>
    <t>SR-TSRJJ0</t>
  </si>
  <si>
    <t>SR-NTDTJ0</t>
  </si>
  <si>
    <t>SR-TSCEA5</t>
  </si>
  <si>
    <t>SR-NTPBJ1</t>
  </si>
  <si>
    <t>ULI_SP</t>
  </si>
  <si>
    <t>PAULINIA</t>
  </si>
  <si>
    <t>DVB_SP</t>
  </si>
  <si>
    <t>OSASCO</t>
  </si>
  <si>
    <t>DC5_SP</t>
  </si>
  <si>
    <t>SR-NTNNJ4</t>
  </si>
  <si>
    <t>SR-NTDNJ1</t>
  </si>
  <si>
    <t>SR-MCBEJ0</t>
  </si>
  <si>
    <t>SR-GUMGJ1</t>
  </si>
  <si>
    <t>SR-MCBEJ4</t>
  </si>
  <si>
    <t>SR-SWSWJ0</t>
  </si>
  <si>
    <t>SAO JOSE DA COROA GRANDE</t>
  </si>
  <si>
    <t>SR-CRAMJ0</t>
  </si>
  <si>
    <t>CECUC21</t>
  </si>
  <si>
    <t>TOTAQ08</t>
  </si>
  <si>
    <t>TOPMJ50</t>
  </si>
  <si>
    <t>BDI</t>
  </si>
  <si>
    <t>Sao Joao da Boa Vista</t>
  </si>
  <si>
    <t>LMI</t>
  </si>
  <si>
    <t>Leme</t>
  </si>
  <si>
    <t>SAV</t>
  </si>
  <si>
    <t>Limeira</t>
  </si>
  <si>
    <t>5VS</t>
  </si>
  <si>
    <t>LOT</t>
  </si>
  <si>
    <t>ODT</t>
  </si>
  <si>
    <t>FAA</t>
  </si>
  <si>
    <t>PTG</t>
  </si>
  <si>
    <t>ORN</t>
  </si>
  <si>
    <t>UAI</t>
  </si>
  <si>
    <t>KBI</t>
  </si>
  <si>
    <t>LTM</t>
  </si>
  <si>
    <t>THP</t>
  </si>
  <si>
    <t>PGC</t>
  </si>
  <si>
    <t>PEMDL03</t>
  </si>
  <si>
    <t>BABON41</t>
  </si>
  <si>
    <t>BACAB25</t>
  </si>
  <si>
    <t>TOCGO01</t>
  </si>
  <si>
    <t>BAPGU25</t>
  </si>
  <si>
    <t>SR-BYBYJ0</t>
  </si>
  <si>
    <t>SR-NTLNA1</t>
  </si>
  <si>
    <t>SR-MCBEJ6</t>
  </si>
  <si>
    <t>SR-ARARA1</t>
  </si>
  <si>
    <t>SR-MCUNJ8</t>
  </si>
  <si>
    <t>CEEDS57</t>
  </si>
  <si>
    <t>CEMES11</t>
  </si>
  <si>
    <t>7SLNTPD</t>
  </si>
  <si>
    <t xml:space="preserve"> Maceio</t>
  </si>
  <si>
    <t xml:space="preserve"> Fortaleza</t>
  </si>
  <si>
    <t>0BR</t>
  </si>
  <si>
    <t>Indaiatuba</t>
  </si>
  <si>
    <t>VHL</t>
  </si>
  <si>
    <t>Valinhos</t>
  </si>
  <si>
    <t>IEL</t>
  </si>
  <si>
    <t>Itapira</t>
  </si>
  <si>
    <t>LTP</t>
  </si>
  <si>
    <t>JZO</t>
  </si>
  <si>
    <t>Araras</t>
  </si>
  <si>
    <t>JF0</t>
  </si>
  <si>
    <t>TOPMJ47</t>
  </si>
  <si>
    <t>TOPMJ25</t>
  </si>
  <si>
    <t>SR-GUGUJ7</t>
  </si>
  <si>
    <t>SR-NTDNJ0</t>
  </si>
  <si>
    <t>VLM</t>
  </si>
  <si>
    <t>SÃO PAULO</t>
  </si>
  <si>
    <t>RCB</t>
  </si>
  <si>
    <t>CIN</t>
  </si>
  <si>
    <t>CMG</t>
  </si>
  <si>
    <t>AFL</t>
  </si>
  <si>
    <t>ALTA FLORESTA</t>
  </si>
  <si>
    <t>QGC</t>
  </si>
  <si>
    <t>PK2</t>
  </si>
  <si>
    <t>DIB</t>
  </si>
  <si>
    <t>AC4</t>
  </si>
  <si>
    <t>MLS</t>
  </si>
  <si>
    <t>IIA</t>
  </si>
  <si>
    <t>GOGNA3S</t>
  </si>
  <si>
    <t>SR-TSBSJ0</t>
  </si>
  <si>
    <t xml:space="preserve"> Itapira</t>
  </si>
  <si>
    <t>ALCLI02</t>
  </si>
  <si>
    <t>CEBAE12</t>
  </si>
  <si>
    <t>CEPAR32</t>
  </si>
  <si>
    <t>PBCRI07</t>
  </si>
  <si>
    <t>RNPTG19</t>
  </si>
  <si>
    <t>PENDT05</t>
  </si>
  <si>
    <t>ALCLI22</t>
  </si>
  <si>
    <t>MRA</t>
  </si>
  <si>
    <t>CBL</t>
  </si>
  <si>
    <t>ADA</t>
  </si>
  <si>
    <t>Ararendá</t>
  </si>
  <si>
    <t>ONH</t>
  </si>
  <si>
    <t>UBB</t>
  </si>
  <si>
    <t>CTL</t>
  </si>
  <si>
    <t>BJM</t>
  </si>
  <si>
    <t>MSH</t>
  </si>
  <si>
    <t>CPG</t>
  </si>
  <si>
    <t>CAZ</t>
  </si>
  <si>
    <t>Campo Redondo</t>
  </si>
  <si>
    <t>SLS</t>
  </si>
  <si>
    <t>ACARI</t>
  </si>
  <si>
    <t>OEU</t>
  </si>
  <si>
    <t>SMY</t>
  </si>
  <si>
    <t>BASDR33</t>
  </si>
  <si>
    <t>BABON40</t>
  </si>
  <si>
    <t>BACAB68</t>
  </si>
  <si>
    <t>PENDT17</t>
  </si>
  <si>
    <t>CUC</t>
  </si>
  <si>
    <t>SR-NTLNJ0</t>
  </si>
  <si>
    <t>VCH</t>
  </si>
  <si>
    <t>AWL</t>
  </si>
  <si>
    <t>EFR</t>
  </si>
  <si>
    <t>ARARAQUARA</t>
  </si>
  <si>
    <t>ELIAS FAUSTO</t>
  </si>
  <si>
    <t>BALFS06</t>
  </si>
  <si>
    <t>BABON19</t>
  </si>
  <si>
    <t>RNCAY05</t>
  </si>
  <si>
    <t>VCP</t>
  </si>
  <si>
    <t>PBCRI34</t>
  </si>
  <si>
    <t>Ceara-Mirim</t>
  </si>
  <si>
    <t>PEJBO09</t>
  </si>
  <si>
    <t>TRN</t>
  </si>
  <si>
    <t>SD-FLMC</t>
  </si>
  <si>
    <t>PDO</t>
  </si>
  <si>
    <t>RVB</t>
  </si>
  <si>
    <t>Itápolis</t>
  </si>
  <si>
    <t>IAL</t>
  </si>
  <si>
    <t>NRP</t>
  </si>
  <si>
    <t>Itaberaí</t>
  </si>
  <si>
    <t>IEQ</t>
  </si>
  <si>
    <t xml:space="preserve">Peixoto de Azevedo </t>
  </si>
  <si>
    <t>PZN</t>
  </si>
  <si>
    <t>DFSQSB4</t>
  </si>
  <si>
    <t>TOPMJ11</t>
  </si>
  <si>
    <t>XGR</t>
  </si>
  <si>
    <t>YFE</t>
  </si>
  <si>
    <t>JLR</t>
  </si>
  <si>
    <t>ONW</t>
  </si>
  <si>
    <t>CAG_PE</t>
  </si>
  <si>
    <t>CRZ_CE</t>
  </si>
  <si>
    <t>ARA_AL</t>
  </si>
  <si>
    <t>CAMPINA GRANDE DO SUL</t>
  </si>
  <si>
    <t>CEEDS11</t>
  </si>
  <si>
    <t>ITS</t>
  </si>
  <si>
    <t>PBQUS01</t>
  </si>
  <si>
    <t>ABS</t>
  </si>
  <si>
    <t>JGBJJ0</t>
  </si>
  <si>
    <t>JGPZJ1</t>
  </si>
  <si>
    <t>DAQ</t>
  </si>
  <si>
    <t>RCBGA0</t>
  </si>
  <si>
    <t>FLCEJ7</t>
  </si>
  <si>
    <t>JGPDJ6</t>
  </si>
  <si>
    <t>SR-EUEUJ0</t>
  </si>
  <si>
    <t>SR-TMXMJ6</t>
  </si>
  <si>
    <t>TAMANDARE</t>
  </si>
  <si>
    <t>PEJBOI1</t>
  </si>
  <si>
    <t>CEALD92</t>
  </si>
  <si>
    <t>TOPMJ35</t>
  </si>
  <si>
    <t>FPA_SP</t>
  </si>
  <si>
    <t>FERNANDO PRESTES</t>
  </si>
  <si>
    <t>CEPAR72</t>
  </si>
  <si>
    <t>SR-NTACJ0</t>
  </si>
  <si>
    <t>CEBAE18</t>
  </si>
  <si>
    <t>AJV_SP</t>
  </si>
  <si>
    <t>RNPTB11</t>
  </si>
  <si>
    <t>JGVRJ0</t>
  </si>
  <si>
    <t>JGPDJ5</t>
  </si>
  <si>
    <t>TMG</t>
  </si>
  <si>
    <t>NOVO SÃO JOAQUIM</t>
  </si>
  <si>
    <t>FPA</t>
  </si>
  <si>
    <t>AJV</t>
  </si>
  <si>
    <t>VTS</t>
  </si>
  <si>
    <t>PQV</t>
  </si>
  <si>
    <t>GEO</t>
  </si>
  <si>
    <t>SD-MCPV</t>
  </si>
  <si>
    <t>SD-JGVR</t>
  </si>
  <si>
    <t>SD-RCBG</t>
  </si>
  <si>
    <t>SD-FLFI</t>
  </si>
  <si>
    <t>SD-FLCE</t>
  </si>
  <si>
    <t>SD-JGPD</t>
  </si>
  <si>
    <t>SR-MLMLJ0</t>
  </si>
  <si>
    <t>AMPARO</t>
  </si>
  <si>
    <t>Jaboatão do Guararapes</t>
  </si>
  <si>
    <t>Fernando Prestes</t>
  </si>
  <si>
    <t>BASAJ03</t>
  </si>
  <si>
    <t>PEBOV53</t>
  </si>
  <si>
    <t>PSJ</t>
  </si>
  <si>
    <t>SBL</t>
  </si>
  <si>
    <t>SMN</t>
  </si>
  <si>
    <t>SML</t>
  </si>
  <si>
    <t>VPX</t>
  </si>
  <si>
    <t>18NLPZPZ00</t>
  </si>
  <si>
    <t>NTIP00</t>
  </si>
  <si>
    <t>PEMDL23</t>
  </si>
  <si>
    <t>GYGY00</t>
  </si>
  <si>
    <t>PAU DOS FERROS</t>
  </si>
  <si>
    <t>JANDUIS</t>
  </si>
  <si>
    <t>AJY</t>
  </si>
  <si>
    <t>VC0</t>
  </si>
  <si>
    <t>2VE</t>
  </si>
  <si>
    <t>CEAER57</t>
  </si>
  <si>
    <t>DAU</t>
  </si>
  <si>
    <t>SPL</t>
  </si>
  <si>
    <t>Araraquara</t>
  </si>
  <si>
    <t>Pedregulho</t>
  </si>
  <si>
    <t>RVA</t>
  </si>
  <si>
    <t>VBO</t>
  </si>
  <si>
    <t>C64</t>
  </si>
  <si>
    <t>STR</t>
  </si>
  <si>
    <t>PEDREIRA</t>
  </si>
  <si>
    <t>TOTAQ06</t>
  </si>
  <si>
    <t>TOTAT01</t>
  </si>
  <si>
    <t>DFTAGB7</t>
  </si>
  <si>
    <t>Tocantinia</t>
  </si>
  <si>
    <t>AMERICO BRASILIENSE</t>
  </si>
  <si>
    <t>VND</t>
  </si>
  <si>
    <t>MDE</t>
  </si>
  <si>
    <t>JNN</t>
  </si>
  <si>
    <t>ICP</t>
  </si>
  <si>
    <t>LRA</t>
  </si>
  <si>
    <t>Sao Paulo</t>
  </si>
  <si>
    <t xml:space="preserve">Amparo </t>
  </si>
  <si>
    <t>BAFZL01</t>
  </si>
  <si>
    <t>ETL</t>
  </si>
  <si>
    <t>RAK</t>
  </si>
  <si>
    <t>LAJEDINHO</t>
  </si>
  <si>
    <t>TVN</t>
  </si>
  <si>
    <t>AFC</t>
  </si>
  <si>
    <t>SR-QIQIJ0</t>
  </si>
  <si>
    <t>SWO</t>
  </si>
  <si>
    <t xml:space="preserve">CAMPINA GRANDE </t>
  </si>
  <si>
    <t xml:space="preserve">RIBEIRAO  </t>
  </si>
  <si>
    <t>QUIPAPA</t>
  </si>
  <si>
    <t>VMA</t>
  </si>
  <si>
    <t>MWE</t>
  </si>
  <si>
    <t>EDQ</t>
  </si>
  <si>
    <t>MPV</t>
  </si>
  <si>
    <t>AEB</t>
  </si>
  <si>
    <t>OVZ</t>
  </si>
  <si>
    <t>CTC</t>
  </si>
  <si>
    <t>OFF</t>
  </si>
  <si>
    <t>OSH</t>
  </si>
  <si>
    <t>HOT</t>
  </si>
  <si>
    <t>CAG</t>
  </si>
  <si>
    <t>CRZ</t>
  </si>
  <si>
    <t>ARA</t>
  </si>
  <si>
    <t>Cabo de Santo Agostinho</t>
  </si>
  <si>
    <t>ARARUNA</t>
  </si>
  <si>
    <t>VFS</t>
  </si>
  <si>
    <t>ADO</t>
  </si>
  <si>
    <t>JD5</t>
  </si>
  <si>
    <t>Jardinópolis</t>
  </si>
  <si>
    <t>BRG</t>
  </si>
  <si>
    <t>SIS</t>
  </si>
  <si>
    <t>LRI_MT</t>
  </si>
  <si>
    <t>PVT_MT</t>
  </si>
  <si>
    <t>SHA_GO</t>
  </si>
  <si>
    <t>SST_MT</t>
  </si>
  <si>
    <t>ROS_GO</t>
  </si>
  <si>
    <t>SRC_MT</t>
  </si>
  <si>
    <t>Sorriso</t>
  </si>
  <si>
    <t>PBCRII1</t>
  </si>
  <si>
    <t>BACTU02</t>
  </si>
  <si>
    <t>BACARR0</t>
  </si>
  <si>
    <t>BAITA18</t>
  </si>
  <si>
    <t>CEEDS24</t>
  </si>
  <si>
    <t>PITER61</t>
  </si>
  <si>
    <t>CEEDS10</t>
  </si>
  <si>
    <t>CATU</t>
  </si>
  <si>
    <t>BAMGC01</t>
  </si>
  <si>
    <t>ALCAS42</t>
  </si>
  <si>
    <t>ALCLI61</t>
  </si>
  <si>
    <t>CEAER38</t>
  </si>
  <si>
    <t>CEEDS62</t>
  </si>
  <si>
    <t>PBVAR16</t>
  </si>
  <si>
    <t>CEPAR80</t>
  </si>
  <si>
    <t>CEPAR20</t>
  </si>
  <si>
    <t>RNALC19</t>
  </si>
  <si>
    <t>CEEDS40</t>
  </si>
  <si>
    <t>PBCRI58</t>
  </si>
  <si>
    <t>MIGUEL CALMON</t>
  </si>
  <si>
    <t>ACA</t>
  </si>
  <si>
    <t>MMP</t>
  </si>
  <si>
    <t>SJR</t>
  </si>
  <si>
    <t>MBR</t>
  </si>
  <si>
    <t>OPD</t>
  </si>
  <si>
    <t>BNT</t>
  </si>
  <si>
    <t>Alcântaras</t>
  </si>
  <si>
    <t>Sao Jose do Rio Pardo</t>
  </si>
  <si>
    <t>PIS</t>
  </si>
  <si>
    <t>TA9</t>
  </si>
  <si>
    <t>MJA</t>
  </si>
  <si>
    <t>M1V</t>
  </si>
  <si>
    <t>LRQ</t>
  </si>
  <si>
    <t>MBA</t>
  </si>
  <si>
    <t>CDV</t>
  </si>
  <si>
    <t>Pirassununga</t>
  </si>
  <si>
    <t>Matao</t>
  </si>
  <si>
    <t>MGU</t>
  </si>
  <si>
    <t>LEZ</t>
  </si>
  <si>
    <t>CEAER75</t>
  </si>
  <si>
    <t>HJE</t>
  </si>
  <si>
    <t>CEPAR68</t>
  </si>
  <si>
    <t>CEEDS09</t>
  </si>
  <si>
    <t>CEPAR78</t>
  </si>
  <si>
    <t>HORTOLÂNDIA</t>
  </si>
  <si>
    <t>MOGI GUAÇU</t>
  </si>
  <si>
    <t>BACOW10</t>
  </si>
  <si>
    <t>BACOW09</t>
  </si>
  <si>
    <t>LSQ</t>
  </si>
  <si>
    <t>ADV</t>
  </si>
  <si>
    <t>VPP</t>
  </si>
  <si>
    <t>LCF</t>
  </si>
  <si>
    <t>CAV</t>
  </si>
  <si>
    <t>DRE</t>
  </si>
  <si>
    <t>DCN</t>
  </si>
  <si>
    <t>NAT</t>
  </si>
  <si>
    <t>NAE</t>
  </si>
  <si>
    <t>LUP</t>
  </si>
  <si>
    <t>SDL</t>
  </si>
  <si>
    <t>RPJ</t>
  </si>
  <si>
    <t>BIT</t>
  </si>
  <si>
    <t>SWB</t>
  </si>
  <si>
    <t>IPC</t>
  </si>
  <si>
    <t>TER</t>
  </si>
  <si>
    <t>MZA</t>
  </si>
  <si>
    <t>AHG</t>
  </si>
  <si>
    <t>ANG</t>
  </si>
  <si>
    <t>ITA</t>
  </si>
  <si>
    <t>RCH</t>
  </si>
  <si>
    <t>ALCLI40</t>
  </si>
  <si>
    <t>SHO</t>
  </si>
  <si>
    <t>GED</t>
  </si>
  <si>
    <t>PEJBO81</t>
  </si>
  <si>
    <t>PIPCZ02</t>
  </si>
  <si>
    <t>Dormentes</t>
  </si>
  <si>
    <t>Natuba</t>
  </si>
  <si>
    <t>Tamandaré</t>
  </si>
  <si>
    <t>São Bento do Trairí</t>
  </si>
  <si>
    <t>Riachão do Bacamarte</t>
  </si>
  <si>
    <t>Darcinópolis</t>
  </si>
  <si>
    <t>Nazaré</t>
  </si>
  <si>
    <t>Santa Cruz de Goias</t>
  </si>
  <si>
    <t xml:space="preserve">Teresina de Goias </t>
  </si>
  <si>
    <t xml:space="preserve"> Anhanguera</t>
  </si>
  <si>
    <t>Vila Propicio</t>
  </si>
  <si>
    <t>SR-PTPTA2</t>
  </si>
  <si>
    <t>SR-PTPTJ8</t>
  </si>
  <si>
    <t>SR-PTJMJ0</t>
  </si>
  <si>
    <t>SR-PTPTJ9</t>
  </si>
  <si>
    <t>SR-PITQJ0</t>
  </si>
  <si>
    <t>SR-CTXTJ5</t>
  </si>
  <si>
    <t>SR-COCOJ0</t>
  </si>
  <si>
    <t>FZC</t>
  </si>
  <si>
    <t>GOACG42</t>
  </si>
  <si>
    <t>TANQUE DO PIAUI</t>
  </si>
  <si>
    <t>SR-PTCEJ0</t>
  </si>
  <si>
    <t>AYA</t>
  </si>
  <si>
    <t>LJG</t>
  </si>
  <si>
    <t>YJS</t>
  </si>
  <si>
    <t>URB</t>
  </si>
  <si>
    <t>SR-GBGBJ0</t>
  </si>
  <si>
    <t>AMI</t>
  </si>
  <si>
    <t>PGT</t>
  </si>
  <si>
    <t>SND</t>
  </si>
  <si>
    <t>SR-CACAJ3</t>
  </si>
  <si>
    <t>Uruacu</t>
  </si>
  <si>
    <t>Americana</t>
  </si>
  <si>
    <t>Porangatu</t>
  </si>
  <si>
    <t>Santa Rita do Novo Destino</t>
  </si>
  <si>
    <t>Mococa</t>
  </si>
  <si>
    <t>RTQ</t>
  </si>
  <si>
    <t>BKO</t>
  </si>
  <si>
    <t>MCO</t>
  </si>
  <si>
    <t>3SLCBPC00</t>
  </si>
  <si>
    <t>3SLCBSM02</t>
  </si>
  <si>
    <t>LRI</t>
  </si>
  <si>
    <t>SZA</t>
  </si>
  <si>
    <t>PEIKI01</t>
  </si>
  <si>
    <t>BACAB28</t>
  </si>
  <si>
    <t>BACEN33</t>
  </si>
  <si>
    <t>BAFSAR5</t>
  </si>
  <si>
    <t>CEBAEI2</t>
  </si>
  <si>
    <t>BASHF01</t>
  </si>
  <si>
    <t>PEJBO16</t>
  </si>
  <si>
    <t>PBCRI64</t>
  </si>
  <si>
    <t>SR-NTPNJ2</t>
  </si>
  <si>
    <t>ALCLI17</t>
  </si>
  <si>
    <t>PEJBOB8</t>
  </si>
  <si>
    <t>CEEDS16</t>
  </si>
  <si>
    <t>PITER39</t>
  </si>
  <si>
    <t>PITER45</t>
  </si>
  <si>
    <t>CEAER44</t>
  </si>
  <si>
    <t>SR-PTPTA0</t>
  </si>
  <si>
    <t>SR-PTPTJ1</t>
  </si>
  <si>
    <t>PECRU43</t>
  </si>
  <si>
    <t>SERRA DO RAMALHO</t>
  </si>
  <si>
    <t>AFH</t>
  </si>
  <si>
    <t>AFV</t>
  </si>
  <si>
    <t>MMD</t>
  </si>
  <si>
    <t>PNL</t>
  </si>
  <si>
    <t>MVJ</t>
  </si>
  <si>
    <t>SAL</t>
  </si>
  <si>
    <t>OOA</t>
  </si>
  <si>
    <t>Mogi Mirim</t>
  </si>
  <si>
    <t>Panelas</t>
  </si>
  <si>
    <t>Missao Velha</t>
  </si>
  <si>
    <t>Caruaru</t>
  </si>
  <si>
    <t>Oros</t>
  </si>
  <si>
    <t>SR-GAGAA0</t>
  </si>
  <si>
    <t>SAO GONCALO DO AMARANTE</t>
  </si>
  <si>
    <t>RNPTG37</t>
  </si>
  <si>
    <t>CEAER47</t>
  </si>
  <si>
    <t>PIPCZ01</t>
  </si>
  <si>
    <t>CEPAR58</t>
  </si>
  <si>
    <t>CEBAE35</t>
  </si>
  <si>
    <t>PBTAB28</t>
  </si>
  <si>
    <t>PEJBO79</t>
  </si>
  <si>
    <t>PEEPH47</t>
  </si>
  <si>
    <t>LEME</t>
  </si>
  <si>
    <t>DOS_SP</t>
  </si>
  <si>
    <t>SANTA BARBARA D'OESTE</t>
  </si>
  <si>
    <t>LVO</t>
  </si>
  <si>
    <t>MGX</t>
  </si>
  <si>
    <t>CR5</t>
  </si>
  <si>
    <t>R0L</t>
  </si>
  <si>
    <t>SRQ</t>
  </si>
  <si>
    <t>PBCRI59</t>
  </si>
  <si>
    <t>CEMES20</t>
  </si>
  <si>
    <t>CEPAR42</t>
  </si>
  <si>
    <t>MGLGS13</t>
  </si>
  <si>
    <t>PITER55</t>
  </si>
  <si>
    <t>SJB</t>
  </si>
  <si>
    <t>Lagoa Santa</t>
  </si>
  <si>
    <t>MGESM12</t>
  </si>
  <si>
    <t>MGEXT10</t>
  </si>
  <si>
    <t>Esmeralda</t>
  </si>
  <si>
    <t>Extremo</t>
  </si>
  <si>
    <t>CEPIC27</t>
  </si>
  <si>
    <t>PEJBOB4</t>
  </si>
  <si>
    <t>PEEPH11</t>
  </si>
  <si>
    <t>CEMES18</t>
  </si>
  <si>
    <t>PEJBO82</t>
  </si>
  <si>
    <t>CEEDS65</t>
  </si>
  <si>
    <t>RNPTR11</t>
  </si>
  <si>
    <t>CEBAE36</t>
  </si>
  <si>
    <t>PEJBO86</t>
  </si>
  <si>
    <t>PEJBOB9</t>
  </si>
  <si>
    <t>BACEN20</t>
  </si>
  <si>
    <t>PBCRI49</t>
  </si>
  <si>
    <t>PBCRI65</t>
  </si>
  <si>
    <t>BAITA20</t>
  </si>
  <si>
    <t>PEEPH41</t>
  </si>
  <si>
    <t>PEJBO84</t>
  </si>
  <si>
    <t>PEJBO61</t>
  </si>
  <si>
    <t>CEPAR43</t>
  </si>
  <si>
    <t>RNLNV34</t>
  </si>
  <si>
    <t>ALCLI67</t>
  </si>
  <si>
    <t>RNALC20</t>
  </si>
  <si>
    <t>ALCLI53</t>
  </si>
  <si>
    <t>PEJBO58</t>
  </si>
  <si>
    <t>SR-MCJTJ6</t>
  </si>
  <si>
    <t>ALFAR47</t>
  </si>
  <si>
    <t>DUD</t>
  </si>
  <si>
    <t>CRZ_DF</t>
  </si>
  <si>
    <t>GOANS82</t>
  </si>
  <si>
    <t>MTVAZ35</t>
  </si>
  <si>
    <t>ANAPOLIS</t>
  </si>
  <si>
    <t>DFSQN90</t>
  </si>
  <si>
    <t>ARP_GO</t>
  </si>
  <si>
    <t>IPP_GO</t>
  </si>
  <si>
    <t>ITAPIRAPUA</t>
  </si>
  <si>
    <t>PAM_CE</t>
  </si>
  <si>
    <t>MW2</t>
  </si>
  <si>
    <t>ECB_PE</t>
  </si>
  <si>
    <t>GMS_DF</t>
  </si>
  <si>
    <t>LO4</t>
  </si>
  <si>
    <t>STQ</t>
  </si>
  <si>
    <t>CNL_DF</t>
  </si>
  <si>
    <t>P13_DF</t>
  </si>
  <si>
    <t>VPO</t>
  </si>
  <si>
    <t>SDE_DF</t>
  </si>
  <si>
    <t>BZD</t>
  </si>
  <si>
    <t>RSM_DF</t>
  </si>
  <si>
    <t>QNR</t>
  </si>
  <si>
    <t>SSB_DF</t>
  </si>
  <si>
    <t>SMD_DF</t>
  </si>
  <si>
    <t>PVA_DF</t>
  </si>
  <si>
    <t>PSK</t>
  </si>
  <si>
    <t>NVD</t>
  </si>
  <si>
    <t>SYP_AL</t>
  </si>
  <si>
    <t>MLN_CE</t>
  </si>
  <si>
    <t>CVN_DF</t>
  </si>
  <si>
    <t>RJN_RN</t>
  </si>
  <si>
    <t>MXR</t>
  </si>
  <si>
    <t>SLP_PE</t>
  </si>
  <si>
    <t>CLA_AL</t>
  </si>
  <si>
    <t>MGI_AL</t>
  </si>
  <si>
    <t>LLI</t>
  </si>
  <si>
    <t>MGLAV10</t>
  </si>
  <si>
    <t>LAVRAS</t>
  </si>
  <si>
    <t>PAM</t>
  </si>
  <si>
    <t>SEJ</t>
  </si>
  <si>
    <t>RNPTB15</t>
  </si>
  <si>
    <t>ECB</t>
  </si>
  <si>
    <t>OVO</t>
  </si>
  <si>
    <t>CEMES23</t>
  </si>
  <si>
    <t>Parambu</t>
  </si>
  <si>
    <t>Sertãozinho</t>
  </si>
  <si>
    <t>Colunas1</t>
  </si>
  <si>
    <t>Colunas2</t>
  </si>
  <si>
    <t>Colunas3</t>
  </si>
  <si>
    <t>PENDT22</t>
  </si>
  <si>
    <t>PEPTA49</t>
  </si>
  <si>
    <t>PBPFG01</t>
  </si>
  <si>
    <t>AGUA BRANCA</t>
  </si>
  <si>
    <t>BAVCT59</t>
  </si>
  <si>
    <t>BAITU02</t>
  </si>
  <si>
    <t>PEIPJ11</t>
  </si>
  <si>
    <t>SRM</t>
  </si>
  <si>
    <t>ITIÚBA</t>
  </si>
  <si>
    <t>Sorocaba</t>
  </si>
  <si>
    <t>IUO</t>
  </si>
  <si>
    <t>RJN</t>
  </si>
  <si>
    <t>CPA</t>
  </si>
  <si>
    <t>MGI</t>
  </si>
  <si>
    <t>BOY</t>
  </si>
  <si>
    <t>RDM</t>
  </si>
  <si>
    <t>IPUEURAS</t>
  </si>
  <si>
    <t>SYP</t>
  </si>
  <si>
    <t>EEH</t>
  </si>
  <si>
    <t>ALMGI06</t>
  </si>
  <si>
    <t>CEAQU16</t>
  </si>
  <si>
    <t>RNTUS03</t>
  </si>
  <si>
    <t>PEIPJ23</t>
  </si>
  <si>
    <t>RNCCR02</t>
  </si>
  <si>
    <t>PEIPJ24</t>
  </si>
  <si>
    <t>DFSQSD8</t>
  </si>
  <si>
    <t>RNPTB16</t>
  </si>
  <si>
    <t>IDY</t>
  </si>
  <si>
    <t>RNPTG28</t>
  </si>
  <si>
    <t>ALT</t>
  </si>
  <si>
    <t>CEPIC30</t>
  </si>
  <si>
    <t>CEAER59</t>
  </si>
  <si>
    <t>VLY</t>
  </si>
  <si>
    <t>FMN</t>
  </si>
  <si>
    <t>IJW</t>
  </si>
  <si>
    <t>Aquiraz</t>
  </si>
  <si>
    <t>Abreu e Lima</t>
  </si>
  <si>
    <t>Cerro Cora</t>
  </si>
  <si>
    <t>Itapolis</t>
  </si>
  <si>
    <t>Formosa</t>
  </si>
  <si>
    <t>Aguas da Prata</t>
  </si>
  <si>
    <t>RNPTG05</t>
  </si>
  <si>
    <t>CEMES21</t>
  </si>
  <si>
    <t>MMT</t>
  </si>
  <si>
    <t>LJC</t>
  </si>
  <si>
    <t>CQD</t>
  </si>
  <si>
    <t>GOEDE01</t>
  </si>
  <si>
    <t>MIT</t>
  </si>
  <si>
    <t>IEI</t>
  </si>
  <si>
    <t>GJL</t>
  </si>
  <si>
    <t>Edeia</t>
  </si>
  <si>
    <t>Itaberai</t>
  </si>
  <si>
    <t>EUR</t>
  </si>
  <si>
    <t>VPD</t>
  </si>
  <si>
    <t>IW2</t>
  </si>
  <si>
    <t>KXW</t>
  </si>
  <si>
    <t>OET</t>
  </si>
  <si>
    <t>JGPD09</t>
  </si>
  <si>
    <t>CE1414</t>
  </si>
  <si>
    <t>SR-FLPBJ4</t>
  </si>
  <si>
    <t>SR-FLVUJ5</t>
  </si>
  <si>
    <t>CEAER40</t>
  </si>
  <si>
    <t>CECEN20</t>
  </si>
  <si>
    <t>CEALD63</t>
  </si>
  <si>
    <t>CEBAE38</t>
  </si>
  <si>
    <t>CEBAE05</t>
  </si>
  <si>
    <t>RNPTG24</t>
  </si>
  <si>
    <t>GOGNA29</t>
  </si>
  <si>
    <t>PECAA11</t>
  </si>
  <si>
    <t>PEJBO76</t>
  </si>
  <si>
    <t>PEIPJ21</t>
  </si>
  <si>
    <t>BAFSA54</t>
  </si>
  <si>
    <t>MBT</t>
  </si>
  <si>
    <t>GOGNA1H</t>
  </si>
  <si>
    <t>BAPGR01</t>
  </si>
  <si>
    <t>Feira de Santana</t>
  </si>
  <si>
    <t>Mossoro</t>
  </si>
  <si>
    <t>Goiânia</t>
  </si>
  <si>
    <t>AXP</t>
  </si>
  <si>
    <t>PEGOI08</t>
  </si>
  <si>
    <t>PEEPH50</t>
  </si>
  <si>
    <t>CEAER74</t>
  </si>
  <si>
    <t>CEAER67</t>
  </si>
  <si>
    <t>MLN</t>
  </si>
  <si>
    <t>SYF</t>
  </si>
  <si>
    <t>CEALD61</t>
  </si>
  <si>
    <t>VGQ</t>
  </si>
  <si>
    <t>MES</t>
  </si>
  <si>
    <t>CR9</t>
  </si>
  <si>
    <t>Serra do Mel</t>
  </si>
  <si>
    <t>Barra de Santo Antonio</t>
  </si>
  <si>
    <t>Santa Rita do Passa Quatro</t>
  </si>
  <si>
    <t>C1O</t>
  </si>
  <si>
    <t>JXR</t>
  </si>
  <si>
    <t>Sumare</t>
  </si>
  <si>
    <t>Altinopolis</t>
  </si>
  <si>
    <t>Sao Carlos</t>
  </si>
  <si>
    <t>AIU</t>
  </si>
  <si>
    <t>PBCRI60</t>
  </si>
  <si>
    <t>SZT</t>
  </si>
  <si>
    <t>CEAER43</t>
  </si>
  <si>
    <t>DFTAG35</t>
  </si>
  <si>
    <t>CPL</t>
  </si>
  <si>
    <t>RNPNG23</t>
  </si>
  <si>
    <t>SANTA LUZIA DO NORTE</t>
  </si>
  <si>
    <t>DFTAG20</t>
  </si>
  <si>
    <t>MGULAB9</t>
  </si>
  <si>
    <t>UBERLANDIA</t>
  </si>
  <si>
    <t>1CJ</t>
  </si>
  <si>
    <t>AR8</t>
  </si>
  <si>
    <t>RFO</t>
  </si>
  <si>
    <t>KSY</t>
  </si>
  <si>
    <t>AGUAS LINDAS DE GOIAIS</t>
  </si>
  <si>
    <t>TATUI</t>
  </si>
  <si>
    <t>LVQ</t>
  </si>
  <si>
    <t>MTI</t>
  </si>
  <si>
    <t>PME</t>
  </si>
  <si>
    <t>JCD</t>
  </si>
  <si>
    <t>ZUA</t>
  </si>
  <si>
    <t>NOG</t>
  </si>
  <si>
    <t>MMX</t>
  </si>
  <si>
    <t>BVG</t>
  </si>
  <si>
    <t>JBI</t>
  </si>
  <si>
    <t>ALJQG01</t>
  </si>
  <si>
    <t>PENDT45</t>
  </si>
  <si>
    <t>ALCLI62</t>
  </si>
  <si>
    <t>PEMDL50</t>
  </si>
  <si>
    <t>PEJBOA9</t>
  </si>
  <si>
    <t>ISI</t>
  </si>
  <si>
    <t>NW9</t>
  </si>
  <si>
    <t>ALCLI70</t>
  </si>
  <si>
    <t>Joaquim Gomes</t>
  </si>
  <si>
    <t>Jaboticabal</t>
  </si>
  <si>
    <t>Itapetininga</t>
  </si>
  <si>
    <t>JACAREI</t>
  </si>
  <si>
    <t>BOI_SP5</t>
  </si>
  <si>
    <t>URD</t>
  </si>
  <si>
    <t>LGA</t>
  </si>
  <si>
    <t>Rincao</t>
  </si>
  <si>
    <t>Uchoa</t>
  </si>
  <si>
    <t xml:space="preserve">Goiania </t>
  </si>
  <si>
    <t>GOCRT15</t>
  </si>
  <si>
    <t>PETIU03</t>
  </si>
  <si>
    <t>PEBVT45</t>
  </si>
  <si>
    <t>PBCRI66</t>
  </si>
  <si>
    <t>SUR-TOAGC90</t>
  </si>
  <si>
    <t>Cristalina</t>
  </si>
  <si>
    <t>Timbauba</t>
  </si>
  <si>
    <t>Araguacema</t>
  </si>
  <si>
    <t>MTSNO26</t>
  </si>
  <si>
    <t>SR-IOIOJ5</t>
  </si>
  <si>
    <t>PEJBO66</t>
  </si>
  <si>
    <t>CEALD55</t>
  </si>
  <si>
    <t>PEEPH48</t>
  </si>
  <si>
    <t>SR-EXEXJ5</t>
  </si>
  <si>
    <t xml:space="preserve">DRD </t>
  </si>
  <si>
    <t>FPB</t>
  </si>
  <si>
    <t>MGCTG43</t>
  </si>
  <si>
    <t>CONTAGEM</t>
  </si>
  <si>
    <t>JOAO DOURADO</t>
  </si>
  <si>
    <t xml:space="preserve"> Extremoz</t>
  </si>
  <si>
    <t>RNPTG42</t>
  </si>
  <si>
    <t>CEPAR79</t>
  </si>
  <si>
    <t>EW5</t>
  </si>
  <si>
    <t>GOVPI08</t>
  </si>
  <si>
    <t>Valparaíso de Goiás</t>
  </si>
  <si>
    <t>ALCLI18</t>
  </si>
  <si>
    <t>CEAER65</t>
  </si>
  <si>
    <t>PEPTA51</t>
  </si>
  <si>
    <t>MTVAZ24</t>
  </si>
  <si>
    <t>EWA</t>
  </si>
  <si>
    <t>DFSQS0L</t>
  </si>
  <si>
    <t>PEVSA08</t>
  </si>
  <si>
    <t>PETIU05</t>
  </si>
  <si>
    <t>PECRU01</t>
  </si>
  <si>
    <t>SR-GRTP01</t>
  </si>
  <si>
    <t>SR-VSVSJ0</t>
  </si>
  <si>
    <t>SR-JPCEJ1</t>
  </si>
  <si>
    <t>SR-COVJ05</t>
  </si>
  <si>
    <t>SR-COJS01</t>
  </si>
  <si>
    <t>SR-COMM01</t>
  </si>
  <si>
    <t>SR-SPJA11</t>
  </si>
  <si>
    <t>SR-COVJ02</t>
  </si>
  <si>
    <t>SR-SPCV03</t>
  </si>
  <si>
    <t>SR-VGBN46</t>
  </si>
  <si>
    <t>SR-SPPS03</t>
  </si>
  <si>
    <t>SR-OSJF01</t>
  </si>
  <si>
    <t>SR-OSJF04</t>
  </si>
  <si>
    <t>SR-COVJ01</t>
  </si>
  <si>
    <t>SR-COPI01</t>
  </si>
  <si>
    <t>SR-OSPD01</t>
  </si>
  <si>
    <t>SR-COJP02</t>
  </si>
  <si>
    <t>SR-COGV01</t>
  </si>
  <si>
    <t>SR-CONC01</t>
  </si>
  <si>
    <t>SR-OSUR01</t>
  </si>
  <si>
    <t>CRE</t>
  </si>
  <si>
    <t>BALFS19</t>
  </si>
  <si>
    <t>SNE</t>
  </si>
  <si>
    <t>Sertaozinho</t>
  </si>
  <si>
    <t>Vitoria de Santo Antao</t>
  </si>
  <si>
    <t>Ferreiros</t>
  </si>
  <si>
    <t>Guarulhos</t>
  </si>
  <si>
    <t>Cotia</t>
  </si>
  <si>
    <t>Osasco</t>
  </si>
  <si>
    <t>Lauro de Freitas</t>
  </si>
  <si>
    <t>Santa Barbara d'Oeste</t>
  </si>
  <si>
    <t>MGCTG50</t>
  </si>
  <si>
    <t>MGCTG52</t>
  </si>
  <si>
    <t>JPN</t>
  </si>
  <si>
    <t>CEMCW21</t>
  </si>
  <si>
    <t>NW1</t>
  </si>
  <si>
    <t>GOACG36</t>
  </si>
  <si>
    <t>BAITAI5</t>
  </si>
  <si>
    <t>BACAR26</t>
  </si>
  <si>
    <t>BABON63</t>
  </si>
  <si>
    <t>BABON12</t>
  </si>
  <si>
    <t>CEALD01</t>
  </si>
  <si>
    <t>BACAB60</t>
  </si>
  <si>
    <t>BASMF01</t>
  </si>
  <si>
    <t>RNPIM22</t>
  </si>
  <si>
    <t>PBCXG01</t>
  </si>
  <si>
    <t>Congo</t>
  </si>
  <si>
    <t>FAM</t>
  </si>
  <si>
    <t>ZAG</t>
  </si>
  <si>
    <t>PJK</t>
  </si>
  <si>
    <t>PCP</t>
  </si>
  <si>
    <t>2PA</t>
  </si>
  <si>
    <t>EW2</t>
  </si>
  <si>
    <t>TRO</t>
  </si>
  <si>
    <t>XEG</t>
  </si>
  <si>
    <t>SR-GRAF01</t>
  </si>
  <si>
    <t>SR-GRJS01</t>
  </si>
  <si>
    <t>SR-GRCC01</t>
  </si>
  <si>
    <t>SR-GRVS04</t>
  </si>
  <si>
    <t>SR-SPSE40</t>
  </si>
  <si>
    <t>SR-SPTC03</t>
  </si>
  <si>
    <t>SR-SPBL04</t>
  </si>
  <si>
    <t>SR-SPJA08</t>
  </si>
  <si>
    <t>SR-SPJA03</t>
  </si>
  <si>
    <t>SR-SPCE20</t>
  </si>
  <si>
    <t>SR-SPCV08</t>
  </si>
  <si>
    <t>SR-IPJP01</t>
  </si>
  <si>
    <t>SR-SPCC06</t>
  </si>
  <si>
    <t>SR-SPAN01</t>
  </si>
  <si>
    <t>SR-SPJA01</t>
  </si>
  <si>
    <t>SR-SPTC09</t>
  </si>
  <si>
    <t>SR-SPCV25</t>
  </si>
  <si>
    <t>SR-SPBL14</t>
  </si>
  <si>
    <t>SR-SPCV26</t>
  </si>
  <si>
    <t>SR-COCR01</t>
  </si>
  <si>
    <t>SR-OSAD01</t>
  </si>
  <si>
    <t>SR-COSR01</t>
  </si>
  <si>
    <t>SR-SPTC05</t>
  </si>
  <si>
    <t>SR-SPBS19</t>
  </si>
  <si>
    <t>SR-OSPR01</t>
  </si>
  <si>
    <t>SR-CRVM01</t>
  </si>
  <si>
    <t>SR-OSRR01</t>
  </si>
  <si>
    <t>SR-CRCT03</t>
  </si>
  <si>
    <t>SR-SPTC12</t>
  </si>
  <si>
    <t>SR-SPJA07</t>
  </si>
  <si>
    <t>SR-SPJA14</t>
  </si>
  <si>
    <t>SR-OSJO02</t>
  </si>
  <si>
    <t>SR-SPJA13</t>
  </si>
  <si>
    <t>SR-SPLI02</t>
  </si>
  <si>
    <t>SR-SPPS06</t>
  </si>
  <si>
    <t>SR-SPTC22</t>
  </si>
  <si>
    <t>SR-COMS02</t>
  </si>
  <si>
    <t>SR-OSNO01</t>
  </si>
  <si>
    <t>SR-SPCC07</t>
  </si>
  <si>
    <t>SR-COPI02</t>
  </si>
  <si>
    <t>SR-SPPS05</t>
  </si>
  <si>
    <t>SR-SPTC13</t>
  </si>
  <si>
    <t>SR-OSJO01</t>
  </si>
  <si>
    <t>SR-SPPS04</t>
  </si>
  <si>
    <t>SR-COJS04</t>
  </si>
  <si>
    <t>SR-OSCP01</t>
  </si>
  <si>
    <t>SR-SPTC01</t>
  </si>
  <si>
    <t>SR-CRVM02</t>
  </si>
  <si>
    <t>SR-OSPD02</t>
  </si>
  <si>
    <t>SR-OSJG03</t>
  </si>
  <si>
    <t>EMO</t>
  </si>
  <si>
    <t>POR</t>
  </si>
  <si>
    <t>OIW</t>
  </si>
  <si>
    <t>2BC</t>
  </si>
  <si>
    <t>BIRIGUI</t>
  </si>
  <si>
    <t>PORTEIRAS</t>
  </si>
  <si>
    <t>AMERICANA</t>
  </si>
  <si>
    <t>BORBOREMA</t>
  </si>
  <si>
    <t>ITAPEVI</t>
  </si>
  <si>
    <t>CARAPICUIBA</t>
  </si>
  <si>
    <t>AAS</t>
  </si>
  <si>
    <t>RJM</t>
  </si>
  <si>
    <t>SIU</t>
  </si>
  <si>
    <t>REA</t>
  </si>
  <si>
    <t>CBT</t>
  </si>
  <si>
    <t>MTD</t>
  </si>
  <si>
    <t>BRM</t>
  </si>
  <si>
    <t>GOVPI03</t>
  </si>
  <si>
    <t>Valparaiso de Goias</t>
  </si>
  <si>
    <t>Cuiabá</t>
  </si>
  <si>
    <t>ALCAS03</t>
  </si>
  <si>
    <t>SR-CRVS03</t>
  </si>
  <si>
    <t>RKV</t>
  </si>
  <si>
    <t>SR-COVJ03</t>
  </si>
  <si>
    <t>CEMES03</t>
  </si>
  <si>
    <t>CRE_MT5</t>
  </si>
  <si>
    <t>PBPPB02</t>
  </si>
  <si>
    <t>BEL</t>
  </si>
  <si>
    <t>PETQN03</t>
  </si>
  <si>
    <t>SR-CRVM03</t>
  </si>
  <si>
    <t>SR-CRVS05</t>
  </si>
  <si>
    <t>SR-CRBS01</t>
  </si>
  <si>
    <t>Carapicuiba</t>
  </si>
  <si>
    <t>Eusebio</t>
  </si>
  <si>
    <t>Pirpirituba</t>
  </si>
  <si>
    <t>PBCGE07</t>
  </si>
  <si>
    <t>Campina Grande</t>
  </si>
  <si>
    <t>ALCAS05</t>
  </si>
  <si>
    <t>RNNSF09</t>
  </si>
  <si>
    <t>PEJBO25</t>
  </si>
  <si>
    <t>CECUC02</t>
  </si>
  <si>
    <t>NLJZES0</t>
  </si>
  <si>
    <t>CAL_MT</t>
  </si>
  <si>
    <t>SR-NTCEJ2</t>
  </si>
  <si>
    <t>PBCRI23</t>
  </si>
  <si>
    <t>PBGBIR1</t>
  </si>
  <si>
    <t>Guarabira</t>
  </si>
  <si>
    <t>BALFS07</t>
  </si>
  <si>
    <t>CEMES24</t>
  </si>
  <si>
    <t>SR-IPJL09</t>
  </si>
  <si>
    <t>São Paulo</t>
  </si>
  <si>
    <t>CEBAE37</t>
  </si>
  <si>
    <t>BXV</t>
  </si>
  <si>
    <t>BC7</t>
  </si>
  <si>
    <t>Borborema</t>
  </si>
  <si>
    <t>ALCLI06</t>
  </si>
  <si>
    <t>PBVAR20</t>
  </si>
  <si>
    <t>CEALD18</t>
  </si>
  <si>
    <t>PETIU02</t>
  </si>
  <si>
    <t>PBVAR47</t>
  </si>
  <si>
    <t>CEPAR40</t>
  </si>
  <si>
    <t>PBTAM01</t>
  </si>
  <si>
    <t>Tacima</t>
  </si>
  <si>
    <t>ALCAS41</t>
  </si>
  <si>
    <t>PBVAR14</t>
  </si>
  <si>
    <t>SR-SPIB26</t>
  </si>
  <si>
    <t>KJA</t>
  </si>
  <si>
    <t>GURINHEM</t>
  </si>
  <si>
    <t>CEBAEI1</t>
  </si>
  <si>
    <t>RHO</t>
  </si>
  <si>
    <t>ROC</t>
  </si>
  <si>
    <t>CEPARI1</t>
  </si>
  <si>
    <t>SUR-CEMCW03_CE</t>
  </si>
  <si>
    <t>SUR-PBCGE07_PB</t>
  </si>
  <si>
    <t>PRQ</t>
  </si>
  <si>
    <t>SUR-CECUC05_CE</t>
  </si>
  <si>
    <t>SUR-PBCGE10_PB</t>
  </si>
  <si>
    <t>SUR-CECUCR1_CE</t>
  </si>
  <si>
    <t>SUR-CECUC01_CE</t>
  </si>
  <si>
    <t>SUR-CEPAR34_CE</t>
  </si>
  <si>
    <t>SUR-PBCGE33_PB</t>
  </si>
  <si>
    <t>SUR-CECUC19_CE</t>
  </si>
  <si>
    <t>CMS</t>
  </si>
  <si>
    <t>ONG</t>
  </si>
  <si>
    <t>CEPARI2</t>
  </si>
  <si>
    <t>SUR-PBCGE25_PB</t>
  </si>
  <si>
    <t>SUR-CECUC07_CE</t>
  </si>
  <si>
    <t>SM9</t>
  </si>
  <si>
    <t>FDC</t>
  </si>
  <si>
    <t>GMM</t>
  </si>
  <si>
    <t>SUR-CECUC10_CE</t>
  </si>
  <si>
    <t>SUR-CECUC11_CE</t>
  </si>
  <si>
    <t>SUR-PBCGE11_PB</t>
  </si>
  <si>
    <t>SUR-PBCGE06_PB</t>
  </si>
  <si>
    <t>SUR-CEMCW01_CE</t>
  </si>
  <si>
    <t>SVP</t>
  </si>
  <si>
    <t>SOROCABA</t>
  </si>
  <si>
    <t>SUR-CECUC08_CE</t>
  </si>
  <si>
    <t>SUR-CEPAR16_CE</t>
  </si>
  <si>
    <t>SUR-CECUC02_CE</t>
  </si>
  <si>
    <t>SUR-CEMCW04_CE</t>
  </si>
  <si>
    <t>PSM</t>
  </si>
  <si>
    <t>SUR-CEPAR33_CE</t>
  </si>
  <si>
    <t>PASSAGEM</t>
  </si>
  <si>
    <t>SUR-BALFS27_BA</t>
  </si>
  <si>
    <t>SUR-BALFS32_BA</t>
  </si>
  <si>
    <t>SUR-BACAR37_BA</t>
  </si>
  <si>
    <t>SUR-BACAR47_BA</t>
  </si>
  <si>
    <t>SUR-BALFS14_BA</t>
  </si>
  <si>
    <t>SUR-BALFS09_BA</t>
  </si>
  <si>
    <t>MGCTG61</t>
  </si>
  <si>
    <t>SUR-BALFS25_BA</t>
  </si>
  <si>
    <t>BARIR02</t>
  </si>
  <si>
    <t>CEPAR38</t>
  </si>
  <si>
    <t>MTCBA32</t>
  </si>
  <si>
    <t>GOGNA9C</t>
  </si>
  <si>
    <t>PBCRI51</t>
  </si>
  <si>
    <t>ALDSH01</t>
  </si>
  <si>
    <t>Dois Riachos</t>
  </si>
  <si>
    <t>PEMDL12</t>
  </si>
  <si>
    <t>7SLNTEP</t>
  </si>
  <si>
    <t>DFSQSD3</t>
  </si>
  <si>
    <t>GOACG25</t>
  </si>
  <si>
    <t>SUR-RNNSF09-RN</t>
  </si>
  <si>
    <t>SUR-ALCAS05-AL</t>
  </si>
  <si>
    <t>SUR-CEPAR27_CE</t>
  </si>
  <si>
    <t>SUR-PEJBO25-PE</t>
  </si>
  <si>
    <t>SR-SPIB59</t>
  </si>
  <si>
    <t>GOGNAF8</t>
  </si>
  <si>
    <t>SR-CRAE01</t>
  </si>
  <si>
    <t>SR-SPBF15</t>
  </si>
  <si>
    <t>CEPIC17</t>
  </si>
  <si>
    <t>SR-SPCC02</t>
  </si>
  <si>
    <t>SR-OSVL01</t>
  </si>
  <si>
    <t>CEPAR75</t>
  </si>
  <si>
    <t>BAFSA61</t>
  </si>
  <si>
    <t>SR-OSJR01</t>
  </si>
  <si>
    <t>SR-GRSR02</t>
  </si>
  <si>
    <t>PEJBO97</t>
  </si>
  <si>
    <t>SR-IPJR01</t>
  </si>
  <si>
    <t>SR-IPMF01</t>
  </si>
  <si>
    <t>SR-SPX113</t>
  </si>
  <si>
    <t>SR-BACT02</t>
  </si>
  <si>
    <t>SR-SPMN03</t>
  </si>
  <si>
    <t>SR-SPX276</t>
  </si>
  <si>
    <t>PEJBOD6</t>
  </si>
  <si>
    <t>GOGNA9I</t>
  </si>
  <si>
    <t>ALCLI63</t>
  </si>
  <si>
    <t>SR-SPX533</t>
  </si>
  <si>
    <t>SLRCAF0</t>
  </si>
  <si>
    <t>SR-SPX138</t>
  </si>
  <si>
    <t>PBCGE36</t>
  </si>
  <si>
    <t>SR-BBCEJ2</t>
  </si>
  <si>
    <t>RNPTR15</t>
  </si>
  <si>
    <t>VPT</t>
  </si>
  <si>
    <t>SR-JPPSJ1</t>
  </si>
  <si>
    <t>NLGVGV0</t>
  </si>
  <si>
    <t>SR-SPBU29</t>
  </si>
  <si>
    <t>SR-SPX567</t>
  </si>
  <si>
    <t>SR-SPBT12</t>
  </si>
  <si>
    <t>GOACG57</t>
  </si>
  <si>
    <t>SR-OSVQ03</t>
  </si>
  <si>
    <t>SR-CRST02</t>
  </si>
  <si>
    <t>SR-SPX574</t>
  </si>
  <si>
    <t>SR-SPX560</t>
  </si>
  <si>
    <t>ALCLI66</t>
  </si>
  <si>
    <t>BAGLO80</t>
  </si>
  <si>
    <t>BASFN03</t>
  </si>
  <si>
    <t>BAPAF04</t>
  </si>
  <si>
    <t>73SLBGB</t>
  </si>
  <si>
    <t>CLA</t>
  </si>
  <si>
    <t>SR-JGPDJ4</t>
  </si>
  <si>
    <t>SR-SPIB56</t>
  </si>
  <si>
    <t>SR-SPX614</t>
  </si>
  <si>
    <t>SR-SPVG10</t>
  </si>
  <si>
    <t>SR-SPIB64</t>
  </si>
  <si>
    <t>SR-SPPI12</t>
  </si>
  <si>
    <t>SR-IPMF04</t>
  </si>
  <si>
    <t>SR-SPCV16</t>
  </si>
  <si>
    <t>SR-SPX106</t>
  </si>
  <si>
    <t>SR-SPBU14</t>
  </si>
  <si>
    <t>SR-SPBL06</t>
  </si>
  <si>
    <t>SR-SPX619</t>
  </si>
  <si>
    <t>SR-SPX540</t>
  </si>
  <si>
    <t>SR-SPSM13</t>
  </si>
  <si>
    <t>SR-SPX187</t>
  </si>
  <si>
    <t>SR-SPIB06</t>
  </si>
  <si>
    <t>SR-SPX562</t>
  </si>
  <si>
    <t>SR-SPSG14</t>
  </si>
  <si>
    <t>SR-SPPS02</t>
  </si>
  <si>
    <t>SR-CRVS02</t>
  </si>
  <si>
    <t>SR-OSJV01</t>
  </si>
  <si>
    <t>SR-SPX282</t>
  </si>
  <si>
    <t>SR-IPLJ04</t>
  </si>
  <si>
    <t>SR-SPBT06</t>
  </si>
  <si>
    <t>SR-JDJB01</t>
  </si>
  <si>
    <t>SR-SPX538</t>
  </si>
  <si>
    <t>SR-SPX517</t>
  </si>
  <si>
    <t>SR-BAPC03</t>
  </si>
  <si>
    <t>SR-SPMN07</t>
  </si>
  <si>
    <t>SR-SPX620</t>
  </si>
  <si>
    <t>SR-SPIB29</t>
  </si>
  <si>
    <t>SR-SPTC06</t>
  </si>
  <si>
    <t>AIM</t>
  </si>
  <si>
    <t>SR-SPIB82</t>
  </si>
  <si>
    <t>SAO PAULO</t>
  </si>
  <si>
    <t>GOIAS</t>
  </si>
  <si>
    <t>GUARULHOS</t>
  </si>
  <si>
    <t>GRAVATA</t>
  </si>
  <si>
    <t>GLORIA</t>
  </si>
  <si>
    <t>SAO FRANCISCO DO CONDE</t>
  </si>
  <si>
    <t>BOM JARDIM</t>
  </si>
  <si>
    <t>BALFS15</t>
  </si>
  <si>
    <t>CESOL18</t>
  </si>
  <si>
    <t>PBCGE21</t>
  </si>
  <si>
    <t>CESOLI1_CE</t>
  </si>
  <si>
    <t>CESOL19</t>
  </si>
  <si>
    <t>CECUC15</t>
  </si>
  <si>
    <t>BALFS08</t>
  </si>
  <si>
    <t>CEPAR28</t>
  </si>
  <si>
    <t>BACAR50</t>
  </si>
  <si>
    <t>BALFS11</t>
  </si>
  <si>
    <t>CESOLI1</t>
  </si>
  <si>
    <t>JANDIRA</t>
  </si>
  <si>
    <t>Non DU</t>
  </si>
  <si>
    <t>RCCF01</t>
  </si>
  <si>
    <t>7SLNTEP02</t>
  </si>
  <si>
    <t>CEPAR73</t>
  </si>
  <si>
    <t>CEPAC32</t>
  </si>
  <si>
    <t>CEAER39</t>
  </si>
  <si>
    <t>BACAR42</t>
  </si>
  <si>
    <t>BASAJ02</t>
  </si>
  <si>
    <t>BASAJ08</t>
  </si>
  <si>
    <t>BASAJ01</t>
  </si>
  <si>
    <t>CEPAR66</t>
  </si>
  <si>
    <t>SR-FLBCJ2</t>
  </si>
  <si>
    <t>SR-FLPCJ3</t>
  </si>
  <si>
    <t>SR-IOIOA3</t>
  </si>
  <si>
    <t>SR-QBQBJ3</t>
  </si>
  <si>
    <t>SR-TYTYJ2</t>
  </si>
  <si>
    <t>TDTD01</t>
  </si>
  <si>
    <t>ITT</t>
  </si>
  <si>
    <t>NON</t>
  </si>
  <si>
    <t>RRK</t>
  </si>
  <si>
    <t>ES2</t>
  </si>
  <si>
    <t>IPORA</t>
  </si>
  <si>
    <t>GOMIH05</t>
  </si>
  <si>
    <t>GOMIH10</t>
  </si>
  <si>
    <t>GOMIH02</t>
  </si>
  <si>
    <t>GOMIH01</t>
  </si>
  <si>
    <t>PBCRI56</t>
  </si>
  <si>
    <t>SR-JPFUJ1</t>
  </si>
  <si>
    <t>SR-JPDTJ1</t>
  </si>
  <si>
    <t>SR-JPVLJ1</t>
  </si>
  <si>
    <t>PBCRI69</t>
  </si>
  <si>
    <t>SR-JPBMJ1</t>
  </si>
  <si>
    <t>SR-JPCEA3</t>
  </si>
  <si>
    <t>SR-CPIRJ2</t>
  </si>
  <si>
    <t>NLWIWI02</t>
  </si>
  <si>
    <t>PEJBO87</t>
  </si>
  <si>
    <t>SR-JGPZJ7</t>
  </si>
  <si>
    <t>SR-JGMCJ1</t>
  </si>
  <si>
    <t>SR-JGPDA3</t>
  </si>
  <si>
    <t>SR-JGSOJ1</t>
  </si>
  <si>
    <t>SR-JGCNJ4</t>
  </si>
  <si>
    <t>SR-JGPDA0</t>
  </si>
  <si>
    <t>SR-JGCNJ3</t>
  </si>
  <si>
    <t>PEOLD45</t>
  </si>
  <si>
    <t>3SLPTPT09</t>
  </si>
  <si>
    <t>PEEPH51</t>
  </si>
  <si>
    <t>SR-RCILJ4</t>
  </si>
  <si>
    <t>PENDT34</t>
  </si>
  <si>
    <t>TATA01</t>
  </si>
  <si>
    <t>TABIRA</t>
  </si>
  <si>
    <t>RNPTB18</t>
  </si>
  <si>
    <t>RNLNV46</t>
  </si>
  <si>
    <t>CEPIC29</t>
  </si>
  <si>
    <t>CEAER42</t>
  </si>
  <si>
    <t>PBCRI55</t>
  </si>
  <si>
    <t>RNPTG40</t>
  </si>
  <si>
    <t>SLMCST01</t>
  </si>
  <si>
    <t>SLMCJC02</t>
  </si>
  <si>
    <t>SLMCCE12</t>
  </si>
  <si>
    <t>GOBNP01</t>
  </si>
  <si>
    <t>BONOPOLIS</t>
  </si>
  <si>
    <t>PEBOVI2</t>
  </si>
  <si>
    <t>SR-SPVS19</t>
  </si>
  <si>
    <t>RNPTG44</t>
  </si>
  <si>
    <t>GQC</t>
  </si>
  <si>
    <t>SDSD03</t>
  </si>
  <si>
    <t>TJ2</t>
  </si>
  <si>
    <t>SR-SPIB01</t>
  </si>
  <si>
    <t>PESUN01</t>
  </si>
  <si>
    <t>SAO BENTO DO UNA</t>
  </si>
  <si>
    <t>7SLJGMC01</t>
  </si>
  <si>
    <t>SR-COCR02</t>
  </si>
  <si>
    <t>COTIA</t>
  </si>
  <si>
    <t>SLNTCD12</t>
  </si>
  <si>
    <t>JGCR02</t>
  </si>
  <si>
    <t>BI7097</t>
  </si>
  <si>
    <t>MGCTG26</t>
  </si>
  <si>
    <t>MGTIM01</t>
  </si>
  <si>
    <t>TIMOTEO</t>
  </si>
  <si>
    <t>CEAER62</t>
  </si>
  <si>
    <t>SR-FLEQJ3</t>
  </si>
  <si>
    <t>SR-FLSHJ4</t>
  </si>
  <si>
    <t>GOGNA0H</t>
  </si>
  <si>
    <t>GOGNA2G</t>
  </si>
  <si>
    <t>GOIANIRA</t>
  </si>
  <si>
    <t>GOGIN07</t>
  </si>
  <si>
    <t>GONRS02</t>
  </si>
  <si>
    <t>NEROPOLIS</t>
  </si>
  <si>
    <t>SR-JPVLJ2</t>
  </si>
  <si>
    <t>JOÃO PEESOA</t>
  </si>
  <si>
    <t>PEAFI01</t>
  </si>
  <si>
    <t>AFOGADOS DA INGAZEIRA</t>
  </si>
  <si>
    <t>SR-RCCQJ1</t>
  </si>
  <si>
    <t>SR-JGCRJ2</t>
  </si>
  <si>
    <t>SR-JGCRJ7</t>
  </si>
  <si>
    <t>SR-NTEPJ4</t>
  </si>
  <si>
    <t>SR-NTDXJ2</t>
  </si>
  <si>
    <t>SR-NTCSJ2</t>
  </si>
  <si>
    <t>SR-NTDTJ2</t>
  </si>
  <si>
    <t>SR-NTGPJ1</t>
  </si>
  <si>
    <t>1JW</t>
  </si>
  <si>
    <t>RSS</t>
  </si>
  <si>
    <t>COD</t>
  </si>
  <si>
    <t>BJE</t>
  </si>
  <si>
    <t>BOM JESUS DE GOIAS</t>
  </si>
  <si>
    <t>CO6</t>
  </si>
  <si>
    <t>VSH</t>
  </si>
  <si>
    <t>EPT</t>
  </si>
  <si>
    <t>GV3</t>
  </si>
  <si>
    <t>CPD</t>
  </si>
  <si>
    <t>CEAQU11</t>
  </si>
  <si>
    <t>CPI_CE</t>
  </si>
  <si>
    <t>ODX_CE</t>
  </si>
  <si>
    <t>CSX_CE</t>
  </si>
  <si>
    <t>OED_CE</t>
  </si>
  <si>
    <t>ODY_CE</t>
  </si>
  <si>
    <t>OEB_CE</t>
  </si>
  <si>
    <t>OEF_CE</t>
  </si>
  <si>
    <t>YCG_CE</t>
  </si>
  <si>
    <t>MAC_CE</t>
  </si>
  <si>
    <t>GOGNAH3</t>
  </si>
  <si>
    <t>JDL_PB</t>
  </si>
  <si>
    <t>ISA_PB</t>
  </si>
  <si>
    <t>CED_PE</t>
  </si>
  <si>
    <t>OOV_PE</t>
  </si>
  <si>
    <t>BVS_PE</t>
  </si>
  <si>
    <t>SNY_PE</t>
  </si>
  <si>
    <t>PEDRA</t>
  </si>
  <si>
    <t>IAO_PE</t>
  </si>
  <si>
    <t>KMR_PE</t>
  </si>
  <si>
    <t>CDI_PE</t>
  </si>
  <si>
    <t>JLT_PE</t>
  </si>
  <si>
    <t>GHC_PE</t>
  </si>
  <si>
    <t>SCY_PE</t>
  </si>
  <si>
    <t>VCR_PE</t>
  </si>
  <si>
    <t>VITORIA DE SANTO ANTAO</t>
  </si>
  <si>
    <t>RNPTG10</t>
  </si>
  <si>
    <t>RNPNG25</t>
  </si>
  <si>
    <t>SR-ALSL02</t>
  </si>
  <si>
    <t>ALUMINIO</t>
  </si>
  <si>
    <t>SR-GRVB02</t>
  </si>
  <si>
    <t>SR-IPJL12</t>
  </si>
  <si>
    <t>SR-ITVP02</t>
  </si>
  <si>
    <t>SR-YACF02</t>
  </si>
  <si>
    <t>ITUPEVA</t>
  </si>
  <si>
    <t>SR-PJCT01</t>
  </si>
  <si>
    <t>PIRAPORA DO BOM JESUS</t>
  </si>
  <si>
    <t>SR-SPX403</t>
  </si>
  <si>
    <t>SR-SPPN34</t>
  </si>
  <si>
    <t>SR-SPBT07</t>
  </si>
  <si>
    <t>SR-SPBF20</t>
  </si>
  <si>
    <t>SR-SPBF06</t>
  </si>
  <si>
    <t>ALCLI72</t>
  </si>
  <si>
    <t>ALCLI64</t>
  </si>
  <si>
    <t>CECUC26</t>
  </si>
  <si>
    <t>CEBAE19</t>
  </si>
  <si>
    <t>CEEDS67</t>
  </si>
  <si>
    <t>CEEDS36</t>
  </si>
  <si>
    <t>CEEDS63</t>
  </si>
  <si>
    <t>PWS</t>
  </si>
  <si>
    <t>PL9</t>
  </si>
  <si>
    <t>DAT</t>
  </si>
  <si>
    <t>ANL</t>
  </si>
  <si>
    <t>ARJ</t>
  </si>
  <si>
    <t>VUN</t>
  </si>
  <si>
    <t>ASF</t>
  </si>
  <si>
    <t>AMA</t>
  </si>
  <si>
    <t>PEJBOB1</t>
  </si>
  <si>
    <t>IPSR02</t>
  </si>
  <si>
    <t>PEBOV54</t>
  </si>
  <si>
    <t>PEIPS50</t>
  </si>
  <si>
    <t>SR-NTTRJ7</t>
  </si>
  <si>
    <t>0CT</t>
  </si>
  <si>
    <t>ARARAS</t>
  </si>
  <si>
    <t>BC6</t>
  </si>
  <si>
    <t>ESPIRITO SANTO DO PINHAL</t>
  </si>
  <si>
    <t>ISN</t>
  </si>
  <si>
    <t>INDAIATUBA</t>
  </si>
  <si>
    <t>RQB</t>
  </si>
  <si>
    <t>JXM</t>
  </si>
  <si>
    <t>SAO CARLOS</t>
  </si>
  <si>
    <t>SR-JPRGJ0</t>
  </si>
  <si>
    <t>SR-JPTWJ3</t>
  </si>
  <si>
    <t>SR-JGMFJ0</t>
  </si>
  <si>
    <t>SR-EXEXJ0</t>
  </si>
  <si>
    <t>JI0_SP</t>
  </si>
  <si>
    <t>PPV_SP</t>
  </si>
  <si>
    <t>CSN_SP</t>
  </si>
  <si>
    <t>JUN_SP</t>
  </si>
  <si>
    <t>JABOTICABAL</t>
  </si>
  <si>
    <t>JBV_SP</t>
  </si>
  <si>
    <t>LIMEIRA</t>
  </si>
  <si>
    <t>RXP_SP</t>
  </si>
  <si>
    <t>REG_SP</t>
  </si>
  <si>
    <t>0SI_SP</t>
  </si>
  <si>
    <t>HEK_SP</t>
  </si>
  <si>
    <t>SÃO JOSE DO RIO PARDO</t>
  </si>
  <si>
    <t>AL1_SP</t>
  </si>
  <si>
    <t>SERTAOZINHO</t>
  </si>
  <si>
    <t>0PJ_SP</t>
  </si>
  <si>
    <t>SUMARE</t>
  </si>
  <si>
    <t>BAFSA68</t>
  </si>
  <si>
    <t>GOGNAF6</t>
  </si>
  <si>
    <t>GOMNI02</t>
  </si>
  <si>
    <t>SR-BAPE01</t>
  </si>
  <si>
    <t>SR-GRVL02</t>
  </si>
  <si>
    <t>SR-SPMN10</t>
  </si>
  <si>
    <t>SR-SPJA02</t>
  </si>
  <si>
    <t>SR-SPPZ26</t>
  </si>
  <si>
    <t>SR-SPBL15</t>
  </si>
  <si>
    <t>SR-SPAN02</t>
  </si>
  <si>
    <t>SR-SPVA18</t>
  </si>
  <si>
    <t>SR-SPTC04</t>
  </si>
  <si>
    <t>ALCLI11</t>
  </si>
  <si>
    <t>ALCAS43</t>
  </si>
  <si>
    <t>CEAQU10</t>
  </si>
  <si>
    <t>JIM</t>
  </si>
  <si>
    <t>BEZ</t>
  </si>
  <si>
    <t>BDT</t>
  </si>
  <si>
    <t>GPQ</t>
  </si>
  <si>
    <t>JAY</t>
  </si>
  <si>
    <t>CJN</t>
  </si>
  <si>
    <t>AVR</t>
  </si>
  <si>
    <t>AJP</t>
  </si>
  <si>
    <t>AJX</t>
  </si>
  <si>
    <t>AAV</t>
  </si>
  <si>
    <t>FVE</t>
  </si>
  <si>
    <t>GNT</t>
  </si>
  <si>
    <t>1S1</t>
  </si>
  <si>
    <t>1S4</t>
  </si>
  <si>
    <t>1F3</t>
  </si>
  <si>
    <t>JIG</t>
  </si>
  <si>
    <t>SCC</t>
  </si>
  <si>
    <t>SENADOR CANEDO</t>
  </si>
  <si>
    <t>SRP</t>
  </si>
  <si>
    <t>TDD</t>
  </si>
  <si>
    <t>RVD</t>
  </si>
  <si>
    <t>CPQ</t>
  </si>
  <si>
    <t>RVG</t>
  </si>
  <si>
    <t>NHO</t>
  </si>
  <si>
    <t>RJI</t>
  </si>
  <si>
    <t>JML</t>
  </si>
  <si>
    <t>JSD</t>
  </si>
  <si>
    <t>VM3</t>
  </si>
  <si>
    <t>REM</t>
  </si>
  <si>
    <t>JAD</t>
  </si>
  <si>
    <t>JJO</t>
  </si>
  <si>
    <t>RSF</t>
  </si>
  <si>
    <t>RPU</t>
  </si>
  <si>
    <t>RJL</t>
  </si>
  <si>
    <t>BOS</t>
  </si>
  <si>
    <t>CVE</t>
  </si>
  <si>
    <t>PNA</t>
  </si>
  <si>
    <t>VNC</t>
  </si>
  <si>
    <t>CPI</t>
  </si>
  <si>
    <t>YCG</t>
  </si>
  <si>
    <t>SR-FLMTJ2</t>
  </si>
  <si>
    <t>CEBAE13</t>
  </si>
  <si>
    <t>DIM</t>
  </si>
  <si>
    <t>DCK</t>
  </si>
  <si>
    <t>MGM</t>
  </si>
  <si>
    <t>PBSUE01</t>
  </si>
  <si>
    <t>SUME</t>
  </si>
  <si>
    <t>PECRU40</t>
  </si>
  <si>
    <t>SR-JGSOJ0</t>
  </si>
  <si>
    <t>SR-JGPDA2</t>
  </si>
  <si>
    <t>NLG</t>
  </si>
  <si>
    <t>ATE</t>
  </si>
  <si>
    <t>PESUN02</t>
  </si>
  <si>
    <t>VSM</t>
  </si>
  <si>
    <t>VSR</t>
  </si>
  <si>
    <t>GOCLV26</t>
  </si>
  <si>
    <t>MGDOG02</t>
  </si>
  <si>
    <t>DORES DE GUANHAES</t>
  </si>
  <si>
    <t>MGMCL07</t>
  </si>
  <si>
    <t>MONTES CLAROS</t>
  </si>
  <si>
    <t>VSR_PE</t>
  </si>
  <si>
    <t>SR-ALSN01</t>
  </si>
  <si>
    <t>SR-CRAE02</t>
  </si>
  <si>
    <t>SR-CRCT04</t>
  </si>
  <si>
    <t>SR-ITPT01</t>
  </si>
  <si>
    <t>SR-ITPR01</t>
  </si>
  <si>
    <t>SR-ITPT02</t>
  </si>
  <si>
    <t>SR-ITPR10</t>
  </si>
  <si>
    <t>SR-YACF01</t>
  </si>
  <si>
    <t>SR-YACF03</t>
  </si>
  <si>
    <t>SR-SNFZ03</t>
  </si>
  <si>
    <t>SANTANA DE PARNAIBA</t>
  </si>
  <si>
    <t>SR-SPCC04</t>
  </si>
  <si>
    <t>SR-SPBL01</t>
  </si>
  <si>
    <t>SR-CMPL01</t>
  </si>
  <si>
    <t>CEMCW22</t>
  </si>
  <si>
    <t>CEAQU15</t>
  </si>
  <si>
    <t>CECUC25</t>
  </si>
  <si>
    <t>CEPAR77</t>
  </si>
  <si>
    <t>SR-IOIOJ2</t>
  </si>
  <si>
    <t>FMS</t>
  </si>
  <si>
    <t>VPS</t>
  </si>
  <si>
    <t>SR-JPCEJ2</t>
  </si>
  <si>
    <t>SR-JPRLJ0</t>
  </si>
  <si>
    <t>PEBOS01</t>
  </si>
  <si>
    <t>BUENOS AIRES</t>
  </si>
  <si>
    <t>SR-ARVN01</t>
  </si>
  <si>
    <t>ARACARIGUAMA</t>
  </si>
  <si>
    <t>SR-CRBS05</t>
  </si>
  <si>
    <t>SR-CRCT01</t>
  </si>
  <si>
    <t>SR-CRBS03</t>
  </si>
  <si>
    <t>SR-ITRD05</t>
  </si>
  <si>
    <t>SR-ITPR11</t>
  </si>
  <si>
    <t>SR-ITVL03</t>
  </si>
  <si>
    <t>SR-ITCN01</t>
  </si>
  <si>
    <t>JUNDIAI</t>
  </si>
  <si>
    <t>SR-JNJD02</t>
  </si>
  <si>
    <t>SR-SLJC02</t>
  </si>
  <si>
    <t>SR-SLJN01</t>
  </si>
  <si>
    <t>SR-SLDI02</t>
  </si>
  <si>
    <t>SR-SLBR05</t>
  </si>
  <si>
    <t>SR-SLBR04</t>
  </si>
  <si>
    <t>SR-SLJC01</t>
  </si>
  <si>
    <t>SALTO</t>
  </si>
  <si>
    <t>SR-SPPZ27</t>
  </si>
  <si>
    <t>SR-SPCV24</t>
  </si>
  <si>
    <t>SR-SPJA05</t>
  </si>
  <si>
    <t>SR-SP034M</t>
  </si>
  <si>
    <t>SR-SPPS17</t>
  </si>
  <si>
    <t>SR-SPJA10</t>
  </si>
  <si>
    <t>SR-SPST14</t>
  </si>
  <si>
    <t>SR-SPCV19</t>
  </si>
  <si>
    <t>SR-SPPZ25</t>
  </si>
  <si>
    <t>SR-SPMN12</t>
  </si>
  <si>
    <t>SR-SPBL09</t>
  </si>
  <si>
    <t>SR-SPMN01</t>
  </si>
  <si>
    <t>SR-SPLI10</t>
  </si>
  <si>
    <t>SR-SP035M</t>
  </si>
  <si>
    <t>PENDT43</t>
  </si>
  <si>
    <t>CEPAR71</t>
  </si>
  <si>
    <t>SR-CRBS04</t>
  </si>
  <si>
    <t>SR-ITPR02</t>
  </si>
  <si>
    <t>SR-NTEPJ2</t>
  </si>
  <si>
    <t>SR-ITHB01</t>
  </si>
  <si>
    <t>SR-ITSL02</t>
  </si>
  <si>
    <t>SR-ITVL02</t>
  </si>
  <si>
    <t>SR-ITPI01</t>
  </si>
  <si>
    <t>SR-ITRD03</t>
  </si>
  <si>
    <t>SR-YACT01</t>
  </si>
  <si>
    <t>SR-ITMR01</t>
  </si>
  <si>
    <t>SR-ITVP01</t>
  </si>
  <si>
    <t>BAFSA60</t>
  </si>
  <si>
    <t>JB9_SP</t>
  </si>
  <si>
    <t>LN0_SP</t>
  </si>
  <si>
    <t>RAL_SP</t>
  </si>
  <si>
    <t>SR-MCTRJ3</t>
  </si>
  <si>
    <t>CEPIC26</t>
  </si>
  <si>
    <t>SR-FLJAJ7</t>
  </si>
  <si>
    <t>SR-FLJAJ8</t>
  </si>
  <si>
    <t>SR-FLMOJ9</t>
  </si>
  <si>
    <t>SR-FLLCJ3</t>
  </si>
  <si>
    <t>SR-FLMOA0</t>
  </si>
  <si>
    <t>SR-FLPAJ1</t>
  </si>
  <si>
    <t>CEITK02</t>
  </si>
  <si>
    <t>GOABI04</t>
  </si>
  <si>
    <t>ABADIANIA</t>
  </si>
  <si>
    <t>GOALS12</t>
  </si>
  <si>
    <t>GOALS07</t>
  </si>
  <si>
    <t>GOALS18</t>
  </si>
  <si>
    <t>GOALS08</t>
  </si>
  <si>
    <t>GOACG32</t>
  </si>
  <si>
    <t>GOACGI3</t>
  </si>
  <si>
    <t>GOMIH08</t>
  </si>
  <si>
    <t>GOMIH09</t>
  </si>
  <si>
    <t>GOPPS11</t>
  </si>
  <si>
    <t>PIRENOPOLIS</t>
  </si>
  <si>
    <t>GOTDA04</t>
  </si>
  <si>
    <t>PBBJZ01</t>
  </si>
  <si>
    <t>SR-JPALJ0</t>
  </si>
  <si>
    <t>SR-JPBSA5</t>
  </si>
  <si>
    <t>SR-JPCAJ0</t>
  </si>
  <si>
    <t>3SLIPIP05</t>
  </si>
  <si>
    <t>SR-JGPDB0</t>
  </si>
  <si>
    <t>7SLJGCR05</t>
  </si>
  <si>
    <t>SR-COGJ03</t>
  </si>
  <si>
    <t>SR-ITSL01</t>
  </si>
  <si>
    <t>SR-YACT02</t>
  </si>
  <si>
    <t>SR-MQPS01</t>
  </si>
  <si>
    <t>MARINQUE</t>
  </si>
  <si>
    <t>SR-MQRP01</t>
  </si>
  <si>
    <t>SR-SNAS05</t>
  </si>
  <si>
    <t>SR-SPPZ04</t>
  </si>
  <si>
    <t>SR-SPIB65</t>
  </si>
  <si>
    <t>SR-SPBF13</t>
  </si>
  <si>
    <t>SR-SPBU10</t>
  </si>
  <si>
    <t>SR-SPTC08</t>
  </si>
  <si>
    <t>SR-SRCO01</t>
  </si>
  <si>
    <t xml:space="preserve">SÃO ROQUE </t>
  </si>
  <si>
    <t>SR-SREV23</t>
  </si>
  <si>
    <t>SR-SRCT01</t>
  </si>
  <si>
    <t>SR-SRVL01</t>
  </si>
  <si>
    <t>SR-SRGP03</t>
  </si>
  <si>
    <t>ALCAS44</t>
  </si>
  <si>
    <t>ALMHD02</t>
  </si>
  <si>
    <t>ALMHD01</t>
  </si>
  <si>
    <t>CECUC27</t>
  </si>
  <si>
    <t>SHE_CE</t>
  </si>
  <si>
    <t>PBCGEI1</t>
  </si>
  <si>
    <t>PBCGE38</t>
  </si>
  <si>
    <t>SR-JPCOJ0</t>
  </si>
  <si>
    <t>PEJBOA3</t>
  </si>
  <si>
    <t>SR-NTACJ6</t>
  </si>
  <si>
    <t>VFL_RN</t>
  </si>
  <si>
    <t>MGDEL01</t>
  </si>
  <si>
    <t>DELTA</t>
  </si>
  <si>
    <t>SR-SRSB02</t>
  </si>
  <si>
    <t>MGPRM19</t>
  </si>
  <si>
    <t>PARA DE MINAS</t>
  </si>
  <si>
    <t>MTBAG10</t>
  </si>
  <si>
    <t>BARRA DO GARCAS</t>
  </si>
  <si>
    <t>GOREP11</t>
  </si>
  <si>
    <t>FAZENDA NOVA</t>
  </si>
  <si>
    <t>SR-SNAH04</t>
  </si>
  <si>
    <t>ANTANA DE PARNAIBA</t>
  </si>
  <si>
    <t>NLWIWI0</t>
  </si>
  <si>
    <t>SR-ITPR12</t>
  </si>
  <si>
    <t>SR-SREV13</t>
  </si>
  <si>
    <t>SR-SNSL01</t>
  </si>
  <si>
    <t>SR-SPS146</t>
  </si>
  <si>
    <t>SR-ITRD02</t>
  </si>
  <si>
    <t>SAO ROQUE</t>
  </si>
  <si>
    <t>DFSQSI5</t>
  </si>
  <si>
    <t>SLJGPD2</t>
  </si>
  <si>
    <t>JSO</t>
  </si>
  <si>
    <t>AMV</t>
  </si>
  <si>
    <t>T70</t>
  </si>
  <si>
    <t>PW1</t>
  </si>
  <si>
    <t>GOAOH90</t>
  </si>
  <si>
    <t>SLRCCX0</t>
  </si>
  <si>
    <t>LN0</t>
  </si>
  <si>
    <t>HEK</t>
  </si>
  <si>
    <t>JGPD12_</t>
  </si>
  <si>
    <t>JB9</t>
  </si>
  <si>
    <t>OIT</t>
  </si>
  <si>
    <t>SM0</t>
  </si>
  <si>
    <t>SLRCVG0</t>
  </si>
  <si>
    <t>T66</t>
  </si>
  <si>
    <t>IDR</t>
  </si>
  <si>
    <t>AL1</t>
  </si>
  <si>
    <t>HP0</t>
  </si>
  <si>
    <t>CXU</t>
  </si>
  <si>
    <t>T69</t>
  </si>
  <si>
    <t>T71</t>
  </si>
  <si>
    <t>T65</t>
  </si>
  <si>
    <t>UL0</t>
  </si>
  <si>
    <t>LJ0</t>
  </si>
  <si>
    <t>PIRACICABA</t>
  </si>
  <si>
    <t>ALTO HORIZONTE</t>
  </si>
  <si>
    <t>SAO JOSE DO RIO PARDO</t>
  </si>
  <si>
    <t>SOCORRO</t>
  </si>
  <si>
    <t>HORTOLANDIA</t>
  </si>
  <si>
    <t>BACIS04</t>
  </si>
  <si>
    <t>CANDEAIS</t>
  </si>
  <si>
    <t>BACJA01</t>
  </si>
  <si>
    <t>BACJA02</t>
  </si>
  <si>
    <t>CONCEICAO DO JACUIPE</t>
  </si>
  <si>
    <t>BAJUA05</t>
  </si>
  <si>
    <t>BAJUA17</t>
  </si>
  <si>
    <t>BAJUA15</t>
  </si>
  <si>
    <t>CEPAC36</t>
  </si>
  <si>
    <t>CEJNE37</t>
  </si>
  <si>
    <t>CESOL21</t>
  </si>
  <si>
    <t>CDD_MT</t>
  </si>
  <si>
    <t>COLIDER</t>
  </si>
  <si>
    <t>PEPTA40</t>
  </si>
  <si>
    <t>US9_SP</t>
  </si>
  <si>
    <t>SR-IPJM01</t>
  </si>
  <si>
    <t>SUR-BAJUA17_BA</t>
  </si>
  <si>
    <t>SUR-BAJUA15_BA</t>
  </si>
  <si>
    <t>SUR-BALFS19_BA</t>
  </si>
  <si>
    <t>SUR-CESOL21_CE</t>
  </si>
  <si>
    <t>SUR-BAJUA05_BA</t>
  </si>
  <si>
    <t>SUR-PEPTA40_PE</t>
  </si>
  <si>
    <t>SUR-BAJUA33_BA</t>
  </si>
  <si>
    <t>PEEPH49</t>
  </si>
  <si>
    <t>RNLNV07</t>
  </si>
  <si>
    <t>PETTA01</t>
  </si>
  <si>
    <t>CEPAC35</t>
  </si>
  <si>
    <t>SR-NTQTJ0</t>
  </si>
  <si>
    <t>PEOLD46</t>
  </si>
  <si>
    <t>PEIPS52</t>
  </si>
  <si>
    <t>PBCGE39</t>
  </si>
  <si>
    <t>CEJNE33</t>
  </si>
  <si>
    <t>RNMRO32</t>
  </si>
  <si>
    <t>ALAIR20</t>
  </si>
  <si>
    <t>CDD</t>
  </si>
  <si>
    <t>PBTAB35</t>
  </si>
  <si>
    <t>PBCGE10</t>
  </si>
  <si>
    <t>CEPAC37</t>
  </si>
  <si>
    <t>SR-NTNPJ6</t>
  </si>
  <si>
    <t>US9</t>
  </si>
  <si>
    <t>SUR-PEPTA31_PE</t>
  </si>
  <si>
    <t>SUR-PBCGE03_PB</t>
  </si>
  <si>
    <t>SUR-PECRU13_PE</t>
  </si>
  <si>
    <t>SUR-PEPTA02_PE</t>
  </si>
  <si>
    <t>SUR-PECRU29_PE</t>
  </si>
  <si>
    <t>SUR-PEPTA42_PE</t>
  </si>
  <si>
    <t>SLJGCN0</t>
  </si>
  <si>
    <t>NLABAB0</t>
  </si>
  <si>
    <t>SUR-CESOL05_CE</t>
  </si>
  <si>
    <t>SUR-GOALS23-GO</t>
  </si>
  <si>
    <t>SUR-PECRU16_PE</t>
  </si>
  <si>
    <t>SUR-PECRU15_PE</t>
  </si>
  <si>
    <t>SUR-PECRU09_PE</t>
  </si>
  <si>
    <t>SUR-PECRU08_PE</t>
  </si>
  <si>
    <t>SUR-PEPTA36_PE</t>
  </si>
  <si>
    <t>SUR-PEPTA30_PE</t>
  </si>
  <si>
    <t>SUR-PECRU07_PE</t>
  </si>
  <si>
    <t>SUR-CESOL16_CE</t>
  </si>
  <si>
    <t>SUR-PEPTAI1_PE</t>
  </si>
  <si>
    <t>SUR-PECRU18_PE</t>
  </si>
  <si>
    <t>SUR-PEPTA11_PE</t>
  </si>
  <si>
    <t>NLABAB04</t>
  </si>
  <si>
    <t>SUR-PEPTA27_PE</t>
  </si>
  <si>
    <t>SUR-PBCGE08_PB</t>
  </si>
  <si>
    <t>SUR-CESOL20_CE</t>
  </si>
  <si>
    <t>SUR-PEPTA26_PE</t>
  </si>
  <si>
    <t>SUR-CEPAR09_CE</t>
  </si>
  <si>
    <t>PEJBOC6</t>
  </si>
  <si>
    <t>CEEDS02</t>
  </si>
  <si>
    <t>SR-NTCPJ1</t>
  </si>
  <si>
    <t>IGW</t>
  </si>
  <si>
    <t>PBCGE40</t>
  </si>
  <si>
    <t>IPANGUACU</t>
  </si>
  <si>
    <t>GOGNA57</t>
  </si>
  <si>
    <t>PEBLF03</t>
  </si>
  <si>
    <t>CEAER15</t>
  </si>
  <si>
    <t>PBOUV01</t>
  </si>
  <si>
    <t>RNPNS01</t>
  </si>
  <si>
    <t>RNADG01</t>
  </si>
  <si>
    <t>OURO VELHO</t>
  </si>
  <si>
    <t>ALTO DO RODRIGUES</t>
  </si>
  <si>
    <t>PENDENCIAS</t>
  </si>
  <si>
    <t>88940BXV</t>
  </si>
  <si>
    <t>88940BXP</t>
  </si>
  <si>
    <t>MSSYW02</t>
  </si>
  <si>
    <t>GOTDA03</t>
  </si>
  <si>
    <t>SR-COJS02</t>
  </si>
  <si>
    <t>SR-YACP01</t>
  </si>
  <si>
    <t>GOACG45</t>
  </si>
  <si>
    <t>GOACG41</t>
  </si>
  <si>
    <t>SR-SNAH01</t>
  </si>
  <si>
    <t>SR-COAV02</t>
  </si>
  <si>
    <t>CEEDSI1</t>
  </si>
  <si>
    <t>ALCASI1</t>
  </si>
  <si>
    <t>PITERI1</t>
  </si>
  <si>
    <t>SAO GABRIEL DO OESTE</t>
  </si>
  <si>
    <t>OJD</t>
  </si>
  <si>
    <t>OPT</t>
  </si>
  <si>
    <t>SR-SPVL19</t>
  </si>
  <si>
    <t>CCJ</t>
  </si>
  <si>
    <t>OLP</t>
  </si>
  <si>
    <t>SGO</t>
  </si>
  <si>
    <t>SR-MCPG</t>
  </si>
  <si>
    <t>MGCTG02</t>
  </si>
  <si>
    <t>VFL</t>
  </si>
  <si>
    <t>SR-JPMG</t>
  </si>
  <si>
    <t>MPD</t>
  </si>
  <si>
    <t>ASP</t>
  </si>
  <si>
    <t>SAZ</t>
  </si>
  <si>
    <t>TRJ</t>
  </si>
  <si>
    <t>MAC</t>
  </si>
  <si>
    <t>SDE</t>
  </si>
  <si>
    <t>SR-JPDT</t>
  </si>
  <si>
    <t>TSR</t>
  </si>
  <si>
    <t>RFC</t>
  </si>
  <si>
    <t>PLY</t>
  </si>
  <si>
    <t>TQO</t>
  </si>
  <si>
    <t>POW</t>
  </si>
  <si>
    <t>IEX</t>
  </si>
  <si>
    <t>EJN</t>
  </si>
  <si>
    <t>SHE</t>
  </si>
  <si>
    <t>EN1</t>
  </si>
  <si>
    <t>GNZ</t>
  </si>
  <si>
    <t>CGS</t>
  </si>
  <si>
    <t>IJC</t>
  </si>
  <si>
    <t>TRB</t>
  </si>
  <si>
    <t>CANGUARETAMA</t>
  </si>
  <si>
    <t>ASSUNCAO DO PIAUI</t>
  </si>
  <si>
    <t>TUPARETAMA</t>
  </si>
  <si>
    <t>SERRA AZUL</t>
  </si>
  <si>
    <t>SYG</t>
  </si>
  <si>
    <t>T68</t>
  </si>
  <si>
    <t>PH0</t>
  </si>
  <si>
    <t>VM0</t>
  </si>
  <si>
    <t>SV7</t>
  </si>
  <si>
    <t>0CR</t>
  </si>
  <si>
    <t>IM9</t>
  </si>
  <si>
    <t>LBP</t>
  </si>
  <si>
    <t>0SM</t>
  </si>
  <si>
    <t>CEALD58</t>
  </si>
  <si>
    <t>GOCRT16</t>
  </si>
  <si>
    <t>PEBOV61</t>
  </si>
  <si>
    <t>PEBVT48</t>
  </si>
  <si>
    <t>CRISTALINA</t>
  </si>
  <si>
    <t>SUR-GOALS05-GO</t>
  </si>
  <si>
    <t>SUR-CEMCW11_CE</t>
  </si>
  <si>
    <t>SUR-RNNSF01_RN</t>
  </si>
  <si>
    <t>SUR-PECRU22_PE</t>
  </si>
  <si>
    <t>SUR-RNPNG08_RN</t>
  </si>
  <si>
    <t>SUR-RNPNG13_RN</t>
  </si>
  <si>
    <t>SUR-RNNSF05_RN</t>
  </si>
  <si>
    <t>SUR-PEPTA08_PE</t>
  </si>
  <si>
    <t>SUR-GOALS19-GO</t>
  </si>
  <si>
    <t>SUR-RNPNG03_RN</t>
  </si>
  <si>
    <t>SUR-PEPTA07_PE</t>
  </si>
  <si>
    <t>SUR-PEPTA22_PE</t>
  </si>
  <si>
    <t>SUR-ALCASI1-AL</t>
  </si>
  <si>
    <t>PBCZD01</t>
  </si>
  <si>
    <t>PEEPH29</t>
  </si>
  <si>
    <t>SR-MCCBJ0</t>
  </si>
  <si>
    <t>SR-MCMNJ5</t>
  </si>
  <si>
    <t>SR-JPFUJ0</t>
  </si>
  <si>
    <t>ALRGO02</t>
  </si>
  <si>
    <t>SR-JPBSJ1</t>
  </si>
  <si>
    <t>DRD</t>
  </si>
  <si>
    <t>NLMGMG0</t>
  </si>
  <si>
    <t>SR-NTPJJ2</t>
  </si>
  <si>
    <t>JOC</t>
  </si>
  <si>
    <t>SLRCIM0</t>
  </si>
  <si>
    <t>CRUZ DO ESPIRITO SANTO</t>
  </si>
  <si>
    <t>SR-JPACJ0</t>
  </si>
  <si>
    <t>SR-SRVA01</t>
  </si>
  <si>
    <t>SR-SNAH12</t>
  </si>
  <si>
    <t>SR-CRBS02</t>
  </si>
  <si>
    <t>SR-ITSJ01</t>
  </si>
  <si>
    <t>GOVPI07</t>
  </si>
  <si>
    <t>GONGM02</t>
  </si>
  <si>
    <t>SR-MCPGJ0</t>
  </si>
  <si>
    <t>SR-MCUNJ9</t>
  </si>
  <si>
    <t>BSJ</t>
  </si>
  <si>
    <t>MTTPK05</t>
  </si>
  <si>
    <t>MSCPEE1</t>
  </si>
  <si>
    <t>NVO</t>
  </si>
  <si>
    <t>SR-SPCC05</t>
  </si>
  <si>
    <t>SR-SRGP02</t>
  </si>
  <si>
    <t>SR-SNMP03</t>
  </si>
  <si>
    <t>SR-SPTC11</t>
  </si>
  <si>
    <t>SR-SNAH03</t>
  </si>
  <si>
    <t>SR-IPNI01</t>
  </si>
  <si>
    <t>SR-SRGP01</t>
  </si>
  <si>
    <t>SR-CMSI03</t>
  </si>
  <si>
    <t>SR-MCFAJ3</t>
  </si>
  <si>
    <t>CGC</t>
  </si>
  <si>
    <t>SR-JPJVJ0</t>
  </si>
  <si>
    <t>SR-SPTC14</t>
  </si>
  <si>
    <t>SR-CAJM01</t>
  </si>
  <si>
    <t>SR-CMVN01</t>
  </si>
  <si>
    <t>SR-SPJA09</t>
  </si>
  <si>
    <t>SR-SLBR03</t>
  </si>
  <si>
    <t>SR-ARNH01</t>
  </si>
  <si>
    <t>CNW</t>
  </si>
  <si>
    <t>SR-SRCO02</t>
  </si>
  <si>
    <t>SR-SPBL03</t>
  </si>
  <si>
    <t>CEEDS59</t>
  </si>
  <si>
    <t>SR-FLMSJ8</t>
  </si>
  <si>
    <t>APK</t>
  </si>
  <si>
    <t>NOVO GAMA</t>
  </si>
  <si>
    <t>NAVIRAI</t>
  </si>
  <si>
    <t>TAPURAH</t>
  </si>
  <si>
    <t>CAJAMAR</t>
  </si>
  <si>
    <t>COCALZINHO DE GOIAS</t>
  </si>
  <si>
    <t>CABREUVA</t>
  </si>
  <si>
    <t>SR-FLMCJ0</t>
  </si>
  <si>
    <t>BABARI1</t>
  </si>
  <si>
    <t>BAITAI4</t>
  </si>
  <si>
    <t>SUR-GOALS06-GO</t>
  </si>
  <si>
    <t>SUR-GOALS03-GO</t>
  </si>
  <si>
    <t>SUR-GOALS09-GO</t>
  </si>
  <si>
    <t>SUR-BAJUA02_BA</t>
  </si>
  <si>
    <t>SUR-GOALS11-GO</t>
  </si>
  <si>
    <t>SR-JPCEJ0</t>
  </si>
  <si>
    <t>SR-JPMGJ8</t>
  </si>
  <si>
    <t>MTVAZ18</t>
  </si>
  <si>
    <t>SR-NTFCJ0</t>
  </si>
  <si>
    <t>SR-JPAGJ1</t>
  </si>
  <si>
    <t>SR-NTBMJ3</t>
  </si>
  <si>
    <t>SR-MCPBJ0</t>
  </si>
  <si>
    <t>ST4</t>
  </si>
  <si>
    <t>BZ5</t>
  </si>
  <si>
    <t>SR-SRTP01</t>
  </si>
  <si>
    <t>SR-ITSL03</t>
  </si>
  <si>
    <t>BAFSA23</t>
  </si>
  <si>
    <t>BAFSA84</t>
  </si>
  <si>
    <t>SR-IPNI02</t>
  </si>
  <si>
    <t>MZZ</t>
  </si>
  <si>
    <t>SR-MCUNJ3</t>
  </si>
  <si>
    <t>SR-JPVLJ5</t>
  </si>
  <si>
    <t>5ES</t>
  </si>
  <si>
    <t>MCM</t>
  </si>
  <si>
    <t>SR-SPVG05</t>
  </si>
  <si>
    <t>SR-CAMR05</t>
  </si>
  <si>
    <t>SR-BAVN01</t>
  </si>
  <si>
    <t>SR-JDJA01</t>
  </si>
  <si>
    <t>BARUERI</t>
  </si>
  <si>
    <t>PBCRII2</t>
  </si>
  <si>
    <t>ALCLR03</t>
  </si>
  <si>
    <t>CEPAC23</t>
  </si>
  <si>
    <t>PBCGE48</t>
  </si>
  <si>
    <t>SDSD03_</t>
  </si>
  <si>
    <t>RNPTG43</t>
  </si>
  <si>
    <t>NNO</t>
  </si>
  <si>
    <t>DAG</t>
  </si>
  <si>
    <t>SLPY125</t>
  </si>
  <si>
    <t>VMD</t>
  </si>
  <si>
    <t>BQAMW01</t>
  </si>
  <si>
    <t>NLJMJM0</t>
  </si>
  <si>
    <t>MAT</t>
  </si>
  <si>
    <t>ALFAR06</t>
  </si>
  <si>
    <t>SR-SPIB61</t>
  </si>
  <si>
    <t>GOAMR01</t>
  </si>
  <si>
    <t>RJS</t>
  </si>
  <si>
    <t>NOVA GLORIA</t>
  </si>
  <si>
    <t>BOQUIRA</t>
  </si>
  <si>
    <t>SAO JOAQUIM DO MONTE</t>
  </si>
  <si>
    <t>CANARANA</t>
  </si>
  <si>
    <t>AMARALINA</t>
  </si>
  <si>
    <t>PEMDL49</t>
  </si>
  <si>
    <t>CEEDS68</t>
  </si>
  <si>
    <t>SR-FLDLJ3</t>
  </si>
  <si>
    <t>PEIPS53</t>
  </si>
  <si>
    <t>PBCGE50</t>
  </si>
  <si>
    <t>RNMRO38</t>
  </si>
  <si>
    <t>PBCGE41</t>
  </si>
  <si>
    <t>ALAIR22</t>
  </si>
  <si>
    <t>PEBVT33</t>
  </si>
  <si>
    <t>PEPTA52</t>
  </si>
  <si>
    <t>PEBVT14</t>
  </si>
  <si>
    <t>PESIT01</t>
  </si>
  <si>
    <t>CEEDS56</t>
  </si>
  <si>
    <t>SR-FLMOJ6</t>
  </si>
  <si>
    <t>PBCGE47</t>
  </si>
  <si>
    <t>PENDT46</t>
  </si>
  <si>
    <t>ALAIR19</t>
  </si>
  <si>
    <t>PEPUI44</t>
  </si>
  <si>
    <t>PEPUI41</t>
  </si>
  <si>
    <t>CEMCW17</t>
  </si>
  <si>
    <t>SAO CAITANO</t>
  </si>
  <si>
    <t>PEJBOB7</t>
  </si>
  <si>
    <t>SUR-RNPIM12_RN</t>
  </si>
  <si>
    <t>SUR-RNPIM07_RN</t>
  </si>
  <si>
    <t>SUR-PBCGE04_PB</t>
  </si>
  <si>
    <t>SUR-PECRU02_PE</t>
  </si>
  <si>
    <t>SUR-RNPIM08_RN</t>
  </si>
  <si>
    <t>SUR-PBCGEI1_PB</t>
  </si>
  <si>
    <t>EXS</t>
  </si>
  <si>
    <t>JNC</t>
  </si>
  <si>
    <t>KBN</t>
  </si>
  <si>
    <t>SOJ</t>
  </si>
  <si>
    <t>SR-FLDUJ3</t>
  </si>
  <si>
    <t>OJJ</t>
  </si>
  <si>
    <t>DFTAG16</t>
  </si>
  <si>
    <t>BAAMAI1</t>
  </si>
  <si>
    <t>MSPTM03</t>
  </si>
  <si>
    <t>PORTO MURTINHO</t>
  </si>
  <si>
    <t>MGPLA47</t>
  </si>
  <si>
    <t>BELO HORIZONTE</t>
  </si>
  <si>
    <t>MGPAM17</t>
  </si>
  <si>
    <t>MGCTG35</t>
  </si>
  <si>
    <t>MTVAZ08</t>
  </si>
  <si>
    <t>SR-JPTEJ1</t>
  </si>
  <si>
    <t>MTVAZ59</t>
  </si>
  <si>
    <t>PVG</t>
  </si>
  <si>
    <t>PIRASSUNUNGA</t>
  </si>
  <si>
    <t>SSQ</t>
  </si>
  <si>
    <t>SAO SEBASTIAO</t>
  </si>
  <si>
    <t>CPF</t>
  </si>
  <si>
    <t>CAMPOS DO JORDAO</t>
  </si>
  <si>
    <t>AB0</t>
  </si>
  <si>
    <t>VHC</t>
  </si>
  <si>
    <t>VINHEDO</t>
  </si>
  <si>
    <t>ENA</t>
  </si>
  <si>
    <t>LORENA</t>
  </si>
  <si>
    <t>0DM</t>
  </si>
  <si>
    <t>SV5</t>
  </si>
  <si>
    <t>0SI</t>
  </si>
  <si>
    <t>U54</t>
  </si>
  <si>
    <t>SERRA NEGRA</t>
  </si>
  <si>
    <t>WRS</t>
  </si>
  <si>
    <t>VB0</t>
  </si>
  <si>
    <t>NVJ</t>
  </si>
  <si>
    <t>JER</t>
  </si>
  <si>
    <t>SE0</t>
  </si>
  <si>
    <t>SUR-BALFS23_BA</t>
  </si>
  <si>
    <t>SUR-BAAMA21-BA</t>
  </si>
  <si>
    <t>SUR-BAAMA28-BA</t>
  </si>
  <si>
    <t>SUR-BAAMA14-BA</t>
  </si>
  <si>
    <t>SUR-BAAMA49-BA</t>
  </si>
  <si>
    <t>SUR-BAAMA79-BA</t>
  </si>
  <si>
    <t>SUR-BACAJ46-BA</t>
  </si>
  <si>
    <t>BPD</t>
  </si>
  <si>
    <t>OCJ</t>
  </si>
  <si>
    <t>JP9</t>
  </si>
  <si>
    <t>RIO CLARO</t>
  </si>
  <si>
    <t>SR-SPGJ01</t>
  </si>
  <si>
    <t>5TV</t>
  </si>
  <si>
    <t>SR-MCSRJ7</t>
  </si>
  <si>
    <t>GOA</t>
  </si>
  <si>
    <t>SR-MCCEA2</t>
  </si>
  <si>
    <t>ODY</t>
  </si>
  <si>
    <t>NVC</t>
  </si>
  <si>
    <t>NVP</t>
  </si>
  <si>
    <t>SR-JGCRJ6</t>
  </si>
  <si>
    <t>PEJBO60</t>
  </si>
  <si>
    <t>SR-SPIB52</t>
  </si>
  <si>
    <t>RNPTR20</t>
  </si>
  <si>
    <t>PEJBOD7</t>
  </si>
  <si>
    <t>ALCAS31</t>
  </si>
  <si>
    <t>RNPNG24</t>
  </si>
  <si>
    <t>PEIPJ22</t>
  </si>
  <si>
    <t>CEJNE26</t>
  </si>
  <si>
    <t>PEEAAR2</t>
  </si>
  <si>
    <t>CEJNE18</t>
  </si>
  <si>
    <t>CEJNE06</t>
  </si>
  <si>
    <t>PECAA03</t>
  </si>
  <si>
    <t>PEIPS49</t>
  </si>
  <si>
    <t>CECUC29</t>
  </si>
  <si>
    <t>QVU</t>
  </si>
  <si>
    <t>PEPUI38</t>
  </si>
  <si>
    <t>PBCGE42</t>
  </si>
  <si>
    <t>CEANY01</t>
  </si>
  <si>
    <t>ALTANEIRA</t>
  </si>
  <si>
    <t>RJT_MT5</t>
  </si>
  <si>
    <t>RCL_MT5</t>
  </si>
  <si>
    <t>OUR_MT5</t>
  </si>
  <si>
    <t>RDI_MT5</t>
  </si>
  <si>
    <t>PEPTA94</t>
  </si>
  <si>
    <t>CABROBO</t>
  </si>
  <si>
    <t>SR-SPBL08</t>
  </si>
  <si>
    <t>SR-MCJAJ3</t>
  </si>
  <si>
    <t>SUR-PECRU14-PE</t>
  </si>
  <si>
    <t>SUR-PEBVT09-PE</t>
  </si>
  <si>
    <t>SUR-ALSMM04-AL</t>
  </si>
  <si>
    <t>SAO MIGUEL DOS CAMPOS</t>
  </si>
  <si>
    <t>SUR-ALSMM18-AL</t>
  </si>
  <si>
    <t>SUR-PEBVT14-PE</t>
  </si>
  <si>
    <t>SUR-PEBVT10-PE</t>
  </si>
  <si>
    <t>SUR-CEIMW01-CE</t>
  </si>
  <si>
    <t>SUR-PEPTA06_PE</t>
  </si>
  <si>
    <t>SUR-ALVIO01-AL</t>
  </si>
  <si>
    <t>VICOSA</t>
  </si>
  <si>
    <t>SUR-ALCUI03-AL</t>
  </si>
  <si>
    <t>SUR-ALVIS90-AL</t>
  </si>
  <si>
    <t>RJT</t>
  </si>
  <si>
    <t>RCL</t>
  </si>
  <si>
    <t>MTNSJ03</t>
  </si>
  <si>
    <t>NOVO SAO JOAQUIM</t>
  </si>
  <si>
    <t>GOALS23</t>
  </si>
  <si>
    <t>OUR</t>
  </si>
  <si>
    <t>RDI</t>
  </si>
  <si>
    <t>BAFSA62</t>
  </si>
  <si>
    <t>RHR</t>
  </si>
  <si>
    <t>CEJNE09</t>
  </si>
  <si>
    <t>PEEPH52</t>
  </si>
  <si>
    <t>SRR</t>
  </si>
  <si>
    <t>OJ5</t>
  </si>
  <si>
    <t>OJ7</t>
  </si>
  <si>
    <t>LNC</t>
  </si>
  <si>
    <t>MGJZF31</t>
  </si>
  <si>
    <t>JUIZ DE FORA</t>
  </si>
  <si>
    <t>IPS</t>
  </si>
  <si>
    <t>ILHABELA</t>
  </si>
  <si>
    <t>ASU</t>
  </si>
  <si>
    <t>MGDUR01</t>
  </si>
  <si>
    <t>DURANDE</t>
  </si>
  <si>
    <t>CN0</t>
  </si>
  <si>
    <t>SR-FLMTJ5</t>
  </si>
  <si>
    <t>CT4</t>
  </si>
  <si>
    <t>CARAGUATATUBA</t>
  </si>
  <si>
    <t>CEBAOR1</t>
  </si>
  <si>
    <t>BARRO</t>
  </si>
  <si>
    <t>SR-SPBL</t>
  </si>
  <si>
    <t>PEIPS55</t>
  </si>
  <si>
    <t>CECUC33</t>
  </si>
  <si>
    <t>NCO</t>
  </si>
  <si>
    <t>SR-SPBU26</t>
  </si>
  <si>
    <t>56A0NSV</t>
  </si>
  <si>
    <t>56A0M7N</t>
  </si>
  <si>
    <t>56A0L1E</t>
  </si>
  <si>
    <t>PE509164</t>
  </si>
  <si>
    <t>CLARO MW</t>
  </si>
  <si>
    <t>ALSPX01</t>
  </si>
  <si>
    <t>SAO JOSE DA TAPERA</t>
  </si>
  <si>
    <t>CEBRK01</t>
  </si>
  <si>
    <t>BARREIRA</t>
  </si>
  <si>
    <t>SACM04</t>
  </si>
  <si>
    <t>SANTO ANDRE</t>
  </si>
  <si>
    <t>SR-RCEMJ1</t>
  </si>
  <si>
    <t>SR-JPDTJ2</t>
  </si>
  <si>
    <t>SR-JGJBJ0</t>
  </si>
  <si>
    <t>SR-CRVS01</t>
  </si>
  <si>
    <t>GOACG22</t>
  </si>
  <si>
    <t>TSB</t>
  </si>
  <si>
    <t>SR-FLPLJ4</t>
  </si>
  <si>
    <t>MEO</t>
  </si>
  <si>
    <t>MTPNE02</t>
  </si>
  <si>
    <t>SR-JPJAJ1</t>
  </si>
  <si>
    <t>SR-JPMGJ6</t>
  </si>
  <si>
    <t>PEOLD51</t>
  </si>
  <si>
    <t>PLC</t>
  </si>
  <si>
    <t>ST3</t>
  </si>
  <si>
    <t>GOACGB1</t>
  </si>
  <si>
    <t>SR-FLRTJ5</t>
  </si>
  <si>
    <t>PB3</t>
  </si>
  <si>
    <t>SR-GRJD02</t>
  </si>
  <si>
    <t>SR-JPCEJ5</t>
  </si>
  <si>
    <t>NDU</t>
  </si>
  <si>
    <t>JQI</t>
  </si>
  <si>
    <t>AVB</t>
  </si>
  <si>
    <t>VJM</t>
  </si>
  <si>
    <t>SR-JPEGJ2</t>
  </si>
  <si>
    <t>ALTO GARCAS</t>
  </si>
  <si>
    <t>POCONE</t>
  </si>
  <si>
    <t>NOVA ANDRADINA</t>
  </si>
  <si>
    <t>DIFERENÇA</t>
  </si>
  <si>
    <t>IUB</t>
  </si>
  <si>
    <t>Contagem de UF</t>
  </si>
  <si>
    <t>VIT_GO</t>
  </si>
  <si>
    <t>AMZ_PE</t>
  </si>
  <si>
    <t>NEM_SP</t>
  </si>
  <si>
    <t>UUP_GO</t>
  </si>
  <si>
    <t xml:space="preserve">PEDRA PRETA </t>
  </si>
  <si>
    <t>56A0GRE</t>
  </si>
  <si>
    <t>1</t>
  </si>
  <si>
    <t>LINE</t>
  </si>
  <si>
    <t>Elaboração de projetos  de obras de construção civil e elétrica, referente a adequação de infraestrutura, instalação e montagem de equipamentos de rede de telefonia celular, conforme pedidos de compra abaixo:</t>
  </si>
  <si>
    <t>MÁXIMO DE 25 LINHAS</t>
  </si>
  <si>
    <t>CO3</t>
  </si>
  <si>
    <t>CO2</t>
  </si>
  <si>
    <t>CO1</t>
  </si>
  <si>
    <t>10.519.123/0001-97</t>
  </si>
  <si>
    <t>SR-SPVA38</t>
  </si>
  <si>
    <t>SP TIM</t>
  </si>
  <si>
    <t>56A0CCC</t>
  </si>
  <si>
    <t>56A0R6W</t>
  </si>
  <si>
    <t>56A0N38</t>
  </si>
  <si>
    <t>CLARO WL RURAL</t>
  </si>
  <si>
    <t>BOM CODE</t>
  </si>
  <si>
    <t>Old BOM CODE</t>
  </si>
  <si>
    <t>Type</t>
  </si>
  <si>
    <t>Payment Terms</t>
  </si>
  <si>
    <t>Preliminary</t>
  </si>
  <si>
    <t>SITE VISIT</t>
  </si>
  <si>
    <t>MODEL</t>
  </si>
  <si>
    <t>80/20</t>
  </si>
  <si>
    <t>ADDITIONAL</t>
  </si>
  <si>
    <t>BSC RNC</t>
  </si>
  <si>
    <t>Lite Site</t>
  </si>
  <si>
    <t>56A0NL9</t>
  </si>
  <si>
    <t>56A0J91</t>
  </si>
  <si>
    <t>56A0HNL</t>
  </si>
  <si>
    <t>56A0JBX</t>
  </si>
  <si>
    <t>CLARO TRIAL</t>
  </si>
  <si>
    <t>VTAL TX</t>
  </si>
  <si>
    <t>VTAL</t>
  </si>
  <si>
    <t>VTAL IP</t>
  </si>
  <si>
    <t>56A0FNV</t>
  </si>
  <si>
    <t>CLARO IP RAN</t>
  </si>
  <si>
    <t>56A0T27</t>
  </si>
  <si>
    <t>TIM SWAP</t>
  </si>
  <si>
    <t>5G-IDMCA6</t>
  </si>
  <si>
    <t>ITAMARANDIBA</t>
  </si>
  <si>
    <t>Serviço técnicos em telecomunicações, conforme pedidos de compra abaixo:</t>
  </si>
  <si>
    <t>TOTAL  -  31.01</t>
  </si>
  <si>
    <t>BR_SP_SAO JOSE DOS CAMPOS_Tax</t>
  </si>
  <si>
    <t>BR_SP_ARARAQUARA_Tax</t>
  </si>
  <si>
    <t>BR_SP_SERRANA_Tax</t>
  </si>
  <si>
    <t>BR_GO_FORMOSA_Tax</t>
  </si>
  <si>
    <t>BR_MT_NOVA MUTUM_Tax</t>
  </si>
  <si>
    <t>BR_SP_SAO CARLOS_Tax</t>
  </si>
  <si>
    <t>BR_PE_RIBEIRAO_Tax</t>
  </si>
  <si>
    <t>BR_SP_MATAO_Tax</t>
  </si>
  <si>
    <t>BR_PE_ILHA DE ITAMARACA_Tax</t>
  </si>
  <si>
    <t>BR_PE_SANTA CRUZ DO CAPIBARIBE_Tax</t>
  </si>
  <si>
    <t>Huawei Gestao e Servicos de Telecomunicacoes do Brasil Ltda,</t>
  </si>
  <si>
    <t>AZ0149</t>
  </si>
  <si>
    <t>319275</t>
  </si>
  <si>
    <t>6211</t>
  </si>
  <si>
    <t>1701733</t>
  </si>
  <si>
    <t>500001</t>
  </si>
  <si>
    <t>BM1</t>
  </si>
  <si>
    <t>SERVICE_PROCUREMENT</t>
  </si>
  <si>
    <t>BM1_Financial</t>
  </si>
  <si>
    <t>10519123000197</t>
  </si>
  <si>
    <t>2</t>
  </si>
  <si>
    <t>1,0000000000</t>
  </si>
  <si>
    <t>0</t>
  </si>
  <si>
    <t>BRL</t>
  </si>
  <si>
    <t>N</t>
  </si>
  <si>
    <t>7,02 INSTALACAO</t>
  </si>
  <si>
    <t>Pay On Agreement</t>
  </si>
  <si>
    <t>BRA</t>
  </si>
  <si>
    <t>AC2</t>
  </si>
  <si>
    <t>【TT】▍AC1 (90,00%, INV AC -30D, Complete 90%) / AC2 (10,00%, INV AC -30D, Complete 100%) ▍</t>
  </si>
  <si>
    <t>FPAMULTBRA25032510450326B1</t>
  </si>
  <si>
    <t>AC1</t>
  </si>
  <si>
    <t>3</t>
  </si>
  <si>
    <t>4</t>
  </si>
  <si>
    <t>6</t>
  </si>
  <si>
    <t>BR_SP_CARAGUATATUBA_Tax</t>
  </si>
  <si>
    <t>5</t>
  </si>
  <si>
    <t>RRU/AAU Dismantling (1-3 RRUs/AAUs)</t>
  </si>
  <si>
    <t>BR_BA_MATA DE SAO JOAO_Tax</t>
  </si>
  <si>
    <t>NAJ</t>
  </si>
  <si>
    <t>BR_BA_ENTRE RIOS_Tax</t>
  </si>
  <si>
    <t>BR_SP_AMERICO BRASILIENSE_Tax</t>
  </si>
  <si>
    <t>6211HG3453276-56</t>
  </si>
  <si>
    <t>BR_PE_CABO DE SANTO AGOSTINHO_Tax</t>
  </si>
  <si>
    <t>【TT】▍AC1 (100,00%, INV AC -30D, Complete 100%) ▍</t>
  </si>
  <si>
    <t>BR_GO_ANAPOLIS_Tax</t>
  </si>
  <si>
    <t>BR_BA_PIRAI DO NORTE_Tax</t>
  </si>
  <si>
    <t>BR_BA_URUCUCA_Tax</t>
  </si>
  <si>
    <t>BR_BA_ILHEUS_Tax</t>
  </si>
  <si>
    <t>BR_SP_SANTA GERTRUDES_Tax</t>
  </si>
  <si>
    <t>BR_SP_CASA BRANCA_Tax</t>
  </si>
  <si>
    <t>BR_SP_PAULINIA_Tax</t>
  </si>
  <si>
    <t>BR_CE_FORTALEZA_Tax</t>
  </si>
  <si>
    <t>BR_CE_JUAZEIRO DO NORTE_Tax</t>
  </si>
  <si>
    <t>BR_PE_JABOATAO DOS GUARARAPES_Tax</t>
  </si>
  <si>
    <t>BR_PE_RECIFE_Tax</t>
  </si>
  <si>
    <t>BR_PB_CRUZ DO ESPIRITO SANTO_Tax</t>
  </si>
  <si>
    <t>BR_PB_ALAGOA NOVA_Tax</t>
  </si>
  <si>
    <t>BR_PE_ITAPISSUMA_Tax</t>
  </si>
  <si>
    <t>BR_BA_SERRINHA_Tax</t>
  </si>
  <si>
    <t>Additional site visit of installation team because of Huawei problem, per site</t>
  </si>
  <si>
    <t>BR_BA_VITORIA DA CONQUISTA_Tax</t>
  </si>
  <si>
    <t>BR_PB_CAMPINA GRANDE_Tax</t>
  </si>
  <si>
    <t>BR_SP_RIO DAS PEDRAS_Tax</t>
  </si>
  <si>
    <t>1766381519796641866</t>
  </si>
  <si>
    <t>6211HG3360340-3062</t>
  </si>
  <si>
    <t>3000000246</t>
  </si>
  <si>
    <t>00A07725232125</t>
  </si>
  <si>
    <t>BR_AL_MACEIO_Tax</t>
  </si>
  <si>
    <t>200045902309000&lt;!&gt;20250708589335&lt;!&gt;LOT_AL584624_00D07925490423_AL</t>
  </si>
  <si>
    <t>BR_PB_BOA VENTURA_Tax</t>
  </si>
  <si>
    <t>BR_CE_BREJO SANTO_Tax</t>
  </si>
  <si>
    <t>BR_GO_ORIZONA_Tax</t>
  </si>
  <si>
    <t>BR_SP_RIBEIRAO PRETO_Tax</t>
  </si>
  <si>
    <t>BR_GO_CRISTALINA_Tax</t>
  </si>
  <si>
    <t>BR_CE_CANINDE_Tax</t>
  </si>
  <si>
    <t>BR_BA_RIACHAO DO JACUIPE_Tax</t>
  </si>
  <si>
    <t>BR_BA_ICHU_Tax</t>
  </si>
  <si>
    <t>BR_GO_ITAUCU_Tax</t>
  </si>
  <si>
    <t>BR_GO_GOIANESIA_Tax</t>
  </si>
  <si>
    <t>BR_SP_ITAPECERICA DA SERRA_Tax</t>
  </si>
  <si>
    <t>BR_SP_APARECIDA_Tax</t>
  </si>
  <si>
    <t>1766381519796641940</t>
  </si>
  <si>
    <t>BR_SP_TAUBATE_Tax</t>
  </si>
  <si>
    <t>BR_BA_VALENCA_Tax</t>
  </si>
  <si>
    <t>BR_PI_BARRAS_Tax</t>
  </si>
  <si>
    <t>BR_SP_MAUA_Tax</t>
  </si>
  <si>
    <t>BR_GO_ALTO PARAISO DE GOIAS_Tax</t>
  </si>
  <si>
    <t>LOT_AL</t>
  </si>
  <si>
    <t>20250708589335</t>
  </si>
  <si>
    <t>BR_SP_SANTO ANTONIO DA ALEGRIA_Tax</t>
  </si>
  <si>
    <t>BR_SP_SAO LOURENCO DA SERRA_Tax</t>
  </si>
  <si>
    <t>BR_CE_PACAJUS_Tax</t>
  </si>
  <si>
    <t>BR_SP_TABOAO DA SERRA_Tax</t>
  </si>
  <si>
    <t>BR_RN_PARNAMIRIM_Tax</t>
  </si>
  <si>
    <t>BR_MT_CACERES_Tax</t>
  </si>
  <si>
    <t>BR_BA_JEQUIE_Tax</t>
  </si>
  <si>
    <t>BR_SP_SANTA BARBARA D'OESTE_Tax</t>
  </si>
  <si>
    <t>BR_BA_SANTO ANTONIO DE JESUS_Tax</t>
  </si>
  <si>
    <t>BR_BA_SANTA MARIA DA VITORIA_Tax</t>
  </si>
  <si>
    <t>BR_PB_JOAO PESSOA_Tax</t>
  </si>
  <si>
    <t>6211HG3360340-2227</t>
  </si>
  <si>
    <t>BR_RN_SANTA CRUZ_Tax</t>
  </si>
  <si>
    <t>BR_BA_LIVRAMENTO DE NOSSA SENHO_Tax</t>
  </si>
  <si>
    <t>BR_BA_IRARA_Tax</t>
  </si>
  <si>
    <t>1766381519796641950</t>
  </si>
  <si>
    <t>fec633c658778a76202922c8ceed956501bfba414362284cb352c2f5fc6c5831</t>
  </si>
  <si>
    <t>BR_AL_PENEDO_Tax</t>
  </si>
  <si>
    <t>BR_PB_CABEDELO_Tax</t>
  </si>
  <si>
    <t>BR_PE_GARANHUNS_Tax</t>
  </si>
  <si>
    <t>38,528</t>
  </si>
  <si>
    <t>BR_SP_SERTAOZINHO_Tax</t>
  </si>
  <si>
    <t>6211HG3360338-553</t>
  </si>
  <si>
    <t>7,03 ELABORACAO PROJETOS</t>
  </si>
  <si>
    <t>BR_GO_PIRENOPOLIS_Tax</t>
  </si>
  <si>
    <t>6211HG3360338-418</t>
  </si>
  <si>
    <t>6211HG3360338-435</t>
  </si>
  <si>
    <t>BR_SP_RIO GRANDE DA SERRA_Tax</t>
  </si>
  <si>
    <t>1694297958383198214</t>
  </si>
  <si>
    <t>1694297958383198210</t>
  </si>
  <si>
    <t>1694297958383198212</t>
  </si>
  <si>
    <t>240c4b46725f733536c9d490f21514ff35dbe39ae238f4a75d24c22d4ecea5a6</t>
  </si>
  <si>
    <t>6211HG3360340-1482</t>
  </si>
  <si>
    <t>3000000795</t>
  </si>
  <si>
    <t>1240,5</t>
  </si>
  <si>
    <t>00A07725169320</t>
  </si>
  <si>
    <t>BR_CE_AQUIRAZ_Tax</t>
  </si>
  <si>
    <t>200043946543000&lt;!&gt;20250326476411&lt;!&gt;CEAQU07_KEY@CEAQU07_GNODEB_MAIN_00D0772592030U_CE</t>
  </si>
  <si>
    <t>CEAQU07</t>
  </si>
  <si>
    <t>20250326476411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</si>
</sst>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R$&quot;\ * #,##0.00_-;\-&quot;R$&quot;\ * #,##0.00_-;_-&quot;R$&quot;\ * &quot;-&quot;??_-;_-@_-"/>
    <numFmt numFmtId="43" formatCode="_-* #,##0.00_-;\-* #,##0.00_-;_-* &quot;-&quot;??_-;_-@_-"/>
    <numFmt numFmtId="164" formatCode="0.0%"/>
    <numFmt numFmtId="165" formatCode="[$€-2]\ #,##0_);[Red]\([$€-2]\ #,##0\)"/>
    <numFmt numFmtId="166" formatCode="yyyy\-mm\-dd"/>
    <numFmt numFmtId="167" formatCode="_-* #,##0.0_-;\-* #,##0.0_-;_-* &quot;-&quot;?_-;_-@_-"/>
    <numFmt numFmtId="168" formatCode="[$€-2]\ #,##0.0_);[Red]\([$€-2]\ #,##0.0\)"/>
  </numFmts>
  <fonts count="72">
    <font>
      <sz val="11"/>
      <color theme="1"/>
      <name val="Calibri"/>
      <family val="2"/>
      <scheme val="minor"/>
    </font>
    <font>
      <sz val="8"/>
      <color rgb="FF000000"/>
      <name val="Calibri"/>
      <family val="2"/>
      <scheme val="minor"/>
    </font>
    <font>
      <sz val="11"/>
      <color theme="1"/>
      <name val="Calibri"/>
      <family val="2"/>
      <scheme val="minor"/>
    </font>
    <font>
      <sz val="11"/>
      <color rgb="FFFF0000"/>
      <name val="Calibri"/>
      <family val="2"/>
      <scheme val="minor"/>
    </font>
    <font>
      <b/>
      <sz val="18"/>
      <color rgb="FFFF0000"/>
      <name val="Calibri"/>
      <family val="2"/>
      <scheme val="minor"/>
    </font>
    <font>
      <b/>
      <sz val="11"/>
      <color theme="0"/>
      <name val="Calibri"/>
      <family val="2"/>
      <scheme val="minor"/>
    </font>
    <font>
      <b/>
      <sz val="11"/>
      <color theme="1"/>
      <name val="Calibri"/>
      <family val="2"/>
      <scheme val="minor"/>
    </font>
    <font>
      <b/>
      <sz val="11"/>
      <color rgb="FFFF0000"/>
      <name val="Calibri"/>
      <family val="2"/>
      <scheme val="minor"/>
    </font>
    <font>
      <sz val="11"/>
      <color theme="0"/>
      <name val="Calibri"/>
      <family val="2"/>
      <scheme val="minor"/>
    </font>
    <font>
      <sz val="8"/>
      <color theme="1"/>
      <name val="Calibri"/>
      <family val="2"/>
      <scheme val="minor"/>
    </font>
    <font>
      <sz val="8"/>
      <name val="Calibri"/>
      <family val="2"/>
      <scheme val="minor"/>
    </font>
    <font>
      <b/>
      <sz val="8"/>
      <name val="Calibri"/>
      <family val="2"/>
      <scheme val="minor"/>
    </font>
    <font>
      <b/>
      <sz val="8"/>
      <color theme="1"/>
      <name val="Calibri"/>
      <family val="2"/>
      <scheme val="minor"/>
    </font>
    <font>
      <b/>
      <sz val="10"/>
      <color theme="0"/>
      <name val="Calibri"/>
      <family val="2"/>
      <scheme val="minor"/>
    </font>
    <font>
      <b/>
      <sz val="10"/>
      <color theme="1"/>
      <name val="Arial"/>
      <family val="2"/>
    </font>
    <font>
      <sz val="10"/>
      <color theme="1"/>
      <name val="Arial"/>
      <family val="2"/>
    </font>
    <font>
      <sz val="12"/>
      <name val="宋体"/>
      <family val="3"/>
      <charset val="134"/>
    </font>
    <font>
      <sz val="10"/>
      <name val="FrutigerNext LT Regular"/>
      <family val="2"/>
    </font>
    <font>
      <sz val="11"/>
      <color theme="1"/>
      <name val="Calibri"/>
      <family val="2"/>
      <charset val="134"/>
      <scheme val="minor"/>
    </font>
    <font>
      <b/>
      <sz val="10"/>
      <name val="Calibri"/>
      <family val="2"/>
      <scheme val="minor"/>
    </font>
    <font>
      <b/>
      <sz val="10"/>
      <name val="Arial"/>
      <family val="2"/>
    </font>
    <font>
      <sz val="10"/>
      <name val="Calibri"/>
      <family val="2"/>
      <scheme val="minor"/>
    </font>
    <font>
      <sz val="10"/>
      <name val="Arial"/>
      <family val="2"/>
    </font>
    <font>
      <b/>
      <sz val="9"/>
      <name val="Arial"/>
      <family val="2"/>
    </font>
    <font>
      <sz val="9"/>
      <color theme="1"/>
      <name val="Arial"/>
      <family val="2"/>
    </font>
    <font>
      <sz val="9"/>
      <name val="Arial"/>
      <family val="2"/>
    </font>
    <font>
      <b/>
      <sz val="10"/>
      <color theme="1"/>
      <name val="Calibri"/>
      <family val="2"/>
      <scheme val="minor"/>
    </font>
    <font>
      <sz val="8"/>
      <name val="微软雅黑"/>
      <family val="2"/>
      <charset val="134"/>
    </font>
    <font>
      <b/>
      <sz val="8"/>
      <color rgb="FFFF0000"/>
      <name val="微软雅黑"/>
      <family val="2"/>
      <charset val="134"/>
    </font>
    <font>
      <b/>
      <sz val="9"/>
      <color theme="0"/>
      <name val="Calibri"/>
      <family val="2"/>
      <scheme val="minor"/>
    </font>
    <font>
      <b/>
      <sz val="8"/>
      <name val="Calibri"/>
      <family val="2"/>
    </font>
    <font>
      <sz val="8"/>
      <name val="微软雅黑"/>
    </font>
    <font>
      <sz val="9"/>
      <color theme="1"/>
      <name val="Calibri"/>
      <family val="2"/>
      <scheme val="minor"/>
    </font>
    <font>
      <b/>
      <sz val="8"/>
      <name val="微软雅黑"/>
      <family val="2"/>
      <charset val="134"/>
    </font>
    <font>
      <sz val="8"/>
      <name val="Calibri Light"/>
      <family val="2"/>
      <scheme val="major"/>
    </font>
    <font>
      <b/>
      <sz val="9"/>
      <name val="Calibri Light"/>
      <family val="2"/>
      <scheme val="major"/>
    </font>
    <font>
      <sz val="9"/>
      <color theme="1"/>
      <name val="Calibri Light"/>
      <family val="2"/>
      <scheme val="major"/>
    </font>
    <font>
      <b/>
      <sz val="9"/>
      <color theme="1"/>
      <name val="Calibri Light"/>
      <family val="2"/>
      <scheme val="major"/>
    </font>
    <font>
      <sz val="9"/>
      <name val="Calibri Light"/>
      <family val="2"/>
      <scheme val="major"/>
    </font>
    <font>
      <sz val="8"/>
      <name val="Calibri"/>
      <family val="2"/>
    </font>
    <font>
      <b/>
      <sz val="8"/>
      <color theme="0"/>
      <name val="Calibri"/>
      <family val="2"/>
      <scheme val="minor"/>
    </font>
    <font>
      <sz val="8"/>
      <name val="Calibri"/>
      <family val="2"/>
      <scheme val="minor"/>
    </font>
    <font>
      <b/>
      <sz val="9"/>
      <color rgb="FFFFFFFF"/>
      <name val="Calibri"/>
      <family val="2"/>
      <scheme val="minor"/>
    </font>
    <font>
      <sz val="9"/>
      <color theme="1"/>
      <name val="Calibri"/>
      <family val="2"/>
      <scheme val="minor"/>
    </font>
    <font>
      <b/>
      <sz val="8"/>
      <name val="Calibri Light"/>
      <family val="2"/>
      <scheme val="major"/>
    </font>
    <font>
      <sz val="8"/>
      <color theme="1"/>
      <name val="Calibri"/>
      <family val="2"/>
      <scheme val="minor"/>
    </font>
    <font>
      <sz val="10"/>
      <color theme="0"/>
      <name val="Calibri"/>
      <family val="2"/>
      <scheme val="minor"/>
    </font>
    <font>
      <sz val="8"/>
      <name val="Calibri"/>
      <family val="2"/>
      <scheme val="minor"/>
    </font>
    <font>
      <b/>
      <sz val="8"/>
      <name val="Calibri"/>
      <family val="2"/>
      <scheme val="minor"/>
    </font>
    <font>
      <sz val="8"/>
      <color theme="1"/>
      <name val="Calibri"/>
      <family val="2"/>
      <scheme val="minor"/>
    </font>
    <font>
      <sz val="11"/>
      <name val="Calibri"/>
      <family val="2"/>
      <scheme val="minor"/>
    </font>
    <font>
      <b/>
      <sz val="11"/>
      <name val="Calibri"/>
      <family val="2"/>
      <scheme val="minor"/>
    </font>
    <font>
      <sz val="8"/>
      <name val="Calibri"/>
      <family val="2"/>
    </font>
    <font>
      <sz val="8"/>
      <name val="Calibri"/>
      <family val="2"/>
      <scheme val="minor"/>
    </font>
    <font>
      <sz val="10"/>
      <color theme="1"/>
      <name val="Calibri"/>
      <family val="2"/>
      <scheme val="minor"/>
    </font>
    <font>
      <b/>
      <sz val="16"/>
      <color rgb="FFFF0000"/>
      <name val="Calibri"/>
      <family val="2"/>
      <scheme val="minor"/>
    </font>
    <font>
      <sz val="16"/>
      <color theme="1"/>
      <name val="Calibri"/>
      <family val="2"/>
      <scheme val="minor"/>
    </font>
    <font>
      <sz val="8"/>
      <name val="Calibri"/>
      <family val="2"/>
    </font>
    <font>
      <sz val="8"/>
      <name val="Calibri"/>
      <family val="2"/>
      <scheme val="minor"/>
    </font>
    <font>
      <b/>
      <sz val="8"/>
      <name val="Arial"/>
      <family val="2"/>
    </font>
    <font>
      <b/>
      <sz val="8"/>
      <color theme="0" tint="-0.499984740745262"/>
      <name val="Arial"/>
      <family val="2"/>
    </font>
    <font>
      <sz val="8"/>
      <name val="Arial"/>
      <family val="2"/>
    </font>
    <font>
      <sz val="8"/>
      <color theme="0" tint="-0.499984740745262"/>
      <name val="Arial"/>
      <family val="2"/>
    </font>
    <font>
      <sz val="8"/>
      <name val="Calibri Light"/>
      <family val="2"/>
      <scheme val="major"/>
    </font>
    <font>
      <sz val="8"/>
      <name val="Calibri Light"/>
      <family val="2"/>
      <scheme val="major"/>
    </font>
    <font>
      <sz val="8"/>
      <name val="Calibri"/>
      <family val="2"/>
    </font>
    <font>
      <sz val="8"/>
      <name val="Calibri"/>
      <family val="2"/>
      <scheme val="minor"/>
    </font>
    <font>
      <b/>
      <sz val="8"/>
      <name val="Calibri"/>
      <family val="2"/>
    </font>
    <font>
      <sz val="8"/>
      <name val="Calibri Light"/>
      <family val="2"/>
      <scheme val="major"/>
    </font>
    <font>
      <sz val="8"/>
      <name val="Calibri"/>
    </font>
    <font>
      <sz val="8"/>
      <name val="Calibri"/>
      <scheme val="minor"/>
    </font>
    <font>
      <b/>
      <sz val="8"/>
      <name val="Calibri"/>
    </font>
  </fonts>
  <fills count="34">
    <fill>
      <patternFill patternType="none"/>
    </fill>
    <fill>
      <patternFill patternType="gray125"/>
    </fill>
    <fill>
      <patternFill patternType="solid">
        <fgColor rgb="FF808080"/>
        <bgColor indexed="64"/>
      </patternFill>
    </fill>
    <fill>
      <patternFill patternType="solid">
        <fgColor rgb="FFDDD9C4"/>
        <bgColor indexed="64"/>
      </patternFill>
    </fill>
    <fill>
      <patternFill patternType="solid">
        <fgColor theme="4" tint="0.79998168889431442"/>
        <bgColor indexed="64"/>
      </patternFill>
    </fill>
    <fill>
      <patternFill patternType="solid">
        <fgColor theme="3"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0"/>
        <bgColor indexed="64"/>
      </patternFill>
    </fill>
    <fill>
      <patternFill patternType="solid">
        <fgColor rgb="FF002060"/>
        <bgColor indexed="64"/>
      </patternFill>
    </fill>
    <fill>
      <patternFill patternType="solid">
        <fgColor theme="8" tint="0.39997558519241921"/>
        <bgColor indexed="64"/>
      </patternFill>
    </fill>
    <fill>
      <patternFill patternType="solid">
        <fgColor rgb="FFFF0000"/>
        <bgColor indexed="64"/>
      </patternFill>
    </fill>
    <fill>
      <patternFill patternType="solid">
        <fgColor rgb="FFC00000"/>
        <bgColor indexed="64"/>
      </patternFill>
    </fill>
    <fill>
      <patternFill patternType="solid">
        <fgColor theme="3" tint="-0.249977111117893"/>
        <bgColor indexed="64"/>
      </patternFill>
    </fill>
    <fill>
      <patternFill patternType="solid">
        <fgColor theme="8"/>
        <bgColor indexed="64"/>
      </patternFill>
    </fill>
    <fill>
      <patternFill patternType="solid">
        <fgColor theme="0" tint="-0.499984740745262"/>
        <bgColor indexed="64"/>
      </patternFill>
    </fill>
    <fill>
      <patternFill patternType="solid">
        <fgColor theme="0" tint="-0.24994659260841701"/>
        <bgColor indexed="64"/>
      </patternFill>
    </fill>
    <fill>
      <patternFill patternType="solid">
        <fgColor rgb="FF00FF00"/>
        <bgColor indexed="64"/>
      </patternFill>
    </fill>
    <fill>
      <patternFill patternType="solid">
        <fgColor indexed="9"/>
      </patternFill>
    </fill>
    <fill>
      <patternFill patternType="solid">
        <fgColor theme="0" tint="-0.249977111117893"/>
        <bgColor indexed="64"/>
      </patternFill>
    </fill>
    <fill>
      <patternFill patternType="solid">
        <fgColor theme="0" tint="-0.14999847407452621"/>
        <bgColor indexed="64"/>
      </patternFill>
    </fill>
    <fill>
      <patternFill patternType="solid">
        <fgColor theme="6"/>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indexed="46"/>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rgb="FF92D050"/>
        <bgColor indexed="64"/>
      </patternFill>
    </fill>
    <fill>
      <patternFill patternType="solid">
        <fgColor theme="7" tint="-0.249977111117893"/>
        <bgColor indexed="64"/>
      </patternFill>
    </fill>
    <fill>
      <patternFill patternType="solid">
        <fgColor rgb="FF00B0F0"/>
        <bgColor indexed="64"/>
      </patternFill>
    </fill>
    <fill>
      <patternFill patternType="solid">
        <fgColor rgb="FFC4D79B"/>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theme="0"/>
      </left>
      <right style="thin">
        <color theme="0"/>
      </right>
      <top style="thin">
        <color theme="0"/>
      </top>
      <bottom style="thin">
        <color theme="0"/>
      </bottom>
      <diagonal/>
    </border>
    <border>
      <left/>
      <right/>
      <top style="thin">
        <color theme="1"/>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style="thin">
        <color theme="1"/>
      </top>
      <bottom style="thin">
        <color rgb="FF000000"/>
      </bottom>
      <diagonal/>
    </border>
    <border>
      <left/>
      <right/>
      <top/>
      <bottom style="thin">
        <color theme="0"/>
      </bottom>
      <diagonal/>
    </border>
    <border>
      <left style="thin">
        <color indexed="64"/>
      </left>
      <right/>
      <top style="thin">
        <color theme="1"/>
      </top>
      <bottom/>
      <diagonal/>
    </border>
  </borders>
  <cellStyleXfs count="11">
    <xf numFmtId="0" fontId="0" fillId="0" borderId="0"/>
    <xf numFmtId="43" fontId="2" fillId="0" borderId="0" applyFont="0" applyFill="0" applyBorder="0" applyAlignment="0" applyProtection="0"/>
    <xf numFmtId="9" fontId="2" fillId="0" borderId="0" applyFont="0" applyFill="0" applyBorder="0" applyAlignment="0" applyProtection="0"/>
    <xf numFmtId="165" fontId="16" fillId="0" borderId="0">
      <alignment vertical="center"/>
    </xf>
    <xf numFmtId="165" fontId="17" fillId="0" borderId="0"/>
    <xf numFmtId="165" fontId="18" fillId="0" borderId="0">
      <alignment vertical="center"/>
    </xf>
    <xf numFmtId="165" fontId="22" fillId="0" borderId="0"/>
    <xf numFmtId="0" fontId="16" fillId="0" borderId="0">
      <alignment vertical="center"/>
    </xf>
    <xf numFmtId="44"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cellStyleXfs>
  <cellXfs count="375">
    <xf numFmtId="0" fontId="0" fillId="0" borderId="0" xfId="0"/>
    <xf numFmtId="43" fontId="0" fillId="0" borderId="0" xfId="1" applyFont="1"/>
    <xf numFmtId="43" fontId="0" fillId="0" borderId="0" xfId="0" applyNumberFormat="1"/>
    <xf numFmtId="9" fontId="0" fillId="0" borderId="0" xfId="0" applyNumberFormat="1"/>
    <xf numFmtId="0" fontId="6" fillId="0" borderId="0" xfId="0" applyFont="1"/>
    <xf numFmtId="0" fontId="2" fillId="0" borderId="0" xfId="0" applyFont="1"/>
    <xf numFmtId="43" fontId="6" fillId="0" borderId="0" xfId="0" applyNumberFormat="1" applyFont="1"/>
    <xf numFmtId="43" fontId="8" fillId="0" borderId="0" xfId="0" applyNumberFormat="1" applyFont="1"/>
    <xf numFmtId="0" fontId="8" fillId="0" borderId="0" xfId="0" applyFont="1"/>
    <xf numFmtId="0" fontId="0" fillId="0" borderId="0" xfId="0" applyAlignment="1">
      <alignment horizontal="center" vertical="center"/>
    </xf>
    <xf numFmtId="0" fontId="6" fillId="0" borderId="1" xfId="0" applyFont="1" applyBorder="1" applyAlignment="1">
      <alignment horizontal="center" vertical="center"/>
    </xf>
    <xf numFmtId="0" fontId="0" fillId="8" borderId="0" xfId="0" applyFill="1"/>
    <xf numFmtId="0" fontId="3" fillId="8" borderId="0" xfId="0" applyFont="1" applyFill="1"/>
    <xf numFmtId="43" fontId="0" fillId="8" borderId="0" xfId="1" applyFont="1" applyFill="1"/>
    <xf numFmtId="43" fontId="0" fillId="8" borderId="0" xfId="0" applyNumberFormat="1" applyFill="1"/>
    <xf numFmtId="0" fontId="0" fillId="0" borderId="0" xfId="0" applyAlignment="1">
      <alignment vertical="top" wrapText="1"/>
    </xf>
    <xf numFmtId="43" fontId="2" fillId="8" borderId="0" xfId="0" applyNumberFormat="1" applyFont="1" applyFill="1"/>
    <xf numFmtId="9" fontId="0" fillId="0" borderId="0" xfId="0" applyNumberFormat="1" applyAlignment="1">
      <alignment horizontal="center"/>
    </xf>
    <xf numFmtId="9" fontId="0" fillId="0" borderId="0" xfId="0" applyNumberFormat="1" applyAlignment="1">
      <alignment horizontal="center" vertical="center"/>
    </xf>
    <xf numFmtId="164" fontId="2" fillId="0" borderId="0" xfId="0" applyNumberFormat="1" applyFont="1" applyAlignment="1">
      <alignment horizontal="center" vertical="center"/>
    </xf>
    <xf numFmtId="9" fontId="2" fillId="6" borderId="0" xfId="0" applyNumberFormat="1" applyFont="1" applyFill="1" applyAlignment="1">
      <alignment horizontal="center" vertical="center"/>
    </xf>
    <xf numFmtId="164" fontId="0" fillId="6" borderId="0" xfId="0" applyNumberFormat="1" applyFill="1" applyAlignment="1">
      <alignment horizontal="center" vertical="center"/>
    </xf>
    <xf numFmtId="10" fontId="0" fillId="0" borderId="0" xfId="0" applyNumberFormat="1" applyAlignment="1">
      <alignment horizontal="center"/>
    </xf>
    <xf numFmtId="0" fontId="6" fillId="6" borderId="0" xfId="0" applyFont="1" applyFill="1" applyAlignment="1">
      <alignment horizontal="center" vertical="center"/>
    </xf>
    <xf numFmtId="0" fontId="10" fillId="0" borderId="1" xfId="0" applyFont="1" applyBorder="1" applyAlignment="1">
      <alignment horizontal="center" vertical="center"/>
    </xf>
    <xf numFmtId="0" fontId="0" fillId="0" borderId="0" xfId="0" applyAlignment="1">
      <alignment horizontal="center"/>
    </xf>
    <xf numFmtId="43" fontId="0" fillId="0" borderId="0" xfId="0" applyNumberFormat="1" applyAlignment="1">
      <alignment horizontal="center"/>
    </xf>
    <xf numFmtId="0" fontId="0" fillId="8" borderId="0" xfId="0" applyFill="1" applyAlignment="1">
      <alignment horizontal="center"/>
    </xf>
    <xf numFmtId="0" fontId="0" fillId="6" borderId="0" xfId="0" applyFill="1"/>
    <xf numFmtId="0" fontId="0" fillId="9" borderId="0" xfId="0" applyFill="1"/>
    <xf numFmtId="0" fontId="5" fillId="9" borderId="0" xfId="0" applyFont="1" applyFill="1" applyAlignment="1">
      <alignment horizontal="center" vertical="center"/>
    </xf>
    <xf numFmtId="0" fontId="5" fillId="10" borderId="7" xfId="0" applyFont="1" applyFill="1" applyBorder="1" applyAlignment="1">
      <alignment horizontal="center" vertical="center"/>
    </xf>
    <xf numFmtId="4" fontId="6" fillId="11" borderId="7" xfId="0" applyNumberFormat="1" applyFont="1" applyFill="1" applyBorder="1" applyAlignment="1">
      <alignment horizontal="center"/>
    </xf>
    <xf numFmtId="4" fontId="6" fillId="4" borderId="7" xfId="0" applyNumberFormat="1" applyFont="1" applyFill="1" applyBorder="1" applyAlignment="1">
      <alignment horizontal="center"/>
    </xf>
    <xf numFmtId="9" fontId="6" fillId="4" borderId="7" xfId="0" applyNumberFormat="1" applyFont="1" applyFill="1" applyBorder="1" applyAlignment="1">
      <alignment horizontal="center"/>
    </xf>
    <xf numFmtId="0" fontId="6" fillId="6" borderId="0" xfId="0" applyFont="1" applyFill="1" applyAlignment="1">
      <alignment horizontal="center"/>
    </xf>
    <xf numFmtId="0" fontId="10" fillId="0" borderId="8" xfId="0" applyFont="1" applyBorder="1" applyAlignment="1">
      <alignment horizontal="center" vertical="center"/>
    </xf>
    <xf numFmtId="9" fontId="10" fillId="0" borderId="8" xfId="2" applyFont="1" applyBorder="1" applyAlignment="1">
      <alignment horizontal="center" vertical="center"/>
    </xf>
    <xf numFmtId="4" fontId="14" fillId="17" borderId="1" xfId="0" applyNumberFormat="1" applyFont="1" applyFill="1" applyBorder="1" applyAlignment="1" applyProtection="1">
      <alignment vertical="center"/>
      <protection hidden="1"/>
    </xf>
    <xf numFmtId="4" fontId="15" fillId="18" borderId="1" xfId="0" applyNumberFormat="1" applyFont="1" applyFill="1" applyBorder="1" applyAlignment="1" applyProtection="1">
      <alignment horizontal="center" vertical="center"/>
      <protection hidden="1"/>
    </xf>
    <xf numFmtId="4" fontId="15" fillId="0" borderId="1" xfId="0" applyNumberFormat="1" applyFont="1" applyBorder="1" applyAlignment="1" applyProtection="1">
      <alignment horizontal="center" vertical="center"/>
      <protection hidden="1"/>
    </xf>
    <xf numFmtId="4" fontId="14" fillId="18" borderId="1" xfId="0" applyNumberFormat="1" applyFont="1" applyFill="1" applyBorder="1" applyAlignment="1" applyProtection="1">
      <alignment horizontal="center" vertical="center"/>
      <protection hidden="1"/>
    </xf>
    <xf numFmtId="4" fontId="15" fillId="9" borderId="1" xfId="0" applyNumberFormat="1" applyFont="1" applyFill="1" applyBorder="1" applyAlignment="1" applyProtection="1">
      <alignment horizontal="center" vertical="center"/>
      <protection hidden="1"/>
    </xf>
    <xf numFmtId="4" fontId="14" fillId="0" borderId="1" xfId="0" applyNumberFormat="1" applyFont="1" applyBorder="1" applyAlignment="1" applyProtection="1">
      <alignment horizontal="center" vertical="center"/>
      <protection hidden="1"/>
    </xf>
    <xf numFmtId="4" fontId="14" fillId="18" borderId="1" xfId="0" applyNumberFormat="1" applyFont="1" applyFill="1" applyBorder="1" applyAlignment="1" applyProtection="1">
      <alignment horizontal="center" vertical="center"/>
      <protection locked="0"/>
    </xf>
    <xf numFmtId="0" fontId="20" fillId="17" borderId="1" xfId="0" applyFont="1" applyFill="1" applyBorder="1" applyAlignment="1">
      <alignment horizontal="center" vertical="center" wrapText="1"/>
    </xf>
    <xf numFmtId="43" fontId="22" fillId="18" borderId="1" xfId="0" applyNumberFormat="1" applyFont="1" applyFill="1" applyBorder="1" applyAlignment="1">
      <alignment horizontal="center" vertical="center" wrapText="1"/>
    </xf>
    <xf numFmtId="40" fontId="15" fillId="0" borderId="1" xfId="0" applyNumberFormat="1" applyFont="1" applyBorder="1" applyAlignment="1">
      <alignment horizontal="center" vertical="center" wrapText="1"/>
    </xf>
    <xf numFmtId="165" fontId="15" fillId="18" borderId="1" xfId="6" applyFont="1" applyFill="1" applyBorder="1" applyAlignment="1">
      <alignment horizontal="center" vertical="center" wrapText="1"/>
    </xf>
    <xf numFmtId="40" fontId="22" fillId="0" borderId="1" xfId="0" applyNumberFormat="1" applyFont="1" applyBorder="1" applyAlignment="1">
      <alignment horizontal="center" vertical="center" wrapText="1"/>
    </xf>
    <xf numFmtId="0" fontId="23" fillId="17" borderId="1" xfId="1" applyNumberFormat="1" applyFont="1" applyFill="1" applyBorder="1" applyAlignment="1" applyProtection="1">
      <alignment horizontal="center" vertical="center" wrapText="1"/>
      <protection hidden="1"/>
    </xf>
    <xf numFmtId="1" fontId="24" fillId="18" borderId="1" xfId="1" applyNumberFormat="1" applyFont="1" applyFill="1" applyBorder="1" applyAlignment="1" applyProtection="1">
      <alignment horizontal="center" vertical="center" wrapText="1"/>
      <protection hidden="1"/>
    </xf>
    <xf numFmtId="0" fontId="25" fillId="0" borderId="1" xfId="1" applyNumberFormat="1" applyFont="1" applyBorder="1" applyAlignment="1" applyProtection="1">
      <alignment horizontal="center" vertical="center"/>
      <protection hidden="1"/>
    </xf>
    <xf numFmtId="0" fontId="25" fillId="0" borderId="1" xfId="1" applyNumberFormat="1" applyFont="1" applyFill="1" applyBorder="1" applyAlignment="1" applyProtection="1">
      <alignment horizontal="center" vertical="center"/>
      <protection hidden="1"/>
    </xf>
    <xf numFmtId="0" fontId="23" fillId="0" borderId="1" xfId="1" applyNumberFormat="1" applyFont="1" applyBorder="1" applyAlignment="1" applyProtection="1">
      <alignment horizontal="center" vertical="center"/>
      <protection hidden="1"/>
    </xf>
    <xf numFmtId="0" fontId="9" fillId="0" borderId="0" xfId="0" applyFont="1"/>
    <xf numFmtId="43" fontId="0" fillId="0" borderId="0" xfId="1" applyFont="1" applyAlignment="1">
      <alignment vertical="top" wrapText="1"/>
    </xf>
    <xf numFmtId="0" fontId="9" fillId="0" borderId="0" xfId="0" applyFont="1" applyAlignment="1">
      <alignment horizontal="center" vertical="center"/>
    </xf>
    <xf numFmtId="9" fontId="9" fillId="0" borderId="0" xfId="2" applyFont="1"/>
    <xf numFmtId="9" fontId="0" fillId="0" borderId="0" xfId="2" applyFont="1"/>
    <xf numFmtId="43" fontId="10" fillId="21" borderId="8" xfId="1" applyFont="1" applyFill="1" applyBorder="1" applyAlignment="1">
      <alignment horizontal="center" vertical="center"/>
    </xf>
    <xf numFmtId="43" fontId="9" fillId="0" borderId="0" xfId="1" applyFont="1"/>
    <xf numFmtId="0" fontId="27" fillId="23" borderId="1" xfId="7" applyFont="1" applyFill="1" applyBorder="1" applyAlignment="1">
      <alignment horizontal="center" vertical="center"/>
    </xf>
    <xf numFmtId="0" fontId="27" fillId="24" borderId="1" xfId="0" applyFont="1" applyFill="1" applyBorder="1" applyAlignment="1">
      <alignment vertical="center"/>
    </xf>
    <xf numFmtId="0" fontId="27" fillId="22" borderId="1" xfId="0" applyFont="1" applyFill="1" applyBorder="1" applyAlignment="1">
      <alignment horizontal="center" vertical="center"/>
    </xf>
    <xf numFmtId="49" fontId="27" fillId="25" borderId="1" xfId="0" applyNumberFormat="1" applyFont="1" applyFill="1" applyBorder="1" applyAlignment="1">
      <alignment horizontal="center" vertical="center"/>
    </xf>
    <xf numFmtId="0" fontId="27" fillId="25" borderId="1" xfId="0" applyFont="1" applyFill="1" applyBorder="1" applyAlignment="1">
      <alignment horizontal="center" vertical="center"/>
    </xf>
    <xf numFmtId="0" fontId="27" fillId="22" borderId="1" xfId="0" applyFont="1" applyFill="1" applyBorder="1" applyAlignment="1">
      <alignment vertical="center"/>
    </xf>
    <xf numFmtId="0" fontId="27" fillId="0" borderId="1" xfId="0" applyFont="1" applyBorder="1" applyAlignment="1">
      <alignment horizontal="center" vertical="center"/>
    </xf>
    <xf numFmtId="0" fontId="27" fillId="22" borderId="1" xfId="7" applyFont="1" applyFill="1" applyBorder="1" applyAlignment="1">
      <alignment horizontal="center" vertical="center"/>
    </xf>
    <xf numFmtId="0" fontId="28" fillId="25" borderId="1" xfId="7" applyFont="1" applyFill="1" applyBorder="1" applyAlignment="1">
      <alignment horizontal="center" vertical="center"/>
    </xf>
    <xf numFmtId="49" fontId="28" fillId="25" borderId="1" xfId="7" applyNumberFormat="1" applyFont="1" applyFill="1" applyBorder="1" applyAlignment="1">
      <alignment horizontal="center" vertical="center"/>
    </xf>
    <xf numFmtId="0" fontId="6" fillId="0" borderId="0" xfId="0" applyFont="1" applyAlignment="1">
      <alignment horizontal="center" vertical="center"/>
    </xf>
    <xf numFmtId="1" fontId="6" fillId="0" borderId="0" xfId="0" applyNumberFormat="1" applyFont="1"/>
    <xf numFmtId="1" fontId="14" fillId="17" borderId="1" xfId="0" applyNumberFormat="1" applyFont="1" applyFill="1" applyBorder="1" applyAlignment="1" applyProtection="1">
      <alignment horizontal="center" vertical="center"/>
      <protection hidden="1"/>
    </xf>
    <xf numFmtId="1" fontId="15" fillId="18" borderId="1" xfId="0" applyNumberFormat="1" applyFont="1" applyFill="1" applyBorder="1" applyAlignment="1" applyProtection="1">
      <alignment horizontal="center" vertical="center"/>
      <protection hidden="1"/>
    </xf>
    <xf numFmtId="1" fontId="15" fillId="0" borderId="1" xfId="3" applyNumberFormat="1" applyFont="1" applyBorder="1" applyAlignment="1" applyProtection="1">
      <alignment horizontal="center" vertical="center"/>
      <protection hidden="1"/>
    </xf>
    <xf numFmtId="1" fontId="14" fillId="18" borderId="1" xfId="0" applyNumberFormat="1" applyFont="1" applyFill="1" applyBorder="1" applyAlignment="1" applyProtection="1">
      <alignment horizontal="center" vertical="center"/>
      <protection hidden="1"/>
    </xf>
    <xf numFmtId="1" fontId="15" fillId="0" borderId="1" xfId="0" applyNumberFormat="1" applyFont="1" applyBorder="1" applyAlignment="1" applyProtection="1">
      <alignment horizontal="center" vertical="center"/>
      <protection hidden="1"/>
    </xf>
    <xf numFmtId="1" fontId="15" fillId="19" borderId="1" xfId="0" applyNumberFormat="1" applyFont="1" applyFill="1" applyBorder="1" applyAlignment="1" applyProtection="1">
      <alignment horizontal="center" vertical="center"/>
      <protection hidden="1"/>
    </xf>
    <xf numFmtId="1" fontId="15" fillId="9" borderId="1" xfId="4" applyNumberFormat="1" applyFont="1" applyFill="1" applyBorder="1" applyAlignment="1" applyProtection="1">
      <alignment horizontal="center" vertical="center"/>
      <protection hidden="1"/>
    </xf>
    <xf numFmtId="1" fontId="15" fillId="9" borderId="1" xfId="0" applyNumberFormat="1" applyFont="1" applyFill="1" applyBorder="1" applyAlignment="1" applyProtection="1">
      <alignment horizontal="center" vertical="center"/>
      <protection hidden="1"/>
    </xf>
    <xf numFmtId="1" fontId="14" fillId="18" borderId="1" xfId="4" applyNumberFormat="1" applyFont="1" applyFill="1" applyBorder="1" applyAlignment="1" applyProtection="1">
      <alignment horizontal="center" vertical="center"/>
      <protection hidden="1"/>
    </xf>
    <xf numFmtId="1" fontId="15" fillId="0" borderId="1" xfId="4" applyNumberFormat="1" applyFont="1" applyBorder="1" applyAlignment="1" applyProtection="1">
      <alignment horizontal="center" vertical="center"/>
      <protection hidden="1"/>
    </xf>
    <xf numFmtId="1" fontId="15" fillId="0" borderId="1" xfId="0" applyNumberFormat="1" applyFont="1" applyBorder="1" applyAlignment="1" applyProtection="1">
      <alignment horizontal="center" vertical="center"/>
      <protection locked="0"/>
    </xf>
    <xf numFmtId="1" fontId="14" fillId="18" borderId="1" xfId="4" applyNumberFormat="1" applyFont="1" applyFill="1" applyBorder="1" applyAlignment="1" applyProtection="1">
      <alignment horizontal="center" vertical="center"/>
      <protection locked="0"/>
    </xf>
    <xf numFmtId="1" fontId="19" fillId="17" borderId="1" xfId="5" applyNumberFormat="1" applyFont="1" applyFill="1" applyBorder="1" applyAlignment="1" applyProtection="1">
      <alignment horizontal="center" vertical="center"/>
      <protection hidden="1"/>
    </xf>
    <xf numFmtId="1" fontId="21" fillId="18" borderId="1" xfId="5" applyNumberFormat="1" applyFont="1" applyFill="1" applyBorder="1" applyAlignment="1" applyProtection="1">
      <alignment horizontal="center" vertical="center"/>
      <protection hidden="1"/>
    </xf>
    <xf numFmtId="1" fontId="21" fillId="0" borderId="1" xfId="5" applyNumberFormat="1" applyFont="1" applyBorder="1" applyAlignment="1" applyProtection="1">
      <alignment horizontal="center" vertical="center"/>
      <protection hidden="1"/>
    </xf>
    <xf numFmtId="1" fontId="23" fillId="17" borderId="1" xfId="1" applyNumberFormat="1" applyFont="1" applyFill="1" applyBorder="1" applyAlignment="1" applyProtection="1">
      <alignment horizontal="center" vertical="center" wrapText="1"/>
      <protection hidden="1"/>
    </xf>
    <xf numFmtId="1" fontId="24" fillId="0" borderId="1" xfId="1" applyNumberFormat="1" applyFont="1" applyFill="1" applyBorder="1" applyAlignment="1" applyProtection="1">
      <alignment horizontal="center" vertical="center" wrapText="1"/>
      <protection hidden="1"/>
    </xf>
    <xf numFmtId="1" fontId="25" fillId="0" borderId="1" xfId="1" applyNumberFormat="1" applyFont="1" applyBorder="1" applyAlignment="1" applyProtection="1">
      <alignment horizontal="center" vertical="center"/>
      <protection hidden="1"/>
    </xf>
    <xf numFmtId="1" fontId="0" fillId="0" borderId="0" xfId="0" applyNumberFormat="1"/>
    <xf numFmtId="0" fontId="27" fillId="26" borderId="1" xfId="0" applyFont="1" applyFill="1" applyBorder="1" applyAlignment="1">
      <alignment vertical="center"/>
    </xf>
    <xf numFmtId="0" fontId="9" fillId="0" borderId="1" xfId="0" applyFont="1" applyBorder="1" applyAlignment="1">
      <alignment vertical="center"/>
    </xf>
    <xf numFmtId="0" fontId="27" fillId="0" borderId="1" xfId="0" quotePrefix="1" applyFont="1" applyBorder="1" applyAlignment="1">
      <alignment horizontal="center" vertical="center"/>
    </xf>
    <xf numFmtId="0" fontId="9" fillId="0" borderId="0" xfId="0" applyFont="1" applyAlignment="1">
      <alignment horizontal="left" vertical="center" indent="1"/>
    </xf>
    <xf numFmtId="0" fontId="0" fillId="0" borderId="1" xfId="0" applyBorder="1"/>
    <xf numFmtId="0" fontId="9" fillId="0" borderId="1" xfId="0" applyFont="1" applyBorder="1" applyAlignment="1">
      <alignment horizontal="center"/>
    </xf>
    <xf numFmtId="0" fontId="0" fillId="0" borderId="3" xfId="0" applyBorder="1"/>
    <xf numFmtId="0" fontId="29" fillId="13" borderId="9" xfId="0" applyFont="1" applyFill="1" applyBorder="1" applyAlignment="1">
      <alignment horizontal="center" vertical="center"/>
    </xf>
    <xf numFmtId="0" fontId="29" fillId="13" borderId="4" xfId="0" applyFont="1" applyFill="1" applyBorder="1" applyAlignment="1">
      <alignment horizontal="center" vertical="center"/>
    </xf>
    <xf numFmtId="0" fontId="29" fillId="13" borderId="5" xfId="0" applyFont="1" applyFill="1" applyBorder="1" applyAlignment="1">
      <alignment horizontal="center" vertical="center"/>
    </xf>
    <xf numFmtId="0" fontId="0" fillId="0" borderId="11" xfId="0" applyBorder="1"/>
    <xf numFmtId="0" fontId="0" fillId="0" borderId="12" xfId="0" applyBorder="1"/>
    <xf numFmtId="43" fontId="26" fillId="6" borderId="0" xfId="1" applyFont="1" applyFill="1" applyAlignment="1">
      <alignment horizontal="center" vertical="center"/>
    </xf>
    <xf numFmtId="43" fontId="6" fillId="6" borderId="0" xfId="1" applyFont="1" applyFill="1" applyAlignment="1">
      <alignment horizontal="center" vertical="center"/>
    </xf>
    <xf numFmtId="4" fontId="0" fillId="0" borderId="0" xfId="0" applyNumberFormat="1" applyAlignment="1">
      <alignment horizontal="center"/>
    </xf>
    <xf numFmtId="43" fontId="2" fillId="0" borderId="0" xfId="0" applyNumberFormat="1" applyFont="1"/>
    <xf numFmtId="43" fontId="10" fillId="0" borderId="8" xfId="2" applyNumberFormat="1" applyFont="1" applyBorder="1" applyAlignment="1">
      <alignment horizontal="center" vertical="center"/>
    </xf>
    <xf numFmtId="43" fontId="2" fillId="0" borderId="0" xfId="0" applyNumberFormat="1" applyFont="1" applyAlignment="1">
      <alignment horizontal="center" vertical="center"/>
    </xf>
    <xf numFmtId="43" fontId="0" fillId="6" borderId="0" xfId="0" applyNumberFormat="1" applyFill="1"/>
    <xf numFmtId="4" fontId="0" fillId="9" borderId="0" xfId="0" applyNumberFormat="1" applyFill="1"/>
    <xf numFmtId="1" fontId="10" fillId="0" borderId="8" xfId="0" applyNumberFormat="1" applyFont="1" applyBorder="1" applyAlignment="1">
      <alignment horizontal="center" vertical="center"/>
    </xf>
    <xf numFmtId="43" fontId="13" fillId="16" borderId="10" xfId="1" applyFont="1" applyFill="1" applyBorder="1" applyAlignment="1">
      <alignment horizontal="center" vertical="center" wrapText="1"/>
    </xf>
    <xf numFmtId="49" fontId="31" fillId="25" borderId="4" xfId="0" applyNumberFormat="1" applyFont="1" applyFill="1" applyBorder="1" applyAlignment="1">
      <alignment horizontal="center" vertical="center"/>
    </xf>
    <xf numFmtId="164" fontId="0" fillId="0" borderId="0" xfId="0" applyNumberFormat="1" applyAlignment="1">
      <alignment horizontal="center"/>
    </xf>
    <xf numFmtId="0" fontId="10" fillId="27" borderId="8" xfId="0" applyFont="1" applyFill="1" applyBorder="1" applyAlignment="1">
      <alignment horizontal="center" vertical="center"/>
    </xf>
    <xf numFmtId="0" fontId="32" fillId="0" borderId="1" xfId="0" applyFont="1" applyBorder="1" applyAlignment="1">
      <alignment horizontal="center"/>
    </xf>
    <xf numFmtId="0" fontId="9" fillId="0" borderId="2" xfId="0" applyFont="1" applyBorder="1"/>
    <xf numFmtId="0" fontId="33" fillId="22" borderId="1" xfId="0" applyFont="1" applyFill="1" applyBorder="1" applyAlignment="1">
      <alignment horizontal="center" vertical="center"/>
    </xf>
    <xf numFmtId="0" fontId="34" fillId="0" borderId="1" xfId="0" quotePrefix="1" applyFont="1" applyBorder="1" applyAlignment="1">
      <alignment horizontal="center" vertical="center"/>
    </xf>
    <xf numFmtId="0" fontId="10" fillId="0" borderId="0" xfId="0" applyFont="1" applyAlignment="1">
      <alignment horizontal="center" vertical="center"/>
    </xf>
    <xf numFmtId="0" fontId="6" fillId="0" borderId="0" xfId="0" applyFont="1" applyAlignment="1">
      <alignment horizontal="center"/>
    </xf>
    <xf numFmtId="1" fontId="36" fillId="18" borderId="1" xfId="1" applyNumberFormat="1" applyFont="1" applyFill="1" applyBorder="1" applyAlignment="1" applyProtection="1">
      <alignment horizontal="center" vertical="center" wrapText="1"/>
      <protection hidden="1"/>
    </xf>
    <xf numFmtId="1" fontId="37" fillId="17" borderId="1" xfId="0" applyNumberFormat="1" applyFont="1" applyFill="1" applyBorder="1" applyAlignment="1" applyProtection="1">
      <alignment horizontal="center" vertical="center"/>
      <protection hidden="1"/>
    </xf>
    <xf numFmtId="0" fontId="38" fillId="0" borderId="1" xfId="1" applyNumberFormat="1" applyFont="1" applyBorder="1" applyAlignment="1" applyProtection="1">
      <alignment horizontal="center" vertical="center"/>
      <protection hidden="1"/>
    </xf>
    <xf numFmtId="1" fontId="36" fillId="6" borderId="1" xfId="1" applyNumberFormat="1" applyFont="1" applyFill="1" applyBorder="1" applyAlignment="1" applyProtection="1">
      <alignment horizontal="center" vertical="center" wrapText="1"/>
      <protection hidden="1"/>
    </xf>
    <xf numFmtId="0" fontId="36" fillId="0" borderId="0" xfId="0" applyFont="1"/>
    <xf numFmtId="43" fontId="38" fillId="18" borderId="1" xfId="0" applyNumberFormat="1" applyFont="1" applyFill="1" applyBorder="1" applyAlignment="1">
      <alignment horizontal="center" vertical="center" wrapText="1"/>
    </xf>
    <xf numFmtId="165" fontId="36" fillId="18" borderId="1" xfId="6" applyFont="1" applyFill="1" applyBorder="1" applyAlignment="1">
      <alignment horizontal="center" vertical="center" wrapText="1"/>
    </xf>
    <xf numFmtId="1" fontId="36" fillId="18" borderId="1" xfId="0" applyNumberFormat="1" applyFont="1" applyFill="1" applyBorder="1" applyAlignment="1" applyProtection="1">
      <alignment horizontal="center" vertical="center"/>
      <protection hidden="1"/>
    </xf>
    <xf numFmtId="4" fontId="36" fillId="18" borderId="1" xfId="0" applyNumberFormat="1" applyFont="1" applyFill="1" applyBorder="1" applyAlignment="1" applyProtection="1">
      <alignment horizontal="center" vertical="center"/>
      <protection hidden="1"/>
    </xf>
    <xf numFmtId="1" fontId="37" fillId="18" borderId="1" xfId="0" applyNumberFormat="1" applyFont="1" applyFill="1" applyBorder="1" applyAlignment="1" applyProtection="1">
      <alignment horizontal="center" vertical="center"/>
      <protection hidden="1"/>
    </xf>
    <xf numFmtId="1" fontId="37" fillId="18" borderId="1" xfId="4" applyNumberFormat="1" applyFont="1" applyFill="1" applyBorder="1" applyAlignment="1" applyProtection="1">
      <alignment horizontal="center" vertical="center"/>
      <protection hidden="1"/>
    </xf>
    <xf numFmtId="1" fontId="37" fillId="18" borderId="1" xfId="4" applyNumberFormat="1" applyFont="1" applyFill="1" applyBorder="1" applyAlignment="1" applyProtection="1">
      <alignment horizontal="center" vertical="center"/>
      <protection locked="0"/>
    </xf>
    <xf numFmtId="0" fontId="38" fillId="17" borderId="1" xfId="1" applyNumberFormat="1" applyFont="1" applyFill="1" applyBorder="1" applyAlignment="1" applyProtection="1">
      <alignment horizontal="center" vertical="center" wrapText="1"/>
      <protection hidden="1"/>
    </xf>
    <xf numFmtId="0" fontId="38" fillId="17" borderId="1" xfId="0" applyFont="1" applyFill="1" applyBorder="1" applyAlignment="1">
      <alignment horizontal="center" vertical="center" wrapText="1"/>
    </xf>
    <xf numFmtId="4" fontId="36" fillId="17" borderId="1" xfId="0" applyNumberFormat="1" applyFont="1" applyFill="1" applyBorder="1" applyAlignment="1" applyProtection="1">
      <alignment horizontal="center" vertical="center"/>
      <protection hidden="1"/>
    </xf>
    <xf numFmtId="4" fontId="36" fillId="18" borderId="1" xfId="0" applyNumberFormat="1" applyFont="1" applyFill="1" applyBorder="1" applyAlignment="1" applyProtection="1">
      <alignment horizontal="center" vertical="center"/>
      <protection locked="0"/>
    </xf>
    <xf numFmtId="43" fontId="10" fillId="0" borderId="0" xfId="1" applyFont="1" applyBorder="1" applyAlignment="1">
      <alignment vertical="center"/>
    </xf>
    <xf numFmtId="43" fontId="10" fillId="21" borderId="0" xfId="1" applyFont="1" applyFill="1" applyBorder="1" applyAlignment="1">
      <alignment horizontal="center" vertical="center"/>
    </xf>
    <xf numFmtId="0" fontId="30" fillId="5" borderId="0" xfId="0" applyFont="1" applyFill="1" applyAlignment="1">
      <alignment horizontal="center" vertical="center"/>
    </xf>
    <xf numFmtId="14" fontId="30" fillId="5" borderId="0" xfId="0" applyNumberFormat="1" applyFont="1" applyFill="1" applyAlignment="1">
      <alignment horizontal="center" vertical="center"/>
    </xf>
    <xf numFmtId="14" fontId="10" fillId="0" borderId="0" xfId="0" applyNumberFormat="1" applyFont="1" applyAlignment="1">
      <alignment horizontal="center" vertical="center"/>
    </xf>
    <xf numFmtId="43" fontId="10" fillId="0" borderId="0" xfId="1" applyFont="1" applyBorder="1" applyAlignment="1">
      <alignment horizontal="center" vertical="center"/>
    </xf>
    <xf numFmtId="43" fontId="10" fillId="3" borderId="0" xfId="1" applyFont="1" applyFill="1" applyBorder="1" applyAlignment="1">
      <alignment horizontal="center" vertical="center"/>
    </xf>
    <xf numFmtId="9" fontId="10" fillId="0" borderId="0" xfId="0" applyNumberFormat="1" applyFont="1" applyAlignment="1">
      <alignment horizontal="center" vertical="center"/>
    </xf>
    <xf numFmtId="0" fontId="39" fillId="0" borderId="0" xfId="0" applyFont="1" applyAlignment="1">
      <alignment horizontal="center" vertical="center"/>
    </xf>
    <xf numFmtId="0" fontId="10" fillId="7" borderId="8" xfId="0" applyFont="1" applyFill="1" applyBorder="1" applyAlignment="1">
      <alignment horizontal="center" vertical="center"/>
    </xf>
    <xf numFmtId="0" fontId="10" fillId="28" borderId="8" xfId="0" applyFont="1" applyFill="1" applyBorder="1" applyAlignment="1">
      <alignment horizontal="center" vertical="center"/>
    </xf>
    <xf numFmtId="0" fontId="9" fillId="0" borderId="0" xfId="0" applyFont="1" applyAlignment="1">
      <alignment horizontal="center"/>
    </xf>
    <xf numFmtId="0" fontId="9" fillId="0" borderId="0" xfId="0" applyFont="1" applyAlignment="1">
      <alignment horizontal="left" indent="1"/>
    </xf>
    <xf numFmtId="0" fontId="9" fillId="0" borderId="1" xfId="0" applyFont="1" applyBorder="1" applyAlignment="1">
      <alignment horizontal="center" vertical="center"/>
    </xf>
    <xf numFmtId="0" fontId="9" fillId="0" borderId="1" xfId="0" applyFont="1" applyBorder="1" applyAlignment="1">
      <alignment horizontal="left" vertical="center" indent="1"/>
    </xf>
    <xf numFmtId="0" fontId="41" fillId="0" borderId="0" xfId="0" applyFont="1"/>
    <xf numFmtId="0" fontId="11" fillId="5" borderId="0" xfId="0" applyFont="1" applyFill="1" applyAlignment="1">
      <alignment horizontal="center" vertical="center"/>
    </xf>
    <xf numFmtId="0" fontId="41" fillId="0" borderId="0" xfId="0" applyFont="1" applyAlignment="1">
      <alignment horizontal="center" vertical="center"/>
    </xf>
    <xf numFmtId="43" fontId="41" fillId="0" borderId="0" xfId="1" applyFont="1" applyFill="1" applyBorder="1" applyAlignment="1">
      <alignment horizontal="center" vertical="center"/>
    </xf>
    <xf numFmtId="43" fontId="41" fillId="0" borderId="0" xfId="0" applyNumberFormat="1" applyFont="1" applyAlignment="1">
      <alignment horizontal="center" vertical="center"/>
    </xf>
    <xf numFmtId="0" fontId="11" fillId="0" borderId="0" xfId="0" applyFont="1" applyAlignment="1">
      <alignment horizontal="center" vertical="center"/>
    </xf>
    <xf numFmtId="14" fontId="11" fillId="0" borderId="0" xfId="0" applyNumberFormat="1" applyFont="1" applyAlignment="1">
      <alignment horizontal="center" vertical="center"/>
    </xf>
    <xf numFmtId="0" fontId="10" fillId="0" borderId="2" xfId="0" applyFont="1" applyBorder="1" applyAlignment="1">
      <alignment horizontal="center" vertical="center"/>
    </xf>
    <xf numFmtId="43" fontId="10" fillId="0" borderId="1" xfId="1" applyFont="1" applyFill="1" applyBorder="1" applyAlignment="1">
      <alignment horizontal="center" vertical="center"/>
    </xf>
    <xf numFmtId="43" fontId="10" fillId="20" borderId="1" xfId="1" applyFont="1" applyFill="1" applyBorder="1" applyAlignment="1">
      <alignment horizontal="center" vertical="center"/>
    </xf>
    <xf numFmtId="43" fontId="10" fillId="0" borderId="1" xfId="2" applyNumberFormat="1" applyFont="1" applyFill="1" applyBorder="1" applyAlignment="1">
      <alignment horizontal="center" vertical="center"/>
    </xf>
    <xf numFmtId="0" fontId="10" fillId="0" borderId="10" xfId="0" applyFont="1" applyBorder="1" applyAlignment="1">
      <alignment horizontal="center" vertical="center"/>
    </xf>
    <xf numFmtId="43" fontId="10" fillId="0" borderId="11" xfId="1" applyFont="1" applyFill="1" applyBorder="1" applyAlignment="1">
      <alignment horizontal="center" vertical="center"/>
    </xf>
    <xf numFmtId="0" fontId="10" fillId="0" borderId="11" xfId="0" applyFont="1" applyBorder="1" applyAlignment="1">
      <alignment horizontal="center" vertical="center"/>
    </xf>
    <xf numFmtId="43" fontId="10" fillId="20" borderId="11" xfId="1" applyFont="1" applyFill="1" applyBorder="1" applyAlignment="1">
      <alignment horizontal="center" vertical="center"/>
    </xf>
    <xf numFmtId="0" fontId="32" fillId="0" borderId="0" xfId="0" applyFont="1" applyAlignment="1">
      <alignment horizontal="center"/>
    </xf>
    <xf numFmtId="0" fontId="10" fillId="0" borderId="0" xfId="0" applyFont="1"/>
    <xf numFmtId="43" fontId="10" fillId="0" borderId="1" xfId="0" applyNumberFormat="1" applyFont="1" applyBorder="1" applyAlignment="1">
      <alignment horizontal="center" vertical="center"/>
    </xf>
    <xf numFmtId="43" fontId="10" fillId="0" borderId="11" xfId="0" applyNumberFormat="1" applyFont="1" applyBorder="1" applyAlignment="1">
      <alignment horizontal="center" vertical="center"/>
    </xf>
    <xf numFmtId="0" fontId="42" fillId="13" borderId="0" xfId="0" applyFont="1" applyFill="1" applyAlignment="1">
      <alignment horizontal="center" vertical="center" wrapText="1"/>
    </xf>
    <xf numFmtId="0" fontId="29" fillId="14" borderId="0" xfId="0" applyFont="1" applyFill="1" applyAlignment="1">
      <alignment horizontal="center" vertical="center" wrapText="1"/>
    </xf>
    <xf numFmtId="43" fontId="29" fillId="14" borderId="0" xfId="1" applyFont="1" applyFill="1" applyBorder="1" applyAlignment="1">
      <alignment horizontal="center" vertical="center" wrapText="1"/>
    </xf>
    <xf numFmtId="43" fontId="29" fillId="15" borderId="0" xfId="1" applyFont="1" applyFill="1" applyBorder="1" applyAlignment="1">
      <alignment horizontal="center" vertical="center" wrapText="1"/>
    </xf>
    <xf numFmtId="9" fontId="29" fillId="16" borderId="0" xfId="2" applyFont="1" applyFill="1" applyBorder="1" applyAlignment="1">
      <alignment horizontal="center" vertical="center" wrapText="1"/>
    </xf>
    <xf numFmtId="43" fontId="29" fillId="16" borderId="0" xfId="1" applyFont="1" applyFill="1" applyBorder="1" applyAlignment="1">
      <alignment horizontal="center" vertical="center" wrapText="1"/>
    </xf>
    <xf numFmtId="0" fontId="42" fillId="2" borderId="0" xfId="0" applyFont="1" applyFill="1" applyAlignment="1">
      <alignment horizontal="center" vertical="center" wrapText="1"/>
    </xf>
    <xf numFmtId="43" fontId="29" fillId="16" borderId="0" xfId="2" applyNumberFormat="1" applyFont="1" applyFill="1" applyBorder="1" applyAlignment="1">
      <alignment horizontal="center" vertical="center" wrapText="1"/>
    </xf>
    <xf numFmtId="43" fontId="10" fillId="0" borderId="8" xfId="1" applyFont="1" applyBorder="1" applyAlignment="1">
      <alignment horizontal="center" vertical="center"/>
    </xf>
    <xf numFmtId="0" fontId="2" fillId="0" borderId="0" xfId="0" applyFont="1" applyAlignment="1">
      <alignment horizontal="center"/>
    </xf>
    <xf numFmtId="0" fontId="0" fillId="6" borderId="0" xfId="0" applyFill="1" applyAlignment="1">
      <alignment horizontal="center"/>
    </xf>
    <xf numFmtId="0" fontId="10" fillId="0" borderId="8" xfId="2" applyNumberFormat="1" applyFont="1" applyBorder="1" applyAlignment="1">
      <alignment horizontal="center" vertical="center"/>
    </xf>
    <xf numFmtId="0" fontId="10" fillId="0" borderId="0" xfId="2" applyNumberFormat="1" applyFont="1" applyBorder="1" applyAlignment="1">
      <alignment horizontal="center" vertical="center"/>
    </xf>
    <xf numFmtId="14" fontId="11" fillId="5" borderId="0" xfId="0" applyNumberFormat="1" applyFont="1" applyFill="1" applyAlignment="1">
      <alignment horizontal="center" vertical="center"/>
    </xf>
    <xf numFmtId="43" fontId="10" fillId="29" borderId="3" xfId="1" applyFont="1" applyFill="1" applyBorder="1" applyAlignment="1">
      <alignment horizontal="center" vertical="center"/>
    </xf>
    <xf numFmtId="43" fontId="10" fillId="29" borderId="12" xfId="1" applyFont="1" applyFill="1" applyBorder="1" applyAlignment="1">
      <alignment horizontal="center" vertical="center"/>
    </xf>
    <xf numFmtId="0" fontId="10" fillId="0" borderId="1" xfId="0" applyFont="1" applyBorder="1" applyAlignment="1">
      <alignment horizontal="left" vertical="center" indent="1"/>
    </xf>
    <xf numFmtId="0" fontId="9" fillId="0" borderId="1" xfId="0" applyFont="1" applyBorder="1" applyAlignment="1">
      <alignment horizontal="left" vertical="center"/>
    </xf>
    <xf numFmtId="0" fontId="0" fillId="8" borderId="0" xfId="0" applyFill="1" applyAlignment="1">
      <alignment horizontal="left"/>
    </xf>
    <xf numFmtId="0" fontId="0" fillId="8" borderId="0" xfId="0" applyFill="1" applyAlignment="1">
      <alignment vertical="center"/>
    </xf>
    <xf numFmtId="0" fontId="9" fillId="30" borderId="1" xfId="0" applyFont="1" applyFill="1" applyBorder="1" applyAlignment="1">
      <alignment horizontal="left" vertical="center" indent="1"/>
    </xf>
    <xf numFmtId="0" fontId="9" fillId="6" borderId="1" xfId="0" applyFont="1" applyFill="1" applyBorder="1" applyAlignment="1">
      <alignment horizontal="left" vertical="center" indent="1"/>
    </xf>
    <xf numFmtId="0" fontId="43" fillId="0" borderId="0" xfId="0" applyFont="1" applyAlignment="1">
      <alignment horizontal="center"/>
    </xf>
    <xf numFmtId="0" fontId="6" fillId="0" borderId="0" xfId="0" quotePrefix="1" applyFont="1" applyAlignment="1">
      <alignment horizontal="center" vertical="center"/>
    </xf>
    <xf numFmtId="0" fontId="9" fillId="0" borderId="2" xfId="0" applyFont="1" applyBorder="1" applyAlignment="1">
      <alignment horizontal="center" vertical="center"/>
    </xf>
    <xf numFmtId="0" fontId="9" fillId="30"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9" fillId="30" borderId="3" xfId="0" applyFont="1" applyFill="1" applyBorder="1" applyAlignment="1">
      <alignment horizontal="center" vertical="center"/>
    </xf>
    <xf numFmtId="0" fontId="9" fillId="6" borderId="3" xfId="0" applyFont="1" applyFill="1" applyBorder="1" applyAlignment="1">
      <alignment horizontal="center" vertical="center"/>
    </xf>
    <xf numFmtId="0" fontId="40" fillId="13" borderId="9" xfId="0" applyFont="1" applyFill="1" applyBorder="1" applyAlignment="1">
      <alignment horizontal="center" vertical="center"/>
    </xf>
    <xf numFmtId="0" fontId="40" fillId="13" borderId="4" xfId="0" applyFont="1" applyFill="1" applyBorder="1" applyAlignment="1">
      <alignment horizontal="left" vertical="center" indent="1"/>
    </xf>
    <xf numFmtId="0" fontId="40" fillId="13" borderId="5" xfId="0" applyFont="1" applyFill="1" applyBorder="1" applyAlignment="1">
      <alignment horizontal="center" vertical="center"/>
    </xf>
    <xf numFmtId="0" fontId="9" fillId="0" borderId="10" xfId="0" applyFont="1" applyBorder="1" applyAlignment="1">
      <alignment horizontal="center" vertical="center"/>
    </xf>
    <xf numFmtId="0" fontId="9" fillId="0" borderId="11" xfId="0" applyFont="1" applyBorder="1" applyAlignment="1">
      <alignment horizontal="left" vertical="center" indent="1"/>
    </xf>
    <xf numFmtId="0" fontId="9" fillId="0" borderId="12" xfId="0" applyFont="1" applyBorder="1" applyAlignment="1">
      <alignment horizontal="center" vertical="center"/>
    </xf>
    <xf numFmtId="0" fontId="0" fillId="0" borderId="0" xfId="0" pivotButton="1"/>
    <xf numFmtId="0" fontId="0" fillId="0" borderId="0" xfId="0" applyAlignment="1">
      <alignment horizontal="left"/>
    </xf>
    <xf numFmtId="0" fontId="33" fillId="22" borderId="2" xfId="0" applyFont="1" applyFill="1" applyBorder="1" applyAlignment="1">
      <alignment horizontal="center" vertical="center"/>
    </xf>
    <xf numFmtId="0" fontId="34" fillId="0" borderId="2" xfId="0" quotePrefix="1" applyFont="1" applyBorder="1" applyAlignment="1">
      <alignment horizontal="center" vertical="center"/>
    </xf>
    <xf numFmtId="0" fontId="44" fillId="0" borderId="2" xfId="0" quotePrefix="1" applyFont="1" applyBorder="1" applyAlignment="1">
      <alignment horizontal="center" vertical="center"/>
    </xf>
    <xf numFmtId="0" fontId="45" fillId="0" borderId="10" xfId="0" applyFont="1" applyBorder="1" applyAlignment="1">
      <alignment horizontal="center" vertical="center"/>
    </xf>
    <xf numFmtId="0" fontId="45" fillId="0" borderId="11" xfId="0" applyFont="1" applyBorder="1" applyAlignment="1">
      <alignment horizontal="left" vertical="center" indent="1"/>
    </xf>
    <xf numFmtId="0" fontId="45" fillId="0" borderId="12" xfId="0" applyFont="1" applyBorder="1" applyAlignment="1">
      <alignment horizontal="center" vertical="center"/>
    </xf>
    <xf numFmtId="43" fontId="2" fillId="6" borderId="0" xfId="1" applyFont="1" applyFill="1" applyAlignment="1">
      <alignment horizontal="center" vertical="center"/>
    </xf>
    <xf numFmtId="9" fontId="2" fillId="0" borderId="0" xfId="2" applyFont="1"/>
    <xf numFmtId="43" fontId="2" fillId="0" borderId="0" xfId="1" applyFont="1"/>
    <xf numFmtId="43" fontId="2" fillId="0" borderId="0" xfId="1" applyFont="1" applyAlignment="1">
      <alignment horizontal="center" vertical="center"/>
    </xf>
    <xf numFmtId="0" fontId="46" fillId="13" borderId="0" xfId="0" applyFont="1" applyFill="1" applyAlignment="1">
      <alignment horizontal="center" vertical="center" wrapText="1"/>
    </xf>
    <xf numFmtId="0" fontId="46" fillId="14" borderId="0" xfId="0" applyFont="1" applyFill="1" applyAlignment="1">
      <alignment horizontal="center" vertical="center" wrapText="1"/>
    </xf>
    <xf numFmtId="4" fontId="46" fillId="14" borderId="0" xfId="1" applyNumberFormat="1" applyFont="1" applyFill="1" applyBorder="1" applyAlignment="1">
      <alignment horizontal="center" vertical="center" wrapText="1"/>
    </xf>
    <xf numFmtId="43" fontId="46" fillId="15" borderId="0" xfId="1" applyFont="1" applyFill="1" applyBorder="1" applyAlignment="1">
      <alignment horizontal="center" vertical="center" wrapText="1"/>
    </xf>
    <xf numFmtId="9" fontId="46" fillId="16" borderId="0" xfId="2" applyFont="1" applyFill="1" applyBorder="1" applyAlignment="1">
      <alignment horizontal="center" vertical="center" wrapText="1"/>
    </xf>
    <xf numFmtId="43" fontId="46" fillId="16" borderId="0" xfId="1" applyFont="1" applyFill="1" applyBorder="1" applyAlignment="1">
      <alignment horizontal="center" vertical="center" wrapText="1"/>
    </xf>
    <xf numFmtId="0" fontId="6" fillId="8" borderId="0" xfId="0" applyFont="1" applyFill="1" applyAlignment="1">
      <alignment horizontal="center" vertical="center"/>
    </xf>
    <xf numFmtId="167" fontId="0" fillId="0" borderId="0" xfId="0" applyNumberFormat="1"/>
    <xf numFmtId="0" fontId="47" fillId="0" borderId="0" xfId="0" applyFont="1" applyAlignment="1">
      <alignment horizontal="center" vertical="center"/>
    </xf>
    <xf numFmtId="1" fontId="47" fillId="0" borderId="2" xfId="0" applyNumberFormat="1" applyFont="1" applyBorder="1" applyAlignment="1">
      <alignment horizontal="center" vertical="center"/>
    </xf>
    <xf numFmtId="43" fontId="47" fillId="0" borderId="1" xfId="1" applyFont="1" applyFill="1" applyBorder="1" applyAlignment="1">
      <alignment horizontal="center" vertical="center"/>
    </xf>
    <xf numFmtId="0" fontId="47" fillId="0" borderId="1" xfId="0" applyFont="1" applyBorder="1" applyAlignment="1">
      <alignment horizontal="center" vertical="center"/>
    </xf>
    <xf numFmtId="43" fontId="47" fillId="20" borderId="1" xfId="1" applyFont="1" applyFill="1" applyBorder="1" applyAlignment="1">
      <alignment horizontal="center" vertical="center"/>
    </xf>
    <xf numFmtId="9" fontId="47" fillId="0" borderId="1" xfId="2" applyFont="1" applyFill="1" applyBorder="1" applyAlignment="1">
      <alignment horizontal="center" vertical="center"/>
    </xf>
    <xf numFmtId="43" fontId="47" fillId="29" borderId="1" xfId="1" applyFont="1" applyFill="1" applyBorder="1" applyAlignment="1">
      <alignment horizontal="center" vertical="center"/>
    </xf>
    <xf numFmtId="0" fontId="48" fillId="5" borderId="0" xfId="0" applyFont="1" applyFill="1" applyAlignment="1">
      <alignment horizontal="center" vertical="center"/>
    </xf>
    <xf numFmtId="14" fontId="48" fillId="5" borderId="0" xfId="0" applyNumberFormat="1" applyFont="1" applyFill="1" applyAlignment="1">
      <alignment horizontal="center" vertical="center"/>
    </xf>
    <xf numFmtId="0" fontId="12" fillId="0" borderId="2" xfId="0" applyFont="1" applyBorder="1" applyAlignment="1">
      <alignment horizontal="center" vertical="center"/>
    </xf>
    <xf numFmtId="0" fontId="12" fillId="0" borderId="1" xfId="0" applyFont="1" applyBorder="1" applyAlignment="1">
      <alignment horizontal="left" vertical="center" indent="1"/>
    </xf>
    <xf numFmtId="0" fontId="12" fillId="0" borderId="3" xfId="0" applyFont="1" applyBorder="1" applyAlignment="1">
      <alignment horizontal="center" vertical="center"/>
    </xf>
    <xf numFmtId="0" fontId="6" fillId="12" borderId="0" xfId="0" applyFont="1" applyFill="1" applyAlignment="1">
      <alignment horizontal="center" vertical="center"/>
    </xf>
    <xf numFmtId="0" fontId="9" fillId="12" borderId="2" xfId="0" applyFont="1" applyFill="1" applyBorder="1" applyAlignment="1">
      <alignment horizontal="center" vertical="center"/>
    </xf>
    <xf numFmtId="0" fontId="9" fillId="12" borderId="1" xfId="0" applyFont="1" applyFill="1" applyBorder="1" applyAlignment="1">
      <alignment horizontal="left" vertical="center" indent="1"/>
    </xf>
    <xf numFmtId="0" fontId="9" fillId="12" borderId="3" xfId="0" applyFont="1" applyFill="1" applyBorder="1" applyAlignment="1">
      <alignment horizontal="center" vertical="center"/>
    </xf>
    <xf numFmtId="0" fontId="49" fillId="0" borderId="3" xfId="0" applyFont="1" applyBorder="1" applyAlignment="1">
      <alignment horizontal="center" vertical="center"/>
    </xf>
    <xf numFmtId="0" fontId="27" fillId="30" borderId="1" xfId="0" applyFont="1" applyFill="1" applyBorder="1" applyAlignment="1">
      <alignment vertical="center"/>
    </xf>
    <xf numFmtId="0" fontId="34" fillId="0" borderId="10" xfId="0" applyFont="1" applyBorder="1" applyAlignment="1">
      <alignment horizontal="center" vertical="center"/>
    </xf>
    <xf numFmtId="0" fontId="34" fillId="0" borderId="11" xfId="0" applyFont="1" applyBorder="1" applyAlignment="1">
      <alignment horizontal="center" vertical="center"/>
    </xf>
    <xf numFmtId="0" fontId="0" fillId="31" borderId="0" xfId="0" applyFill="1"/>
    <xf numFmtId="0" fontId="10" fillId="32" borderId="8" xfId="0" applyFont="1" applyFill="1" applyBorder="1" applyAlignment="1">
      <alignment horizontal="center" vertical="center"/>
    </xf>
    <xf numFmtId="0" fontId="9" fillId="32" borderId="1" xfId="0" applyFont="1" applyFill="1" applyBorder="1" applyAlignment="1">
      <alignment horizontal="left" vertical="center" indent="1"/>
    </xf>
    <xf numFmtId="0" fontId="9" fillId="32" borderId="3" xfId="0" applyFont="1" applyFill="1" applyBorder="1" applyAlignment="1">
      <alignment horizontal="center" vertical="center"/>
    </xf>
    <xf numFmtId="0" fontId="1" fillId="0" borderId="0" xfId="0" applyFont="1" applyAlignment="1">
      <alignment horizontal="center" vertical="center"/>
    </xf>
    <xf numFmtId="0" fontId="52" fillId="0" borderId="0" xfId="0" applyFont="1"/>
    <xf numFmtId="0" fontId="53" fillId="0" borderId="0" xfId="0" applyFont="1" applyAlignment="1">
      <alignment horizontal="center" vertical="center"/>
    </xf>
    <xf numFmtId="14" fontId="53" fillId="0" borderId="0" xfId="0" applyNumberFormat="1" applyFont="1" applyAlignment="1">
      <alignment horizontal="center" vertical="center"/>
    </xf>
    <xf numFmtId="43" fontId="53" fillId="0" borderId="0" xfId="1" applyFont="1" applyAlignment="1">
      <alignment horizontal="right" vertical="center"/>
    </xf>
    <xf numFmtId="0" fontId="10" fillId="0" borderId="0" xfId="1" applyNumberFormat="1" applyFont="1" applyBorder="1" applyAlignment="1">
      <alignment vertical="center"/>
    </xf>
    <xf numFmtId="0" fontId="54" fillId="9" borderId="0" xfId="0" applyFont="1" applyFill="1"/>
    <xf numFmtId="0" fontId="26" fillId="9" borderId="0" xfId="0" applyFont="1" applyFill="1" applyAlignment="1">
      <alignment horizontal="center" vertical="center"/>
    </xf>
    <xf numFmtId="0" fontId="27" fillId="0" borderId="1" xfId="7" quotePrefix="1" applyFont="1" applyBorder="1" applyAlignment="1">
      <alignment horizontal="center" vertical="center"/>
    </xf>
    <xf numFmtId="0" fontId="10" fillId="0" borderId="1" xfId="0" applyFont="1" applyBorder="1" applyAlignment="1">
      <alignment vertical="center"/>
    </xf>
    <xf numFmtId="49" fontId="27" fillId="0" borderId="1" xfId="7" quotePrefix="1" applyNumberFormat="1" applyFont="1" applyBorder="1" applyAlignment="1">
      <alignment horizontal="center" vertical="center"/>
    </xf>
    <xf numFmtId="49" fontId="27" fillId="0" borderId="1" xfId="0" quotePrefix="1" applyNumberFormat="1" applyFont="1" applyBorder="1" applyAlignment="1">
      <alignment horizontal="left" vertical="center"/>
    </xf>
    <xf numFmtId="166" fontId="27" fillId="0" borderId="1" xfId="0" applyNumberFormat="1" applyFont="1" applyBorder="1" applyAlignment="1">
      <alignment horizontal="center" vertical="center"/>
    </xf>
    <xf numFmtId="2" fontId="27" fillId="0" borderId="1" xfId="0" quotePrefix="1" applyNumberFormat="1" applyFont="1" applyBorder="1" applyAlignment="1">
      <alignment horizontal="right" vertical="center"/>
    </xf>
    <xf numFmtId="49" fontId="27" fillId="0" borderId="1" xfId="0" quotePrefix="1" applyNumberFormat="1" applyFont="1" applyBorder="1" applyAlignment="1">
      <alignment horizontal="right" vertical="center"/>
    </xf>
    <xf numFmtId="0" fontId="50" fillId="0" borderId="0" xfId="0" applyFont="1"/>
    <xf numFmtId="0" fontId="10" fillId="0" borderId="1" xfId="0" applyFont="1" applyBorder="1"/>
    <xf numFmtId="0" fontId="51" fillId="0" borderId="0" xfId="0" applyFont="1"/>
    <xf numFmtId="0" fontId="34" fillId="0" borderId="2" xfId="0" applyFont="1" applyBorder="1" applyAlignment="1">
      <alignment horizontal="center" vertical="center"/>
    </xf>
    <xf numFmtId="0" fontId="34" fillId="0" borderId="1" xfId="0" applyFont="1" applyBorder="1" applyAlignment="1">
      <alignment horizontal="center" vertical="center"/>
    </xf>
    <xf numFmtId="3" fontId="27" fillId="0" borderId="1" xfId="0" quotePrefix="1" applyNumberFormat="1" applyFont="1" applyBorder="1" applyAlignment="1">
      <alignment horizontal="center" vertical="center"/>
    </xf>
    <xf numFmtId="0" fontId="32" fillId="8" borderId="0" xfId="0" applyFont="1" applyFill="1" applyAlignment="1">
      <alignment horizontal="left"/>
    </xf>
    <xf numFmtId="0" fontId="32" fillId="0" borderId="0" xfId="0" applyFont="1"/>
    <xf numFmtId="0" fontId="11" fillId="7" borderId="8" xfId="0" applyFont="1" applyFill="1" applyBorder="1" applyAlignment="1">
      <alignment horizontal="center" vertical="center"/>
    </xf>
    <xf numFmtId="0" fontId="11" fillId="7" borderId="14" xfId="0" applyFont="1" applyFill="1" applyBorder="1" applyAlignment="1">
      <alignment horizontal="center" vertical="center"/>
    </xf>
    <xf numFmtId="0" fontId="55" fillId="6" borderId="0" xfId="0" applyFont="1" applyFill="1"/>
    <xf numFmtId="0" fontId="56" fillId="6" borderId="0" xfId="0" applyFont="1" applyFill="1"/>
    <xf numFmtId="1" fontId="10" fillId="0" borderId="0" xfId="0" applyNumberFormat="1" applyFont="1" applyAlignment="1">
      <alignment horizontal="center" vertical="center"/>
    </xf>
    <xf numFmtId="0" fontId="47" fillId="0" borderId="6" xfId="0" applyFont="1" applyBorder="1" applyAlignment="1">
      <alignment horizontal="center" vertical="center"/>
    </xf>
    <xf numFmtId="0" fontId="47" fillId="0" borderId="2" xfId="0" applyFont="1" applyBorder="1" applyAlignment="1">
      <alignment horizontal="center" vertical="center"/>
    </xf>
    <xf numFmtId="0" fontId="10" fillId="0" borderId="6" xfId="0" applyFont="1" applyBorder="1" applyAlignment="1">
      <alignment horizontal="center" vertical="center"/>
    </xf>
    <xf numFmtId="1" fontId="10" fillId="0" borderId="2" xfId="0" applyNumberFormat="1" applyFont="1" applyBorder="1" applyAlignment="1">
      <alignment horizontal="center" vertical="center"/>
    </xf>
    <xf numFmtId="0" fontId="10" fillId="0" borderId="13" xfId="0" applyFont="1" applyBorder="1" applyAlignment="1">
      <alignment horizontal="center" vertical="center"/>
    </xf>
    <xf numFmtId="1" fontId="10" fillId="0" borderId="10" xfId="0" applyNumberFormat="1" applyFont="1" applyBorder="1" applyAlignment="1">
      <alignment horizontal="center" vertical="center"/>
    </xf>
    <xf numFmtId="43" fontId="10" fillId="0" borderId="0" xfId="1" applyFont="1" applyFill="1" applyBorder="1" applyAlignment="1">
      <alignment horizontal="center" vertical="center"/>
    </xf>
    <xf numFmtId="43" fontId="10" fillId="0" borderId="0" xfId="1" applyFont="1" applyFill="1" applyBorder="1" applyAlignment="1">
      <alignment vertical="center"/>
    </xf>
    <xf numFmtId="0" fontId="10" fillId="0" borderId="0" xfId="1" applyNumberFormat="1" applyFont="1" applyFill="1" applyBorder="1" applyAlignment="1">
      <alignment vertical="center"/>
    </xf>
    <xf numFmtId="0" fontId="10" fillId="0" borderId="8" xfId="0" applyFont="1" applyBorder="1" applyAlignment="1">
      <alignment horizontal="left" vertical="center" indent="1"/>
    </xf>
    <xf numFmtId="43" fontId="10" fillId="0" borderId="8" xfId="1" applyFont="1" applyFill="1" applyBorder="1" applyAlignment="1">
      <alignment horizontal="right" vertical="center"/>
    </xf>
    <xf numFmtId="0" fontId="44" fillId="0" borderId="2" xfId="0" applyFont="1" applyBorder="1" applyAlignment="1">
      <alignment horizontal="center" vertical="center"/>
    </xf>
    <xf numFmtId="0" fontId="10" fillId="0" borderId="0" xfId="0" applyFont="1" applyAlignment="1">
      <alignment horizontal="center"/>
    </xf>
    <xf numFmtId="0" fontId="11" fillId="0" borderId="8" xfId="0" applyFont="1" applyBorder="1" applyAlignment="1">
      <alignment horizontal="center" vertical="center"/>
    </xf>
    <xf numFmtId="0" fontId="4" fillId="6" borderId="0" xfId="0" applyFont="1" applyFill="1" applyAlignment="1">
      <alignment horizontal="center" vertical="center"/>
    </xf>
    <xf numFmtId="0" fontId="21" fillId="6" borderId="0" xfId="0" applyFont="1" applyFill="1" applyAlignment="1">
      <alignment horizontal="center" vertical="center" wrapText="1"/>
    </xf>
    <xf numFmtId="4" fontId="54" fillId="9" borderId="0" xfId="0" applyNumberFormat="1" applyFont="1" applyFill="1"/>
    <xf numFmtId="0" fontId="10" fillId="0" borderId="0" xfId="0" applyFont="1" applyAlignment="1">
      <alignment horizontal="left" vertical="center"/>
    </xf>
    <xf numFmtId="0" fontId="10" fillId="0" borderId="8" xfId="0" applyFont="1" applyBorder="1" applyAlignment="1">
      <alignment vertical="center"/>
    </xf>
    <xf numFmtId="0" fontId="57" fillId="0" borderId="0" xfId="0" applyFont="1"/>
    <xf numFmtId="0" fontId="58" fillId="0" borderId="0" xfId="0" applyFont="1" applyAlignment="1">
      <alignment horizontal="center" vertical="center"/>
    </xf>
    <xf numFmtId="14" fontId="58" fillId="0" borderId="0" xfId="0" applyNumberFormat="1" applyFont="1" applyAlignment="1">
      <alignment horizontal="center" vertical="center"/>
    </xf>
    <xf numFmtId="14" fontId="58" fillId="7" borderId="0" xfId="0" applyNumberFormat="1" applyFont="1" applyFill="1" applyAlignment="1">
      <alignment horizontal="center" vertical="center"/>
    </xf>
    <xf numFmtId="0" fontId="58" fillId="7" borderId="0" xfId="0" applyFont="1" applyFill="1" applyAlignment="1">
      <alignment horizontal="center" vertical="center"/>
    </xf>
    <xf numFmtId="43" fontId="58" fillId="0" borderId="0" xfId="1" applyFont="1" applyAlignment="1">
      <alignment horizontal="right" vertical="center"/>
    </xf>
    <xf numFmtId="43" fontId="58" fillId="8" borderId="0" xfId="1" applyFont="1" applyFill="1" applyAlignment="1">
      <alignment horizontal="center" vertical="center"/>
    </xf>
    <xf numFmtId="43" fontId="58" fillId="3" borderId="0" xfId="1" applyFont="1" applyFill="1" applyAlignment="1">
      <alignment horizontal="center" vertical="center"/>
    </xf>
    <xf numFmtId="9" fontId="58" fillId="0" borderId="0" xfId="1" applyNumberFormat="1" applyFont="1" applyAlignment="1">
      <alignment horizontal="center" vertical="center"/>
    </xf>
    <xf numFmtId="0" fontId="10" fillId="0" borderId="1" xfId="0" applyFont="1" applyBorder="1" applyAlignment="1">
      <alignment horizontal="center"/>
    </xf>
    <xf numFmtId="0" fontId="34" fillId="31" borderId="2" xfId="0" quotePrefix="1" applyFont="1" applyFill="1" applyBorder="1" applyAlignment="1">
      <alignment horizontal="center" vertical="center"/>
    </xf>
    <xf numFmtId="0" fontId="0" fillId="31" borderId="0" xfId="0" applyFill="1" applyAlignment="1">
      <alignment horizontal="center"/>
    </xf>
    <xf numFmtId="168" fontId="60" fillId="21" borderId="1" xfId="0" applyNumberFormat="1" applyFont="1" applyFill="1" applyBorder="1" applyAlignment="1" applyProtection="1">
      <alignment horizontal="center" vertical="center" wrapText="1"/>
      <protection hidden="1"/>
    </xf>
    <xf numFmtId="165" fontId="59" fillId="21" borderId="1" xfId="0" applyNumberFormat="1" applyFont="1" applyFill="1" applyBorder="1" applyAlignment="1" applyProtection="1">
      <alignment horizontal="center" vertical="center"/>
      <protection hidden="1"/>
    </xf>
    <xf numFmtId="165" fontId="59" fillId="21" borderId="1" xfId="0" applyNumberFormat="1" applyFont="1" applyFill="1" applyBorder="1" applyAlignment="1" applyProtection="1">
      <alignment horizontal="center" vertical="center" wrapText="1"/>
      <protection hidden="1"/>
    </xf>
    <xf numFmtId="1" fontId="59" fillId="33" borderId="1" xfId="0" applyNumberFormat="1" applyFont="1" applyFill="1" applyBorder="1" applyAlignment="1">
      <alignment horizontal="center" vertical="center"/>
    </xf>
    <xf numFmtId="1" fontId="60" fillId="33" borderId="1" xfId="0" applyNumberFormat="1" applyFont="1" applyFill="1" applyBorder="1" applyAlignment="1">
      <alignment horizontal="center" vertical="center"/>
    </xf>
    <xf numFmtId="0" fontId="59" fillId="33" borderId="1" xfId="0" applyFont="1" applyFill="1" applyBorder="1" applyAlignment="1" applyProtection="1">
      <alignment horizontal="center" vertical="center" wrapText="1"/>
      <protection hidden="1"/>
    </xf>
    <xf numFmtId="0" fontId="62" fillId="0" borderId="1" xfId="0" applyFont="1" applyBorder="1" applyAlignment="1">
      <alignment horizontal="center" vertical="center"/>
    </xf>
    <xf numFmtId="0" fontId="61" fillId="0" borderId="1" xfId="0" applyFont="1" applyBorder="1" applyAlignment="1" applyProtection="1">
      <alignment horizontal="center" vertical="center"/>
      <protection hidden="1"/>
    </xf>
    <xf numFmtId="0" fontId="61" fillId="0" borderId="1" xfId="0" applyFont="1" applyBorder="1" applyAlignment="1" applyProtection="1">
      <alignment horizontal="center" vertical="center" wrapText="1"/>
      <protection hidden="1"/>
    </xf>
    <xf numFmtId="0" fontId="59" fillId="33" borderId="1" xfId="0" applyFont="1" applyFill="1" applyBorder="1" applyAlignment="1" applyProtection="1">
      <alignment horizontal="center" vertical="center"/>
      <protection hidden="1"/>
    </xf>
    <xf numFmtId="1" fontId="35" fillId="17" borderId="1" xfId="1" applyNumberFormat="1" applyFont="1" applyFill="1" applyBorder="1" applyAlignment="1" applyProtection="1">
      <alignment horizontal="center" vertical="center" wrapText="1"/>
      <protection hidden="1"/>
    </xf>
    <xf numFmtId="1" fontId="36" fillId="0" borderId="1" xfId="1" applyNumberFormat="1" applyFont="1" applyFill="1" applyBorder="1" applyAlignment="1" applyProtection="1">
      <alignment horizontal="center" vertical="center" wrapText="1"/>
      <protection hidden="1"/>
    </xf>
    <xf numFmtId="1" fontId="38" fillId="0" borderId="1" xfId="1" applyNumberFormat="1" applyFont="1" applyBorder="1" applyAlignment="1" applyProtection="1">
      <alignment horizontal="center" vertical="center"/>
      <protection hidden="1"/>
    </xf>
    <xf numFmtId="1" fontId="38" fillId="0" borderId="8" xfId="0" applyNumberFormat="1" applyFont="1" applyBorder="1" applyAlignment="1">
      <alignment horizontal="center" vertical="center"/>
    </xf>
    <xf numFmtId="1" fontId="35" fillId="17" borderId="1" xfId="5" applyNumberFormat="1" applyFont="1" applyFill="1" applyBorder="1" applyAlignment="1" applyProtection="1">
      <alignment horizontal="center" vertical="center"/>
      <protection hidden="1"/>
    </xf>
    <xf numFmtId="1" fontId="38" fillId="18" borderId="1" xfId="5" applyNumberFormat="1" applyFont="1" applyFill="1" applyBorder="1" applyAlignment="1" applyProtection="1">
      <alignment horizontal="center" vertical="center"/>
      <protection hidden="1"/>
    </xf>
    <xf numFmtId="1" fontId="38" fillId="0" borderId="1" xfId="5" applyNumberFormat="1" applyFont="1" applyBorder="1" applyAlignment="1" applyProtection="1">
      <alignment horizontal="center" vertical="center"/>
      <protection hidden="1"/>
    </xf>
    <xf numFmtId="1" fontId="36" fillId="0" borderId="1" xfId="3" applyNumberFormat="1" applyFont="1" applyBorder="1" applyAlignment="1" applyProtection="1">
      <alignment horizontal="center" vertical="center"/>
      <protection hidden="1"/>
    </xf>
    <xf numFmtId="1" fontId="36" fillId="0" borderId="1" xfId="0" applyNumberFormat="1" applyFont="1" applyBorder="1" applyAlignment="1" applyProtection="1">
      <alignment horizontal="center" vertical="center"/>
      <protection hidden="1"/>
    </xf>
    <xf numFmtId="1" fontId="36" fillId="19" borderId="1" xfId="0" applyNumberFormat="1" applyFont="1" applyFill="1" applyBorder="1" applyAlignment="1" applyProtection="1">
      <alignment horizontal="center" vertical="center"/>
      <protection hidden="1"/>
    </xf>
    <xf numFmtId="1" fontId="36" fillId="9" borderId="1" xfId="4" applyNumberFormat="1" applyFont="1" applyFill="1" applyBorder="1" applyAlignment="1" applyProtection="1">
      <alignment horizontal="center" vertical="center"/>
      <protection hidden="1"/>
    </xf>
    <xf numFmtId="1" fontId="36" fillId="9" borderId="1" xfId="0" applyNumberFormat="1" applyFont="1" applyFill="1" applyBorder="1" applyAlignment="1" applyProtection="1">
      <alignment horizontal="center" vertical="center"/>
      <protection hidden="1"/>
    </xf>
    <xf numFmtId="1" fontId="36" fillId="0" borderId="1" xfId="4" applyNumberFormat="1" applyFont="1" applyBorder="1" applyAlignment="1" applyProtection="1">
      <alignment horizontal="center" vertical="center"/>
      <protection hidden="1"/>
    </xf>
    <xf numFmtId="1" fontId="36" fillId="0" borderId="1" xfId="0" applyNumberFormat="1" applyFont="1" applyBorder="1" applyAlignment="1" applyProtection="1">
      <alignment horizontal="center" vertical="center"/>
      <protection locked="0"/>
    </xf>
    <xf numFmtId="1" fontId="27" fillId="0" borderId="1" xfId="0" quotePrefix="1" applyNumberFormat="1" applyFont="1" applyBorder="1" applyAlignment="1">
      <alignment horizontal="center" vertical="center"/>
    </xf>
    <xf numFmtId="1" fontId="59" fillId="21" borderId="1" xfId="0" applyNumberFormat="1" applyFont="1" applyFill="1" applyBorder="1" applyAlignment="1" applyProtection="1">
      <alignment horizontal="center" vertical="center" wrapText="1"/>
      <protection hidden="1"/>
    </xf>
    <xf numFmtId="1" fontId="61" fillId="0" borderId="1" xfId="0" applyNumberFormat="1" applyFont="1" applyBorder="1" applyAlignment="1">
      <alignment horizontal="center" vertical="center"/>
    </xf>
    <xf numFmtId="0" fontId="63" fillId="0" borderId="2" xfId="0" quotePrefix="1" applyFont="1" applyBorder="1" applyAlignment="1">
      <alignment horizontal="center" vertical="center"/>
    </xf>
    <xf numFmtId="0" fontId="63" fillId="0" borderId="1" xfId="0" applyFont="1" applyBorder="1" applyAlignment="1">
      <alignment horizontal="center" vertical="center"/>
    </xf>
    <xf numFmtId="0" fontId="64" fillId="0" borderId="2" xfId="0" quotePrefix="1" applyFont="1" applyBorder="1" applyAlignment="1">
      <alignment horizontal="center" vertical="center"/>
    </xf>
    <xf numFmtId="0" fontId="64" fillId="0" borderId="1" xfId="0" applyFont="1" applyBorder="1" applyAlignment="1">
      <alignment horizontal="center" vertical="center"/>
    </xf>
    <xf numFmtId="0" fontId="65" fillId="0" borderId="0" xfId="0" applyFont="1" applyAlignment="1">
      <alignment horizontal="center" vertical="center"/>
    </xf>
    <xf numFmtId="0" fontId="66" fillId="0" borderId="0" xfId="0" applyFont="1" applyAlignment="1">
      <alignment horizontal="center" vertical="center"/>
    </xf>
    <xf numFmtId="14" fontId="66" fillId="0" borderId="0" xfId="0" applyNumberFormat="1" applyFont="1" applyAlignment="1">
      <alignment horizontal="center" vertical="center"/>
    </xf>
    <xf numFmtId="14" fontId="66" fillId="7" borderId="0" xfId="0" applyNumberFormat="1" applyFont="1" applyFill="1" applyAlignment="1">
      <alignment horizontal="center" vertical="center"/>
    </xf>
    <xf numFmtId="0" fontId="66" fillId="7" borderId="0" xfId="0" applyFont="1" applyFill="1" applyAlignment="1">
      <alignment horizontal="center" vertical="center"/>
    </xf>
    <xf numFmtId="43" fontId="66" fillId="0" borderId="0" xfId="1" applyFont="1" applyBorder="1" applyAlignment="1">
      <alignment horizontal="right" vertical="center"/>
    </xf>
    <xf numFmtId="43" fontId="66" fillId="3" borderId="0" xfId="1" applyFont="1" applyFill="1" applyBorder="1" applyAlignment="1">
      <alignment horizontal="center" vertical="center"/>
    </xf>
    <xf numFmtId="9" fontId="66" fillId="0" borderId="0" xfId="0" applyNumberFormat="1" applyFont="1" applyAlignment="1">
      <alignment horizontal="center" vertical="center"/>
    </xf>
    <xf numFmtId="0" fontId="67" fillId="5" borderId="0" xfId="0" applyFont="1" applyFill="1" applyAlignment="1">
      <alignment horizontal="center" vertical="center"/>
    </xf>
    <xf numFmtId="14" fontId="67" fillId="5" borderId="0" xfId="0" applyNumberFormat="1" applyFont="1" applyFill="1" applyAlignment="1">
      <alignment horizontal="center" vertical="center"/>
    </xf>
    <xf numFmtId="0" fontId="68" fillId="0" borderId="2" xfId="0" quotePrefix="1" applyFont="1" applyBorder="1" applyAlignment="1">
      <alignment horizontal="center" vertical="center"/>
    </xf>
    <xf numFmtId="0" fontId="68" fillId="0" borderId="1" xfId="0" applyFont="1" applyBorder="1" applyAlignment="1">
      <alignment horizontal="center" vertical="center"/>
    </xf>
    <xf numFmtId="0" fontId="10" fillId="0" borderId="16" xfId="0" applyFont="1" applyBorder="1" applyAlignment="1">
      <alignment horizontal="center" vertical="center"/>
    </xf>
    <xf numFmtId="0" fontId="47" fillId="0" borderId="16" xfId="0" applyFont="1" applyBorder="1" applyAlignment="1">
      <alignment horizontal="center" vertical="center"/>
    </xf>
    <xf numFmtId="0" fontId="69" fillId="0" borderId="0" xfId="0" applyFont="1" applyAlignment="1">
      <alignment horizontal="center" vertical="center"/>
    </xf>
    <xf numFmtId="0" fontId="70" fillId="0" borderId="0" xfId="0" applyFont="1" applyAlignment="1">
      <alignment horizontal="center" vertical="center"/>
    </xf>
    <xf numFmtId="14" fontId="70" fillId="0" borderId="0" xfId="0" applyNumberFormat="1" applyFont="1" applyAlignment="1">
      <alignment horizontal="center" vertical="center"/>
    </xf>
    <xf numFmtId="14" fontId="70" fillId="7" borderId="0" xfId="0" applyNumberFormat="1" applyFont="1" applyFill="1" applyAlignment="1">
      <alignment horizontal="center" vertical="center"/>
    </xf>
    <xf numFmtId="0" fontId="70" fillId="7" borderId="0" xfId="0" applyFont="1" applyFill="1" applyAlignment="1">
      <alignment horizontal="center" vertical="center"/>
    </xf>
    <xf numFmtId="43" fontId="70" fillId="0" borderId="0" xfId="1" applyFont="1" applyFill="1" applyBorder="1" applyAlignment="1">
      <alignment horizontal="right" vertical="center"/>
    </xf>
    <xf numFmtId="43" fontId="70" fillId="3" borderId="0" xfId="1" applyFont="1" applyFill="1" applyBorder="1" applyAlignment="1">
      <alignment horizontal="center" vertical="center"/>
    </xf>
    <xf numFmtId="9" fontId="70" fillId="0" borderId="0" xfId="0" applyNumberFormat="1" applyFont="1" applyAlignment="1">
      <alignment horizontal="center" vertical="center"/>
    </xf>
    <xf numFmtId="0" fontId="71" fillId="5" borderId="0" xfId="0" applyFont="1" applyFill="1" applyAlignment="1">
      <alignment horizontal="center" vertical="center"/>
    </xf>
    <xf numFmtId="14" fontId="71" fillId="5" borderId="0" xfId="0" applyNumberFormat="1" applyFont="1" applyFill="1" applyAlignment="1">
      <alignment horizontal="center" vertical="center"/>
    </xf>
    <xf numFmtId="0" fontId="0" fillId="6" borderId="0" xfId="0" applyFill="1" applyAlignment="1">
      <alignment horizontal="left"/>
    </xf>
    <xf numFmtId="0" fontId="5" fillId="12" borderId="0" xfId="0" applyFont="1" applyFill="1" applyAlignment="1">
      <alignment horizontal="center" vertical="center"/>
    </xf>
    <xf numFmtId="0" fontId="26" fillId="9" borderId="15" xfId="0" applyFont="1" applyFill="1" applyBorder="1" applyAlignment="1">
      <alignment horizontal="center" vertical="center"/>
    </xf>
    <xf numFmtId="0" fontId="4" fillId="6" borderId="0" xfId="0" applyFont="1" applyFill="1" applyAlignment="1">
      <alignment horizontal="center" vertical="center"/>
    </xf>
    <xf numFmtId="0" fontId="7" fillId="6" borderId="0" xfId="0" applyFont="1" applyFill="1" applyAlignment="1">
      <alignment horizontal="center"/>
    </xf>
    <xf numFmtId="0" fontId="27" fillId="0" borderId="1" xfId="0" quotePrefix="1" applyNumberFormat="1" applyFont="1" applyBorder="1" applyAlignment="1">
      <alignment horizontal="center" vertical="center"/>
    </xf>
  </cellXfs>
  <cellStyles count="11">
    <cellStyle name="Moeda" xfId="8" xr:uid="{00000000-0005-0000-0000-000000000000}"/>
    <cellStyle name="Moeda 2" xfId="10" xr:uid="{00000000-0005-0000-0000-000001000000}"/>
    <cellStyle name="Normal" xfId="0" builtinId="0"/>
    <cellStyle name="Normal 2 6" xfId="5" xr:uid="{00000000-0005-0000-0000-000003000000}"/>
    <cellStyle name="Porcentagem" xfId="2" builtinId="5"/>
    <cellStyle name="Vírgula" xfId="1" builtinId="3"/>
    <cellStyle name="Vírgula 2" xfId="9" xr:uid="{00000000-0005-0000-0000-000006000000}"/>
    <cellStyle name="常规 2" xfId="7" xr:uid="{00000000-0005-0000-0000-000007000000}"/>
    <cellStyle name="常规 2 2" xfId="4" xr:uid="{00000000-0005-0000-0000-000008000000}"/>
    <cellStyle name="常规 3 2" xfId="6" xr:uid="{00000000-0005-0000-0000-000009000000}"/>
    <cellStyle name="常规 3 2 2" xfId="3" xr:uid="{00000000-0005-0000-0000-00000A000000}"/>
  </cellStyles>
  <dxfs count="716">
    <dxf>
      <font>
        <b val="0"/>
        <i val="0"/>
        <strike val="0"/>
        <condense val="0"/>
        <extend val="0"/>
        <outline val="0"/>
        <shadow val="0"/>
        <u val="none"/>
        <vertAlign val="baseline"/>
        <sz val="8"/>
        <color auto="1"/>
        <name val="Calibri"/>
        <family val="2"/>
        <scheme val="minor"/>
      </font>
    </dxf>
    <dxf>
      <font>
        <b val="0"/>
        <i val="0"/>
        <strike val="0"/>
        <condense val="0"/>
        <extend val="0"/>
        <outline val="0"/>
        <shadow val="0"/>
        <u val="none"/>
        <vertAlign val="baseline"/>
        <sz val="8"/>
        <color auto="1"/>
        <name val="Calibri"/>
        <family val="2"/>
        <scheme val="minor"/>
      </font>
    </dxf>
    <dxf>
      <numFmt numFmtId="35" formatCode="_-* #,##0.00_-;\-* #,##0.00_-;_-* &quot;-&quot;??_-;_-@_-"/>
    </dxf>
    <dxf>
      <numFmt numFmtId="35" formatCode="_-* #,##0.00_-;\-* #,##0.00_-;_-* &quot;-&quot;??_-;_-@_-"/>
    </dxf>
    <dxf>
      <alignment horizontal="center" vertical="bottom" textRotation="0" wrapText="0" indent="0" justifyLastLine="0" shrinkToFit="0" readingOrder="0"/>
    </dxf>
    <dxf>
      <font>
        <strike val="0"/>
        <outline val="0"/>
        <shadow val="0"/>
        <u val="none"/>
        <vertAlign val="baseline"/>
        <sz val="8"/>
        <color auto="1"/>
        <name val="Calibri"/>
        <scheme val="minor"/>
      </font>
    </dxf>
    <dxf>
      <font>
        <strike val="0"/>
        <outline val="0"/>
        <shadow val="0"/>
        <u val="none"/>
        <vertAlign val="baseline"/>
        <sz val="8"/>
        <color auto="1"/>
        <name val="Calibri"/>
        <scheme val="minor"/>
      </font>
    </dxf>
    <dxf>
      <font>
        <b val="0"/>
        <i val="0"/>
        <strike val="0"/>
        <condense val="0"/>
        <extend val="0"/>
        <outline val="0"/>
        <shadow val="0"/>
        <u val="none"/>
        <vertAlign val="baseline"/>
        <sz val="8"/>
        <color auto="1"/>
        <name val="Calibri"/>
        <scheme val="minor"/>
      </font>
      <numFmt numFmtId="35" formatCode="_-* #,##0.00_-;\-* #,##0.00_-;_-* &quot;-&quot;??_-;_-@_-"/>
      <fill>
        <patternFill patternType="solid">
          <fgColor indexed="64"/>
          <bgColor theme="8"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Calibri"/>
        <scheme val="minor"/>
      </font>
      <numFmt numFmtId="13"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scheme val="minor"/>
      </font>
      <numFmt numFmtId="35" formatCode="_-* #,##0.00_-;\-* #,##0.00_-;_-* &quot;-&quot;??_-;_-@_-"/>
      <fill>
        <patternFill patternType="solid">
          <fgColor indexed="64"/>
          <bgColor theme="0" tint="-0.249977111117893"/>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Calibri"/>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scheme val="minor"/>
      </font>
      <numFmt numFmtId="35" formatCode="_-* #,##0.00_-;\-* #,##0.00_-;_-*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scheme val="minor"/>
      </font>
      <numFmt numFmtId="0" formatCode="General"/>
      <fill>
        <patternFill patternType="solid">
          <fgColor indexed="64"/>
          <bgColor theme="7" tint="0.79998168889431442"/>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scheme val="minor"/>
      </font>
      <fill>
        <patternFill patternType="solid">
          <fgColor indexed="64"/>
          <bgColor theme="7" tint="0.79998168889431442"/>
        </patternFill>
      </fil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8"/>
        <color auto="1"/>
        <name val="Calibri"/>
        <scheme val="minor"/>
      </font>
      <numFmt numFmtId="0" formatCode="General"/>
      <fill>
        <patternFill patternType="solid">
          <fgColor indexed="64"/>
          <bgColor theme="7" tint="0.79998168889431442"/>
        </patternFill>
      </fill>
      <alignment horizontal="center" vertical="center" textRotation="0" wrapText="0" indent="0" justifyLastLine="0" shrinkToFit="0" readingOrder="0"/>
      <border diagonalUp="0" diagonalDown="0">
        <left/>
        <right/>
        <top style="thin">
          <color indexed="64"/>
        </top>
        <bottom style="thin">
          <color indexed="64"/>
        </bottom>
      </border>
    </dxf>
    <dxf>
      <font>
        <b val="0"/>
        <i val="0"/>
        <strike val="0"/>
        <condense val="0"/>
        <extend val="0"/>
        <outline val="0"/>
        <shadow val="0"/>
        <u val="none"/>
        <vertAlign val="baseline"/>
        <sz val="8"/>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8"/>
        <color auto="1"/>
        <name val="Calibri"/>
        <scheme val="minor"/>
      </font>
      <numFmt numFmtId="0" formatCode="General"/>
    </dxf>
    <dxf>
      <font>
        <strike val="0"/>
        <outline val="0"/>
        <shadow val="0"/>
        <u val="none"/>
        <vertAlign val="baseline"/>
        <sz val="8"/>
        <color auto="1"/>
        <name val="Calibri"/>
        <scheme val="minor"/>
      </font>
      <numFmt numFmtId="0" formatCode="General"/>
    </dxf>
    <dxf>
      <font>
        <b/>
        <i val="0"/>
        <strike val="0"/>
        <condense val="0"/>
        <extend val="0"/>
        <outline val="0"/>
        <shadow val="0"/>
        <u val="none"/>
        <vertAlign val="baseline"/>
        <sz val="8"/>
        <color auto="1"/>
        <name val="Calibri Light"/>
        <family val="2"/>
        <scheme val="major"/>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9"/>
        <color theme="1"/>
        <name val="Calibri"/>
        <scheme val="minor"/>
      </font>
      <alignment horizontal="center" vertical="bottom" textRotation="0" wrapText="0" indent="0" justifyLastLine="0" shrinkToFit="0" readingOrder="0"/>
    </dxf>
    <dxf>
      <font>
        <strike val="0"/>
        <outline val="0"/>
        <shadow val="0"/>
        <u val="none"/>
        <vertAlign val="baseline"/>
        <sz val="9"/>
        <color theme="1"/>
        <name val="Calibri"/>
        <scheme val="minor"/>
      </font>
      <alignment horizontal="center" vertical="bottom" textRotation="0" wrapText="0" indent="0" justifyLastLine="0" shrinkToFit="0" readingOrder="0"/>
    </dxf>
    <dxf>
      <font>
        <strike val="0"/>
        <outline val="0"/>
        <shadow val="0"/>
        <u val="none"/>
        <vertAlign val="baseline"/>
        <sz val="9"/>
        <color theme="1"/>
        <name val="Calibri"/>
        <scheme val="minor"/>
      </font>
      <alignment horizontal="center" vertical="bottom" textRotation="0" wrapText="0" indent="0" justifyLastLine="0" shrinkToFit="0" readingOrder="0"/>
    </dxf>
    <dxf>
      <font>
        <strike val="0"/>
        <outline val="0"/>
        <shadow val="0"/>
        <u val="none"/>
        <vertAlign val="baseline"/>
        <sz val="9"/>
        <color theme="1"/>
        <name val="Calibri"/>
        <scheme val="minor"/>
      </font>
      <alignment horizontal="center" vertical="bottom" textRotation="0" wrapText="0" indent="0" justifyLastLine="0" shrinkToFit="0" readingOrder="0"/>
    </dxf>
    <dxf>
      <border diagonalUp="0" diagonalDown="0">
        <left style="thin">
          <color indexed="64"/>
        </left>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border>
    </dxf>
    <dxf>
      <font>
        <sz val="8"/>
        <color auto="1"/>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Calibri"/>
        <scheme val="minor"/>
      </font>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9"/>
        <color theme="0"/>
        <name val="Calibri"/>
        <scheme val="minor"/>
      </font>
      <fill>
        <patternFill patternType="solid">
          <fgColor indexed="64"/>
          <bgColor rgb="FFC0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8"/>
        <color theme="1"/>
        <name val="Calibri"/>
        <scheme val="minor"/>
      </font>
      <alignment horizontal="left" vertical="center" textRotation="0" wrapText="0" indent="1"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8"/>
        <color auto="1"/>
        <name val="Calibri Light"/>
        <scheme val="maj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Calibri Light"/>
        <scheme val="maj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Calibri Light"/>
        <scheme val="maj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border>
    </dxf>
    <dxf>
      <font>
        <b/>
        <i val="0"/>
        <strike val="0"/>
        <condense val="0"/>
        <extend val="0"/>
        <outline val="0"/>
        <shadow val="0"/>
        <u val="none"/>
        <vertAlign val="baseline"/>
        <sz val="8"/>
        <color auto="1"/>
        <name val="微软雅黑"/>
        <scheme val="none"/>
      </font>
      <fill>
        <patternFill patternType="solid">
          <fgColor indexed="64"/>
          <bgColor theme="6"/>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font>
      <numFmt numFmtId="0" formatCode="General"/>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alignment horizontal="center" textRotation="0" wrapText="0" indent="0" justifyLastLine="0" shrinkToFit="0" readingOrder="0"/>
    </dxf>
    <dxf>
      <font>
        <b val="0"/>
      </font>
    </dxf>
    <dxf>
      <font>
        <b val="0"/>
        <i val="0"/>
        <strike val="0"/>
        <condense val="0"/>
        <extend val="0"/>
        <outline val="0"/>
        <shadow val="0"/>
        <u val="none"/>
        <vertAlign val="baseline"/>
        <sz val="8"/>
        <color auto="1"/>
        <name val="Calibri Light"/>
        <scheme val="major"/>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numFmt numFmtId="0" formatCode="General"/>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border outline="0">
        <top style="thin">
          <color indexed="64"/>
        </top>
      </border>
    </dxf>
    <dxf>
      <font>
        <b val="0"/>
      </font>
    </dxf>
    <dxf>
      <border outline="0">
        <bottom style="thin">
          <color indexed="64"/>
        </bottom>
      </border>
    </dxf>
    <dxf>
      <font>
        <b val="0"/>
        <i val="0"/>
        <strike val="0"/>
        <condense val="0"/>
        <extend val="0"/>
        <outline val="0"/>
        <shadow val="0"/>
        <u val="none"/>
        <vertAlign val="baseline"/>
        <sz val="8"/>
        <color auto="1"/>
        <name val="微软雅黑"/>
        <scheme val="none"/>
      </font>
      <numFmt numFmtId="30" formatCode="@"/>
      <fill>
        <patternFill patternType="solid">
          <fgColor indexed="64"/>
          <bgColor indexed="46"/>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z val="8"/>
        <color auto="1"/>
      </font>
      <numFmt numFmtId="35" formatCode="_-* #,##0.00_-;\-* #,##0.00_-;_-* &quot;-&quot;??_-;_-@_-"/>
      <fill>
        <patternFill patternType="solid">
          <fgColor indexed="64"/>
          <bgColor theme="0" tint="-0.14999847407452621"/>
        </patternFill>
      </fill>
      <alignment horizontal="center" vertical="center" textRotation="0" wrapText="0" indent="0" justifyLastLine="0" shrinkToFit="0" readingOrder="0"/>
      <border diagonalUp="0" diagonalDown="0">
        <left/>
        <right/>
        <top style="thin">
          <color theme="1"/>
        </top>
        <bottom/>
        <vertical/>
        <horizontal/>
      </border>
    </dxf>
    <dxf>
      <font>
        <sz val="8"/>
        <color auto="1"/>
      </font>
      <numFmt numFmtId="13" formatCode="0%"/>
      <alignment horizontal="center" vertical="center" textRotation="0" wrapText="0" indent="0" justifyLastLine="0" shrinkToFit="0" readingOrder="0"/>
      <border diagonalUp="0" diagonalDown="0">
        <left/>
        <right/>
        <top style="thin">
          <color theme="1"/>
        </top>
        <bottom/>
        <vertical/>
        <horizontal/>
      </border>
    </dxf>
    <dxf>
      <font>
        <sz val="8"/>
        <color auto="1"/>
      </font>
      <numFmt numFmtId="35" formatCode="_-* #,##0.00_-;\-* #,##0.00_-;_-* &quot;-&quot;??_-;_-@_-"/>
      <fill>
        <patternFill patternType="solid">
          <fgColor indexed="64"/>
          <bgColor theme="0" tint="-0.14999847407452621"/>
        </patternFill>
      </fill>
      <alignment horizontal="center" vertical="center" textRotation="0" wrapText="0" indent="0" justifyLastLine="0" shrinkToFit="0" readingOrder="0"/>
      <border diagonalUp="0" diagonalDown="0" outline="0">
        <left/>
        <right/>
        <top style="thin">
          <color theme="1"/>
        </top>
        <bottom/>
      </border>
    </dxf>
    <dxf>
      <font>
        <sz val="8"/>
        <color auto="1"/>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right/>
        <top style="thin">
          <color theme="1"/>
        </top>
        <bottom/>
      </border>
    </dxf>
    <dxf>
      <font>
        <sz val="8"/>
        <color auto="1"/>
      </font>
      <numFmt numFmtId="35" formatCode="_-* #,##0.00_-;\-* #,##0.00_-;_-* &quot;-&quot;??_-;_-@_-"/>
      <fill>
        <patternFill patternType="none">
          <fgColor indexed="64"/>
          <bgColor auto="1"/>
        </patternFill>
      </fill>
      <alignment horizontal="right" vertical="center" textRotation="0" wrapText="0" indent="0" justifyLastLine="0" shrinkToFit="0" readingOrder="0"/>
      <border diagonalUp="0" diagonalDown="0" outline="0">
        <left/>
        <right/>
        <top style="thin">
          <color theme="1"/>
        </top>
        <bottom/>
      </border>
    </dxf>
    <dxf>
      <font>
        <sz val="8"/>
        <color auto="1"/>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right/>
        <top style="thin">
          <color theme="1"/>
        </top>
        <bottom/>
      </border>
    </dxf>
    <dxf>
      <font>
        <sz val="8"/>
        <color auto="1"/>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right/>
        <top style="thin">
          <color theme="1"/>
        </top>
        <bottom/>
      </border>
    </dxf>
    <dxf>
      <font>
        <b val="0"/>
        <i val="0"/>
        <strike val="0"/>
        <condense val="0"/>
        <extend val="0"/>
        <outline val="0"/>
        <shadow val="0"/>
        <u val="none"/>
        <vertAlign val="baseline"/>
        <sz val="8"/>
        <color auto="1"/>
        <name val="Calibri"/>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right/>
        <top style="thin">
          <color theme="1"/>
        </top>
        <bottom/>
      </border>
    </dxf>
    <dxf>
      <font>
        <sz val="8"/>
        <color auto="1"/>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right/>
        <top style="thin">
          <color theme="1"/>
        </top>
        <bottom/>
      </border>
    </dxf>
    <dxf>
      <font>
        <b val="0"/>
        <i val="0"/>
        <strike val="0"/>
        <condense val="0"/>
        <extend val="0"/>
        <outline val="0"/>
        <shadow val="0"/>
        <u val="none"/>
        <vertAlign val="baseline"/>
        <sz val="8"/>
        <color auto="1"/>
        <name val="Calibri"/>
        <family val="2"/>
        <scheme val="minor"/>
      </font>
      <numFmt numFmtId="0" formatCode="General"/>
      <alignment horizontal="center" vertical="center" textRotation="0" wrapText="0" indent="0" justifyLastLine="0" shrinkToFit="0" readingOrder="0"/>
    </dxf>
    <dxf>
      <font>
        <sz val="8"/>
        <color auto="1"/>
      </font>
      <numFmt numFmtId="0" formatCode="General"/>
      <fill>
        <patternFill patternType="none">
          <fgColor indexed="64"/>
          <bgColor auto="1"/>
        </patternFill>
      </fill>
      <alignment horizontal="center" vertical="center" textRotation="0" wrapText="0" indent="0" justifyLastLine="0" shrinkToFit="0" readingOrder="0"/>
    </dxf>
    <dxf>
      <font>
        <sz val="8"/>
        <color auto="1"/>
      </font>
      <numFmt numFmtId="0" formatCode="General"/>
      <fill>
        <patternFill patternType="none">
          <fgColor indexed="64"/>
          <bgColor auto="1"/>
        </patternFill>
      </fill>
      <alignment horizontal="center" vertical="center" textRotation="0" wrapText="0" indent="0" justifyLastLine="0" shrinkToFit="0" readingOrder="0"/>
      <border diagonalUp="0" diagonalDown="0">
        <left/>
        <right/>
        <top style="thin">
          <color theme="1"/>
        </top>
        <bottom/>
      </border>
    </dxf>
    <dxf>
      <font>
        <sz val="8"/>
        <color auto="1"/>
      </font>
      <numFmt numFmtId="0" formatCode="General"/>
      <fill>
        <patternFill patternType="none">
          <fgColor indexed="64"/>
          <bgColor auto="1"/>
        </patternFill>
      </fill>
      <alignment horizontal="left" vertical="center" textRotation="0" wrapText="0" relativeIndent="1" justifyLastLine="0" shrinkToFit="0" readingOrder="0"/>
      <border diagonalUp="0" diagonalDown="0" outline="0">
        <left/>
        <right/>
        <top style="thin">
          <color theme="1"/>
        </top>
        <bottom/>
      </border>
    </dxf>
    <dxf>
      <font>
        <sz val="8"/>
        <color auto="1"/>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right/>
        <top style="thin">
          <color theme="1"/>
        </top>
        <bottom/>
      </border>
    </dxf>
    <dxf>
      <font>
        <sz val="8"/>
        <color auto="1"/>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right/>
        <top style="thin">
          <color theme="1"/>
        </top>
        <bottom/>
      </border>
    </dxf>
    <dxf>
      <border outline="0">
        <top style="thin">
          <color theme="1"/>
        </top>
      </border>
    </dxf>
    <dxf>
      <border outline="0">
        <left style="thin">
          <color indexed="64"/>
        </left>
        <right style="thin">
          <color indexed="64"/>
        </right>
        <top style="thin">
          <color indexed="64"/>
        </top>
        <bottom style="thin">
          <color indexed="64"/>
        </bottom>
      </border>
    </dxf>
    <dxf>
      <font>
        <strike val="0"/>
        <outline val="0"/>
        <shadow val="0"/>
        <u val="none"/>
        <vertAlign val="baseline"/>
        <sz val="8"/>
        <color auto="1"/>
        <name val="Calibri"/>
        <scheme val="minor"/>
      </font>
    </dxf>
    <dxf>
      <font>
        <b/>
        <i val="0"/>
        <strike val="0"/>
        <condense val="0"/>
        <extend val="0"/>
        <outline val="0"/>
        <shadow val="0"/>
        <u val="none"/>
        <vertAlign val="baseline"/>
        <sz val="9"/>
        <color rgb="FFFFFFFF"/>
        <name val="Calibri"/>
        <scheme val="minor"/>
      </font>
      <fill>
        <patternFill patternType="solid">
          <fgColor indexed="64"/>
          <bgColor rgb="FF80808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8"/>
        <color auto="1"/>
        <name val="Calibri"/>
        <scheme val="none"/>
      </font>
    </dxf>
    <dxf>
      <font>
        <strike val="0"/>
        <outline val="0"/>
        <shadow val="0"/>
        <u val="none"/>
        <vertAlign val="baseline"/>
        <sz val="8"/>
        <color auto="1"/>
        <name val="Calibri"/>
        <scheme val="none"/>
      </font>
    </dxf>
    <dxf>
      <font>
        <b val="0"/>
        <i val="0"/>
        <strike val="0"/>
        <condense val="0"/>
        <extend val="0"/>
        <outline val="0"/>
        <shadow val="0"/>
        <u val="none"/>
        <vertAlign val="baseline"/>
        <sz val="8"/>
        <color auto="1"/>
        <name val="Calibri"/>
        <scheme val="minor"/>
      </font>
      <numFmt numFmtId="35" formatCode="_-* #,##0.00_-;\-* #,##0.00_-;_-* &quot;-&quot;??_-;_-@_-"/>
      <fill>
        <patternFill patternType="solid">
          <fgColor indexed="64"/>
          <bgColor rgb="FFDDD9C4"/>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minor"/>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minor"/>
      </font>
      <fill>
        <patternFill patternType="solid">
          <fgColor indexed="64"/>
          <bgColor rgb="FFDDD9C4"/>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8"/>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minor"/>
      </font>
      <fill>
        <patternFill patternType="solid">
          <fgColor indexed="64"/>
          <bgColor theme="7"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minor"/>
      </font>
      <fill>
        <patternFill patternType="solid">
          <fgColor indexed="64"/>
          <bgColor theme="7"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minor"/>
      </font>
      <numFmt numFmtId="19" formatCode="dd/mm/yyyy"/>
      <fill>
        <patternFill patternType="solid">
          <fgColor indexed="64"/>
          <bgColor theme="7"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Calibri"/>
        <family val="2"/>
        <scheme val="minor"/>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minor"/>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minor"/>
      </font>
      <alignment horizontal="center" vertical="center" textRotation="0" wrapText="0" indent="0" justifyLastLine="0" shrinkToFit="0" readingOrder="0"/>
    </dxf>
    <dxf>
      <font>
        <strike val="0"/>
        <outline val="0"/>
        <shadow val="0"/>
        <u val="none"/>
        <vertAlign val="baseline"/>
        <sz val="8"/>
        <color auto="1"/>
        <name val="Calibri"/>
        <scheme val="none"/>
      </font>
    </dxf>
    <dxf>
      <font>
        <strike val="0"/>
        <outline val="0"/>
        <shadow val="0"/>
        <u val="none"/>
        <vertAlign val="baseline"/>
        <sz val="8"/>
        <color auto="1"/>
        <name val="Calibri"/>
        <scheme val="none"/>
      </font>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8"/>
        <color auto="1"/>
        <name val="Calibri"/>
        <scheme val="none"/>
      </font>
    </dxf>
    <dxf>
      <font>
        <b/>
        <i val="0"/>
        <strike val="0"/>
        <condense val="0"/>
        <extend val="0"/>
        <outline val="0"/>
        <shadow val="0"/>
        <u val="none"/>
        <vertAlign val="baseline"/>
        <sz val="9"/>
        <color rgb="FFFFFFFF"/>
        <name val="Calibri"/>
        <scheme val="minor"/>
      </font>
      <fill>
        <patternFill patternType="solid">
          <fgColor indexed="64"/>
          <bgColor rgb="FF80808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8"/>
        <color auto="1"/>
        <name val="Calibri"/>
        <scheme val="none"/>
      </font>
    </dxf>
    <dxf>
      <font>
        <strike val="0"/>
        <outline val="0"/>
        <shadow val="0"/>
        <u val="none"/>
        <vertAlign val="baseline"/>
        <sz val="8"/>
        <color auto="1"/>
        <name val="Calibri"/>
        <scheme val="none"/>
      </font>
    </dxf>
    <dxf>
      <font>
        <b val="0"/>
        <i val="0"/>
        <strike val="0"/>
        <condense val="0"/>
        <extend val="0"/>
        <outline val="0"/>
        <shadow val="0"/>
        <u val="none"/>
        <vertAlign val="baseline"/>
        <sz val="8"/>
        <color auto="1"/>
        <name val="Calibri"/>
        <scheme val="minor"/>
      </font>
      <numFmt numFmtId="35" formatCode="_-* #,##0.00_-;\-* #,##0.00_-;_-* &quot;-&quot;??_-;_-@_-"/>
      <fill>
        <patternFill patternType="solid">
          <fgColor indexed="64"/>
          <bgColor rgb="FFDDD9C4"/>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minor"/>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minor"/>
      </font>
      <fill>
        <patternFill patternType="solid">
          <fgColor indexed="64"/>
          <bgColor rgb="FFDDD9C4"/>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8"/>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minor"/>
      </font>
      <fill>
        <patternFill patternType="solid">
          <fgColor indexed="64"/>
          <bgColor theme="7"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minor"/>
      </font>
      <fill>
        <patternFill patternType="solid">
          <fgColor indexed="64"/>
          <bgColor theme="7"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minor"/>
      </font>
      <numFmt numFmtId="19" formatCode="dd/mm/yyyy"/>
      <fill>
        <patternFill patternType="solid">
          <fgColor indexed="64"/>
          <bgColor theme="7"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Calibri"/>
        <family val="2"/>
        <scheme val="minor"/>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minor"/>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minor"/>
      </font>
      <alignment horizontal="center" vertical="center" textRotation="0" wrapText="0" indent="0" justifyLastLine="0" shrinkToFit="0" readingOrder="0"/>
    </dxf>
    <dxf>
      <font>
        <strike val="0"/>
        <outline val="0"/>
        <shadow val="0"/>
        <u val="none"/>
        <vertAlign val="baseline"/>
        <sz val="8"/>
        <color auto="1"/>
        <name val="Calibri"/>
        <scheme val="none"/>
      </font>
    </dxf>
    <dxf>
      <font>
        <strike val="0"/>
        <outline val="0"/>
        <shadow val="0"/>
        <u val="none"/>
        <vertAlign val="baseline"/>
        <sz val="8"/>
        <color auto="1"/>
        <name val="Calibri"/>
        <scheme val="none"/>
      </font>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8"/>
        <color auto="1"/>
        <name val="Calibri"/>
        <scheme val="none"/>
      </font>
    </dxf>
    <dxf>
      <font>
        <b/>
        <i val="0"/>
        <strike val="0"/>
        <condense val="0"/>
        <extend val="0"/>
        <outline val="0"/>
        <shadow val="0"/>
        <u val="none"/>
        <vertAlign val="baseline"/>
        <sz val="9"/>
        <color rgb="FFFFFFFF"/>
        <name val="Calibri"/>
        <scheme val="minor"/>
      </font>
      <fill>
        <patternFill patternType="solid">
          <fgColor indexed="64"/>
          <bgColor rgb="FF80808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ill>
        <patternFill patternType="solid">
          <bgColor rgb="FFFFFF00"/>
        </patternFill>
      </fill>
    </dxf>
    <dxf>
      <fill>
        <patternFill patternType="solid">
          <bgColor rgb="FFFFFF00"/>
        </patternFill>
      </fill>
    </dxf>
    <dxf>
      <numFmt numFmtId="35" formatCode="_-* #,##0.00_-;\-* #,##0.00_-;_-* &quot;-&quot;??_-;_-@_-"/>
    </dxf>
    <dxf>
      <numFmt numFmtId="35" formatCode="_-* #,##0.00_-;\-* #,##0.00_-;_-* &quot;-&quot;??_-;_-@_-"/>
    </dxf>
    <dxf>
      <font>
        <b/>
        <i val="0"/>
      </font>
      <fill>
        <patternFill>
          <bgColor theme="1"/>
        </patternFill>
      </fill>
    </dxf>
    <dxf>
      <border diagonalUp="0" diagonalDown="0">
        <left/>
        <right/>
        <top style="thin">
          <color auto="1"/>
        </top>
        <bottom style="thin">
          <color auto="1"/>
        </bottom>
        <vertical style="thin">
          <color auto="1"/>
        </vertical>
        <horizontal style="thin">
          <color auto="1"/>
        </horizontal>
      </border>
    </dxf>
  </dxfs>
  <tableStyles count="1" defaultTableStyle="TableStyleMedium2" defaultPivotStyle="PivotStyleLight16">
    <tableStyle name="Estilo de Tabela 1" pivot="0" count="2" xr9:uid="{00000000-0011-0000-FFFF-FFFF00000000}">
      <tableStyleElement type="wholeTable" dxfId="715"/>
      <tableStyleElement type="headerRow" dxfId="7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0</xdr:col>
      <xdr:colOff>9525</xdr:colOff>
      <xdr:row>2</xdr:row>
      <xdr:rowOff>9525</xdr:rowOff>
    </xdr:to>
    <xdr:sp macro="" textlink="">
      <xdr:nvSpPr>
        <xdr:cNvPr id="2" name="DtsShapeName" descr="EUR6850G@6955@B0CE1@B1GE3C9C9C7C03118,18,34!07;46;373118,00,37!00;18;35EFV00168!!!!BIHO@]vJG05850!!@5899E81107DB9374E9`bHownhbdRtl/ymr!!!!!!!!!!!!!!!!!!!!!!!!!!!!!!!!!!!!!!!!!!!!!!!!3118,01,33!18;40;203118,00,09!18;22;20[11050496!!!BIHO@]{11050496!@5899C911308603BCEChowmhbdHogn/ymr!!!!!!!!!!!!!!!!!!!!!!!!!!!!!!!!!!!!!!!!!!!!!!!!!3118,01,38!01;53;473118,01,38!00;13;55EFV00168!!!!BIHO@]vjg05850!!@5899E81107DB9374E9hownhbdRtl/ymr!!!!!!!!!!!!!!!!!!!!!!!!!!!!!!!!!!!!!!!!!!!!!!!!!!!!!!!!!!!!!!!!!!!!!!!!!!!!!!!!!!!!!!!!!!!!!!!!!!!!!!!!!!!!!!!!!!!!!!!!!!!!!!!!!!!!!!!!!!!!!!!!!!!!!!!!!!!!!!!!!!!!!!!!!!!!!!!!!!!!!!!!!!!!!!!!!!!!!!!!!!!!!!!!!!!!!!!!!!!!!!!!!!!!!!!!!!!!!!!!!!!!!!!!!!!!!!!!!!!!!!!!!!!!!!!!!!!!!!!!!!!!!!!!!!!!!!!!!!!!!!!!!!!!!!!!!!!!!!!!!!!!!!!!!!!!!!!!!!!!!!!!!!!!!!!!!!!!!!!!!!!!!!!!!!!!!!!!!!!!!!!!!!!!!!!!!!!!!!!!!!!!!!!!!!!!!!!!!!!!!!!!!!!!!!!!!!!!!!!!!!!!!!!!!!!!!!!!!!!!!!!!!!!!!!!!!!!!!!!!!!!!!!!!!!!!!!!!!!!!!!!!!!!!!!!!!!!!!!!!!!!!!!!!!!!!!!!!!!!!!!!!!!!!!!!!!!!!!!!!!!!!!!!!!!!!!!!!!!!!!!!!!!!!!!!!!!!!!!!!!!!!!!!!!!!!!!!!!!!!!!!!!!!!!!!!!!!!!!!!!!!!!!!!!!!!!!!!!!!!!!!!!!!!!!!!!!!!!!!!!!!!!!!!!!!!!!!!!!!!!!!!!!!!!!!!!!!!!!!!!!!!!!!!!!!!!!!!!!!!!!!!!!!!!!!!!!!!!!!!!!!!!!!!!!!!!!!!!!!!!!!!!!!!!!!!!!!!!!!!!!!!!!!!!!!!!!!!!!!!!!!!!!!!!!!!!!!!!!!!!!!!!!!!!!!!!!!!!!!!!!!!!!!!!!!!!!!!!!!!!!!!!!!!!!!!!!!!!!!!!!!!!!!!!!!!!!!!!!!!!!!!!!!!!!!!!!!!!!!!!!!!!!!!!!!!!!!!!!!!!!!!!!!!!!!!!!!!!!!!!!!!!!!!!!!!!!!!!!!!!!!!!!!!!!!!!!!!!!!!!!!!!!!!!!!!!!!!!!!!!!!!!!!!!!!!!!!!!!!!!!!!!!!!!!!!!!!!!!!!!!!!!!!!!!!!!!!!!!!!!!!!!!!!!!!!!!!!!!!!!!!!!!!!!!!!!!!!!!!!!!!!!!!!!!!!!!!!!!!!!!!!!!!!!!!!!!!!!!!!!!!!!!!!!!!!!!!!!!!!!!!!!!!!!!!!!!!!!!!!!!!!!!!!!!!!!!!!!!!!!!!!!!!!!!!!!!!!!!!!!!!!!!!!!!!!!!!!!!!!!!!!!!!!!!!!!!!!!!!!!!!!!!!!!!!!!!!!!!!!!!!!!!!!!!!!!!!!!!!!!!!!!!!!!!!!!!!!!!!!!!!!!!!!!!!!!!!!!!!!!!!!!!!!!!!!!!!!!!!!!!!!!!!!!!!!!!!!!!!!!!!!!!!!!!!!!!!!!!!!!!!!!!!!!!!!!!!!!!!!!!!!!!!!!!!!!!!!!!!!!!!!!!!!!!!!!!!!!!!!!!!!!!!!!!!!!!!!!!!!!!!!!!!!!!!!!!!!!!!!!!!!!!!!!!!!!!!!!!!!!!!!!!!!!!!!!!!!!!!!!!!!!!!!!!!!!!!!!!!!!!!!!!!!!!!!!!!!!!!!!!!!!!!!!!!!!!!!!!!!!!!!!!!!!!!!!!!!!!!!!!!!!!!!!!!!!!!!!!!!!!!!!!!!!!!!!!!!!!!!!!!!!!!!!!!!!!!!!!!!!!!!!!!!!!!!!!!!!!!!!!!!!!!!!!!!!!!!!!!!!!!!!!!!!!!!!!!!!!!!!!!!!!!!!!!!!!!!!!!!!!!!!!!!!!!!!!!!!!!!!!!!!!!!!!!!!!!!!!!!!!!!!!!!!!!!!!!!!!!!!!!!!!!!!!!!!!!!!!!!!!!!!!!!!!!!!!!!!!!!!!!!!!!!!!!!!!!!!!!!!!!!!!!!!!!!!!!!!!!!!!!!!!!!!!!!!!!!!!!!!!!!!!!!!!!!!!!!!!!!!!!!!!!!!!!!!!!!!!!!!!!!!!!!!!!!!!!!!!!!!!!!!!!!!!!!!!!!!!!!!!!!!!!!!!!!!!!!!!!!!!!!!!!!!!!!!!!!!!!!!!!!!!!!!!!!!!!!!!!!!!!!!!!!!!!!!!!!!!!!!!!!!!!!!!!!!!!!!!!!!!!!!!!!!!!!!!!!!!!!!!!!!!!!!!!!!!!!!!!!!!!!!!!!!!!!!!!!!!!!!!!!!!!!!!!!!!!!!!!!!!!!!!!!!!!!!!!!!!!!!!!!!!!!!!!!!!!!!!!!!!!!!!!!!!!!!!!!!!!!!!!!!!!!!!!!!!!!!!!!!!!!!!!!!!!!!!!!!!!!!!!!!!!!!!!!!!!!!!!!!!!!!!!!!!!!!!!!!!!!!!!!!!!!!!!!!!!!!!!!!!!!!!!!!!!!!!!!!!!!!!!!!!!!!!!!!!!!!!!!!!!!!!!!!!!!!!!!!!!!!!!!!!!!!!!!!!!!!!!!!!!!!!!!!!!!!!!!!!!!!!!!!!!!!!!!!!!!!!!!!!!!!!!!!!!!!!!!!!!!!!!!!!!!!!!!!!!!!!!!!!!!!!!!!!!!!!!!!!!!!!!!!!!!!!!!!!!!!!!!!!!1!n" hidden="1">
          <a:extLst>
            <a:ext uri="{FF2B5EF4-FFF2-40B4-BE49-F238E27FC236}">
              <a16:creationId xmlns:a16="http://schemas.microsoft.com/office/drawing/2014/main" id="{E8270457-0A43-4CF0-90FE-DBF8121E5A98}"/>
            </a:ext>
          </a:extLst>
        </xdr:cNvPr>
        <xdr:cNvSpPr>
          <a:spLocks noChangeArrowheads="1"/>
        </xdr:cNvSpPr>
      </xdr:nvSpPr>
      <xdr:spPr bwMode="auto">
        <a:xfrm>
          <a:off x="0" y="485775"/>
          <a:ext cx="9525" cy="9525"/>
        </a:xfrm>
        <a:custGeom>
          <a:avLst/>
          <a:gdLst>
            <a:gd name="T0" fmla="*/ 0 w 21600"/>
            <a:gd name="T1" fmla="*/ 0 h 21600"/>
            <a:gd name="T2" fmla="*/ 0 w 21600"/>
            <a:gd name="T3" fmla="*/ 0 h 21600"/>
            <a:gd name="T4" fmla="*/ 0 w 21600"/>
            <a:gd name="T5" fmla="*/ 0 h 21600"/>
            <a:gd name="T6" fmla="*/ 0 w 21600"/>
            <a:gd name="T7" fmla="*/ 0 h 21600"/>
            <a:gd name="T8" fmla="*/ 17694720 60000 65536"/>
            <a:gd name="T9" fmla="*/ 11796480 60000 65536"/>
            <a:gd name="T10" fmla="*/ 5898240 60000 65536"/>
            <a:gd name="T11" fmla="*/ 0 60000 65536"/>
            <a:gd name="T12" fmla="*/ 5038 w 21600"/>
            <a:gd name="T13" fmla="*/ 2275 h 21600"/>
            <a:gd name="T14" fmla="*/ 16557 w 21600"/>
            <a:gd name="T15" fmla="*/ 13676 h 21600"/>
          </a:gdLst>
          <a:ahLst/>
          <a:cxnLst>
            <a:cxn ang="T8">
              <a:pos x="T0" y="T1"/>
            </a:cxn>
            <a:cxn ang="T9">
              <a:pos x="T2" y="T3"/>
            </a:cxn>
            <a:cxn ang="T10">
              <a:pos x="T4" y="T5"/>
            </a:cxn>
            <a:cxn ang="T11">
              <a:pos x="T6" y="T7"/>
            </a:cxn>
          </a:cxnLst>
          <a:rect l="T12" t="T13" r="T14" b="T15"/>
          <a:pathLst>
            <a:path w="21600" h="21600">
              <a:moveTo>
                <a:pt x="10860" y="2187"/>
              </a:moveTo>
              <a:cubicBezTo>
                <a:pt x="10451" y="1746"/>
                <a:pt x="9529" y="1018"/>
                <a:pt x="9015" y="730"/>
              </a:cubicBezTo>
              <a:cubicBezTo>
                <a:pt x="7865" y="152"/>
                <a:pt x="6685" y="0"/>
                <a:pt x="5415" y="0"/>
              </a:cubicBezTo>
              <a:cubicBezTo>
                <a:pt x="4175" y="152"/>
                <a:pt x="2995" y="575"/>
                <a:pt x="1967" y="1305"/>
              </a:cubicBezTo>
              <a:cubicBezTo>
                <a:pt x="1150" y="2187"/>
                <a:pt x="575" y="3222"/>
                <a:pt x="242" y="4220"/>
              </a:cubicBezTo>
              <a:cubicBezTo>
                <a:pt x="0" y="5410"/>
                <a:pt x="242" y="6560"/>
                <a:pt x="575" y="7597"/>
              </a:cubicBezTo>
              <a:lnTo>
                <a:pt x="10860" y="21600"/>
              </a:lnTo>
              <a:lnTo>
                <a:pt x="20995" y="7597"/>
              </a:lnTo>
              <a:cubicBezTo>
                <a:pt x="21480" y="6560"/>
                <a:pt x="21600" y="5410"/>
                <a:pt x="21480" y="4220"/>
              </a:cubicBezTo>
              <a:cubicBezTo>
                <a:pt x="21115" y="3222"/>
                <a:pt x="20420" y="2187"/>
                <a:pt x="19632" y="1305"/>
              </a:cubicBezTo>
              <a:cubicBezTo>
                <a:pt x="18575" y="575"/>
                <a:pt x="17425" y="152"/>
                <a:pt x="16275" y="0"/>
              </a:cubicBezTo>
              <a:cubicBezTo>
                <a:pt x="15005" y="0"/>
                <a:pt x="13735" y="152"/>
                <a:pt x="12705" y="730"/>
              </a:cubicBezTo>
              <a:cubicBezTo>
                <a:pt x="12176" y="1018"/>
                <a:pt x="11254" y="1746"/>
                <a:pt x="10860" y="2187"/>
              </a:cubicBezTo>
              <a:close/>
            </a:path>
          </a:pathLst>
        </a:custGeom>
        <a:solidFill>
          <a:srgbClr val="FFFFFF"/>
        </a:solidFill>
        <a:ln w="9525">
          <a:solidFill>
            <a:srgbClr val="000000"/>
          </a:solidFill>
          <a:miter lim="800000"/>
          <a:headEnd/>
          <a:tailEnd/>
        </a:ln>
      </xdr:spPr>
    </xdr:sp>
    <xdr:clientData/>
  </xdr:twoCellAnchor>
  <xdr:twoCellAnchor>
    <xdr:from>
      <xdr:col>0</xdr:col>
      <xdr:colOff>0</xdr:colOff>
      <xdr:row>3</xdr:row>
      <xdr:rowOff>0</xdr:rowOff>
    </xdr:from>
    <xdr:to>
      <xdr:col>0</xdr:col>
      <xdr:colOff>9525</xdr:colOff>
      <xdr:row>3</xdr:row>
      <xdr:rowOff>9525</xdr:rowOff>
    </xdr:to>
    <xdr:sp macro="" textlink="">
      <xdr:nvSpPr>
        <xdr:cNvPr id="3" name="DtsShapeName" descr="EUR6850G@6955@B0CE1@B1GE3C9C9C7C03118,18,34!07;46;373118,00,37!00;18;35EFV00168!!!!BIHO@]vJG05850!!@5899E81107DB9374E9`bHownhbdRtl/ymr!!!!!!!!!!!!!!!!!!!!!!!!!!!!!!!!!!!!!!!!!!!!!!!!3118,01,33!18;40;203118,00,09!18;22;20[11050496!!!BIHO@]{11050496!@5899C911308603BCEChowmhbdHogn/ymr!!!!!!!!!!!!!!!!!!!!!!!!!!!!!!!!!!!!!!!!!!!!!!!!!3118,01,38!01;53;473118,01,38!00;13;55EFV00168!!!!BIHO@]vjg05850!!@5899E81107DB9374E9hownhbdRtl/ymr!!!!!!!!!!!!!!!!!!!!!!!!!!!!!!!!!!!!!!!!!!!!!!!!!!!!!!!!!!!!!!!!!!!!!!!!!!!!!!!!!!!!!!!!!!!!!!!!!!!!!!!!!!!!!!!!!!!!!!!!!!!!!!!!!!!!!!!!!!!!!!!!!!!!!!!!!!!!!!!!!!!!!!!!!!!!!!!!!!!!!!!!!!!!!!!!!!!!!!!!!!!!!!!!!!!!!!!!!!!!!!!!!!!!!!!!!!!!!!!!!!!!!!!!!!!!!!!!!!!!!!!!!!!!!!!!!!!!!!!!!!!!!!!!!!!!!!!!!!!!!!!!!!!!!!!!!!!!!!!!!!!!!!!!!!!!!!!!!!!!!!!!!!!!!!!!!!!!!!!!!!!!!!!!!!!!!!!!!!!!!!!!!!!!!!!!!!!!!!!!!!!!!!!!!!!!!!!!!!!!!!!!!!!!!!!!!!!!!!!!!!!!!!!!!!!!!!!!!!!!!!!!!!!!!!!!!!!!!!!!!!!!!!!!!!!!!!!!!!!!!!!!!!!!!!!!!!!!!!!!!!!!!!!!!!!!!!!!!!!!!!!!!!!!!!!!!!!!!!!!!!!!!!!!!!!!!!!!!!!!!!!!!!!!!!!!!!!!!!!!!!!!!!!!!!!!!!!!!!!!!!!!!!!!!!!!!!!!!!!!!!!!!!!!!!!!!!!!!!!!!!!!!!!!!!!!!!!!!!!!!!!!!!!!!!!!!!!!!!!!!!!!!!!!!!!!!!!!!!!!!!!!!!!!!!!!!!!!!!!!!!!!!!!!!!!!!!!!!!!!!!!!!!!!!!!!!!!!!!!!!!!!!!!!!!!!!!!!!!!!!!!!!!!!!!!!!!!!!!!!!!!!!!!!!!!!!!!!!!!!!!!!!!!!!!!!!!!!!!!!!!!!!!!!!!!!!!!!!!!!!!!!!!!!!!!!!!!!!!!!!!!!!!!!!!!!!!!!!!!!!!!!!!!!!!!!!!!!!!!!!!!!!!!!!!!!!!!!!!!!!!!!!!!!!!!!!!!!!!!!!!!!!!!!!!!!!!!!!!!!!!!!!!!!!!!!!!!!!!!!!!!!!!!!!!!!!!!!!!!!!!!!!!!!!!!!!!!!!!!!!!!!!!!!!!!!!!!!!!!!!!!!!!!!!!!!!!!!!!!!!!!!!!!!!!!!!!!!!!!!!!!!!!!!!!!!!!!!!!!!!!!!!!!!!!!!!!!!!!!!!!!!!!!!!!!!!!!!!!!!!!!!!!!!!!!!!!!!!!!!!!!!!!!!!!!!!!!!!!!!!!!!!!!!!!!!!!!!!!!!!!!!!!!!!!!!!!!!!!!!!!!!!!!!!!!!!!!!!!!!!!!!!!!!!!!!!!!!!!!!!!!!!!!!!!!!!!!!!!!!!!!!!!!!!!!!!!!!!!!!!!!!!!!!!!!!!!!!!!!!!!!!!!!!!!!!!!!!!!!!!!!!!!!!!!!!!!!!!!!!!!!!!!!!!!!!!!!!!!!!!!!!!!!!!!!!!!!!!!!!!!!!!!!!!!!!!!!!!!!!!!!!!!!!!!!!!!!!!!!!!!!!!!!!!!!!!!!!!!!!!!!!!!!!!!!!!!!!!!!!!!!!!!!!!!!!!!!!!!!!!!!!!!!!!!!!!!!!!!!!!!!!!!!!!!!!!!!!!!!!!!!!!!!!!!!!!!!!!!!!!!!!!!!!!!!!!!!!!!!!!!!!!!!!!!!!!!!!!!!!!!!!!!!!!!!!!!!!!!!!!!!!!!!!!!!!!!!!!!!!!!!!!!!!!!!!!!!!!!!!!!!!!!!!!!!!!!!!!!!!!!!!!!!!!!!!!!!!!!!!!!!!!!!!!!!!!!!!!!!!!!!!!!!!!!!!!!!!!!!!!!!!!!!!!!!!!!!!!!!!!!!!!!!!!!!!!!!!!!!!!!!!!!!!!!!!!!!!!!!!!!!!!!!!!!!!!!!!!!!!!!!!!!!!!!!!!!!!!!!!!!!!!!!!!!!!!!!!!!!!!!!!!!!!!!!!!!!!!!!!!!!!!!!!!!!!!!!!!!!!!!!!!!!!!!!!!!!!!!!!!!!!!!!!!!!!!!!!!!!!!!!!!!!!!!!!!!!!!!!!!!!!!!!!!!!!!!!!!!!!!!!!!!!!!!!!!!!!!!!!!!!!!!!!!!!!!!!!!!!!!!!!!!!!!!!!!!!!!!!!!!!!!!!!!!!!!!!!!!!!!!!!!!!!!!!!!!!!!!!!!!!!!!!!!!!!!!!!!!!!!!!!!!!!!!!!!!!!!!!!!!!!!!!!!!!!!!!!!!!!!!!!!!!!!!!!!!!!!!!!!!!!!!!!!!!!!!!!!!!!!!!!!!!!!!!!!!!!!!!!!!!!!!!!!!!!!!!!!!!!!!!!!!!!!!!!!!!!!!!!!!!!!!!!!!!!!!!!!!!!!!!!!!!!!!!!!!!!!!!!!!!!!!!!!!!!!!!!!!!!!!!!!!!!!!!!!!!!!!!!!!!!!!!!!!!!!!!!!!!!!!!!!!!!!!!!!!!!!!!!!!!!!!!!!!!!!!!!!!!!!!!!!!!!!!!!!!!!!!!!!!!!!!!!!!!!!!!!!!!!!!!!!!!!!!!!!!!!!!!!!!!!!!!!!!!!!!!!!!!!!!!!!!!!!!!!!!!!!!!!!!!!!!!!!!!!!!!!!!!!!!!!!!!!!!!!!!!!!!!!!!!!!!!!!!!!!!!!!!!!!!!1!n" hidden="1">
          <a:extLst>
            <a:ext uri="{FF2B5EF4-FFF2-40B4-BE49-F238E27FC236}">
              <a16:creationId xmlns:a16="http://schemas.microsoft.com/office/drawing/2014/main" id="{D046C508-C4B1-4CD6-A356-1DFBE3EF7D21}"/>
            </a:ext>
          </a:extLst>
        </xdr:cNvPr>
        <xdr:cNvSpPr>
          <a:spLocks noChangeArrowheads="1"/>
        </xdr:cNvSpPr>
      </xdr:nvSpPr>
      <xdr:spPr bwMode="auto">
        <a:xfrm>
          <a:off x="0" y="1021080"/>
          <a:ext cx="9525" cy="9525"/>
        </a:xfrm>
        <a:custGeom>
          <a:avLst/>
          <a:gdLst>
            <a:gd name="T0" fmla="*/ 0 w 21600"/>
            <a:gd name="T1" fmla="*/ 0 h 21600"/>
            <a:gd name="T2" fmla="*/ 0 w 21600"/>
            <a:gd name="T3" fmla="*/ 0 h 21600"/>
            <a:gd name="T4" fmla="*/ 0 w 21600"/>
            <a:gd name="T5" fmla="*/ 0 h 21600"/>
            <a:gd name="T6" fmla="*/ 0 w 21600"/>
            <a:gd name="T7" fmla="*/ 0 h 21600"/>
            <a:gd name="T8" fmla="*/ 17694720 60000 65536"/>
            <a:gd name="T9" fmla="*/ 11796480 60000 65536"/>
            <a:gd name="T10" fmla="*/ 5898240 60000 65536"/>
            <a:gd name="T11" fmla="*/ 0 60000 65536"/>
            <a:gd name="T12" fmla="*/ 5038 w 21600"/>
            <a:gd name="T13" fmla="*/ 2275 h 21600"/>
            <a:gd name="T14" fmla="*/ 16557 w 21600"/>
            <a:gd name="T15" fmla="*/ 13676 h 21600"/>
          </a:gdLst>
          <a:ahLst/>
          <a:cxnLst>
            <a:cxn ang="T8">
              <a:pos x="T0" y="T1"/>
            </a:cxn>
            <a:cxn ang="T9">
              <a:pos x="T2" y="T3"/>
            </a:cxn>
            <a:cxn ang="T10">
              <a:pos x="T4" y="T5"/>
            </a:cxn>
            <a:cxn ang="T11">
              <a:pos x="T6" y="T7"/>
            </a:cxn>
          </a:cxnLst>
          <a:rect l="T12" t="T13" r="T14" b="T15"/>
          <a:pathLst>
            <a:path w="21600" h="21600">
              <a:moveTo>
                <a:pt x="10860" y="2187"/>
              </a:moveTo>
              <a:cubicBezTo>
                <a:pt x="10451" y="1746"/>
                <a:pt x="9529" y="1018"/>
                <a:pt x="9015" y="730"/>
              </a:cubicBezTo>
              <a:cubicBezTo>
                <a:pt x="7865" y="152"/>
                <a:pt x="6685" y="0"/>
                <a:pt x="5415" y="0"/>
              </a:cubicBezTo>
              <a:cubicBezTo>
                <a:pt x="4175" y="152"/>
                <a:pt x="2995" y="575"/>
                <a:pt x="1967" y="1305"/>
              </a:cubicBezTo>
              <a:cubicBezTo>
                <a:pt x="1150" y="2187"/>
                <a:pt x="575" y="3222"/>
                <a:pt x="242" y="4220"/>
              </a:cubicBezTo>
              <a:cubicBezTo>
                <a:pt x="0" y="5410"/>
                <a:pt x="242" y="6560"/>
                <a:pt x="575" y="7597"/>
              </a:cubicBezTo>
              <a:lnTo>
                <a:pt x="10860" y="21600"/>
              </a:lnTo>
              <a:lnTo>
                <a:pt x="20995" y="7597"/>
              </a:lnTo>
              <a:cubicBezTo>
                <a:pt x="21480" y="6560"/>
                <a:pt x="21600" y="5410"/>
                <a:pt x="21480" y="4220"/>
              </a:cubicBezTo>
              <a:cubicBezTo>
                <a:pt x="21115" y="3222"/>
                <a:pt x="20420" y="2187"/>
                <a:pt x="19632" y="1305"/>
              </a:cubicBezTo>
              <a:cubicBezTo>
                <a:pt x="18575" y="575"/>
                <a:pt x="17425" y="152"/>
                <a:pt x="16275" y="0"/>
              </a:cubicBezTo>
              <a:cubicBezTo>
                <a:pt x="15005" y="0"/>
                <a:pt x="13735" y="152"/>
                <a:pt x="12705" y="730"/>
              </a:cubicBezTo>
              <a:cubicBezTo>
                <a:pt x="12176" y="1018"/>
                <a:pt x="11254" y="1746"/>
                <a:pt x="10860" y="2187"/>
              </a:cubicBezTo>
              <a:close/>
            </a:path>
          </a:pathLst>
        </a:custGeom>
        <a:solidFill>
          <a:srgbClr val="FFFFFF"/>
        </a:solidFill>
        <a:ln w="9525">
          <a:solidFill>
            <a:srgbClr val="000000"/>
          </a:solidFill>
          <a:miter lim="800000"/>
          <a:headEnd/>
          <a:tailEnd/>
        </a:ln>
      </xdr:spPr>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uan Silvestre" refreshedDate="45994.46340173611" createdVersion="8" refreshedVersion="8" minRefreshableVersion="3" recordCount="1074" xr:uid="{00000000-000A-0000-FFFF-FFFF03000000}">
  <cacheSource type="worksheet">
    <worksheetSource name="Parcela1"/>
  </cacheSource>
  <cacheFields count="17">
    <cacheField name="SP TIM" numFmtId="0">
      <sharedItems containsBlank="1"/>
    </cacheField>
    <cacheField name="CÓDIGO FAT" numFmtId="0">
      <sharedItems containsString="0" containsBlank="1" containsNumber="1" minValue="7.02" maxValue="7.02"/>
    </cacheField>
    <cacheField name="MUNICÍPIO" numFmtId="0">
      <sharedItems containsBlank="1" containsMixedTypes="1" containsNumber="1" minValue="0" maxValue="7.02" count="74">
        <s v="BR_PE_RECIFE_Tax"/>
        <s v="BR_PB_JOAO PESSOA_Tax"/>
        <s v="BR_CE_FORTALEZA_Tax"/>
        <s v="BR_CE_BREJO SANTO_Tax"/>
        <s v="BR_PE_SANTA CRUZ DO CAPIBARIBE_Tax"/>
        <s v="BR_PE_JABOATAO DOS GUARARAPES_Tax"/>
        <s v="BR_PE_CABO DE SANTO AGOSTINHO_Tax"/>
        <s v="BR_BA_VALENCA_Tax"/>
        <s v="BR_BA_VITORIA DA CONQUISTA_Tax"/>
        <s v="BR_BA_URUCUCA_Tax"/>
        <s v="BR_BA_ILHEUS_Tax"/>
        <s v="BR_SP_SERTAOZINHO_Tax"/>
        <s v="BR_SP_SAO CARLOS_Tax"/>
        <s v="BR_PB_CABEDELO_Tax"/>
        <s v="BR_SP_CARAGUATATUBA_Tax"/>
        <s v="BR_GO_ANAPOLIS_Tax"/>
        <s v="BR_BA_SANTO ANTONIO DE JESUS_Tax"/>
        <s v="BR_SP_RIBEIRAO PRETO_Tax"/>
        <s v="BR_BA_SANTA MARIA DA VITORIA_Tax"/>
        <s v="BR_GO_PIRENOPOLIS_Tax"/>
        <s v="BR_PI_BARRAS_Tax"/>
        <s v="BR_PE_ILHA DE ITAMARACA_Tax"/>
        <s v="BR_CE_JUAZEIRO DO NORTE_Tax"/>
        <s v="BR_RN_SANTA CRUZ_Tax"/>
        <s v="BR_SP_RIO DAS PEDRAS_Tax"/>
        <s v="BR_SP_PAULINIA_Tax"/>
        <s v="BR_GO_FORMOSA_Tax"/>
        <s v="BR_BA_LIVRAMENTO DE NOSSA SENHO_Tax"/>
        <s v="BR_BA_ICHU_Tax"/>
        <s v="BR_GO_ITAUCU_Tax"/>
        <s v="BR_BA_SERRINHA_Tax"/>
        <s v="BR_PB_CAMPINA GRANDE_Tax"/>
        <s v="BR_AL_MACEIO_Tax"/>
        <s v="BR_PE_GARANHUNS_Tax"/>
        <s v="BR_BA_IRARA_Tax"/>
        <s v="BR_SP_MAUA_Tax"/>
        <s v="BR_GO_ALTO PARAISO DE GOIAS_Tax"/>
        <s v="BR_BA_JEQUIE_Tax"/>
        <s v="BR_SP_ARARAQUARA_Tax"/>
        <s v="BR_BA_MATA DE SAO JOAO_Tax"/>
        <s v="BR_CE_CANINDE_Tax"/>
        <s v="BR_PB_CRUZ DO ESPIRITO SANTO_Tax"/>
        <s v="BR_PB_ALAGOA NOVA_Tax"/>
        <s v="BR_PE_ITAPISSUMA_Tax"/>
        <s v="BR_GO_CRISTALINA_Tax"/>
        <s v="BR_BA_RIACHAO DO JACUIPE_Tax"/>
        <s v="BR_GO_GOIANESIA_Tax"/>
        <s v="BR_MT_CACERES_Tax"/>
        <s v="BR_SP_APARECIDA_Tax"/>
        <s v="BR_PB_BOA VENTURA_Tax"/>
        <s v="BR_SP_SANTA BARBARA D'OESTE_Tax"/>
        <s v="BR_BA_PIRAI DO NORTE_Tax"/>
        <s v="BR_SP_SANTA GERTRUDES_Tax"/>
        <s v="BR_SP_SANTO ANTONIO DA ALEGRIA_Tax"/>
        <s v="BR_AL_PENEDO_Tax"/>
        <s v="BR_SP_CASA BRANCA_Tax"/>
        <s v="BR_SP_MATAO_Tax"/>
        <s v="BR_SP_SAO LOURENCO DA SERRA_Tax"/>
        <s v="BR_CE_PACAJUS_Tax"/>
        <s v="BR_GO_ORIZONA_Tax"/>
        <s v="BR_SP_TAUBATE_Tax"/>
        <s v="BR_SP_SERRANA_Tax"/>
        <s v="BR_MT_NOVA MUTUM_Tax"/>
        <s v="BR_SP_SAO JOSE DOS CAMPOS_Tax"/>
        <s v="BR_SP_TABOAO DA SERRA_Tax"/>
        <s v="BR_PE_RIBEIRAO_Tax"/>
        <s v="BR_SP_AMERICO BRASILIENSE_Tax"/>
        <s v="BR_BA_ENTRE RIOS_Tax"/>
        <s v="BR_SP_RIO GRANDE DA SERRA_Tax"/>
        <s v="BR_RN_PARNAMIRIM_Tax"/>
        <s v="BR_SP_ITAPECERICA DA SERRA_Tax"/>
        <m/>
        <n v="7.02" u="1"/>
        <n v="0" u="1"/>
      </sharedItems>
    </cacheField>
    <cacheField name="UF" numFmtId="0">
      <sharedItems containsBlank="1"/>
    </cacheField>
    <cacheField name="SITE _x000a_NAME" numFmtId="0">
      <sharedItems containsBlank="1"/>
    </cacheField>
    <cacheField name="OPERADORA" numFmtId="0">
      <sharedItems containsBlank="1"/>
    </cacheField>
    <cacheField name="PO" numFmtId="0">
      <sharedItems containsBlank="1"/>
    </cacheField>
    <cacheField name="LINE" numFmtId="0">
      <sharedItems containsBlank="1"/>
    </cacheField>
    <cacheField name="DU" numFmtId="0">
      <sharedItems containsBlank="1"/>
    </cacheField>
    <cacheField name="ItemCode" numFmtId="0">
      <sharedItems containsString="0" containsBlank="1" containsNumber="1" containsInteger="1" minValue="8812380271" maxValue="8818277881"/>
    </cacheField>
    <cacheField name="Preço" numFmtId="43">
      <sharedItems containsBlank="1" containsMixedTypes="1" containsNumber="1" minValue="2.8" maxValue="5630.6880000000001"/>
    </cacheField>
    <cacheField name="Qty" numFmtId="0">
      <sharedItems containsBlank="1" containsMixedTypes="1" containsNumber="1" minValue="0.5" maxValue="55"/>
    </cacheField>
    <cacheField name="Total" numFmtId="43">
      <sharedItems containsString="0" containsBlank="1" containsNumber="1" minValue="2.8" maxValue="3799.62"/>
    </cacheField>
    <cacheField name="Proporção" numFmtId="0">
      <sharedItems containsBlank="1"/>
    </cacheField>
    <cacheField name="Coluna1" numFmtId="43">
      <sharedItems containsString="0" containsBlank="1" containsNumber="1" minValue="2.8" maxValue="3799.62"/>
    </cacheField>
    <cacheField name="NF" numFmtId="0">
      <sharedItems containsNonDate="0" containsString="0" containsBlank="1"/>
    </cacheField>
    <cacheField name="Dat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4">
  <r>
    <s v="NE1"/>
    <n v="7.02"/>
    <x v="0"/>
    <s v="PE"/>
    <s v="ASI_PE"/>
    <s v="VIVO"/>
    <s v="6211HG3360340-2852"/>
    <s v="2"/>
    <s v="20250714604663"/>
    <n v="8812441798"/>
    <s v="365,841"/>
    <s v="2,0000000000"/>
    <n v="731.68200000000002"/>
    <s v="1"/>
    <n v="731.68200000000002"/>
    <m/>
    <m/>
  </r>
  <r>
    <s v="NE1"/>
    <n v="7.02"/>
    <x v="1"/>
    <s v="PB"/>
    <s v="CPV_PB"/>
    <s v="VIVO"/>
    <s v="6211HG3360340-2858"/>
    <s v="2"/>
    <s v="20250711595393"/>
    <n v="8812441798"/>
    <s v="365,841"/>
    <s v="3,0000000000"/>
    <n v="1097.5230000000001"/>
    <s v="1"/>
    <n v="1097.5230000000001"/>
    <m/>
    <m/>
  </r>
  <r>
    <s v="NE1"/>
    <n v="7.02"/>
    <x v="1"/>
    <s v="PB"/>
    <s v="CPV_PB"/>
    <s v="VIVO"/>
    <s v="6211HG3360340-2858"/>
    <s v="4"/>
    <s v="20250711595393"/>
    <n v="8812441780"/>
    <s v="564,687"/>
    <s v="1,0000000000"/>
    <n v="564.68700000000001"/>
    <s v="1"/>
    <n v="564.68700000000001"/>
    <m/>
    <m/>
  </r>
  <r>
    <s v="NE2"/>
    <n v="7.02"/>
    <x v="2"/>
    <s v="CE"/>
    <s v="CNN_CE"/>
    <s v="VIVO"/>
    <s v="6211HG3360340-2862"/>
    <s v="1"/>
    <s v="20250626579533"/>
    <n v="8812441793"/>
    <s v="40,983"/>
    <s v="5,0000000000"/>
    <n v="204.91499999999999"/>
    <s v="1"/>
    <n v="204.91499999999999"/>
    <m/>
    <m/>
  </r>
  <r>
    <s v="NE2"/>
    <n v="7.02"/>
    <x v="2"/>
    <s v="CE"/>
    <s v="CNN_CE"/>
    <s v="VIVO"/>
    <s v="6211HG3360340-2862"/>
    <s v="2"/>
    <s v="20250626579533"/>
    <n v="8812441798"/>
    <s v="40,649"/>
    <s v="4,0000000000"/>
    <n v="162.596"/>
    <s v="1"/>
    <n v="162.596"/>
    <m/>
    <m/>
  </r>
  <r>
    <s v="NE2"/>
    <n v="7.02"/>
    <x v="2"/>
    <s v="CE"/>
    <s v="CNN_CE"/>
    <s v="VIVO"/>
    <s v="6211HG3360340-2862"/>
    <s v="6"/>
    <s v="20250626579533"/>
    <n v="8812441757"/>
    <s v="38,528"/>
    <s v="1,0000000000"/>
    <n v="38.527999999999999"/>
    <s v="1"/>
    <n v="38.527999999999999"/>
    <m/>
    <m/>
  </r>
  <r>
    <s v="NE2"/>
    <n v="7.02"/>
    <x v="3"/>
    <s v="CE"/>
    <s v="BSP_CE"/>
    <s v="VIVO"/>
    <s v="6211HG3360340-2865"/>
    <s v="2"/>
    <s v="20250626579545"/>
    <n v="8812441793"/>
    <s v="368,847"/>
    <s v="4,0000000000"/>
    <n v="1475.3879999999999"/>
    <s v="1"/>
    <n v="1475.3879999999999"/>
    <m/>
    <m/>
  </r>
  <r>
    <s v="NE2"/>
    <n v="7.02"/>
    <x v="3"/>
    <s v="CE"/>
    <s v="BSP_CE"/>
    <s v="VIVO"/>
    <s v="6211HG3360340-2865"/>
    <s v="3"/>
    <s v="20250626579545"/>
    <n v="8812441798"/>
    <s v="365,841"/>
    <s v="1,0000000000"/>
    <n v="365.84100000000001"/>
    <s v="1"/>
    <n v="365.84100000000001"/>
    <m/>
    <m/>
  </r>
  <r>
    <s v="NE1"/>
    <n v="7.02"/>
    <x v="4"/>
    <s v="PE"/>
    <s v="PESZC12"/>
    <s v="CLARO"/>
    <s v="6211HG2963610-173"/>
    <s v="1"/>
    <s v="20250829650629"/>
    <n v="8812411585"/>
    <s v="180,186"/>
    <s v="1,0000000000"/>
    <n v="180.18600000000001"/>
    <s v="1"/>
    <n v="180.18600000000001"/>
    <m/>
    <m/>
  </r>
  <r>
    <s v="NE1"/>
    <n v="7.02"/>
    <x v="4"/>
    <s v="PE"/>
    <s v="PESZC12"/>
    <s v="CLARO"/>
    <s v="6211HG2963610-173"/>
    <s v="2"/>
    <s v="20250829650629"/>
    <n v="8812411607"/>
    <s v="20,066"/>
    <s v="1,0000000000"/>
    <n v="20.065999999999999"/>
    <s v="1"/>
    <n v="20.065999999999999"/>
    <m/>
    <m/>
  </r>
  <r>
    <s v="NE1"/>
    <n v="7.02"/>
    <x v="5"/>
    <s v="PE"/>
    <s v="DIC_PE"/>
    <s v="VIVO"/>
    <s v="6211HG3360340-2174"/>
    <s v="4"/>
    <s v="20250905652937"/>
    <n v="8812441780"/>
    <s v="62,743"/>
    <s v="1,0000000000"/>
    <n v="62.743000000000002"/>
    <s v="1"/>
    <n v="62.743000000000002"/>
    <m/>
    <m/>
  </r>
  <r>
    <s v="NE1"/>
    <n v="7.02"/>
    <x v="6"/>
    <s v="PE"/>
    <s v="PECBO23"/>
    <s v="CLARO"/>
    <s v="6211HG2963610-168"/>
    <s v="1"/>
    <s v="20250829645223"/>
    <n v="8812411585"/>
    <s v="180,186"/>
    <s v="1,0000000000"/>
    <n v="180.18600000000001"/>
    <s v="1"/>
    <n v="180.18600000000001"/>
    <m/>
    <m/>
  </r>
  <r>
    <s v="BA"/>
    <n v="7.02"/>
    <x v="7"/>
    <s v="BA"/>
    <s v="BATEN02"/>
    <s v="CLARO"/>
    <s v="6211HG3360340-1790"/>
    <s v="1"/>
    <s v="20250818633533"/>
    <n v="8812441675"/>
    <s v="5298,858"/>
    <s v="0,5000000000"/>
    <n v="2649.4290000000001"/>
    <s v="1"/>
    <n v="2649.4290000000001"/>
    <m/>
    <m/>
  </r>
  <r>
    <s v="BA"/>
    <n v="7.02"/>
    <x v="8"/>
    <s v="BA"/>
    <s v="BAVCT07"/>
    <s v="CLARO"/>
    <s v="6211HG3360340-1826"/>
    <s v="2"/>
    <s v="20250114394689"/>
    <n v="8812380404"/>
    <s v="20,5"/>
    <s v="1,0000000000"/>
    <n v="20.5"/>
    <s v="1"/>
    <n v="20.5"/>
    <m/>
    <m/>
  </r>
  <r>
    <s v="BA"/>
    <n v="7.02"/>
    <x v="9"/>
    <s v="BA"/>
    <s v="BAURU01"/>
    <s v="CLARO"/>
    <s v="6211HG3360340-1829"/>
    <s v="2"/>
    <s v="20250721609677"/>
    <n v="8818241273"/>
    <s v="77,461"/>
    <s v="1,0000000000"/>
    <n v="77.460999999999999"/>
    <s v="1"/>
    <n v="77.460999999999999"/>
    <m/>
    <m/>
  </r>
  <r>
    <s v="BA"/>
    <n v="7.02"/>
    <x v="10"/>
    <s v="BA"/>
    <s v="BAIBU10"/>
    <s v="CLARO"/>
    <s v="6211HG3360340-1831"/>
    <s v="1"/>
    <s v="20250721609693"/>
    <n v="8812441661"/>
    <s v="935,782"/>
    <s v="0,5000000000"/>
    <n v="467.89100000000002"/>
    <s v="1"/>
    <n v="467.89100000000002"/>
    <m/>
    <m/>
  </r>
  <r>
    <s v="SP TIM"/>
    <n v="7.02"/>
    <x v="11"/>
    <s v="SP"/>
    <s v="4G-SEJJ03"/>
    <s v="TIM"/>
    <s v="6211HG3360338-412"/>
    <s v="1"/>
    <s v="20250731626045"/>
    <n v="8818241193"/>
    <s v="116,442"/>
    <s v="2,0000000000"/>
    <n v="232.88399999999999"/>
    <s v="1"/>
    <n v="232.88399999999999"/>
    <m/>
    <m/>
  </r>
  <r>
    <s v="SP TIM"/>
    <n v="7.02"/>
    <x v="12"/>
    <s v="SP"/>
    <s v="4G-SKNS02"/>
    <s v="TIM"/>
    <s v="6211HG3360338-430"/>
    <s v="1"/>
    <s v="20250731622449"/>
    <n v="8818241193"/>
    <s v="116,442"/>
    <s v="1,0000000000"/>
    <n v="116.44199999999999"/>
    <s v="1"/>
    <n v="116.44199999999999"/>
    <m/>
    <m/>
  </r>
  <r>
    <s v="NE1"/>
    <n v="7.02"/>
    <x v="13"/>
    <s v="PB"/>
    <s v="PBCBD14"/>
    <s v="CLARO"/>
    <s v="6211HG2963610-125"/>
    <s v="2"/>
    <s v="20250828647243"/>
    <n v="8812411607"/>
    <s v="80,264"/>
    <s v="1,0000000000"/>
    <n v="80.263999999999996"/>
    <s v="1"/>
    <n v="80.263999999999996"/>
    <m/>
    <m/>
  </r>
  <r>
    <e v="#N/A"/>
    <n v="7.02"/>
    <x v="14"/>
    <s v="23"/>
    <s v="TM6_SP"/>
    <s v="VIVO"/>
    <s v="6211HG3360338-706"/>
    <s v="1"/>
    <s v="20230823858173"/>
    <n v="8812441641"/>
    <s v="461,262"/>
    <s v="1,0000000000"/>
    <n v="461.262"/>
    <s v="1"/>
    <n v="461.262"/>
    <m/>
    <m/>
  </r>
  <r>
    <s v="CO3"/>
    <n v="7.02"/>
    <x v="15"/>
    <s v="GO"/>
    <s v="GOANS08"/>
    <s v="CLARO"/>
    <s v="6211HG3360342-656"/>
    <s v="2"/>
    <s v="20250628586559"/>
    <n v="8812380404"/>
    <s v="20,5"/>
    <s v="1,0000000000"/>
    <n v="20.5"/>
    <s v="1"/>
    <n v="20.5"/>
    <m/>
    <m/>
  </r>
  <r>
    <s v="BA"/>
    <n v="7.02"/>
    <x v="16"/>
    <s v="BA"/>
    <s v="BASAJ09"/>
    <s v="CLARO"/>
    <s v="6211HG3360340-2099"/>
    <s v="2"/>
    <s v="20250716607765"/>
    <n v="8812441759"/>
    <s v="59,892"/>
    <s v="1,0000000000"/>
    <n v="59.892000000000003"/>
    <s v="1"/>
    <n v="59.892000000000003"/>
    <m/>
    <m/>
  </r>
  <r>
    <s v="BA"/>
    <n v="7.02"/>
    <x v="16"/>
    <s v="BA"/>
    <s v="BASAJ09"/>
    <s v="CLARO"/>
    <s v="6211HG3360340-2099"/>
    <s v="4"/>
    <s v="20250716607765"/>
    <n v="8812441765"/>
    <s v="49,208"/>
    <s v="3,0000000000"/>
    <n v="147.624"/>
    <s v="1"/>
    <n v="147.624"/>
    <m/>
    <m/>
  </r>
  <r>
    <s v="BA"/>
    <n v="7.02"/>
    <x v="16"/>
    <s v="BA"/>
    <s v="BASAJ09"/>
    <s v="CLARO"/>
    <s v="6211HG3360340-2100"/>
    <s v="1"/>
    <s v="20250716607765"/>
    <n v="8818241281"/>
    <s v="64,282"/>
    <s v="1,0000000000"/>
    <n v="64.281999999999996"/>
    <s v="1"/>
    <n v="64.281999999999996"/>
    <m/>
    <m/>
  </r>
  <r>
    <s v="SP TIM"/>
    <n v="7.02"/>
    <x v="17"/>
    <s v="SP"/>
    <s v="RTCT08_KE"/>
    <s v="TIM"/>
    <s v="6211HG3360338-521"/>
    <s v="1"/>
    <s v="20250731622501"/>
    <n v="8818241193"/>
    <s v="12,938"/>
    <s v="2,0000000000"/>
    <n v="25.876000000000001"/>
    <s v="1"/>
    <n v="25.876000000000001"/>
    <m/>
    <m/>
  </r>
  <r>
    <s v="BA"/>
    <n v="7.02"/>
    <x v="18"/>
    <s v="BA"/>
    <s v="BASTA01"/>
    <s v="CLARO"/>
    <s v="6211HG2963610-145"/>
    <s v="1"/>
    <s v="20250829650639"/>
    <n v="8812411585"/>
    <s v="720,744"/>
    <s v="1,0000000000"/>
    <n v="720.74400000000003"/>
    <s v="1"/>
    <n v="720.74400000000003"/>
    <m/>
    <m/>
  </r>
  <r>
    <s v="CO3"/>
    <n v="7.02"/>
    <x v="19"/>
    <s v="GO"/>
    <s v="GOPPS04"/>
    <s v="CLARO"/>
    <s v="6211HG2963611-40"/>
    <s v="1"/>
    <s v="20250829646609"/>
    <n v="8812411585"/>
    <s v="720,744"/>
    <s v="1,0000000000"/>
    <n v="720.74400000000003"/>
    <s v="1"/>
    <n v="720.74400000000003"/>
    <m/>
    <m/>
  </r>
  <r>
    <s v="NE1"/>
    <n v="7.02"/>
    <x v="1"/>
    <s v="PB"/>
    <s v="BAD_PB"/>
    <s v="VIVO"/>
    <s v="6211HG3360340-2211"/>
    <s v="2"/>
    <s v="20250714604659"/>
    <n v="8812441793"/>
    <s v="40,983"/>
    <s v="2,0000000000"/>
    <n v="81.965999999999994"/>
    <s v="1"/>
    <n v="81.965999999999994"/>
    <m/>
    <m/>
  </r>
  <r>
    <s v="NE2"/>
    <n v="7.02"/>
    <x v="20"/>
    <s v="PI"/>
    <s v="BRR_00"/>
    <s v="VIVO"/>
    <s v="6211HG3360340-2214"/>
    <s v="1"/>
    <s v="20250915656391"/>
    <n v="8812441624"/>
    <s v="643,507"/>
    <s v="0,5000000000"/>
    <n v="321.75349999999997"/>
    <s v="1"/>
    <n v="321.75349999999997"/>
    <m/>
    <m/>
  </r>
  <r>
    <s v="NE2"/>
    <n v="7.02"/>
    <x v="20"/>
    <s v="PI"/>
    <s v="BR3_00"/>
    <s v="VIVO"/>
    <s v="6211HG3360340-2215"/>
    <s v="1"/>
    <s v="20250915656381"/>
    <n v="8812441624"/>
    <s v="643,507"/>
    <s v="0,5000000000"/>
    <n v="321.75349999999997"/>
    <s v="1"/>
    <n v="321.75349999999997"/>
    <m/>
    <m/>
  </r>
  <r>
    <s v="NE1"/>
    <n v="7.02"/>
    <x v="21"/>
    <s v="PE"/>
    <s v="IJG_PE"/>
    <s v="VIVO"/>
    <s v="6211HG3360340-2217"/>
    <s v="2"/>
    <s v="20250714604705"/>
    <n v="8812441783"/>
    <s v="16,403"/>
    <s v="2,0000000000"/>
    <n v="32.805999999999997"/>
    <s v="1"/>
    <n v="32.805999999999997"/>
    <m/>
    <m/>
  </r>
  <r>
    <s v="NE2"/>
    <n v="7.02"/>
    <x v="22"/>
    <s v="CE"/>
    <s v="OIY_CE"/>
    <s v="VIVO"/>
    <s v="6211HG3360340-2225"/>
    <s v="1"/>
    <s v="20250701588793"/>
    <n v="8812441780"/>
    <s v="62,743"/>
    <s v="1,0000000000"/>
    <n v="62.743000000000002"/>
    <s v="1"/>
    <n v="62.743000000000002"/>
    <m/>
    <m/>
  </r>
  <r>
    <s v="NE2"/>
    <n v="7.02"/>
    <x v="22"/>
    <s v="CE"/>
    <s v="OIY_CE"/>
    <s v="VIVO"/>
    <s v="6211HG3360340-2225"/>
    <s v="4"/>
    <s v="20250701588793"/>
    <n v="8812441798"/>
    <s v="365,841"/>
    <s v="2,0000000000"/>
    <n v="731.68200000000002"/>
    <s v="1"/>
    <n v="731.68200000000002"/>
    <m/>
    <m/>
  </r>
  <r>
    <s v="NE2"/>
    <n v="7.02"/>
    <x v="22"/>
    <s v="CE"/>
    <s v="OIY_CE"/>
    <s v="VIVO"/>
    <s v="6211HG3360340-2225"/>
    <s v="4"/>
    <s v="20250701588793"/>
    <n v="8812441798"/>
    <s v="40,649"/>
    <s v="2,0000000000"/>
    <n v="81.298000000000002"/>
    <s v="1"/>
    <n v="81.298000000000002"/>
    <m/>
    <m/>
  </r>
  <r>
    <s v="NE1"/>
    <n v="7.02"/>
    <x v="23"/>
    <s v="RN"/>
    <s v="SCZ_RN"/>
    <s v="VIVO"/>
    <s v="6211HG3360340-2227"/>
    <s v="3"/>
    <s v="20250714604711"/>
    <n v="8812441777"/>
    <s v="135,585"/>
    <s v="1,0000000000"/>
    <n v="135.58500000000001"/>
    <s v="1"/>
    <n v="135.58500000000001"/>
    <m/>
    <m/>
  </r>
  <r>
    <s v="NE1"/>
    <n v="7.02"/>
    <x v="23"/>
    <s v="RN"/>
    <s v="SCZ_RN"/>
    <s v="VIVO"/>
    <s v="6211HG3360340-2227"/>
    <s v="4"/>
    <s v="20250714604711"/>
    <n v="8812441783"/>
    <s v="147,627"/>
    <s v="3,0000000000"/>
    <n v="442.88100000000003"/>
    <s v="1"/>
    <n v="442.88100000000003"/>
    <m/>
    <m/>
  </r>
  <r>
    <s v="SPI"/>
    <n v="7.02"/>
    <x v="24"/>
    <s v="SP"/>
    <s v="RPW_SP"/>
    <s v="VIVO"/>
    <s v="6211HG3360338-744"/>
    <s v="2"/>
    <s v="20250930679277"/>
    <n v="8818241112"/>
    <s v="22,815"/>
    <s v="3,0000000000"/>
    <n v="68.445000000000007"/>
    <s v="1"/>
    <n v="68.445000000000007"/>
    <m/>
    <m/>
  </r>
  <r>
    <s v="SPI"/>
    <n v="7.02"/>
    <x v="25"/>
    <s v="SP"/>
    <s v="PLR_SP"/>
    <s v="VIVO"/>
    <s v="6211HG3360338-668"/>
    <s v="4"/>
    <s v="20250930679391"/>
    <n v="8812441652"/>
    <s v="316,242"/>
    <s v="1,0000000000"/>
    <n v="316.24200000000002"/>
    <s v="1"/>
    <n v="316.24200000000002"/>
    <m/>
    <m/>
  </r>
  <r>
    <s v="SPI"/>
    <n v="7.02"/>
    <x v="14"/>
    <s v="SP"/>
    <s v="RMC_SP"/>
    <s v="VIVO"/>
    <s v="6211HG3360338-669"/>
    <s v="6"/>
    <s v="20250930682825"/>
    <n v="8812441688"/>
    <s v="422,18"/>
    <s v="1,0000000000"/>
    <n v="422.18"/>
    <s v="1"/>
    <n v="422.18"/>
    <m/>
    <m/>
  </r>
  <r>
    <s v="CO3"/>
    <n v="7.02"/>
    <x v="26"/>
    <s v="GO"/>
    <s v="FDO_GO"/>
    <s v="VIVO"/>
    <s v="6211HG3360342-639"/>
    <s v="1"/>
    <s v="20250715605039"/>
    <n v="8812441786"/>
    <s v="1821,83"/>
    <s v="1,0000000000"/>
    <n v="1821.83"/>
    <s v="1"/>
    <n v="1821.83"/>
    <m/>
    <m/>
  </r>
  <r>
    <s v="BA"/>
    <n v="7.02"/>
    <x v="27"/>
    <s v="BA"/>
    <s v="BALNS01"/>
    <s v="CLARO"/>
    <s v="6211HG2963610-180"/>
    <s v="3"/>
    <s v="20250903649597"/>
    <n v="8812411623"/>
    <s v="511,384"/>
    <s v="1,0000000000"/>
    <n v="511.38400000000001"/>
    <s v="1"/>
    <n v="511.38400000000001"/>
    <m/>
    <m/>
  </r>
  <r>
    <s v="BA"/>
    <n v="7.02"/>
    <x v="28"/>
    <s v="BA"/>
    <s v="BAICH01"/>
    <s v="CLARO"/>
    <s v="6211HG2963610-183"/>
    <s v="2"/>
    <s v="20250829646541"/>
    <n v="8812411585"/>
    <s v="720,744"/>
    <s v="1,0000000000"/>
    <n v="720.74400000000003"/>
    <s v="1"/>
    <n v="720.74400000000003"/>
    <m/>
    <m/>
  </r>
  <r>
    <s v="CO3"/>
    <n v="7.02"/>
    <x v="29"/>
    <s v="GO"/>
    <s v="GOIUC01"/>
    <s v="CLARO"/>
    <s v="6211HG3360342-695"/>
    <s v="2"/>
    <s v="20250927680471"/>
    <n v="8812380404"/>
    <s v="20,5"/>
    <s v="1,0000000000"/>
    <n v="20.5"/>
    <s v="1"/>
    <n v="20.5"/>
    <m/>
    <m/>
  </r>
  <r>
    <s v="BA"/>
    <n v="7.02"/>
    <x v="30"/>
    <s v="BA"/>
    <s v="BASER08"/>
    <s v="CLARO"/>
    <s v="6211HG3360340-2545"/>
    <s v="2"/>
    <s v="20250628584241"/>
    <n v="8812380402"/>
    <s v="2,8"/>
    <s v="1,0000000000"/>
    <n v="2.8"/>
    <s v="1"/>
    <n v="2.8"/>
    <m/>
    <m/>
  </r>
  <r>
    <s v="SPI"/>
    <n v="7.02"/>
    <x v="24"/>
    <s v="SP"/>
    <s v="RPW_SP"/>
    <s v="VIVO"/>
    <s v="6211HG3360338-727"/>
    <s v="2"/>
    <s v="20250930679277"/>
    <n v="8818241189"/>
    <s v="49,571"/>
    <s v="1,0000000000"/>
    <n v="49.570999999999998"/>
    <s v="1"/>
    <n v="49.570999999999998"/>
    <m/>
    <m/>
  </r>
  <r>
    <s v="NE1"/>
    <n v="7.02"/>
    <x v="31"/>
    <s v="PB"/>
    <s v="CGB_PB"/>
    <s v="VIVO"/>
    <s v="6211HG3360340-2824"/>
    <s v="1"/>
    <s v="20250709595057"/>
    <n v="8812441798"/>
    <s v="40,649"/>
    <s v="1,0000000000"/>
    <n v="40.649000000000001"/>
    <s v="1"/>
    <n v="40.649000000000001"/>
    <m/>
    <m/>
  </r>
  <r>
    <s v="NE2"/>
    <n v="7.02"/>
    <x v="2"/>
    <s v="CE"/>
    <s v="PVL_CE"/>
    <s v="VIVO"/>
    <s v="6211HG3360340-2828"/>
    <s v="2"/>
    <s v="20250708594317"/>
    <n v="8812441780"/>
    <s v="564,687"/>
    <s v="1,0000000000"/>
    <n v="564.68700000000001"/>
    <s v="1"/>
    <n v="564.68700000000001"/>
    <m/>
    <m/>
  </r>
  <r>
    <s v="NE1"/>
    <n v="7.02"/>
    <x v="32"/>
    <s v="AL"/>
    <s v="LOT_AL"/>
    <s v="VIVO"/>
    <s v="6211HG3360340-3062"/>
    <s v="4"/>
    <s v="20250708589335"/>
    <n v="8812441780"/>
    <s v="62,743"/>
    <s v="1,0000000000"/>
    <n v="62.743000000000002"/>
    <s v="1"/>
    <n v="62.743000000000002"/>
    <m/>
    <m/>
  </r>
  <r>
    <s v="NE1"/>
    <n v="7.02"/>
    <x v="33"/>
    <s v="PE"/>
    <s v="PEGUS14"/>
    <s v="CLARO"/>
    <s v="6211HG2963610-167"/>
    <s v="1"/>
    <s v="20250828647539"/>
    <n v="8812411585"/>
    <s v="180,186"/>
    <s v="1,0000000000"/>
    <n v="180.18600000000001"/>
    <s v="1"/>
    <n v="180.18600000000001"/>
    <m/>
    <m/>
  </r>
  <r>
    <s v="NE1"/>
    <n v="7.02"/>
    <x v="0"/>
    <s v="PE"/>
    <s v="ASI_PE"/>
    <s v="VIVO"/>
    <s v="6211HG3360340-2852"/>
    <s v="1"/>
    <s v="20250714604663"/>
    <n v="8812441793"/>
    <s v="368,847"/>
    <s v="3,0000000000"/>
    <n v="1106.5409999999999"/>
    <s v="1"/>
    <n v="1106.5409999999999"/>
    <m/>
    <m/>
  </r>
  <r>
    <s v="NE2"/>
    <n v="7.02"/>
    <x v="2"/>
    <s v="CE"/>
    <s v="CNN_CE"/>
    <s v="VIVO"/>
    <s v="6211HG3360340-2862"/>
    <s v="3"/>
    <s v="20250626579533"/>
    <n v="8812441777"/>
    <n v="15.065"/>
    <n v="1"/>
    <n v="15.065"/>
    <s v="1"/>
    <n v="15.065"/>
    <m/>
    <m/>
  </r>
  <r>
    <s v="NE2"/>
    <n v="7.02"/>
    <x v="3"/>
    <s v="CE"/>
    <s v="BSP_CE"/>
    <s v="VIVO"/>
    <s v="6211HG3360340-2865"/>
    <s v="2"/>
    <s v="20250626579545"/>
    <n v="8812441793"/>
    <n v="40.982999999999997"/>
    <n v="4"/>
    <n v="163.93199999999999"/>
    <s v="1"/>
    <n v="163.93199999999999"/>
    <m/>
    <m/>
  </r>
  <r>
    <s v="NE2"/>
    <n v="7.02"/>
    <x v="3"/>
    <s v="CE"/>
    <s v="BSP_CE"/>
    <s v="VIVO"/>
    <s v="6211HG3360340-2865"/>
    <s v="3"/>
    <s v="20250626579545"/>
    <n v="8812441798"/>
    <n v="40.649000000000001"/>
    <n v="1"/>
    <n v="40.649000000000001"/>
    <s v="1"/>
    <n v="40.649000000000001"/>
    <m/>
    <m/>
  </r>
  <r>
    <s v="BA"/>
    <n v="7.02"/>
    <x v="34"/>
    <s v="BA"/>
    <s v="BAIRA04"/>
    <s v="CLARO"/>
    <s v="6211HG2963610-175"/>
    <s v="1"/>
    <s v="20250903649575"/>
    <n v="8812411585"/>
    <n v="720.74400000000003"/>
    <n v="1"/>
    <n v="720.74400000000003"/>
    <s v="1"/>
    <n v="720.74400000000003"/>
    <m/>
    <m/>
  </r>
  <r>
    <s v="BA"/>
    <n v="7.02"/>
    <x v="34"/>
    <s v="BA"/>
    <s v="BAIRA04"/>
    <s v="CLARO"/>
    <s v="6211HG2963610-175"/>
    <s v="3"/>
    <s v="20250903649575"/>
    <n v="8812411623"/>
    <n v="511.38400000000001"/>
    <n v="1"/>
    <n v="511.38400000000001"/>
    <s v="1"/>
    <n v="511.38400000000001"/>
    <m/>
    <m/>
  </r>
  <r>
    <s v="CO3"/>
    <n v="7.02"/>
    <x v="19"/>
    <s v="GO"/>
    <s v="GOPPS04"/>
    <s v="CLARO"/>
    <s v="6211HG2963611-42"/>
    <s v="1"/>
    <s v="20250829646609"/>
    <n v="8812411623"/>
    <n v="511.38400000000001"/>
    <n v="1"/>
    <n v="511.38400000000001"/>
    <s v="1"/>
    <n v="511.38400000000001"/>
    <m/>
    <m/>
  </r>
  <r>
    <s v="SP TIM"/>
    <n v="7.02"/>
    <x v="35"/>
    <s v="SP"/>
    <s v="SR-MAVV01"/>
    <s v="TIM"/>
    <s v="6211HG3295910-981"/>
    <s v="1"/>
    <s v="20240719178085"/>
    <n v="8812434002"/>
    <s v="3000"/>
    <n v="1"/>
    <n v="3000"/>
    <s v="1"/>
    <n v="3000"/>
    <m/>
    <m/>
  </r>
  <r>
    <s v="CO3"/>
    <n v="7.02"/>
    <x v="36"/>
    <s v="GO"/>
    <s v="GOAPG06"/>
    <s v="CLARO"/>
    <s v="6211HG3360342-643"/>
    <s v="1"/>
    <s v="20250901645605"/>
    <n v="8812441624"/>
    <n v="5630.6880000000001"/>
    <n v="0.5"/>
    <n v="2815.3440000000001"/>
    <s v="1"/>
    <n v="2815.3440000000001"/>
    <m/>
    <m/>
  </r>
  <r>
    <s v="NE1"/>
    <n v="7.02"/>
    <x v="5"/>
    <s v="PE"/>
    <s v="DIC_PE"/>
    <s v="VIVO"/>
    <s v="6211HG3360340-2174"/>
    <s v="1"/>
    <s v="20250905652937"/>
    <n v="8812441793"/>
    <n v="40.982999999999997"/>
    <n v="4"/>
    <n v="163.93199999999999"/>
    <s v="1"/>
    <n v="163.93199999999999"/>
    <m/>
    <m/>
  </r>
  <r>
    <s v="NE1"/>
    <n v="7.02"/>
    <x v="5"/>
    <s v="PE"/>
    <s v="DIC_PE"/>
    <s v="VIVO"/>
    <s v="6211HG3360340-2174"/>
    <s v="3"/>
    <s v="20250905652937"/>
    <n v="8812441783"/>
    <n v="16.402999999999999"/>
    <n v="4"/>
    <n v="65.611999999999995"/>
    <s v="1"/>
    <n v="65.611999999999995"/>
    <m/>
    <m/>
  </r>
  <r>
    <s v="NE1"/>
    <n v="7.02"/>
    <x v="5"/>
    <s v="PE"/>
    <s v="DIC_PE"/>
    <s v="VIVO"/>
    <s v="6211HG3360340-2174"/>
    <s v="5"/>
    <s v="20250905652937"/>
    <n v="8812441759"/>
    <n v="59.892000000000003"/>
    <n v="1"/>
    <n v="59.892000000000003"/>
    <s v="1"/>
    <n v="59.892000000000003"/>
    <m/>
    <m/>
  </r>
  <r>
    <s v="BA"/>
    <n v="7.02"/>
    <x v="8"/>
    <s v="BA"/>
    <s v="BAVCT07"/>
    <s v="CLARO"/>
    <s v="6211HG3360340-1826"/>
    <s v="1"/>
    <s v="20250114394689"/>
    <n v="8812441681"/>
    <n v="648.28499999999997"/>
    <n v="1"/>
    <n v="648.28499999999997"/>
    <s v="1"/>
    <n v="648.28499999999997"/>
    <m/>
    <m/>
  </r>
  <r>
    <s v="BA"/>
    <n v="7.02"/>
    <x v="9"/>
    <s v="BA"/>
    <s v="BAURU01"/>
    <s v="CLARO"/>
    <s v="6211HG3360340-1829"/>
    <s v="1"/>
    <s v="20250721609677"/>
    <n v="8812441661"/>
    <n v="935.78200000000004"/>
    <n v="0.5"/>
    <n v="467.89100000000002"/>
    <s v="1"/>
    <n v="467.89100000000002"/>
    <m/>
    <m/>
  </r>
  <r>
    <s v="BA"/>
    <n v="7.02"/>
    <x v="10"/>
    <s v="BA"/>
    <s v="BAIBU10"/>
    <s v="CLARO"/>
    <s v="6211HG3360340-1831"/>
    <s v="2"/>
    <s v="20250721609693"/>
    <n v="8818241273"/>
    <n v="77.460999999999999"/>
    <n v="1"/>
    <n v="77.460999999999999"/>
    <s v="1"/>
    <n v="77.460999999999999"/>
    <m/>
    <m/>
  </r>
  <r>
    <s v="BA"/>
    <n v="7.02"/>
    <x v="37"/>
    <s v="BA"/>
    <s v="BAJQE81"/>
    <s v="CLARO"/>
    <s v="6211HG3360340-2375"/>
    <s v="3"/>
    <s v="20250325479217"/>
    <n v="8812380404"/>
    <n v="20.5"/>
    <n v="1"/>
    <n v="20.5"/>
    <s v="1"/>
    <n v="20.5"/>
    <m/>
    <m/>
  </r>
  <r>
    <s v="BA"/>
    <n v="7.02"/>
    <x v="16"/>
    <s v="BA"/>
    <s v="BASAJ09"/>
    <s v="CLARO"/>
    <s v="6211HG3360340-2099"/>
    <s v="1"/>
    <s v="20250716607765"/>
    <n v="8812441793"/>
    <n v="40.982999999999997"/>
    <n v="4"/>
    <n v="163.93199999999999"/>
    <s v="1"/>
    <n v="163.93199999999999"/>
    <m/>
    <m/>
  </r>
  <r>
    <s v="BA"/>
    <n v="7.02"/>
    <x v="16"/>
    <s v="BA"/>
    <s v="BASAJ09"/>
    <s v="CLARO"/>
    <s v="6211HG3360340-2099"/>
    <s v="3"/>
    <s v="20250716607765"/>
    <n v="8812441683"/>
    <n v="772.78200000000004"/>
    <n v="1"/>
    <n v="772.78200000000004"/>
    <s v="1"/>
    <n v="772.78200000000004"/>
    <m/>
    <m/>
  </r>
  <r>
    <s v="BA"/>
    <n v="7.02"/>
    <x v="16"/>
    <s v="BA"/>
    <s v="BASAJ09"/>
    <s v="CLARO"/>
    <s v="6211HG3360340-2100"/>
    <s v="2"/>
    <s v="20250716607765"/>
    <n v="8818241271"/>
    <n v="36.506"/>
    <n v="3"/>
    <n v="109.518"/>
    <s v="1"/>
    <n v="109.518"/>
    <m/>
    <m/>
  </r>
  <r>
    <s v="SP TIM"/>
    <n v="7.02"/>
    <x v="38"/>
    <s v="SP"/>
    <s v="NLAQVP01_"/>
    <s v="TIM"/>
    <s v="6211HG3360338-528"/>
    <s v="1"/>
    <s v="20250731622523"/>
    <n v="8818241193"/>
    <n v="116.44199999999999"/>
    <n v="1"/>
    <n v="116.44199999999999"/>
    <s v="1"/>
    <n v="116.44199999999999"/>
    <m/>
    <m/>
  </r>
  <r>
    <s v="SP TIM"/>
    <n v="7.02"/>
    <x v="17"/>
    <s v="SP"/>
    <s v="RTRT01_KE"/>
    <s v="TIM"/>
    <s v="6211HG3360338-535"/>
    <s v="1"/>
    <s v="20250731625691"/>
    <n v="8818241193"/>
    <n v="116.44199999999999"/>
    <n v="2"/>
    <n v="232.88399999999999"/>
    <s v="1"/>
    <n v="232.88399999999999"/>
    <m/>
    <m/>
  </r>
  <r>
    <s v="BA"/>
    <n v="7.02"/>
    <x v="39"/>
    <s v="BA"/>
    <s v="BAMJOR5"/>
    <s v="CLARO"/>
    <s v="6211HG3360340-2093"/>
    <s v="1"/>
    <s v="20250825646793"/>
    <n v="8812441624"/>
    <n v="643.50699999999995"/>
    <n v="0.5"/>
    <n v="321.75349999999997"/>
    <s v="1"/>
    <n v="321.75349999999997"/>
    <m/>
    <m/>
  </r>
  <r>
    <s v="NE1"/>
    <n v="7.02"/>
    <x v="1"/>
    <s v="PB"/>
    <s v="BAD_PB"/>
    <s v="VIVO"/>
    <s v="6211HG3360340-2211"/>
    <s v="1"/>
    <s v="20250714604659"/>
    <n v="8812441780"/>
    <n v="62.743000000000002"/>
    <n v="1"/>
    <n v="62.743000000000002"/>
    <s v="1"/>
    <n v="62.743000000000002"/>
    <m/>
    <m/>
  </r>
  <r>
    <s v="NE1"/>
    <n v="7.02"/>
    <x v="1"/>
    <s v="PB"/>
    <s v="BAD_PB"/>
    <s v="VIVO"/>
    <s v="6211HG3360340-2211"/>
    <s v="3"/>
    <s v="20250714604659"/>
    <n v="8812441798"/>
    <n v="40.649000000000001"/>
    <n v="3"/>
    <n v="121.947"/>
    <s v="1"/>
    <n v="121.947"/>
    <m/>
    <m/>
  </r>
  <r>
    <s v="NE1"/>
    <n v="7.02"/>
    <x v="1"/>
    <s v="PB"/>
    <s v="BAD_PB"/>
    <s v="VIVO"/>
    <s v="6211HG3360340-2211"/>
    <s v="4"/>
    <s v="20250714604659"/>
    <n v="8812441783"/>
    <n v="16.402999999999999"/>
    <n v="5"/>
    <n v="82.014999999999986"/>
    <s v="1"/>
    <n v="82.014999999999986"/>
    <m/>
    <m/>
  </r>
  <r>
    <s v="NE2"/>
    <n v="7.02"/>
    <x v="3"/>
    <s v="CE"/>
    <s v="BSP_CE"/>
    <s v="VIVO"/>
    <s v="6211HG3360340-3080"/>
    <s v="1"/>
    <s v="20250626579545"/>
    <n v="8812441784"/>
    <n v="159.66900000000001"/>
    <n v="12"/>
    <n v="1916.0280000000002"/>
    <s v="1"/>
    <n v="1916.0280000000002"/>
    <m/>
    <m/>
  </r>
  <r>
    <s v="NE1"/>
    <n v="7.02"/>
    <x v="21"/>
    <s v="PE"/>
    <s v="IJG_PE"/>
    <s v="VIVO"/>
    <s v="6211HG3360340-2217"/>
    <s v="5"/>
    <s v="20250714604705"/>
    <n v="8812441793"/>
    <n v="40.982999999999997"/>
    <n v="4"/>
    <n v="163.93199999999999"/>
    <s v="1"/>
    <n v="163.93199999999999"/>
    <m/>
    <m/>
  </r>
  <r>
    <s v="NE2"/>
    <n v="7.02"/>
    <x v="40"/>
    <s v="CE"/>
    <s v="CNU_00"/>
    <s v="VIVO"/>
    <s v="6211HG3360340-2218"/>
    <s v="1"/>
    <s v="20250823642265"/>
    <n v="8812441624"/>
    <n v="643.50699999999995"/>
    <n v="0.5"/>
    <n v="321.75349999999997"/>
    <s v="1"/>
    <n v="321.75349999999997"/>
    <m/>
    <m/>
  </r>
  <r>
    <s v="NE2"/>
    <n v="7.02"/>
    <x v="22"/>
    <s v="CE"/>
    <s v="OIY_CE"/>
    <s v="VIVO"/>
    <s v="6211HG3360340-2225"/>
    <s v="2"/>
    <s v="20250701588793"/>
    <n v="8812441783"/>
    <n v="147.62700000000001"/>
    <n v="2"/>
    <n v="295.25400000000002"/>
    <s v="1"/>
    <n v="295.25400000000002"/>
    <m/>
    <m/>
  </r>
  <r>
    <s v="NE2"/>
    <n v="7.02"/>
    <x v="22"/>
    <s v="CE"/>
    <s v="OIY_CE"/>
    <s v="VIVO"/>
    <s v="6211HG3360340-2225"/>
    <s v="2"/>
    <s v="20250701588793"/>
    <n v="8812441783"/>
    <n v="16.402999999999999"/>
    <n v="2"/>
    <n v="32.805999999999997"/>
    <s v="1"/>
    <n v="32.805999999999997"/>
    <m/>
    <m/>
  </r>
  <r>
    <s v="NE1"/>
    <n v="7.02"/>
    <x v="23"/>
    <s v="RN"/>
    <s v="SCZ_RN"/>
    <s v="VIVO"/>
    <s v="6211HG3360340-2227"/>
    <s v="6"/>
    <s v="20250714604711"/>
    <n v="8812441757"/>
    <n v="346.75200000000001"/>
    <n v="1"/>
    <n v="346.75200000000001"/>
    <s v="1"/>
    <n v="346.75200000000001"/>
    <m/>
    <m/>
  </r>
  <r>
    <s v="SPI"/>
    <n v="7.02"/>
    <x v="25"/>
    <s v="SP"/>
    <s v="PLR_SP"/>
    <s v="VIVO"/>
    <s v="6211HG3360338-668"/>
    <s v="2"/>
    <s v="20250930679391"/>
    <n v="8818241193"/>
    <n v="12.938000000000001"/>
    <n v="1"/>
    <n v="12.938000000000001"/>
    <s v="1"/>
    <n v="12.938000000000001"/>
    <m/>
    <m/>
  </r>
  <r>
    <s v="SPI"/>
    <n v="7.02"/>
    <x v="14"/>
    <s v="SP"/>
    <s v="RMC_SP"/>
    <s v="VIVO"/>
    <s v="6211HG3360338-669"/>
    <s v="1"/>
    <s v="20250930682825"/>
    <n v="8818241189"/>
    <n v="49.570999999999998"/>
    <n v="1"/>
    <n v="49.570999999999998"/>
    <s v="1"/>
    <n v="49.570999999999998"/>
    <m/>
    <m/>
  </r>
  <r>
    <s v="SPI"/>
    <n v="7.02"/>
    <x v="14"/>
    <s v="SP"/>
    <s v="RMC_SP"/>
    <s v="VIVO"/>
    <s v="6211HG3360338-669"/>
    <s v="3"/>
    <s v="20250930682825"/>
    <n v="8818241193"/>
    <n v="12.938000000000001"/>
    <n v="2"/>
    <n v="25.876000000000001"/>
    <s v="1"/>
    <n v="25.876000000000001"/>
    <m/>
    <m/>
  </r>
  <r>
    <s v="SPI"/>
    <n v="7.02"/>
    <x v="14"/>
    <s v="SP"/>
    <s v="RMC_SP"/>
    <s v="VIVO"/>
    <s v="6211HG3360338-669"/>
    <s v="4"/>
    <s v="20250930682825"/>
    <n v="8812441763"/>
    <n v="21.324000000000002"/>
    <n v="3"/>
    <n v="63.972000000000008"/>
    <s v="1"/>
    <n v="63.972000000000008"/>
    <m/>
    <m/>
  </r>
  <r>
    <s v="SPI"/>
    <n v="7.02"/>
    <x v="14"/>
    <s v="SP"/>
    <s v="RMC_SP"/>
    <s v="VIVO"/>
    <s v="6211HG3360338-669"/>
    <s v="5"/>
    <s v="20250930682825"/>
    <n v="8812441743"/>
    <n v="33.390999999999998"/>
    <n v="1"/>
    <n v="33.390999999999998"/>
    <s v="1"/>
    <n v="33.390999999999998"/>
    <m/>
    <m/>
  </r>
  <r>
    <s v="NE1"/>
    <n v="7.02"/>
    <x v="41"/>
    <s v="PB"/>
    <s v="CZD_PB"/>
    <s v="VIVO"/>
    <s v="6211HG3360340-2378"/>
    <s v="4"/>
    <s v="20250702590335"/>
    <n v="8812441783"/>
    <n v="16.402999999999999"/>
    <n v="1"/>
    <n v="16.402999999999999"/>
    <s v="1"/>
    <n v="16.402999999999999"/>
    <m/>
    <m/>
  </r>
  <r>
    <s v="NE1"/>
    <n v="7.02"/>
    <x v="41"/>
    <s v="PB"/>
    <s v="CZD_PB"/>
    <s v="VIVO"/>
    <s v="6211HG3360340-2378"/>
    <s v="5"/>
    <s v="20250702590335"/>
    <n v="8812441780"/>
    <n v="62.743000000000002"/>
    <n v="1"/>
    <n v="62.743000000000002"/>
    <s v="1"/>
    <n v="62.743000000000002"/>
    <m/>
    <m/>
  </r>
  <r>
    <s v="NE1"/>
    <n v="7.02"/>
    <x v="42"/>
    <s v="PB"/>
    <s v="ALD_PB"/>
    <s v="VIVO"/>
    <s v="6211HG3360340-2386"/>
    <s v="3"/>
    <s v="20250714604633"/>
    <n v="8812441783"/>
    <n v="16.402999999999999"/>
    <n v="1"/>
    <n v="16.402999999999999"/>
    <s v="1"/>
    <n v="16.402999999999999"/>
    <m/>
    <m/>
  </r>
  <r>
    <s v="NE1"/>
    <n v="7.02"/>
    <x v="42"/>
    <s v="PB"/>
    <s v="ALD_PB"/>
    <s v="VIVO"/>
    <s v="6211HG3360340-2386"/>
    <s v="4"/>
    <s v="20250714604633"/>
    <n v="8812441780"/>
    <n v="62.743000000000002"/>
    <n v="1"/>
    <n v="62.743000000000002"/>
    <s v="1"/>
    <n v="62.743000000000002"/>
    <m/>
    <m/>
  </r>
  <r>
    <s v="NE1"/>
    <n v="7.02"/>
    <x v="43"/>
    <s v="PE"/>
    <s v="OYJ_PE"/>
    <s v="VIVO"/>
    <s v="6211HG3360340-2420"/>
    <s v="2"/>
    <s v="20250811635619"/>
    <n v="8812441798"/>
    <n v="40.649000000000001"/>
    <n v="1"/>
    <n v="40.649000000000001"/>
    <s v="1"/>
    <n v="40.649000000000001"/>
    <m/>
    <m/>
  </r>
  <r>
    <s v="NE1"/>
    <n v="7.02"/>
    <x v="43"/>
    <s v="PE"/>
    <s v="OYJ_PE"/>
    <s v="VIVO"/>
    <s v="6211HG3360340-2420"/>
    <s v="3"/>
    <s v="20250811635619"/>
    <n v="8812441783"/>
    <n v="16.402999999999999"/>
    <n v="1"/>
    <n v="16.402999999999999"/>
    <s v="1"/>
    <n v="16.402999999999999"/>
    <m/>
    <m/>
  </r>
  <r>
    <s v="CO3"/>
    <n v="7.02"/>
    <x v="44"/>
    <s v="GO"/>
    <s v="GOCRT12"/>
    <s v="CLARO"/>
    <s v="6211HG3360342-691"/>
    <s v="1"/>
    <s v="20251010693245"/>
    <n v="8812380404"/>
    <n v="20.5"/>
    <n v="1"/>
    <n v="20.5"/>
    <s v="1"/>
    <n v="20.5"/>
    <m/>
    <m/>
  </r>
  <r>
    <s v="CO3"/>
    <n v="7.02"/>
    <x v="44"/>
    <s v="GO"/>
    <s v="GOCRT12"/>
    <s v="CLARO"/>
    <s v="6211HG3360342-691"/>
    <s v="3"/>
    <s v="20251010693245"/>
    <n v="8812380402"/>
    <n v="2.8"/>
    <n v="1"/>
    <n v="2.8"/>
    <s v="1"/>
    <n v="2.8"/>
    <m/>
    <m/>
  </r>
  <r>
    <s v="BA"/>
    <n v="7.02"/>
    <x v="45"/>
    <s v="BA"/>
    <s v="BARIA01"/>
    <s v="CLARO"/>
    <s v="6211HG2963610-182"/>
    <s v="1"/>
    <s v="20250829646539"/>
    <n v="8812411585"/>
    <n v="720.74400000000003"/>
    <n v="1"/>
    <n v="720.74400000000003"/>
    <s v="1"/>
    <n v="720.74400000000003"/>
    <m/>
    <m/>
  </r>
  <r>
    <s v="BA"/>
    <n v="7.02"/>
    <x v="45"/>
    <s v="BA"/>
    <s v="BARIA01"/>
    <s v="CLARO"/>
    <s v="6211HG2963610-182"/>
    <s v="2"/>
    <s v="20250829646539"/>
    <n v="8812411618"/>
    <n v="871.60799999999995"/>
    <n v="1"/>
    <n v="871.60799999999995"/>
    <s v="1"/>
    <n v="871.60799999999995"/>
    <m/>
    <m/>
  </r>
  <r>
    <s v="BA"/>
    <n v="7.02"/>
    <x v="39"/>
    <s v="BA"/>
    <s v="BAMJOR7"/>
    <s v="CLARO"/>
    <s v="6211HG2963610-178"/>
    <s v="3"/>
    <s v="20250903651023"/>
    <n v="8812411623"/>
    <n v="511.38400000000001"/>
    <n v="1"/>
    <n v="511.38400000000001"/>
    <s v="1"/>
    <n v="511.38400000000001"/>
    <m/>
    <m/>
  </r>
  <r>
    <s v="CO3"/>
    <n v="7.02"/>
    <x v="29"/>
    <s v="GO"/>
    <s v="GOIUC01"/>
    <s v="CLARO"/>
    <s v="6211HG3360342-695"/>
    <s v="1"/>
    <s v="20250927680471"/>
    <n v="8812380402"/>
    <n v="2.8"/>
    <n v="1"/>
    <n v="2.8"/>
    <s v="1"/>
    <n v="2.8"/>
    <m/>
    <m/>
  </r>
  <r>
    <s v="BA"/>
    <n v="7.02"/>
    <x v="30"/>
    <s v="BA"/>
    <s v="BASER08"/>
    <s v="CLARO"/>
    <s v="6211HG3360340-2545"/>
    <s v="1"/>
    <s v="20250628584241"/>
    <n v="8812380404"/>
    <n v="20.5"/>
    <n v="1"/>
    <n v="20.5"/>
    <s v="1"/>
    <n v="20.5"/>
    <m/>
    <m/>
  </r>
  <r>
    <s v="CO3"/>
    <n v="7.02"/>
    <x v="46"/>
    <s v="GO"/>
    <s v="GNC_GO"/>
    <s v="VIVO"/>
    <s v="6211HG3360342-705"/>
    <s v="2"/>
    <s v="20251006687879"/>
    <n v="8812441662"/>
    <n v="499.29300000000001"/>
    <n v="1"/>
    <n v="499.29300000000001"/>
    <s v="1"/>
    <n v="499.29300000000001"/>
    <m/>
    <m/>
  </r>
  <r>
    <s v="CO2"/>
    <n v="7.02"/>
    <x v="47"/>
    <s v="MT"/>
    <s v="CPP_MT"/>
    <s v="VIVO"/>
    <s v="6211HG3360343-291"/>
    <s v="1"/>
    <s v="20251001683699"/>
    <n v="8812441767"/>
    <n v="206.898"/>
    <n v="1"/>
    <n v="206.898"/>
    <s v="1"/>
    <n v="206.898"/>
    <m/>
    <m/>
  </r>
  <r>
    <s v="CO2"/>
    <n v="7.02"/>
    <x v="47"/>
    <s v="MT"/>
    <s v="CPP_MT"/>
    <s v="VIVO"/>
    <s v="6211HG3360343-291"/>
    <s v="3"/>
    <s v="20251001683699"/>
    <n v="8812441688"/>
    <n v="546.17700000000002"/>
    <n v="1"/>
    <n v="546.17700000000002"/>
    <s v="1"/>
    <n v="546.17700000000002"/>
    <m/>
    <m/>
  </r>
  <r>
    <s v="CO2"/>
    <n v="7.02"/>
    <x v="47"/>
    <s v="MT"/>
    <s v="CPP_MT"/>
    <s v="VIVO"/>
    <s v="6211HG3360343-291"/>
    <s v="2"/>
    <s v="20251001683699"/>
    <n v="8812441757"/>
    <n v="43.198"/>
    <n v="1"/>
    <n v="43.198"/>
    <s v="1"/>
    <n v="43.198"/>
    <m/>
    <m/>
  </r>
  <r>
    <s v="SPI"/>
    <n v="7.02"/>
    <x v="48"/>
    <s v="SP"/>
    <s v="AGU_SP"/>
    <s v="VIVO"/>
    <s v="6211HG3360338-709"/>
    <s v="2"/>
    <s v="20250801623509"/>
    <n v="8812441765"/>
    <n v="383.82299999999998"/>
    <n v="2"/>
    <n v="767.64599999999996"/>
    <s v="1"/>
    <n v="767.64599999999996"/>
    <m/>
    <m/>
  </r>
  <r>
    <s v="SPI"/>
    <n v="7.02"/>
    <x v="24"/>
    <s v="SP"/>
    <s v="RPW_SP"/>
    <s v="VIVO"/>
    <s v="6211HG3360338-727"/>
    <s v="1"/>
    <s v="20250930679277"/>
    <n v="8812441688"/>
    <n v="3799.62"/>
    <n v="1"/>
    <n v="3799.62"/>
    <s v="1"/>
    <n v="3799.62"/>
    <m/>
    <m/>
  </r>
  <r>
    <s v="NE1"/>
    <n v="7.02"/>
    <x v="49"/>
    <s v="PB"/>
    <s v="BVN_PB"/>
    <s v="VIVO"/>
    <s v="6211HG3360340-2826"/>
    <s v="1"/>
    <s v="20250709595637"/>
    <n v="8812441780"/>
    <n v="564.68700000000001"/>
    <n v="1"/>
    <n v="564.68700000000001"/>
    <s v="1"/>
    <n v="564.68700000000001"/>
    <m/>
    <m/>
  </r>
  <r>
    <s v="NE1"/>
    <n v="7.02"/>
    <x v="49"/>
    <s v="PB"/>
    <s v="BVN_PB"/>
    <s v="VIVO"/>
    <s v="6211HG3360340-2826"/>
    <s v="3"/>
    <s v="20250709595637"/>
    <n v="8812441793"/>
    <n v="40.982999999999997"/>
    <n v="4"/>
    <n v="163.93199999999999"/>
    <s v="1"/>
    <n v="163.93199999999999"/>
    <m/>
    <m/>
  </r>
  <r>
    <s v="NE1"/>
    <n v="7.02"/>
    <x v="49"/>
    <s v="PB"/>
    <s v="BVN_PB"/>
    <s v="VIVO"/>
    <s v="6211HG3360340-2826"/>
    <s v="3"/>
    <s v="20250709595637"/>
    <n v="8812441793"/>
    <n v="368.84699999999998"/>
    <n v="4"/>
    <n v="1475.3879999999999"/>
    <s v="1"/>
    <n v="1475.3879999999999"/>
    <m/>
    <m/>
  </r>
  <r>
    <s v="NE1"/>
    <n v="7.02"/>
    <x v="49"/>
    <s v="PB"/>
    <s v="BVN_PB"/>
    <s v="VIVO"/>
    <s v="6211HG3360340-2826"/>
    <s v="4"/>
    <s v="20250709595637"/>
    <n v="8812441798"/>
    <n v="40.649000000000001"/>
    <n v="1"/>
    <n v="40.649000000000001"/>
    <s v="1"/>
    <n v="40.649000000000001"/>
    <m/>
    <m/>
  </r>
  <r>
    <s v="NE2"/>
    <n v="7.02"/>
    <x v="2"/>
    <s v="CE"/>
    <s v="PVL_CE"/>
    <s v="VIVO"/>
    <s v="6211HG3360340-2828"/>
    <s v="3"/>
    <s v="20250708594317"/>
    <n v="8812441783"/>
    <n v="147.62700000000001"/>
    <n v="2"/>
    <n v="295.25400000000002"/>
    <s v="1"/>
    <n v="295.25400000000002"/>
    <m/>
    <m/>
  </r>
  <r>
    <s v="NE2"/>
    <n v="7.02"/>
    <x v="2"/>
    <s v="CE"/>
    <s v="PVL_CE"/>
    <s v="VIVO"/>
    <s v="6211HG3360340-2828"/>
    <s v="4"/>
    <s v="20250708594317"/>
    <n v="8812441793"/>
    <n v="368.84699999999998"/>
    <n v="3"/>
    <n v="1106.5409999999999"/>
    <s v="1"/>
    <n v="1106.5409999999999"/>
    <m/>
    <m/>
  </r>
  <r>
    <s v="NE1"/>
    <n v="7.02"/>
    <x v="32"/>
    <s v="AL"/>
    <s v="LOT_AL"/>
    <s v="VIVO"/>
    <s v="6211HG3360340-3062"/>
    <s v="5"/>
    <s v="20250708589335"/>
    <n v="8812441757"/>
    <n v="38.527999999999999"/>
    <n v="1"/>
    <n v="38.527999999999999"/>
    <s v="1"/>
    <n v="38.527999999999999"/>
    <m/>
    <m/>
  </r>
  <r>
    <s v="NE1"/>
    <n v="7.02"/>
    <x v="32"/>
    <s v="AL"/>
    <s v="OBH_AL"/>
    <s v="VIVO"/>
    <s v="6211HG3360340-2907"/>
    <s v="1"/>
    <s v="20250922669513"/>
    <n v="8812441784"/>
    <n v="17.741"/>
    <n v="6"/>
    <n v="106.446"/>
    <s v="1"/>
    <n v="106.446"/>
    <m/>
    <m/>
  </r>
  <r>
    <s v="NE1"/>
    <n v="7.02"/>
    <x v="6"/>
    <s v="PE"/>
    <s v="PECBO23"/>
    <s v="CLARO"/>
    <s v="6211HG2963610-168"/>
    <s v="2"/>
    <s v="20250829645223"/>
    <n v="8812411607"/>
    <n v="20.065999999999999"/>
    <n v="1"/>
    <n v="20.065999999999999"/>
    <s v="1"/>
    <n v="20.065999999999999"/>
    <m/>
    <m/>
  </r>
  <r>
    <s v="BA"/>
    <n v="7.02"/>
    <x v="37"/>
    <s v="BA"/>
    <s v="BAJQE81"/>
    <s v="CLARO"/>
    <s v="6211HG3360340-2366"/>
    <s v="3"/>
    <s v="20250325479217"/>
    <n v="8818241203"/>
    <n v="10.093999999999999"/>
    <n v="1"/>
    <n v="10.093999999999999"/>
    <s v="1"/>
    <n v="10.093999999999999"/>
    <m/>
    <m/>
  </r>
  <r>
    <s v="BA"/>
    <n v="7.02"/>
    <x v="37"/>
    <s v="BA"/>
    <s v="BAJQE81"/>
    <s v="CLARO"/>
    <s v="6211HG3360340-2375"/>
    <s v="1"/>
    <s v="20250325479217"/>
    <n v="8812441681"/>
    <n v="648.28499999999997"/>
    <n v="1"/>
    <n v="648.28499999999997"/>
    <s v="1"/>
    <n v="648.28499999999997"/>
    <m/>
    <m/>
  </r>
  <r>
    <s v="BA"/>
    <n v="7.02"/>
    <x v="37"/>
    <s v="BA"/>
    <s v="BAJQE81"/>
    <s v="CLARO"/>
    <s v="6211HG3360340-2375"/>
    <s v="2"/>
    <s v="20250325479217"/>
    <n v="8812441763"/>
    <n v="24.605"/>
    <n v="2"/>
    <n v="49.21"/>
    <s v="1"/>
    <n v="49.21"/>
    <m/>
    <m/>
  </r>
  <r>
    <s v="SPI"/>
    <n v="7.02"/>
    <x v="50"/>
    <s v="SP"/>
    <s v="FFN_SP"/>
    <s v="VIVO"/>
    <s v="6211HG3360338-98"/>
    <s v="1"/>
    <s v="20241223362969"/>
    <n v="8812441652"/>
    <n v="2846.1779999999999"/>
    <n v="1"/>
    <n v="2846.1779999999999"/>
    <s v="1"/>
    <n v="2846.1779999999999"/>
    <m/>
    <m/>
  </r>
  <r>
    <s v="BA"/>
    <n v="7.02"/>
    <x v="51"/>
    <s v="BA"/>
    <s v="BAPDQ80"/>
    <s v="CLARO"/>
    <s v="6211HG3360340-1791"/>
    <s v="1"/>
    <s v="20250818633535"/>
    <n v="8812441675"/>
    <n v="5298.8580000000002"/>
    <n v="0.5"/>
    <n v="2649.4290000000001"/>
    <s v="1"/>
    <n v="2649.4290000000001"/>
    <m/>
    <m/>
  </r>
  <r>
    <s v="SPI"/>
    <n v="7.02"/>
    <x v="52"/>
    <s v="SP"/>
    <s v="SGD_SP"/>
    <s v="VIVO"/>
    <s v="6211HG3360338-662"/>
    <s v="1"/>
    <s v="20250930682927"/>
    <n v="8812441763"/>
    <n v="21.324000000000002"/>
    <n v="3"/>
    <n v="63.972000000000008"/>
    <s v="1"/>
    <n v="63.972000000000008"/>
    <m/>
    <m/>
  </r>
  <r>
    <s v="SP TIM"/>
    <n v="7.02"/>
    <x v="53"/>
    <s v="SP"/>
    <s v="YDCT01_KE"/>
    <s v="TIM"/>
    <s v="6211HG3360338-443"/>
    <s v="2"/>
    <s v="20250731622873"/>
    <n v="8818241187"/>
    <n v="821.14200000000005"/>
    <n v="1"/>
    <n v="821.14200000000005"/>
    <s v="1"/>
    <n v="821.14200000000005"/>
    <m/>
    <m/>
  </r>
  <r>
    <s v="NE1"/>
    <n v="7.02"/>
    <x v="54"/>
    <s v="AL"/>
    <s v="ALPND07"/>
    <s v="CLARO"/>
    <s v="6211HG2963610-120"/>
    <s v="2"/>
    <s v="20250829645231"/>
    <n v="8812411607"/>
    <n v="20.065999999999999"/>
    <n v="1"/>
    <n v="20.065999999999999"/>
    <s v="1"/>
    <n v="20.065999999999999"/>
    <m/>
    <m/>
  </r>
  <r>
    <s v="BA"/>
    <n v="7.02"/>
    <x v="16"/>
    <s v="BA"/>
    <s v="BASAJ09"/>
    <s v="CLARO"/>
    <s v="6211HG3360340-2099"/>
    <s v="5"/>
    <s v="20250716607765"/>
    <n v="8812380404"/>
    <n v="20.5"/>
    <n v="1"/>
    <n v="20.5"/>
    <s v="1"/>
    <n v="20.5"/>
    <m/>
    <m/>
  </r>
  <r>
    <s v="SPI"/>
    <n v="7.02"/>
    <x v="55"/>
    <s v="SP"/>
    <s v="DIL_SP"/>
    <s v="VIVO"/>
    <s v="6211HG3360338-708"/>
    <s v="1"/>
    <s v="20251001683717"/>
    <n v="8818241193"/>
    <n v="12.938000000000001"/>
    <n v="1"/>
    <n v="12.938000000000001"/>
    <s v="1"/>
    <n v="12.938000000000001"/>
    <m/>
    <m/>
  </r>
  <r>
    <s v="SP TIM"/>
    <n v="7.02"/>
    <x v="17"/>
    <s v="SP"/>
    <s v="RTCB02_KE"/>
    <s v="TIM"/>
    <s v="6211HG3360338-552"/>
    <s v="1"/>
    <s v="20250731625615"/>
    <n v="8818241193"/>
    <n v="116.44199999999999"/>
    <n v="2"/>
    <n v="232.88399999999999"/>
    <s v="1"/>
    <n v="232.88399999999999"/>
    <m/>
    <m/>
  </r>
  <r>
    <s v="BA"/>
    <n v="7.02"/>
    <x v="18"/>
    <s v="BA"/>
    <s v="BASTA01"/>
    <s v="CLARO"/>
    <s v="6211HG2963610-145"/>
    <s v="3"/>
    <s v="20250829650639"/>
    <n v="8812411623"/>
    <n v="511.38400000000001"/>
    <n v="1"/>
    <n v="511.38400000000001"/>
    <s v="1"/>
    <n v="511.38400000000001"/>
    <m/>
    <m/>
  </r>
  <r>
    <s v="SP TIM"/>
    <n v="7.02"/>
    <x v="38"/>
    <s v="SP"/>
    <s v="18NLAQCT0"/>
    <s v="TIM"/>
    <s v="6211HG3360338-529"/>
    <s v="1"/>
    <s v="20250731625891"/>
    <n v="8818241193"/>
    <n v="12.938000000000001"/>
    <n v="1"/>
    <n v="12.938000000000001"/>
    <s v="1"/>
    <n v="12.938000000000001"/>
    <m/>
    <m/>
  </r>
  <r>
    <s v="SP TIM"/>
    <n v="7.02"/>
    <x v="56"/>
    <s v="SP"/>
    <s v="18NLMTCN0"/>
    <s v="TIM"/>
    <s v="6211HG3360338-541"/>
    <s v="1"/>
    <s v="20250731625717"/>
    <n v="8818241193"/>
    <n v="12.938000000000001"/>
    <n v="1"/>
    <n v="12.938000000000001"/>
    <s v="1"/>
    <n v="12.938000000000001"/>
    <m/>
    <m/>
  </r>
  <r>
    <s v="SPI"/>
    <n v="7.02"/>
    <x v="25"/>
    <s v="SP"/>
    <s v="PLR_SP"/>
    <s v="VIVO"/>
    <s v="6211HG3360338-668"/>
    <s v="1"/>
    <s v="20250930679391"/>
    <n v="8818241189"/>
    <n v="49.570999999999998"/>
    <n v="1"/>
    <n v="49.570999999999998"/>
    <s v="1"/>
    <n v="49.570999999999998"/>
    <m/>
    <m/>
  </r>
  <r>
    <s v="SPI"/>
    <n v="7.02"/>
    <x v="14"/>
    <s v="SP"/>
    <s v="RMC_SP"/>
    <s v="VIVO"/>
    <s v="6211HG3360338-669"/>
    <s v="2"/>
    <s v="20250930682825"/>
    <n v="8812441770"/>
    <n v="73.813999999999993"/>
    <n v="1"/>
    <n v="73.813999999999993"/>
    <s v="1"/>
    <n v="73.813999999999993"/>
    <m/>
    <m/>
  </r>
  <r>
    <s v="CO3"/>
    <n v="7.02"/>
    <x v="19"/>
    <s v="GO"/>
    <s v="GOPPS04"/>
    <s v="CLARO"/>
    <s v="6211HG2963611-40"/>
    <s v="2"/>
    <s v="20250829646609"/>
    <n v="8812411607"/>
    <n v="80.263999999999996"/>
    <n v="1"/>
    <n v="80.263999999999996"/>
    <s v="1"/>
    <n v="80.263999999999996"/>
    <m/>
    <m/>
  </r>
  <r>
    <s v="NE1"/>
    <n v="7.02"/>
    <x v="21"/>
    <s v="PE"/>
    <s v="IJG_PE"/>
    <s v="VIVO"/>
    <s v="6211HG3360340-2217"/>
    <s v="1"/>
    <s v="20250714604705"/>
    <n v="8812441798"/>
    <n v="40.649000000000001"/>
    <n v="1"/>
    <n v="40.649000000000001"/>
    <s v="1"/>
    <n v="40.649000000000001"/>
    <m/>
    <m/>
  </r>
  <r>
    <s v="NE2"/>
    <n v="7.02"/>
    <x v="22"/>
    <s v="CE"/>
    <s v="OIY_CE"/>
    <s v="VIVO"/>
    <s v="6211HG3360340-2225"/>
    <s v="1"/>
    <s v="20250701588793"/>
    <n v="8812441780"/>
    <n v="564.68700000000001"/>
    <n v="1"/>
    <n v="564.68700000000001"/>
    <s v="1"/>
    <n v="564.68700000000001"/>
    <m/>
    <m/>
  </r>
  <r>
    <s v="NE2"/>
    <n v="7.02"/>
    <x v="22"/>
    <s v="CE"/>
    <s v="OIY_CE"/>
    <s v="VIVO"/>
    <s v="6211HG3360340-2225"/>
    <s v="3"/>
    <s v="20250701588793"/>
    <n v="8812441793"/>
    <n v="368.84699999999998"/>
    <n v="3"/>
    <n v="1106.5409999999999"/>
    <s v="1"/>
    <n v="1106.5409999999999"/>
    <m/>
    <m/>
  </r>
  <r>
    <s v="NE1"/>
    <n v="7.02"/>
    <x v="41"/>
    <s v="PB"/>
    <s v="CZD_PB"/>
    <s v="VIVO"/>
    <s v="6211HG3360340-2378"/>
    <s v="1"/>
    <s v="20250702590335"/>
    <n v="8812441793"/>
    <n v="40.982999999999997"/>
    <n v="4"/>
    <n v="163.93199999999999"/>
    <s v="1"/>
    <n v="163.93199999999999"/>
    <m/>
    <m/>
  </r>
  <r>
    <s v="NE1"/>
    <n v="7.02"/>
    <x v="41"/>
    <s v="PB"/>
    <s v="CZD_PB"/>
    <s v="VIVO"/>
    <s v="6211HG3360340-2378"/>
    <s v="2"/>
    <s v="20250702590335"/>
    <n v="8812441798"/>
    <n v="40.649000000000001"/>
    <n v="1"/>
    <n v="40.649000000000001"/>
    <s v="1"/>
    <n v="40.649000000000001"/>
    <m/>
    <m/>
  </r>
  <r>
    <s v="NE1"/>
    <n v="7.02"/>
    <x v="41"/>
    <s v="PB"/>
    <s v="CZD_PB"/>
    <s v="VIVO"/>
    <s v="6211HG3360340-2378"/>
    <s v="3"/>
    <s v="20250702590335"/>
    <n v="8812441777"/>
    <n v="15.065"/>
    <n v="1"/>
    <n v="15.065"/>
    <s v="1"/>
    <n v="15.065"/>
    <m/>
    <m/>
  </r>
  <r>
    <s v="SP TIM"/>
    <n v="7.02"/>
    <x v="57"/>
    <s v="SP"/>
    <s v="SR-LSRB06"/>
    <s v="TIM"/>
    <s v="6211HG3295910-941"/>
    <s v="1"/>
    <s v="20241229371123"/>
    <n v="8812380319"/>
    <n v="944.74"/>
    <n v="1"/>
    <n v="944.74"/>
    <s v="1"/>
    <n v="944.74"/>
    <m/>
    <m/>
  </r>
  <r>
    <s v="NE2"/>
    <n v="7.02"/>
    <x v="58"/>
    <s v="CE"/>
    <s v="SR-PJPJJ0"/>
    <s v="TIM"/>
    <s v="6211HG3360340-2343"/>
    <s v="1"/>
    <s v="20250630590031"/>
    <n v="8818241271"/>
    <n v="36.506"/>
    <n v="3"/>
    <n v="109.518"/>
    <s v="1"/>
    <n v="109.518"/>
    <m/>
    <m/>
  </r>
  <r>
    <s v="NE2"/>
    <n v="7.02"/>
    <x v="58"/>
    <s v="CE"/>
    <s v="SR-PJPJJ0"/>
    <s v="TIM"/>
    <s v="6211HG3360340-2343"/>
    <s v="2"/>
    <s v="20250630590031"/>
    <n v="8818241257"/>
    <n v="7.6340000000000003"/>
    <n v="55"/>
    <n v="419.87"/>
    <s v="1"/>
    <n v="419.87"/>
    <m/>
    <m/>
  </r>
  <r>
    <s v="NE1"/>
    <n v="7.02"/>
    <x v="42"/>
    <s v="PB"/>
    <s v="ALD_PB"/>
    <s v="VIVO"/>
    <s v="6211HG3360340-2386"/>
    <s v="1"/>
    <s v="20250714604633"/>
    <n v="8812441793"/>
    <n v="40.982999999999997"/>
    <n v="5"/>
    <n v="204.91499999999999"/>
    <s v="1"/>
    <n v="204.91499999999999"/>
    <m/>
    <m/>
  </r>
  <r>
    <s v="CO3"/>
    <n v="7.02"/>
    <x v="29"/>
    <s v="GO"/>
    <s v="GOIUC01"/>
    <s v="CLARO"/>
    <s v="6211HG3360342-695"/>
    <s v="3"/>
    <s v="20250927680471"/>
    <n v="8812441654"/>
    <n v="482.77300000000002"/>
    <n v="1"/>
    <n v="482.77300000000002"/>
    <s v="1"/>
    <n v="482.77300000000002"/>
    <m/>
    <m/>
  </r>
  <r>
    <s v="NE1"/>
    <n v="7.02"/>
    <x v="43"/>
    <s v="PE"/>
    <s v="OYJ_PE"/>
    <s v="VIVO"/>
    <s v="6211HG3360340-2420"/>
    <s v="1"/>
    <s v="20250811635619"/>
    <n v="8812441793"/>
    <n v="40.982999999999997"/>
    <n v="3"/>
    <n v="122.94899999999998"/>
    <s v="1"/>
    <n v="122.94899999999998"/>
    <m/>
    <m/>
  </r>
  <r>
    <s v="SPI"/>
    <n v="7.02"/>
    <x v="25"/>
    <s v="SP"/>
    <s v="PLR_SP"/>
    <s v="VIVO"/>
    <s v="6211HG3360338-676"/>
    <s v="1"/>
    <s v="20250930679391"/>
    <n v="8818241279"/>
    <n v="88.358000000000004"/>
    <n v="3"/>
    <n v="265.07400000000001"/>
    <s v="1"/>
    <n v="265.07400000000001"/>
    <m/>
    <m/>
  </r>
  <r>
    <s v="BA"/>
    <n v="7.02"/>
    <x v="39"/>
    <s v="BA"/>
    <s v="BAMJOR7"/>
    <s v="CLARO"/>
    <s v="6211HG2963610-178"/>
    <s v="1"/>
    <s v="20250903651023"/>
    <n v="8812411585"/>
    <n v="720.74400000000003"/>
    <n v="1"/>
    <n v="720.74400000000003"/>
    <s v="1"/>
    <n v="720.74400000000003"/>
    <m/>
    <m/>
  </r>
  <r>
    <s v="BA"/>
    <n v="7.02"/>
    <x v="30"/>
    <s v="BA"/>
    <s v="BASER08"/>
    <s v="CLARO"/>
    <s v="6211HG3360340-2545"/>
    <s v="3"/>
    <s v="20250628584241"/>
    <n v="8812441644"/>
    <n v="639.84400000000005"/>
    <n v="1"/>
    <n v="639.84400000000005"/>
    <s v="1"/>
    <n v="639.84400000000005"/>
    <m/>
    <m/>
  </r>
  <r>
    <s v="BA"/>
    <n v="7.02"/>
    <x v="30"/>
    <s v="BA"/>
    <s v="BASER08"/>
    <s v="CLARO"/>
    <s v="6211HG3360340-2588"/>
    <s v="2"/>
    <s v="20250628584241"/>
    <n v="8818241197"/>
    <n v="38.576000000000001"/>
    <n v="1"/>
    <n v="38.576000000000001"/>
    <s v="1"/>
    <n v="38.576000000000001"/>
    <m/>
    <m/>
  </r>
  <r>
    <s v="BA"/>
    <n v="7.02"/>
    <x v="30"/>
    <s v="BA"/>
    <s v="BASER08"/>
    <s v="CLARO"/>
    <s v="6211HG3360340-2588"/>
    <s v="3"/>
    <s v="20250628584241"/>
    <n v="8818241193"/>
    <n v="13.307"/>
    <n v="2"/>
    <n v="26.614000000000001"/>
    <s v="1"/>
    <n v="26.614000000000001"/>
    <m/>
    <m/>
  </r>
  <r>
    <s v="NE1"/>
    <n v="7.02"/>
    <x v="32"/>
    <s v="AL"/>
    <s v="LOT_AL"/>
    <s v="VIVO"/>
    <s v="6211HG3360340-3062"/>
    <s v="3"/>
    <s v="20250708589335"/>
    <n v="8812441783"/>
    <n v="16.402999999999999"/>
    <n v="5"/>
    <n v="82.014999999999986"/>
    <s v="1"/>
    <n v="82.014999999999986"/>
    <m/>
    <m/>
  </r>
  <r>
    <s v="NE1"/>
    <n v="7.02"/>
    <x v="32"/>
    <s v="AL"/>
    <s v="PPJ_AL"/>
    <s v="VIVO"/>
    <s v="6211HG3360340-2815"/>
    <s v="3"/>
    <s v="20250626579515"/>
    <n v="8812441783"/>
    <n v="16.402999999999999"/>
    <n v="6"/>
    <n v="98.417999999999992"/>
    <s v="1"/>
    <n v="98.417999999999992"/>
    <m/>
    <m/>
  </r>
  <r>
    <s v="NE1"/>
    <n v="7.02"/>
    <x v="32"/>
    <s v="AL"/>
    <s v="PPJ_AL"/>
    <s v="VIVO"/>
    <s v="6211HG3360340-2815"/>
    <s v="4"/>
    <s v="20250626579515"/>
    <n v="8812441793"/>
    <n v="40.982999999999997"/>
    <n v="5"/>
    <n v="204.91499999999999"/>
    <s v="1"/>
    <n v="204.91499999999999"/>
    <m/>
    <m/>
  </r>
  <r>
    <s v="NE1"/>
    <n v="7.02"/>
    <x v="31"/>
    <s v="PB"/>
    <s v="CGB_PB"/>
    <s v="VIVO"/>
    <s v="6211HG3360340-2824"/>
    <s v="4"/>
    <s v="20250709595057"/>
    <n v="8812441780"/>
    <n v="62.743000000000002"/>
    <n v="1"/>
    <n v="62.743000000000002"/>
    <s v="1"/>
    <n v="62.743000000000002"/>
    <m/>
    <m/>
  </r>
  <r>
    <s v="NE1"/>
    <n v="7.02"/>
    <x v="0"/>
    <s v="PE"/>
    <s v="ASI_PE"/>
    <s v="VIVO"/>
    <s v="6211HG3360340-2852"/>
    <s v="3"/>
    <s v="20250714604663"/>
    <n v="8812441777"/>
    <n v="135.58500000000001"/>
    <n v="1"/>
    <n v="135.58500000000001"/>
    <s v="1"/>
    <n v="135.58500000000001"/>
    <m/>
    <m/>
  </r>
  <r>
    <s v="NE1"/>
    <n v="7.02"/>
    <x v="0"/>
    <s v="PE"/>
    <s v="ASI_PE"/>
    <s v="VIVO"/>
    <s v="6211HG3360340-2852"/>
    <s v="5"/>
    <s v="20250714604663"/>
    <n v="8812441780"/>
    <n v="564.68700000000001"/>
    <n v="1"/>
    <n v="564.68700000000001"/>
    <s v="1"/>
    <n v="564.68700000000001"/>
    <m/>
    <m/>
  </r>
  <r>
    <s v="NE1"/>
    <n v="7.02"/>
    <x v="1"/>
    <s v="PB"/>
    <s v="CPV_PB"/>
    <s v="VIVO"/>
    <s v="6211HG3360340-2858"/>
    <s v="1"/>
    <s v="20250711595393"/>
    <n v="8812441793"/>
    <n v="368.84699999999998"/>
    <n v="1"/>
    <n v="368.84699999999998"/>
    <s v="1"/>
    <n v="368.84699999999998"/>
    <m/>
    <m/>
  </r>
  <r>
    <s v="NE2"/>
    <n v="7.02"/>
    <x v="2"/>
    <s v="CE"/>
    <s v="CNN_CE"/>
    <s v="VIVO"/>
    <s v="6211HG3360340-2862"/>
    <s v="4"/>
    <s v="20250626579533"/>
    <n v="8812441783"/>
    <n v="16.402999999999999"/>
    <n v="7"/>
    <n v="114.821"/>
    <s v="1"/>
    <n v="114.821"/>
    <m/>
    <m/>
  </r>
  <r>
    <s v="NE2"/>
    <n v="7.02"/>
    <x v="2"/>
    <s v="CE"/>
    <s v="CNN_CE"/>
    <s v="VIVO"/>
    <s v="6211HG3360340-2862"/>
    <s v="5"/>
    <s v="20250626579533"/>
    <n v="8812441780"/>
    <n v="62.743000000000002"/>
    <n v="1"/>
    <n v="62.743000000000002"/>
    <s v="1"/>
    <n v="62.743000000000002"/>
    <m/>
    <m/>
  </r>
  <r>
    <s v="NE2"/>
    <n v="7.02"/>
    <x v="3"/>
    <s v="CE"/>
    <s v="BSP_CE"/>
    <s v="VIVO"/>
    <s v="6211HG3360340-2865"/>
    <s v="1"/>
    <s v="20250626579545"/>
    <n v="8812441783"/>
    <n v="16.402999999999999"/>
    <n v="1"/>
    <n v="16.402999999999999"/>
    <s v="1"/>
    <n v="16.402999999999999"/>
    <m/>
    <m/>
  </r>
  <r>
    <s v="NE2"/>
    <n v="7.02"/>
    <x v="3"/>
    <s v="CE"/>
    <s v="BSP_CE"/>
    <s v="VIVO"/>
    <s v="6211HG3360340-2865"/>
    <s v="4"/>
    <s v="20250626579545"/>
    <n v="8812441780"/>
    <n v="564.68700000000001"/>
    <n v="1"/>
    <n v="564.68700000000001"/>
    <s v="1"/>
    <n v="564.68700000000001"/>
    <m/>
    <m/>
  </r>
  <r>
    <s v="CO3"/>
    <n v="7.02"/>
    <x v="19"/>
    <s v="GO"/>
    <s v="GOPPS04"/>
    <s v="CLARO"/>
    <s v="6211HG2963611-44"/>
    <s v="1"/>
    <s v="20250829646609"/>
    <n v="8812411618"/>
    <n v="871.60799999999995"/>
    <n v="1"/>
    <n v="871.60799999999995"/>
    <s v="1"/>
    <n v="871.60799999999995"/>
    <m/>
    <m/>
  </r>
  <r>
    <s v="CO3"/>
    <n v="7.02"/>
    <x v="59"/>
    <s v="GO"/>
    <s v="OCO_GO"/>
    <s v="VIVO"/>
    <s v="6211HG3360342-772"/>
    <s v="1"/>
    <s v="20250409486913"/>
    <n v="8818277881"/>
    <n v="19.510999999999999"/>
    <n v="2"/>
    <n v="39.021999999999998"/>
    <s v="1"/>
    <n v="39.021999999999998"/>
    <m/>
    <m/>
  </r>
  <r>
    <s v="SPI"/>
    <n v="7.02"/>
    <x v="60"/>
    <s v="SP"/>
    <s v="OT7_SP"/>
    <s v="VIVO"/>
    <s v="6211HG3360338-741"/>
    <s v="1"/>
    <s v="20250729617933"/>
    <n v="8812441793"/>
    <n v="35.518000000000001"/>
    <n v="2"/>
    <n v="71.036000000000001"/>
    <s v="1"/>
    <n v="71.036000000000001"/>
    <m/>
    <m/>
  </r>
  <r>
    <s v="NE1"/>
    <n v="7.02"/>
    <x v="4"/>
    <s v="PE"/>
    <s v="PESZC12"/>
    <s v="CLARO"/>
    <s v="6211HG2963610-173"/>
    <s v="3"/>
    <s v="20250829650629"/>
    <n v="8812411623"/>
    <n v="127.846"/>
    <n v="1"/>
    <n v="127.846"/>
    <s v="1"/>
    <n v="127.846"/>
    <m/>
    <m/>
  </r>
  <r>
    <s v="SPI"/>
    <n v="7.02"/>
    <x v="61"/>
    <s v="SP"/>
    <s v="SRA_SP"/>
    <s v="VIVO"/>
    <s v="6211G28857520-61"/>
    <s v="1"/>
    <s v="20240123987625"/>
    <n v="8818241112"/>
    <n v="45.63"/>
    <n v="2"/>
    <n v="91.26"/>
    <s v="1"/>
    <n v="91.26"/>
    <m/>
    <m/>
  </r>
  <r>
    <s v="CO2"/>
    <n v="7.02"/>
    <x v="62"/>
    <s v="MT"/>
    <s v="NM5_MT"/>
    <s v="VIVO"/>
    <s v="6211HG3360343-132"/>
    <s v="1"/>
    <s v="20250714604717"/>
    <n v="8812441793"/>
    <n v="45.95"/>
    <n v="5"/>
    <n v="229.75"/>
    <s v="1"/>
    <n v="229.75"/>
    <m/>
    <m/>
  </r>
  <r>
    <s v="NE1"/>
    <n v="7.02"/>
    <x v="5"/>
    <s v="PE"/>
    <s v="DIC_PE"/>
    <s v="VIVO"/>
    <s v="6211HG3360340-2174"/>
    <s v="2"/>
    <s v="20250905652937"/>
    <n v="8812441798"/>
    <n v="40.649000000000001"/>
    <n v="3"/>
    <n v="121.947"/>
    <s v="1"/>
    <n v="121.947"/>
    <m/>
    <m/>
  </r>
  <r>
    <s v="SPI"/>
    <n v="7.02"/>
    <x v="63"/>
    <s v="SP"/>
    <s v="T15_SP"/>
    <s v="VIVO"/>
    <s v="6211HG3360338-597"/>
    <s v="1"/>
    <s v="20241022268163"/>
    <n v="8812441650"/>
    <n v="230.80099999999999"/>
    <n v="1"/>
    <n v="230.80099999999999"/>
    <s v="1"/>
    <n v="230.80099999999999"/>
    <m/>
    <m/>
  </r>
  <r>
    <s v="BA"/>
    <n v="7.02"/>
    <x v="37"/>
    <s v="BA"/>
    <s v="BAJQE81"/>
    <s v="CLARO"/>
    <s v="6211HG3360340-2366"/>
    <s v="2"/>
    <s v="20250325479217"/>
    <n v="8818241193"/>
    <n v="13.307"/>
    <n v="2"/>
    <n v="26.614000000000001"/>
    <s v="1"/>
    <n v="26.614000000000001"/>
    <m/>
    <m/>
  </r>
  <r>
    <s v="CO3"/>
    <n v="7.02"/>
    <x v="15"/>
    <s v="GO"/>
    <s v="GOANS08"/>
    <s v="CLARO"/>
    <s v="6211HG3360342-656"/>
    <s v="3"/>
    <s v="20250628586559"/>
    <n v="8812441681"/>
    <n v="660.072"/>
    <n v="1"/>
    <n v="660.072"/>
    <s v="1"/>
    <n v="660.072"/>
    <m/>
    <m/>
  </r>
  <r>
    <s v="BA"/>
    <n v="7.02"/>
    <x v="37"/>
    <s v="BA"/>
    <s v="BAJQE81"/>
    <s v="CLARO"/>
    <s v="6211HG3360340-2375"/>
    <s v="4"/>
    <s v="20250325479217"/>
    <n v="8812380402"/>
    <n v="2.8"/>
    <n v="1"/>
    <n v="2.8"/>
    <s v="1"/>
    <n v="2.8"/>
    <m/>
    <m/>
  </r>
  <r>
    <s v="BA"/>
    <n v="7.02"/>
    <x v="8"/>
    <s v="BA"/>
    <s v="BAVCT07"/>
    <s v="CLARO"/>
    <s v="6211HG3360340-1826"/>
    <s v="3"/>
    <s v="20250114394689"/>
    <n v="8812380402"/>
    <n v="2.8"/>
    <n v="1"/>
    <n v="2.8"/>
    <s v="1"/>
    <n v="2.8"/>
    <m/>
    <m/>
  </r>
  <r>
    <s v="SP TIM"/>
    <n v="7.02"/>
    <x v="53"/>
    <s v="SP"/>
    <s v="YDCT01_KE"/>
    <s v="TIM"/>
    <s v="6211HG3360338-443"/>
    <s v="1"/>
    <s v="20250731622873"/>
    <n v="8818241193"/>
    <n v="116.44199999999999"/>
    <n v="2"/>
    <n v="232.88399999999999"/>
    <s v="1"/>
    <n v="232.88399999999999"/>
    <m/>
    <m/>
  </r>
  <r>
    <s v="SP TIM"/>
    <n v="7.02"/>
    <x v="64"/>
    <s v="SP"/>
    <s v="SR-TSPP04"/>
    <s v="TIM"/>
    <s v="6211HG3295910-892"/>
    <s v="1"/>
    <s v="20240719175795"/>
    <n v="8812380320"/>
    <n v="1249.0940000000001"/>
    <n v="1"/>
    <n v="1249.0940000000001"/>
    <s v="1"/>
    <n v="1249.0940000000001"/>
    <m/>
    <m/>
  </r>
  <r>
    <s v="NE1"/>
    <n v="7.02"/>
    <x v="65"/>
    <s v="PE"/>
    <s v="PERBE04"/>
    <s v="CLARO"/>
    <s v="6211HG2963610-118"/>
    <s v="1"/>
    <s v="20250828649659"/>
    <n v="8812411585"/>
    <n v="180.18600000000001"/>
    <n v="1"/>
    <n v="180.18600000000001"/>
    <s v="1"/>
    <n v="180.18600000000001"/>
    <m/>
    <m/>
  </r>
  <r>
    <s v="NE1"/>
    <n v="7.02"/>
    <x v="65"/>
    <s v="PE"/>
    <s v="PERBE04"/>
    <s v="CLARO"/>
    <s v="6211HG2963610-118"/>
    <s v="2"/>
    <s v="20250828649659"/>
    <n v="8812411607"/>
    <n v="20.065999999999999"/>
    <n v="1"/>
    <n v="20.065999999999999"/>
    <s v="1"/>
    <n v="20.065999999999999"/>
    <m/>
    <m/>
  </r>
  <r>
    <s v="NE1"/>
    <n v="7.02"/>
    <x v="54"/>
    <s v="AL"/>
    <s v="ALPND07"/>
    <s v="CLARO"/>
    <s v="6211HG2963610-120"/>
    <s v="1"/>
    <s v="20250829645231"/>
    <n v="8812411585"/>
    <n v="180.18600000000001"/>
    <n v="1"/>
    <n v="180.18600000000001"/>
    <s v="1"/>
    <n v="180.18600000000001"/>
    <m/>
    <m/>
  </r>
  <r>
    <s v="NE1"/>
    <n v="7.02"/>
    <x v="13"/>
    <s v="PB"/>
    <s v="PBCBD14"/>
    <s v="CLARO"/>
    <s v="6211HG2963610-125"/>
    <s v="1"/>
    <s v="20250828647243"/>
    <n v="8812411585"/>
    <n v="720.74400000000003"/>
    <n v="1"/>
    <n v="720.74400000000003"/>
    <s v="1"/>
    <n v="720.74400000000003"/>
    <m/>
    <m/>
  </r>
  <r>
    <s v="SP TIM"/>
    <n v="7.02"/>
    <x v="17"/>
    <s v="SP"/>
    <s v="RTJU01_KE"/>
    <s v="TIM"/>
    <s v="6211HG3360338-549"/>
    <s v="1"/>
    <s v="20250731625807"/>
    <n v="8818241193"/>
    <n v="12.938000000000001"/>
    <n v="2"/>
    <n v="25.876000000000001"/>
    <s v="1"/>
    <n v="25.876000000000001"/>
    <m/>
    <m/>
  </r>
  <r>
    <s v="SP TIM"/>
    <n v="7.02"/>
    <x v="56"/>
    <s v="SP"/>
    <s v="SLMTRD12_"/>
    <s v="TIM"/>
    <s v="6211HG3360338-550"/>
    <s v="1"/>
    <s v="20250731622951"/>
    <n v="8818241193"/>
    <n v="116.44199999999999"/>
    <n v="1"/>
    <n v="116.44199999999999"/>
    <s v="1"/>
    <n v="116.44199999999999"/>
    <m/>
    <m/>
  </r>
  <r>
    <s v="SP TIM"/>
    <n v="7.02"/>
    <x v="56"/>
    <s v="SP"/>
    <s v="SLMTRD12_"/>
    <s v="TIM"/>
    <s v="6211HG3360338-550"/>
    <s v="1"/>
    <s v="20250731622951"/>
    <n v="8818241193"/>
    <n v="12.938000000000001"/>
    <n v="1"/>
    <n v="12.938000000000001"/>
    <s v="1"/>
    <n v="12.938000000000001"/>
    <m/>
    <m/>
  </r>
  <r>
    <s v="BA"/>
    <n v="7.02"/>
    <x v="16"/>
    <s v="BA"/>
    <s v="BASAJ09"/>
    <s v="CLARO"/>
    <s v="6211HG3360340-2099"/>
    <s v="6"/>
    <s v="20250716607765"/>
    <n v="8812380402"/>
    <n v="2.8"/>
    <n v="1"/>
    <n v="2.8"/>
    <s v="1"/>
    <n v="2.8"/>
    <m/>
    <m/>
  </r>
  <r>
    <s v="SP TIM"/>
    <n v="7.02"/>
    <x v="17"/>
    <s v="SP"/>
    <s v="4G-RTPM01"/>
    <s v="TIM"/>
    <s v="6211HG3360338-506"/>
    <s v="1"/>
    <s v="20250731622899"/>
    <n v="8818241193"/>
    <n v="12.938000000000001"/>
    <n v="2"/>
    <n v="25.876000000000001"/>
    <s v="1"/>
    <n v="25.876000000000001"/>
    <m/>
    <m/>
  </r>
  <r>
    <s v="SP TIM"/>
    <n v="7.02"/>
    <x v="38"/>
    <s v="SP"/>
    <s v="NLAQVP01_"/>
    <s v="TIM"/>
    <s v="6211HG3360338-528"/>
    <s v="1"/>
    <s v="20250731622523"/>
    <n v="8818241193"/>
    <n v="12.938000000000001"/>
    <n v="1"/>
    <n v="12.938000000000001"/>
    <s v="1"/>
    <n v="12.938000000000001"/>
    <m/>
    <m/>
  </r>
  <r>
    <s v="SP TIM"/>
    <n v="7.02"/>
    <x v="66"/>
    <s v="SP"/>
    <s v="MBCT02_KE"/>
    <s v="TIM"/>
    <s v="6211HG3360338-534"/>
    <s v="1"/>
    <s v="20250731622561"/>
    <n v="8818241193"/>
    <n v="116.44199999999999"/>
    <n v="2"/>
    <n v="232.88399999999999"/>
    <s v="1"/>
    <n v="232.88399999999999"/>
    <m/>
    <m/>
  </r>
  <r>
    <s v="SP TIM"/>
    <n v="7.02"/>
    <x v="17"/>
    <s v="SP"/>
    <s v="RTRT01_KE"/>
    <s v="TIM"/>
    <s v="6211HG3360338-535"/>
    <s v="2"/>
    <s v="20250731625691"/>
    <n v="8818241187"/>
    <n v="821.14200000000005"/>
    <n v="1"/>
    <n v="821.14200000000005"/>
    <s v="1"/>
    <n v="821.14200000000005"/>
    <m/>
    <m/>
  </r>
  <r>
    <s v="SPI"/>
    <n v="7.02"/>
    <x v="52"/>
    <s v="SP"/>
    <s v="SGD_SP"/>
    <s v="VIVO"/>
    <s v="6211HG3360338-662"/>
    <s v="2"/>
    <s v="20250930682927"/>
    <n v="8812441652"/>
    <n v="316.24200000000002"/>
    <n v="1"/>
    <n v="316.24200000000002"/>
    <s v="1"/>
    <n v="316.24200000000002"/>
    <m/>
    <m/>
  </r>
  <r>
    <s v="SPI"/>
    <n v="7.02"/>
    <x v="24"/>
    <s v="SP"/>
    <s v="RPW_SP"/>
    <s v="VIVO"/>
    <s v="6211HG3360338-744"/>
    <s v="1"/>
    <s v="20250930679277"/>
    <n v="8818241279"/>
    <n v="88.358000000000004"/>
    <n v="3"/>
    <n v="265.07400000000001"/>
    <s v="1"/>
    <n v="265.07400000000001"/>
    <m/>
    <m/>
  </r>
  <r>
    <s v="SPI"/>
    <n v="7.02"/>
    <x v="55"/>
    <s v="SP"/>
    <s v="DIL_SP"/>
    <s v="VIVO"/>
    <s v="6211HG3360338-708"/>
    <s v="2"/>
    <s v="20251001683717"/>
    <n v="8812441688"/>
    <n v="422.18"/>
    <n v="1"/>
    <n v="422.18"/>
    <s v="1"/>
    <n v="422.18"/>
    <m/>
    <m/>
  </r>
  <r>
    <s v="BA"/>
    <n v="7.02"/>
    <x v="67"/>
    <s v="BA"/>
    <s v="BAETR07"/>
    <s v="CLARO"/>
    <s v="6211HG3360340-2092"/>
    <s v="1"/>
    <s v="20250825646797"/>
    <n v="8812441624"/>
    <n v="643.50699999999995"/>
    <n v="0.5"/>
    <n v="321.75349999999997"/>
    <s v="1"/>
    <n v="321.75349999999997"/>
    <m/>
    <m/>
  </r>
  <r>
    <s v="SP TIM"/>
    <n v="7.02"/>
    <x v="68"/>
    <s v="SP"/>
    <s v="SR-RGCS01"/>
    <s v="TIM"/>
    <s v="6211HG3295910-923"/>
    <s v="1"/>
    <s v="20240719176897"/>
    <n v="8812380320"/>
    <n v="1249.0940000000001"/>
    <n v="1"/>
    <n v="1249.0940000000001"/>
    <s v="1"/>
    <n v="1249.0940000000001"/>
    <m/>
    <m/>
  </r>
  <r>
    <s v="NE1"/>
    <n v="7.02"/>
    <x v="21"/>
    <s v="PE"/>
    <s v="IJG_PE"/>
    <s v="VIVO"/>
    <s v="6211HG3360340-2217"/>
    <s v="3"/>
    <s v="20250714604705"/>
    <n v="8812441777"/>
    <n v="15.065"/>
    <n v="1"/>
    <n v="15.065"/>
    <s v="1"/>
    <n v="15.065"/>
    <m/>
    <m/>
  </r>
  <r>
    <s v="NE1"/>
    <n v="7.02"/>
    <x v="21"/>
    <s v="PE"/>
    <s v="IJG_PE"/>
    <s v="VIVO"/>
    <s v="6211HG3360340-2217"/>
    <s v="4"/>
    <s v="20250714604705"/>
    <n v="8812441780"/>
    <n v="62.743000000000002"/>
    <n v="1"/>
    <n v="62.743000000000002"/>
    <s v="1"/>
    <n v="62.743000000000002"/>
    <m/>
    <m/>
  </r>
  <r>
    <s v="CO3"/>
    <n v="7.02"/>
    <x v="44"/>
    <s v="GO"/>
    <s v="GOCRT12"/>
    <s v="CLARO"/>
    <s v="6211HG3360342-691"/>
    <s v="2"/>
    <s v="20251010693245"/>
    <n v="8812441650"/>
    <n v="271.14999999999998"/>
    <n v="1"/>
    <n v="271.14999999999998"/>
    <s v="1"/>
    <n v="271.14999999999998"/>
    <m/>
    <m/>
  </r>
  <r>
    <s v="NE2"/>
    <n v="7.02"/>
    <x v="40"/>
    <s v="CE"/>
    <s v="KCO_00"/>
    <s v="VIVO"/>
    <s v="6211HG3360340-2219"/>
    <s v="1"/>
    <s v="20250823642233"/>
    <n v="8812441624"/>
    <n v="643.50699999999995"/>
    <n v="0.5"/>
    <n v="321.75349999999997"/>
    <s v="1"/>
    <n v="321.75349999999997"/>
    <m/>
    <m/>
  </r>
  <r>
    <s v="NE2"/>
    <n v="7.02"/>
    <x v="22"/>
    <s v="CE"/>
    <s v="OIY_CE"/>
    <s v="VIVO"/>
    <s v="6211HG3360340-2225"/>
    <s v="3"/>
    <s v="20250701588793"/>
    <n v="8812441793"/>
    <n v="40.982999999999997"/>
    <n v="3"/>
    <n v="122.94899999999998"/>
    <s v="1"/>
    <n v="122.94899999999998"/>
    <m/>
    <m/>
  </r>
  <r>
    <s v="NE1"/>
    <n v="7.02"/>
    <x v="23"/>
    <s v="RN"/>
    <s v="SCZ_RN"/>
    <s v="VIVO"/>
    <s v="6211HG3360340-2227"/>
    <s v="1"/>
    <s v="20250714604711"/>
    <n v="8812441793"/>
    <n v="368.84699999999998"/>
    <n v="4"/>
    <n v="1475.3879999999999"/>
    <s v="1"/>
    <n v="1475.3879999999999"/>
    <m/>
    <m/>
  </r>
  <r>
    <s v="NE1"/>
    <n v="7.02"/>
    <x v="23"/>
    <s v="RN"/>
    <s v="SCZ_RN"/>
    <s v="VIVO"/>
    <s v="6211HG3360340-2227"/>
    <s v="2"/>
    <s v="20250714604711"/>
    <n v="8812441798"/>
    <n v="365.84100000000001"/>
    <n v="3"/>
    <n v="1097.5230000000001"/>
    <s v="1"/>
    <n v="1097.5230000000001"/>
    <m/>
    <m/>
  </r>
  <r>
    <s v="NE1"/>
    <n v="7.02"/>
    <x v="23"/>
    <s v="RN"/>
    <s v="SCZ_RN"/>
    <s v="VIVO"/>
    <s v="6211HG3360340-2227"/>
    <s v="5"/>
    <s v="20250714604711"/>
    <n v="8812441780"/>
    <n v="564.68700000000001"/>
    <n v="1"/>
    <n v="564.68700000000001"/>
    <s v="1"/>
    <n v="564.68700000000001"/>
    <m/>
    <m/>
  </r>
  <r>
    <s v="SPI"/>
    <n v="7.02"/>
    <x v="25"/>
    <s v="SP"/>
    <s v="PLR_SP"/>
    <s v="VIVO"/>
    <s v="6211HG3360338-668"/>
    <s v="3"/>
    <s v="20250930679391"/>
    <n v="8812441765"/>
    <n v="42.646999999999998"/>
    <n v="3"/>
    <n v="127.941"/>
    <s v="1"/>
    <n v="127.941"/>
    <m/>
    <m/>
  </r>
  <r>
    <s v="NE1"/>
    <n v="7.02"/>
    <x v="33"/>
    <s v="PE"/>
    <s v="PEGUS14"/>
    <s v="CLARO"/>
    <s v="6211HG2963610-167"/>
    <s v="2"/>
    <s v="20250828647539"/>
    <n v="8812411607"/>
    <n v="20.065999999999999"/>
    <n v="1"/>
    <n v="20.065999999999999"/>
    <s v="1"/>
    <n v="20.065999999999999"/>
    <m/>
    <m/>
  </r>
  <r>
    <s v="NE2"/>
    <n v="7.02"/>
    <x v="58"/>
    <s v="CE"/>
    <s v="SR-PJPJJ0"/>
    <s v="TIM"/>
    <s v="6211HG3360340-2336"/>
    <s v="1"/>
    <s v="20250630590031"/>
    <n v="8812441652"/>
    <n v="364.89400000000001"/>
    <n v="1"/>
    <n v="364.89400000000001"/>
    <s v="1"/>
    <n v="364.89400000000001"/>
    <m/>
    <m/>
  </r>
  <r>
    <s v="NE1"/>
    <n v="7.02"/>
    <x v="49"/>
    <s v="PB"/>
    <s v="BVN_PB"/>
    <s v="VIVO"/>
    <s v="6211HG3360340-3083"/>
    <s v="1"/>
    <s v="20250709595637"/>
    <n v="8812441784"/>
    <n v="159.66900000000001"/>
    <n v="12"/>
    <n v="1916.0280000000002"/>
    <s v="1"/>
    <n v="1916.0280000000002"/>
    <m/>
    <m/>
  </r>
  <r>
    <s v="NE1"/>
    <n v="7.02"/>
    <x v="42"/>
    <s v="PB"/>
    <s v="ALD_PB"/>
    <s v="VIVO"/>
    <s v="6211HG3360340-2386"/>
    <s v="2"/>
    <s v="20250714604633"/>
    <n v="8812441798"/>
    <n v="40.649000000000001"/>
    <n v="4"/>
    <n v="162.596"/>
    <s v="1"/>
    <n v="162.596"/>
    <m/>
    <m/>
  </r>
  <r>
    <s v="NE1"/>
    <n v="7.02"/>
    <x v="42"/>
    <s v="PB"/>
    <s v="ALD_PB"/>
    <s v="VIVO"/>
    <s v="6211HG3360340-2386"/>
    <s v="5"/>
    <s v="20250714604633"/>
    <n v="8812441757"/>
    <n v="38.527999999999999"/>
    <n v="1"/>
    <n v="38.527999999999999"/>
    <s v="1"/>
    <n v="38.527999999999999"/>
    <m/>
    <m/>
  </r>
  <r>
    <s v="BA"/>
    <n v="7.02"/>
    <x v="27"/>
    <s v="BA"/>
    <s v="BALNS01"/>
    <s v="CLARO"/>
    <s v="6211HG2963610-180"/>
    <s v="1"/>
    <s v="20250903649597"/>
    <n v="8812411585"/>
    <n v="720.74400000000003"/>
    <n v="1"/>
    <n v="720.74400000000003"/>
    <s v="1"/>
    <n v="720.74400000000003"/>
    <m/>
    <m/>
  </r>
  <r>
    <s v="BA"/>
    <n v="7.02"/>
    <x v="45"/>
    <s v="BA"/>
    <s v="BARIA01"/>
    <s v="CLARO"/>
    <s v="6211HG2963610-182"/>
    <s v="3"/>
    <s v="20250829646539"/>
    <n v="8812411623"/>
    <n v="511.38400000000001"/>
    <n v="1"/>
    <n v="511.38400000000001"/>
    <s v="1"/>
    <n v="511.38400000000001"/>
    <m/>
    <m/>
  </r>
  <r>
    <s v="BA"/>
    <n v="7.02"/>
    <x v="28"/>
    <s v="BA"/>
    <s v="BAICH01"/>
    <s v="CLARO"/>
    <s v="6211HG2963610-183"/>
    <s v="1"/>
    <s v="20250829646541"/>
    <n v="8812411618"/>
    <n v="871.60799999999995"/>
    <n v="1"/>
    <n v="871.60799999999995"/>
    <s v="1"/>
    <n v="871.60799999999995"/>
    <m/>
    <m/>
  </r>
  <r>
    <s v="BA"/>
    <n v="7.02"/>
    <x v="28"/>
    <s v="BA"/>
    <s v="BAICH01"/>
    <s v="CLARO"/>
    <s v="6211HG2963610-183"/>
    <s v="3"/>
    <s v="20250829646541"/>
    <n v="8812411623"/>
    <n v="511.38400000000001"/>
    <n v="1"/>
    <n v="511.38400000000001"/>
    <s v="1"/>
    <n v="511.38400000000001"/>
    <m/>
    <m/>
  </r>
  <r>
    <s v="NE1"/>
    <n v="7.02"/>
    <x v="43"/>
    <s v="PE"/>
    <s v="OYJ_PE"/>
    <s v="VIVO"/>
    <s v="6211HG3360340-2420"/>
    <s v="4"/>
    <s v="20250811635619"/>
    <n v="8812441780"/>
    <n v="62.743000000000002"/>
    <n v="1"/>
    <n v="62.743000000000002"/>
    <s v="1"/>
    <n v="62.743000000000002"/>
    <m/>
    <m/>
  </r>
  <r>
    <s v="NE1"/>
    <n v="7.02"/>
    <x v="69"/>
    <s v="RN"/>
    <s v="SR-PWPWA6"/>
    <s v="TIM"/>
    <s v="6211HG3360340-2464"/>
    <s v="1"/>
    <s v="20250618566471"/>
    <n v="8812441690"/>
    <n v="644.06399999999996"/>
    <n v="1"/>
    <n v="644.06399999999996"/>
    <s v="1"/>
    <n v="644.06399999999996"/>
    <m/>
    <m/>
  </r>
  <r>
    <s v="CO3"/>
    <n v="7.02"/>
    <x v="46"/>
    <s v="GO"/>
    <s v="GNC_GO"/>
    <s v="VIVO"/>
    <s v="6211HG3360342-705"/>
    <s v="1"/>
    <s v="20251006687879"/>
    <n v="8812441743"/>
    <n v="39.228000000000002"/>
    <n v="1"/>
    <n v="39.228000000000002"/>
    <s v="1"/>
    <n v="39.228000000000002"/>
    <m/>
    <m/>
  </r>
  <r>
    <s v="NE1"/>
    <n v="7.02"/>
    <x v="32"/>
    <s v="AL"/>
    <s v="LOT_AL"/>
    <s v="VIVO"/>
    <s v="6211HG3360340-2954"/>
    <s v="1"/>
    <s v="20250708589335"/>
    <n v="8812441784"/>
    <n v="17.741"/>
    <n v="6"/>
    <n v="106.446"/>
    <s v="1"/>
    <n v="106.446"/>
    <m/>
    <m/>
  </r>
  <r>
    <s v="NE2"/>
    <n v="7.02"/>
    <x v="2"/>
    <s v="CE"/>
    <s v="PVL_CE"/>
    <s v="VIVO"/>
    <s v="6211HG3360340-2965"/>
    <s v="1"/>
    <s v="20250708594317"/>
    <n v="8812441784"/>
    <n v="159.66900000000001"/>
    <n v="6"/>
    <n v="958.01400000000012"/>
    <s v="1"/>
    <n v="958.01400000000012"/>
    <m/>
    <m/>
  </r>
  <r>
    <s v="NE1"/>
    <n v="7.02"/>
    <x v="32"/>
    <s v="AL"/>
    <s v="PPJ_AL"/>
    <s v="VIVO"/>
    <s v="6211HG3360340-2979"/>
    <s v="1"/>
    <s v="20250626579515"/>
    <n v="8812441784"/>
    <n v="17.741"/>
    <n v="6"/>
    <n v="106.446"/>
    <s v="1"/>
    <n v="106.446"/>
    <m/>
    <m/>
  </r>
  <r>
    <s v="SPI"/>
    <n v="7.02"/>
    <x v="24"/>
    <s v="SP"/>
    <s v="RPW_SP"/>
    <s v="VIVO"/>
    <s v="6211HG3360338-727"/>
    <s v="3"/>
    <s v="20250930679277"/>
    <n v="8818241193"/>
    <n v="12.938000000000001"/>
    <n v="2"/>
    <n v="25.876000000000001"/>
    <s v="1"/>
    <n v="25.876000000000001"/>
    <m/>
    <m/>
  </r>
  <r>
    <s v="SPI"/>
    <n v="7.02"/>
    <x v="24"/>
    <s v="SP"/>
    <s v="RPW_SP"/>
    <s v="VIVO"/>
    <s v="6211HG3360338-727"/>
    <s v="4"/>
    <s v="20250930679277"/>
    <n v="8812441767"/>
    <n v="159.92699999999999"/>
    <n v="1"/>
    <n v="159.92699999999999"/>
    <s v="1"/>
    <n v="159.92699999999999"/>
    <m/>
    <m/>
  </r>
  <r>
    <s v="SP TIM"/>
    <n v="7.02"/>
    <x v="70"/>
    <s v="SP"/>
    <s v="SR-ISRP02"/>
    <s v="TIM"/>
    <s v="6211HG3295910-997"/>
    <s v="1"/>
    <s v="20241228369299"/>
    <n v="8812380384"/>
    <n v="763.99199999999996"/>
    <n v="1"/>
    <n v="763.99199999999996"/>
    <s v="1"/>
    <n v="763.99199999999996"/>
    <m/>
    <m/>
  </r>
  <r>
    <s v="NE1"/>
    <n v="7.02"/>
    <x v="32"/>
    <s v="AL"/>
    <s v="PPJ_AL"/>
    <s v="VIVO"/>
    <s v="6211HG3360340-2815"/>
    <s v="1"/>
    <s v="20250626579515"/>
    <n v="8812441757"/>
    <n v="38.527999999999999"/>
    <n v="1"/>
    <n v="38.527999999999999"/>
    <s v="1"/>
    <n v="38.527999999999999"/>
    <m/>
    <m/>
  </r>
  <r>
    <s v="NE1"/>
    <n v="7.02"/>
    <x v="32"/>
    <s v="AL"/>
    <s v="PPJ_AL"/>
    <s v="VIVO"/>
    <s v="6211HG3360340-2815"/>
    <s v="2"/>
    <s v="20250626579515"/>
    <n v="8812441780"/>
    <n v="62.743000000000002"/>
    <n v="1"/>
    <n v="62.743000000000002"/>
    <s v="1"/>
    <n v="62.743000000000002"/>
    <m/>
    <m/>
  </r>
  <r>
    <s v="NE1"/>
    <n v="7.02"/>
    <x v="32"/>
    <s v="AL"/>
    <s v="PPJ_AL"/>
    <s v="VIVO"/>
    <s v="6211HG3360340-2815"/>
    <s v="5"/>
    <s v="20250626579515"/>
    <n v="8812441798"/>
    <n v="40.649000000000001"/>
    <n v="3"/>
    <n v="121.947"/>
    <s v="1"/>
    <n v="121.947"/>
    <m/>
    <m/>
  </r>
  <r>
    <s v="NE1"/>
    <n v="7.02"/>
    <x v="31"/>
    <s v="PB"/>
    <s v="CGB_PB"/>
    <s v="VIVO"/>
    <s v="6211HG3360340-2824"/>
    <s v="2"/>
    <s v="20250709595057"/>
    <n v="8812441793"/>
    <n v="40.982999999999997"/>
    <n v="3"/>
    <n v="122.94899999999998"/>
    <s v="1"/>
    <n v="122.94899999999998"/>
    <m/>
    <m/>
  </r>
  <r>
    <s v="NE1"/>
    <n v="7.02"/>
    <x v="31"/>
    <s v="PB"/>
    <s v="CGB_PB"/>
    <s v="VIVO"/>
    <s v="6211HG3360340-2824"/>
    <s v="3"/>
    <s v="20250709595057"/>
    <n v="8812441783"/>
    <n v="16.402999999999999"/>
    <n v="1"/>
    <n v="16.402999999999999"/>
    <s v="1"/>
    <n v="16.402999999999999"/>
    <m/>
    <m/>
  </r>
  <r>
    <s v="NE1"/>
    <n v="7.02"/>
    <x v="49"/>
    <s v="PB"/>
    <s v="BVN_PB"/>
    <s v="VIVO"/>
    <s v="6211HG3360340-2826"/>
    <s v="1"/>
    <s v="20250709595637"/>
    <n v="8812441780"/>
    <n v="62.743000000000002"/>
    <n v="1"/>
    <n v="62.743000000000002"/>
    <s v="1"/>
    <n v="62.743000000000002"/>
    <m/>
    <m/>
  </r>
  <r>
    <s v="NE1"/>
    <n v="7.02"/>
    <x v="49"/>
    <s v="PB"/>
    <s v="BVN_PB"/>
    <s v="VIVO"/>
    <s v="6211HG3360340-2826"/>
    <s v="2"/>
    <s v="20250709595637"/>
    <n v="8812441783"/>
    <n v="16.402999999999999"/>
    <n v="1"/>
    <n v="16.402999999999999"/>
    <s v="1"/>
    <n v="16.402999999999999"/>
    <m/>
    <m/>
  </r>
  <r>
    <s v="NE1"/>
    <n v="7.02"/>
    <x v="49"/>
    <s v="PB"/>
    <s v="BVN_PB"/>
    <s v="VIVO"/>
    <s v="6211HG3360340-2826"/>
    <s v="2"/>
    <s v="20250709595637"/>
    <n v="8812441783"/>
    <n v="147.62700000000001"/>
    <n v="1"/>
    <n v="147.62700000000001"/>
    <s v="1"/>
    <n v="147.62700000000001"/>
    <m/>
    <m/>
  </r>
  <r>
    <s v="NE1"/>
    <n v="7.02"/>
    <x v="49"/>
    <s v="PB"/>
    <s v="BVN_PB"/>
    <s v="VIVO"/>
    <s v="6211HG3360340-2826"/>
    <s v="4"/>
    <s v="20250709595637"/>
    <n v="8812441798"/>
    <n v="365.84100000000001"/>
    <n v="1"/>
    <n v="365.84100000000001"/>
    <s v="1"/>
    <n v="365.84100000000001"/>
    <m/>
    <m/>
  </r>
  <r>
    <s v="NE2"/>
    <n v="7.02"/>
    <x v="2"/>
    <s v="CE"/>
    <s v="PVL_CE"/>
    <s v="VIVO"/>
    <s v="6211HG3360340-2828"/>
    <s v="1"/>
    <s v="20250708594317"/>
    <n v="8812441777"/>
    <n v="135.58500000000001"/>
    <n v="1"/>
    <n v="135.58500000000001"/>
    <s v="1"/>
    <n v="135.58500000000001"/>
    <m/>
    <m/>
  </r>
  <r>
    <s v="NE2"/>
    <n v="7.02"/>
    <x v="2"/>
    <s v="CE"/>
    <s v="PVL_CE"/>
    <s v="VIVO"/>
    <s v="6211HG3360340-2828"/>
    <s v="5"/>
    <s v="20250708594317"/>
    <n v="8812441798"/>
    <n v="365.84100000000001"/>
    <n v="3"/>
    <n v="1097.5230000000001"/>
    <s v="1"/>
    <n v="1097.5230000000001"/>
    <m/>
    <m/>
  </r>
  <r>
    <s v="NE1"/>
    <n v="7.02"/>
    <x v="0"/>
    <s v="PE"/>
    <s v="ASI_PE"/>
    <s v="VIVO"/>
    <s v="6211HG3360340-2852"/>
    <s v="6"/>
    <s v="20250714604663"/>
    <n v="8812441759"/>
    <n v="539.02800000000002"/>
    <n v="1"/>
    <n v="539.02800000000002"/>
    <s v="1"/>
    <n v="539.02800000000002"/>
    <m/>
    <m/>
  </r>
  <r>
    <s v="NE2"/>
    <n v="7.02"/>
    <x v="3"/>
    <s v="CE"/>
    <s v="BSP_CE"/>
    <s v="VIVO"/>
    <s v="6211HG3360340-2865"/>
    <s v="1"/>
    <s v="20250626579545"/>
    <n v="8812441783"/>
    <n v="147.62700000000001"/>
    <n v="1"/>
    <n v="147.62700000000001"/>
    <s v="1"/>
    <n v="147.62700000000001"/>
    <m/>
    <m/>
  </r>
  <r>
    <s v="NE2"/>
    <n v="7.02"/>
    <x v="3"/>
    <s v="CE"/>
    <s v="BSP_CE"/>
    <s v="VIVO"/>
    <s v="6211HG3360340-2865"/>
    <s v="4"/>
    <s v="20250626579545"/>
    <n v="8812441780"/>
    <n v="62.743000000000002"/>
    <n v="1"/>
    <n v="62.743000000000002"/>
    <s v="1"/>
    <n v="62.743000000000002"/>
    <m/>
    <m/>
  </r>
  <r>
    <s v="NE1"/>
    <n v="7.02"/>
    <x v="32"/>
    <s v="AL"/>
    <s v="LOT_AL"/>
    <s v="VIVO"/>
    <s v="6211HG3360340-3062"/>
    <s v="1"/>
    <s v="20250708589335"/>
    <n v="8812441793"/>
    <n v="40.982999999999997"/>
    <n v="5"/>
    <n v="204.91499999999999"/>
    <s v="1"/>
    <n v="204.91499999999999"/>
    <m/>
    <m/>
  </r>
  <r>
    <s v="NE1"/>
    <n v="7.02"/>
    <x v="32"/>
    <s v="AL"/>
    <s v="LOT_AL"/>
    <s v="VIVO"/>
    <s v="6211HG3360340-3062"/>
    <s v="2"/>
    <s v="20250708589335"/>
    <n v="8812441798"/>
    <n v="40.649000000000001"/>
    <n v="3"/>
    <n v="121.947"/>
    <s v="1"/>
    <n v="121.947"/>
    <m/>
    <m/>
  </r>
  <r>
    <s v="SPI"/>
    <n v="7.02"/>
    <x v="60"/>
    <s v="SP"/>
    <s v="OT7_SP"/>
    <s v="VIVO"/>
    <s v="6211HG3360338-741"/>
    <s v="1"/>
    <s v="20250729617933"/>
    <n v="8812441793"/>
    <n v="319.66199999999998"/>
    <n v="2"/>
    <n v="639.32399999999996"/>
    <s v="1"/>
    <n v="639.32399999999996"/>
    <m/>
    <m/>
  </r>
  <r>
    <s v="SP TIM"/>
    <n v="7.02"/>
    <x v="57"/>
    <s v="SP"/>
    <s v="SR-LSRB06"/>
    <s v="TIM"/>
    <s v="6211HG3295910-1005"/>
    <s v="1"/>
    <s v="20241229371123"/>
    <n v="8812380271"/>
    <n v="1202.9100000000001"/>
    <n v="1"/>
    <n v="1202.9100000000001"/>
    <s v="1"/>
    <n v="1202.9100000000001"/>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r>
    <m/>
    <m/>
    <x v="71"/>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Tabela dinâmica4"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C76" firstHeaderRow="0" firstDataRow="1" firstDataCol="1"/>
  <pivotFields count="17">
    <pivotField showAll="0"/>
    <pivotField showAll="0"/>
    <pivotField axis="axisRow" showAll="0" sortType="descending">
      <items count="75">
        <item x="71"/>
        <item m="1" x="73"/>
        <item m="1" x="72"/>
        <item x="38"/>
        <item x="56"/>
        <item x="21"/>
        <item x="4"/>
        <item x="61"/>
        <item x="26"/>
        <item x="62"/>
        <item x="63"/>
        <item x="12"/>
        <item x="65"/>
        <item x="66"/>
        <item x="67"/>
        <item x="39"/>
        <item x="14"/>
        <item x="6"/>
        <item x="51"/>
        <item x="9"/>
        <item x="52"/>
        <item x="55"/>
        <item x="25"/>
        <item x="2"/>
        <item x="22"/>
        <item x="5"/>
        <item x="0"/>
        <item x="41"/>
        <item x="42"/>
        <item x="43"/>
        <item x="30"/>
        <item x="24"/>
        <item x="32"/>
        <item x="3"/>
        <item x="59"/>
        <item x="15"/>
        <item x="10"/>
        <item x="17"/>
        <item x="44"/>
        <item x="40"/>
        <item x="45"/>
        <item x="28"/>
        <item x="29"/>
        <item x="46"/>
        <item x="70"/>
        <item x="48"/>
        <item x="49"/>
        <item x="60"/>
        <item x="7"/>
        <item x="8"/>
        <item x="20"/>
        <item x="35"/>
        <item x="36"/>
        <item x="53"/>
        <item x="57"/>
        <item x="58"/>
        <item x="64"/>
        <item x="69"/>
        <item x="47"/>
        <item x="37"/>
        <item x="50"/>
        <item x="16"/>
        <item x="18"/>
        <item x="31"/>
        <item x="1"/>
        <item x="23"/>
        <item x="27"/>
        <item x="34"/>
        <item x="54"/>
        <item x="13"/>
        <item x="33"/>
        <item x="11"/>
        <item x="19"/>
        <item x="68"/>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2"/>
  </rowFields>
  <rowItems count="73">
    <i>
      <x v="23"/>
    </i>
    <i>
      <x v="46"/>
    </i>
    <i>
      <x v="33"/>
    </i>
    <i>
      <x v="31"/>
    </i>
    <i>
      <x v="65"/>
    </i>
    <i>
      <x v="26"/>
    </i>
    <i>
      <x v="51"/>
    </i>
    <i>
      <x v="24"/>
    </i>
    <i>
      <x v="60"/>
    </i>
    <i>
      <x v="52"/>
    </i>
    <i>
      <x v="48"/>
    </i>
    <i>
      <x v="18"/>
    </i>
    <i>
      <x v="64"/>
    </i>
    <i>
      <x v="72"/>
    </i>
    <i>
      <x v="54"/>
    </i>
    <i>
      <x v="41"/>
    </i>
    <i>
      <x v="40"/>
    </i>
    <i>
      <x v="8"/>
    </i>
    <i>
      <x v="15"/>
    </i>
    <i>
      <x v="37"/>
    </i>
    <i>
      <x v="32"/>
    </i>
    <i>
      <x v="61"/>
    </i>
    <i>
      <x v="56"/>
    </i>
    <i>
      <x v="73"/>
    </i>
    <i>
      <x v="62"/>
    </i>
    <i>
      <x v="67"/>
    </i>
    <i>
      <x v="66"/>
    </i>
    <i>
      <x v="16"/>
    </i>
    <i>
      <x v="53"/>
    </i>
    <i>
      <x v="55"/>
    </i>
    <i>
      <x v="69"/>
    </i>
    <i>
      <x v="58"/>
    </i>
    <i>
      <x v="22"/>
    </i>
    <i>
      <x v="45"/>
    </i>
    <i>
      <x v="44"/>
    </i>
    <i>
      <x v="59"/>
    </i>
    <i>
      <x v="30"/>
    </i>
    <i>
      <x v="47"/>
    </i>
    <i>
      <x v="35"/>
    </i>
    <i>
      <x v="49"/>
    </i>
    <i>
      <x v="57"/>
    </i>
    <i>
      <x v="39"/>
    </i>
    <i>
      <x v="50"/>
    </i>
    <i>
      <x v="19"/>
    </i>
    <i>
      <x v="36"/>
    </i>
    <i>
      <x v="43"/>
    </i>
    <i>
      <x v="42"/>
    </i>
    <i>
      <x v="28"/>
    </i>
    <i>
      <x v="25"/>
    </i>
    <i>
      <x v="21"/>
    </i>
    <i>
      <x v="20"/>
    </i>
    <i>
      <x v="6"/>
    </i>
    <i>
      <x v="14"/>
    </i>
    <i>
      <x v="5"/>
    </i>
    <i>
      <x v="27"/>
    </i>
    <i>
      <x v="38"/>
    </i>
    <i>
      <x v="63"/>
    </i>
    <i>
      <x v="29"/>
    </i>
    <i>
      <x v="71"/>
    </i>
    <i>
      <x v="13"/>
    </i>
    <i>
      <x v="10"/>
    </i>
    <i>
      <x v="9"/>
    </i>
    <i>
      <x v="70"/>
    </i>
    <i>
      <x v="17"/>
    </i>
    <i>
      <x v="12"/>
    </i>
    <i>
      <x v="68"/>
    </i>
    <i>
      <x v="4"/>
    </i>
    <i>
      <x v="3"/>
    </i>
    <i>
      <x v="11"/>
    </i>
    <i>
      <x v="7"/>
    </i>
    <i>
      <x v="34"/>
    </i>
    <i>
      <x/>
    </i>
    <i t="grand">
      <x/>
    </i>
  </rowItems>
  <colFields count="1">
    <field x="-2"/>
  </colFields>
  <colItems count="2">
    <i>
      <x/>
    </i>
    <i i="1">
      <x v="1"/>
    </i>
  </colItems>
  <dataFields count="2">
    <dataField name="Soma de Total" fld="12" baseField="0" baseItem="0"/>
    <dataField name="Contagem de UF" fld="3" subtotal="count" baseField="0" baseItem="0"/>
  </dataFields>
  <formats count="4">
    <format dxfId="713">
      <pivotArea collapsedLevelsAreSubtotals="1" fieldPosition="0">
        <references count="1">
          <reference field="2" count="0"/>
        </references>
      </pivotArea>
    </format>
    <format dxfId="712">
      <pivotArea grandRow="1" outline="0" collapsedLevelsAreSubtotals="1" fieldPosition="0"/>
    </format>
    <format dxfId="711">
      <pivotArea dataOnly="0" labelOnly="1" fieldPosition="0">
        <references count="1">
          <reference field="2" count="1">
            <x v="11"/>
          </reference>
        </references>
      </pivotArea>
    </format>
    <format dxfId="710">
      <pivotArea dataOnly="0" labelOnly="1" fieldPosition="0">
        <references count="1">
          <reference field="2" count="1">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SiteVisitP1" displayName="SiteVisitP1" ref="A2:Q250" totalsRowShown="0" headerRowDxfId="709" dataDxfId="708" tableBorderDxfId="707" totalsRowBorderDxfId="706">
  <autoFilter ref="A2:Q250" xr:uid="{00000000-0009-0000-0100-000003000000}"/>
  <tableColumns count="17">
    <tableColumn id="8" xr3:uid="{00000000-0010-0000-0000-000008000000}" name="CC" dataDxfId="705"/>
    <tableColumn id="9" xr3:uid="{00000000-0010-0000-0000-000009000000}" name="CÓDIGO FAT" dataDxfId="704"/>
    <tableColumn id="2" xr3:uid="{00000000-0010-0000-0000-000002000000}" name="MUNICÍPIO" dataDxfId="703"/>
    <tableColumn id="3" xr3:uid="{00000000-0010-0000-0000-000003000000}" name="UF" dataDxfId="702"/>
    <tableColumn id="22" xr3:uid="{00000000-0010-0000-0000-000016000000}" name="SITE _x000a_NAME" dataDxfId="701"/>
    <tableColumn id="13" xr3:uid="{57D1D389-F498-4BC9-A1C5-E80E51394B51}" name="OPERADORA" dataDxfId="700"/>
    <tableColumn id="4" xr3:uid="{00000000-0010-0000-0000-000004000000}" name="PO" dataDxfId="699"/>
    <tableColumn id="10" xr3:uid="{00000000-0010-0000-0000-00000A000000}" name="LINE" dataDxfId="698"/>
    <tableColumn id="6" xr3:uid="{00000000-0010-0000-0000-000006000000}" name="DU" dataDxfId="697"/>
    <tableColumn id="7" xr3:uid="{00000000-0010-0000-0000-000007000000}" name="ItemCode" dataDxfId="696"/>
    <tableColumn id="11" xr3:uid="{00000000-0010-0000-0000-00000B000000}" name="Preço" dataDxfId="695" dataCellStyle="Vírgula"/>
    <tableColumn id="24" xr3:uid="{00000000-0010-0000-0000-000018000000}" name="Qty" dataDxfId="694"/>
    <tableColumn id="12" xr3:uid="{00000000-0010-0000-0000-00000C000000}" name="Total" dataDxfId="693" dataCellStyle="Vírgula"/>
    <tableColumn id="15" xr3:uid="{00000000-0010-0000-0000-00000F000000}" name="Proporção" dataDxfId="692"/>
    <tableColumn id="16" xr3:uid="{00000000-0010-0000-0000-000010000000}" name="Valor da Parcela" dataDxfId="691" dataCellStyle="Vírgula"/>
    <tableColumn id="1" xr3:uid="{00000000-0010-0000-0000-000001000000}" name="NF" dataDxfId="690"/>
    <tableColumn id="5" xr3:uid="{00000000-0010-0000-0000-000005000000}" name="Data" dataDxfId="689"/>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0428716-D196-46C9-AA78-F5EE174BBEDF}" name="SiteVisitP110" displayName="SiteVisitP110" ref="A2:Q137" totalsRowShown="0" headerRowDxfId="688" dataDxfId="687" tableBorderDxfId="686" totalsRowBorderDxfId="685">
  <autoFilter ref="A2:Q137" xr:uid="{00000000-0009-0000-0100-000003000000}"/>
  <tableColumns count="17">
    <tableColumn id="8" xr3:uid="{C94A50C5-214A-4D91-A877-130F335B76E8}" name="CC" dataDxfId="684"/>
    <tableColumn id="9" xr3:uid="{344CB6DA-C842-4BCF-8B4A-FDFE44CBFB8F}" name="CÓDIGO FAT" dataDxfId="683"/>
    <tableColumn id="2" xr3:uid="{DF416F4E-0CD8-4686-A27A-D5FD6A739400}" name="MUNICÍPIO" dataDxfId="682"/>
    <tableColumn id="3" xr3:uid="{413AA8B2-A879-4A31-BE8B-42755AF3A5FE}" name="UF" dataDxfId="681"/>
    <tableColumn id="22" xr3:uid="{C8E8372B-2CF3-48FB-BFFF-0778863164C0}" name="SITE _x000a_NAME" dataDxfId="680"/>
    <tableColumn id="13" xr3:uid="{89DE0DCB-6EBC-4E74-8B9A-309EC3ABB6B2}" name="OPERADORA" dataDxfId="679"/>
    <tableColumn id="4" xr3:uid="{45D61C9F-B96D-47A6-B745-D6D4D954AF9E}" name="PO" dataDxfId="678"/>
    <tableColumn id="10" xr3:uid="{A7B42334-8CB8-4981-8551-AD7F60EE2CDA}" name="LINE" dataDxfId="677"/>
    <tableColumn id="6" xr3:uid="{FD11498E-999E-432D-817E-28733680F7F5}" name="DU" dataDxfId="676"/>
    <tableColumn id="7" xr3:uid="{96B4F69B-D006-426E-885C-4C503B24B792}" name="ItemCode" dataDxfId="675"/>
    <tableColumn id="11" xr3:uid="{19CDF6F4-CAAB-41A1-A0C6-12380CD48E44}" name="Preço" dataDxfId="674" dataCellStyle="Vírgula"/>
    <tableColumn id="24" xr3:uid="{8B8BBAA7-8C17-44FF-A6BF-4A57EC511199}" name="Qty" dataDxfId="673"/>
    <tableColumn id="12" xr3:uid="{1FDC887C-1AF2-46FA-AB31-26D566F64E60}" name="Total" dataDxfId="672" dataCellStyle="Vírgula"/>
    <tableColumn id="15" xr3:uid="{E0A33E97-B291-472F-A502-9E23CCAE423E}" name="Proporção" dataDxfId="671"/>
    <tableColumn id="16" xr3:uid="{2D6CA006-07CC-4CA1-A4B1-6DF27DBFD098}" name="Valor da Parcela" dataDxfId="670" dataCellStyle="Vírgula"/>
    <tableColumn id="1" xr3:uid="{F43CF078-A2C1-476B-9E0C-92A2256074B8}" name="NF" dataDxfId="669"/>
    <tableColumn id="5" xr3:uid="{878E7DCF-342F-48B8-A233-126A8D21A24A}" name="Data" dataDxfId="668"/>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Parcela1" displayName="Parcela1" ref="A2:Q1077" totalsRowCount="1" headerRowDxfId="667" dataDxfId="666" tableBorderDxfId="665">
  <autoFilter ref="A2:Q1076" xr:uid="{00000000-0009-0000-0100-000001000000}"/>
  <tableColumns count="17">
    <tableColumn id="9" xr3:uid="{00000000-0010-0000-0100-000009000000}" name="SP TIM" dataDxfId="21"/>
    <tableColumn id="12" xr3:uid="{00000000-0010-0000-0100-00000C000000}" name="CÓDIGO FAT" dataDxfId="20"/>
    <tableColumn id="2" xr3:uid="{00000000-0010-0000-0100-000002000000}" name="MUNICÍPIO" dataDxfId="19" totalsRowDxfId="4"/>
    <tableColumn id="3" xr3:uid="{00000000-0010-0000-0100-000003000000}" name="UF" dataDxfId="18"/>
    <tableColumn id="1" xr3:uid="{00000000-0010-0000-0100-000001000000}" name="SITE _x000a_NAME" dataDxfId="17"/>
    <tableColumn id="13" xr3:uid="{A4CC009C-C57F-4045-9380-DFB619D51855}" name="OPERADORA" dataDxfId="16"/>
    <tableColumn id="18" xr3:uid="{00000000-0010-0000-0100-000012000000}" name="PO" dataDxfId="15"/>
    <tableColumn id="16" xr3:uid="{00000000-0010-0000-0100-000010000000}" name="LINE" dataDxfId="14"/>
    <tableColumn id="5" xr3:uid="{00000000-0010-0000-0100-000005000000}" name="DU" dataDxfId="13"/>
    <tableColumn id="6" xr3:uid="{00000000-0010-0000-0100-000006000000}" name="ItemCode" dataDxfId="12"/>
    <tableColumn id="10" xr3:uid="{00000000-0010-0000-0100-00000A000000}" name="Preço" dataDxfId="11" dataCellStyle="Vírgula"/>
    <tableColumn id="7" xr3:uid="{00000000-0010-0000-0100-000007000000}" name="Qty" dataDxfId="10"/>
    <tableColumn id="11" xr3:uid="{00000000-0010-0000-0100-00000B000000}" name="Total" dataDxfId="9" totalsRowDxfId="3" dataCellStyle="Vírgula"/>
    <tableColumn id="14" xr3:uid="{00000000-0010-0000-0100-00000E000000}" name="Proporção" dataDxfId="8"/>
    <tableColumn id="15" xr3:uid="{00000000-0010-0000-0100-00000F000000}" name="Coluna1" dataDxfId="7" totalsRowDxfId="2" dataCellStyle="Vírgula"/>
    <tableColumn id="4" xr3:uid="{00000000-0010-0000-0100-000004000000}" name="NF" dataDxfId="6" totalsRowDxfId="1"/>
    <tableColumn id="8" xr3:uid="{00000000-0010-0000-0100-000008000000}" name="Data" dataDxfId="5" totalsRowDxfId="0"/>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ela6" displayName="Tabela6" ref="A3:O1119" totalsRowShown="0" tableBorderDxfId="664">
  <autoFilter ref="A3:O1119" xr:uid="{00000000-0009-0000-0100-000006000000}"/>
  <tableColumns count="15">
    <tableColumn id="2" xr3:uid="{00000000-0010-0000-0200-000002000000}" name="CC" dataDxfId="663">
      <calculatedColumnFormula>IF(VLOOKUP(Tabela6[[#This Row],[UF]],'BASE CC'!B:C,2,0)="SP",IF(Tabela6[[#This Row],[OPERADORA]]="TIM","SP TIM","SPI"),VLOOKUP(Tabela6[[#This Row],[UF]],'BASE CC'!B:C,2,0))</calculatedColumnFormula>
    </tableColumn>
    <tableColumn id="1" xr3:uid="{00000000-0010-0000-0200-000001000000}" name="CÓDIGO FAT" dataDxfId="662">
      <calculatedColumnFormula>VLOOKUP(Tabela_Base_Financeiro[[#This Row],[Item code]],'COD.FAT'!B:C,2,0)</calculatedColumnFormula>
    </tableColumn>
    <tableColumn id="3" xr3:uid="{00000000-0010-0000-0200-000003000000}" name="MUNICÍPIO" dataDxfId="661">
      <calculatedColumnFormula>Tabela_Base_Financeiro[[#This Row],[PO Ship TO]]</calculatedColumnFormula>
    </tableColumn>
    <tableColumn id="4" xr3:uid="{00000000-0010-0000-0200-000004000000}" name="UF" dataDxfId="660">
      <calculatedColumnFormula>RIGHT(Tabela_Base_Financeiro[[#This Row],[Manufacturer]],2)</calculatedColumnFormula>
    </tableColumn>
    <tableColumn id="6" xr3:uid="{00000000-0010-0000-0200-000006000000}" name="SITE _x000a_NAME" dataDxfId="659">
      <calculatedColumnFormula>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calculatedColumnFormula>
    </tableColumn>
    <tableColumn id="7" xr3:uid="{3490307A-D453-4F19-83A8-733B8F80192A}" name="OPERADORA" dataDxfId="658">
      <calculatedColumnFormula>VLOOKUP(Tabela_Base_Financeiro[[#This Row],[Project Code]],'COD. PROJETOS'!B:D,3,0)</calculatedColumnFormula>
    </tableColumn>
    <tableColumn id="8" xr3:uid="{00000000-0010-0000-0200-000008000000}" name="PO" dataDxfId="657">
      <calculatedColumnFormula>IFERROR(Tabela_Base_Financeiro[[#This Row],[PO No,]],0)</calculatedColumnFormula>
    </tableColumn>
    <tableColumn id="5" xr3:uid="{00000000-0010-0000-0200-000005000000}" name="LINE" dataDxfId="656">
      <calculatedColumnFormula>IFERROR(Tabela_Base_Financeiro[[#This Row],[Line No,]],0)</calculatedColumnFormula>
    </tableColumn>
    <tableColumn id="10" xr3:uid="{00000000-0010-0000-0200-00000A000000}" name="DU" dataDxfId="655">
      <calculatedColumnFormula>IFERROR(MID(Tabela_Base_Financeiro[[#This Row],[Manufacturer]],19,14),"")</calculatedColumnFormula>
    </tableColumn>
    <tableColumn id="11" xr3:uid="{00000000-0010-0000-0200-00000B000000}" name="ItemCode" dataDxfId="654">
      <calculatedColumnFormula>IFERROR(Tabela_Base_Financeiro[[#This Row],[Item code]],0)</calculatedColumnFormula>
    </tableColumn>
    <tableColumn id="13" xr3:uid="{00000000-0010-0000-0200-00000D000000}" name="Preço" dataDxfId="653" dataCellStyle="Vírgula">
      <calculatedColumnFormula>IFERROR(Tabela_Base_Financeiro[[#This Row],[Unit Price]],0)</calculatedColumnFormula>
    </tableColumn>
    <tableColumn id="14" xr3:uid="{00000000-0010-0000-0200-00000E000000}" name="Qty" dataDxfId="652">
      <calculatedColumnFormula>IFERROR(Tabela_Base_Financeiro[[#This Row],[AC Qty,]],0)</calculatedColumnFormula>
    </tableColumn>
    <tableColumn id="15" xr3:uid="{00000000-0010-0000-0200-00000F000000}" name="Total" dataDxfId="651" dataCellStyle="Vírgula">
      <calculatedColumnFormula>Tabela6[[#This Row],[Qty]]*Tabela6[[#This Row],[Preço]]</calculatedColumnFormula>
    </tableColumn>
    <tableColumn id="16" xr3:uid="{00000000-0010-0000-0200-000010000000}" name="Proporção" dataDxfId="650" dataCellStyle="Porcentagem">
      <calculatedColumnFormula>IFERROR(Tabela_Base_Financeiro[[#This Row],[Proportion]],0)</calculatedColumnFormula>
    </tableColumn>
    <tableColumn id="17" xr3:uid="{00000000-0010-0000-0200-000011000000}" name="Valor da Parcela" dataDxfId="649" dataCellStyle="Vírgula">
      <calculatedColumnFormula>Tabela6[[#This Row],[Proporção]]*Tabela6[[#This Row],[Total]]</calculatedColumnFormula>
    </tableColumn>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abela_Base_Financeiro" displayName="Tabela_Base_Financeiro" ref="A3:CM1115" totalsRowCount="1" headerRowDxfId="648" dataDxfId="646" headerRowBorderDxfId="647" tableBorderDxfId="645">
  <autoFilter ref="A3:CM1114" xr:uid="{00000000-0009-0000-0100-000002000000}"/>
  <tableColumns count="91">
    <tableColumn id="1" xr3:uid="{00000000-0010-0000-0300-000001000000}" name="Customer" totalsRowLabel="Total" dataDxfId="644"/>
    <tableColumn id="2" xr3:uid="{00000000-0010-0000-0300-000002000000}" name="poLineLocationId" dataDxfId="643"/>
    <tableColumn id="3" xr3:uid="{00000000-0010-0000-0300-000003000000}" name="vendorCode" dataDxfId="642"/>
    <tableColumn id="4" xr3:uid="{00000000-0010-0000-0300-000004000000}" name="vendorId" dataDxfId="641"/>
    <tableColumn id="5" xr3:uid="{00000000-0010-0000-0300-000005000000}" name="Companycode" dataDxfId="640"/>
    <tableColumn id="6" xr3:uid="{00000000-0010-0000-0300-000006000000}" name="poHeadId" dataDxfId="639"/>
    <tableColumn id="7" xr3:uid="{00000000-0010-0000-0300-000007000000}" name="poReleaseId" dataDxfId="638"/>
    <tableColumn id="8" xr3:uid="{00000000-0010-0000-0300-000008000000}" name="polineId" dataDxfId="637"/>
    <tableColumn id="9" xr3:uid="{00000000-0010-0000-0300-000009000000}" name="vendorSiteId" dataDxfId="636"/>
    <tableColumn id="10" xr3:uid="{00000000-0010-0000-0300-00000A000000}" name="termsId" dataDxfId="635"/>
    <tableColumn id="11" xr3:uid="{00000000-0010-0000-0300-00000B000000}" name="milestoneId" dataDxfId="634"/>
    <tableColumn id="12" xr3:uid="{00000000-0010-0000-0300-00000C000000}" name="digestCode" dataDxfId="633"/>
    <tableColumn id="13" xr3:uid="{00000000-0010-0000-0300-00000D000000}" name="invOrgId" dataDxfId="632"/>
    <tableColumn id="14" xr3:uid="{00000000-0010-0000-0300-00000E000000}" name="attribute2" dataDxfId="631"/>
    <tableColumn id="15" xr3:uid="{00000000-0010-0000-0300-00000F000000}" name="poSource" dataDxfId="630"/>
    <tableColumn id="16" xr3:uid="{00000000-0010-0000-0300-000010000000}" name="Location" dataDxfId="629"/>
    <tableColumn id="17" xr3:uid="{00000000-0010-0000-0300-000011000000}" name="CNPJ" dataDxfId="628"/>
    <tableColumn id="18" xr3:uid="{00000000-0010-0000-0300-000012000000}" name="PO No," dataDxfId="627"/>
    <tableColumn id="19" xr3:uid="{00000000-0010-0000-0300-000013000000}" name="Release No," dataDxfId="626"/>
    <tableColumn id="20" xr3:uid="{00000000-0010-0000-0300-000014000000}" name="Line No," dataDxfId="625"/>
    <tableColumn id="21" xr3:uid="{00000000-0010-0000-0300-000015000000}" name="Shipment No," dataDxfId="624"/>
    <tableColumn id="22" xr3:uid="{00000000-0010-0000-0300-000016000000}" name="PO Type" dataDxfId="623"/>
    <tableColumn id="23" xr3:uid="{00000000-0010-0000-0300-000017000000}" name="PO Qty" dataDxfId="622"/>
    <tableColumn id="24" xr3:uid="{00000000-0010-0000-0300-000018000000}" name="AC Qty," dataDxfId="621"/>
    <tableColumn id="25" xr3:uid="{00000000-0010-0000-0300-000019000000}" name="Billed Qty" dataDxfId="620"/>
    <tableColumn id="26" xr3:uid="{00000000-0010-0000-0300-00001A000000}" name="offsetQty" dataDxfId="619"/>
    <tableColumn id="27" xr3:uid="{00000000-0010-0000-0300-00001B000000}" name="Unbilled Qty," dataDxfId="618"/>
    <tableColumn id="28" xr3:uid="{00000000-0010-0000-0300-00001C000000}" name="Currency" dataDxfId="617"/>
    <tableColumn id="29" xr3:uid="{00000000-0010-0000-0300-00001D000000}" name="shipToLocationId" dataDxfId="616"/>
    <tableColumn id="30" xr3:uid="{00000000-0010-0000-0300-00001E000000}" name="Coluna1" dataDxfId="615"/>
    <tableColumn id="31" xr3:uid="{00000000-0010-0000-0300-00001F000000}" name="Coluna2" dataDxfId="614"/>
    <tableColumn id="32" xr3:uid="{00000000-0010-0000-0300-000020000000}" name="Coluna3" dataDxfId="613"/>
    <tableColumn id="33" xr3:uid="{00000000-0010-0000-0300-000021000000}" name="Coluna4" dataDxfId="612"/>
    <tableColumn id="34" xr3:uid="{00000000-0010-0000-0300-000022000000}" name="Coluna5" dataDxfId="611"/>
    <tableColumn id="35" xr3:uid="{00000000-0010-0000-0300-000023000000}" name="Coluna6" dataDxfId="610"/>
    <tableColumn id="36" xr3:uid="{00000000-0010-0000-0300-000024000000}" name="Coluna7" dataDxfId="609"/>
    <tableColumn id="37" xr3:uid="{00000000-0010-0000-0300-000025000000}" name="Unit Price" dataDxfId="608"/>
    <tableColumn id="38" xr3:uid="{00000000-0010-0000-0300-000026000000}" name="LC Code" dataDxfId="607"/>
    <tableColumn id="39" xr3:uid="{00000000-0010-0000-0300-000027000000}" name="ISS Tax Type" dataDxfId="606"/>
    <tableColumn id="40" xr3:uid="{00000000-0010-0000-0300-000028000000}" name="ISS Rate" dataDxfId="605"/>
    <tableColumn id="41" xr3:uid="{00000000-0010-0000-0300-000029000000}" name="INSS Base Rate" dataDxfId="604"/>
    <tableColumn id="42" xr3:uid="{00000000-0010-0000-0300-00002A000000}" name="INSS Rate" dataDxfId="603"/>
    <tableColumn id="43" xr3:uid="{00000000-0010-0000-0300-00002B000000}" name="IRRF Rate" dataDxfId="602"/>
    <tableColumn id="44" xr3:uid="{00000000-0010-0000-0300-00002C000000}" name="PCC Rate" dataDxfId="601"/>
    <tableColumn id="45" xr3:uid="{00000000-0010-0000-0300-00002D000000}" name="Terms Date Rule" dataDxfId="600"/>
    <tableColumn id="46" xr3:uid="{00000000-0010-0000-0300-00002E000000}" name="Terms" dataDxfId="599"/>
    <tableColumn id="47" xr3:uid="{00000000-0010-0000-0300-00002F000000}" name="site" dataDxfId="598"/>
    <tableColumn id="48" xr3:uid="{00000000-0010-0000-0300-000030000000}" name="Acceptance Milestone" dataDxfId="597"/>
    <tableColumn id="49" xr3:uid="{00000000-0010-0000-0300-000031000000}" name="Proportion" dataDxfId="596"/>
    <tableColumn id="50" xr3:uid="{00000000-0010-0000-0300-000032000000}" name="Description" dataDxfId="595"/>
    <tableColumn id="51" xr3:uid="{00000000-0010-0000-0300-000033000000}" name="Payment Type" dataDxfId="594"/>
    <tableColumn id="52" xr3:uid="{00000000-0010-0000-0300-000034000000}" name="payment terms" dataDxfId="593"/>
    <tableColumn id="53" xr3:uid="{00000000-0010-0000-0300-000035000000}" name="Payment Method" dataDxfId="592"/>
    <tableColumn id="54" xr3:uid="{00000000-0010-0000-0300-000036000000}" name="Item code" dataDxfId="591"/>
    <tableColumn id="55" xr3:uid="{00000000-0010-0000-0300-000037000000}" name="Project Code" dataDxfId="590" totalsRowDxfId="22"/>
    <tableColumn id="56" xr3:uid="{00000000-0010-0000-0300-000038000000}" name="Project Name" dataDxfId="589"/>
    <tableColumn id="57" xr3:uid="{00000000-0010-0000-0300-000039000000}" name="Sub Contract No," dataDxfId="588"/>
    <tableColumn id="58" xr3:uid="{00000000-0010-0000-0300-00003A000000}" name="Sales Contract No," dataDxfId="587"/>
    <tableColumn id="59" xr3:uid="{00000000-0010-0000-0300-00003B000000}" name="UOM" dataDxfId="586"/>
    <tableColumn id="60" xr3:uid="{00000000-0010-0000-0300-00003C000000}" name="PO Ship TO" totalsRowFunction="count" dataDxfId="585"/>
    <tableColumn id="61" xr3:uid="{00000000-0010-0000-0300-00003D000000}" name="Manufacturer" dataDxfId="584"/>
    <tableColumn id="62" xr3:uid="{00000000-0010-0000-0300-00003E000000}" name="Billing*" dataDxfId="583"/>
    <tableColumn id="63" xr3:uid="{00000000-0010-0000-0300-00003F000000}" name="Invoice Type(Brazil)" dataDxfId="582"/>
    <tableColumn id="64" xr3:uid="{00000000-0010-0000-0300-000040000000}" name="DOC_Fiscal" dataDxfId="581"/>
    <tableColumn id="65" xr3:uid="{00000000-0010-0000-0300-000041000000}" name="Series" dataDxfId="580"/>
    <tableColumn id="66" xr3:uid="{00000000-0010-0000-0300-000042000000}" name="Invoice No*" dataDxfId="579"/>
    <tableColumn id="67" xr3:uid="{00000000-0010-0000-0300-000043000000}" name="Invoice Date*" dataDxfId="578"/>
    <tableColumn id="68" xr3:uid="{00000000-0010-0000-0300-000044000000}" name="Invoice Amount (Incl, Tax)*" dataDxfId="577"/>
    <tableColumn id="69" xr3:uid="{00000000-0010-0000-0300-000045000000}" name="Invoice Key" dataDxfId="576"/>
    <tableColumn id="70" xr3:uid="{00000000-0010-0000-0300-000046000000}" name="BR BarCode" dataDxfId="575"/>
    <tableColumn id="71" xr3:uid="{00000000-0010-0000-0300-000047000000}" name="ICMS type" dataDxfId="574"/>
    <tableColumn id="72" xr3:uid="{00000000-0010-0000-0300-000048000000}" name="ICMS Base" dataDxfId="573"/>
    <tableColumn id="73" xr3:uid="{00000000-0010-0000-0300-000049000000}" name="ICMS Amount" dataDxfId="572"/>
    <tableColumn id="74" xr3:uid="{00000000-0010-0000-0300-00004A000000}" name="ICMS ST Base" dataDxfId="571"/>
    <tableColumn id="75" xr3:uid="{00000000-0010-0000-0300-00004B000000}" name="ICMS ST Amount" dataDxfId="570"/>
    <tableColumn id="76" xr3:uid="{00000000-0010-0000-0300-00004C000000}" name="IPI Base" dataDxfId="569"/>
    <tableColumn id="77" xr3:uid="{00000000-0010-0000-0300-00004D000000}" name="IPI Amount" dataDxfId="568"/>
    <tableColumn id="78" xr3:uid="{00000000-0010-0000-0300-00004E000000}" name="ISS_City" dataDxfId="567"/>
    <tableColumn id="79" xr3:uid="{00000000-0010-0000-0300-00004F000000}" name="ISS_State" dataDxfId="566"/>
    <tableColumn id="80" xr3:uid="{00000000-0010-0000-0300-000050000000}" name="ISS_Base" dataDxfId="565"/>
    <tableColumn id="81" xr3:uid="{00000000-0010-0000-0300-000051000000}" name="Service_Code" dataDxfId="564"/>
    <tableColumn id="82" xr3:uid="{00000000-0010-0000-0300-000052000000}" name="Iss_Type" dataDxfId="563"/>
    <tableColumn id="83" xr3:uid="{00000000-0010-0000-0300-000053000000}" name="INSS_Base" dataDxfId="562"/>
    <tableColumn id="84" xr3:uid="{00000000-0010-0000-0300-000054000000}" name="INSS_Tax" dataDxfId="561"/>
    <tableColumn id="85" xr3:uid="{00000000-0010-0000-0300-000055000000}" name="IR_Type" dataDxfId="560"/>
    <tableColumn id="86" xr3:uid="{00000000-0010-0000-0300-000056000000}" name="IR_Categ" dataDxfId="559"/>
    <tableColumn id="87" xr3:uid="{00000000-0010-0000-0300-000057000000}" name="IR_Base" dataDxfId="558"/>
    <tableColumn id="88" xr3:uid="{00000000-0010-0000-0300-000058000000}" name="IR_Rate" dataDxfId="557"/>
    <tableColumn id="89" xr3:uid="{00000000-0010-0000-0300-000059000000}" name="AWT_Group" dataDxfId="556"/>
    <tableColumn id="90" xr3:uid="{00000000-0010-0000-0300-00005A000000}" name="remark" dataDxfId="555"/>
    <tableColumn id="91" xr3:uid="{00000000-0010-0000-0300-00005B000000}" name="TOTAL" totalsRowFunction="count" dataDxfId="554"/>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4000000}" name="Tabela8" displayName="Tabela8" ref="B3:D30" totalsRowShown="0" headerRowDxfId="553" tableBorderDxfId="552">
  <autoFilter ref="B3:D30" xr:uid="{00000000-0009-0000-0100-000008000000}"/>
  <tableColumns count="3">
    <tableColumn id="1" xr3:uid="{00000000-0010-0000-0400-000001000000}" name="Project Code" dataDxfId="551"/>
    <tableColumn id="2" xr3:uid="{00000000-0010-0000-0400-000002000000}" name="PROJETO" dataDxfId="550"/>
    <tableColumn id="3" xr3:uid="{00000000-0010-0000-0400-000003000000}" name="OPERADORA" dataDxfId="549"/>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Tabela7" displayName="Tabela7" ref="B2:D9800" totalsRowShown="0" headerRowBorderDxfId="548" tableBorderDxfId="547" totalsRowBorderDxfId="546">
  <autoFilter ref="B2:D9800" xr:uid="{00000000-0009-0000-0100-000007000000}"/>
  <tableColumns count="3">
    <tableColumn id="1" xr3:uid="{00000000-0010-0000-0500-000001000000}" name="Colunas1" dataDxfId="545"/>
    <tableColumn id="2" xr3:uid="{00000000-0010-0000-0500-000002000000}" name="Colunas2" dataDxfId="544"/>
    <tableColumn id="3" xr3:uid="{00000000-0010-0000-0500-000003000000}" name="Colunas3" dataDxfId="543"/>
  </tableColumns>
  <tableStyleInfo name="TableStyleMedium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6000000}" name="Tabela4" displayName="Tabela4" ref="A2:H494" totalsRowShown="0" headerRowDxfId="542" headerRowBorderDxfId="541" tableBorderDxfId="540" totalsRowBorderDxfId="539">
  <autoFilter ref="A2:H494" xr:uid="{00000000-0009-0000-0100-000004000000}"/>
  <tableColumns count="8">
    <tableColumn id="1" xr3:uid="{00000000-0010-0000-0600-000001000000}" name="SITE" dataDxfId="538"/>
    <tableColumn id="2" xr3:uid="{00000000-0010-0000-0600-000002000000}" name="SITE2" dataDxfId="537">
      <calculatedColumnFormula>MID(A3,36,14)</calculatedColumnFormula>
    </tableColumn>
    <tableColumn id="3" xr3:uid="{00000000-0010-0000-0600-000003000000}" name="PROJETO" dataDxfId="536"/>
    <tableColumn id="4" xr3:uid="{00000000-0010-0000-0600-000004000000}" name="SITE_ID" dataDxfId="535">
      <calculatedColumnFormula>IF(VLOOKUP('BASE FINANCEIRO'!#REF!,'COD. PROJETOS'!B:D,3,0)="VIVO",MID('BASE FINANCEIRO'!#REF!,36,3),IF(VLOOKUP('BASE FINANCEIRO'!#REF!,'COD. PROJETOS'!B:D,3,0),MID('BASE FINANCEIRO'!#REF!,36,7),IF(VLOOKUP('BASE FINANCEIRO'!#REF!,'COD. PROJETOS'!B:D,3,0),MID('BASE FINANCEIRO'!#REF!,36,9),"PROJETO?")))</calculatedColumnFormula>
    </tableColumn>
    <tableColumn id="5" xr3:uid="{00000000-0010-0000-0600-000005000000}" name="MUNICÍPIO" dataDxfId="534"/>
    <tableColumn id="6" xr3:uid="{00000000-0010-0000-0600-000006000000}" name="UF" dataDxfId="533"/>
    <tableColumn id="7" xr3:uid="{00000000-0010-0000-0600-000007000000}" name="ESCOPO" dataDxfId="532">
      <calculatedColumnFormula>IF(Tabela4[[#This Row],[PROJETO]]="CLARO",LEFT(Tabela4[[#This Row],[SITE2]],2),IF(Tabela4[[#This Row],[PROJETO]]="VIVO",RIGHT(LEFT(Tabela4[[#This Row],[SITE2]],10),2),""))</calculatedColumnFormula>
    </tableColumn>
    <tableColumn id="8" xr3:uid="{00000000-0010-0000-0600-000008000000}" name="CIDADE" dataDxfId="531"/>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7000000}" name="Tabela5" displayName="Tabela5" ref="B2:C24" totalsRowShown="0" headerRowDxfId="530" dataDxfId="529">
  <autoFilter ref="B2:C24" xr:uid="{00000000-0009-0000-0100-000005000000}"/>
  <tableColumns count="2">
    <tableColumn id="1" xr3:uid="{00000000-0010-0000-0700-000001000000}" name="UF" dataDxfId="528"/>
    <tableColumn id="2" xr3:uid="{00000000-0010-0000-0700-000002000000}" name="TABELA" dataDxfId="527"/>
  </tableColumns>
  <tableStyleInfo name="TableStyleLight11"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3"/>
  <sheetViews>
    <sheetView tabSelected="1" workbookViewId="0">
      <selection activeCell="C8" sqref="C8"/>
    </sheetView>
  </sheetViews>
  <sheetFormatPr defaultColWidth="9.109375" defaultRowHeight="14.4"/>
  <cols>
    <col min="1" max="1" width="9.109375" style="29"/>
    <col min="2" max="5" width="20.6640625" style="29" customWidth="1"/>
    <col min="6" max="16384" width="9.109375" style="29"/>
  </cols>
  <sheetData>
    <row r="1" spans="2:9" ht="6" customHeight="1"/>
    <row r="2" spans="2:9" ht="24" customHeight="1">
      <c r="B2" s="370" t="s">
        <v>26</v>
      </c>
      <c r="C2" s="370"/>
      <c r="D2" s="370"/>
      <c r="E2" s="370"/>
    </row>
    <row r="3" spans="2:9" ht="24" customHeight="1"/>
    <row r="4" spans="2:9" s="261" customFormat="1" ht="24" customHeight="1">
      <c r="B4" s="371" t="s">
        <v>27</v>
      </c>
      <c r="C4" s="371"/>
      <c r="D4" s="262" t="s">
        <v>28</v>
      </c>
      <c r="E4" s="262" t="s">
        <v>29</v>
      </c>
      <c r="H4" s="299"/>
    </row>
    <row r="5" spans="2:9" ht="24" customHeight="1">
      <c r="B5" s="31" t="s">
        <v>32</v>
      </c>
      <c r="C5" s="32">
        <f>C7+C8+C9</f>
        <v>20</v>
      </c>
      <c r="D5" s="33">
        <f>SUMIF(SiteVisitP1[Data],"&gt;0",SiteVisitP1[Valor da Parcela])+SUMIF(Parcela1[Data],"&gt;0",Parcela1[Coluna1])+SUMIF(SiteVisitP110[NF],"&gt;0",SiteVisitP110[Valor da Parcela])</f>
        <v>0</v>
      </c>
      <c r="E5" s="34">
        <f>IF(D5=0,0,D5/C5)</f>
        <v>0</v>
      </c>
      <c r="H5" s="112"/>
    </row>
    <row r="6" spans="2:9" ht="24" customHeight="1">
      <c r="B6" s="30"/>
      <c r="I6" s="112"/>
    </row>
    <row r="7" spans="2:9" ht="24" customHeight="1">
      <c r="B7" s="31" t="s">
        <v>31</v>
      </c>
      <c r="C7" s="32">
        <f>SUM(Parcela1[Coluna1])</f>
        <v>10</v>
      </c>
      <c r="D7" s="33">
        <f>SUM(SUMIF(Parcela1[NF],"&lt;&gt;"&amp;"",Parcela1[Coluna1]))</f>
        <v>0</v>
      </c>
      <c r="E7" s="34">
        <f>IF(D7=0,0,D7/C7)</f>
        <v>0</v>
      </c>
      <c r="G7" s="112">
        <f>C7-D7</f>
        <v>10</v>
      </c>
    </row>
    <row r="8" spans="2:9" ht="24" customHeight="1">
      <c r="B8" s="31" t="s">
        <v>30</v>
      </c>
      <c r="C8" s="32">
        <f>SUM(SiteVisitP1[Valor da Parcela])</f>
        <v>10</v>
      </c>
      <c r="D8" s="33">
        <f>SUMIF(SiteVisitP1[NF],"&gt;0",SiteVisitP1[Valor da Parcela])</f>
        <v>0</v>
      </c>
      <c r="E8" s="34">
        <f>IF(D8=0,0,D8/C8)</f>
        <v>0</v>
      </c>
    </row>
    <row r="9" spans="2:9" ht="19.8" customHeight="1">
      <c r="B9" s="31" t="s">
        <v>8336</v>
      </c>
      <c r="C9" s="32">
        <f>SUM(SiteVisitP110[Valor da Parcela])</f>
        <v>0</v>
      </c>
      <c r="D9" s="33">
        <f>SUMIF(SiteVisitP110[NF],"&gt;0",SiteVisitP110[Valor da Parcela])</f>
        <v>0</v>
      </c>
      <c r="E9" s="34">
        <f>IF(D9=0,0,D9/C9)</f>
        <v>0</v>
      </c>
    </row>
    <row r="10" spans="2:9">
      <c r="D10" s="112"/>
    </row>
    <row r="13" spans="2:9">
      <c r="C13" s="112"/>
    </row>
  </sheetData>
  <mergeCells count="2">
    <mergeCell ref="B2:E2"/>
    <mergeCell ref="B4:C4"/>
  </mergeCells>
  <pageMargins left="0.511811024" right="0.511811024" top="0.78740157499999996" bottom="0.78740157499999996" header="0.31496062000000002" footer="0.31496062000000002"/>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C89"/>
  <sheetViews>
    <sheetView workbookViewId="0">
      <selection activeCell="A8" sqref="A8"/>
    </sheetView>
  </sheetViews>
  <sheetFormatPr defaultRowHeight="14.4"/>
  <cols>
    <col min="1" max="1" width="38.109375" bestFit="1" customWidth="1"/>
    <col min="2" max="2" width="13.109375" bestFit="1" customWidth="1"/>
    <col min="3" max="3" width="15" bestFit="1" customWidth="1"/>
    <col min="6" max="6" width="35.88671875" bestFit="1" customWidth="1"/>
    <col min="7" max="7" width="18.6640625" bestFit="1" customWidth="1"/>
  </cols>
  <sheetData>
    <row r="3" spans="1:3">
      <c r="A3" s="211" t="s">
        <v>5080</v>
      </c>
      <c r="B3" t="s">
        <v>5079</v>
      </c>
      <c r="C3" t="s">
        <v>8289</v>
      </c>
    </row>
    <row r="4" spans="1:3">
      <c r="A4" s="212" t="s">
        <v>8389</v>
      </c>
      <c r="B4" s="2">
        <v>4756.2720000000008</v>
      </c>
      <c r="C4" s="2">
        <v>12</v>
      </c>
    </row>
    <row r="5" spans="1:3">
      <c r="A5" s="212" t="s">
        <v>8407</v>
      </c>
      <c r="B5" s="2">
        <v>4753.2980000000016</v>
      </c>
      <c r="C5" s="2">
        <v>9</v>
      </c>
    </row>
    <row r="6" spans="1:3">
      <c r="A6" s="212" t="s">
        <v>8408</v>
      </c>
      <c r="B6" s="2">
        <v>4753.2980000000007</v>
      </c>
      <c r="C6" s="2">
        <v>9</v>
      </c>
    </row>
    <row r="7" spans="1:3" ht="13.8" customHeight="1">
      <c r="A7" s="212" t="s">
        <v>8400</v>
      </c>
      <c r="B7" s="2">
        <v>4368.5129999999999</v>
      </c>
      <c r="C7" s="2">
        <v>6</v>
      </c>
    </row>
    <row r="8" spans="1:3">
      <c r="A8" s="212" t="s">
        <v>8439</v>
      </c>
      <c r="B8" s="2">
        <v>4062.8159999999998</v>
      </c>
      <c r="C8" s="2">
        <v>6</v>
      </c>
    </row>
    <row r="9" spans="1:3">
      <c r="A9" s="212" t="s">
        <v>8392</v>
      </c>
      <c r="B9" s="2">
        <v>3077.5230000000001</v>
      </c>
      <c r="C9" s="2">
        <v>5</v>
      </c>
    </row>
    <row r="10" spans="1:3">
      <c r="A10" s="212" t="s">
        <v>8423</v>
      </c>
      <c r="B10" s="2">
        <v>3000</v>
      </c>
      <c r="C10" s="2">
        <v>1</v>
      </c>
    </row>
    <row r="11" spans="1:3">
      <c r="A11" s="212" t="s">
        <v>8390</v>
      </c>
      <c r="B11" s="2">
        <v>2997.9600000000005</v>
      </c>
      <c r="C11" s="2">
        <v>8</v>
      </c>
    </row>
    <row r="12" spans="1:3">
      <c r="A12" s="212" t="s">
        <v>8434</v>
      </c>
      <c r="B12" s="2">
        <v>2846.1779999999999</v>
      </c>
      <c r="C12" s="2">
        <v>1</v>
      </c>
    </row>
    <row r="13" spans="1:3">
      <c r="A13" s="212" t="s">
        <v>8424</v>
      </c>
      <c r="B13" s="2">
        <v>2815.3440000000001</v>
      </c>
      <c r="C13" s="2">
        <v>1</v>
      </c>
    </row>
    <row r="14" spans="1:3" ht="13.2" customHeight="1">
      <c r="A14" s="212" t="s">
        <v>8421</v>
      </c>
      <c r="B14" s="2">
        <v>2649.4290000000001</v>
      </c>
      <c r="C14" s="2">
        <v>1</v>
      </c>
    </row>
    <row r="15" spans="1:3">
      <c r="A15" s="212" t="s">
        <v>8383</v>
      </c>
      <c r="B15" s="2">
        <v>2649.4290000000001</v>
      </c>
      <c r="C15" s="2">
        <v>1</v>
      </c>
    </row>
    <row r="16" spans="1:3">
      <c r="A16" s="212" t="s">
        <v>8437</v>
      </c>
      <c r="B16" s="2">
        <v>2379.7280000000001</v>
      </c>
      <c r="C16" s="2">
        <v>7</v>
      </c>
    </row>
    <row r="17" spans="1:3" ht="13.8" customHeight="1">
      <c r="A17" s="212" t="s">
        <v>8451</v>
      </c>
      <c r="B17" s="2">
        <v>2184</v>
      </c>
      <c r="C17" s="2">
        <v>4</v>
      </c>
    </row>
    <row r="18" spans="1:3">
      <c r="A18" s="212" t="s">
        <v>8428</v>
      </c>
      <c r="B18" s="2">
        <v>2147.65</v>
      </c>
      <c r="C18" s="2">
        <v>2</v>
      </c>
    </row>
    <row r="19" spans="1:3">
      <c r="A19" s="212" t="s">
        <v>8414</v>
      </c>
      <c r="B19" s="2">
        <v>2103.7359999999999</v>
      </c>
      <c r="C19" s="2">
        <v>3</v>
      </c>
    </row>
    <row r="20" spans="1:3">
      <c r="A20" s="212" t="s">
        <v>8413</v>
      </c>
      <c r="B20" s="2">
        <v>2103.7359999999999</v>
      </c>
      <c r="C20" s="2">
        <v>3</v>
      </c>
    </row>
    <row r="21" spans="1:3">
      <c r="A21" s="212" t="s">
        <v>8340</v>
      </c>
      <c r="B21" s="2">
        <v>1821.83</v>
      </c>
      <c r="C21" s="2">
        <v>1</v>
      </c>
    </row>
    <row r="22" spans="1:3">
      <c r="A22" s="212" t="s">
        <v>8375</v>
      </c>
      <c r="B22" s="2">
        <v>1553.8815</v>
      </c>
      <c r="C22" s="2">
        <v>3</v>
      </c>
    </row>
    <row r="23" spans="1:3">
      <c r="A23" s="212" t="s">
        <v>8410</v>
      </c>
      <c r="B23" s="2">
        <v>1364.538</v>
      </c>
      <c r="C23" s="2">
        <v>6</v>
      </c>
    </row>
    <row r="24" spans="1:3">
      <c r="A24" s="212" t="s">
        <v>8405</v>
      </c>
      <c r="B24" s="2">
        <v>1356.0370000000003</v>
      </c>
      <c r="C24" s="2">
        <v>13</v>
      </c>
    </row>
    <row r="25" spans="1:3">
      <c r="A25" s="212" t="s">
        <v>8435</v>
      </c>
      <c r="B25" s="2">
        <v>1341.3300000000002</v>
      </c>
      <c r="C25" s="2">
        <v>8</v>
      </c>
    </row>
    <row r="26" spans="1:3">
      <c r="A26" s="212" t="s">
        <v>8430</v>
      </c>
      <c r="B26" s="2">
        <v>1249.0940000000001</v>
      </c>
      <c r="C26" s="2">
        <v>1</v>
      </c>
    </row>
    <row r="27" spans="1:3">
      <c r="A27" s="212" t="s">
        <v>8454</v>
      </c>
      <c r="B27" s="2">
        <v>1249.0940000000001</v>
      </c>
      <c r="C27" s="2">
        <v>1</v>
      </c>
    </row>
    <row r="28" spans="1:3">
      <c r="A28" s="212" t="s">
        <v>8436</v>
      </c>
      <c r="B28" s="2">
        <v>1232.1280000000002</v>
      </c>
      <c r="C28" s="2">
        <v>2</v>
      </c>
    </row>
    <row r="29" spans="1:3">
      <c r="A29" s="212" t="s">
        <v>8441</v>
      </c>
      <c r="B29" s="2">
        <v>1232.1280000000002</v>
      </c>
      <c r="C29" s="2">
        <v>2</v>
      </c>
    </row>
    <row r="30" spans="1:3">
      <c r="A30" s="212" t="s">
        <v>8440</v>
      </c>
      <c r="B30" s="2">
        <v>1232.1280000000002</v>
      </c>
      <c r="C30" s="2">
        <v>2</v>
      </c>
    </row>
    <row r="31" spans="1:3">
      <c r="A31" s="212" t="s">
        <v>8372</v>
      </c>
      <c r="B31" s="2">
        <v>1130.066</v>
      </c>
      <c r="C31" s="2">
        <v>7</v>
      </c>
    </row>
    <row r="32" spans="1:3">
      <c r="A32" s="212" t="s">
        <v>8427</v>
      </c>
      <c r="B32" s="2">
        <v>1054.0260000000001</v>
      </c>
      <c r="C32" s="2">
        <v>2</v>
      </c>
    </row>
    <row r="33" spans="1:3">
      <c r="A33" s="212" t="s">
        <v>8429</v>
      </c>
      <c r="B33" s="2">
        <v>894.28200000000004</v>
      </c>
      <c r="C33" s="2">
        <v>3</v>
      </c>
    </row>
    <row r="34" spans="1:3">
      <c r="A34" s="212" t="s">
        <v>8445</v>
      </c>
      <c r="B34" s="2">
        <v>801.00800000000004</v>
      </c>
      <c r="C34" s="2">
        <v>2</v>
      </c>
    </row>
    <row r="35" spans="1:3">
      <c r="A35" s="212" t="s">
        <v>8432</v>
      </c>
      <c r="B35" s="2">
        <v>796.27300000000002</v>
      </c>
      <c r="C35" s="2">
        <v>3</v>
      </c>
    </row>
    <row r="36" spans="1:3">
      <c r="A36" s="212" t="s">
        <v>8388</v>
      </c>
      <c r="B36" s="2">
        <v>771.76600000000008</v>
      </c>
      <c r="C36" s="2">
        <v>5</v>
      </c>
    </row>
    <row r="37" spans="1:3">
      <c r="A37" s="212" t="s">
        <v>8418</v>
      </c>
      <c r="B37" s="2">
        <v>767.64599999999996</v>
      </c>
      <c r="C37" s="2">
        <v>1</v>
      </c>
    </row>
    <row r="38" spans="1:3">
      <c r="A38" s="212" t="s">
        <v>8417</v>
      </c>
      <c r="B38" s="2">
        <v>763.99199999999996</v>
      </c>
      <c r="C38" s="2">
        <v>1</v>
      </c>
    </row>
    <row r="39" spans="1:3">
      <c r="A39" s="212" t="s">
        <v>8433</v>
      </c>
      <c r="B39" s="2">
        <v>757.50300000000004</v>
      </c>
      <c r="C39" s="2">
        <v>6</v>
      </c>
    </row>
    <row r="40" spans="1:3">
      <c r="A40" s="212" t="s">
        <v>8396</v>
      </c>
      <c r="B40" s="2">
        <v>728.33400000000006</v>
      </c>
      <c r="C40" s="2">
        <v>5</v>
      </c>
    </row>
    <row r="41" spans="1:3">
      <c r="A41" s="212" t="s">
        <v>8420</v>
      </c>
      <c r="B41" s="2">
        <v>710.3599999999999</v>
      </c>
      <c r="C41" s="2">
        <v>2</v>
      </c>
    </row>
    <row r="42" spans="1:3">
      <c r="A42" s="212" t="s">
        <v>8382</v>
      </c>
      <c r="B42" s="2">
        <v>680.572</v>
      </c>
      <c r="C42" s="2">
        <v>2</v>
      </c>
    </row>
    <row r="43" spans="1:3">
      <c r="A43" s="212" t="s">
        <v>8398</v>
      </c>
      <c r="B43" s="2">
        <v>671.58499999999992</v>
      </c>
      <c r="C43" s="2">
        <v>3</v>
      </c>
    </row>
    <row r="44" spans="1:3">
      <c r="A44" s="212" t="s">
        <v>8431</v>
      </c>
      <c r="B44" s="2">
        <v>644.06399999999996</v>
      </c>
      <c r="C44" s="2">
        <v>1</v>
      </c>
    </row>
    <row r="45" spans="1:3">
      <c r="A45" s="212" t="s">
        <v>8412</v>
      </c>
      <c r="B45" s="2">
        <v>643.50699999999995</v>
      </c>
      <c r="C45" s="2">
        <v>2</v>
      </c>
    </row>
    <row r="46" spans="1:3">
      <c r="A46" s="212" t="s">
        <v>8422</v>
      </c>
      <c r="B46" s="2">
        <v>643.50699999999995</v>
      </c>
      <c r="C46" s="2">
        <v>2</v>
      </c>
    </row>
    <row r="47" spans="1:3">
      <c r="A47" s="212" t="s">
        <v>8384</v>
      </c>
      <c r="B47" s="2">
        <v>545.35199999999998</v>
      </c>
      <c r="C47" s="2">
        <v>2</v>
      </c>
    </row>
    <row r="48" spans="1:3">
      <c r="A48" s="212" t="s">
        <v>8385</v>
      </c>
      <c r="B48" s="2">
        <v>545.35199999999998</v>
      </c>
      <c r="C48" s="2">
        <v>2</v>
      </c>
    </row>
    <row r="49" spans="1:3">
      <c r="A49" s="212" t="s">
        <v>8416</v>
      </c>
      <c r="B49" s="2">
        <v>538.52099999999996</v>
      </c>
      <c r="C49" s="2">
        <v>2</v>
      </c>
    </row>
    <row r="50" spans="1:3">
      <c r="A50" s="212" t="s">
        <v>8415</v>
      </c>
      <c r="B50" s="2">
        <v>506.07300000000004</v>
      </c>
      <c r="C50" s="2">
        <v>3</v>
      </c>
    </row>
    <row r="51" spans="1:3">
      <c r="A51" s="212" t="s">
        <v>8394</v>
      </c>
      <c r="B51" s="2">
        <v>485.185</v>
      </c>
      <c r="C51" s="2">
        <v>5</v>
      </c>
    </row>
    <row r="52" spans="1:3">
      <c r="A52" s="212" t="s">
        <v>8391</v>
      </c>
      <c r="B52" s="2">
        <v>474.12599999999998</v>
      </c>
      <c r="C52" s="2">
        <v>5</v>
      </c>
    </row>
    <row r="53" spans="1:3">
      <c r="A53" s="212" t="s">
        <v>8387</v>
      </c>
      <c r="B53" s="2">
        <v>435.11799999999999</v>
      </c>
      <c r="C53" s="2">
        <v>2</v>
      </c>
    </row>
    <row r="54" spans="1:3">
      <c r="A54" s="212" t="s">
        <v>8386</v>
      </c>
      <c r="B54" s="2">
        <v>380.21400000000006</v>
      </c>
      <c r="C54" s="2">
        <v>2</v>
      </c>
    </row>
    <row r="55" spans="1:3">
      <c r="A55" s="212" t="s">
        <v>8346</v>
      </c>
      <c r="B55" s="2">
        <v>328.09800000000001</v>
      </c>
      <c r="C55" s="2">
        <v>3</v>
      </c>
    </row>
    <row r="56" spans="1:3">
      <c r="A56" s="212" t="s">
        <v>8377</v>
      </c>
      <c r="B56" s="2">
        <v>321.75349999999997</v>
      </c>
      <c r="C56" s="2">
        <v>1</v>
      </c>
    </row>
    <row r="57" spans="1:3">
      <c r="A57" s="212" t="s">
        <v>8345</v>
      </c>
      <c r="B57" s="2">
        <v>315.19499999999999</v>
      </c>
      <c r="C57" s="2">
        <v>5</v>
      </c>
    </row>
    <row r="58" spans="1:3">
      <c r="A58" s="212" t="s">
        <v>8393</v>
      </c>
      <c r="B58" s="2">
        <v>298.79199999999997</v>
      </c>
      <c r="C58" s="2">
        <v>5</v>
      </c>
    </row>
    <row r="59" spans="1:3">
      <c r="A59" s="212" t="s">
        <v>8411</v>
      </c>
      <c r="B59" s="2">
        <v>294.45</v>
      </c>
      <c r="C59" s="2">
        <v>3</v>
      </c>
    </row>
    <row r="60" spans="1:3">
      <c r="A60" s="212" t="s">
        <v>8399</v>
      </c>
      <c r="B60" s="2">
        <v>242.74399999999997</v>
      </c>
      <c r="C60" s="2">
        <v>4</v>
      </c>
    </row>
    <row r="61" spans="1:3">
      <c r="A61" s="212" t="s">
        <v>8395</v>
      </c>
      <c r="B61" s="2">
        <v>242.74399999999997</v>
      </c>
      <c r="C61" s="2">
        <v>4</v>
      </c>
    </row>
    <row r="62" spans="1:3">
      <c r="A62" s="212" t="s">
        <v>8448</v>
      </c>
      <c r="B62" s="2">
        <v>232.88399999999999</v>
      </c>
      <c r="C62" s="2">
        <v>1</v>
      </c>
    </row>
    <row r="63" spans="1:3">
      <c r="A63" s="212" t="s">
        <v>8378</v>
      </c>
      <c r="B63" s="2">
        <v>232.88399999999999</v>
      </c>
      <c r="C63" s="2">
        <v>1</v>
      </c>
    </row>
    <row r="64" spans="1:3">
      <c r="A64" s="212" t="s">
        <v>8337</v>
      </c>
      <c r="B64" s="2">
        <v>230.80099999999999</v>
      </c>
      <c r="C64" s="2">
        <v>1</v>
      </c>
    </row>
    <row r="65" spans="1:3">
      <c r="A65" s="212" t="s">
        <v>8341</v>
      </c>
      <c r="B65" s="2">
        <v>229.75</v>
      </c>
      <c r="C65" s="2">
        <v>1</v>
      </c>
    </row>
    <row r="66" spans="1:3">
      <c r="A66" s="212" t="s">
        <v>8446</v>
      </c>
      <c r="B66" s="2">
        <v>200.25200000000001</v>
      </c>
      <c r="C66" s="2">
        <v>2</v>
      </c>
    </row>
    <row r="67" spans="1:3">
      <c r="A67" s="212" t="s">
        <v>8380</v>
      </c>
      <c r="B67" s="2">
        <v>200.25200000000001</v>
      </c>
      <c r="C67" s="2">
        <v>2</v>
      </c>
    </row>
    <row r="68" spans="1:3">
      <c r="A68" s="212" t="s">
        <v>8343</v>
      </c>
      <c r="B68" s="2">
        <v>200.25200000000001</v>
      </c>
      <c r="C68" s="2">
        <v>2</v>
      </c>
    </row>
    <row r="69" spans="1:3">
      <c r="A69" s="212" t="s">
        <v>8444</v>
      </c>
      <c r="B69" s="2">
        <v>200.25200000000001</v>
      </c>
      <c r="C69" s="2">
        <v>2</v>
      </c>
    </row>
    <row r="70" spans="1:3">
      <c r="A70" s="212" t="s">
        <v>8344</v>
      </c>
      <c r="B70" s="2">
        <v>142.31799999999998</v>
      </c>
      <c r="C70" s="2">
        <v>3</v>
      </c>
    </row>
    <row r="71" spans="1:3">
      <c r="A71" s="212" t="s">
        <v>8338</v>
      </c>
      <c r="B71" s="2">
        <v>142.31799999999998</v>
      </c>
      <c r="C71" s="2">
        <v>3</v>
      </c>
    </row>
    <row r="72" spans="1:3">
      <c r="A72" s="369" t="s">
        <v>8342</v>
      </c>
      <c r="B72" s="2">
        <v>116.44199999999999</v>
      </c>
      <c r="C72" s="2">
        <v>1</v>
      </c>
    </row>
    <row r="73" spans="1:3">
      <c r="A73" s="369" t="s">
        <v>8339</v>
      </c>
      <c r="B73" s="2">
        <v>91.26</v>
      </c>
      <c r="C73" s="2">
        <v>1</v>
      </c>
    </row>
    <row r="74" spans="1:3">
      <c r="A74" s="212" t="s">
        <v>8409</v>
      </c>
      <c r="B74" s="2">
        <v>39.021999999999998</v>
      </c>
      <c r="C74" s="2">
        <v>1</v>
      </c>
    </row>
    <row r="75" spans="1:3">
      <c r="A75" s="212" t="s">
        <v>5591</v>
      </c>
      <c r="B75" s="2"/>
      <c r="C75" s="2"/>
    </row>
    <row r="76" spans="1:3">
      <c r="A76" s="212" t="s">
        <v>5081</v>
      </c>
      <c r="B76" s="2">
        <v>87951.994000000079</v>
      </c>
      <c r="C76" s="2">
        <v>234</v>
      </c>
    </row>
    <row r="86" spans="1:3" s="28" customFormat="1">
      <c r="A86"/>
      <c r="B86"/>
      <c r="C86"/>
    </row>
    <row r="89" spans="1:3" s="28" customFormat="1">
      <c r="A89"/>
      <c r="B89"/>
      <c r="C89"/>
    </row>
  </sheetData>
  <pageMargins left="0.511811024" right="0.511811024" top="0.78740157499999996" bottom="0.78740157499999996" header="0.31496062000000002" footer="0.31496062000000002"/>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5">
    <tabColor rgb="FF0070C0"/>
  </sheetPr>
  <dimension ref="A1:V319"/>
  <sheetViews>
    <sheetView zoomScale="90" zoomScaleNormal="90" workbookViewId="0">
      <selection activeCell="O4" sqref="O4"/>
    </sheetView>
  </sheetViews>
  <sheetFormatPr defaultRowHeight="14.4"/>
  <cols>
    <col min="1" max="1" width="11.44140625" customWidth="1"/>
    <col min="2" max="2" width="17.44140625" customWidth="1"/>
    <col min="3" max="3" width="24.5546875" customWidth="1"/>
    <col min="4" max="4" width="18.44140625" customWidth="1"/>
    <col min="5" max="6" width="15" customWidth="1"/>
    <col min="7" max="7" width="17" customWidth="1"/>
    <col min="8" max="8" width="16.6640625" customWidth="1"/>
    <col min="9" max="9" width="16.109375" bestFit="1" customWidth="1"/>
    <col min="10" max="10" width="11.88671875" customWidth="1"/>
    <col min="11" max="11" width="11.6640625" customWidth="1"/>
    <col min="12" max="12" width="14.109375" customWidth="1"/>
    <col min="13" max="13" width="9" bestFit="1" customWidth="1"/>
    <col min="14" max="14" width="13.88671875" customWidth="1"/>
    <col min="15" max="15" width="11.88671875" customWidth="1"/>
    <col min="16" max="16" width="12.109375" customWidth="1"/>
    <col min="17" max="17" width="10.44140625" bestFit="1" customWidth="1"/>
    <col min="18" max="18" width="14.33203125" customWidth="1"/>
    <col min="19" max="19" width="9.88671875" bestFit="1" customWidth="1"/>
    <col min="20" max="20" width="12.44140625" customWidth="1"/>
  </cols>
  <sheetData>
    <row r="1" spans="1:22" ht="23.4">
      <c r="B1" s="25"/>
      <c r="C1" s="372" t="s">
        <v>13</v>
      </c>
      <c r="D1" s="372"/>
      <c r="E1" s="372"/>
      <c r="F1" s="297"/>
      <c r="N1" s="106">
        <f>SUBTOTAL(9,SiteVisitP1[Valor da Parcela])</f>
        <v>10</v>
      </c>
    </row>
    <row r="2" spans="1:22" ht="24">
      <c r="A2" s="174" t="s">
        <v>133</v>
      </c>
      <c r="B2" s="174" t="s">
        <v>39</v>
      </c>
      <c r="C2" s="175" t="s">
        <v>33</v>
      </c>
      <c r="D2" s="175" t="s">
        <v>0</v>
      </c>
      <c r="E2" s="175" t="s">
        <v>34</v>
      </c>
      <c r="F2" s="175" t="s">
        <v>2452</v>
      </c>
      <c r="G2" s="175" t="s">
        <v>12</v>
      </c>
      <c r="H2" s="175" t="s">
        <v>8297</v>
      </c>
      <c r="I2" s="175" t="s">
        <v>2456</v>
      </c>
      <c r="J2" s="175" t="s">
        <v>35</v>
      </c>
      <c r="K2" s="176" t="s">
        <v>36</v>
      </c>
      <c r="L2" s="175" t="s">
        <v>37</v>
      </c>
      <c r="M2" s="177" t="s">
        <v>38</v>
      </c>
      <c r="N2" s="178" t="s">
        <v>46</v>
      </c>
      <c r="O2" s="179" t="s">
        <v>47</v>
      </c>
      <c r="P2" s="180" t="s">
        <v>7</v>
      </c>
      <c r="Q2" s="180" t="s">
        <v>24</v>
      </c>
      <c r="U2" s="114" t="s">
        <v>0</v>
      </c>
      <c r="V2" s="114" t="s">
        <v>133</v>
      </c>
    </row>
    <row r="3" spans="1:22">
      <c r="A3" s="122" t="s">
        <v>2270</v>
      </c>
      <c r="B3" s="36">
        <v>7.03</v>
      </c>
      <c r="C3" s="301" t="s">
        <v>8463</v>
      </c>
      <c r="D3" s="36" t="s">
        <v>1956</v>
      </c>
      <c r="E3" s="122" t="s">
        <v>8465</v>
      </c>
      <c r="F3" s="122" t="s">
        <v>2455</v>
      </c>
      <c r="G3" s="36" t="s">
        <v>8459</v>
      </c>
      <c r="H3" s="36" t="s">
        <v>8296</v>
      </c>
      <c r="I3" s="36" t="s">
        <v>8466</v>
      </c>
      <c r="J3" s="113">
        <v>8812441617</v>
      </c>
      <c r="K3" s="293">
        <v>10</v>
      </c>
      <c r="L3" s="36" t="s">
        <v>8358</v>
      </c>
      <c r="M3" s="60">
        <v>10</v>
      </c>
      <c r="N3" s="37" t="s">
        <v>8296</v>
      </c>
      <c r="O3" s="60">
        <v>10</v>
      </c>
      <c r="P3" s="142"/>
      <c r="Q3" s="143"/>
      <c r="U3" s="36"/>
      <c r="V3" s="36"/>
    </row>
    <row r="4" spans="1:22">
      <c r="A4" s="148"/>
      <c r="B4" s="148"/>
      <c r="C4" s="300"/>
      <c r="D4" s="122"/>
      <c r="E4" s="122"/>
      <c r="F4" s="122"/>
      <c r="G4" s="160"/>
      <c r="H4" s="160"/>
      <c r="I4" s="122"/>
      <c r="J4" s="122"/>
      <c r="K4" s="290"/>
      <c r="L4" s="122"/>
      <c r="M4" s="146"/>
      <c r="N4" s="147"/>
      <c r="O4" s="146"/>
      <c r="P4" s="142"/>
      <c r="Q4" s="143"/>
      <c r="U4" s="36"/>
      <c r="V4" s="36"/>
    </row>
    <row r="5" spans="1:22">
      <c r="A5" s="148"/>
      <c r="B5" s="148"/>
      <c r="C5" s="122"/>
      <c r="D5" s="122"/>
      <c r="E5" s="144"/>
      <c r="F5" s="144"/>
      <c r="G5" s="122"/>
      <c r="H5" s="122"/>
      <c r="I5" s="122"/>
      <c r="J5" s="122"/>
      <c r="K5" s="289"/>
      <c r="L5" s="122"/>
      <c r="M5" s="146"/>
      <c r="N5" s="147"/>
      <c r="O5" s="146"/>
      <c r="P5" s="142"/>
      <c r="Q5" s="143"/>
      <c r="U5" s="36"/>
      <c r="V5" s="36"/>
    </row>
    <row r="6" spans="1:22">
      <c r="A6" s="148"/>
      <c r="B6" s="148"/>
      <c r="C6" s="122"/>
      <c r="D6" s="122"/>
      <c r="E6" s="122"/>
      <c r="F6" s="122"/>
      <c r="G6" s="122"/>
      <c r="H6" s="122"/>
      <c r="I6" s="122"/>
      <c r="J6" s="122"/>
      <c r="K6" s="290"/>
      <c r="L6" s="122"/>
      <c r="M6" s="146"/>
      <c r="N6" s="147"/>
      <c r="O6" s="146"/>
      <c r="P6" s="142"/>
      <c r="Q6" s="143"/>
      <c r="U6" s="36"/>
      <c r="V6" s="36"/>
    </row>
    <row r="7" spans="1:22">
      <c r="A7" s="148"/>
      <c r="B7" s="148"/>
      <c r="C7" s="122"/>
      <c r="D7" s="122"/>
      <c r="E7" s="122"/>
      <c r="F7" s="122"/>
      <c r="G7" s="160"/>
      <c r="H7" s="160"/>
      <c r="I7" s="122"/>
      <c r="J7" s="122"/>
      <c r="K7" s="290"/>
      <c r="L7" s="122"/>
      <c r="M7" s="146"/>
      <c r="N7" s="147"/>
      <c r="O7" s="146"/>
      <c r="P7" s="142"/>
      <c r="Q7" s="143"/>
      <c r="U7" s="36"/>
      <c r="V7" s="36"/>
    </row>
    <row r="8" spans="1:22">
      <c r="A8" s="148"/>
      <c r="B8" s="148"/>
      <c r="C8" s="122"/>
      <c r="D8" s="122"/>
      <c r="E8" s="122"/>
      <c r="F8" s="144"/>
      <c r="G8" s="122"/>
      <c r="H8" s="122"/>
      <c r="I8" s="122"/>
      <c r="J8" s="122"/>
      <c r="K8" s="289"/>
      <c r="L8" s="122"/>
      <c r="M8" s="146"/>
      <c r="N8" s="147"/>
      <c r="O8" s="146"/>
      <c r="P8" s="142"/>
      <c r="Q8" s="143"/>
      <c r="U8" s="36"/>
      <c r="V8" s="36"/>
    </row>
    <row r="9" spans="1:22">
      <c r="A9" s="359"/>
      <c r="B9" s="359"/>
      <c r="C9" s="360"/>
      <c r="D9" s="360"/>
      <c r="E9" s="361"/>
      <c r="F9" s="144"/>
      <c r="G9" s="362"/>
      <c r="H9" s="363"/>
      <c r="I9" s="363"/>
      <c r="J9" s="360"/>
      <c r="K9" s="364"/>
      <c r="L9" s="360"/>
      <c r="M9" s="365"/>
      <c r="N9" s="366"/>
      <c r="O9" s="365"/>
      <c r="P9" s="142"/>
      <c r="Q9" s="143"/>
      <c r="U9" s="36"/>
      <c r="V9" s="36"/>
    </row>
    <row r="10" spans="1:22">
      <c r="A10" s="359"/>
      <c r="B10" s="359"/>
      <c r="C10" s="360"/>
      <c r="D10" s="360"/>
      <c r="E10" s="361"/>
      <c r="F10" s="144"/>
      <c r="G10" s="362"/>
      <c r="H10" s="363"/>
      <c r="I10" s="363"/>
      <c r="J10" s="360"/>
      <c r="K10" s="364"/>
      <c r="L10" s="360"/>
      <c r="M10" s="365"/>
      <c r="N10" s="366"/>
      <c r="O10" s="365"/>
      <c r="P10" s="142"/>
      <c r="Q10" s="143"/>
      <c r="U10" s="36"/>
      <c r="V10" s="36"/>
    </row>
    <row r="11" spans="1:22">
      <c r="A11" s="359"/>
      <c r="B11" s="359"/>
      <c r="C11" s="360"/>
      <c r="D11" s="360"/>
      <c r="E11" s="361"/>
      <c r="F11" s="144"/>
      <c r="G11" s="362"/>
      <c r="H11" s="363"/>
      <c r="I11" s="363"/>
      <c r="J11" s="360"/>
      <c r="K11" s="364"/>
      <c r="L11" s="360"/>
      <c r="M11" s="365"/>
      <c r="N11" s="366"/>
      <c r="O11" s="365"/>
      <c r="P11" s="142"/>
      <c r="Q11" s="143"/>
      <c r="U11" s="36"/>
      <c r="V11" s="36"/>
    </row>
    <row r="12" spans="1:22">
      <c r="A12" s="359"/>
      <c r="B12" s="359"/>
      <c r="C12" s="360"/>
      <c r="D12" s="360"/>
      <c r="E12" s="361"/>
      <c r="F12" s="144"/>
      <c r="G12" s="362"/>
      <c r="H12" s="363"/>
      <c r="I12" s="363"/>
      <c r="J12" s="360"/>
      <c r="K12" s="364"/>
      <c r="L12" s="360"/>
      <c r="M12" s="365"/>
      <c r="N12" s="366"/>
      <c r="O12" s="365"/>
      <c r="P12" s="142"/>
      <c r="Q12" s="143"/>
      <c r="U12" s="36"/>
      <c r="V12" s="36"/>
    </row>
    <row r="13" spans="1:22">
      <c r="A13" s="359"/>
      <c r="B13" s="359"/>
      <c r="C13" s="360"/>
      <c r="D13" s="360"/>
      <c r="E13" s="361"/>
      <c r="F13" s="144"/>
      <c r="G13" s="362"/>
      <c r="H13" s="363"/>
      <c r="I13" s="363"/>
      <c r="J13" s="360"/>
      <c r="K13" s="364"/>
      <c r="L13" s="360"/>
      <c r="M13" s="365"/>
      <c r="N13" s="366"/>
      <c r="O13" s="365"/>
      <c r="P13" s="142"/>
      <c r="Q13" s="143"/>
      <c r="U13" s="36"/>
      <c r="V13" s="36"/>
    </row>
    <row r="14" spans="1:22">
      <c r="A14" s="359"/>
      <c r="B14" s="359"/>
      <c r="C14" s="360"/>
      <c r="D14" s="360"/>
      <c r="E14" s="361"/>
      <c r="F14" s="144"/>
      <c r="G14" s="362"/>
      <c r="H14" s="363"/>
      <c r="I14" s="363"/>
      <c r="J14" s="360"/>
      <c r="K14" s="364"/>
      <c r="L14" s="360"/>
      <c r="M14" s="365"/>
      <c r="N14" s="366"/>
      <c r="O14" s="365"/>
      <c r="P14" s="142"/>
      <c r="Q14" s="143"/>
      <c r="U14" s="36"/>
      <c r="V14" s="36"/>
    </row>
    <row r="15" spans="1:22">
      <c r="A15" s="359"/>
      <c r="B15" s="359"/>
      <c r="C15" s="360"/>
      <c r="D15" s="360"/>
      <c r="E15" s="361"/>
      <c r="F15" s="144"/>
      <c r="G15" s="362"/>
      <c r="H15" s="363"/>
      <c r="I15" s="363"/>
      <c r="J15" s="360"/>
      <c r="K15" s="364"/>
      <c r="L15" s="360"/>
      <c r="M15" s="365"/>
      <c r="N15" s="366"/>
      <c r="O15" s="365"/>
      <c r="P15" s="367"/>
      <c r="Q15" s="368"/>
      <c r="U15" s="36"/>
      <c r="V15" s="36"/>
    </row>
    <row r="16" spans="1:22">
      <c r="A16" s="359"/>
      <c r="B16" s="359"/>
      <c r="C16" s="360"/>
      <c r="D16" s="360"/>
      <c r="E16" s="361"/>
      <c r="F16" s="144"/>
      <c r="G16" s="362"/>
      <c r="H16" s="363"/>
      <c r="I16" s="363"/>
      <c r="J16" s="360"/>
      <c r="K16" s="364"/>
      <c r="L16" s="360"/>
      <c r="M16" s="365"/>
      <c r="N16" s="366"/>
      <c r="O16" s="365"/>
      <c r="P16" s="353"/>
      <c r="Q16" s="354"/>
      <c r="U16" s="36"/>
      <c r="V16" s="36"/>
    </row>
    <row r="17" spans="1:22">
      <c r="A17" s="359"/>
      <c r="B17" s="359"/>
      <c r="C17" s="360"/>
      <c r="D17" s="360"/>
      <c r="E17" s="361"/>
      <c r="F17" s="144"/>
      <c r="G17" s="362"/>
      <c r="H17" s="363"/>
      <c r="I17" s="363"/>
      <c r="J17" s="360"/>
      <c r="K17" s="364"/>
      <c r="L17" s="360"/>
      <c r="M17" s="365"/>
      <c r="N17" s="366"/>
      <c r="O17" s="365"/>
      <c r="P17" s="353"/>
      <c r="Q17" s="354"/>
      <c r="U17" s="36"/>
      <c r="V17" s="36"/>
    </row>
    <row r="18" spans="1:22">
      <c r="A18" s="359"/>
      <c r="B18" s="359"/>
      <c r="C18" s="360"/>
      <c r="D18" s="360"/>
      <c r="E18" s="361"/>
      <c r="F18" s="144"/>
      <c r="G18" s="362"/>
      <c r="H18" s="363"/>
      <c r="I18" s="363"/>
      <c r="J18" s="360"/>
      <c r="K18" s="364"/>
      <c r="L18" s="360"/>
      <c r="M18" s="365"/>
      <c r="N18" s="366"/>
      <c r="O18" s="365"/>
      <c r="P18" s="353"/>
      <c r="Q18" s="354"/>
      <c r="U18" s="36"/>
      <c r="V18" s="36"/>
    </row>
    <row r="19" spans="1:22">
      <c r="A19" s="359"/>
      <c r="B19" s="359"/>
      <c r="C19" s="360"/>
      <c r="D19" s="360"/>
      <c r="E19" s="361"/>
      <c r="F19" s="144"/>
      <c r="G19" s="362"/>
      <c r="H19" s="363"/>
      <c r="I19" s="363"/>
      <c r="J19" s="360"/>
      <c r="K19" s="364"/>
      <c r="L19" s="360"/>
      <c r="M19" s="365"/>
      <c r="N19" s="366"/>
      <c r="O19" s="365"/>
      <c r="P19" s="353"/>
      <c r="Q19" s="354"/>
      <c r="U19" s="36"/>
      <c r="V19" s="36"/>
    </row>
    <row r="20" spans="1:22">
      <c r="A20" s="359"/>
      <c r="B20" s="359"/>
      <c r="C20" s="360"/>
      <c r="D20" s="360"/>
      <c r="E20" s="361"/>
      <c r="F20" s="144"/>
      <c r="G20" s="362"/>
      <c r="H20" s="363"/>
      <c r="I20" s="363"/>
      <c r="J20" s="360"/>
      <c r="K20" s="364"/>
      <c r="L20" s="360"/>
      <c r="M20" s="365"/>
      <c r="N20" s="366"/>
      <c r="O20" s="365"/>
      <c r="P20" s="367"/>
      <c r="Q20" s="368"/>
      <c r="U20" s="36"/>
      <c r="V20" s="36"/>
    </row>
    <row r="21" spans="1:22">
      <c r="A21" s="359"/>
      <c r="B21" s="359"/>
      <c r="C21" s="360"/>
      <c r="D21" s="360"/>
      <c r="E21" s="361"/>
      <c r="F21" s="144"/>
      <c r="G21" s="362"/>
      <c r="H21" s="363"/>
      <c r="I21" s="363"/>
      <c r="J21" s="360"/>
      <c r="K21" s="364"/>
      <c r="L21" s="360"/>
      <c r="M21" s="365"/>
      <c r="N21" s="366"/>
      <c r="O21" s="365"/>
      <c r="P21" s="353"/>
      <c r="Q21" s="354"/>
      <c r="U21" s="36"/>
      <c r="V21" s="36"/>
    </row>
    <row r="22" spans="1:22">
      <c r="A22" s="359"/>
      <c r="B22" s="359"/>
      <c r="C22" s="360"/>
      <c r="D22" s="360"/>
      <c r="E22" s="361"/>
      <c r="F22" s="144"/>
      <c r="G22" s="362"/>
      <c r="H22" s="363"/>
      <c r="I22" s="363"/>
      <c r="J22" s="360"/>
      <c r="K22" s="364"/>
      <c r="L22" s="360"/>
      <c r="M22" s="365"/>
      <c r="N22" s="366"/>
      <c r="O22" s="365"/>
      <c r="P22" s="353"/>
      <c r="Q22" s="354"/>
      <c r="U22" s="36"/>
      <c r="V22" s="36"/>
    </row>
    <row r="23" spans="1:22">
      <c r="A23" s="359"/>
      <c r="B23" s="359"/>
      <c r="C23" s="360"/>
      <c r="D23" s="360"/>
      <c r="E23" s="361"/>
      <c r="F23" s="144"/>
      <c r="G23" s="362"/>
      <c r="H23" s="363"/>
      <c r="I23" s="363"/>
      <c r="J23" s="360"/>
      <c r="K23" s="364"/>
      <c r="L23" s="360"/>
      <c r="M23" s="365"/>
      <c r="N23" s="366"/>
      <c r="O23" s="365"/>
      <c r="P23" s="367"/>
      <c r="Q23" s="368"/>
      <c r="U23" s="36"/>
      <c r="V23" s="36"/>
    </row>
    <row r="24" spans="1:22">
      <c r="A24" s="359"/>
      <c r="B24" s="359"/>
      <c r="C24" s="360"/>
      <c r="D24" s="360"/>
      <c r="E24" s="361"/>
      <c r="F24" s="144"/>
      <c r="G24" s="362"/>
      <c r="H24" s="363"/>
      <c r="I24" s="363"/>
      <c r="J24" s="360"/>
      <c r="K24" s="364"/>
      <c r="L24" s="360"/>
      <c r="M24" s="365"/>
      <c r="N24" s="366"/>
      <c r="O24" s="365"/>
      <c r="P24" s="367"/>
      <c r="Q24" s="368"/>
      <c r="U24" s="36"/>
      <c r="V24" s="36"/>
    </row>
    <row r="25" spans="1:22">
      <c r="A25" s="359"/>
      <c r="B25" s="359"/>
      <c r="C25" s="360"/>
      <c r="D25" s="360"/>
      <c r="E25" s="361"/>
      <c r="F25" s="144"/>
      <c r="G25" s="362"/>
      <c r="H25" s="363"/>
      <c r="I25" s="363"/>
      <c r="J25" s="360"/>
      <c r="K25" s="364"/>
      <c r="L25" s="360"/>
      <c r="M25" s="365"/>
      <c r="N25" s="366"/>
      <c r="O25" s="365"/>
      <c r="P25" s="367"/>
      <c r="Q25" s="368"/>
      <c r="U25" s="36"/>
      <c r="V25" s="36"/>
    </row>
    <row r="26" spans="1:22">
      <c r="A26" s="359"/>
      <c r="B26" s="359"/>
      <c r="C26" s="360"/>
      <c r="D26" s="360"/>
      <c r="E26" s="361"/>
      <c r="F26" s="144"/>
      <c r="G26" s="362"/>
      <c r="H26" s="363"/>
      <c r="I26" s="363"/>
      <c r="J26" s="360"/>
      <c r="K26" s="364"/>
      <c r="L26" s="360"/>
      <c r="M26" s="365"/>
      <c r="N26" s="366"/>
      <c r="O26" s="365"/>
      <c r="P26" s="367"/>
      <c r="Q26" s="368"/>
      <c r="U26" s="36"/>
      <c r="V26" s="36"/>
    </row>
    <row r="27" spans="1:22">
      <c r="A27" s="359"/>
      <c r="B27" s="359"/>
      <c r="C27" s="360"/>
      <c r="D27" s="360"/>
      <c r="E27" s="361"/>
      <c r="F27" s="144"/>
      <c r="G27" s="362"/>
      <c r="H27" s="363"/>
      <c r="I27" s="363"/>
      <c r="J27" s="360"/>
      <c r="K27" s="364"/>
      <c r="L27" s="360"/>
      <c r="M27" s="365"/>
      <c r="N27" s="366"/>
      <c r="O27" s="365"/>
      <c r="P27" s="367"/>
      <c r="Q27" s="368"/>
      <c r="U27" s="36"/>
      <c r="V27" s="36"/>
    </row>
    <row r="28" spans="1:22">
      <c r="A28" s="359"/>
      <c r="B28" s="359"/>
      <c r="C28" s="360"/>
      <c r="D28" s="360"/>
      <c r="E28" s="361"/>
      <c r="F28" s="144"/>
      <c r="G28" s="362"/>
      <c r="H28" s="363"/>
      <c r="I28" s="363"/>
      <c r="J28" s="360"/>
      <c r="K28" s="364"/>
      <c r="L28" s="360"/>
      <c r="M28" s="365"/>
      <c r="N28" s="366"/>
      <c r="O28" s="365"/>
      <c r="P28" s="367"/>
      <c r="Q28" s="368"/>
      <c r="U28" s="36"/>
      <c r="V28" s="36"/>
    </row>
    <row r="29" spans="1:22">
      <c r="A29" s="359"/>
      <c r="B29" s="359"/>
      <c r="C29" s="360"/>
      <c r="D29" s="360"/>
      <c r="E29" s="361"/>
      <c r="F29" s="144"/>
      <c r="G29" s="362"/>
      <c r="H29" s="363"/>
      <c r="I29" s="363"/>
      <c r="J29" s="360"/>
      <c r="K29" s="364"/>
      <c r="L29" s="360"/>
      <c r="M29" s="365"/>
      <c r="N29" s="366"/>
      <c r="O29" s="365"/>
      <c r="P29" s="367"/>
      <c r="Q29" s="368"/>
      <c r="U29" s="36"/>
      <c r="V29" s="36"/>
    </row>
    <row r="30" spans="1:22">
      <c r="A30" s="359"/>
      <c r="B30" s="359"/>
      <c r="C30" s="360"/>
      <c r="D30" s="360"/>
      <c r="E30" s="361"/>
      <c r="F30" s="144"/>
      <c r="G30" s="362"/>
      <c r="H30" s="363"/>
      <c r="I30" s="363"/>
      <c r="J30" s="360"/>
      <c r="K30" s="364"/>
      <c r="L30" s="360"/>
      <c r="M30" s="365"/>
      <c r="N30" s="366"/>
      <c r="O30" s="365"/>
      <c r="P30" s="353"/>
      <c r="Q30" s="354"/>
      <c r="U30" s="36"/>
      <c r="V30" s="36"/>
    </row>
    <row r="31" spans="1:22">
      <c r="A31" s="359"/>
      <c r="B31" s="359"/>
      <c r="C31" s="360"/>
      <c r="D31" s="360"/>
      <c r="E31" s="361"/>
      <c r="F31" s="144"/>
      <c r="G31" s="362"/>
      <c r="H31" s="363"/>
      <c r="I31" s="363"/>
      <c r="J31" s="360"/>
      <c r="K31" s="364"/>
      <c r="L31" s="360"/>
      <c r="M31" s="365"/>
      <c r="N31" s="366"/>
      <c r="O31" s="365"/>
      <c r="P31" s="353"/>
      <c r="Q31" s="354"/>
      <c r="U31" s="36"/>
      <c r="V31" s="36"/>
    </row>
    <row r="32" spans="1:22">
      <c r="A32" s="359"/>
      <c r="B32" s="359"/>
      <c r="C32" s="360"/>
      <c r="D32" s="360"/>
      <c r="E32" s="361"/>
      <c r="F32" s="144"/>
      <c r="G32" s="362"/>
      <c r="H32" s="363"/>
      <c r="I32" s="363"/>
      <c r="J32" s="360"/>
      <c r="K32" s="364"/>
      <c r="L32" s="360"/>
      <c r="M32" s="365"/>
      <c r="N32" s="366"/>
      <c r="O32" s="365"/>
      <c r="P32" s="142"/>
      <c r="Q32" s="143"/>
      <c r="U32" s="36"/>
      <c r="V32" s="36"/>
    </row>
    <row r="33" spans="1:22">
      <c r="A33" s="359"/>
      <c r="B33" s="359"/>
      <c r="C33" s="360"/>
      <c r="D33" s="360"/>
      <c r="E33" s="361"/>
      <c r="F33" s="144"/>
      <c r="G33" s="362"/>
      <c r="H33" s="363"/>
      <c r="I33" s="363"/>
      <c r="J33" s="360"/>
      <c r="K33" s="364"/>
      <c r="L33" s="360"/>
      <c r="M33" s="365"/>
      <c r="N33" s="366"/>
      <c r="O33" s="365"/>
      <c r="P33" s="142"/>
      <c r="Q33" s="143"/>
      <c r="U33" s="36"/>
      <c r="V33" s="36"/>
    </row>
    <row r="34" spans="1:22">
      <c r="A34" s="359"/>
      <c r="B34" s="359"/>
      <c r="C34" s="360"/>
      <c r="D34" s="360"/>
      <c r="E34" s="361"/>
      <c r="F34" s="144"/>
      <c r="G34" s="362"/>
      <c r="H34" s="363"/>
      <c r="I34" s="363"/>
      <c r="J34" s="360"/>
      <c r="K34" s="364"/>
      <c r="L34" s="360"/>
      <c r="M34" s="365"/>
      <c r="N34" s="366"/>
      <c r="O34" s="365"/>
      <c r="P34" s="142"/>
      <c r="Q34" s="143"/>
      <c r="U34" s="36"/>
      <c r="V34" s="36"/>
    </row>
    <row r="35" spans="1:22">
      <c r="A35" s="359"/>
      <c r="B35" s="359"/>
      <c r="C35" s="360"/>
      <c r="D35" s="360"/>
      <c r="E35" s="361"/>
      <c r="F35" s="144"/>
      <c r="G35" s="362"/>
      <c r="H35" s="363"/>
      <c r="I35" s="363"/>
      <c r="J35" s="360"/>
      <c r="K35" s="364"/>
      <c r="L35" s="360"/>
      <c r="M35" s="365"/>
      <c r="N35" s="366"/>
      <c r="O35" s="365"/>
      <c r="P35" s="142"/>
      <c r="Q35" s="143"/>
      <c r="U35" s="36"/>
      <c r="V35" s="36"/>
    </row>
    <row r="36" spans="1:22">
      <c r="A36" s="359"/>
      <c r="B36" s="359"/>
      <c r="C36" s="360"/>
      <c r="D36" s="360"/>
      <c r="E36" s="361"/>
      <c r="F36" s="144"/>
      <c r="G36" s="362"/>
      <c r="H36" s="363"/>
      <c r="I36" s="363"/>
      <c r="J36" s="360"/>
      <c r="K36" s="364"/>
      <c r="L36" s="360"/>
      <c r="M36" s="365"/>
      <c r="N36" s="366"/>
      <c r="O36" s="365"/>
      <c r="P36" s="142"/>
      <c r="Q36" s="143"/>
      <c r="U36" s="36"/>
      <c r="V36" s="36"/>
    </row>
    <row r="37" spans="1:22">
      <c r="A37" s="359"/>
      <c r="B37" s="359"/>
      <c r="C37" s="360"/>
      <c r="D37" s="360"/>
      <c r="E37" s="361"/>
      <c r="F37" s="144"/>
      <c r="G37" s="362"/>
      <c r="H37" s="363"/>
      <c r="I37" s="363"/>
      <c r="J37" s="360"/>
      <c r="K37" s="364"/>
      <c r="L37" s="360"/>
      <c r="M37" s="365"/>
      <c r="N37" s="366"/>
      <c r="O37" s="365"/>
      <c r="P37" s="367"/>
      <c r="Q37" s="368"/>
      <c r="U37" s="36"/>
      <c r="V37" s="36"/>
    </row>
    <row r="38" spans="1:22">
      <c r="A38" s="359"/>
      <c r="B38" s="359"/>
      <c r="C38" s="360"/>
      <c r="D38" s="360"/>
      <c r="E38" s="361"/>
      <c r="F38" s="144"/>
      <c r="G38" s="362"/>
      <c r="H38" s="363"/>
      <c r="I38" s="363"/>
      <c r="J38" s="360"/>
      <c r="K38" s="364"/>
      <c r="L38" s="360"/>
      <c r="M38" s="365"/>
      <c r="N38" s="366"/>
      <c r="O38" s="365"/>
      <c r="P38" s="367"/>
      <c r="Q38" s="368"/>
      <c r="U38" s="36"/>
      <c r="V38" s="36"/>
    </row>
    <row r="39" spans="1:22">
      <c r="A39" s="359"/>
      <c r="B39" s="359"/>
      <c r="C39" s="360"/>
      <c r="D39" s="360"/>
      <c r="E39" s="361"/>
      <c r="F39" s="144"/>
      <c r="G39" s="362"/>
      <c r="H39" s="363"/>
      <c r="I39" s="363"/>
      <c r="J39" s="360"/>
      <c r="K39" s="364"/>
      <c r="L39" s="360"/>
      <c r="M39" s="365"/>
      <c r="N39" s="366"/>
      <c r="O39" s="365"/>
      <c r="P39" s="367"/>
      <c r="Q39" s="368"/>
      <c r="U39" s="36"/>
      <c r="V39" s="36"/>
    </row>
    <row r="40" spans="1:22">
      <c r="A40" s="359"/>
      <c r="B40" s="359"/>
      <c r="C40" s="360"/>
      <c r="D40" s="360"/>
      <c r="E40" s="361"/>
      <c r="F40" s="144"/>
      <c r="G40" s="362"/>
      <c r="H40" s="363"/>
      <c r="I40" s="363"/>
      <c r="J40" s="360"/>
      <c r="K40" s="364"/>
      <c r="L40" s="360"/>
      <c r="M40" s="365"/>
      <c r="N40" s="366"/>
      <c r="O40" s="365"/>
      <c r="P40" s="367"/>
      <c r="Q40" s="368"/>
      <c r="U40" s="36"/>
      <c r="V40" s="36"/>
    </row>
    <row r="41" spans="1:22">
      <c r="A41" s="359"/>
      <c r="B41" s="359"/>
      <c r="C41" s="360"/>
      <c r="D41" s="360"/>
      <c r="E41" s="361"/>
      <c r="F41" s="144"/>
      <c r="G41" s="362"/>
      <c r="H41" s="363"/>
      <c r="I41" s="363"/>
      <c r="J41" s="360"/>
      <c r="K41" s="364"/>
      <c r="L41" s="360"/>
      <c r="M41" s="365"/>
      <c r="N41" s="366"/>
      <c r="O41" s="365"/>
      <c r="P41" s="367"/>
      <c r="Q41" s="368"/>
      <c r="U41" s="36"/>
      <c r="V41" s="36"/>
    </row>
    <row r="42" spans="1:22">
      <c r="A42" s="359"/>
      <c r="B42" s="359"/>
      <c r="C42" s="360"/>
      <c r="D42" s="360"/>
      <c r="E42" s="361"/>
      <c r="F42" s="144"/>
      <c r="G42" s="362"/>
      <c r="H42" s="363"/>
      <c r="I42" s="363"/>
      <c r="J42" s="360"/>
      <c r="K42" s="364"/>
      <c r="L42" s="360"/>
      <c r="M42" s="365"/>
      <c r="N42" s="366"/>
      <c r="O42" s="365"/>
      <c r="P42" s="142"/>
      <c r="Q42" s="143"/>
      <c r="U42" s="36"/>
      <c r="V42" s="36"/>
    </row>
    <row r="43" spans="1:22">
      <c r="A43" s="359"/>
      <c r="B43" s="359"/>
      <c r="C43" s="360"/>
      <c r="D43" s="360"/>
      <c r="E43" s="361"/>
      <c r="F43" s="144"/>
      <c r="G43" s="362"/>
      <c r="H43" s="363"/>
      <c r="I43" s="363"/>
      <c r="J43" s="360"/>
      <c r="K43" s="364"/>
      <c r="L43" s="360"/>
      <c r="M43" s="365"/>
      <c r="N43" s="366"/>
      <c r="O43" s="365"/>
      <c r="P43" s="142"/>
      <c r="Q43" s="143"/>
      <c r="U43" s="36"/>
      <c r="V43" s="36"/>
    </row>
    <row r="44" spans="1:22">
      <c r="A44" s="359"/>
      <c r="B44" s="359"/>
      <c r="C44" s="360"/>
      <c r="D44" s="360"/>
      <c r="E44" s="361"/>
      <c r="F44" s="144"/>
      <c r="G44" s="362"/>
      <c r="H44" s="363"/>
      <c r="I44" s="363"/>
      <c r="J44" s="360"/>
      <c r="K44" s="364"/>
      <c r="L44" s="360"/>
      <c r="M44" s="365"/>
      <c r="N44" s="366"/>
      <c r="O44" s="365"/>
      <c r="P44" s="353"/>
      <c r="Q44" s="354"/>
      <c r="U44" s="36"/>
      <c r="V44" s="36"/>
    </row>
    <row r="45" spans="1:22">
      <c r="A45" s="359"/>
      <c r="B45" s="359"/>
      <c r="C45" s="360"/>
      <c r="D45" s="360"/>
      <c r="E45" s="361"/>
      <c r="F45" s="144"/>
      <c r="G45" s="362"/>
      <c r="H45" s="363"/>
      <c r="I45" s="363"/>
      <c r="J45" s="360"/>
      <c r="K45" s="364"/>
      <c r="L45" s="360"/>
      <c r="M45" s="365"/>
      <c r="N45" s="366"/>
      <c r="O45" s="365"/>
      <c r="P45" s="142"/>
      <c r="Q45" s="143"/>
      <c r="U45" s="36"/>
      <c r="V45" s="36"/>
    </row>
    <row r="46" spans="1:22">
      <c r="A46" s="359"/>
      <c r="B46" s="359"/>
      <c r="C46" s="360"/>
      <c r="D46" s="360"/>
      <c r="E46" s="361"/>
      <c r="F46" s="144"/>
      <c r="G46" s="362"/>
      <c r="H46" s="363"/>
      <c r="I46" s="363"/>
      <c r="J46" s="360"/>
      <c r="K46" s="364"/>
      <c r="L46" s="360"/>
      <c r="M46" s="365"/>
      <c r="N46" s="366"/>
      <c r="O46" s="365"/>
      <c r="P46" s="353"/>
      <c r="Q46" s="354"/>
      <c r="U46" s="36"/>
      <c r="V46" s="36"/>
    </row>
    <row r="47" spans="1:22">
      <c r="A47" s="359"/>
      <c r="B47" s="359"/>
      <c r="C47" s="360"/>
      <c r="D47" s="360"/>
      <c r="E47" s="361"/>
      <c r="F47" s="144"/>
      <c r="G47" s="362"/>
      <c r="H47" s="363"/>
      <c r="I47" s="363"/>
      <c r="J47" s="360"/>
      <c r="K47" s="364"/>
      <c r="L47" s="360"/>
      <c r="M47" s="365"/>
      <c r="N47" s="366"/>
      <c r="O47" s="365"/>
      <c r="P47" s="353"/>
      <c r="Q47" s="354"/>
      <c r="U47" s="36"/>
      <c r="V47" s="36"/>
    </row>
    <row r="48" spans="1:22">
      <c r="A48" s="359"/>
      <c r="B48" s="359"/>
      <c r="C48" s="360"/>
      <c r="D48" s="360"/>
      <c r="E48" s="361"/>
      <c r="F48" s="144"/>
      <c r="G48" s="362"/>
      <c r="H48" s="363"/>
      <c r="I48" s="363"/>
      <c r="J48" s="360"/>
      <c r="K48" s="364"/>
      <c r="L48" s="360"/>
      <c r="M48" s="365"/>
      <c r="N48" s="366"/>
      <c r="O48" s="365"/>
      <c r="P48" s="353"/>
      <c r="Q48" s="354"/>
      <c r="U48" s="36"/>
      <c r="V48" s="36"/>
    </row>
    <row r="49" spans="1:22">
      <c r="A49" s="359"/>
      <c r="B49" s="359"/>
      <c r="C49" s="360"/>
      <c r="D49" s="360"/>
      <c r="E49" s="361"/>
      <c r="F49" s="144"/>
      <c r="G49" s="362"/>
      <c r="H49" s="363"/>
      <c r="I49" s="363"/>
      <c r="J49" s="360"/>
      <c r="K49" s="364"/>
      <c r="L49" s="360"/>
      <c r="M49" s="365"/>
      <c r="N49" s="366"/>
      <c r="O49" s="365"/>
      <c r="P49" s="353"/>
      <c r="Q49" s="354"/>
      <c r="U49" s="36"/>
      <c r="V49" s="36"/>
    </row>
    <row r="50" spans="1:22">
      <c r="A50" s="359"/>
      <c r="B50" s="359"/>
      <c r="C50" s="360"/>
      <c r="D50" s="360"/>
      <c r="E50" s="361"/>
      <c r="F50" s="144"/>
      <c r="G50" s="362"/>
      <c r="H50" s="363"/>
      <c r="I50" s="363"/>
      <c r="J50" s="360"/>
      <c r="K50" s="364"/>
      <c r="L50" s="360"/>
      <c r="M50" s="365"/>
      <c r="N50" s="366"/>
      <c r="O50" s="365"/>
      <c r="P50" s="353"/>
      <c r="Q50" s="354"/>
      <c r="U50" s="36"/>
      <c r="V50" s="36"/>
    </row>
    <row r="51" spans="1:22">
      <c r="A51" s="359"/>
      <c r="B51" s="359"/>
      <c r="C51" s="360"/>
      <c r="D51" s="360"/>
      <c r="E51" s="361"/>
      <c r="F51" s="144"/>
      <c r="G51" s="362"/>
      <c r="H51" s="363"/>
      <c r="I51" s="363"/>
      <c r="J51" s="360"/>
      <c r="K51" s="364"/>
      <c r="L51" s="360"/>
      <c r="M51" s="365"/>
      <c r="N51" s="366"/>
      <c r="O51" s="365"/>
      <c r="P51" s="367"/>
      <c r="Q51" s="368"/>
      <c r="U51" s="36"/>
      <c r="V51" s="36"/>
    </row>
    <row r="52" spans="1:22">
      <c r="A52" s="359"/>
      <c r="B52" s="359"/>
      <c r="C52" s="360"/>
      <c r="D52" s="360"/>
      <c r="E52" s="361"/>
      <c r="F52" s="144"/>
      <c r="G52" s="362"/>
      <c r="H52" s="363"/>
      <c r="I52" s="363"/>
      <c r="J52" s="360"/>
      <c r="K52" s="364"/>
      <c r="L52" s="360"/>
      <c r="M52" s="365"/>
      <c r="N52" s="366"/>
      <c r="O52" s="365"/>
      <c r="P52" s="367"/>
      <c r="Q52" s="368"/>
      <c r="U52" s="36"/>
      <c r="V52" s="36"/>
    </row>
    <row r="53" spans="1:22">
      <c r="A53" s="359"/>
      <c r="B53" s="359"/>
      <c r="C53" s="360"/>
      <c r="D53" s="360"/>
      <c r="E53" s="361"/>
      <c r="F53" s="144"/>
      <c r="G53" s="362"/>
      <c r="H53" s="363"/>
      <c r="I53" s="363"/>
      <c r="J53" s="360"/>
      <c r="K53" s="364"/>
      <c r="L53" s="360"/>
      <c r="M53" s="365"/>
      <c r="N53" s="366"/>
      <c r="O53" s="365"/>
      <c r="P53" s="367"/>
      <c r="Q53" s="368"/>
      <c r="U53" s="36"/>
      <c r="V53" s="36"/>
    </row>
    <row r="54" spans="1:22">
      <c r="A54" s="359"/>
      <c r="B54" s="359"/>
      <c r="C54" s="360"/>
      <c r="D54" s="360"/>
      <c r="E54" s="361"/>
      <c r="F54" s="144"/>
      <c r="G54" s="362"/>
      <c r="H54" s="363"/>
      <c r="I54" s="363"/>
      <c r="J54" s="360"/>
      <c r="K54" s="364"/>
      <c r="L54" s="360"/>
      <c r="M54" s="365"/>
      <c r="N54" s="366"/>
      <c r="O54" s="365"/>
      <c r="P54" s="367"/>
      <c r="Q54" s="368"/>
      <c r="U54" s="36"/>
      <c r="V54" s="36"/>
    </row>
    <row r="55" spans="1:22">
      <c r="A55" s="359"/>
      <c r="B55" s="359"/>
      <c r="C55" s="360"/>
      <c r="D55" s="360"/>
      <c r="E55" s="361"/>
      <c r="F55" s="144"/>
      <c r="G55" s="362"/>
      <c r="H55" s="363"/>
      <c r="I55" s="363"/>
      <c r="J55" s="360"/>
      <c r="K55" s="364"/>
      <c r="L55" s="360"/>
      <c r="M55" s="365"/>
      <c r="N55" s="366"/>
      <c r="O55" s="365"/>
      <c r="P55" s="367"/>
      <c r="Q55" s="368"/>
      <c r="U55" s="36"/>
      <c r="V55" s="36"/>
    </row>
    <row r="56" spans="1:22">
      <c r="A56" s="359"/>
      <c r="B56" s="359"/>
      <c r="C56" s="360"/>
      <c r="D56" s="360"/>
      <c r="E56" s="361"/>
      <c r="F56" s="144"/>
      <c r="G56" s="362"/>
      <c r="H56" s="363"/>
      <c r="I56" s="363"/>
      <c r="J56" s="360"/>
      <c r="K56" s="364"/>
      <c r="L56" s="360"/>
      <c r="M56" s="365"/>
      <c r="N56" s="366"/>
      <c r="O56" s="365"/>
      <c r="P56" s="367"/>
      <c r="Q56" s="368"/>
      <c r="U56" s="36"/>
      <c r="V56" s="36"/>
    </row>
    <row r="57" spans="1:22">
      <c r="A57" s="359"/>
      <c r="B57" s="359"/>
      <c r="C57" s="360"/>
      <c r="D57" s="360"/>
      <c r="E57" s="361"/>
      <c r="F57" s="144"/>
      <c r="G57" s="362"/>
      <c r="H57" s="363"/>
      <c r="I57" s="363"/>
      <c r="J57" s="360"/>
      <c r="K57" s="364"/>
      <c r="L57" s="360"/>
      <c r="M57" s="365"/>
      <c r="N57" s="366"/>
      <c r="O57" s="365"/>
      <c r="P57" s="367"/>
      <c r="Q57" s="368"/>
      <c r="U57" s="36"/>
      <c r="V57" s="36"/>
    </row>
    <row r="58" spans="1:22">
      <c r="A58" s="359"/>
      <c r="B58" s="359"/>
      <c r="C58" s="360"/>
      <c r="D58" s="360"/>
      <c r="E58" s="361"/>
      <c r="F58" s="144"/>
      <c r="G58" s="362"/>
      <c r="H58" s="363"/>
      <c r="I58" s="363"/>
      <c r="J58" s="360"/>
      <c r="K58" s="364"/>
      <c r="L58" s="360"/>
      <c r="M58" s="365"/>
      <c r="N58" s="366"/>
      <c r="O58" s="365"/>
      <c r="P58" s="367"/>
      <c r="Q58" s="368"/>
      <c r="U58" s="36"/>
      <c r="V58" s="36"/>
    </row>
    <row r="59" spans="1:22">
      <c r="A59" s="359"/>
      <c r="B59" s="359"/>
      <c r="C59" s="360"/>
      <c r="D59" s="360"/>
      <c r="E59" s="361"/>
      <c r="F59" s="144"/>
      <c r="G59" s="362"/>
      <c r="H59" s="363"/>
      <c r="I59" s="363"/>
      <c r="J59" s="360"/>
      <c r="K59" s="364"/>
      <c r="L59" s="360"/>
      <c r="M59" s="365"/>
      <c r="N59" s="366"/>
      <c r="O59" s="365"/>
      <c r="P59" s="142"/>
      <c r="Q59" s="143"/>
      <c r="U59" s="36"/>
      <c r="V59" s="36"/>
    </row>
    <row r="60" spans="1:22">
      <c r="A60" s="359"/>
      <c r="B60" s="359"/>
      <c r="C60" s="360"/>
      <c r="D60" s="360"/>
      <c r="E60" s="361"/>
      <c r="F60" s="144"/>
      <c r="G60" s="362"/>
      <c r="H60" s="363"/>
      <c r="I60" s="363"/>
      <c r="J60" s="360"/>
      <c r="K60" s="364"/>
      <c r="L60" s="360"/>
      <c r="M60" s="365"/>
      <c r="N60" s="366"/>
      <c r="O60" s="365"/>
      <c r="P60" s="142"/>
      <c r="Q60" s="143"/>
      <c r="U60" s="36"/>
      <c r="V60" s="36"/>
    </row>
    <row r="61" spans="1:22">
      <c r="A61" s="359"/>
      <c r="B61" s="359"/>
      <c r="C61" s="360"/>
      <c r="D61" s="360"/>
      <c r="E61" s="361"/>
      <c r="F61" s="144"/>
      <c r="G61" s="362"/>
      <c r="H61" s="363"/>
      <c r="I61" s="363"/>
      <c r="J61" s="360"/>
      <c r="K61" s="364"/>
      <c r="L61" s="360"/>
      <c r="M61" s="365"/>
      <c r="N61" s="366"/>
      <c r="O61" s="365"/>
      <c r="P61" s="142"/>
      <c r="Q61" s="143"/>
      <c r="U61" s="36"/>
      <c r="V61" s="36"/>
    </row>
    <row r="62" spans="1:22">
      <c r="A62" s="359"/>
      <c r="B62" s="359"/>
      <c r="C62" s="360"/>
      <c r="D62" s="360"/>
      <c r="E62" s="361"/>
      <c r="F62" s="144"/>
      <c r="G62" s="362"/>
      <c r="H62" s="363"/>
      <c r="I62" s="363"/>
      <c r="J62" s="360"/>
      <c r="K62" s="364"/>
      <c r="L62" s="360"/>
      <c r="M62" s="365"/>
      <c r="N62" s="366"/>
      <c r="O62" s="365"/>
      <c r="P62" s="367"/>
      <c r="Q62" s="368"/>
      <c r="U62" s="36"/>
      <c r="V62" s="36"/>
    </row>
    <row r="63" spans="1:22">
      <c r="A63" s="359"/>
      <c r="B63" s="359"/>
      <c r="C63" s="360"/>
      <c r="D63" s="360"/>
      <c r="E63" s="361"/>
      <c r="F63" s="144"/>
      <c r="G63" s="362"/>
      <c r="H63" s="363"/>
      <c r="I63" s="363"/>
      <c r="J63" s="360"/>
      <c r="K63" s="364"/>
      <c r="L63" s="360"/>
      <c r="M63" s="365"/>
      <c r="N63" s="366"/>
      <c r="O63" s="365"/>
      <c r="P63" s="367"/>
      <c r="Q63" s="368"/>
      <c r="U63" s="36"/>
      <c r="V63" s="36"/>
    </row>
    <row r="64" spans="1:22">
      <c r="A64" s="359"/>
      <c r="B64" s="359"/>
      <c r="C64" s="360"/>
      <c r="D64" s="360"/>
      <c r="E64" s="361"/>
      <c r="F64" s="144"/>
      <c r="G64" s="362"/>
      <c r="H64" s="363"/>
      <c r="I64" s="363"/>
      <c r="J64" s="360"/>
      <c r="K64" s="364"/>
      <c r="L64" s="360"/>
      <c r="M64" s="365"/>
      <c r="N64" s="366"/>
      <c r="O64" s="365"/>
      <c r="P64" s="367"/>
      <c r="Q64" s="368"/>
      <c r="U64" s="36"/>
      <c r="V64" s="36"/>
    </row>
    <row r="65" spans="1:22">
      <c r="A65" s="359"/>
      <c r="B65" s="359"/>
      <c r="C65" s="360"/>
      <c r="D65" s="360"/>
      <c r="E65" s="361"/>
      <c r="F65" s="144"/>
      <c r="G65" s="362"/>
      <c r="H65" s="363"/>
      <c r="I65" s="363"/>
      <c r="J65" s="360"/>
      <c r="K65" s="364"/>
      <c r="L65" s="360"/>
      <c r="M65" s="365"/>
      <c r="N65" s="366"/>
      <c r="O65" s="365"/>
      <c r="P65" s="367"/>
      <c r="Q65" s="368"/>
      <c r="U65" s="36"/>
      <c r="V65" s="36"/>
    </row>
    <row r="66" spans="1:22">
      <c r="A66" s="359"/>
      <c r="B66" s="359"/>
      <c r="C66" s="360"/>
      <c r="D66" s="360"/>
      <c r="E66" s="361"/>
      <c r="F66" s="144"/>
      <c r="G66" s="362"/>
      <c r="H66" s="363"/>
      <c r="I66" s="363"/>
      <c r="J66" s="360"/>
      <c r="K66" s="364"/>
      <c r="L66" s="360"/>
      <c r="M66" s="365"/>
      <c r="N66" s="366"/>
      <c r="O66" s="365"/>
      <c r="P66" s="142"/>
      <c r="Q66" s="143"/>
      <c r="U66" s="36"/>
      <c r="V66" s="36"/>
    </row>
    <row r="67" spans="1:22">
      <c r="A67" s="359"/>
      <c r="B67" s="359"/>
      <c r="C67" s="360"/>
      <c r="D67" s="360"/>
      <c r="E67" s="361"/>
      <c r="F67" s="144"/>
      <c r="G67" s="362"/>
      <c r="H67" s="363"/>
      <c r="I67" s="363"/>
      <c r="J67" s="360"/>
      <c r="K67" s="364"/>
      <c r="L67" s="360"/>
      <c r="M67" s="365"/>
      <c r="N67" s="366"/>
      <c r="O67" s="365"/>
      <c r="P67" s="367"/>
      <c r="Q67" s="368"/>
      <c r="U67" s="36"/>
      <c r="V67" s="36"/>
    </row>
    <row r="68" spans="1:22">
      <c r="A68" s="359"/>
      <c r="B68" s="359"/>
      <c r="C68" s="360"/>
      <c r="D68" s="360"/>
      <c r="E68" s="361"/>
      <c r="F68" s="144"/>
      <c r="G68" s="362"/>
      <c r="H68" s="363"/>
      <c r="I68" s="363"/>
      <c r="J68" s="360"/>
      <c r="K68" s="364"/>
      <c r="L68" s="360"/>
      <c r="M68" s="365"/>
      <c r="N68" s="366"/>
      <c r="O68" s="365"/>
      <c r="P68" s="367"/>
      <c r="Q68" s="368"/>
      <c r="U68" s="36"/>
      <c r="V68" s="36"/>
    </row>
    <row r="69" spans="1:22">
      <c r="A69" s="359"/>
      <c r="B69" s="359"/>
      <c r="C69" s="360"/>
      <c r="D69" s="360"/>
      <c r="E69" s="361"/>
      <c r="F69" s="144"/>
      <c r="G69" s="362"/>
      <c r="H69" s="363"/>
      <c r="I69" s="363"/>
      <c r="J69" s="360"/>
      <c r="K69" s="364"/>
      <c r="L69" s="360"/>
      <c r="M69" s="365"/>
      <c r="N69" s="366"/>
      <c r="O69" s="365"/>
      <c r="P69" s="367"/>
      <c r="Q69" s="368"/>
      <c r="U69" s="36"/>
      <c r="V69" s="36"/>
    </row>
    <row r="70" spans="1:22">
      <c r="A70" s="359"/>
      <c r="B70" s="359"/>
      <c r="C70" s="360"/>
      <c r="D70" s="360"/>
      <c r="E70" s="361"/>
      <c r="F70" s="144"/>
      <c r="G70" s="362"/>
      <c r="H70" s="363"/>
      <c r="I70" s="363"/>
      <c r="J70" s="360"/>
      <c r="K70" s="364"/>
      <c r="L70" s="360"/>
      <c r="M70" s="365"/>
      <c r="N70" s="366"/>
      <c r="O70" s="365"/>
      <c r="P70" s="353"/>
      <c r="Q70" s="354"/>
      <c r="U70" s="36"/>
      <c r="V70" s="36"/>
    </row>
    <row r="71" spans="1:22">
      <c r="A71" s="359"/>
      <c r="B71" s="359"/>
      <c r="C71" s="360"/>
      <c r="D71" s="360"/>
      <c r="E71" s="361"/>
      <c r="F71" s="144"/>
      <c r="G71" s="362"/>
      <c r="H71" s="363"/>
      <c r="I71" s="363"/>
      <c r="J71" s="360"/>
      <c r="K71" s="364"/>
      <c r="L71" s="360"/>
      <c r="M71" s="365"/>
      <c r="N71" s="366"/>
      <c r="O71" s="365"/>
      <c r="P71" s="353"/>
      <c r="Q71" s="354"/>
      <c r="U71" s="36"/>
      <c r="V71" s="36"/>
    </row>
    <row r="72" spans="1:22">
      <c r="A72" s="359"/>
      <c r="B72" s="359"/>
      <c r="C72" s="360"/>
      <c r="D72" s="360"/>
      <c r="E72" s="361"/>
      <c r="F72" s="144"/>
      <c r="G72" s="362"/>
      <c r="H72" s="363"/>
      <c r="I72" s="363"/>
      <c r="J72" s="360"/>
      <c r="K72" s="364"/>
      <c r="L72" s="360"/>
      <c r="M72" s="365"/>
      <c r="N72" s="366"/>
      <c r="O72" s="365"/>
      <c r="P72" s="142"/>
      <c r="Q72" s="143"/>
      <c r="U72" s="36"/>
      <c r="V72" s="36"/>
    </row>
    <row r="73" spans="1:22">
      <c r="A73" s="359"/>
      <c r="B73" s="359"/>
      <c r="C73" s="360"/>
      <c r="D73" s="360"/>
      <c r="E73" s="361"/>
      <c r="F73" s="144"/>
      <c r="G73" s="362"/>
      <c r="H73" s="363"/>
      <c r="I73" s="363"/>
      <c r="J73" s="360"/>
      <c r="K73" s="364"/>
      <c r="L73" s="360"/>
      <c r="M73" s="365"/>
      <c r="N73" s="366"/>
      <c r="O73" s="365"/>
      <c r="P73" s="353"/>
      <c r="Q73" s="354"/>
      <c r="U73" s="36"/>
      <c r="V73" s="36"/>
    </row>
    <row r="74" spans="1:22">
      <c r="A74" s="359"/>
      <c r="B74" s="359"/>
      <c r="C74" s="360"/>
      <c r="D74" s="360"/>
      <c r="E74" s="361"/>
      <c r="F74" s="144"/>
      <c r="G74" s="362"/>
      <c r="H74" s="363"/>
      <c r="I74" s="363"/>
      <c r="J74" s="360"/>
      <c r="K74" s="364"/>
      <c r="L74" s="360"/>
      <c r="M74" s="365"/>
      <c r="N74" s="366"/>
      <c r="O74" s="365"/>
      <c r="P74" s="353"/>
      <c r="Q74" s="354"/>
      <c r="U74" s="36"/>
      <c r="V74" s="36"/>
    </row>
    <row r="75" spans="1:22">
      <c r="A75" s="359"/>
      <c r="B75" s="359"/>
      <c r="C75" s="360"/>
      <c r="D75" s="360"/>
      <c r="E75" s="361"/>
      <c r="F75" s="144"/>
      <c r="G75" s="362"/>
      <c r="H75" s="363"/>
      <c r="I75" s="363"/>
      <c r="J75" s="360"/>
      <c r="K75" s="364"/>
      <c r="L75" s="360"/>
      <c r="M75" s="365"/>
      <c r="N75" s="366"/>
      <c r="O75" s="365"/>
      <c r="P75" s="353"/>
      <c r="Q75" s="354"/>
      <c r="U75" s="36"/>
      <c r="V75" s="36"/>
    </row>
    <row r="76" spans="1:22">
      <c r="A76" s="359"/>
      <c r="B76" s="359"/>
      <c r="C76" s="360"/>
      <c r="D76" s="360"/>
      <c r="E76" s="361"/>
      <c r="F76" s="144"/>
      <c r="G76" s="362"/>
      <c r="H76" s="363"/>
      <c r="I76" s="363"/>
      <c r="J76" s="360"/>
      <c r="K76" s="364"/>
      <c r="L76" s="360"/>
      <c r="M76" s="365"/>
      <c r="N76" s="366"/>
      <c r="O76" s="365"/>
      <c r="P76" s="142"/>
      <c r="Q76" s="143"/>
      <c r="U76" s="36"/>
      <c r="V76" s="36"/>
    </row>
    <row r="77" spans="1:22">
      <c r="A77" s="359"/>
      <c r="B77" s="359"/>
      <c r="C77" s="360"/>
      <c r="D77" s="360"/>
      <c r="E77" s="361"/>
      <c r="F77" s="144"/>
      <c r="G77" s="362"/>
      <c r="H77" s="363"/>
      <c r="I77" s="363"/>
      <c r="J77" s="360"/>
      <c r="K77" s="364"/>
      <c r="L77" s="360"/>
      <c r="M77" s="365"/>
      <c r="N77" s="366"/>
      <c r="O77" s="365"/>
      <c r="P77" s="353"/>
      <c r="Q77" s="354"/>
      <c r="U77" s="36"/>
      <c r="V77" s="36"/>
    </row>
    <row r="78" spans="1:22">
      <c r="A78" s="359"/>
      <c r="B78" s="359"/>
      <c r="C78" s="360"/>
      <c r="D78" s="360"/>
      <c r="E78" s="361"/>
      <c r="F78" s="144"/>
      <c r="G78" s="362"/>
      <c r="H78" s="363"/>
      <c r="I78" s="363"/>
      <c r="J78" s="360"/>
      <c r="K78" s="364"/>
      <c r="L78" s="360"/>
      <c r="M78" s="365"/>
      <c r="N78" s="366"/>
      <c r="O78" s="365"/>
      <c r="P78" s="353"/>
      <c r="Q78" s="354"/>
      <c r="U78" s="36"/>
      <c r="V78" s="36"/>
    </row>
    <row r="79" spans="1:22">
      <c r="A79" s="359"/>
      <c r="B79" s="359"/>
      <c r="C79" s="360"/>
      <c r="D79" s="360"/>
      <c r="E79" s="361"/>
      <c r="F79" s="144"/>
      <c r="G79" s="362"/>
      <c r="H79" s="363"/>
      <c r="I79" s="363"/>
      <c r="J79" s="360"/>
      <c r="K79" s="364"/>
      <c r="L79" s="360"/>
      <c r="M79" s="365"/>
      <c r="N79" s="366"/>
      <c r="O79" s="365"/>
      <c r="P79" s="353"/>
      <c r="Q79" s="354"/>
      <c r="U79" s="36"/>
      <c r="V79" s="36"/>
    </row>
    <row r="80" spans="1:22">
      <c r="A80" s="359"/>
      <c r="B80" s="359"/>
      <c r="C80" s="360"/>
      <c r="D80" s="360"/>
      <c r="E80" s="361"/>
      <c r="F80" s="144"/>
      <c r="G80" s="362"/>
      <c r="H80" s="363"/>
      <c r="I80" s="363"/>
      <c r="J80" s="360"/>
      <c r="K80" s="364"/>
      <c r="L80" s="360"/>
      <c r="M80" s="365"/>
      <c r="N80" s="366"/>
      <c r="O80" s="365"/>
      <c r="P80" s="367"/>
      <c r="Q80" s="368"/>
      <c r="U80" s="36"/>
      <c r="V80" s="36"/>
    </row>
    <row r="81" spans="1:22">
      <c r="A81" s="359"/>
      <c r="B81" s="359"/>
      <c r="C81" s="360"/>
      <c r="D81" s="360"/>
      <c r="E81" s="361"/>
      <c r="F81" s="144"/>
      <c r="G81" s="362"/>
      <c r="H81" s="363"/>
      <c r="I81" s="363"/>
      <c r="J81" s="360"/>
      <c r="K81" s="364"/>
      <c r="L81" s="360"/>
      <c r="M81" s="365"/>
      <c r="N81" s="366"/>
      <c r="O81" s="365"/>
      <c r="P81" s="367"/>
      <c r="Q81" s="368"/>
      <c r="U81" s="36"/>
      <c r="V81" s="36"/>
    </row>
    <row r="82" spans="1:22">
      <c r="A82" s="359"/>
      <c r="B82" s="359"/>
      <c r="C82" s="360"/>
      <c r="D82" s="360"/>
      <c r="E82" s="361"/>
      <c r="F82" s="144"/>
      <c r="G82" s="362"/>
      <c r="H82" s="363"/>
      <c r="I82" s="363"/>
      <c r="J82" s="360"/>
      <c r="K82" s="364"/>
      <c r="L82" s="360"/>
      <c r="M82" s="365"/>
      <c r="N82" s="366"/>
      <c r="O82" s="365"/>
      <c r="P82" s="367"/>
      <c r="Q82" s="368"/>
      <c r="U82" s="36"/>
      <c r="V82" s="36"/>
    </row>
    <row r="83" spans="1:22">
      <c r="A83" s="359"/>
      <c r="B83" s="359"/>
      <c r="C83" s="360"/>
      <c r="D83" s="360"/>
      <c r="E83" s="361"/>
      <c r="F83" s="144"/>
      <c r="G83" s="362"/>
      <c r="H83" s="363"/>
      <c r="I83" s="363"/>
      <c r="J83" s="360"/>
      <c r="K83" s="364"/>
      <c r="L83" s="360"/>
      <c r="M83" s="365"/>
      <c r="N83" s="366"/>
      <c r="O83" s="365"/>
      <c r="P83" s="367"/>
      <c r="Q83" s="368"/>
      <c r="U83" s="36"/>
      <c r="V83" s="36"/>
    </row>
    <row r="84" spans="1:22">
      <c r="A84" s="359"/>
      <c r="B84" s="359"/>
      <c r="C84" s="360"/>
      <c r="D84" s="360"/>
      <c r="E84" s="361"/>
      <c r="F84" s="144"/>
      <c r="G84" s="362"/>
      <c r="H84" s="363"/>
      <c r="I84" s="363"/>
      <c r="J84" s="360"/>
      <c r="K84" s="364"/>
      <c r="L84" s="360"/>
      <c r="M84" s="365"/>
      <c r="N84" s="366"/>
      <c r="O84" s="365"/>
      <c r="P84" s="367"/>
      <c r="Q84" s="368"/>
      <c r="U84" s="36"/>
      <c r="V84" s="36"/>
    </row>
    <row r="85" spans="1:22">
      <c r="A85" s="359"/>
      <c r="B85" s="359"/>
      <c r="C85" s="360"/>
      <c r="D85" s="360"/>
      <c r="E85" s="361"/>
      <c r="F85" s="144"/>
      <c r="G85" s="362"/>
      <c r="H85" s="363"/>
      <c r="I85" s="363"/>
      <c r="J85" s="360"/>
      <c r="K85" s="364"/>
      <c r="L85" s="360"/>
      <c r="M85" s="365"/>
      <c r="N85" s="366"/>
      <c r="O85" s="365"/>
      <c r="P85" s="367"/>
      <c r="Q85" s="368"/>
      <c r="U85" s="36"/>
      <c r="V85" s="36"/>
    </row>
    <row r="86" spans="1:22">
      <c r="A86" s="359"/>
      <c r="B86" s="359"/>
      <c r="C86" s="360"/>
      <c r="D86" s="360"/>
      <c r="E86" s="361"/>
      <c r="F86" s="144"/>
      <c r="G86" s="362"/>
      <c r="H86" s="363"/>
      <c r="I86" s="363"/>
      <c r="J86" s="360"/>
      <c r="K86" s="364"/>
      <c r="L86" s="360"/>
      <c r="M86" s="365"/>
      <c r="N86" s="366"/>
      <c r="O86" s="365"/>
      <c r="P86" s="367"/>
      <c r="Q86" s="368"/>
      <c r="U86" s="36"/>
      <c r="V86" s="36"/>
    </row>
    <row r="87" spans="1:22">
      <c r="A87" s="359"/>
      <c r="B87" s="359"/>
      <c r="C87" s="360"/>
      <c r="D87" s="360"/>
      <c r="E87" s="361"/>
      <c r="F87" s="144"/>
      <c r="G87" s="362"/>
      <c r="H87" s="363"/>
      <c r="I87" s="363"/>
      <c r="J87" s="360"/>
      <c r="K87" s="364"/>
      <c r="L87" s="360"/>
      <c r="M87" s="365"/>
      <c r="N87" s="366"/>
      <c r="O87" s="365"/>
      <c r="P87" s="353"/>
      <c r="Q87" s="354"/>
      <c r="U87" s="36"/>
      <c r="V87" s="36"/>
    </row>
    <row r="88" spans="1:22">
      <c r="A88" s="359"/>
      <c r="B88" s="359"/>
      <c r="C88" s="360"/>
      <c r="D88" s="360"/>
      <c r="E88" s="361"/>
      <c r="F88" s="144"/>
      <c r="G88" s="362"/>
      <c r="H88" s="363"/>
      <c r="I88" s="363"/>
      <c r="J88" s="360"/>
      <c r="K88" s="364"/>
      <c r="L88" s="360"/>
      <c r="M88" s="365"/>
      <c r="N88" s="366"/>
      <c r="O88" s="365"/>
      <c r="P88" s="353"/>
      <c r="Q88" s="354"/>
      <c r="U88" s="36"/>
      <c r="V88" s="36"/>
    </row>
    <row r="89" spans="1:22">
      <c r="A89" s="359"/>
      <c r="B89" s="359"/>
      <c r="C89" s="360"/>
      <c r="D89" s="360"/>
      <c r="E89" s="361"/>
      <c r="F89" s="144"/>
      <c r="G89" s="362"/>
      <c r="H89" s="363"/>
      <c r="I89" s="363"/>
      <c r="J89" s="360"/>
      <c r="K89" s="364"/>
      <c r="L89" s="360"/>
      <c r="M89" s="365"/>
      <c r="N89" s="366"/>
      <c r="O89" s="365"/>
      <c r="P89" s="142"/>
      <c r="Q89" s="143"/>
      <c r="U89" s="36"/>
      <c r="V89" s="36"/>
    </row>
    <row r="90" spans="1:22">
      <c r="A90" s="359"/>
      <c r="B90" s="359"/>
      <c r="C90" s="360"/>
      <c r="D90" s="360"/>
      <c r="E90" s="361"/>
      <c r="F90" s="144"/>
      <c r="G90" s="362"/>
      <c r="H90" s="363"/>
      <c r="I90" s="363"/>
      <c r="J90" s="360"/>
      <c r="K90" s="364"/>
      <c r="L90" s="360"/>
      <c r="M90" s="365"/>
      <c r="N90" s="366"/>
      <c r="O90" s="365"/>
      <c r="P90" s="142"/>
      <c r="Q90" s="143"/>
      <c r="U90" s="36"/>
      <c r="V90" s="36"/>
    </row>
    <row r="91" spans="1:22">
      <c r="A91" s="359"/>
      <c r="B91" s="359"/>
      <c r="C91" s="360"/>
      <c r="D91" s="360"/>
      <c r="E91" s="361"/>
      <c r="F91" s="144"/>
      <c r="G91" s="362"/>
      <c r="H91" s="363"/>
      <c r="I91" s="363"/>
      <c r="J91" s="360"/>
      <c r="K91" s="364"/>
      <c r="L91" s="360"/>
      <c r="M91" s="365"/>
      <c r="N91" s="366"/>
      <c r="O91" s="365"/>
      <c r="P91" s="142"/>
      <c r="Q91" s="143"/>
      <c r="U91" s="36"/>
      <c r="V91" s="36"/>
    </row>
    <row r="92" spans="1:22">
      <c r="A92" s="359"/>
      <c r="B92" s="359"/>
      <c r="C92" s="360"/>
      <c r="D92" s="360"/>
      <c r="E92" s="361"/>
      <c r="F92" s="144"/>
      <c r="G92" s="362"/>
      <c r="H92" s="363"/>
      <c r="I92" s="363"/>
      <c r="J92" s="360"/>
      <c r="K92" s="364"/>
      <c r="L92" s="360"/>
      <c r="M92" s="365"/>
      <c r="N92" s="366"/>
      <c r="O92" s="365"/>
      <c r="P92" s="142"/>
      <c r="Q92" s="143"/>
      <c r="U92" s="36"/>
      <c r="V92" s="36"/>
    </row>
    <row r="93" spans="1:22">
      <c r="A93" s="359"/>
      <c r="B93" s="359"/>
      <c r="C93" s="360"/>
      <c r="D93" s="360"/>
      <c r="E93" s="361"/>
      <c r="F93" s="144"/>
      <c r="G93" s="362"/>
      <c r="H93" s="363"/>
      <c r="I93" s="363"/>
      <c r="J93" s="360"/>
      <c r="K93" s="364"/>
      <c r="L93" s="360"/>
      <c r="M93" s="365"/>
      <c r="N93" s="366"/>
      <c r="O93" s="365"/>
      <c r="P93" s="142"/>
      <c r="Q93" s="143"/>
      <c r="U93" s="36"/>
      <c r="V93" s="36"/>
    </row>
    <row r="94" spans="1:22">
      <c r="A94" s="359"/>
      <c r="B94" s="359"/>
      <c r="C94" s="360"/>
      <c r="D94" s="360"/>
      <c r="E94" s="361"/>
      <c r="F94" s="144"/>
      <c r="G94" s="362"/>
      <c r="H94" s="363"/>
      <c r="I94" s="363"/>
      <c r="J94" s="360"/>
      <c r="K94" s="364"/>
      <c r="L94" s="360"/>
      <c r="M94" s="365"/>
      <c r="N94" s="366"/>
      <c r="O94" s="365"/>
      <c r="P94" s="367"/>
      <c r="Q94" s="368"/>
      <c r="U94" s="36"/>
      <c r="V94" s="36"/>
    </row>
    <row r="95" spans="1:22">
      <c r="A95" s="359"/>
      <c r="B95" s="359"/>
      <c r="C95" s="360"/>
      <c r="D95" s="360"/>
      <c r="E95" s="361"/>
      <c r="F95" s="144"/>
      <c r="G95" s="362"/>
      <c r="H95" s="363"/>
      <c r="I95" s="363"/>
      <c r="J95" s="360"/>
      <c r="K95" s="364"/>
      <c r="L95" s="360"/>
      <c r="M95" s="365"/>
      <c r="N95" s="366"/>
      <c r="O95" s="365"/>
      <c r="P95" s="367"/>
      <c r="Q95" s="368"/>
      <c r="U95" s="36"/>
      <c r="V95" s="36"/>
    </row>
    <row r="96" spans="1:22">
      <c r="A96" s="359"/>
      <c r="B96" s="359"/>
      <c r="C96" s="360"/>
      <c r="D96" s="360"/>
      <c r="E96" s="361"/>
      <c r="F96" s="144"/>
      <c r="G96" s="362"/>
      <c r="H96" s="363"/>
      <c r="I96" s="363"/>
      <c r="J96" s="360"/>
      <c r="K96" s="364"/>
      <c r="L96" s="360"/>
      <c r="M96" s="365"/>
      <c r="N96" s="366"/>
      <c r="O96" s="365"/>
      <c r="P96" s="367"/>
      <c r="Q96" s="368"/>
      <c r="U96" s="36"/>
      <c r="V96" s="36"/>
    </row>
    <row r="97" spans="1:22">
      <c r="A97" s="359"/>
      <c r="B97" s="359"/>
      <c r="C97" s="360"/>
      <c r="D97" s="360"/>
      <c r="E97" s="361"/>
      <c r="F97" s="144"/>
      <c r="G97" s="362"/>
      <c r="H97" s="363"/>
      <c r="I97" s="363"/>
      <c r="J97" s="360"/>
      <c r="K97" s="364"/>
      <c r="L97" s="360"/>
      <c r="M97" s="365"/>
      <c r="N97" s="366"/>
      <c r="O97" s="365"/>
      <c r="P97" s="367"/>
      <c r="Q97" s="368"/>
      <c r="U97" s="36"/>
      <c r="V97" s="36"/>
    </row>
    <row r="98" spans="1:22">
      <c r="A98" s="359"/>
      <c r="B98" s="359"/>
      <c r="C98" s="360"/>
      <c r="D98" s="360"/>
      <c r="E98" s="361"/>
      <c r="F98" s="144"/>
      <c r="G98" s="362"/>
      <c r="H98" s="363"/>
      <c r="I98" s="363"/>
      <c r="J98" s="360"/>
      <c r="K98" s="364"/>
      <c r="L98" s="360"/>
      <c r="M98" s="365"/>
      <c r="N98" s="366"/>
      <c r="O98" s="365"/>
      <c r="P98" s="367"/>
      <c r="Q98" s="368"/>
      <c r="U98" s="36"/>
      <c r="V98" s="36"/>
    </row>
    <row r="99" spans="1:22">
      <c r="A99" s="359"/>
      <c r="B99" s="359"/>
      <c r="C99" s="360"/>
      <c r="D99" s="360"/>
      <c r="E99" s="361"/>
      <c r="F99" s="144"/>
      <c r="G99" s="362"/>
      <c r="H99" s="363"/>
      <c r="I99" s="363"/>
      <c r="J99" s="360"/>
      <c r="K99" s="364"/>
      <c r="L99" s="360"/>
      <c r="M99" s="365"/>
      <c r="N99" s="366"/>
      <c r="O99" s="365"/>
      <c r="P99" s="142"/>
      <c r="Q99" s="143"/>
      <c r="U99" s="36"/>
      <c r="V99" s="36"/>
    </row>
    <row r="100" spans="1:22">
      <c r="A100" s="359"/>
      <c r="B100" s="359"/>
      <c r="C100" s="360"/>
      <c r="D100" s="360"/>
      <c r="E100" s="361"/>
      <c r="F100" s="144"/>
      <c r="G100" s="362"/>
      <c r="H100" s="363"/>
      <c r="I100" s="363"/>
      <c r="J100" s="360"/>
      <c r="K100" s="364"/>
      <c r="L100" s="360"/>
      <c r="M100" s="365"/>
      <c r="N100" s="366"/>
      <c r="O100" s="365"/>
      <c r="P100" s="367"/>
      <c r="Q100" s="368"/>
      <c r="U100" s="36"/>
      <c r="V100" s="36"/>
    </row>
    <row r="101" spans="1:22">
      <c r="A101" s="359"/>
      <c r="B101" s="359"/>
      <c r="C101" s="360"/>
      <c r="D101" s="360"/>
      <c r="E101" s="361"/>
      <c r="F101" s="144"/>
      <c r="G101" s="362"/>
      <c r="H101" s="363"/>
      <c r="I101" s="363"/>
      <c r="J101" s="360"/>
      <c r="K101" s="364"/>
      <c r="L101" s="360"/>
      <c r="M101" s="365"/>
      <c r="N101" s="366"/>
      <c r="O101" s="365"/>
      <c r="P101" s="367"/>
      <c r="Q101" s="368"/>
      <c r="U101" s="36"/>
      <c r="V101" s="36"/>
    </row>
    <row r="102" spans="1:22">
      <c r="A102" s="359"/>
      <c r="B102" s="359"/>
      <c r="C102" s="360"/>
      <c r="D102" s="360"/>
      <c r="E102" s="361"/>
      <c r="F102" s="144"/>
      <c r="G102" s="362"/>
      <c r="H102" s="363"/>
      <c r="I102" s="363"/>
      <c r="J102" s="360"/>
      <c r="K102" s="364"/>
      <c r="L102" s="360"/>
      <c r="M102" s="365"/>
      <c r="N102" s="366"/>
      <c r="O102" s="365"/>
      <c r="P102" s="367"/>
      <c r="Q102" s="368"/>
      <c r="U102" s="36"/>
      <c r="V102" s="36"/>
    </row>
    <row r="103" spans="1:22">
      <c r="A103" s="359"/>
      <c r="B103" s="359"/>
      <c r="C103" s="360"/>
      <c r="D103" s="360"/>
      <c r="E103" s="361"/>
      <c r="F103" s="144"/>
      <c r="G103" s="362"/>
      <c r="H103" s="363"/>
      <c r="I103" s="363"/>
      <c r="J103" s="360"/>
      <c r="K103" s="364"/>
      <c r="L103" s="360"/>
      <c r="M103" s="365"/>
      <c r="N103" s="366"/>
      <c r="O103" s="365"/>
      <c r="P103" s="367"/>
      <c r="Q103" s="368"/>
      <c r="U103" s="36"/>
      <c r="V103" s="36"/>
    </row>
    <row r="104" spans="1:22">
      <c r="A104" s="359"/>
      <c r="B104" s="359"/>
      <c r="C104" s="360"/>
      <c r="D104" s="360"/>
      <c r="E104" s="361"/>
      <c r="F104" s="144"/>
      <c r="G104" s="362"/>
      <c r="H104" s="363"/>
      <c r="I104" s="363"/>
      <c r="J104" s="360"/>
      <c r="K104" s="364"/>
      <c r="L104" s="360"/>
      <c r="M104" s="365"/>
      <c r="N104" s="366"/>
      <c r="O104" s="365"/>
      <c r="P104" s="353"/>
      <c r="Q104" s="354"/>
      <c r="U104" s="36"/>
      <c r="V104" s="36"/>
    </row>
    <row r="105" spans="1:22">
      <c r="A105" s="359"/>
      <c r="B105" s="359"/>
      <c r="C105" s="360"/>
      <c r="D105" s="360"/>
      <c r="E105" s="361"/>
      <c r="F105" s="144"/>
      <c r="G105" s="362"/>
      <c r="H105" s="363"/>
      <c r="I105" s="363"/>
      <c r="J105" s="360"/>
      <c r="K105" s="364"/>
      <c r="L105" s="360"/>
      <c r="M105" s="365"/>
      <c r="N105" s="366"/>
      <c r="O105" s="365"/>
      <c r="P105" s="353"/>
      <c r="Q105" s="354"/>
      <c r="U105" s="36"/>
      <c r="V105" s="36"/>
    </row>
    <row r="106" spans="1:22">
      <c r="A106" s="359"/>
      <c r="B106" s="359"/>
      <c r="C106" s="360"/>
      <c r="D106" s="360"/>
      <c r="E106" s="361"/>
      <c r="F106" s="144"/>
      <c r="G106" s="362"/>
      <c r="H106" s="363"/>
      <c r="I106" s="363"/>
      <c r="J106" s="360"/>
      <c r="K106" s="364"/>
      <c r="L106" s="360"/>
      <c r="M106" s="365"/>
      <c r="N106" s="366"/>
      <c r="O106" s="365"/>
      <c r="P106" s="142"/>
      <c r="Q106" s="143"/>
      <c r="U106" s="36"/>
      <c r="V106" s="36"/>
    </row>
    <row r="107" spans="1:22">
      <c r="A107" s="359"/>
      <c r="B107" s="359"/>
      <c r="C107" s="360"/>
      <c r="D107" s="360"/>
      <c r="E107" s="361"/>
      <c r="F107" s="144"/>
      <c r="G107" s="362"/>
      <c r="H107" s="363"/>
      <c r="I107" s="363"/>
      <c r="J107" s="360"/>
      <c r="K107" s="364"/>
      <c r="L107" s="360"/>
      <c r="M107" s="365"/>
      <c r="N107" s="366"/>
      <c r="O107" s="365"/>
      <c r="P107" s="353"/>
      <c r="Q107" s="354"/>
      <c r="U107" s="36"/>
      <c r="V107" s="36"/>
    </row>
    <row r="108" spans="1:22">
      <c r="A108" s="359"/>
      <c r="B108" s="359"/>
      <c r="C108" s="360"/>
      <c r="D108" s="360"/>
      <c r="E108" s="361"/>
      <c r="F108" s="144"/>
      <c r="G108" s="362"/>
      <c r="H108" s="363"/>
      <c r="I108" s="363"/>
      <c r="J108" s="360"/>
      <c r="K108" s="364"/>
      <c r="L108" s="360"/>
      <c r="M108" s="365"/>
      <c r="N108" s="366"/>
      <c r="O108" s="365"/>
      <c r="P108" s="353"/>
      <c r="Q108" s="354"/>
      <c r="U108" s="36"/>
      <c r="V108" s="36"/>
    </row>
    <row r="109" spans="1:22">
      <c r="A109" s="359"/>
      <c r="B109" s="359"/>
      <c r="C109" s="360"/>
      <c r="D109" s="360"/>
      <c r="E109" s="361"/>
      <c r="F109" s="144"/>
      <c r="G109" s="362"/>
      <c r="H109" s="363"/>
      <c r="I109" s="363"/>
      <c r="J109" s="360"/>
      <c r="K109" s="364"/>
      <c r="L109" s="360"/>
      <c r="M109" s="365"/>
      <c r="N109" s="366"/>
      <c r="O109" s="365"/>
      <c r="P109" s="353"/>
      <c r="Q109" s="354"/>
      <c r="U109" s="36"/>
      <c r="V109" s="36"/>
    </row>
    <row r="110" spans="1:22">
      <c r="A110" s="359"/>
      <c r="B110" s="359"/>
      <c r="C110" s="360"/>
      <c r="D110" s="360"/>
      <c r="E110" s="361"/>
      <c r="F110" s="144"/>
      <c r="G110" s="362"/>
      <c r="H110" s="363"/>
      <c r="I110" s="363"/>
      <c r="J110" s="360"/>
      <c r="K110" s="364"/>
      <c r="L110" s="360"/>
      <c r="M110" s="365"/>
      <c r="N110" s="366"/>
      <c r="O110" s="365"/>
      <c r="P110" s="367"/>
      <c r="Q110" s="368"/>
      <c r="U110" s="36"/>
      <c r="V110" s="36"/>
    </row>
    <row r="111" spans="1:22">
      <c r="A111" s="359"/>
      <c r="B111" s="359"/>
      <c r="C111" s="360"/>
      <c r="D111" s="360"/>
      <c r="E111" s="361"/>
      <c r="F111" s="144"/>
      <c r="G111" s="362"/>
      <c r="H111" s="363"/>
      <c r="I111" s="363"/>
      <c r="J111" s="360"/>
      <c r="K111" s="364"/>
      <c r="L111" s="360"/>
      <c r="M111" s="365"/>
      <c r="N111" s="366"/>
      <c r="O111" s="365"/>
      <c r="P111" s="353"/>
      <c r="Q111" s="354"/>
      <c r="U111" s="36"/>
      <c r="V111" s="36"/>
    </row>
    <row r="112" spans="1:22">
      <c r="A112" s="359"/>
      <c r="B112" s="359"/>
      <c r="C112" s="360"/>
      <c r="D112" s="360"/>
      <c r="E112" s="361"/>
      <c r="F112" s="144"/>
      <c r="G112" s="362"/>
      <c r="H112" s="363"/>
      <c r="I112" s="363"/>
      <c r="J112" s="360"/>
      <c r="K112" s="364"/>
      <c r="L112" s="360"/>
      <c r="M112" s="365"/>
      <c r="N112" s="366"/>
      <c r="O112" s="365"/>
      <c r="P112" s="367"/>
      <c r="Q112" s="368"/>
      <c r="U112" s="36"/>
      <c r="V112" s="36"/>
    </row>
    <row r="113" spans="1:22">
      <c r="A113" s="359"/>
      <c r="B113" s="359"/>
      <c r="C113" s="360"/>
      <c r="D113" s="360"/>
      <c r="E113" s="361"/>
      <c r="F113" s="144"/>
      <c r="G113" s="362"/>
      <c r="H113" s="363"/>
      <c r="I113" s="363"/>
      <c r="J113" s="360"/>
      <c r="K113" s="364"/>
      <c r="L113" s="360"/>
      <c r="M113" s="365"/>
      <c r="N113" s="366"/>
      <c r="O113" s="365"/>
      <c r="P113" s="367"/>
      <c r="Q113" s="368"/>
      <c r="U113" s="36"/>
      <c r="V113" s="36"/>
    </row>
    <row r="114" spans="1:22">
      <c r="A114" s="359"/>
      <c r="B114" s="359"/>
      <c r="C114" s="360"/>
      <c r="D114" s="360"/>
      <c r="E114" s="361"/>
      <c r="F114" s="144"/>
      <c r="G114" s="362"/>
      <c r="H114" s="363"/>
      <c r="I114" s="363"/>
      <c r="J114" s="360"/>
      <c r="K114" s="364"/>
      <c r="L114" s="360"/>
      <c r="M114" s="365"/>
      <c r="N114" s="366"/>
      <c r="O114" s="365"/>
      <c r="P114" s="367"/>
      <c r="Q114" s="368"/>
      <c r="U114" s="36"/>
      <c r="V114" s="36"/>
    </row>
    <row r="115" spans="1:22">
      <c r="A115" s="359"/>
      <c r="B115" s="359"/>
      <c r="C115" s="360"/>
      <c r="D115" s="360"/>
      <c r="E115" s="361"/>
      <c r="F115" s="144"/>
      <c r="G115" s="362"/>
      <c r="H115" s="363"/>
      <c r="I115" s="363"/>
      <c r="J115" s="360"/>
      <c r="K115" s="364"/>
      <c r="L115" s="360"/>
      <c r="M115" s="365"/>
      <c r="N115" s="366"/>
      <c r="O115" s="365"/>
      <c r="P115" s="367"/>
      <c r="Q115" s="368"/>
      <c r="U115" s="36"/>
      <c r="V115" s="36"/>
    </row>
    <row r="116" spans="1:22">
      <c r="A116" s="359"/>
      <c r="B116" s="359"/>
      <c r="C116" s="360"/>
      <c r="D116" s="360"/>
      <c r="E116" s="361"/>
      <c r="F116" s="144"/>
      <c r="G116" s="362"/>
      <c r="H116" s="363"/>
      <c r="I116" s="363"/>
      <c r="J116" s="360"/>
      <c r="K116" s="364"/>
      <c r="L116" s="360"/>
      <c r="M116" s="365"/>
      <c r="N116" s="366"/>
      <c r="O116" s="365"/>
      <c r="P116" s="367"/>
      <c r="Q116" s="368"/>
      <c r="U116" s="36"/>
      <c r="V116" s="36"/>
    </row>
    <row r="117" spans="1:22">
      <c r="A117" s="359"/>
      <c r="B117" s="359"/>
      <c r="C117" s="360"/>
      <c r="D117" s="360"/>
      <c r="E117" s="361"/>
      <c r="F117" s="144"/>
      <c r="G117" s="362"/>
      <c r="H117" s="363"/>
      <c r="I117" s="363"/>
      <c r="J117" s="360"/>
      <c r="K117" s="364"/>
      <c r="L117" s="360"/>
      <c r="M117" s="365"/>
      <c r="N117" s="366"/>
      <c r="O117" s="365"/>
      <c r="P117" s="367"/>
      <c r="Q117" s="368"/>
      <c r="U117" s="36"/>
      <c r="V117" s="36"/>
    </row>
    <row r="118" spans="1:22">
      <c r="A118" s="359"/>
      <c r="B118" s="359"/>
      <c r="C118" s="360"/>
      <c r="D118" s="360"/>
      <c r="E118" s="361"/>
      <c r="F118" s="144"/>
      <c r="G118" s="362"/>
      <c r="H118" s="363"/>
      <c r="I118" s="363"/>
      <c r="J118" s="360"/>
      <c r="K118" s="364"/>
      <c r="L118" s="360"/>
      <c r="M118" s="365"/>
      <c r="N118" s="366"/>
      <c r="O118" s="365"/>
      <c r="P118" s="142"/>
      <c r="Q118" s="143"/>
      <c r="U118" s="36"/>
      <c r="V118" s="36"/>
    </row>
    <row r="119" spans="1:22">
      <c r="A119" s="359"/>
      <c r="B119" s="359"/>
      <c r="C119" s="360"/>
      <c r="D119" s="360"/>
      <c r="E119" s="361"/>
      <c r="F119" s="144"/>
      <c r="G119" s="362"/>
      <c r="H119" s="363"/>
      <c r="I119" s="363"/>
      <c r="J119" s="360"/>
      <c r="K119" s="364"/>
      <c r="L119" s="360"/>
      <c r="M119" s="365"/>
      <c r="N119" s="366"/>
      <c r="O119" s="365"/>
      <c r="P119" s="142"/>
      <c r="Q119" s="143"/>
      <c r="U119" s="36"/>
      <c r="V119" s="36"/>
    </row>
    <row r="120" spans="1:22">
      <c r="A120" s="359"/>
      <c r="B120" s="359"/>
      <c r="C120" s="360"/>
      <c r="D120" s="360"/>
      <c r="E120" s="361"/>
      <c r="F120" s="144"/>
      <c r="G120" s="362"/>
      <c r="H120" s="363"/>
      <c r="I120" s="363"/>
      <c r="J120" s="360"/>
      <c r="K120" s="364"/>
      <c r="L120" s="360"/>
      <c r="M120" s="365"/>
      <c r="N120" s="366"/>
      <c r="O120" s="365"/>
      <c r="P120" s="142"/>
      <c r="Q120" s="143"/>
      <c r="U120" s="36"/>
      <c r="V120" s="36"/>
    </row>
    <row r="121" spans="1:22">
      <c r="A121" s="359"/>
      <c r="B121" s="359"/>
      <c r="C121" s="360"/>
      <c r="D121" s="360"/>
      <c r="E121" s="361"/>
      <c r="F121" s="144"/>
      <c r="G121" s="362"/>
      <c r="H121" s="363"/>
      <c r="I121" s="363"/>
      <c r="J121" s="360"/>
      <c r="K121" s="364"/>
      <c r="L121" s="360"/>
      <c r="M121" s="365"/>
      <c r="N121" s="366"/>
      <c r="O121" s="365"/>
      <c r="P121" s="353"/>
      <c r="Q121" s="354"/>
      <c r="U121" s="36"/>
      <c r="V121" s="36"/>
    </row>
    <row r="122" spans="1:22">
      <c r="A122" s="359"/>
      <c r="B122" s="359"/>
      <c r="C122" s="360"/>
      <c r="D122" s="360"/>
      <c r="E122" s="361"/>
      <c r="F122" s="144"/>
      <c r="G122" s="362"/>
      <c r="H122" s="363"/>
      <c r="I122" s="363"/>
      <c r="J122" s="360"/>
      <c r="K122" s="364"/>
      <c r="L122" s="360"/>
      <c r="M122" s="365"/>
      <c r="N122" s="366"/>
      <c r="O122" s="365"/>
      <c r="P122" s="353"/>
      <c r="Q122" s="354"/>
      <c r="U122" s="36"/>
      <c r="V122" s="36"/>
    </row>
    <row r="123" spans="1:22">
      <c r="A123" s="359"/>
      <c r="B123" s="359"/>
      <c r="C123" s="360"/>
      <c r="D123" s="360"/>
      <c r="E123" s="361"/>
      <c r="F123" s="144"/>
      <c r="G123" s="362"/>
      <c r="H123" s="363"/>
      <c r="I123" s="363"/>
      <c r="J123" s="360"/>
      <c r="K123" s="364"/>
      <c r="L123" s="360"/>
      <c r="M123" s="365"/>
      <c r="N123" s="366"/>
      <c r="O123" s="365"/>
      <c r="P123" s="353"/>
      <c r="Q123" s="354"/>
      <c r="U123" s="36"/>
      <c r="V123" s="36"/>
    </row>
    <row r="124" spans="1:22">
      <c r="A124" s="359"/>
      <c r="B124" s="359"/>
      <c r="C124" s="360"/>
      <c r="D124" s="360"/>
      <c r="E124" s="361"/>
      <c r="F124" s="144"/>
      <c r="G124" s="362"/>
      <c r="H124" s="363"/>
      <c r="I124" s="363"/>
      <c r="J124" s="360"/>
      <c r="K124" s="364"/>
      <c r="L124" s="360"/>
      <c r="M124" s="365"/>
      <c r="N124" s="366"/>
      <c r="O124" s="365"/>
      <c r="P124" s="353"/>
      <c r="Q124" s="354"/>
      <c r="U124" s="36"/>
      <c r="V124" s="36"/>
    </row>
    <row r="125" spans="1:22">
      <c r="A125" s="359"/>
      <c r="B125" s="359"/>
      <c r="C125" s="360"/>
      <c r="D125" s="360"/>
      <c r="E125" s="361"/>
      <c r="F125" s="144"/>
      <c r="G125" s="362"/>
      <c r="H125" s="363"/>
      <c r="I125" s="363"/>
      <c r="J125" s="360"/>
      <c r="K125" s="364"/>
      <c r="L125" s="360"/>
      <c r="M125" s="365"/>
      <c r="N125" s="366"/>
      <c r="O125" s="365"/>
      <c r="P125" s="367"/>
      <c r="Q125" s="368"/>
      <c r="U125" s="36"/>
      <c r="V125" s="36"/>
    </row>
    <row r="126" spans="1:22">
      <c r="A126" s="359"/>
      <c r="B126" s="359"/>
      <c r="C126" s="360"/>
      <c r="D126" s="360"/>
      <c r="E126" s="361"/>
      <c r="F126" s="144"/>
      <c r="G126" s="362"/>
      <c r="H126" s="363"/>
      <c r="I126" s="363"/>
      <c r="J126" s="360"/>
      <c r="K126" s="364"/>
      <c r="L126" s="360"/>
      <c r="M126" s="365"/>
      <c r="N126" s="366"/>
      <c r="O126" s="365"/>
      <c r="P126" s="353"/>
      <c r="Q126" s="354"/>
      <c r="U126" s="36"/>
      <c r="V126" s="36"/>
    </row>
    <row r="127" spans="1:22">
      <c r="A127" s="148"/>
      <c r="B127" s="148"/>
      <c r="C127" s="122"/>
      <c r="D127" s="122"/>
      <c r="E127" s="122"/>
      <c r="F127" s="144"/>
      <c r="G127" s="122"/>
      <c r="H127" s="122"/>
      <c r="I127" s="122"/>
      <c r="J127" s="122"/>
      <c r="K127" s="289"/>
      <c r="L127" s="122"/>
      <c r="M127" s="146"/>
      <c r="N127" s="147"/>
      <c r="O127" s="146"/>
      <c r="P127" s="353"/>
      <c r="Q127" s="354"/>
      <c r="U127" s="36"/>
      <c r="V127" s="36"/>
    </row>
    <row r="128" spans="1:22">
      <c r="A128" s="148"/>
      <c r="B128" s="148"/>
      <c r="C128" s="122"/>
      <c r="D128" s="122"/>
      <c r="E128" s="122"/>
      <c r="F128" s="144"/>
      <c r="G128" s="122"/>
      <c r="H128" s="122"/>
      <c r="I128" s="122"/>
      <c r="J128" s="122"/>
      <c r="K128" s="289"/>
      <c r="L128" s="122"/>
      <c r="M128" s="146"/>
      <c r="N128" s="147"/>
      <c r="O128" s="146"/>
      <c r="P128" s="353"/>
      <c r="Q128" s="354"/>
      <c r="U128" s="36"/>
      <c r="V128" s="36"/>
    </row>
    <row r="129" spans="1:22">
      <c r="A129" s="148"/>
      <c r="B129" s="148"/>
      <c r="C129" s="301"/>
      <c r="D129" s="122"/>
      <c r="E129" s="144"/>
      <c r="F129" s="144"/>
      <c r="G129" s="122"/>
      <c r="H129" s="122"/>
      <c r="I129" s="122"/>
      <c r="J129" s="122"/>
      <c r="K129" s="289"/>
      <c r="L129" s="122"/>
      <c r="M129" s="146"/>
      <c r="N129" s="147"/>
      <c r="O129" s="146"/>
      <c r="P129" s="353"/>
      <c r="Q129" s="354"/>
      <c r="U129" s="36"/>
      <c r="V129" s="36"/>
    </row>
    <row r="130" spans="1:22">
      <c r="A130" s="148"/>
      <c r="B130" s="148"/>
      <c r="C130" s="122"/>
      <c r="D130" s="122"/>
      <c r="E130" s="144"/>
      <c r="F130" s="144"/>
      <c r="G130" s="122"/>
      <c r="H130" s="122"/>
      <c r="I130" s="122"/>
      <c r="J130" s="122"/>
      <c r="K130" s="289"/>
      <c r="L130" s="122"/>
      <c r="M130" s="146"/>
      <c r="N130" s="147"/>
      <c r="O130" s="146"/>
      <c r="P130" s="367"/>
      <c r="Q130" s="368"/>
      <c r="U130" s="36"/>
      <c r="V130" s="36"/>
    </row>
    <row r="131" spans="1:22">
      <c r="A131" s="148"/>
      <c r="B131" s="148"/>
      <c r="C131" s="122"/>
      <c r="D131" s="122"/>
      <c r="E131" s="122"/>
      <c r="F131" s="122"/>
      <c r="G131" s="160"/>
      <c r="H131" s="160"/>
      <c r="I131" s="122"/>
      <c r="J131" s="122"/>
      <c r="K131" s="291"/>
      <c r="L131" s="122"/>
      <c r="M131" s="146"/>
      <c r="N131" s="147"/>
      <c r="O131" s="146"/>
      <c r="P131" s="367"/>
      <c r="Q131" s="368"/>
      <c r="U131" s="36"/>
      <c r="V131" s="36"/>
    </row>
    <row r="132" spans="1:22">
      <c r="A132" s="148"/>
      <c r="B132" s="148"/>
      <c r="C132" s="122"/>
      <c r="D132" s="122"/>
      <c r="E132" s="144"/>
      <c r="F132" s="144"/>
      <c r="G132" s="122"/>
      <c r="H132" s="122"/>
      <c r="I132" s="122"/>
      <c r="J132" s="122"/>
      <c r="K132" s="289"/>
      <c r="L132" s="122"/>
      <c r="M132" s="146"/>
      <c r="N132" s="147"/>
      <c r="O132" s="146"/>
      <c r="P132" s="367"/>
      <c r="Q132" s="368"/>
      <c r="U132" s="36"/>
      <c r="V132" s="36"/>
    </row>
    <row r="133" spans="1:22">
      <c r="A133" s="148"/>
      <c r="B133" s="148"/>
      <c r="C133" s="122"/>
      <c r="D133" s="122"/>
      <c r="E133" s="122"/>
      <c r="F133" s="122"/>
      <c r="G133" s="160"/>
      <c r="H133" s="160"/>
      <c r="I133" s="122"/>
      <c r="J133" s="122"/>
      <c r="K133" s="290"/>
      <c r="L133" s="122"/>
      <c r="M133" s="146"/>
      <c r="N133" s="147"/>
      <c r="O133" s="146"/>
      <c r="P133" s="367"/>
      <c r="Q133" s="368"/>
      <c r="U133" s="36"/>
      <c r="V133" s="36"/>
    </row>
    <row r="134" spans="1:22">
      <c r="A134" s="148"/>
      <c r="B134" s="148"/>
      <c r="C134" s="122"/>
      <c r="D134" s="122"/>
      <c r="E134" s="144"/>
      <c r="F134" s="144"/>
      <c r="G134" s="122"/>
      <c r="H134" s="122"/>
      <c r="I134" s="122"/>
      <c r="J134" s="122"/>
      <c r="K134" s="289"/>
      <c r="L134" s="122"/>
      <c r="M134" s="146"/>
      <c r="N134" s="147"/>
      <c r="O134" s="146"/>
      <c r="P134" s="367"/>
      <c r="Q134" s="368"/>
      <c r="U134" s="36"/>
      <c r="V134" s="36"/>
    </row>
    <row r="135" spans="1:22">
      <c r="A135" s="148"/>
      <c r="B135" s="148"/>
      <c r="C135" s="122"/>
      <c r="D135" s="122"/>
      <c r="E135" s="144"/>
      <c r="F135" s="144"/>
      <c r="G135" s="122"/>
      <c r="H135" s="122"/>
      <c r="I135" s="122"/>
      <c r="J135" s="122"/>
      <c r="K135" s="289"/>
      <c r="L135" s="122"/>
      <c r="M135" s="146"/>
      <c r="N135" s="147"/>
      <c r="O135" s="146"/>
      <c r="P135" s="367"/>
      <c r="Q135" s="368"/>
      <c r="U135" s="36" t="s">
        <v>2274</v>
      </c>
      <c r="V135" s="36" t="s">
        <v>2275</v>
      </c>
    </row>
    <row r="136" spans="1:22">
      <c r="A136" s="148"/>
      <c r="B136" s="148"/>
      <c r="C136" s="122"/>
      <c r="D136" s="122"/>
      <c r="E136" s="122"/>
      <c r="F136" s="122"/>
      <c r="G136" s="160"/>
      <c r="H136" s="160"/>
      <c r="I136" s="122"/>
      <c r="J136" s="122"/>
      <c r="K136" s="140"/>
      <c r="L136" s="122"/>
      <c r="M136" s="146"/>
      <c r="N136" s="147"/>
      <c r="O136" s="146"/>
      <c r="P136" s="367"/>
      <c r="Q136" s="368"/>
      <c r="U136" s="36" t="s">
        <v>2220</v>
      </c>
      <c r="V136" s="36" t="s">
        <v>2275</v>
      </c>
    </row>
    <row r="137" spans="1:22">
      <c r="A137" s="148"/>
      <c r="B137" s="148"/>
      <c r="C137" s="122"/>
      <c r="D137" s="122"/>
      <c r="E137" s="144"/>
      <c r="F137" s="144"/>
      <c r="G137" s="122"/>
      <c r="H137" s="122"/>
      <c r="I137" s="122"/>
      <c r="J137" s="122"/>
      <c r="K137" s="145"/>
      <c r="L137" s="122"/>
      <c r="M137" s="146"/>
      <c r="N137" s="147"/>
      <c r="O137" s="146"/>
      <c r="P137" s="367"/>
      <c r="Q137" s="368"/>
      <c r="U137" s="36" t="s">
        <v>2219</v>
      </c>
      <c r="V137" s="36" t="s">
        <v>2275</v>
      </c>
    </row>
    <row r="138" spans="1:22">
      <c r="A138" s="148"/>
      <c r="B138" s="148"/>
      <c r="C138" s="122"/>
      <c r="D138" s="122"/>
      <c r="E138" s="144"/>
      <c r="F138" s="144"/>
      <c r="G138" s="122"/>
      <c r="H138" s="122"/>
      <c r="I138" s="122"/>
      <c r="J138" s="122"/>
      <c r="K138" s="145"/>
      <c r="L138" s="122"/>
      <c r="M138" s="146"/>
      <c r="N138" s="147"/>
      <c r="O138" s="146"/>
      <c r="P138" s="367"/>
      <c r="Q138" s="368"/>
      <c r="U138" s="36"/>
      <c r="V138" s="36"/>
    </row>
    <row r="139" spans="1:22">
      <c r="A139" s="148"/>
      <c r="B139" s="148"/>
      <c r="C139" s="122"/>
      <c r="D139" s="122"/>
      <c r="E139" s="122"/>
      <c r="F139" s="122"/>
      <c r="G139" s="160"/>
      <c r="H139" s="160"/>
      <c r="I139" s="122"/>
      <c r="J139" s="122"/>
      <c r="K139" s="140"/>
      <c r="L139" s="122"/>
      <c r="M139" s="146"/>
      <c r="N139" s="147"/>
      <c r="O139" s="146"/>
      <c r="P139" s="367"/>
      <c r="Q139" s="368"/>
      <c r="U139" s="36"/>
      <c r="V139" s="36"/>
    </row>
    <row r="140" spans="1:22">
      <c r="A140" s="148"/>
      <c r="B140" s="148"/>
      <c r="C140" s="122"/>
      <c r="D140" s="122"/>
      <c r="E140" s="122"/>
      <c r="F140" s="122"/>
      <c r="G140" s="160"/>
      <c r="H140" s="160"/>
      <c r="I140" s="122"/>
      <c r="J140" s="122"/>
      <c r="K140" s="140"/>
      <c r="L140" s="122"/>
      <c r="M140" s="146"/>
      <c r="N140" s="147"/>
      <c r="O140" s="146"/>
      <c r="P140" s="367"/>
      <c r="Q140" s="368"/>
      <c r="U140" s="36"/>
      <c r="V140" s="36"/>
    </row>
    <row r="141" spans="1:22">
      <c r="A141" s="148"/>
      <c r="B141" s="148"/>
      <c r="C141" s="122"/>
      <c r="D141" s="122"/>
      <c r="E141" s="122"/>
      <c r="F141" s="122"/>
      <c r="G141" s="160"/>
      <c r="H141" s="160"/>
      <c r="I141" s="122"/>
      <c r="J141" s="122"/>
      <c r="K141" s="140"/>
      <c r="L141" s="122"/>
      <c r="M141" s="146"/>
      <c r="N141" s="147"/>
      <c r="O141" s="146"/>
      <c r="P141" s="367"/>
      <c r="Q141" s="368"/>
      <c r="U141" s="36"/>
      <c r="V141" s="36"/>
    </row>
    <row r="142" spans="1:22">
      <c r="A142" s="148"/>
      <c r="B142" s="148"/>
      <c r="C142" s="122"/>
      <c r="D142" s="122"/>
      <c r="E142" s="122"/>
      <c r="F142" s="122"/>
      <c r="G142" s="122"/>
      <c r="H142" s="122"/>
      <c r="I142" s="122"/>
      <c r="J142" s="122"/>
      <c r="K142" s="140"/>
      <c r="L142" s="122"/>
      <c r="M142" s="146"/>
      <c r="N142" s="147"/>
      <c r="O142" s="146"/>
      <c r="P142" s="367"/>
      <c r="Q142" s="368"/>
      <c r="U142" s="36"/>
      <c r="V142" s="36"/>
    </row>
    <row r="143" spans="1:22">
      <c r="A143" s="148"/>
      <c r="B143" s="148"/>
      <c r="C143" s="122"/>
      <c r="D143" s="122"/>
      <c r="E143" s="122"/>
      <c r="F143" s="122"/>
      <c r="G143" s="160"/>
      <c r="H143" s="160"/>
      <c r="I143" s="122"/>
      <c r="J143" s="122"/>
      <c r="K143" s="140"/>
      <c r="L143" s="122"/>
      <c r="M143" s="146"/>
      <c r="N143" s="147"/>
      <c r="O143" s="146"/>
      <c r="P143" s="367"/>
      <c r="Q143" s="368"/>
    </row>
    <row r="144" spans="1:22">
      <c r="A144" s="148"/>
      <c r="B144" s="148"/>
      <c r="C144" s="122"/>
      <c r="D144" s="122"/>
      <c r="E144" s="144"/>
      <c r="F144" s="144"/>
      <c r="G144" s="122"/>
      <c r="H144" s="122"/>
      <c r="I144" s="122"/>
      <c r="J144" s="122"/>
      <c r="K144" s="145"/>
      <c r="L144" s="122"/>
      <c r="M144" s="146"/>
      <c r="N144" s="147"/>
      <c r="O144" s="146"/>
      <c r="P144" s="353"/>
      <c r="Q144" s="354"/>
    </row>
    <row r="145" spans="1:17">
      <c r="A145" s="148"/>
      <c r="B145" s="148"/>
      <c r="C145" s="122"/>
      <c r="D145" s="122"/>
      <c r="E145" s="144"/>
      <c r="F145" s="144"/>
      <c r="G145" s="122"/>
      <c r="H145" s="122"/>
      <c r="I145" s="122"/>
      <c r="J145" s="122"/>
      <c r="K145" s="145"/>
      <c r="L145" s="122"/>
      <c r="M145" s="146"/>
      <c r="N145" s="147"/>
      <c r="O145" s="146"/>
      <c r="P145" s="353"/>
      <c r="Q145" s="354"/>
    </row>
    <row r="146" spans="1:17">
      <c r="A146" s="148"/>
      <c r="B146" s="148"/>
      <c r="C146" s="122"/>
      <c r="D146" s="122"/>
      <c r="E146" s="122"/>
      <c r="F146" s="122"/>
      <c r="G146" s="160"/>
      <c r="H146" s="160"/>
      <c r="I146" s="122"/>
      <c r="J146" s="122"/>
      <c r="K146" s="140"/>
      <c r="L146" s="122"/>
      <c r="M146" s="146"/>
      <c r="N146" s="147"/>
      <c r="O146" s="146"/>
      <c r="P146" s="353"/>
      <c r="Q146" s="354"/>
    </row>
    <row r="147" spans="1:17">
      <c r="A147" s="148"/>
      <c r="B147" s="148"/>
      <c r="C147" s="122"/>
      <c r="D147" s="122"/>
      <c r="E147" s="144"/>
      <c r="F147" s="144"/>
      <c r="G147" s="122"/>
      <c r="H147" s="122"/>
      <c r="I147" s="122"/>
      <c r="J147" s="122"/>
      <c r="K147" s="145"/>
      <c r="L147" s="122"/>
      <c r="M147" s="146"/>
      <c r="N147" s="147"/>
      <c r="O147" s="146"/>
      <c r="P147" s="353"/>
      <c r="Q147" s="354"/>
    </row>
    <row r="148" spans="1:17">
      <c r="A148" s="148"/>
      <c r="B148" s="148"/>
      <c r="C148" s="122"/>
      <c r="D148" s="122"/>
      <c r="E148" s="122"/>
      <c r="F148" s="122"/>
      <c r="G148" s="160"/>
      <c r="H148" s="160"/>
      <c r="I148" s="122"/>
      <c r="J148" s="122"/>
      <c r="K148" s="140"/>
      <c r="L148" s="122"/>
      <c r="M148" s="146"/>
      <c r="N148" s="147"/>
      <c r="O148" s="146"/>
      <c r="P148" s="142"/>
      <c r="Q148" s="143"/>
    </row>
    <row r="149" spans="1:17">
      <c r="A149" s="148"/>
      <c r="B149" s="148"/>
      <c r="C149" s="122"/>
      <c r="D149" s="122"/>
      <c r="E149" s="144"/>
      <c r="F149" s="144"/>
      <c r="G149" s="122"/>
      <c r="H149" s="122"/>
      <c r="I149" s="122"/>
      <c r="J149" s="122"/>
      <c r="K149" s="145"/>
      <c r="L149" s="122"/>
      <c r="M149" s="146"/>
      <c r="N149" s="147"/>
      <c r="O149" s="146"/>
      <c r="P149" s="367"/>
      <c r="Q149" s="368"/>
    </row>
    <row r="150" spans="1:17">
      <c r="A150" s="148"/>
      <c r="B150" s="148"/>
      <c r="C150" s="122"/>
      <c r="D150" s="122"/>
      <c r="E150" s="122"/>
      <c r="F150" s="122"/>
      <c r="G150" s="160"/>
      <c r="H150" s="160"/>
      <c r="I150" s="122"/>
      <c r="J150" s="122"/>
      <c r="K150" s="140"/>
      <c r="L150" s="122"/>
      <c r="M150" s="146"/>
      <c r="N150" s="147"/>
      <c r="O150" s="146"/>
      <c r="P150" s="367"/>
      <c r="Q150" s="368"/>
    </row>
    <row r="151" spans="1:17">
      <c r="A151" s="148"/>
      <c r="B151" s="148"/>
      <c r="C151" s="122"/>
      <c r="D151" s="122"/>
      <c r="E151" s="122"/>
      <c r="F151" s="122"/>
      <c r="G151" s="160"/>
      <c r="H151" s="160"/>
      <c r="I151" s="122"/>
      <c r="J151" s="122"/>
      <c r="K151" s="140"/>
      <c r="L151" s="122"/>
      <c r="M151" s="146"/>
      <c r="N151" s="147"/>
      <c r="O151" s="146"/>
      <c r="P151" s="367"/>
      <c r="Q151" s="368"/>
    </row>
    <row r="152" spans="1:17">
      <c r="A152" s="148"/>
      <c r="B152" s="148"/>
      <c r="C152" s="122"/>
      <c r="D152" s="122"/>
      <c r="E152" s="122"/>
      <c r="F152" s="122"/>
      <c r="G152" s="160"/>
      <c r="H152" s="160"/>
      <c r="I152" s="122"/>
      <c r="J152" s="122"/>
      <c r="K152" s="140"/>
      <c r="L152" s="122"/>
      <c r="M152" s="146"/>
      <c r="N152" s="147"/>
      <c r="O152" s="146"/>
      <c r="P152" s="367"/>
      <c r="Q152" s="368"/>
    </row>
    <row r="153" spans="1:17">
      <c r="A153" s="148"/>
      <c r="B153" s="148"/>
      <c r="C153" s="122"/>
      <c r="D153" s="122"/>
      <c r="E153" s="122"/>
      <c r="F153" s="122"/>
      <c r="G153" s="160"/>
      <c r="H153" s="160"/>
      <c r="I153" s="122"/>
      <c r="J153" s="122"/>
      <c r="K153" s="140"/>
      <c r="L153" s="122"/>
      <c r="M153" s="146"/>
      <c r="N153" s="147"/>
      <c r="O153" s="146"/>
      <c r="P153" s="367"/>
      <c r="Q153" s="368"/>
    </row>
    <row r="154" spans="1:17">
      <c r="A154" s="148"/>
      <c r="B154" s="148"/>
      <c r="C154" s="122"/>
      <c r="D154" s="122"/>
      <c r="E154" s="144"/>
      <c r="F154" s="144"/>
      <c r="G154" s="122"/>
      <c r="H154" s="122"/>
      <c r="I154" s="122"/>
      <c r="J154" s="122"/>
      <c r="K154" s="145"/>
      <c r="L154" s="122"/>
      <c r="M154" s="146"/>
      <c r="N154" s="147"/>
      <c r="O154" s="146"/>
      <c r="P154" s="367"/>
      <c r="Q154" s="368"/>
    </row>
    <row r="155" spans="1:17">
      <c r="A155" s="148"/>
      <c r="B155" s="148"/>
      <c r="C155" s="122"/>
      <c r="D155" s="122"/>
      <c r="E155" s="144"/>
      <c r="F155" s="144"/>
      <c r="G155" s="122"/>
      <c r="H155" s="122"/>
      <c r="I155" s="122"/>
      <c r="J155" s="122"/>
      <c r="K155" s="145"/>
      <c r="L155" s="122"/>
      <c r="M155" s="146"/>
      <c r="N155" s="147"/>
      <c r="O155" s="146"/>
      <c r="P155" s="367"/>
      <c r="Q155" s="368"/>
    </row>
    <row r="156" spans="1:17">
      <c r="A156" s="148"/>
      <c r="B156" s="148"/>
      <c r="C156" s="122"/>
      <c r="D156" s="122"/>
      <c r="E156" s="122"/>
      <c r="F156" s="122"/>
      <c r="G156" s="160"/>
      <c r="H156" s="160"/>
      <c r="I156" s="122"/>
      <c r="J156" s="122"/>
      <c r="K156" s="260"/>
      <c r="L156" s="122"/>
      <c r="M156" s="146"/>
      <c r="N156" s="147"/>
      <c r="O156" s="146"/>
      <c r="P156" s="367"/>
      <c r="Q156" s="368"/>
    </row>
    <row r="157" spans="1:17">
      <c r="A157" s="148"/>
      <c r="B157" s="148"/>
      <c r="C157" s="122"/>
      <c r="D157" s="122"/>
      <c r="E157" s="144"/>
      <c r="F157" s="144"/>
      <c r="G157" s="122"/>
      <c r="H157" s="122"/>
      <c r="I157" s="122"/>
      <c r="J157" s="122"/>
      <c r="K157" s="145"/>
      <c r="L157" s="122"/>
      <c r="M157" s="146"/>
      <c r="N157" s="147"/>
      <c r="O157" s="146"/>
      <c r="P157" s="367"/>
      <c r="Q157" s="368"/>
    </row>
    <row r="158" spans="1:17">
      <c r="A158" s="148"/>
      <c r="B158" s="148"/>
      <c r="C158" s="122"/>
      <c r="D158" s="122"/>
      <c r="E158" s="122"/>
      <c r="F158" s="122"/>
      <c r="G158" s="160"/>
      <c r="H158" s="160"/>
      <c r="I158" s="122"/>
      <c r="J158" s="122"/>
      <c r="K158" s="140"/>
      <c r="L158" s="122"/>
      <c r="M158" s="146"/>
      <c r="N158" s="147"/>
      <c r="O158" s="146"/>
      <c r="P158" s="367"/>
      <c r="Q158" s="368"/>
    </row>
    <row r="159" spans="1:17">
      <c r="A159" s="148"/>
      <c r="B159" s="148"/>
      <c r="C159" s="122"/>
      <c r="D159" s="122"/>
      <c r="E159" s="144"/>
      <c r="F159" s="144"/>
      <c r="G159" s="122"/>
      <c r="H159" s="122"/>
      <c r="I159" s="122"/>
      <c r="J159" s="122"/>
      <c r="K159" s="145"/>
      <c r="L159" s="122"/>
      <c r="M159" s="146"/>
      <c r="N159" s="147"/>
      <c r="O159" s="146"/>
      <c r="P159" s="367"/>
      <c r="Q159" s="368"/>
    </row>
    <row r="160" spans="1:17">
      <c r="A160" s="148"/>
      <c r="B160" s="148"/>
      <c r="C160" s="122"/>
      <c r="D160" s="122"/>
      <c r="E160" s="144"/>
      <c r="F160" s="144"/>
      <c r="G160" s="122"/>
      <c r="H160" s="122"/>
      <c r="I160" s="122"/>
      <c r="J160" s="122"/>
      <c r="K160" s="145"/>
      <c r="L160" s="122"/>
      <c r="M160" s="146"/>
      <c r="N160" s="147"/>
      <c r="O160" s="146"/>
      <c r="P160" s="367"/>
      <c r="Q160" s="368"/>
    </row>
    <row r="161" spans="1:17">
      <c r="A161" s="148"/>
      <c r="B161" s="148"/>
      <c r="C161" s="122"/>
      <c r="D161" s="122"/>
      <c r="E161" s="122"/>
      <c r="F161" s="122"/>
      <c r="G161" s="160"/>
      <c r="H161" s="160"/>
      <c r="I161" s="122"/>
      <c r="J161" s="122"/>
      <c r="K161" s="140"/>
      <c r="L161" s="122"/>
      <c r="M161" s="146"/>
      <c r="N161" s="147"/>
      <c r="O161" s="146"/>
      <c r="P161" s="367"/>
      <c r="Q161" s="368"/>
    </row>
    <row r="162" spans="1:17">
      <c r="A162" s="148"/>
      <c r="B162" s="148"/>
      <c r="C162" s="122"/>
      <c r="D162" s="122"/>
      <c r="E162" s="144"/>
      <c r="F162" s="144"/>
      <c r="G162" s="122"/>
      <c r="H162" s="122"/>
      <c r="I162" s="122"/>
      <c r="J162" s="122"/>
      <c r="K162" s="145"/>
      <c r="L162" s="122"/>
      <c r="M162" s="146"/>
      <c r="N162" s="147"/>
      <c r="O162" s="146"/>
      <c r="P162" s="367"/>
      <c r="Q162" s="368"/>
    </row>
    <row r="163" spans="1:17">
      <c r="A163" s="148"/>
      <c r="B163" s="148"/>
      <c r="C163" s="122"/>
      <c r="D163" s="122"/>
      <c r="E163" s="122"/>
      <c r="F163" s="122"/>
      <c r="G163" s="160"/>
      <c r="H163" s="160"/>
      <c r="I163" s="122"/>
      <c r="J163" s="122"/>
      <c r="K163" s="260"/>
      <c r="L163" s="122"/>
      <c r="M163" s="146"/>
      <c r="N163" s="147"/>
      <c r="O163" s="146"/>
      <c r="P163" s="367"/>
      <c r="Q163" s="368"/>
    </row>
    <row r="164" spans="1:17">
      <c r="A164" s="148"/>
      <c r="B164" s="148"/>
      <c r="C164" s="122"/>
      <c r="D164" s="122"/>
      <c r="E164" s="122"/>
      <c r="F164" s="122"/>
      <c r="G164" s="160"/>
      <c r="H164" s="160"/>
      <c r="I164" s="122"/>
      <c r="J164" s="122"/>
      <c r="K164" s="140"/>
      <c r="L164" s="122"/>
      <c r="M164" s="146"/>
      <c r="N164" s="147"/>
      <c r="O164" s="146"/>
      <c r="P164" s="367"/>
      <c r="Q164" s="368"/>
    </row>
    <row r="165" spans="1:17">
      <c r="A165" s="148"/>
      <c r="B165" s="148"/>
      <c r="C165" s="122"/>
      <c r="D165" s="122"/>
      <c r="E165" s="144"/>
      <c r="F165" s="144"/>
      <c r="G165" s="122"/>
      <c r="H165" s="122"/>
      <c r="I165" s="122"/>
      <c r="J165" s="122"/>
      <c r="K165" s="145"/>
      <c r="L165" s="122"/>
      <c r="M165" s="146"/>
      <c r="N165" s="147"/>
      <c r="O165" s="146"/>
      <c r="P165" s="367"/>
      <c r="Q165" s="368"/>
    </row>
    <row r="166" spans="1:17">
      <c r="A166" s="148"/>
      <c r="B166" s="148"/>
      <c r="C166" s="122"/>
      <c r="D166" s="122"/>
      <c r="E166" s="144"/>
      <c r="F166" s="144"/>
      <c r="G166" s="122"/>
      <c r="H166" s="122"/>
      <c r="I166" s="122"/>
      <c r="J166" s="122"/>
      <c r="K166" s="145"/>
      <c r="L166" s="122"/>
      <c r="M166" s="146"/>
      <c r="N166" s="147"/>
      <c r="O166" s="146"/>
      <c r="P166" s="367"/>
      <c r="Q166" s="368"/>
    </row>
    <row r="167" spans="1:17">
      <c r="A167" s="148"/>
      <c r="B167" s="148"/>
      <c r="C167" s="122"/>
      <c r="D167" s="122"/>
      <c r="E167" s="144"/>
      <c r="F167" s="144"/>
      <c r="G167" s="122"/>
      <c r="H167" s="122"/>
      <c r="I167" s="122"/>
      <c r="J167" s="122"/>
      <c r="K167" s="145"/>
      <c r="L167" s="122"/>
      <c r="M167" s="146"/>
      <c r="N167" s="147"/>
      <c r="O167" s="146"/>
      <c r="P167" s="367"/>
      <c r="Q167" s="368"/>
    </row>
    <row r="168" spans="1:17">
      <c r="A168" s="148"/>
      <c r="B168" s="148"/>
      <c r="C168" s="122"/>
      <c r="D168" s="122"/>
      <c r="E168" s="144"/>
      <c r="F168" s="144"/>
      <c r="G168" s="122"/>
      <c r="H168" s="122"/>
      <c r="I168" s="122"/>
      <c r="J168" s="122"/>
      <c r="K168" s="145"/>
      <c r="L168" s="122"/>
      <c r="M168" s="146"/>
      <c r="N168" s="147"/>
      <c r="O168" s="146"/>
      <c r="P168" s="367"/>
      <c r="Q168" s="368"/>
    </row>
    <row r="169" spans="1:17">
      <c r="A169" s="148"/>
      <c r="B169" s="148"/>
      <c r="C169" s="122"/>
      <c r="D169" s="122"/>
      <c r="E169" s="144"/>
      <c r="F169" s="144"/>
      <c r="G169" s="122"/>
      <c r="H169" s="122"/>
      <c r="I169" s="122"/>
      <c r="J169" s="122"/>
      <c r="K169" s="145"/>
      <c r="L169" s="122"/>
      <c r="M169" s="146"/>
      <c r="N169" s="147"/>
      <c r="O169" s="146"/>
      <c r="P169" s="367"/>
      <c r="Q169" s="368"/>
    </row>
    <row r="170" spans="1:17">
      <c r="A170" s="148"/>
      <c r="B170" s="148"/>
      <c r="C170" s="122"/>
      <c r="D170" s="122"/>
      <c r="E170" s="144"/>
      <c r="F170" s="144"/>
      <c r="G170" s="122"/>
      <c r="H170" s="122"/>
      <c r="I170" s="122"/>
      <c r="J170" s="122"/>
      <c r="K170" s="145"/>
      <c r="L170" s="122"/>
      <c r="M170" s="146"/>
      <c r="N170" s="147"/>
      <c r="O170" s="146"/>
      <c r="P170" s="367"/>
      <c r="Q170" s="368"/>
    </row>
    <row r="171" spans="1:17">
      <c r="A171" s="148"/>
      <c r="B171" s="148"/>
      <c r="C171" s="122"/>
      <c r="D171" s="122"/>
      <c r="E171" s="144"/>
      <c r="F171" s="144"/>
      <c r="G171" s="122"/>
      <c r="H171" s="122"/>
      <c r="I171" s="122"/>
      <c r="J171" s="122"/>
      <c r="K171" s="145"/>
      <c r="L171" s="122"/>
      <c r="M171" s="146"/>
      <c r="N171" s="147"/>
      <c r="O171" s="146"/>
      <c r="P171" s="367"/>
      <c r="Q171" s="368"/>
    </row>
    <row r="172" spans="1:17">
      <c r="A172" s="148"/>
      <c r="B172" s="148"/>
      <c r="C172" s="122"/>
      <c r="D172" s="122"/>
      <c r="E172" s="144"/>
      <c r="F172" s="144"/>
      <c r="G172" s="122"/>
      <c r="H172" s="122"/>
      <c r="I172" s="122"/>
      <c r="J172" s="122"/>
      <c r="K172" s="145"/>
      <c r="L172" s="122"/>
      <c r="M172" s="146"/>
      <c r="N172" s="147"/>
      <c r="O172" s="146"/>
      <c r="P172" s="142"/>
      <c r="Q172" s="143"/>
    </row>
    <row r="173" spans="1:17">
      <c r="A173" s="148"/>
      <c r="B173" s="148"/>
      <c r="C173" s="122"/>
      <c r="D173" s="122"/>
      <c r="E173" s="144"/>
      <c r="F173" s="144"/>
      <c r="G173" s="122"/>
      <c r="H173" s="122"/>
      <c r="I173" s="122"/>
      <c r="J173" s="122"/>
      <c r="K173" s="145"/>
      <c r="L173" s="122"/>
      <c r="M173" s="146"/>
      <c r="N173" s="147"/>
      <c r="O173" s="146"/>
      <c r="P173" s="142"/>
      <c r="Q173" s="143"/>
    </row>
    <row r="174" spans="1:17">
      <c r="A174" s="148"/>
      <c r="B174" s="148"/>
      <c r="C174" s="122"/>
      <c r="D174" s="122"/>
      <c r="E174" s="144"/>
      <c r="F174" s="144"/>
      <c r="G174" s="122"/>
      <c r="H174" s="122"/>
      <c r="I174" s="122"/>
      <c r="J174" s="122"/>
      <c r="K174" s="145"/>
      <c r="L174" s="122"/>
      <c r="M174" s="146"/>
      <c r="N174" s="147"/>
      <c r="O174" s="146"/>
      <c r="P174" s="142"/>
      <c r="Q174" s="143"/>
    </row>
    <row r="175" spans="1:17">
      <c r="A175" s="148"/>
      <c r="B175" s="148"/>
      <c r="C175" s="122"/>
      <c r="D175" s="122"/>
      <c r="E175" s="144"/>
      <c r="F175" s="144"/>
      <c r="G175" s="122"/>
      <c r="H175" s="122"/>
      <c r="I175" s="122"/>
      <c r="J175" s="122"/>
      <c r="K175" s="145"/>
      <c r="L175" s="122"/>
      <c r="M175" s="146"/>
      <c r="N175" s="147"/>
      <c r="O175" s="146"/>
      <c r="P175" s="142"/>
      <c r="Q175" s="143"/>
    </row>
    <row r="176" spans="1:17">
      <c r="A176" s="148"/>
      <c r="B176" s="148"/>
      <c r="C176" s="122"/>
      <c r="D176" s="122"/>
      <c r="E176" s="144"/>
      <c r="F176" s="144"/>
      <c r="G176" s="122"/>
      <c r="H176" s="122"/>
      <c r="I176" s="122"/>
      <c r="J176" s="122"/>
      <c r="K176" s="145"/>
      <c r="L176" s="122"/>
      <c r="M176" s="146"/>
      <c r="N176" s="147"/>
      <c r="O176" s="146"/>
      <c r="P176" s="353"/>
      <c r="Q176" s="354"/>
    </row>
    <row r="177" spans="1:17">
      <c r="A177" s="148"/>
      <c r="B177" s="148"/>
      <c r="C177" s="122"/>
      <c r="D177" s="122"/>
      <c r="E177" s="144"/>
      <c r="F177" s="144"/>
      <c r="G177" s="122"/>
      <c r="H177" s="122"/>
      <c r="I177" s="122"/>
      <c r="J177" s="122"/>
      <c r="K177" s="145"/>
      <c r="L177" s="122"/>
      <c r="M177" s="146"/>
      <c r="N177" s="147"/>
      <c r="O177" s="146"/>
      <c r="P177" s="353"/>
      <c r="Q177" s="354"/>
    </row>
    <row r="178" spans="1:17">
      <c r="A178" s="148"/>
      <c r="B178" s="148"/>
      <c r="C178" s="122"/>
      <c r="D178" s="122"/>
      <c r="E178" s="144"/>
      <c r="F178" s="144"/>
      <c r="G178" s="122"/>
      <c r="H178" s="122"/>
      <c r="I178" s="122"/>
      <c r="J178" s="122"/>
      <c r="K178" s="145"/>
      <c r="L178" s="122"/>
      <c r="M178" s="146"/>
      <c r="N178" s="147"/>
      <c r="O178" s="146"/>
      <c r="P178" s="353"/>
      <c r="Q178" s="354"/>
    </row>
    <row r="179" spans="1:17">
      <c r="A179" s="148"/>
      <c r="B179" s="148"/>
      <c r="C179" s="122"/>
      <c r="D179" s="122"/>
      <c r="E179" s="144"/>
      <c r="F179" s="144"/>
      <c r="G179" s="122"/>
      <c r="H179" s="122"/>
      <c r="I179" s="122"/>
      <c r="J179" s="122"/>
      <c r="K179" s="145"/>
      <c r="L179" s="122"/>
      <c r="M179" s="146"/>
      <c r="N179" s="147"/>
      <c r="O179" s="146"/>
      <c r="P179" s="353"/>
      <c r="Q179" s="354"/>
    </row>
    <row r="180" spans="1:17">
      <c r="A180" s="148"/>
      <c r="B180" s="148"/>
      <c r="C180" s="122"/>
      <c r="D180" s="122"/>
      <c r="E180" s="144"/>
      <c r="F180" s="144"/>
      <c r="G180" s="122"/>
      <c r="H180" s="122"/>
      <c r="I180" s="122"/>
      <c r="J180" s="122"/>
      <c r="K180" s="145"/>
      <c r="L180" s="122"/>
      <c r="M180" s="146"/>
      <c r="N180" s="147"/>
      <c r="O180" s="146"/>
      <c r="P180" s="353"/>
      <c r="Q180" s="354"/>
    </row>
    <row r="181" spans="1:17">
      <c r="A181" s="148"/>
      <c r="B181" s="148"/>
      <c r="C181" s="122"/>
      <c r="D181" s="122"/>
      <c r="E181" s="144"/>
      <c r="F181" s="144"/>
      <c r="G181" s="122"/>
      <c r="H181" s="122"/>
      <c r="I181" s="122"/>
      <c r="J181" s="122"/>
      <c r="K181" s="145"/>
      <c r="L181" s="122"/>
      <c r="M181" s="146"/>
      <c r="N181" s="147"/>
      <c r="O181" s="146"/>
      <c r="P181" s="367"/>
      <c r="Q181" s="368"/>
    </row>
    <row r="182" spans="1:17">
      <c r="A182" s="148"/>
      <c r="B182" s="148"/>
      <c r="C182" s="122"/>
      <c r="D182" s="122"/>
      <c r="E182" s="144"/>
      <c r="F182" s="144"/>
      <c r="G182" s="122"/>
      <c r="H182" s="122"/>
      <c r="I182" s="122"/>
      <c r="J182" s="122"/>
      <c r="K182" s="145"/>
      <c r="L182" s="122"/>
      <c r="M182" s="146"/>
      <c r="N182" s="147"/>
      <c r="O182" s="146"/>
      <c r="P182" s="142"/>
      <c r="Q182" s="143"/>
    </row>
    <row r="183" spans="1:17">
      <c r="A183" s="148"/>
      <c r="B183" s="148"/>
      <c r="C183" s="122"/>
      <c r="D183" s="122"/>
      <c r="E183" s="144"/>
      <c r="F183" s="144"/>
      <c r="G183" s="122"/>
      <c r="H183" s="122"/>
      <c r="I183" s="122"/>
      <c r="J183" s="122"/>
      <c r="K183" s="145"/>
      <c r="L183" s="122"/>
      <c r="M183" s="146"/>
      <c r="N183" s="147"/>
      <c r="O183" s="146"/>
      <c r="P183" s="367"/>
      <c r="Q183" s="368"/>
    </row>
    <row r="184" spans="1:17">
      <c r="A184" s="148"/>
      <c r="B184" s="148"/>
      <c r="C184" s="122"/>
      <c r="D184" s="122"/>
      <c r="E184" s="144"/>
      <c r="F184" s="144"/>
      <c r="G184" s="122"/>
      <c r="H184" s="122"/>
      <c r="I184" s="122"/>
      <c r="J184" s="122"/>
      <c r="K184" s="145"/>
      <c r="L184" s="122"/>
      <c r="M184" s="146"/>
      <c r="N184" s="147"/>
      <c r="O184" s="146"/>
      <c r="P184" s="367"/>
      <c r="Q184" s="368"/>
    </row>
    <row r="185" spans="1:17">
      <c r="A185" s="148"/>
      <c r="B185" s="148"/>
      <c r="C185" s="122"/>
      <c r="D185" s="122"/>
      <c r="E185" s="144"/>
      <c r="F185" s="144"/>
      <c r="G185" s="122"/>
      <c r="H185" s="122"/>
      <c r="I185" s="122"/>
      <c r="J185" s="122"/>
      <c r="K185" s="145"/>
      <c r="L185" s="122"/>
      <c r="M185" s="146"/>
      <c r="N185" s="147"/>
      <c r="O185" s="146"/>
      <c r="P185" s="367"/>
      <c r="Q185" s="368"/>
    </row>
    <row r="186" spans="1:17">
      <c r="A186" s="148"/>
      <c r="B186" s="148"/>
      <c r="C186" s="122"/>
      <c r="D186" s="122"/>
      <c r="E186" s="144"/>
      <c r="F186" s="144"/>
      <c r="G186" s="122"/>
      <c r="H186" s="122"/>
      <c r="I186" s="122"/>
      <c r="J186" s="122"/>
      <c r="K186" s="145"/>
      <c r="L186" s="122"/>
      <c r="M186" s="146"/>
      <c r="N186" s="147"/>
      <c r="O186" s="146"/>
      <c r="P186" s="367"/>
      <c r="Q186" s="368"/>
    </row>
    <row r="187" spans="1:17">
      <c r="A187" s="148"/>
      <c r="B187" s="148"/>
      <c r="C187" s="122"/>
      <c r="D187" s="122"/>
      <c r="E187" s="144"/>
      <c r="F187" s="144"/>
      <c r="G187" s="122"/>
      <c r="H187" s="122"/>
      <c r="I187" s="122"/>
      <c r="J187" s="122"/>
      <c r="K187" s="145"/>
      <c r="L187" s="122"/>
      <c r="M187" s="146"/>
      <c r="N187" s="147"/>
      <c r="O187" s="146"/>
      <c r="P187" s="367"/>
      <c r="Q187" s="368"/>
    </row>
    <row r="188" spans="1:17">
      <c r="A188" s="148"/>
      <c r="B188" s="148"/>
      <c r="C188" s="122"/>
      <c r="D188" s="122"/>
      <c r="E188" s="144"/>
      <c r="F188" s="144"/>
      <c r="G188" s="122"/>
      <c r="H188" s="122"/>
      <c r="I188" s="122"/>
      <c r="J188" s="122"/>
      <c r="K188" s="145"/>
      <c r="L188" s="122"/>
      <c r="M188" s="146"/>
      <c r="N188" s="147"/>
      <c r="O188" s="146"/>
      <c r="P188" s="367"/>
      <c r="Q188" s="368"/>
    </row>
    <row r="189" spans="1:17">
      <c r="A189" s="148"/>
      <c r="B189" s="148"/>
      <c r="C189" s="122"/>
      <c r="D189" s="122"/>
      <c r="E189" s="144"/>
      <c r="F189" s="144"/>
      <c r="G189" s="122"/>
      <c r="H189" s="122"/>
      <c r="I189" s="122"/>
      <c r="J189" s="122"/>
      <c r="K189" s="145"/>
      <c r="L189" s="122"/>
      <c r="M189" s="146"/>
      <c r="N189" s="147"/>
      <c r="O189" s="146"/>
      <c r="P189" s="367"/>
      <c r="Q189" s="368"/>
    </row>
    <row r="190" spans="1:17">
      <c r="A190" s="148"/>
      <c r="B190" s="148"/>
      <c r="C190" s="122"/>
      <c r="D190" s="122"/>
      <c r="E190" s="144"/>
      <c r="F190" s="144"/>
      <c r="G190" s="122"/>
      <c r="H190" s="122"/>
      <c r="I190" s="122"/>
      <c r="J190" s="122"/>
      <c r="K190" s="145"/>
      <c r="L190" s="122"/>
      <c r="M190" s="146"/>
      <c r="N190" s="147"/>
      <c r="O190" s="146"/>
      <c r="P190" s="142"/>
      <c r="Q190" s="143"/>
    </row>
    <row r="191" spans="1:17">
      <c r="A191" s="148"/>
      <c r="B191" s="148"/>
      <c r="C191" s="122"/>
      <c r="D191" s="122"/>
      <c r="E191" s="144"/>
      <c r="F191" s="144"/>
      <c r="G191" s="122"/>
      <c r="H191" s="122"/>
      <c r="I191" s="122"/>
      <c r="J191" s="122"/>
      <c r="K191" s="145"/>
      <c r="L191" s="122"/>
      <c r="M191" s="146"/>
      <c r="N191" s="147"/>
      <c r="O191" s="146"/>
      <c r="P191" s="353"/>
      <c r="Q191" s="354"/>
    </row>
    <row r="192" spans="1:17">
      <c r="A192" s="148"/>
      <c r="B192" s="148"/>
      <c r="C192" s="122"/>
      <c r="D192" s="122"/>
      <c r="E192" s="144"/>
      <c r="F192" s="144"/>
      <c r="G192" s="122"/>
      <c r="H192" s="122"/>
      <c r="I192" s="122"/>
      <c r="J192" s="122"/>
      <c r="K192" s="145"/>
      <c r="L192" s="122"/>
      <c r="M192" s="146"/>
      <c r="N192" s="147"/>
      <c r="O192" s="146"/>
      <c r="P192" s="353"/>
      <c r="Q192" s="354"/>
    </row>
    <row r="193" spans="1:17">
      <c r="A193" s="345"/>
      <c r="B193" s="345"/>
      <c r="C193" s="346"/>
      <c r="D193" s="346"/>
      <c r="E193" s="347"/>
      <c r="F193" s="144"/>
      <c r="G193" s="348"/>
      <c r="H193" s="349"/>
      <c r="I193" s="349"/>
      <c r="J193" s="346"/>
      <c r="K193" s="350"/>
      <c r="L193" s="346"/>
      <c r="M193" s="351"/>
      <c r="N193" s="352"/>
      <c r="O193" s="351"/>
      <c r="P193" s="353"/>
      <c r="Q193" s="354"/>
    </row>
    <row r="194" spans="1:17">
      <c r="A194" s="345"/>
      <c r="B194" s="345"/>
      <c r="C194" s="346"/>
      <c r="D194" s="346"/>
      <c r="E194" s="347"/>
      <c r="F194" s="144"/>
      <c r="G194" s="348"/>
      <c r="H194" s="349"/>
      <c r="I194" s="349"/>
      <c r="J194" s="346"/>
      <c r="K194" s="350"/>
      <c r="L194" s="346"/>
      <c r="M194" s="351"/>
      <c r="N194" s="352"/>
      <c r="O194" s="351"/>
      <c r="P194" s="353"/>
      <c r="Q194" s="354"/>
    </row>
    <row r="195" spans="1:17">
      <c r="A195" s="345"/>
      <c r="B195" s="345"/>
      <c r="C195" s="346"/>
      <c r="D195" s="346"/>
      <c r="E195" s="347"/>
      <c r="F195" s="144"/>
      <c r="G195" s="348"/>
      <c r="H195" s="349"/>
      <c r="I195" s="349"/>
      <c r="J195" s="346"/>
      <c r="K195" s="350"/>
      <c r="L195" s="346"/>
      <c r="M195" s="351"/>
      <c r="N195" s="352"/>
      <c r="O195" s="351"/>
      <c r="P195" s="367"/>
      <c r="Q195" s="368"/>
    </row>
    <row r="196" spans="1:17">
      <c r="A196" s="345"/>
      <c r="B196" s="345"/>
      <c r="C196" s="346"/>
      <c r="D196" s="346"/>
      <c r="E196" s="347"/>
      <c r="F196" s="144"/>
      <c r="G196" s="348"/>
      <c r="H196" s="349"/>
      <c r="I196" s="349"/>
      <c r="J196" s="346"/>
      <c r="K196" s="350"/>
      <c r="L196" s="346"/>
      <c r="M196" s="351"/>
      <c r="N196" s="352"/>
      <c r="O196" s="351"/>
      <c r="P196" s="367"/>
      <c r="Q196" s="368"/>
    </row>
    <row r="197" spans="1:17">
      <c r="A197" s="345"/>
      <c r="B197" s="345"/>
      <c r="C197" s="346"/>
      <c r="D197" s="346"/>
      <c r="E197" s="347"/>
      <c r="F197" s="144"/>
      <c r="G197" s="348"/>
      <c r="H197" s="349"/>
      <c r="I197" s="349"/>
      <c r="J197" s="346"/>
      <c r="K197" s="350"/>
      <c r="L197" s="346"/>
      <c r="M197" s="351"/>
      <c r="N197" s="352"/>
      <c r="O197" s="351"/>
      <c r="P197" s="142"/>
      <c r="Q197" s="143"/>
    </row>
    <row r="198" spans="1:17">
      <c r="A198" s="345"/>
      <c r="B198" s="345"/>
      <c r="C198" s="346"/>
      <c r="D198" s="346"/>
      <c r="E198" s="347"/>
      <c r="F198" s="144"/>
      <c r="G198" s="348"/>
      <c r="H198" s="349"/>
      <c r="I198" s="349"/>
      <c r="J198" s="346"/>
      <c r="K198" s="350"/>
      <c r="L198" s="346"/>
      <c r="M198" s="351"/>
      <c r="N198" s="352"/>
      <c r="O198" s="351"/>
      <c r="P198" s="142"/>
      <c r="Q198" s="143"/>
    </row>
    <row r="199" spans="1:17">
      <c r="A199" s="345"/>
      <c r="B199" s="345"/>
      <c r="C199" s="346"/>
      <c r="D199" s="346"/>
      <c r="E199" s="347"/>
      <c r="F199" s="144"/>
      <c r="G199" s="348"/>
      <c r="H199" s="349"/>
      <c r="I199" s="349"/>
      <c r="J199" s="346"/>
      <c r="K199" s="350"/>
      <c r="L199" s="346"/>
      <c r="M199" s="351"/>
      <c r="N199" s="352"/>
      <c r="O199" s="351"/>
      <c r="P199" s="142"/>
      <c r="Q199" s="143"/>
    </row>
    <row r="200" spans="1:17">
      <c r="A200" s="345"/>
      <c r="B200" s="345"/>
      <c r="C200" s="346"/>
      <c r="D200" s="346"/>
      <c r="E200" s="347"/>
      <c r="F200" s="144"/>
      <c r="G200" s="348"/>
      <c r="H200" s="349"/>
      <c r="I200" s="349"/>
      <c r="J200" s="346"/>
      <c r="K200" s="350"/>
      <c r="L200" s="346"/>
      <c r="M200" s="351"/>
      <c r="N200" s="352"/>
      <c r="O200" s="351"/>
      <c r="P200" s="142"/>
      <c r="Q200" s="143"/>
    </row>
    <row r="201" spans="1:17">
      <c r="A201" s="345"/>
      <c r="B201" s="345"/>
      <c r="C201" s="346"/>
      <c r="D201" s="346"/>
      <c r="E201" s="347"/>
      <c r="F201" s="144"/>
      <c r="G201" s="348"/>
      <c r="H201" s="349"/>
      <c r="I201" s="349"/>
      <c r="J201" s="346"/>
      <c r="K201" s="350"/>
      <c r="L201" s="346"/>
      <c r="M201" s="351"/>
      <c r="N201" s="352"/>
      <c r="O201" s="351"/>
      <c r="P201" s="142"/>
      <c r="Q201" s="143"/>
    </row>
    <row r="202" spans="1:17">
      <c r="A202" s="345"/>
      <c r="B202" s="345"/>
      <c r="C202" s="346"/>
      <c r="D202" s="346"/>
      <c r="E202" s="347"/>
      <c r="F202" s="144"/>
      <c r="G202" s="348"/>
      <c r="H202" s="349"/>
      <c r="I202" s="349"/>
      <c r="J202" s="346"/>
      <c r="K202" s="350"/>
      <c r="L202" s="346"/>
      <c r="M202" s="351"/>
      <c r="N202" s="352"/>
      <c r="O202" s="351"/>
      <c r="P202" s="353"/>
      <c r="Q202" s="354"/>
    </row>
    <row r="203" spans="1:17">
      <c r="A203" s="345"/>
      <c r="B203" s="345"/>
      <c r="C203" s="346"/>
      <c r="D203" s="346"/>
      <c r="E203" s="347"/>
      <c r="F203" s="144"/>
      <c r="G203" s="348"/>
      <c r="H203" s="349"/>
      <c r="I203" s="349"/>
      <c r="J203" s="346"/>
      <c r="K203" s="350"/>
      <c r="L203" s="346"/>
      <c r="M203" s="351"/>
      <c r="N203" s="352"/>
      <c r="O203" s="351"/>
      <c r="P203" s="353"/>
      <c r="Q203" s="354"/>
    </row>
    <row r="204" spans="1:17">
      <c r="A204" s="345"/>
      <c r="B204" s="345"/>
      <c r="C204" s="346"/>
      <c r="D204" s="346"/>
      <c r="E204" s="347"/>
      <c r="F204" s="144"/>
      <c r="G204" s="348"/>
      <c r="H204" s="349"/>
      <c r="I204" s="349"/>
      <c r="J204" s="346"/>
      <c r="K204" s="350"/>
      <c r="L204" s="346"/>
      <c r="M204" s="351"/>
      <c r="N204" s="352"/>
      <c r="O204" s="351"/>
      <c r="P204" s="353"/>
      <c r="Q204" s="354"/>
    </row>
    <row r="205" spans="1:17">
      <c r="A205" s="345"/>
      <c r="B205" s="345"/>
      <c r="C205" s="346"/>
      <c r="D205" s="346"/>
      <c r="E205" s="347"/>
      <c r="F205" s="144"/>
      <c r="G205" s="348"/>
      <c r="H205" s="349"/>
      <c r="I205" s="349"/>
      <c r="J205" s="346"/>
      <c r="K205" s="350"/>
      <c r="L205" s="346"/>
      <c r="M205" s="351"/>
      <c r="N205" s="352"/>
      <c r="O205" s="351"/>
      <c r="P205" s="353"/>
      <c r="Q205" s="354"/>
    </row>
    <row r="206" spans="1:17">
      <c r="A206" s="345"/>
      <c r="B206" s="345"/>
      <c r="C206" s="346"/>
      <c r="D206" s="346"/>
      <c r="E206" s="347"/>
      <c r="F206" s="144"/>
      <c r="G206" s="348"/>
      <c r="H206" s="349"/>
      <c r="I206" s="349"/>
      <c r="J206" s="346"/>
      <c r="K206" s="350"/>
      <c r="L206" s="346"/>
      <c r="M206" s="351"/>
      <c r="N206" s="352"/>
      <c r="O206" s="351"/>
      <c r="P206" s="353"/>
      <c r="Q206" s="354"/>
    </row>
    <row r="207" spans="1:17">
      <c r="A207" s="345"/>
      <c r="B207" s="345"/>
      <c r="C207" s="346"/>
      <c r="D207" s="346"/>
      <c r="E207" s="347"/>
      <c r="F207" s="144"/>
      <c r="G207" s="348"/>
      <c r="H207" s="349"/>
      <c r="I207" s="349"/>
      <c r="J207" s="346"/>
      <c r="K207" s="350"/>
      <c r="L207" s="346"/>
      <c r="M207" s="351"/>
      <c r="N207" s="352"/>
      <c r="O207" s="351"/>
      <c r="P207" s="353"/>
      <c r="Q207" s="354"/>
    </row>
    <row r="208" spans="1:17">
      <c r="A208" s="345"/>
      <c r="B208" s="345"/>
      <c r="C208" s="346"/>
      <c r="D208" s="346"/>
      <c r="E208" s="347"/>
      <c r="F208" s="144"/>
      <c r="G208" s="348"/>
      <c r="H208" s="349"/>
      <c r="I208" s="349"/>
      <c r="J208" s="346"/>
      <c r="K208" s="350"/>
      <c r="L208" s="346"/>
      <c r="M208" s="351"/>
      <c r="N208" s="352"/>
      <c r="O208" s="351"/>
      <c r="P208" s="353"/>
      <c r="Q208" s="354"/>
    </row>
    <row r="209" spans="1:17">
      <c r="A209" s="345"/>
      <c r="B209" s="345"/>
      <c r="C209" s="346"/>
      <c r="D209" s="346"/>
      <c r="E209" s="347"/>
      <c r="F209" s="144"/>
      <c r="G209" s="348"/>
      <c r="H209" s="349"/>
      <c r="I209" s="349"/>
      <c r="J209" s="346"/>
      <c r="K209" s="350"/>
      <c r="L209" s="346"/>
      <c r="M209" s="351"/>
      <c r="N209" s="352"/>
      <c r="O209" s="351"/>
      <c r="P209" s="353"/>
      <c r="Q209" s="354"/>
    </row>
    <row r="210" spans="1:17">
      <c r="A210" s="345"/>
      <c r="B210" s="345"/>
      <c r="C210" s="346"/>
      <c r="D210" s="346"/>
      <c r="E210" s="347"/>
      <c r="F210" s="144"/>
      <c r="G210" s="348"/>
      <c r="H210" s="349"/>
      <c r="I210" s="349"/>
      <c r="J210" s="346"/>
      <c r="K210" s="350"/>
      <c r="L210" s="346"/>
      <c r="M210" s="351"/>
      <c r="N210" s="352"/>
      <c r="O210" s="351"/>
      <c r="P210" s="353"/>
      <c r="Q210" s="354"/>
    </row>
    <row r="211" spans="1:17">
      <c r="A211" s="345"/>
      <c r="B211" s="345"/>
      <c r="C211" s="346"/>
      <c r="D211" s="346"/>
      <c r="E211" s="347"/>
      <c r="F211" s="144"/>
      <c r="G211" s="348"/>
      <c r="H211" s="349"/>
      <c r="I211" s="349"/>
      <c r="J211" s="346"/>
      <c r="K211" s="350"/>
      <c r="L211" s="346"/>
      <c r="M211" s="351"/>
      <c r="N211" s="352"/>
      <c r="O211" s="351"/>
      <c r="P211" s="142"/>
      <c r="Q211" s="143"/>
    </row>
    <row r="212" spans="1:17">
      <c r="A212" s="345"/>
      <c r="B212" s="345"/>
      <c r="C212" s="346"/>
      <c r="D212" s="346"/>
      <c r="E212" s="347"/>
      <c r="F212" s="144"/>
      <c r="G212" s="348"/>
      <c r="H212" s="349"/>
      <c r="I212" s="349"/>
      <c r="J212" s="346"/>
      <c r="K212" s="350"/>
      <c r="L212" s="346"/>
      <c r="M212" s="351"/>
      <c r="N212" s="352"/>
      <c r="O212" s="351"/>
      <c r="P212" s="142"/>
      <c r="Q212" s="143"/>
    </row>
    <row r="213" spans="1:17">
      <c r="A213" s="345"/>
      <c r="B213" s="345"/>
      <c r="C213" s="346"/>
      <c r="D213" s="346"/>
      <c r="E213" s="347"/>
      <c r="F213" s="144"/>
      <c r="G213" s="348"/>
      <c r="H213" s="349"/>
      <c r="I213" s="349"/>
      <c r="J213" s="346"/>
      <c r="K213" s="350"/>
      <c r="L213" s="346"/>
      <c r="M213" s="351"/>
      <c r="N213" s="352"/>
      <c r="O213" s="351"/>
      <c r="P213" s="142"/>
      <c r="Q213" s="143"/>
    </row>
    <row r="214" spans="1:17">
      <c r="A214" s="345"/>
      <c r="B214" s="345"/>
      <c r="C214" s="346"/>
      <c r="D214" s="346"/>
      <c r="E214" s="347"/>
      <c r="F214" s="144"/>
      <c r="G214" s="348"/>
      <c r="H214" s="349"/>
      <c r="I214" s="349"/>
      <c r="J214" s="346"/>
      <c r="K214" s="350"/>
      <c r="L214" s="346"/>
      <c r="M214" s="351"/>
      <c r="N214" s="352"/>
      <c r="O214" s="351"/>
      <c r="P214" s="353"/>
      <c r="Q214" s="354"/>
    </row>
    <row r="215" spans="1:17">
      <c r="A215" s="345"/>
      <c r="B215" s="345"/>
      <c r="C215" s="346"/>
      <c r="D215" s="346"/>
      <c r="E215" s="347"/>
      <c r="F215" s="144"/>
      <c r="G215" s="348"/>
      <c r="H215" s="349"/>
      <c r="I215" s="349"/>
      <c r="J215" s="346"/>
      <c r="K215" s="350"/>
      <c r="L215" s="346"/>
      <c r="M215" s="351"/>
      <c r="N215" s="352"/>
      <c r="O215" s="351"/>
      <c r="P215" s="353"/>
      <c r="Q215" s="354"/>
    </row>
    <row r="216" spans="1:17">
      <c r="A216" s="345"/>
      <c r="B216" s="345"/>
      <c r="C216" s="346"/>
      <c r="D216" s="346"/>
      <c r="E216" s="347"/>
      <c r="F216" s="144"/>
      <c r="G216" s="348"/>
      <c r="H216" s="349"/>
      <c r="I216" s="349"/>
      <c r="J216" s="346"/>
      <c r="K216" s="350"/>
      <c r="L216" s="346"/>
      <c r="M216" s="351"/>
      <c r="N216" s="352"/>
      <c r="O216" s="351"/>
      <c r="P216" s="353"/>
      <c r="Q216" s="354"/>
    </row>
    <row r="217" spans="1:17">
      <c r="A217" s="345"/>
      <c r="B217" s="345"/>
      <c r="C217" s="346"/>
      <c r="D217" s="346"/>
      <c r="E217" s="347"/>
      <c r="F217" s="144"/>
      <c r="G217" s="348"/>
      <c r="H217" s="349"/>
      <c r="I217" s="349"/>
      <c r="J217" s="346"/>
      <c r="K217" s="350"/>
      <c r="L217" s="346"/>
      <c r="M217" s="351"/>
      <c r="N217" s="352"/>
      <c r="O217" s="351"/>
      <c r="P217" s="353"/>
      <c r="Q217" s="354"/>
    </row>
    <row r="218" spans="1:17">
      <c r="A218" s="345"/>
      <c r="B218" s="345"/>
      <c r="C218" s="346"/>
      <c r="D218" s="346"/>
      <c r="E218" s="347"/>
      <c r="F218" s="144"/>
      <c r="G218" s="348"/>
      <c r="H218" s="349"/>
      <c r="I218" s="349"/>
      <c r="J218" s="346"/>
      <c r="K218" s="350"/>
      <c r="L218" s="346"/>
      <c r="M218" s="351"/>
      <c r="N218" s="352"/>
      <c r="O218" s="351"/>
      <c r="P218" s="353"/>
      <c r="Q218" s="354"/>
    </row>
    <row r="219" spans="1:17">
      <c r="A219" s="345"/>
      <c r="B219" s="345"/>
      <c r="C219" s="346"/>
      <c r="D219" s="346"/>
      <c r="E219" s="347"/>
      <c r="F219" s="144"/>
      <c r="G219" s="348"/>
      <c r="H219" s="349"/>
      <c r="I219" s="349"/>
      <c r="J219" s="346"/>
      <c r="K219" s="350"/>
      <c r="L219" s="346"/>
      <c r="M219" s="351"/>
      <c r="N219" s="352"/>
      <c r="O219" s="351"/>
      <c r="P219" s="353"/>
      <c r="Q219" s="354"/>
    </row>
    <row r="220" spans="1:17">
      <c r="A220" s="345"/>
      <c r="B220" s="345"/>
      <c r="C220" s="346"/>
      <c r="D220" s="346"/>
      <c r="E220" s="347"/>
      <c r="F220" s="144"/>
      <c r="G220" s="348"/>
      <c r="H220" s="349"/>
      <c r="I220" s="349"/>
      <c r="J220" s="346"/>
      <c r="K220" s="350"/>
      <c r="L220" s="346"/>
      <c r="M220" s="351"/>
      <c r="N220" s="352"/>
      <c r="O220" s="351"/>
      <c r="P220" s="353"/>
      <c r="Q220" s="354"/>
    </row>
    <row r="221" spans="1:17">
      <c r="A221" s="345"/>
      <c r="B221" s="345"/>
      <c r="C221" s="346"/>
      <c r="D221" s="346"/>
      <c r="E221" s="347"/>
      <c r="F221" s="144"/>
      <c r="G221" s="348"/>
      <c r="H221" s="349"/>
      <c r="I221" s="349"/>
      <c r="J221" s="346"/>
      <c r="K221" s="350"/>
      <c r="L221" s="346"/>
      <c r="M221" s="351"/>
      <c r="N221" s="352"/>
      <c r="O221" s="351"/>
      <c r="P221" s="353"/>
      <c r="Q221" s="354"/>
    </row>
    <row r="222" spans="1:17">
      <c r="A222" s="345"/>
      <c r="B222" s="345"/>
      <c r="C222" s="346"/>
      <c r="D222" s="346"/>
      <c r="E222" s="347"/>
      <c r="F222" s="144"/>
      <c r="G222" s="348"/>
      <c r="H222" s="349"/>
      <c r="I222" s="349"/>
      <c r="J222" s="346"/>
      <c r="K222" s="350"/>
      <c r="L222" s="346"/>
      <c r="M222" s="351"/>
      <c r="N222" s="352"/>
      <c r="O222" s="351"/>
      <c r="P222" s="353"/>
      <c r="Q222" s="354"/>
    </row>
    <row r="223" spans="1:17">
      <c r="A223" s="345"/>
      <c r="B223" s="345"/>
      <c r="C223" s="346"/>
      <c r="D223" s="346"/>
      <c r="E223" s="347"/>
      <c r="F223" s="144"/>
      <c r="G223" s="348"/>
      <c r="H223" s="349"/>
      <c r="I223" s="349"/>
      <c r="J223" s="346"/>
      <c r="K223" s="350"/>
      <c r="L223" s="346"/>
      <c r="M223" s="351"/>
      <c r="N223" s="352"/>
      <c r="O223" s="351"/>
      <c r="P223" s="353"/>
      <c r="Q223" s="354"/>
    </row>
    <row r="224" spans="1:17">
      <c r="A224" s="345"/>
      <c r="B224" s="345"/>
      <c r="C224" s="346"/>
      <c r="D224" s="346"/>
      <c r="E224" s="347"/>
      <c r="F224" s="144"/>
      <c r="G224" s="348"/>
      <c r="H224" s="349"/>
      <c r="I224" s="349"/>
      <c r="J224" s="346"/>
      <c r="K224" s="350"/>
      <c r="L224" s="346"/>
      <c r="M224" s="351"/>
      <c r="N224" s="352"/>
      <c r="O224" s="351"/>
      <c r="P224" s="353"/>
      <c r="Q224" s="354"/>
    </row>
    <row r="225" spans="1:17">
      <c r="A225" s="345"/>
      <c r="B225" s="345"/>
      <c r="C225" s="346"/>
      <c r="D225" s="346"/>
      <c r="E225" s="347"/>
      <c r="F225" s="144"/>
      <c r="G225" s="348"/>
      <c r="H225" s="349"/>
      <c r="I225" s="349"/>
      <c r="J225" s="346"/>
      <c r="K225" s="350"/>
      <c r="L225" s="346"/>
      <c r="M225" s="351"/>
      <c r="N225" s="352"/>
      <c r="O225" s="351"/>
      <c r="P225" s="353"/>
      <c r="Q225" s="354"/>
    </row>
    <row r="226" spans="1:17">
      <c r="A226" s="345"/>
      <c r="B226" s="345"/>
      <c r="C226" s="346"/>
      <c r="D226" s="346"/>
      <c r="E226" s="347"/>
      <c r="F226" s="144"/>
      <c r="G226" s="348"/>
      <c r="H226" s="349"/>
      <c r="I226" s="349"/>
      <c r="J226" s="346"/>
      <c r="K226" s="350"/>
      <c r="L226" s="346"/>
      <c r="M226" s="351"/>
      <c r="N226" s="352"/>
      <c r="O226" s="351"/>
      <c r="P226" s="353"/>
      <c r="Q226" s="354"/>
    </row>
    <row r="227" spans="1:17">
      <c r="A227" s="345"/>
      <c r="B227" s="345"/>
      <c r="C227" s="346"/>
      <c r="D227" s="346"/>
      <c r="E227" s="347"/>
      <c r="F227" s="144"/>
      <c r="G227" s="348"/>
      <c r="H227" s="349"/>
      <c r="I227" s="349"/>
      <c r="J227" s="346"/>
      <c r="K227" s="350"/>
      <c r="L227" s="346"/>
      <c r="M227" s="351"/>
      <c r="N227" s="352"/>
      <c r="O227" s="351"/>
      <c r="P227" s="353"/>
      <c r="Q227" s="354"/>
    </row>
    <row r="228" spans="1:17">
      <c r="A228" s="345"/>
      <c r="B228" s="345"/>
      <c r="C228" s="346"/>
      <c r="D228" s="346"/>
      <c r="E228" s="347"/>
      <c r="F228" s="144"/>
      <c r="G228" s="348"/>
      <c r="H228" s="349"/>
      <c r="I228" s="349"/>
      <c r="J228" s="346"/>
      <c r="K228" s="350"/>
      <c r="L228" s="346"/>
      <c r="M228" s="351"/>
      <c r="N228" s="352"/>
      <c r="O228" s="351"/>
      <c r="P228" s="353"/>
      <c r="Q228" s="354"/>
    </row>
    <row r="229" spans="1:17">
      <c r="A229" s="345"/>
      <c r="B229" s="345"/>
      <c r="C229" s="346"/>
      <c r="D229" s="346"/>
      <c r="E229" s="347"/>
      <c r="F229" s="144"/>
      <c r="G229" s="348"/>
      <c r="H229" s="349"/>
      <c r="I229" s="349"/>
      <c r="J229" s="346"/>
      <c r="K229" s="350"/>
      <c r="L229" s="346"/>
      <c r="M229" s="351"/>
      <c r="N229" s="352"/>
      <c r="O229" s="351"/>
      <c r="P229" s="353"/>
      <c r="Q229" s="354"/>
    </row>
    <row r="230" spans="1:17">
      <c r="A230" s="345"/>
      <c r="B230" s="345"/>
      <c r="C230" s="346"/>
      <c r="D230" s="346"/>
      <c r="E230" s="347"/>
      <c r="F230" s="144"/>
      <c r="G230" s="348"/>
      <c r="H230" s="349"/>
      <c r="I230" s="349"/>
      <c r="J230" s="346"/>
      <c r="K230" s="350"/>
      <c r="L230" s="346"/>
      <c r="M230" s="351"/>
      <c r="N230" s="352"/>
      <c r="O230" s="351"/>
      <c r="P230" s="353"/>
      <c r="Q230" s="354"/>
    </row>
    <row r="231" spans="1:17">
      <c r="A231" s="345"/>
      <c r="B231" s="345"/>
      <c r="C231" s="346"/>
      <c r="D231" s="346"/>
      <c r="E231" s="347"/>
      <c r="F231" s="144"/>
      <c r="G231" s="348"/>
      <c r="H231" s="349"/>
      <c r="I231" s="349"/>
      <c r="J231" s="346"/>
      <c r="K231" s="350"/>
      <c r="L231" s="346"/>
      <c r="M231" s="351"/>
      <c r="N231" s="352"/>
      <c r="O231" s="351"/>
      <c r="P231" s="353"/>
      <c r="Q231" s="354"/>
    </row>
    <row r="232" spans="1:17">
      <c r="A232" s="345"/>
      <c r="B232" s="345"/>
      <c r="C232" s="346"/>
      <c r="D232" s="346"/>
      <c r="E232" s="347"/>
      <c r="F232" s="144"/>
      <c r="G232" s="348"/>
      <c r="H232" s="349"/>
      <c r="I232" s="349"/>
      <c r="J232" s="346"/>
      <c r="K232" s="350"/>
      <c r="L232" s="346"/>
      <c r="M232" s="351"/>
      <c r="N232" s="352"/>
      <c r="O232" s="351"/>
      <c r="P232" s="353"/>
      <c r="Q232" s="354"/>
    </row>
    <row r="233" spans="1:17">
      <c r="A233" s="148"/>
      <c r="B233" s="148"/>
      <c r="C233" s="122"/>
      <c r="D233" s="122"/>
      <c r="E233" s="144"/>
      <c r="F233" s="144"/>
      <c r="G233" s="122"/>
      <c r="H233" s="122"/>
      <c r="I233" s="122"/>
      <c r="J233" s="122"/>
      <c r="K233" s="145"/>
      <c r="L233" s="122"/>
      <c r="M233" s="146"/>
      <c r="N233" s="147"/>
      <c r="O233" s="146"/>
      <c r="P233" s="142"/>
      <c r="Q233" s="143"/>
    </row>
    <row r="234" spans="1:17">
      <c r="A234" s="148"/>
      <c r="B234" s="148"/>
      <c r="C234" s="122"/>
      <c r="D234" s="122"/>
      <c r="E234" s="144"/>
      <c r="F234" s="144"/>
      <c r="G234" s="122"/>
      <c r="H234" s="122"/>
      <c r="I234" s="122"/>
      <c r="J234" s="122"/>
      <c r="K234" s="145"/>
      <c r="L234" s="122"/>
      <c r="M234" s="146"/>
      <c r="N234" s="147"/>
      <c r="O234" s="146"/>
      <c r="P234" s="142"/>
      <c r="Q234" s="143"/>
    </row>
    <row r="235" spans="1:17">
      <c r="A235" s="148"/>
      <c r="B235" s="148"/>
      <c r="C235" s="122"/>
      <c r="D235" s="122"/>
      <c r="E235" s="144"/>
      <c r="F235" s="144"/>
      <c r="G235" s="122"/>
      <c r="H235" s="122"/>
      <c r="I235" s="122"/>
      <c r="J235" s="122"/>
      <c r="K235" s="145"/>
      <c r="L235" s="122"/>
      <c r="M235" s="146"/>
      <c r="N235" s="147"/>
      <c r="O235" s="146"/>
      <c r="P235" s="142"/>
      <c r="Q235" s="143"/>
    </row>
    <row r="236" spans="1:17">
      <c r="A236" s="148"/>
      <c r="B236" s="148"/>
      <c r="C236" s="122"/>
      <c r="D236" s="122"/>
      <c r="E236" s="144"/>
      <c r="F236" s="144"/>
      <c r="G236" s="122"/>
      <c r="H236" s="122"/>
      <c r="I236" s="122"/>
      <c r="J236" s="122"/>
      <c r="K236" s="145"/>
      <c r="L236" s="122"/>
      <c r="M236" s="146"/>
      <c r="N236" s="147"/>
      <c r="O236" s="146"/>
      <c r="P236" s="142"/>
      <c r="Q236" s="143"/>
    </row>
    <row r="237" spans="1:17">
      <c r="A237" s="148"/>
      <c r="B237" s="148"/>
      <c r="C237" s="122"/>
      <c r="D237" s="122"/>
      <c r="E237" s="144"/>
      <c r="F237" s="144"/>
      <c r="G237" s="122"/>
      <c r="H237" s="122"/>
      <c r="I237" s="122"/>
      <c r="J237" s="122"/>
      <c r="K237" s="145"/>
      <c r="L237" s="122"/>
      <c r="M237" s="146"/>
      <c r="N237" s="147"/>
      <c r="O237" s="146"/>
      <c r="P237" s="142"/>
      <c r="Q237" s="143"/>
    </row>
    <row r="238" spans="1:17">
      <c r="A238" s="148"/>
      <c r="B238" s="148"/>
      <c r="C238" s="122"/>
      <c r="D238" s="122"/>
      <c r="E238" s="144"/>
      <c r="F238" s="144"/>
      <c r="G238" s="122"/>
      <c r="H238" s="122"/>
      <c r="I238" s="122"/>
      <c r="J238" s="122"/>
      <c r="K238" s="145"/>
      <c r="L238" s="122"/>
      <c r="M238" s="146"/>
      <c r="N238" s="147"/>
      <c r="O238" s="146"/>
      <c r="P238" s="142"/>
      <c r="Q238" s="143"/>
    </row>
    <row r="239" spans="1:17">
      <c r="A239" s="148"/>
      <c r="B239" s="148"/>
      <c r="C239" s="122"/>
      <c r="D239" s="122"/>
      <c r="E239" s="144"/>
      <c r="F239" s="144"/>
      <c r="G239" s="122"/>
      <c r="H239" s="122"/>
      <c r="I239" s="122"/>
      <c r="J239" s="122"/>
      <c r="K239" s="145"/>
      <c r="L239" s="122"/>
      <c r="M239" s="146"/>
      <c r="N239" s="147"/>
      <c r="O239" s="146"/>
      <c r="P239" s="142"/>
      <c r="Q239" s="143"/>
    </row>
    <row r="240" spans="1:17">
      <c r="A240" s="148"/>
      <c r="B240" s="148"/>
      <c r="C240" s="122"/>
      <c r="D240" s="122"/>
      <c r="E240" s="144"/>
      <c r="F240" s="144"/>
      <c r="G240" s="122"/>
      <c r="H240" s="122"/>
      <c r="I240" s="122"/>
      <c r="J240" s="122"/>
      <c r="K240" s="145"/>
      <c r="L240" s="122"/>
      <c r="M240" s="146"/>
      <c r="N240" s="147"/>
      <c r="O240" s="146"/>
      <c r="P240" s="142"/>
      <c r="Q240" s="143"/>
    </row>
    <row r="241" spans="1:17">
      <c r="A241" s="148"/>
      <c r="B241" s="148"/>
      <c r="C241" s="122"/>
      <c r="D241" s="122"/>
      <c r="E241" s="144"/>
      <c r="F241" s="144"/>
      <c r="G241" s="122"/>
      <c r="H241" s="122"/>
      <c r="I241" s="122"/>
      <c r="J241" s="122"/>
      <c r="K241" s="145"/>
      <c r="L241" s="122"/>
      <c r="M241" s="146"/>
      <c r="N241" s="147"/>
      <c r="O241" s="146"/>
      <c r="P241" s="142"/>
      <c r="Q241" s="143"/>
    </row>
    <row r="242" spans="1:17">
      <c r="A242" s="148"/>
      <c r="B242" s="148"/>
      <c r="C242" s="122"/>
      <c r="D242" s="122"/>
      <c r="E242" s="144"/>
      <c r="F242" s="144"/>
      <c r="G242" s="122"/>
      <c r="H242" s="122"/>
      <c r="I242" s="122"/>
      <c r="J242" s="122"/>
      <c r="K242" s="145"/>
      <c r="L242" s="122"/>
      <c r="M242" s="146"/>
      <c r="N242" s="147"/>
      <c r="O242" s="146"/>
      <c r="P242" s="142"/>
      <c r="Q242" s="143"/>
    </row>
    <row r="243" spans="1:17">
      <c r="A243" s="148"/>
      <c r="B243" s="148"/>
      <c r="C243" s="122"/>
      <c r="D243" s="122"/>
      <c r="E243" s="144"/>
      <c r="F243" s="144"/>
      <c r="G243" s="122"/>
      <c r="H243" s="122"/>
      <c r="I243" s="122"/>
      <c r="J243" s="122"/>
      <c r="K243" s="145"/>
      <c r="L243" s="122"/>
      <c r="M243" s="146"/>
      <c r="N243" s="147"/>
      <c r="O243" s="146"/>
      <c r="P243" s="142"/>
      <c r="Q243" s="143"/>
    </row>
    <row r="244" spans="1:17">
      <c r="A244" s="148"/>
      <c r="B244" s="148"/>
      <c r="C244" s="122"/>
      <c r="D244" s="122"/>
      <c r="E244" s="144"/>
      <c r="F244" s="144"/>
      <c r="G244" s="122"/>
      <c r="H244" s="122"/>
      <c r="I244" s="122"/>
      <c r="J244" s="122"/>
      <c r="K244" s="145"/>
      <c r="L244" s="122"/>
      <c r="M244" s="146"/>
      <c r="N244" s="147"/>
      <c r="O244" s="146"/>
      <c r="P244" s="142"/>
      <c r="Q244" s="143"/>
    </row>
    <row r="245" spans="1:17">
      <c r="A245" s="148"/>
      <c r="B245" s="148"/>
      <c r="C245" s="122"/>
      <c r="D245" s="122"/>
      <c r="E245" s="144"/>
      <c r="F245" s="144"/>
      <c r="G245" s="122"/>
      <c r="H245" s="122"/>
      <c r="I245" s="122"/>
      <c r="J245" s="122"/>
      <c r="K245" s="145"/>
      <c r="L245" s="122"/>
      <c r="M245" s="146"/>
      <c r="N245" s="147"/>
      <c r="O245" s="146"/>
      <c r="P245" s="142"/>
      <c r="Q245" s="143"/>
    </row>
    <row r="246" spans="1:17">
      <c r="A246" s="148"/>
      <c r="B246" s="148"/>
      <c r="C246" s="122"/>
      <c r="D246" s="122"/>
      <c r="E246" s="144"/>
      <c r="F246" s="144"/>
      <c r="G246" s="122"/>
      <c r="H246" s="122"/>
      <c r="I246" s="122"/>
      <c r="J246" s="122"/>
      <c r="K246" s="145"/>
      <c r="L246" s="122"/>
      <c r="M246" s="146"/>
      <c r="N246" s="147"/>
      <c r="O246" s="146"/>
      <c r="P246" s="142"/>
      <c r="Q246" s="143"/>
    </row>
    <row r="247" spans="1:17">
      <c r="A247" s="148"/>
      <c r="B247" s="148"/>
      <c r="C247" s="122"/>
      <c r="D247" s="122"/>
      <c r="E247" s="144"/>
      <c r="F247" s="144"/>
      <c r="G247" s="122"/>
      <c r="H247" s="122"/>
      <c r="I247" s="122"/>
      <c r="J247" s="122"/>
      <c r="K247" s="145"/>
      <c r="L247" s="122"/>
      <c r="M247" s="146"/>
      <c r="N247" s="147"/>
      <c r="O247" s="146"/>
      <c r="P247" s="142"/>
      <c r="Q247" s="143"/>
    </row>
    <row r="248" spans="1:17">
      <c r="A248" s="148"/>
      <c r="B248" s="148"/>
      <c r="C248" s="122"/>
      <c r="D248" s="122"/>
      <c r="E248" s="144"/>
      <c r="F248" s="144"/>
      <c r="G248" s="122"/>
      <c r="H248" s="122"/>
      <c r="I248" s="122"/>
      <c r="J248" s="122"/>
      <c r="K248" s="145"/>
      <c r="L248" s="122"/>
      <c r="M248" s="146"/>
      <c r="N248" s="147"/>
      <c r="O248" s="146"/>
      <c r="P248" s="142"/>
      <c r="Q248" s="143"/>
    </row>
    <row r="249" spans="1:17">
      <c r="A249" s="256"/>
      <c r="B249" s="256"/>
      <c r="C249" s="257"/>
      <c r="D249" s="257"/>
      <c r="E249" s="258"/>
      <c r="F249" s="258"/>
      <c r="G249" s="258"/>
      <c r="H249" s="258"/>
      <c r="I249" s="257"/>
      <c r="J249" s="257"/>
      <c r="K249" s="259"/>
      <c r="L249" s="257"/>
      <c r="M249" s="146"/>
      <c r="N249" s="147"/>
      <c r="O249" s="146"/>
      <c r="P249" s="256"/>
      <c r="Q249" s="256"/>
    </row>
    <row r="250" spans="1:17">
      <c r="A250" s="302"/>
      <c r="B250" s="302"/>
      <c r="C250" s="303"/>
      <c r="D250" s="303"/>
      <c r="E250" s="304"/>
      <c r="F250" s="144"/>
      <c r="G250" s="305"/>
      <c r="H250" s="306"/>
      <c r="I250" s="306"/>
      <c r="J250" s="303"/>
      <c r="K250" s="307"/>
      <c r="L250" s="308"/>
      <c r="M250" s="309"/>
      <c r="N250" s="310"/>
      <c r="O250" s="309"/>
      <c r="P250" s="302"/>
      <c r="Q250" s="302"/>
    </row>
    <row r="251" spans="1:17" ht="21">
      <c r="B251" s="280" t="s">
        <v>8299</v>
      </c>
      <c r="C251" s="281"/>
      <c r="I251" s="4" t="s">
        <v>1</v>
      </c>
      <c r="K251" s="13">
        <f>SUBTOTAL(9,M3:M249)</f>
        <v>10</v>
      </c>
      <c r="M251" s="1"/>
    </row>
    <row r="252" spans="1:17">
      <c r="C252" s="9"/>
      <c r="J252" s="3"/>
      <c r="K252" s="2"/>
      <c r="M252" s="1"/>
    </row>
    <row r="253" spans="1:17">
      <c r="B253" s="123" t="s">
        <v>12</v>
      </c>
      <c r="C253" s="123" t="s">
        <v>8297</v>
      </c>
      <c r="D253" s="4" t="str">
        <f>"PO "&amp;B253&amp;" LINE "&amp;C253&amp;" "</f>
        <v xml:space="preserve">PO PO LINE LINE </v>
      </c>
      <c r="I253" t="s">
        <v>8</v>
      </c>
      <c r="J253" s="22">
        <v>6.4999999999999997E-3</v>
      </c>
      <c r="K253" s="14">
        <f>ROUND(J253*K251,2)</f>
        <v>7.0000000000000007E-2</v>
      </c>
      <c r="M253" s="1" t="s">
        <v>10</v>
      </c>
      <c r="N253" s="116">
        <v>1.4999999999999999E-2</v>
      </c>
      <c r="O253" s="14">
        <f>ROUND(N253*K251,2)</f>
        <v>0.15</v>
      </c>
    </row>
    <row r="254" spans="1:17">
      <c r="B254" s="149"/>
      <c r="C254" s="149"/>
      <c r="D254" s="277"/>
      <c r="I254" t="s">
        <v>9</v>
      </c>
      <c r="J254" s="17">
        <v>0.03</v>
      </c>
      <c r="K254" s="14">
        <f>ROUND(J254*K251,2)</f>
        <v>0.3</v>
      </c>
      <c r="M254" s="1" t="s">
        <v>11</v>
      </c>
      <c r="N254" s="17">
        <v>0.01</v>
      </c>
      <c r="O254" s="14">
        <f>ROUND(N254*K251,2)</f>
        <v>0.1</v>
      </c>
    </row>
    <row r="255" spans="1:17">
      <c r="B255" s="149"/>
      <c r="C255" s="149"/>
      <c r="D255" s="277"/>
      <c r="M255" s="1"/>
    </row>
    <row r="256" spans="1:17">
      <c r="B256" s="149" t="s">
        <v>8449</v>
      </c>
      <c r="C256" s="149" t="s">
        <v>8357</v>
      </c>
      <c r="D256" s="277" t="str">
        <f t="shared" ref="D256:D258" si="0">"PO "&amp;B256&amp;" LINE "&amp;C256&amp;" "</f>
        <v xml:space="preserve">PO 6211HG3360338-553 LINE 2 </v>
      </c>
      <c r="I256" s="4" t="s">
        <v>6</v>
      </c>
      <c r="K256" s="2">
        <f>K251-K253-K254-O253-O254</f>
        <v>9.379999999999999</v>
      </c>
      <c r="M256" s="1"/>
    </row>
    <row r="257" spans="2:17">
      <c r="B257" s="278" t="s">
        <v>8452</v>
      </c>
      <c r="C257" s="278" t="s">
        <v>8357</v>
      </c>
      <c r="D257" s="277" t="str">
        <f t="shared" si="0"/>
        <v xml:space="preserve">PO 6211HG3360338-418 LINE 2 </v>
      </c>
      <c r="M257" s="1"/>
      <c r="Q257" s="11"/>
    </row>
    <row r="258" spans="2:17">
      <c r="B258" s="149" t="s">
        <v>8453</v>
      </c>
      <c r="C258" s="149" t="s">
        <v>8296</v>
      </c>
      <c r="D258" s="277" t="str">
        <f t="shared" si="0"/>
        <v xml:space="preserve">PO 6211HG3360338-435 LINE 1 </v>
      </c>
      <c r="I258" s="193" t="s">
        <v>8298</v>
      </c>
      <c r="J258" s="11"/>
      <c r="K258" s="11"/>
      <c r="L258" s="11"/>
      <c r="M258" s="13"/>
      <c r="N258" s="11"/>
      <c r="O258" s="11"/>
      <c r="P258" s="11"/>
      <c r="Q258" s="11"/>
    </row>
    <row r="259" spans="2:17">
      <c r="B259" s="149"/>
      <c r="C259" s="149"/>
      <c r="D259" s="277"/>
      <c r="I259" s="11" t="str">
        <f>CONCATENATE("PO: ",D256,"/",E256,", ",D257,"/",E257,", ",D258,"/",E258,", ",D259,"/",E259,", ",D260,"/",E260,", ",D261,"/",E261,", ",D262,"/",E262,", ",D263,"/",E263,", ",D264,"/",E264,", ",D265,"/",E265,", ",D266,"/",E266,", ",D267,"/",E267,", ",D268,"/",E268,", ",D269,"/",E269,", ",D270,"/",E270,", ",D271,"/",E271,", ",D272,"/",E272,", ",D273,"/",E273,", ",D274,"/",E274,", ",D275,"/",E275,", ",D276,"/",E276,", ",D277,"/",E277,", ",D278,"/",E278,", ",D279,"/",E279,", ",D280,"/",E280,", ",D281,"/",E281,", ",D282,"/",E282,", ",D283,"/",E283,", ",D284,"/",E284,", ",D285,"/",E285,", ",D286,"/",E286,", ",D287,"/",E287,", ",D288,"/",E288,", ",D289,"/",E289,", ",D290,"/",E290,", ",D291,"/",E291,", ",D292,"/",E292,", ",D293,"/",E293,", ",D294,"/",E294,", ",D295,"/",E295,", ",D296,"/",E296,", ",D297,"/",E297,", ",D298,"/",E298,", ",D299,"/",E299,", ",D300,"/",E300,", ",D301,"/",E301,", ",D302,"/",E302,", ",D303,"/",E303,", ",D304,"/",E304,", ",D305,"/",E305,", ",D306,"/",E306,", ",D307,"/",E307,", ",D308,"/",E308,", ",D309,"/",E309,", ",D310,"/",E310,", ",D311,"/",E311,", ",D312,"/",E312,", ",D313,"/",E313,", ",D314,"/",E314,", ",D315,"/",E315)</f>
        <v>PO: PO 6211HG3360338-553 LINE 2 /, PO 6211HG3360338-418 LINE 2 /, PO 6211HG3360338-435 LINE 1 /, /, /, /, /, /, /, /, /, /, /, /, /, /, /, /, /, /, /, /, /, /, /, /, /, /, /, /, /, /, /, /, /, /, /, /, /, /, /, /, /, /, /, /, /, /, /, /, /, /, /, /, /, /, /, /, /, /</v>
      </c>
      <c r="J259" s="11"/>
      <c r="K259" s="11"/>
      <c r="L259" s="11"/>
      <c r="M259" s="13"/>
      <c r="N259" s="11"/>
      <c r="O259" s="11"/>
      <c r="P259" s="11"/>
    </row>
    <row r="260" spans="2:17">
      <c r="B260" s="149"/>
      <c r="C260" s="149"/>
      <c r="D260" s="277"/>
      <c r="I260" s="11"/>
      <c r="J260" s="11"/>
      <c r="K260" s="11"/>
      <c r="L260" s="11"/>
      <c r="M260" s="13"/>
      <c r="N260" s="11"/>
      <c r="O260" s="11"/>
      <c r="P260" s="11"/>
    </row>
    <row r="261" spans="2:17">
      <c r="B261" s="149"/>
      <c r="C261" s="149"/>
      <c r="D261" s="277"/>
      <c r="I261" s="12" t="str">
        <f>CONCATENATE("Retenções:  ",I253,"  ","R$ ",K253,"   ",I254,"  ","R$ ",K254,"   ",M253,"  ","R$ ",O253,"   ",M254," ","R$ ",O254)</f>
        <v>Retenções:  PIS 0,65%  R$ 0,07   COFINS 3%  R$ 0,3   IRRF 1,5%  R$ 0,15   CSLL 1% R$ 0,1</v>
      </c>
      <c r="J261" s="11"/>
      <c r="K261" s="11"/>
      <c r="L261" s="11"/>
      <c r="M261" s="13"/>
      <c r="N261" s="11"/>
      <c r="O261" s="11"/>
      <c r="P261" s="11"/>
    </row>
    <row r="262" spans="2:17">
      <c r="B262" s="149"/>
      <c r="C262" s="149"/>
      <c r="D262" s="277"/>
      <c r="L262" s="1"/>
    </row>
    <row r="263" spans="2:17">
      <c r="B263" s="149"/>
      <c r="C263" s="149"/>
      <c r="D263" s="277"/>
      <c r="G263" t="s">
        <v>8303</v>
      </c>
      <c r="L263" s="1"/>
    </row>
    <row r="264" spans="2:17">
      <c r="B264" s="149"/>
      <c r="C264" s="149"/>
      <c r="D264" s="277"/>
      <c r="L264" s="1"/>
    </row>
    <row r="265" spans="2:17">
      <c r="B265" s="149"/>
      <c r="C265" s="149"/>
      <c r="D265" s="277"/>
      <c r="L265" s="1"/>
    </row>
    <row r="266" spans="2:17">
      <c r="B266" s="149"/>
      <c r="C266" s="149"/>
      <c r="D266" s="277"/>
      <c r="J266" s="2"/>
      <c r="L266" s="1"/>
    </row>
    <row r="267" spans="2:17">
      <c r="B267" s="149"/>
      <c r="C267" s="149"/>
      <c r="D267" s="277"/>
      <c r="L267" s="1"/>
    </row>
    <row r="268" spans="2:17" ht="15" customHeight="1">
      <c r="B268" s="278"/>
      <c r="C268" s="278"/>
      <c r="D268" s="277"/>
      <c r="L268" s="1"/>
    </row>
    <row r="269" spans="2:17" ht="15" customHeight="1">
      <c r="B269" s="149"/>
      <c r="C269" s="149"/>
      <c r="D269" s="277"/>
      <c r="L269" s="1"/>
      <c r="O269" s="15"/>
    </row>
    <row r="270" spans="2:17">
      <c r="B270" s="149"/>
      <c r="C270" s="149"/>
      <c r="D270" s="277"/>
      <c r="L270" s="1"/>
      <c r="O270" s="15"/>
    </row>
    <row r="271" spans="2:17">
      <c r="B271" s="278"/>
      <c r="C271" s="278"/>
      <c r="D271" s="277"/>
      <c r="L271" s="1"/>
      <c r="O271" s="15"/>
    </row>
    <row r="272" spans="2:17">
      <c r="B272" s="278"/>
      <c r="C272" s="278"/>
      <c r="D272" s="277"/>
      <c r="L272" s="1"/>
      <c r="O272" s="15"/>
    </row>
    <row r="273" spans="2:20">
      <c r="B273" s="278"/>
      <c r="C273" s="278"/>
      <c r="D273" s="277"/>
      <c r="L273" s="1"/>
      <c r="O273" s="15"/>
    </row>
    <row r="274" spans="2:20">
      <c r="B274" s="149"/>
      <c r="C274" s="149"/>
      <c r="D274" s="277"/>
      <c r="I274" s="15"/>
      <c r="J274" s="15"/>
      <c r="K274" s="15"/>
      <c r="L274" s="56"/>
      <c r="M274" s="15"/>
      <c r="N274" s="15"/>
      <c r="O274" s="15"/>
    </row>
    <row r="275" spans="2:20">
      <c r="B275" s="149"/>
      <c r="C275" s="149"/>
      <c r="D275" s="277"/>
      <c r="L275" s="1"/>
      <c r="M275" s="15"/>
      <c r="N275" s="15"/>
      <c r="O275" s="15"/>
      <c r="P275" s="15"/>
      <c r="Q275" s="15"/>
      <c r="R275" s="15"/>
      <c r="S275" s="15"/>
      <c r="T275" s="15"/>
    </row>
    <row r="276" spans="2:20">
      <c r="B276" s="149"/>
      <c r="C276" s="149"/>
      <c r="D276" s="277"/>
      <c r="L276" s="1"/>
      <c r="M276" s="15"/>
      <c r="N276" s="15"/>
      <c r="O276" s="15"/>
      <c r="P276" s="15"/>
      <c r="Q276" s="15"/>
      <c r="R276" s="15"/>
      <c r="S276" s="15"/>
      <c r="T276" s="15"/>
    </row>
    <row r="277" spans="2:20">
      <c r="B277" s="279"/>
      <c r="C277" s="279"/>
      <c r="D277" s="277"/>
      <c r="L277" s="1"/>
      <c r="M277" s="15"/>
      <c r="N277" s="15"/>
      <c r="O277" s="15"/>
      <c r="P277" s="15"/>
      <c r="Q277" s="15"/>
      <c r="R277" s="15"/>
      <c r="S277" s="15"/>
      <c r="T277" s="15"/>
    </row>
    <row r="278" spans="2:20">
      <c r="B278" s="279"/>
      <c r="C278" s="279"/>
      <c r="D278" s="277"/>
      <c r="L278" s="1"/>
    </row>
    <row r="279" spans="2:20">
      <c r="B279" s="279"/>
      <c r="C279" s="279"/>
      <c r="D279" s="277"/>
      <c r="L279" s="1"/>
    </row>
    <row r="280" spans="2:20">
      <c r="B280" s="279"/>
      <c r="C280" s="279"/>
      <c r="D280" s="277"/>
      <c r="L280" s="1"/>
    </row>
    <row r="281" spans="2:20">
      <c r="B281" s="279"/>
      <c r="C281" s="279"/>
      <c r="D281" s="277"/>
      <c r="L281" s="1"/>
    </row>
    <row r="282" spans="2:20">
      <c r="B282" s="279"/>
      <c r="C282" s="279"/>
      <c r="D282" s="277"/>
      <c r="L282" s="1"/>
    </row>
    <row r="283" spans="2:20">
      <c r="B283" s="279"/>
      <c r="C283" s="279"/>
      <c r="D283" s="277"/>
      <c r="L283" s="1"/>
    </row>
    <row r="284" spans="2:20">
      <c r="B284" s="279"/>
      <c r="C284" s="279"/>
      <c r="D284" s="277"/>
      <c r="L284" s="1"/>
    </row>
    <row r="285" spans="2:20">
      <c r="B285" s="279"/>
      <c r="C285" s="279"/>
      <c r="D285" s="277"/>
      <c r="L285" s="1"/>
    </row>
    <row r="286" spans="2:20">
      <c r="B286" s="279"/>
      <c r="C286" s="279"/>
      <c r="D286" s="277"/>
      <c r="L286" s="1"/>
    </row>
    <row r="287" spans="2:20">
      <c r="B287" s="279"/>
      <c r="C287" s="279"/>
      <c r="D287" s="277"/>
      <c r="L287" s="1"/>
    </row>
    <row r="288" spans="2:20">
      <c r="B288" s="279"/>
      <c r="C288" s="279"/>
      <c r="L288" s="1"/>
    </row>
    <row r="289" spans="2:12">
      <c r="B289" s="279"/>
      <c r="C289" s="279"/>
      <c r="L289" s="1"/>
    </row>
    <row r="290" spans="2:12">
      <c r="B290" s="279"/>
      <c r="C290" s="279"/>
      <c r="L290" s="1"/>
    </row>
    <row r="291" spans="2:12">
      <c r="B291" s="279"/>
      <c r="C291" s="279"/>
      <c r="L291" s="1"/>
    </row>
    <row r="292" spans="2:12">
      <c r="B292" s="279"/>
      <c r="C292" s="279"/>
      <c r="L292" s="1"/>
    </row>
    <row r="293" spans="2:12">
      <c r="B293" s="279"/>
      <c r="C293" s="279"/>
      <c r="L293" s="1"/>
    </row>
    <row r="294" spans="2:12">
      <c r="B294" s="279"/>
      <c r="C294" s="279"/>
      <c r="L294" s="1"/>
    </row>
    <row r="295" spans="2:12">
      <c r="B295" s="279"/>
      <c r="C295" s="279"/>
      <c r="L295" s="1"/>
    </row>
    <row r="296" spans="2:12">
      <c r="B296" s="279"/>
      <c r="C296" s="279"/>
      <c r="L296" s="1"/>
    </row>
    <row r="297" spans="2:12">
      <c r="B297" s="279"/>
      <c r="C297" s="279"/>
      <c r="L297" s="1"/>
    </row>
    <row r="298" spans="2:12">
      <c r="B298" s="279"/>
      <c r="C298" s="279"/>
      <c r="L298" s="1"/>
    </row>
    <row r="299" spans="2:12">
      <c r="B299" s="279"/>
      <c r="C299" s="279"/>
      <c r="L299" s="1"/>
    </row>
    <row r="300" spans="2:12">
      <c r="B300" s="279"/>
      <c r="C300" s="279"/>
      <c r="L300" s="1"/>
    </row>
    <row r="301" spans="2:12">
      <c r="B301" s="279"/>
      <c r="C301" s="279"/>
      <c r="L301" s="1"/>
    </row>
    <row r="302" spans="2:12">
      <c r="B302" s="279"/>
      <c r="C302" s="279"/>
      <c r="L302" s="1"/>
    </row>
    <row r="303" spans="2:12">
      <c r="L303" s="1"/>
    </row>
    <row r="304" spans="2:12">
      <c r="L304" s="1"/>
    </row>
    <row r="305" spans="12:12">
      <c r="L305" s="1"/>
    </row>
    <row r="306" spans="12:12">
      <c r="L306" s="1"/>
    </row>
    <row r="307" spans="12:12">
      <c r="L307" s="1"/>
    </row>
    <row r="308" spans="12:12">
      <c r="L308" s="1"/>
    </row>
    <row r="309" spans="12:12">
      <c r="L309" s="1"/>
    </row>
    <row r="310" spans="12:12">
      <c r="L310" s="1"/>
    </row>
    <row r="311" spans="12:12">
      <c r="L311" s="1"/>
    </row>
    <row r="312" spans="12:12">
      <c r="L312" s="1"/>
    </row>
    <row r="313" spans="12:12">
      <c r="L313" s="1"/>
    </row>
    <row r="314" spans="12:12">
      <c r="L314" s="1"/>
    </row>
    <row r="315" spans="12:12">
      <c r="L315" s="1"/>
    </row>
    <row r="316" spans="12:12">
      <c r="L316" s="1"/>
    </row>
    <row r="317" spans="12:12">
      <c r="L317" s="1"/>
    </row>
    <row r="318" spans="12:12">
      <c r="L318" s="1"/>
    </row>
    <row r="319" spans="12:12">
      <c r="L319" s="1"/>
    </row>
  </sheetData>
  <mergeCells count="1">
    <mergeCell ref="C1:E1"/>
  </mergeCells>
  <phoneticPr fontId="10" type="noConversion"/>
  <conditionalFormatting sqref="G2">
    <cfRule type="cellIs" dxfId="526" priority="7" operator="equal">
      <formula>"PENDENTE"</formula>
    </cfRule>
  </conditionalFormatting>
  <conditionalFormatting sqref="G3:H142 B254:C276">
    <cfRule type="cellIs" dxfId="525" priority="3" operator="equal">
      <formula>"PENDENTE"</formula>
    </cfRule>
  </conditionalFormatting>
  <conditionalFormatting sqref="H2">
    <cfRule type="cellIs" dxfId="524" priority="6" operator="equal">
      <formula>"PENDENTE"</formula>
    </cfRule>
  </conditionalFormatting>
  <pageMargins left="0.511811024" right="0.511811024" top="0.78740157499999996" bottom="0.78740157499999996" header="0.31496062000000002" footer="0.31496062000000002"/>
  <pageSetup paperSize="9" orientation="portrait" horizontalDpi="360" verticalDpi="36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BA1A9-78D9-4641-8EEF-920FE332DB94}">
  <sheetPr>
    <tabColor rgb="FF0070C0"/>
  </sheetPr>
  <dimension ref="A1:V206"/>
  <sheetViews>
    <sheetView topLeftCell="I1" zoomScale="90" zoomScaleNormal="90" workbookViewId="0">
      <selection activeCell="Q3" sqref="A3:Q3"/>
    </sheetView>
  </sheetViews>
  <sheetFormatPr defaultRowHeight="14.4"/>
  <cols>
    <col min="1" max="1" width="11.44140625" customWidth="1"/>
    <col min="2" max="2" width="17.44140625" customWidth="1"/>
    <col min="3" max="3" width="24.5546875" customWidth="1"/>
    <col min="4" max="4" width="18.44140625" customWidth="1"/>
    <col min="5" max="6" width="15" customWidth="1"/>
    <col min="7" max="7" width="17" customWidth="1"/>
    <col min="8" max="8" width="16.6640625" customWidth="1"/>
    <col min="9" max="9" width="16.109375" bestFit="1" customWidth="1"/>
    <col min="10" max="10" width="11.88671875" customWidth="1"/>
    <col min="11" max="11" width="11.6640625" customWidth="1"/>
    <col min="12" max="12" width="14.109375" customWidth="1"/>
    <col min="13" max="13" width="9" bestFit="1" customWidth="1"/>
    <col min="14" max="14" width="13.88671875" customWidth="1"/>
    <col min="15" max="15" width="11.88671875" customWidth="1"/>
    <col min="16" max="16" width="12.109375" customWidth="1"/>
    <col min="17" max="17" width="10.44140625" bestFit="1" customWidth="1"/>
    <col min="18" max="18" width="14.33203125" customWidth="1"/>
    <col min="19" max="19" width="9.88671875" bestFit="1" customWidth="1"/>
    <col min="20" max="20" width="12.44140625" customWidth="1"/>
  </cols>
  <sheetData>
    <row r="1" spans="1:22" ht="23.4">
      <c r="B1" s="25"/>
      <c r="C1" s="372" t="s">
        <v>13</v>
      </c>
      <c r="D1" s="372"/>
      <c r="E1" s="372"/>
      <c r="F1" s="297"/>
      <c r="N1" s="106">
        <f>SUBTOTAL(9,SiteVisitP110[Valor da Parcela])</f>
        <v>0</v>
      </c>
    </row>
    <row r="2" spans="1:22" ht="24">
      <c r="A2" s="174" t="s">
        <v>133</v>
      </c>
      <c r="B2" s="174" t="s">
        <v>39</v>
      </c>
      <c r="C2" s="175" t="s">
        <v>33</v>
      </c>
      <c r="D2" s="175" t="s">
        <v>0</v>
      </c>
      <c r="E2" s="175" t="s">
        <v>34</v>
      </c>
      <c r="F2" s="175" t="s">
        <v>2452</v>
      </c>
      <c r="G2" s="175" t="s">
        <v>12</v>
      </c>
      <c r="H2" s="175" t="s">
        <v>8297</v>
      </c>
      <c r="I2" s="175" t="s">
        <v>2456</v>
      </c>
      <c r="J2" s="175" t="s">
        <v>35</v>
      </c>
      <c r="K2" s="176" t="s">
        <v>36</v>
      </c>
      <c r="L2" s="175" t="s">
        <v>37</v>
      </c>
      <c r="M2" s="177" t="s">
        <v>38</v>
      </c>
      <c r="N2" s="178" t="s">
        <v>46</v>
      </c>
      <c r="O2" s="179" t="s">
        <v>47</v>
      </c>
      <c r="P2" s="180" t="s">
        <v>7</v>
      </c>
      <c r="Q2" s="180" t="s">
        <v>24</v>
      </c>
      <c r="U2" s="114" t="s">
        <v>0</v>
      </c>
      <c r="V2" s="114" t="s">
        <v>133</v>
      </c>
    </row>
    <row r="3" spans="1:22">
      <c r="A3" s="122"/>
      <c r="B3" s="36"/>
      <c r="C3" s="301"/>
      <c r="D3" s="36"/>
      <c r="E3" s="122"/>
      <c r="F3" s="122"/>
      <c r="G3" s="36"/>
      <c r="H3" s="36"/>
      <c r="I3" s="36"/>
      <c r="J3" s="113"/>
      <c r="K3" s="293"/>
      <c r="L3" s="36"/>
      <c r="M3" s="60"/>
      <c r="N3" s="37"/>
      <c r="O3" s="60"/>
      <c r="P3" s="142"/>
      <c r="Q3" s="143"/>
      <c r="U3" s="36"/>
      <c r="V3" s="36"/>
    </row>
    <row r="4" spans="1:22">
      <c r="A4" s="148"/>
      <c r="B4" s="148"/>
      <c r="C4" s="300"/>
      <c r="D4" s="122"/>
      <c r="E4" s="122"/>
      <c r="F4" s="122"/>
      <c r="G4" s="160"/>
      <c r="H4" s="160"/>
      <c r="I4" s="122"/>
      <c r="J4" s="122"/>
      <c r="K4" s="290"/>
      <c r="L4" s="122"/>
      <c r="M4" s="146"/>
      <c r="N4" s="147"/>
      <c r="O4" s="146"/>
      <c r="P4" s="142"/>
      <c r="Q4" s="143"/>
      <c r="U4" s="36"/>
      <c r="V4" s="36"/>
    </row>
    <row r="5" spans="1:22">
      <c r="A5" s="148"/>
      <c r="B5" s="148"/>
      <c r="C5" s="122"/>
      <c r="D5" s="122"/>
      <c r="E5" s="144"/>
      <c r="F5" s="144"/>
      <c r="G5" s="122"/>
      <c r="H5" s="122"/>
      <c r="I5" s="122"/>
      <c r="J5" s="122"/>
      <c r="K5" s="289"/>
      <c r="L5" s="122"/>
      <c r="M5" s="146"/>
      <c r="N5" s="147"/>
      <c r="O5" s="146"/>
      <c r="P5" s="142"/>
      <c r="Q5" s="143"/>
      <c r="U5" s="36"/>
      <c r="V5" s="36"/>
    </row>
    <row r="6" spans="1:22">
      <c r="A6" s="148"/>
      <c r="B6" s="148"/>
      <c r="C6" s="122"/>
      <c r="D6" s="122"/>
      <c r="E6" s="122"/>
      <c r="F6" s="122"/>
      <c r="G6" s="122"/>
      <c r="H6" s="122"/>
      <c r="I6" s="122"/>
      <c r="J6" s="122"/>
      <c r="K6" s="290"/>
      <c r="L6" s="122"/>
      <c r="M6" s="146"/>
      <c r="N6" s="147"/>
      <c r="O6" s="146"/>
      <c r="P6" s="142"/>
      <c r="Q6" s="143"/>
      <c r="U6" s="36"/>
      <c r="V6" s="36"/>
    </row>
    <row r="7" spans="1:22">
      <c r="A7" s="148"/>
      <c r="B7" s="148"/>
      <c r="C7" s="122"/>
      <c r="D7" s="122"/>
      <c r="E7" s="122"/>
      <c r="F7" s="122"/>
      <c r="G7" s="160"/>
      <c r="H7" s="160"/>
      <c r="I7" s="122"/>
      <c r="J7" s="122"/>
      <c r="K7" s="290"/>
      <c r="L7" s="122"/>
      <c r="M7" s="146"/>
      <c r="N7" s="147"/>
      <c r="O7" s="146"/>
      <c r="P7" s="142"/>
      <c r="Q7" s="143"/>
      <c r="U7" s="36"/>
      <c r="V7" s="36"/>
    </row>
    <row r="8" spans="1:22">
      <c r="A8" s="148"/>
      <c r="B8" s="148"/>
      <c r="C8" s="122"/>
      <c r="D8" s="122"/>
      <c r="E8" s="122"/>
      <c r="F8" s="144"/>
      <c r="G8" s="122"/>
      <c r="H8" s="122"/>
      <c r="I8" s="122"/>
      <c r="J8" s="122"/>
      <c r="K8" s="289"/>
      <c r="L8" s="122"/>
      <c r="M8" s="146"/>
      <c r="N8" s="147"/>
      <c r="O8" s="146"/>
      <c r="P8" s="142"/>
      <c r="Q8" s="143"/>
      <c r="U8" s="36"/>
      <c r="V8" s="36"/>
    </row>
    <row r="9" spans="1:22">
      <c r="A9" s="148"/>
      <c r="B9" s="148"/>
      <c r="C9" s="122"/>
      <c r="D9" s="122"/>
      <c r="E9" s="122"/>
      <c r="F9" s="122"/>
      <c r="G9" s="160"/>
      <c r="H9" s="160"/>
      <c r="I9" s="122"/>
      <c r="J9" s="122"/>
      <c r="K9" s="291"/>
      <c r="L9" s="122"/>
      <c r="M9" s="146"/>
      <c r="N9" s="147"/>
      <c r="O9" s="146"/>
      <c r="P9" s="142"/>
      <c r="Q9" s="143"/>
      <c r="U9" s="36"/>
      <c r="V9" s="36"/>
    </row>
    <row r="10" spans="1:22">
      <c r="A10" s="148"/>
      <c r="B10" s="148"/>
      <c r="C10" s="122"/>
      <c r="D10" s="122"/>
      <c r="E10" s="122"/>
      <c r="F10" s="144"/>
      <c r="G10" s="122"/>
      <c r="H10" s="122"/>
      <c r="I10" s="122"/>
      <c r="J10" s="122"/>
      <c r="K10" s="289"/>
      <c r="L10" s="122"/>
      <c r="M10" s="146"/>
      <c r="N10" s="147"/>
      <c r="O10" s="146"/>
      <c r="P10" s="142"/>
      <c r="Q10" s="143"/>
      <c r="U10" s="36"/>
      <c r="V10" s="36"/>
    </row>
    <row r="11" spans="1:22">
      <c r="A11" s="148"/>
      <c r="B11" s="148"/>
      <c r="C11" s="122"/>
      <c r="D11" s="122"/>
      <c r="E11" s="122"/>
      <c r="F11" s="144"/>
      <c r="G11" s="122"/>
      <c r="H11" s="122"/>
      <c r="I11" s="122"/>
      <c r="J11" s="122"/>
      <c r="K11" s="289"/>
      <c r="L11" s="122"/>
      <c r="M11" s="146"/>
      <c r="N11" s="147"/>
      <c r="O11" s="146"/>
      <c r="P11" s="142"/>
      <c r="Q11" s="143"/>
      <c r="U11" s="36"/>
      <c r="V11" s="36"/>
    </row>
    <row r="12" spans="1:22">
      <c r="A12" s="148"/>
      <c r="B12" s="148"/>
      <c r="C12" s="122"/>
      <c r="D12" s="122"/>
      <c r="E12" s="144"/>
      <c r="F12" s="144"/>
      <c r="G12" s="122"/>
      <c r="H12" s="122"/>
      <c r="I12" s="122"/>
      <c r="J12" s="122"/>
      <c r="K12" s="289"/>
      <c r="L12" s="122"/>
      <c r="M12" s="146"/>
      <c r="N12" s="147"/>
      <c r="O12" s="146"/>
      <c r="P12" s="142"/>
      <c r="Q12" s="143"/>
      <c r="U12" s="36"/>
      <c r="V12" s="36"/>
    </row>
    <row r="13" spans="1:22">
      <c r="A13" s="148"/>
      <c r="B13" s="148"/>
      <c r="C13" s="122"/>
      <c r="D13" s="122"/>
      <c r="E13" s="144"/>
      <c r="F13" s="144"/>
      <c r="G13" s="122"/>
      <c r="H13" s="122"/>
      <c r="I13" s="122"/>
      <c r="J13" s="122"/>
      <c r="K13" s="289"/>
      <c r="L13" s="122"/>
      <c r="M13" s="146"/>
      <c r="N13" s="147"/>
      <c r="O13" s="146"/>
      <c r="P13" s="142"/>
      <c r="Q13" s="143"/>
      <c r="U13" s="36"/>
      <c r="V13" s="36"/>
    </row>
    <row r="14" spans="1:22">
      <c r="A14" s="148"/>
      <c r="B14" s="148"/>
      <c r="C14" s="122"/>
      <c r="D14" s="122"/>
      <c r="E14" s="122"/>
      <c r="F14" s="122"/>
      <c r="G14" s="160"/>
      <c r="H14" s="160"/>
      <c r="I14" s="122"/>
      <c r="J14" s="122"/>
      <c r="K14" s="291"/>
      <c r="L14" s="122"/>
      <c r="M14" s="146"/>
      <c r="N14" s="147"/>
      <c r="O14" s="146"/>
      <c r="P14" s="142"/>
      <c r="Q14" s="143"/>
      <c r="U14" s="36"/>
      <c r="V14" s="36"/>
    </row>
    <row r="15" spans="1:22">
      <c r="A15" s="148"/>
      <c r="B15" s="148"/>
      <c r="C15" s="122"/>
      <c r="D15" s="122"/>
      <c r="E15" s="144"/>
      <c r="F15" s="144"/>
      <c r="G15" s="122"/>
      <c r="H15" s="122"/>
      <c r="I15" s="122"/>
      <c r="J15" s="122"/>
      <c r="K15" s="289"/>
      <c r="L15" s="122"/>
      <c r="M15" s="146"/>
      <c r="N15" s="147"/>
      <c r="O15" s="146"/>
      <c r="P15" s="142"/>
      <c r="Q15" s="143"/>
      <c r="U15" s="36"/>
      <c r="V15" s="36"/>
    </row>
    <row r="16" spans="1:22">
      <c r="A16" s="148"/>
      <c r="B16" s="148"/>
      <c r="C16" s="122"/>
      <c r="D16" s="122"/>
      <c r="E16" s="122"/>
      <c r="F16" s="122"/>
      <c r="G16" s="160"/>
      <c r="H16" s="160"/>
      <c r="I16" s="122"/>
      <c r="J16" s="122"/>
      <c r="K16" s="290"/>
      <c r="L16" s="122"/>
      <c r="M16" s="146"/>
      <c r="N16" s="147"/>
      <c r="O16" s="146"/>
      <c r="P16" s="142"/>
      <c r="Q16" s="143"/>
      <c r="U16" s="36"/>
      <c r="V16" s="36"/>
    </row>
    <row r="17" spans="1:22">
      <c r="A17" s="148"/>
      <c r="B17" s="148"/>
      <c r="C17" s="122"/>
      <c r="D17" s="122"/>
      <c r="E17" s="144"/>
      <c r="F17" s="144"/>
      <c r="G17" s="122"/>
      <c r="H17" s="122"/>
      <c r="I17" s="122"/>
      <c r="J17" s="122"/>
      <c r="K17" s="289"/>
      <c r="L17" s="122"/>
      <c r="M17" s="146"/>
      <c r="N17" s="147"/>
      <c r="O17" s="146"/>
      <c r="P17" s="142"/>
      <c r="Q17" s="143"/>
      <c r="U17" s="36"/>
      <c r="V17" s="36"/>
    </row>
    <row r="18" spans="1:22">
      <c r="A18" s="148"/>
      <c r="B18" s="148"/>
      <c r="C18" s="122"/>
      <c r="D18" s="122"/>
      <c r="E18" s="144"/>
      <c r="F18" s="144"/>
      <c r="G18" s="122"/>
      <c r="H18" s="122"/>
      <c r="I18" s="122"/>
      <c r="J18" s="122"/>
      <c r="K18" s="289"/>
      <c r="L18" s="122"/>
      <c r="M18" s="146"/>
      <c r="N18" s="147"/>
      <c r="O18" s="146"/>
      <c r="P18" s="353"/>
      <c r="Q18" s="354"/>
      <c r="U18" s="36" t="s">
        <v>2274</v>
      </c>
      <c r="V18" s="36" t="s">
        <v>2275</v>
      </c>
    </row>
    <row r="19" spans="1:22">
      <c r="A19" s="148"/>
      <c r="B19" s="148"/>
      <c r="C19" s="122"/>
      <c r="D19" s="122"/>
      <c r="E19" s="122"/>
      <c r="F19" s="122"/>
      <c r="G19" s="160"/>
      <c r="H19" s="160"/>
      <c r="I19" s="122"/>
      <c r="J19" s="122"/>
      <c r="K19" s="140"/>
      <c r="L19" s="122"/>
      <c r="M19" s="146"/>
      <c r="N19" s="147"/>
      <c r="O19" s="146"/>
      <c r="P19" s="142"/>
      <c r="Q19" s="143"/>
      <c r="U19" s="36" t="s">
        <v>2220</v>
      </c>
      <c r="V19" s="36" t="s">
        <v>2275</v>
      </c>
    </row>
    <row r="20" spans="1:22">
      <c r="A20" s="148"/>
      <c r="B20" s="148"/>
      <c r="C20" s="122"/>
      <c r="D20" s="122"/>
      <c r="E20" s="144"/>
      <c r="F20" s="144"/>
      <c r="G20" s="122"/>
      <c r="H20" s="122"/>
      <c r="I20" s="122"/>
      <c r="J20" s="122"/>
      <c r="K20" s="145"/>
      <c r="L20" s="122"/>
      <c r="M20" s="146"/>
      <c r="N20" s="147"/>
      <c r="O20" s="146"/>
      <c r="P20" s="353"/>
      <c r="Q20" s="354"/>
      <c r="U20" s="36" t="s">
        <v>2219</v>
      </c>
      <c r="V20" s="36" t="s">
        <v>2275</v>
      </c>
    </row>
    <row r="21" spans="1:22">
      <c r="A21" s="148"/>
      <c r="B21" s="148"/>
      <c r="C21" s="122"/>
      <c r="D21" s="122"/>
      <c r="E21" s="144"/>
      <c r="F21" s="144"/>
      <c r="G21" s="122"/>
      <c r="H21" s="122"/>
      <c r="I21" s="122"/>
      <c r="J21" s="122"/>
      <c r="K21" s="145"/>
      <c r="L21" s="122"/>
      <c r="M21" s="146"/>
      <c r="N21" s="147"/>
      <c r="O21" s="146"/>
      <c r="P21" s="142"/>
      <c r="Q21" s="143"/>
      <c r="U21" s="36"/>
      <c r="V21" s="36"/>
    </row>
    <row r="22" spans="1:22">
      <c r="A22" s="148"/>
      <c r="B22" s="148"/>
      <c r="C22" s="122"/>
      <c r="D22" s="122"/>
      <c r="E22" s="122"/>
      <c r="F22" s="122"/>
      <c r="G22" s="160"/>
      <c r="H22" s="160"/>
      <c r="I22" s="122"/>
      <c r="J22" s="122"/>
      <c r="K22" s="140"/>
      <c r="L22" s="122"/>
      <c r="M22" s="146"/>
      <c r="N22" s="147"/>
      <c r="O22" s="146"/>
      <c r="P22" s="353"/>
      <c r="Q22" s="354"/>
      <c r="U22" s="36"/>
      <c r="V22" s="36"/>
    </row>
    <row r="23" spans="1:22">
      <c r="A23" s="148"/>
      <c r="B23" s="148"/>
      <c r="C23" s="122"/>
      <c r="D23" s="122"/>
      <c r="E23" s="122"/>
      <c r="F23" s="122"/>
      <c r="G23" s="160"/>
      <c r="H23" s="160"/>
      <c r="I23" s="122"/>
      <c r="J23" s="122"/>
      <c r="K23" s="140"/>
      <c r="L23" s="122"/>
      <c r="M23" s="146"/>
      <c r="N23" s="147"/>
      <c r="O23" s="146"/>
      <c r="P23" s="353"/>
      <c r="Q23" s="354"/>
      <c r="U23" s="36"/>
      <c r="V23" s="36"/>
    </row>
    <row r="24" spans="1:22">
      <c r="A24" s="148"/>
      <c r="B24" s="148"/>
      <c r="C24" s="122"/>
      <c r="D24" s="122"/>
      <c r="E24" s="122"/>
      <c r="F24" s="122"/>
      <c r="G24" s="160"/>
      <c r="H24" s="160"/>
      <c r="I24" s="122"/>
      <c r="J24" s="122"/>
      <c r="K24" s="140"/>
      <c r="L24" s="122"/>
      <c r="M24" s="146"/>
      <c r="N24" s="147"/>
      <c r="O24" s="146"/>
      <c r="P24" s="142"/>
      <c r="Q24" s="143"/>
      <c r="U24" s="36"/>
      <c r="V24" s="36"/>
    </row>
    <row r="25" spans="1:22">
      <c r="A25" s="148"/>
      <c r="B25" s="148"/>
      <c r="C25" s="122"/>
      <c r="D25" s="122"/>
      <c r="E25" s="122"/>
      <c r="F25" s="122"/>
      <c r="G25" s="122"/>
      <c r="H25" s="122"/>
      <c r="I25" s="122"/>
      <c r="J25" s="122"/>
      <c r="K25" s="140"/>
      <c r="L25" s="122"/>
      <c r="M25" s="146"/>
      <c r="N25" s="147"/>
      <c r="O25" s="146"/>
      <c r="P25" s="142"/>
      <c r="Q25" s="143"/>
      <c r="U25" s="36"/>
      <c r="V25" s="36"/>
    </row>
    <row r="26" spans="1:22">
      <c r="A26" s="148"/>
      <c r="B26" s="148"/>
      <c r="C26" s="122"/>
      <c r="D26" s="122"/>
      <c r="E26" s="122"/>
      <c r="F26" s="122"/>
      <c r="G26" s="160"/>
      <c r="H26" s="160"/>
      <c r="I26" s="122"/>
      <c r="J26" s="122"/>
      <c r="K26" s="140"/>
      <c r="L26" s="122"/>
      <c r="M26" s="146"/>
      <c r="N26" s="147"/>
      <c r="O26" s="146"/>
      <c r="P26" s="353"/>
      <c r="Q26" s="354"/>
    </row>
    <row r="27" spans="1:22">
      <c r="A27" s="148"/>
      <c r="B27" s="148"/>
      <c r="C27" s="122"/>
      <c r="D27" s="122"/>
      <c r="E27" s="144"/>
      <c r="F27" s="144"/>
      <c r="G27" s="122"/>
      <c r="H27" s="122"/>
      <c r="I27" s="122"/>
      <c r="J27" s="122"/>
      <c r="K27" s="145"/>
      <c r="L27" s="122"/>
      <c r="M27" s="146"/>
      <c r="N27" s="147"/>
      <c r="O27" s="146"/>
      <c r="P27" s="142"/>
      <c r="Q27" s="143"/>
    </row>
    <row r="28" spans="1:22">
      <c r="A28" s="148"/>
      <c r="B28" s="148"/>
      <c r="C28" s="122"/>
      <c r="D28" s="122"/>
      <c r="E28" s="144"/>
      <c r="F28" s="144"/>
      <c r="G28" s="122"/>
      <c r="H28" s="122"/>
      <c r="I28" s="122"/>
      <c r="J28" s="122"/>
      <c r="K28" s="145"/>
      <c r="L28" s="122"/>
      <c r="M28" s="146"/>
      <c r="N28" s="147"/>
      <c r="O28" s="146"/>
      <c r="P28" s="142"/>
      <c r="Q28" s="143"/>
    </row>
    <row r="29" spans="1:22">
      <c r="A29" s="148"/>
      <c r="B29" s="148"/>
      <c r="C29" s="122"/>
      <c r="D29" s="122"/>
      <c r="E29" s="122"/>
      <c r="F29" s="122"/>
      <c r="G29" s="160"/>
      <c r="H29" s="160"/>
      <c r="I29" s="122"/>
      <c r="J29" s="122"/>
      <c r="K29" s="140"/>
      <c r="L29" s="122"/>
      <c r="M29" s="146"/>
      <c r="N29" s="147"/>
      <c r="O29" s="146"/>
      <c r="P29" s="353"/>
      <c r="Q29" s="354"/>
    </row>
    <row r="30" spans="1:22">
      <c r="A30" s="148"/>
      <c r="B30" s="148"/>
      <c r="C30" s="122"/>
      <c r="D30" s="122"/>
      <c r="E30" s="144"/>
      <c r="F30" s="144"/>
      <c r="G30" s="122"/>
      <c r="H30" s="122"/>
      <c r="I30" s="122"/>
      <c r="J30" s="122"/>
      <c r="K30" s="145"/>
      <c r="L30" s="122"/>
      <c r="M30" s="146"/>
      <c r="N30" s="147"/>
      <c r="O30" s="146"/>
      <c r="P30" s="142"/>
      <c r="Q30" s="143"/>
    </row>
    <row r="31" spans="1:22">
      <c r="A31" s="148"/>
      <c r="B31" s="148"/>
      <c r="C31" s="122"/>
      <c r="D31" s="122"/>
      <c r="E31" s="122"/>
      <c r="F31" s="122"/>
      <c r="G31" s="160"/>
      <c r="H31" s="160"/>
      <c r="I31" s="122"/>
      <c r="J31" s="122"/>
      <c r="K31" s="140"/>
      <c r="L31" s="122"/>
      <c r="M31" s="146"/>
      <c r="N31" s="147"/>
      <c r="O31" s="146"/>
      <c r="P31" s="353"/>
      <c r="Q31" s="354"/>
    </row>
    <row r="32" spans="1:22">
      <c r="A32" s="148"/>
      <c r="B32" s="148"/>
      <c r="C32" s="122"/>
      <c r="D32" s="122"/>
      <c r="E32" s="144"/>
      <c r="F32" s="144"/>
      <c r="G32" s="122"/>
      <c r="H32" s="122"/>
      <c r="I32" s="122"/>
      <c r="J32" s="122"/>
      <c r="K32" s="145"/>
      <c r="L32" s="122"/>
      <c r="M32" s="146"/>
      <c r="N32" s="147"/>
      <c r="O32" s="146"/>
      <c r="P32" s="142"/>
      <c r="Q32" s="143"/>
    </row>
    <row r="33" spans="1:17">
      <c r="A33" s="148"/>
      <c r="B33" s="148"/>
      <c r="C33" s="122"/>
      <c r="D33" s="122"/>
      <c r="E33" s="122"/>
      <c r="F33" s="122"/>
      <c r="G33" s="160"/>
      <c r="H33" s="160"/>
      <c r="I33" s="122"/>
      <c r="J33" s="122"/>
      <c r="K33" s="140"/>
      <c r="L33" s="122"/>
      <c r="M33" s="146"/>
      <c r="N33" s="147"/>
      <c r="O33" s="146"/>
      <c r="P33" s="142"/>
      <c r="Q33" s="143"/>
    </row>
    <row r="34" spans="1:17">
      <c r="A34" s="148"/>
      <c r="B34" s="148"/>
      <c r="C34" s="122"/>
      <c r="D34" s="122"/>
      <c r="E34" s="122"/>
      <c r="F34" s="122"/>
      <c r="G34" s="160"/>
      <c r="H34" s="160"/>
      <c r="I34" s="122"/>
      <c r="J34" s="122"/>
      <c r="K34" s="140"/>
      <c r="L34" s="122"/>
      <c r="M34" s="146"/>
      <c r="N34" s="147"/>
      <c r="O34" s="146"/>
      <c r="P34" s="142"/>
      <c r="Q34" s="143"/>
    </row>
    <row r="35" spans="1:17">
      <c r="A35" s="148"/>
      <c r="B35" s="148"/>
      <c r="C35" s="122"/>
      <c r="D35" s="122"/>
      <c r="E35" s="122"/>
      <c r="F35" s="122"/>
      <c r="G35" s="160"/>
      <c r="H35" s="160"/>
      <c r="I35" s="122"/>
      <c r="J35" s="122"/>
      <c r="K35" s="140"/>
      <c r="L35" s="122"/>
      <c r="M35" s="146"/>
      <c r="N35" s="147"/>
      <c r="O35" s="146"/>
      <c r="P35" s="142"/>
      <c r="Q35" s="143"/>
    </row>
    <row r="36" spans="1:17">
      <c r="A36" s="148"/>
      <c r="B36" s="148"/>
      <c r="C36" s="122"/>
      <c r="D36" s="122"/>
      <c r="E36" s="122"/>
      <c r="F36" s="122"/>
      <c r="G36" s="160"/>
      <c r="H36" s="160"/>
      <c r="I36" s="122"/>
      <c r="J36" s="122"/>
      <c r="K36" s="140"/>
      <c r="L36" s="122"/>
      <c r="M36" s="146"/>
      <c r="N36" s="147"/>
      <c r="O36" s="146"/>
      <c r="P36" s="142"/>
      <c r="Q36" s="143"/>
    </row>
    <row r="37" spans="1:17">
      <c r="A37" s="148"/>
      <c r="B37" s="148"/>
      <c r="C37" s="122"/>
      <c r="D37" s="122"/>
      <c r="E37" s="144"/>
      <c r="F37" s="144"/>
      <c r="G37" s="122"/>
      <c r="H37" s="122"/>
      <c r="I37" s="122"/>
      <c r="J37" s="122"/>
      <c r="K37" s="145"/>
      <c r="L37" s="122"/>
      <c r="M37" s="146"/>
      <c r="N37" s="147"/>
      <c r="O37" s="146"/>
      <c r="P37" s="142"/>
      <c r="Q37" s="143"/>
    </row>
    <row r="38" spans="1:17">
      <c r="A38" s="148"/>
      <c r="B38" s="148"/>
      <c r="C38" s="122"/>
      <c r="D38" s="122"/>
      <c r="E38" s="144"/>
      <c r="F38" s="144"/>
      <c r="G38" s="122"/>
      <c r="H38" s="122"/>
      <c r="I38" s="122"/>
      <c r="J38" s="122"/>
      <c r="K38" s="145"/>
      <c r="L38" s="122"/>
      <c r="M38" s="146"/>
      <c r="N38" s="147"/>
      <c r="O38" s="146"/>
      <c r="P38" s="142"/>
      <c r="Q38" s="143"/>
    </row>
    <row r="39" spans="1:17">
      <c r="A39" s="148"/>
      <c r="B39" s="148"/>
      <c r="C39" s="122"/>
      <c r="D39" s="122"/>
      <c r="E39" s="122"/>
      <c r="F39" s="122"/>
      <c r="G39" s="160"/>
      <c r="H39" s="160"/>
      <c r="I39" s="122"/>
      <c r="J39" s="122"/>
      <c r="K39" s="260"/>
      <c r="L39" s="122"/>
      <c r="M39" s="146"/>
      <c r="N39" s="147"/>
      <c r="O39" s="146"/>
      <c r="P39" s="142"/>
      <c r="Q39" s="143"/>
    </row>
    <row r="40" spans="1:17">
      <c r="A40" s="148"/>
      <c r="B40" s="148"/>
      <c r="C40" s="122"/>
      <c r="D40" s="122"/>
      <c r="E40" s="144"/>
      <c r="F40" s="144"/>
      <c r="G40" s="122"/>
      <c r="H40" s="122"/>
      <c r="I40" s="122"/>
      <c r="J40" s="122"/>
      <c r="K40" s="145"/>
      <c r="L40" s="122"/>
      <c r="M40" s="146"/>
      <c r="N40" s="147"/>
      <c r="O40" s="146"/>
      <c r="P40" s="353"/>
      <c r="Q40" s="354"/>
    </row>
    <row r="41" spans="1:17">
      <c r="A41" s="148"/>
      <c r="B41" s="148"/>
      <c r="C41" s="122"/>
      <c r="D41" s="122"/>
      <c r="E41" s="122"/>
      <c r="F41" s="122"/>
      <c r="G41" s="160"/>
      <c r="H41" s="160"/>
      <c r="I41" s="122"/>
      <c r="J41" s="122"/>
      <c r="K41" s="140"/>
      <c r="L41" s="122"/>
      <c r="M41" s="146"/>
      <c r="N41" s="147"/>
      <c r="O41" s="146"/>
      <c r="P41" s="142"/>
      <c r="Q41" s="143"/>
    </row>
    <row r="42" spans="1:17">
      <c r="A42" s="148"/>
      <c r="B42" s="148"/>
      <c r="C42" s="122"/>
      <c r="D42" s="122"/>
      <c r="E42" s="144"/>
      <c r="F42" s="144"/>
      <c r="G42" s="122"/>
      <c r="H42" s="122"/>
      <c r="I42" s="122"/>
      <c r="J42" s="122"/>
      <c r="K42" s="145"/>
      <c r="L42" s="122"/>
      <c r="M42" s="146"/>
      <c r="N42" s="147"/>
      <c r="O42" s="146"/>
      <c r="P42" s="353"/>
      <c r="Q42" s="354"/>
    </row>
    <row r="43" spans="1:17">
      <c r="A43" s="148"/>
      <c r="B43" s="148"/>
      <c r="C43" s="122"/>
      <c r="D43" s="122"/>
      <c r="E43" s="144"/>
      <c r="F43" s="144"/>
      <c r="G43" s="122"/>
      <c r="H43" s="122"/>
      <c r="I43" s="122"/>
      <c r="J43" s="122"/>
      <c r="K43" s="145"/>
      <c r="L43" s="122"/>
      <c r="M43" s="146"/>
      <c r="N43" s="147"/>
      <c r="O43" s="146"/>
      <c r="P43" s="353"/>
      <c r="Q43" s="354"/>
    </row>
    <row r="44" spans="1:17">
      <c r="A44" s="148"/>
      <c r="B44" s="148"/>
      <c r="C44" s="122"/>
      <c r="D44" s="122"/>
      <c r="E44" s="122"/>
      <c r="F44" s="122"/>
      <c r="G44" s="160"/>
      <c r="H44" s="160"/>
      <c r="I44" s="122"/>
      <c r="J44" s="122"/>
      <c r="K44" s="140"/>
      <c r="L44" s="122"/>
      <c r="M44" s="146"/>
      <c r="N44" s="147"/>
      <c r="O44" s="146"/>
      <c r="P44" s="353"/>
      <c r="Q44" s="354"/>
    </row>
    <row r="45" spans="1:17">
      <c r="A45" s="148"/>
      <c r="B45" s="148"/>
      <c r="C45" s="122"/>
      <c r="D45" s="122"/>
      <c r="E45" s="144"/>
      <c r="F45" s="144"/>
      <c r="G45" s="122"/>
      <c r="H45" s="122"/>
      <c r="I45" s="122"/>
      <c r="J45" s="122"/>
      <c r="K45" s="145"/>
      <c r="L45" s="122"/>
      <c r="M45" s="146"/>
      <c r="N45" s="147"/>
      <c r="O45" s="146"/>
      <c r="P45" s="353"/>
      <c r="Q45" s="354"/>
    </row>
    <row r="46" spans="1:17">
      <c r="A46" s="148"/>
      <c r="B46" s="148"/>
      <c r="C46" s="122"/>
      <c r="D46" s="122"/>
      <c r="E46" s="122"/>
      <c r="F46" s="122"/>
      <c r="G46" s="160"/>
      <c r="H46" s="160"/>
      <c r="I46" s="122"/>
      <c r="J46" s="122"/>
      <c r="K46" s="260"/>
      <c r="L46" s="122"/>
      <c r="M46" s="146"/>
      <c r="N46" s="147"/>
      <c r="O46" s="146"/>
      <c r="P46" s="353"/>
      <c r="Q46" s="354"/>
    </row>
    <row r="47" spans="1:17">
      <c r="A47" s="148"/>
      <c r="B47" s="148"/>
      <c r="C47" s="122"/>
      <c r="D47" s="122"/>
      <c r="E47" s="122"/>
      <c r="F47" s="122"/>
      <c r="G47" s="160"/>
      <c r="H47" s="160"/>
      <c r="I47" s="122"/>
      <c r="J47" s="122"/>
      <c r="K47" s="140"/>
      <c r="L47" s="122"/>
      <c r="M47" s="146"/>
      <c r="N47" s="147"/>
      <c r="O47" s="146"/>
      <c r="P47" s="353"/>
      <c r="Q47" s="354"/>
    </row>
    <row r="48" spans="1:17">
      <c r="A48" s="148"/>
      <c r="B48" s="148"/>
      <c r="C48" s="122"/>
      <c r="D48" s="122"/>
      <c r="E48" s="144"/>
      <c r="F48" s="144"/>
      <c r="G48" s="122"/>
      <c r="H48" s="122"/>
      <c r="I48" s="122"/>
      <c r="J48" s="122"/>
      <c r="K48" s="145"/>
      <c r="L48" s="122"/>
      <c r="M48" s="146"/>
      <c r="N48" s="147"/>
      <c r="O48" s="146"/>
      <c r="P48" s="353"/>
      <c r="Q48" s="354"/>
    </row>
    <row r="49" spans="1:17">
      <c r="A49" s="148"/>
      <c r="B49" s="148"/>
      <c r="C49" s="122"/>
      <c r="D49" s="122"/>
      <c r="E49" s="144"/>
      <c r="F49" s="144"/>
      <c r="G49" s="122"/>
      <c r="H49" s="122"/>
      <c r="I49" s="122"/>
      <c r="J49" s="122"/>
      <c r="K49" s="145"/>
      <c r="L49" s="122"/>
      <c r="M49" s="146"/>
      <c r="N49" s="147"/>
      <c r="O49" s="146"/>
      <c r="P49" s="353"/>
      <c r="Q49" s="354"/>
    </row>
    <row r="50" spans="1:17">
      <c r="A50" s="148"/>
      <c r="B50" s="148"/>
      <c r="C50" s="122"/>
      <c r="D50" s="122"/>
      <c r="E50" s="144"/>
      <c r="F50" s="144"/>
      <c r="G50" s="122"/>
      <c r="H50" s="122"/>
      <c r="I50" s="122"/>
      <c r="J50" s="122"/>
      <c r="K50" s="145"/>
      <c r="L50" s="122"/>
      <c r="M50" s="146"/>
      <c r="N50" s="147"/>
      <c r="O50" s="146"/>
      <c r="P50" s="353"/>
      <c r="Q50" s="354"/>
    </row>
    <row r="51" spans="1:17">
      <c r="A51" s="148"/>
      <c r="B51" s="148"/>
      <c r="C51" s="122"/>
      <c r="D51" s="122"/>
      <c r="E51" s="144"/>
      <c r="F51" s="144"/>
      <c r="G51" s="122"/>
      <c r="H51" s="122"/>
      <c r="I51" s="122"/>
      <c r="J51" s="122"/>
      <c r="K51" s="145"/>
      <c r="L51" s="122"/>
      <c r="M51" s="146"/>
      <c r="N51" s="147"/>
      <c r="O51" s="146"/>
      <c r="P51" s="353"/>
      <c r="Q51" s="354"/>
    </row>
    <row r="52" spans="1:17">
      <c r="A52" s="148"/>
      <c r="B52" s="148"/>
      <c r="C52" s="122"/>
      <c r="D52" s="122"/>
      <c r="E52" s="144"/>
      <c r="F52" s="144"/>
      <c r="G52" s="122"/>
      <c r="H52" s="122"/>
      <c r="I52" s="122"/>
      <c r="J52" s="122"/>
      <c r="K52" s="145"/>
      <c r="L52" s="122"/>
      <c r="M52" s="146"/>
      <c r="N52" s="147"/>
      <c r="O52" s="146"/>
      <c r="P52" s="353"/>
      <c r="Q52" s="354"/>
    </row>
    <row r="53" spans="1:17">
      <c r="A53" s="148"/>
      <c r="B53" s="148"/>
      <c r="C53" s="122"/>
      <c r="D53" s="122"/>
      <c r="E53" s="144"/>
      <c r="F53" s="144"/>
      <c r="G53" s="122"/>
      <c r="H53" s="122"/>
      <c r="I53" s="122"/>
      <c r="J53" s="122"/>
      <c r="K53" s="145"/>
      <c r="L53" s="122"/>
      <c r="M53" s="146"/>
      <c r="N53" s="147"/>
      <c r="O53" s="146"/>
      <c r="P53" s="353"/>
      <c r="Q53" s="354"/>
    </row>
    <row r="54" spans="1:17">
      <c r="A54" s="148"/>
      <c r="B54" s="148"/>
      <c r="C54" s="122"/>
      <c r="D54" s="122"/>
      <c r="E54" s="144"/>
      <c r="F54" s="144"/>
      <c r="G54" s="122"/>
      <c r="H54" s="122"/>
      <c r="I54" s="122"/>
      <c r="J54" s="122"/>
      <c r="K54" s="145"/>
      <c r="L54" s="122"/>
      <c r="M54" s="146"/>
      <c r="N54" s="147"/>
      <c r="O54" s="146"/>
      <c r="P54" s="142"/>
      <c r="Q54" s="143"/>
    </row>
    <row r="55" spans="1:17">
      <c r="A55" s="148"/>
      <c r="B55" s="148"/>
      <c r="C55" s="122"/>
      <c r="D55" s="122"/>
      <c r="E55" s="144"/>
      <c r="F55" s="144"/>
      <c r="G55" s="122"/>
      <c r="H55" s="122"/>
      <c r="I55" s="122"/>
      <c r="J55" s="122"/>
      <c r="K55" s="145"/>
      <c r="L55" s="122"/>
      <c r="M55" s="146"/>
      <c r="N55" s="147"/>
      <c r="O55" s="146"/>
      <c r="P55" s="142"/>
      <c r="Q55" s="143"/>
    </row>
    <row r="56" spans="1:17">
      <c r="A56" s="148"/>
      <c r="B56" s="148"/>
      <c r="C56" s="122"/>
      <c r="D56" s="122"/>
      <c r="E56" s="144"/>
      <c r="F56" s="144"/>
      <c r="G56" s="122"/>
      <c r="H56" s="122"/>
      <c r="I56" s="122"/>
      <c r="J56" s="122"/>
      <c r="K56" s="145"/>
      <c r="L56" s="122"/>
      <c r="M56" s="146"/>
      <c r="N56" s="147"/>
      <c r="O56" s="146"/>
      <c r="P56" s="142"/>
      <c r="Q56" s="143"/>
    </row>
    <row r="57" spans="1:17">
      <c r="A57" s="148"/>
      <c r="B57" s="148"/>
      <c r="C57" s="122"/>
      <c r="D57" s="122"/>
      <c r="E57" s="144"/>
      <c r="F57" s="144"/>
      <c r="G57" s="122"/>
      <c r="H57" s="122"/>
      <c r="I57" s="122"/>
      <c r="J57" s="122"/>
      <c r="K57" s="145"/>
      <c r="L57" s="122"/>
      <c r="M57" s="146"/>
      <c r="N57" s="147"/>
      <c r="O57" s="146"/>
      <c r="P57" s="142"/>
      <c r="Q57" s="143"/>
    </row>
    <row r="58" spans="1:17">
      <c r="A58" s="148"/>
      <c r="B58" s="148"/>
      <c r="C58" s="122"/>
      <c r="D58" s="122"/>
      <c r="E58" s="144"/>
      <c r="F58" s="144"/>
      <c r="G58" s="122"/>
      <c r="H58" s="122"/>
      <c r="I58" s="122"/>
      <c r="J58" s="122"/>
      <c r="K58" s="145"/>
      <c r="L58" s="122"/>
      <c r="M58" s="146"/>
      <c r="N58" s="147"/>
      <c r="O58" s="146"/>
      <c r="P58" s="142"/>
      <c r="Q58" s="143"/>
    </row>
    <row r="59" spans="1:17">
      <c r="A59" s="148"/>
      <c r="B59" s="148"/>
      <c r="C59" s="122"/>
      <c r="D59" s="122"/>
      <c r="E59" s="144"/>
      <c r="F59" s="144"/>
      <c r="G59" s="122"/>
      <c r="H59" s="122"/>
      <c r="I59" s="122"/>
      <c r="J59" s="122"/>
      <c r="K59" s="145"/>
      <c r="L59" s="122"/>
      <c r="M59" s="146"/>
      <c r="N59" s="147"/>
      <c r="O59" s="146"/>
      <c r="P59" s="142"/>
      <c r="Q59" s="143"/>
    </row>
    <row r="60" spans="1:17">
      <c r="A60" s="148"/>
      <c r="B60" s="148"/>
      <c r="C60" s="122"/>
      <c r="D60" s="122"/>
      <c r="E60" s="144"/>
      <c r="F60" s="144"/>
      <c r="G60" s="122"/>
      <c r="H60" s="122"/>
      <c r="I60" s="122"/>
      <c r="J60" s="122"/>
      <c r="K60" s="145"/>
      <c r="L60" s="122"/>
      <c r="M60" s="146"/>
      <c r="N60" s="147"/>
      <c r="O60" s="146"/>
      <c r="P60" s="142"/>
      <c r="Q60" s="143"/>
    </row>
    <row r="61" spans="1:17">
      <c r="A61" s="148"/>
      <c r="B61" s="148"/>
      <c r="C61" s="122"/>
      <c r="D61" s="122"/>
      <c r="E61" s="144"/>
      <c r="F61" s="144"/>
      <c r="G61" s="122"/>
      <c r="H61" s="122"/>
      <c r="I61" s="122"/>
      <c r="J61" s="122"/>
      <c r="K61" s="145"/>
      <c r="L61" s="122"/>
      <c r="M61" s="146"/>
      <c r="N61" s="147"/>
      <c r="O61" s="146"/>
      <c r="P61" s="142"/>
      <c r="Q61" s="143"/>
    </row>
    <row r="62" spans="1:17">
      <c r="A62" s="148"/>
      <c r="B62" s="148"/>
      <c r="C62" s="122"/>
      <c r="D62" s="122"/>
      <c r="E62" s="144"/>
      <c r="F62" s="144"/>
      <c r="G62" s="122"/>
      <c r="H62" s="122"/>
      <c r="I62" s="122"/>
      <c r="J62" s="122"/>
      <c r="K62" s="145"/>
      <c r="L62" s="122"/>
      <c r="M62" s="146"/>
      <c r="N62" s="147"/>
      <c r="O62" s="146"/>
      <c r="P62" s="142"/>
      <c r="Q62" s="143"/>
    </row>
    <row r="63" spans="1:17">
      <c r="A63" s="148"/>
      <c r="B63" s="148"/>
      <c r="C63" s="122"/>
      <c r="D63" s="122"/>
      <c r="E63" s="144"/>
      <c r="F63" s="144"/>
      <c r="G63" s="122"/>
      <c r="H63" s="122"/>
      <c r="I63" s="122"/>
      <c r="J63" s="122"/>
      <c r="K63" s="145"/>
      <c r="L63" s="122"/>
      <c r="M63" s="146"/>
      <c r="N63" s="147"/>
      <c r="O63" s="146"/>
      <c r="P63" s="353"/>
      <c r="Q63" s="354"/>
    </row>
    <row r="64" spans="1:17">
      <c r="A64" s="148"/>
      <c r="B64" s="148"/>
      <c r="C64" s="122"/>
      <c r="D64" s="122"/>
      <c r="E64" s="144"/>
      <c r="F64" s="144"/>
      <c r="G64" s="122"/>
      <c r="H64" s="122"/>
      <c r="I64" s="122"/>
      <c r="J64" s="122"/>
      <c r="K64" s="145"/>
      <c r="L64" s="122"/>
      <c r="M64" s="146"/>
      <c r="N64" s="147"/>
      <c r="O64" s="146"/>
      <c r="P64" s="353"/>
      <c r="Q64" s="354"/>
    </row>
    <row r="65" spans="1:17">
      <c r="A65" s="148"/>
      <c r="B65" s="148"/>
      <c r="C65" s="122"/>
      <c r="D65" s="122"/>
      <c r="E65" s="144"/>
      <c r="F65" s="144"/>
      <c r="G65" s="122"/>
      <c r="H65" s="122"/>
      <c r="I65" s="122"/>
      <c r="J65" s="122"/>
      <c r="K65" s="145"/>
      <c r="L65" s="122"/>
      <c r="M65" s="146"/>
      <c r="N65" s="147"/>
      <c r="O65" s="146"/>
      <c r="P65" s="142"/>
      <c r="Q65" s="143"/>
    </row>
    <row r="66" spans="1:17">
      <c r="A66" s="148"/>
      <c r="B66" s="148"/>
      <c r="C66" s="122"/>
      <c r="D66" s="122"/>
      <c r="E66" s="144"/>
      <c r="F66" s="144"/>
      <c r="G66" s="122"/>
      <c r="H66" s="122"/>
      <c r="I66" s="122"/>
      <c r="J66" s="122"/>
      <c r="K66" s="145"/>
      <c r="L66" s="122"/>
      <c r="M66" s="146"/>
      <c r="N66" s="147"/>
      <c r="O66" s="146"/>
      <c r="P66" s="353"/>
      <c r="Q66" s="354"/>
    </row>
    <row r="67" spans="1:17">
      <c r="A67" s="148"/>
      <c r="B67" s="148"/>
      <c r="C67" s="122"/>
      <c r="D67" s="122"/>
      <c r="E67" s="144"/>
      <c r="F67" s="144"/>
      <c r="G67" s="122"/>
      <c r="H67" s="122"/>
      <c r="I67" s="122"/>
      <c r="J67" s="122"/>
      <c r="K67" s="145"/>
      <c r="L67" s="122"/>
      <c r="M67" s="146"/>
      <c r="N67" s="147"/>
      <c r="O67" s="146"/>
      <c r="P67" s="353"/>
      <c r="Q67" s="354"/>
    </row>
    <row r="68" spans="1:17">
      <c r="A68" s="148"/>
      <c r="B68" s="148"/>
      <c r="C68" s="122"/>
      <c r="D68" s="122"/>
      <c r="E68" s="144"/>
      <c r="F68" s="144"/>
      <c r="G68" s="122"/>
      <c r="H68" s="122"/>
      <c r="I68" s="122"/>
      <c r="J68" s="122"/>
      <c r="K68" s="145"/>
      <c r="L68" s="122"/>
      <c r="M68" s="146"/>
      <c r="N68" s="147"/>
      <c r="O68" s="146"/>
      <c r="P68" s="353"/>
      <c r="Q68" s="354"/>
    </row>
    <row r="69" spans="1:17">
      <c r="A69" s="148"/>
      <c r="B69" s="148"/>
      <c r="C69" s="122"/>
      <c r="D69" s="122"/>
      <c r="E69" s="144"/>
      <c r="F69" s="144"/>
      <c r="G69" s="122"/>
      <c r="H69" s="122"/>
      <c r="I69" s="122"/>
      <c r="J69" s="122"/>
      <c r="K69" s="145"/>
      <c r="L69" s="122"/>
      <c r="M69" s="146"/>
      <c r="N69" s="147"/>
      <c r="O69" s="146"/>
      <c r="P69" s="353"/>
      <c r="Q69" s="354"/>
    </row>
    <row r="70" spans="1:17">
      <c r="A70" s="148"/>
      <c r="B70" s="148"/>
      <c r="C70" s="122"/>
      <c r="D70" s="122"/>
      <c r="E70" s="144"/>
      <c r="F70" s="144"/>
      <c r="G70" s="122"/>
      <c r="H70" s="122"/>
      <c r="I70" s="122"/>
      <c r="J70" s="122"/>
      <c r="K70" s="145"/>
      <c r="L70" s="122"/>
      <c r="M70" s="146"/>
      <c r="N70" s="147"/>
      <c r="O70" s="146"/>
      <c r="P70" s="142"/>
      <c r="Q70" s="143"/>
    </row>
    <row r="71" spans="1:17">
      <c r="A71" s="148"/>
      <c r="B71" s="148"/>
      <c r="C71" s="122"/>
      <c r="D71" s="122"/>
      <c r="E71" s="144"/>
      <c r="F71" s="144"/>
      <c r="G71" s="122"/>
      <c r="H71" s="122"/>
      <c r="I71" s="122"/>
      <c r="J71" s="122"/>
      <c r="K71" s="145"/>
      <c r="L71" s="122"/>
      <c r="M71" s="146"/>
      <c r="N71" s="147"/>
      <c r="O71" s="146"/>
      <c r="P71" s="142"/>
      <c r="Q71" s="143"/>
    </row>
    <row r="72" spans="1:17">
      <c r="A72" s="148"/>
      <c r="B72" s="148"/>
      <c r="C72" s="122"/>
      <c r="D72" s="122"/>
      <c r="E72" s="144"/>
      <c r="F72" s="144"/>
      <c r="G72" s="122"/>
      <c r="H72" s="122"/>
      <c r="I72" s="122"/>
      <c r="J72" s="122"/>
      <c r="K72" s="145"/>
      <c r="L72" s="122"/>
      <c r="M72" s="146"/>
      <c r="N72" s="147"/>
      <c r="O72" s="146"/>
      <c r="P72" s="353"/>
      <c r="Q72" s="354"/>
    </row>
    <row r="73" spans="1:17">
      <c r="A73" s="148"/>
      <c r="B73" s="148"/>
      <c r="C73" s="122"/>
      <c r="D73" s="122"/>
      <c r="E73" s="144"/>
      <c r="F73" s="144"/>
      <c r="G73" s="122"/>
      <c r="H73" s="122"/>
      <c r="I73" s="122"/>
      <c r="J73" s="122"/>
      <c r="K73" s="145"/>
      <c r="L73" s="122"/>
      <c r="M73" s="146"/>
      <c r="N73" s="147"/>
      <c r="O73" s="146"/>
      <c r="P73" s="353"/>
      <c r="Q73" s="354"/>
    </row>
    <row r="74" spans="1:17">
      <c r="A74" s="148"/>
      <c r="B74" s="148"/>
      <c r="C74" s="122"/>
      <c r="D74" s="122"/>
      <c r="E74" s="144"/>
      <c r="F74" s="144"/>
      <c r="G74" s="122"/>
      <c r="H74" s="122"/>
      <c r="I74" s="122"/>
      <c r="J74" s="122"/>
      <c r="K74" s="145"/>
      <c r="L74" s="122"/>
      <c r="M74" s="146"/>
      <c r="N74" s="147"/>
      <c r="O74" s="146"/>
      <c r="P74" s="353"/>
      <c r="Q74" s="354"/>
    </row>
    <row r="75" spans="1:17">
      <c r="A75" s="148"/>
      <c r="B75" s="148"/>
      <c r="C75" s="122"/>
      <c r="D75" s="122"/>
      <c r="E75" s="144"/>
      <c r="F75" s="144"/>
      <c r="G75" s="122"/>
      <c r="H75" s="122"/>
      <c r="I75" s="122"/>
      <c r="J75" s="122"/>
      <c r="K75" s="145"/>
      <c r="L75" s="122"/>
      <c r="M75" s="146"/>
      <c r="N75" s="147"/>
      <c r="O75" s="146"/>
      <c r="P75" s="353"/>
      <c r="Q75" s="354"/>
    </row>
    <row r="76" spans="1:17">
      <c r="A76" s="148"/>
      <c r="B76" s="148"/>
      <c r="C76" s="122"/>
      <c r="D76" s="122"/>
      <c r="E76" s="144"/>
      <c r="F76" s="144"/>
      <c r="G76" s="122"/>
      <c r="H76" s="122"/>
      <c r="I76" s="122"/>
      <c r="J76" s="122"/>
      <c r="K76" s="145"/>
      <c r="L76" s="122"/>
      <c r="M76" s="146"/>
      <c r="N76" s="147"/>
      <c r="O76" s="146"/>
      <c r="P76" s="353"/>
      <c r="Q76" s="354"/>
    </row>
    <row r="77" spans="1:17">
      <c r="A77" s="148"/>
      <c r="B77" s="148"/>
      <c r="C77" s="122"/>
      <c r="D77" s="122"/>
      <c r="E77" s="144"/>
      <c r="F77" s="144"/>
      <c r="G77" s="122"/>
      <c r="H77" s="122"/>
      <c r="I77" s="122"/>
      <c r="J77" s="122"/>
      <c r="K77" s="145"/>
      <c r="L77" s="122"/>
      <c r="M77" s="146"/>
      <c r="N77" s="147"/>
      <c r="O77" s="146"/>
      <c r="P77" s="353"/>
      <c r="Q77" s="354"/>
    </row>
    <row r="78" spans="1:17">
      <c r="A78" s="148"/>
      <c r="B78" s="148"/>
      <c r="C78" s="122"/>
      <c r="D78" s="122"/>
      <c r="E78" s="144"/>
      <c r="F78" s="144"/>
      <c r="G78" s="122"/>
      <c r="H78" s="122"/>
      <c r="I78" s="122"/>
      <c r="J78" s="122"/>
      <c r="K78" s="145"/>
      <c r="L78" s="122"/>
      <c r="M78" s="146"/>
      <c r="N78" s="147"/>
      <c r="O78" s="146"/>
      <c r="P78" s="353"/>
      <c r="Q78" s="354"/>
    </row>
    <row r="79" spans="1:17">
      <c r="A79" s="148"/>
      <c r="B79" s="148"/>
      <c r="C79" s="122"/>
      <c r="D79" s="122"/>
      <c r="E79" s="144"/>
      <c r="F79" s="144"/>
      <c r="G79" s="122"/>
      <c r="H79" s="122"/>
      <c r="I79" s="122"/>
      <c r="J79" s="122"/>
      <c r="K79" s="145"/>
      <c r="L79" s="122"/>
      <c r="M79" s="146"/>
      <c r="N79" s="147"/>
      <c r="O79" s="146"/>
      <c r="P79" s="353"/>
      <c r="Q79" s="354"/>
    </row>
    <row r="80" spans="1:17">
      <c r="A80" s="345"/>
      <c r="B80" s="345"/>
      <c r="C80" s="346"/>
      <c r="D80" s="346"/>
      <c r="E80" s="347"/>
      <c r="F80" s="144"/>
      <c r="G80" s="348"/>
      <c r="H80" s="349"/>
      <c r="I80" s="349"/>
      <c r="J80" s="346"/>
      <c r="K80" s="350"/>
      <c r="L80" s="346"/>
      <c r="M80" s="351"/>
      <c r="N80" s="352"/>
      <c r="O80" s="351"/>
      <c r="P80" s="353"/>
      <c r="Q80" s="354"/>
    </row>
    <row r="81" spans="1:17">
      <c r="A81" s="345"/>
      <c r="B81" s="345"/>
      <c r="C81" s="346"/>
      <c r="D81" s="346"/>
      <c r="E81" s="347"/>
      <c r="F81" s="144"/>
      <c r="G81" s="348"/>
      <c r="H81" s="349"/>
      <c r="I81" s="349"/>
      <c r="J81" s="346"/>
      <c r="K81" s="350"/>
      <c r="L81" s="346"/>
      <c r="M81" s="351"/>
      <c r="N81" s="352"/>
      <c r="O81" s="351"/>
      <c r="P81" s="353"/>
      <c r="Q81" s="354"/>
    </row>
    <row r="82" spans="1:17">
      <c r="A82" s="345"/>
      <c r="B82" s="345"/>
      <c r="C82" s="346"/>
      <c r="D82" s="346"/>
      <c r="E82" s="347"/>
      <c r="F82" s="144"/>
      <c r="G82" s="348"/>
      <c r="H82" s="349"/>
      <c r="I82" s="349"/>
      <c r="J82" s="346"/>
      <c r="K82" s="350"/>
      <c r="L82" s="346"/>
      <c r="M82" s="351"/>
      <c r="N82" s="352"/>
      <c r="O82" s="351"/>
      <c r="P82" s="353"/>
      <c r="Q82" s="354"/>
    </row>
    <row r="83" spans="1:17">
      <c r="A83" s="345"/>
      <c r="B83" s="345"/>
      <c r="C83" s="346"/>
      <c r="D83" s="346"/>
      <c r="E83" s="347"/>
      <c r="F83" s="144"/>
      <c r="G83" s="348"/>
      <c r="H83" s="349"/>
      <c r="I83" s="349"/>
      <c r="J83" s="346"/>
      <c r="K83" s="350"/>
      <c r="L83" s="346"/>
      <c r="M83" s="351"/>
      <c r="N83" s="352"/>
      <c r="O83" s="351"/>
      <c r="P83" s="353"/>
      <c r="Q83" s="354"/>
    </row>
    <row r="84" spans="1:17">
      <c r="A84" s="345"/>
      <c r="B84" s="345"/>
      <c r="C84" s="346"/>
      <c r="D84" s="346"/>
      <c r="E84" s="347"/>
      <c r="F84" s="144"/>
      <c r="G84" s="348"/>
      <c r="H84" s="349"/>
      <c r="I84" s="349"/>
      <c r="J84" s="346"/>
      <c r="K84" s="350"/>
      <c r="L84" s="346"/>
      <c r="M84" s="351"/>
      <c r="N84" s="352"/>
      <c r="O84" s="351"/>
      <c r="P84" s="142"/>
      <c r="Q84" s="143"/>
    </row>
    <row r="85" spans="1:17">
      <c r="A85" s="345"/>
      <c r="B85" s="345"/>
      <c r="C85" s="346"/>
      <c r="D85" s="346"/>
      <c r="E85" s="347"/>
      <c r="F85" s="144"/>
      <c r="G85" s="348"/>
      <c r="H85" s="349"/>
      <c r="I85" s="349"/>
      <c r="J85" s="346"/>
      <c r="K85" s="350"/>
      <c r="L85" s="346"/>
      <c r="M85" s="351"/>
      <c r="N85" s="352"/>
      <c r="O85" s="351"/>
      <c r="P85" s="142"/>
      <c r="Q85" s="143"/>
    </row>
    <row r="86" spans="1:17">
      <c r="A86" s="345"/>
      <c r="B86" s="345"/>
      <c r="C86" s="346"/>
      <c r="D86" s="346"/>
      <c r="E86" s="347"/>
      <c r="F86" s="144"/>
      <c r="G86" s="348"/>
      <c r="H86" s="349"/>
      <c r="I86" s="349"/>
      <c r="J86" s="346"/>
      <c r="K86" s="350"/>
      <c r="L86" s="346"/>
      <c r="M86" s="351"/>
      <c r="N86" s="352"/>
      <c r="O86" s="351"/>
      <c r="P86" s="142"/>
      <c r="Q86" s="143"/>
    </row>
    <row r="87" spans="1:17">
      <c r="A87" s="345"/>
      <c r="B87" s="345"/>
      <c r="C87" s="346"/>
      <c r="D87" s="346"/>
      <c r="E87" s="347"/>
      <c r="F87" s="144"/>
      <c r="G87" s="348"/>
      <c r="H87" s="349"/>
      <c r="I87" s="349"/>
      <c r="J87" s="346"/>
      <c r="K87" s="350"/>
      <c r="L87" s="346"/>
      <c r="M87" s="351"/>
      <c r="N87" s="352"/>
      <c r="O87" s="351"/>
      <c r="P87" s="142"/>
      <c r="Q87" s="143"/>
    </row>
    <row r="88" spans="1:17">
      <c r="A88" s="345"/>
      <c r="B88" s="345"/>
      <c r="C88" s="346"/>
      <c r="D88" s="346"/>
      <c r="E88" s="347"/>
      <c r="F88" s="144"/>
      <c r="G88" s="348"/>
      <c r="H88" s="349"/>
      <c r="I88" s="349"/>
      <c r="J88" s="346"/>
      <c r="K88" s="350"/>
      <c r="L88" s="346"/>
      <c r="M88" s="351"/>
      <c r="N88" s="352"/>
      <c r="O88" s="351"/>
      <c r="P88" s="142"/>
      <c r="Q88" s="143"/>
    </row>
    <row r="89" spans="1:17">
      <c r="A89" s="345"/>
      <c r="B89" s="345"/>
      <c r="C89" s="346"/>
      <c r="D89" s="346"/>
      <c r="E89" s="347"/>
      <c r="F89" s="144"/>
      <c r="G89" s="348"/>
      <c r="H89" s="349"/>
      <c r="I89" s="349"/>
      <c r="J89" s="346"/>
      <c r="K89" s="350"/>
      <c r="L89" s="346"/>
      <c r="M89" s="351"/>
      <c r="N89" s="352"/>
      <c r="O89" s="351"/>
      <c r="P89" s="353"/>
      <c r="Q89" s="354"/>
    </row>
    <row r="90" spans="1:17">
      <c r="A90" s="345"/>
      <c r="B90" s="345"/>
      <c r="C90" s="346"/>
      <c r="D90" s="346"/>
      <c r="E90" s="347"/>
      <c r="F90" s="144"/>
      <c r="G90" s="348"/>
      <c r="H90" s="349"/>
      <c r="I90" s="349"/>
      <c r="J90" s="346"/>
      <c r="K90" s="350"/>
      <c r="L90" s="346"/>
      <c r="M90" s="351"/>
      <c r="N90" s="352"/>
      <c r="O90" s="351"/>
      <c r="P90" s="353"/>
      <c r="Q90" s="354"/>
    </row>
    <row r="91" spans="1:17">
      <c r="A91" s="345"/>
      <c r="B91" s="345"/>
      <c r="C91" s="346"/>
      <c r="D91" s="346"/>
      <c r="E91" s="347"/>
      <c r="F91" s="144"/>
      <c r="G91" s="348"/>
      <c r="H91" s="349"/>
      <c r="I91" s="349"/>
      <c r="J91" s="346"/>
      <c r="K91" s="350"/>
      <c r="L91" s="346"/>
      <c r="M91" s="351"/>
      <c r="N91" s="352"/>
      <c r="O91" s="351"/>
      <c r="P91" s="353"/>
      <c r="Q91" s="354"/>
    </row>
    <row r="92" spans="1:17">
      <c r="A92" s="345"/>
      <c r="B92" s="345"/>
      <c r="C92" s="346"/>
      <c r="D92" s="346"/>
      <c r="E92" s="347"/>
      <c r="F92" s="144"/>
      <c r="G92" s="348"/>
      <c r="H92" s="349"/>
      <c r="I92" s="349"/>
      <c r="J92" s="346"/>
      <c r="K92" s="350"/>
      <c r="L92" s="346"/>
      <c r="M92" s="351"/>
      <c r="N92" s="352"/>
      <c r="O92" s="351"/>
      <c r="P92" s="353"/>
      <c r="Q92" s="354"/>
    </row>
    <row r="93" spans="1:17">
      <c r="A93" s="345"/>
      <c r="B93" s="345"/>
      <c r="C93" s="346"/>
      <c r="D93" s="346"/>
      <c r="E93" s="347"/>
      <c r="F93" s="144"/>
      <c r="G93" s="348"/>
      <c r="H93" s="349"/>
      <c r="I93" s="349"/>
      <c r="J93" s="346"/>
      <c r="K93" s="350"/>
      <c r="L93" s="346"/>
      <c r="M93" s="351"/>
      <c r="N93" s="352"/>
      <c r="O93" s="351"/>
      <c r="P93" s="353"/>
      <c r="Q93" s="354"/>
    </row>
    <row r="94" spans="1:17">
      <c r="A94" s="345"/>
      <c r="B94" s="345"/>
      <c r="C94" s="346"/>
      <c r="D94" s="346"/>
      <c r="E94" s="347"/>
      <c r="F94" s="144"/>
      <c r="G94" s="348"/>
      <c r="H94" s="349"/>
      <c r="I94" s="349"/>
      <c r="J94" s="346"/>
      <c r="K94" s="350"/>
      <c r="L94" s="346"/>
      <c r="M94" s="351"/>
      <c r="N94" s="352"/>
      <c r="O94" s="351"/>
      <c r="P94" s="353"/>
      <c r="Q94" s="354"/>
    </row>
    <row r="95" spans="1:17">
      <c r="A95" s="345"/>
      <c r="B95" s="345"/>
      <c r="C95" s="346"/>
      <c r="D95" s="346"/>
      <c r="E95" s="347"/>
      <c r="F95" s="144"/>
      <c r="G95" s="348"/>
      <c r="H95" s="349"/>
      <c r="I95" s="349"/>
      <c r="J95" s="346"/>
      <c r="K95" s="350"/>
      <c r="L95" s="346"/>
      <c r="M95" s="351"/>
      <c r="N95" s="352"/>
      <c r="O95" s="351"/>
      <c r="P95" s="353"/>
      <c r="Q95" s="354"/>
    </row>
    <row r="96" spans="1:17">
      <c r="A96" s="345"/>
      <c r="B96" s="345"/>
      <c r="C96" s="346"/>
      <c r="D96" s="346"/>
      <c r="E96" s="347"/>
      <c r="F96" s="144"/>
      <c r="G96" s="348"/>
      <c r="H96" s="349"/>
      <c r="I96" s="349"/>
      <c r="J96" s="346"/>
      <c r="K96" s="350"/>
      <c r="L96" s="346"/>
      <c r="M96" s="351"/>
      <c r="N96" s="352"/>
      <c r="O96" s="351"/>
      <c r="P96" s="353"/>
      <c r="Q96" s="354"/>
    </row>
    <row r="97" spans="1:17">
      <c r="A97" s="345"/>
      <c r="B97" s="345"/>
      <c r="C97" s="346"/>
      <c r="D97" s="346"/>
      <c r="E97" s="347"/>
      <c r="F97" s="144"/>
      <c r="G97" s="348"/>
      <c r="H97" s="349"/>
      <c r="I97" s="349"/>
      <c r="J97" s="346"/>
      <c r="K97" s="350"/>
      <c r="L97" s="346"/>
      <c r="M97" s="351"/>
      <c r="N97" s="352"/>
      <c r="O97" s="351"/>
      <c r="P97" s="353"/>
      <c r="Q97" s="354"/>
    </row>
    <row r="98" spans="1:17">
      <c r="A98" s="345"/>
      <c r="B98" s="345"/>
      <c r="C98" s="346"/>
      <c r="D98" s="346"/>
      <c r="E98" s="347"/>
      <c r="F98" s="144"/>
      <c r="G98" s="348"/>
      <c r="H98" s="349"/>
      <c r="I98" s="349"/>
      <c r="J98" s="346"/>
      <c r="K98" s="350"/>
      <c r="L98" s="346"/>
      <c r="M98" s="351"/>
      <c r="N98" s="352"/>
      <c r="O98" s="351"/>
      <c r="P98" s="142"/>
      <c r="Q98" s="143"/>
    </row>
    <row r="99" spans="1:17">
      <c r="A99" s="345"/>
      <c r="B99" s="345"/>
      <c r="C99" s="346"/>
      <c r="D99" s="346"/>
      <c r="E99" s="347"/>
      <c r="F99" s="144"/>
      <c r="G99" s="348"/>
      <c r="H99" s="349"/>
      <c r="I99" s="349"/>
      <c r="J99" s="346"/>
      <c r="K99" s="350"/>
      <c r="L99" s="346"/>
      <c r="M99" s="351"/>
      <c r="N99" s="352"/>
      <c r="O99" s="351"/>
      <c r="P99" s="142"/>
      <c r="Q99" s="143"/>
    </row>
    <row r="100" spans="1:17">
      <c r="A100" s="345"/>
      <c r="B100" s="345"/>
      <c r="C100" s="346"/>
      <c r="D100" s="346"/>
      <c r="E100" s="347"/>
      <c r="F100" s="144"/>
      <c r="G100" s="348"/>
      <c r="H100" s="349"/>
      <c r="I100" s="349"/>
      <c r="J100" s="346"/>
      <c r="K100" s="350"/>
      <c r="L100" s="346"/>
      <c r="M100" s="351"/>
      <c r="N100" s="352"/>
      <c r="O100" s="351"/>
      <c r="P100" s="142"/>
      <c r="Q100" s="143"/>
    </row>
    <row r="101" spans="1:17">
      <c r="A101" s="345"/>
      <c r="B101" s="345"/>
      <c r="C101" s="346"/>
      <c r="D101" s="346"/>
      <c r="E101" s="347"/>
      <c r="F101" s="144"/>
      <c r="G101" s="348"/>
      <c r="H101" s="349"/>
      <c r="I101" s="349"/>
      <c r="J101" s="346"/>
      <c r="K101" s="350"/>
      <c r="L101" s="346"/>
      <c r="M101" s="351"/>
      <c r="N101" s="352"/>
      <c r="O101" s="351"/>
      <c r="P101" s="353"/>
      <c r="Q101" s="354"/>
    </row>
    <row r="102" spans="1:17">
      <c r="A102" s="345"/>
      <c r="B102" s="345"/>
      <c r="C102" s="346"/>
      <c r="D102" s="346"/>
      <c r="E102" s="347"/>
      <c r="F102" s="144"/>
      <c r="G102" s="348"/>
      <c r="H102" s="349"/>
      <c r="I102" s="349"/>
      <c r="J102" s="346"/>
      <c r="K102" s="350"/>
      <c r="L102" s="346"/>
      <c r="M102" s="351"/>
      <c r="N102" s="352"/>
      <c r="O102" s="351"/>
      <c r="P102" s="353"/>
      <c r="Q102" s="354"/>
    </row>
    <row r="103" spans="1:17">
      <c r="A103" s="345"/>
      <c r="B103" s="345"/>
      <c r="C103" s="346"/>
      <c r="D103" s="346"/>
      <c r="E103" s="347"/>
      <c r="F103" s="144"/>
      <c r="G103" s="348"/>
      <c r="H103" s="349"/>
      <c r="I103" s="349"/>
      <c r="J103" s="346"/>
      <c r="K103" s="350"/>
      <c r="L103" s="346"/>
      <c r="M103" s="351"/>
      <c r="N103" s="352"/>
      <c r="O103" s="351"/>
      <c r="P103" s="353"/>
      <c r="Q103" s="354"/>
    </row>
    <row r="104" spans="1:17">
      <c r="A104" s="345"/>
      <c r="B104" s="345"/>
      <c r="C104" s="346"/>
      <c r="D104" s="346"/>
      <c r="E104" s="347"/>
      <c r="F104" s="144"/>
      <c r="G104" s="348"/>
      <c r="H104" s="349"/>
      <c r="I104" s="349"/>
      <c r="J104" s="346"/>
      <c r="K104" s="350"/>
      <c r="L104" s="346"/>
      <c r="M104" s="351"/>
      <c r="N104" s="352"/>
      <c r="O104" s="351"/>
      <c r="P104" s="353"/>
      <c r="Q104" s="354"/>
    </row>
    <row r="105" spans="1:17">
      <c r="A105" s="345"/>
      <c r="B105" s="345"/>
      <c r="C105" s="346"/>
      <c r="D105" s="346"/>
      <c r="E105" s="347"/>
      <c r="F105" s="144"/>
      <c r="G105" s="348"/>
      <c r="H105" s="349"/>
      <c r="I105" s="349"/>
      <c r="J105" s="346"/>
      <c r="K105" s="350"/>
      <c r="L105" s="346"/>
      <c r="M105" s="351"/>
      <c r="N105" s="352"/>
      <c r="O105" s="351"/>
      <c r="P105" s="353"/>
      <c r="Q105" s="354"/>
    </row>
    <row r="106" spans="1:17">
      <c r="A106" s="345"/>
      <c r="B106" s="345"/>
      <c r="C106" s="346"/>
      <c r="D106" s="346"/>
      <c r="E106" s="347"/>
      <c r="F106" s="144"/>
      <c r="G106" s="348"/>
      <c r="H106" s="349"/>
      <c r="I106" s="349"/>
      <c r="J106" s="346"/>
      <c r="K106" s="350"/>
      <c r="L106" s="346"/>
      <c r="M106" s="351"/>
      <c r="N106" s="352"/>
      <c r="O106" s="351"/>
      <c r="P106" s="353"/>
      <c r="Q106" s="354"/>
    </row>
    <row r="107" spans="1:17">
      <c r="A107" s="345"/>
      <c r="B107" s="345"/>
      <c r="C107" s="346"/>
      <c r="D107" s="346"/>
      <c r="E107" s="347"/>
      <c r="F107" s="144"/>
      <c r="G107" s="348"/>
      <c r="H107" s="349"/>
      <c r="I107" s="349"/>
      <c r="J107" s="346"/>
      <c r="K107" s="350"/>
      <c r="L107" s="346"/>
      <c r="M107" s="351"/>
      <c r="N107" s="352"/>
      <c r="O107" s="351"/>
      <c r="P107" s="353"/>
      <c r="Q107" s="354"/>
    </row>
    <row r="108" spans="1:17">
      <c r="A108" s="345"/>
      <c r="B108" s="345"/>
      <c r="C108" s="346"/>
      <c r="D108" s="346"/>
      <c r="E108" s="347"/>
      <c r="F108" s="144"/>
      <c r="G108" s="348"/>
      <c r="H108" s="349"/>
      <c r="I108" s="349"/>
      <c r="J108" s="346"/>
      <c r="K108" s="350"/>
      <c r="L108" s="346"/>
      <c r="M108" s="351"/>
      <c r="N108" s="352"/>
      <c r="O108" s="351"/>
      <c r="P108" s="353"/>
      <c r="Q108" s="354"/>
    </row>
    <row r="109" spans="1:17">
      <c r="A109" s="345"/>
      <c r="B109" s="345"/>
      <c r="C109" s="346"/>
      <c r="D109" s="346"/>
      <c r="E109" s="347"/>
      <c r="F109" s="144"/>
      <c r="G109" s="348"/>
      <c r="H109" s="349"/>
      <c r="I109" s="349"/>
      <c r="J109" s="346"/>
      <c r="K109" s="350"/>
      <c r="L109" s="346"/>
      <c r="M109" s="351"/>
      <c r="N109" s="352"/>
      <c r="O109" s="351"/>
      <c r="P109" s="353"/>
      <c r="Q109" s="354"/>
    </row>
    <row r="110" spans="1:17">
      <c r="A110" s="345"/>
      <c r="B110" s="345"/>
      <c r="C110" s="346"/>
      <c r="D110" s="346"/>
      <c r="E110" s="347"/>
      <c r="F110" s="144"/>
      <c r="G110" s="348"/>
      <c r="H110" s="349"/>
      <c r="I110" s="349"/>
      <c r="J110" s="346"/>
      <c r="K110" s="350"/>
      <c r="L110" s="346"/>
      <c r="M110" s="351"/>
      <c r="N110" s="352"/>
      <c r="O110" s="351"/>
      <c r="P110" s="353"/>
      <c r="Q110" s="354"/>
    </row>
    <row r="111" spans="1:17">
      <c r="A111" s="345"/>
      <c r="B111" s="345"/>
      <c r="C111" s="346"/>
      <c r="D111" s="346"/>
      <c r="E111" s="347"/>
      <c r="F111" s="144"/>
      <c r="G111" s="348"/>
      <c r="H111" s="349"/>
      <c r="I111" s="349"/>
      <c r="J111" s="346"/>
      <c r="K111" s="350"/>
      <c r="L111" s="346"/>
      <c r="M111" s="351"/>
      <c r="N111" s="352"/>
      <c r="O111" s="351"/>
      <c r="P111" s="353"/>
      <c r="Q111" s="354"/>
    </row>
    <row r="112" spans="1:17">
      <c r="A112" s="345"/>
      <c r="B112" s="345"/>
      <c r="C112" s="346"/>
      <c r="D112" s="346"/>
      <c r="E112" s="347"/>
      <c r="F112" s="144"/>
      <c r="G112" s="348"/>
      <c r="H112" s="349"/>
      <c r="I112" s="349"/>
      <c r="J112" s="346"/>
      <c r="K112" s="350"/>
      <c r="L112" s="346"/>
      <c r="M112" s="351"/>
      <c r="N112" s="352"/>
      <c r="O112" s="351"/>
      <c r="P112" s="353"/>
      <c r="Q112" s="354"/>
    </row>
    <row r="113" spans="1:17">
      <c r="A113" s="345"/>
      <c r="B113" s="345"/>
      <c r="C113" s="346"/>
      <c r="D113" s="346"/>
      <c r="E113" s="347"/>
      <c r="F113" s="144"/>
      <c r="G113" s="348"/>
      <c r="H113" s="349"/>
      <c r="I113" s="349"/>
      <c r="J113" s="346"/>
      <c r="K113" s="350"/>
      <c r="L113" s="346"/>
      <c r="M113" s="351"/>
      <c r="N113" s="352"/>
      <c r="O113" s="351"/>
      <c r="P113" s="353"/>
      <c r="Q113" s="354"/>
    </row>
    <row r="114" spans="1:17">
      <c r="A114" s="345"/>
      <c r="B114" s="345"/>
      <c r="C114" s="346"/>
      <c r="D114" s="346"/>
      <c r="E114" s="347"/>
      <c r="F114" s="144"/>
      <c r="G114" s="348"/>
      <c r="H114" s="349"/>
      <c r="I114" s="349"/>
      <c r="J114" s="346"/>
      <c r="K114" s="350"/>
      <c r="L114" s="346"/>
      <c r="M114" s="351"/>
      <c r="N114" s="352"/>
      <c r="O114" s="351"/>
      <c r="P114" s="353"/>
      <c r="Q114" s="354"/>
    </row>
    <row r="115" spans="1:17">
      <c r="A115" s="345"/>
      <c r="B115" s="345"/>
      <c r="C115" s="346"/>
      <c r="D115" s="346"/>
      <c r="E115" s="347"/>
      <c r="F115" s="144"/>
      <c r="G115" s="348"/>
      <c r="H115" s="349"/>
      <c r="I115" s="349"/>
      <c r="J115" s="346"/>
      <c r="K115" s="350"/>
      <c r="L115" s="346"/>
      <c r="M115" s="351"/>
      <c r="N115" s="352"/>
      <c r="O115" s="351"/>
      <c r="P115" s="353"/>
      <c r="Q115" s="354"/>
    </row>
    <row r="116" spans="1:17">
      <c r="A116" s="345"/>
      <c r="B116" s="345"/>
      <c r="C116" s="346"/>
      <c r="D116" s="346"/>
      <c r="E116" s="347"/>
      <c r="F116" s="144"/>
      <c r="G116" s="348"/>
      <c r="H116" s="349"/>
      <c r="I116" s="349"/>
      <c r="J116" s="346"/>
      <c r="K116" s="350"/>
      <c r="L116" s="346"/>
      <c r="M116" s="351"/>
      <c r="N116" s="352"/>
      <c r="O116" s="351"/>
      <c r="P116" s="353"/>
      <c r="Q116" s="354"/>
    </row>
    <row r="117" spans="1:17">
      <c r="A117" s="345"/>
      <c r="B117" s="345"/>
      <c r="C117" s="346"/>
      <c r="D117" s="346"/>
      <c r="E117" s="347"/>
      <c r="F117" s="144"/>
      <c r="G117" s="348"/>
      <c r="H117" s="349"/>
      <c r="I117" s="349"/>
      <c r="J117" s="346"/>
      <c r="K117" s="350"/>
      <c r="L117" s="346"/>
      <c r="M117" s="351"/>
      <c r="N117" s="352"/>
      <c r="O117" s="351"/>
      <c r="P117" s="353"/>
      <c r="Q117" s="354"/>
    </row>
    <row r="118" spans="1:17">
      <c r="A118" s="345"/>
      <c r="B118" s="345"/>
      <c r="C118" s="346"/>
      <c r="D118" s="346"/>
      <c r="E118" s="347"/>
      <c r="F118" s="144"/>
      <c r="G118" s="348"/>
      <c r="H118" s="349"/>
      <c r="I118" s="349"/>
      <c r="J118" s="346"/>
      <c r="K118" s="350"/>
      <c r="L118" s="346"/>
      <c r="M118" s="351"/>
      <c r="N118" s="352"/>
      <c r="O118" s="351"/>
      <c r="P118" s="353"/>
      <c r="Q118" s="354"/>
    </row>
    <row r="119" spans="1:17">
      <c r="A119" s="345"/>
      <c r="B119" s="345"/>
      <c r="C119" s="346"/>
      <c r="D119" s="346"/>
      <c r="E119" s="347"/>
      <c r="F119" s="144"/>
      <c r="G119" s="348"/>
      <c r="H119" s="349"/>
      <c r="I119" s="349"/>
      <c r="J119" s="346"/>
      <c r="K119" s="350"/>
      <c r="L119" s="346"/>
      <c r="M119" s="351"/>
      <c r="N119" s="352"/>
      <c r="O119" s="351"/>
      <c r="P119" s="353"/>
      <c r="Q119" s="354"/>
    </row>
    <row r="120" spans="1:17">
      <c r="A120" s="148"/>
      <c r="B120" s="148"/>
      <c r="C120" s="122"/>
      <c r="D120" s="122"/>
      <c r="E120" s="144"/>
      <c r="F120" s="144"/>
      <c r="G120" s="122"/>
      <c r="H120" s="122"/>
      <c r="I120" s="122"/>
      <c r="J120" s="122"/>
      <c r="K120" s="145"/>
      <c r="L120" s="122"/>
      <c r="M120" s="146"/>
      <c r="N120" s="147"/>
      <c r="O120" s="146"/>
      <c r="P120" s="142"/>
      <c r="Q120" s="143"/>
    </row>
    <row r="121" spans="1:17">
      <c r="A121" s="148"/>
      <c r="B121" s="148"/>
      <c r="C121" s="122"/>
      <c r="D121" s="122"/>
      <c r="E121" s="144"/>
      <c r="F121" s="144"/>
      <c r="G121" s="122"/>
      <c r="H121" s="122"/>
      <c r="I121" s="122"/>
      <c r="J121" s="122"/>
      <c r="K121" s="145"/>
      <c r="L121" s="122"/>
      <c r="M121" s="146"/>
      <c r="N121" s="147"/>
      <c r="O121" s="146"/>
      <c r="P121" s="142"/>
      <c r="Q121" s="143"/>
    </row>
    <row r="122" spans="1:17">
      <c r="A122" s="148"/>
      <c r="B122" s="148"/>
      <c r="C122" s="122"/>
      <c r="D122" s="122"/>
      <c r="E122" s="144"/>
      <c r="F122" s="144"/>
      <c r="G122" s="122"/>
      <c r="H122" s="122"/>
      <c r="I122" s="122"/>
      <c r="J122" s="122"/>
      <c r="K122" s="145"/>
      <c r="L122" s="122"/>
      <c r="M122" s="146"/>
      <c r="N122" s="147"/>
      <c r="O122" s="146"/>
      <c r="P122" s="142"/>
      <c r="Q122" s="143"/>
    </row>
    <row r="123" spans="1:17">
      <c r="A123" s="148"/>
      <c r="B123" s="148"/>
      <c r="C123" s="122"/>
      <c r="D123" s="122"/>
      <c r="E123" s="144"/>
      <c r="F123" s="144"/>
      <c r="G123" s="122"/>
      <c r="H123" s="122"/>
      <c r="I123" s="122"/>
      <c r="J123" s="122"/>
      <c r="K123" s="145"/>
      <c r="L123" s="122"/>
      <c r="M123" s="146"/>
      <c r="N123" s="147"/>
      <c r="O123" s="146"/>
      <c r="P123" s="142"/>
      <c r="Q123" s="143"/>
    </row>
    <row r="124" spans="1:17">
      <c r="A124" s="148"/>
      <c r="B124" s="148"/>
      <c r="C124" s="122"/>
      <c r="D124" s="122"/>
      <c r="E124" s="144"/>
      <c r="F124" s="144"/>
      <c r="G124" s="122"/>
      <c r="H124" s="122"/>
      <c r="I124" s="122"/>
      <c r="J124" s="122"/>
      <c r="K124" s="145"/>
      <c r="L124" s="122"/>
      <c r="M124" s="146"/>
      <c r="N124" s="147"/>
      <c r="O124" s="146"/>
      <c r="P124" s="142"/>
      <c r="Q124" s="143"/>
    </row>
    <row r="125" spans="1:17">
      <c r="A125" s="148"/>
      <c r="B125" s="148"/>
      <c r="C125" s="122"/>
      <c r="D125" s="122"/>
      <c r="E125" s="144"/>
      <c r="F125" s="144"/>
      <c r="G125" s="122"/>
      <c r="H125" s="122"/>
      <c r="I125" s="122"/>
      <c r="J125" s="122"/>
      <c r="K125" s="145"/>
      <c r="L125" s="122"/>
      <c r="M125" s="146"/>
      <c r="N125" s="147"/>
      <c r="O125" s="146"/>
      <c r="P125" s="142"/>
      <c r="Q125" s="143"/>
    </row>
    <row r="126" spans="1:17">
      <c r="A126" s="148"/>
      <c r="B126" s="148"/>
      <c r="C126" s="122"/>
      <c r="D126" s="122"/>
      <c r="E126" s="144"/>
      <c r="F126" s="144"/>
      <c r="G126" s="122"/>
      <c r="H126" s="122"/>
      <c r="I126" s="122"/>
      <c r="J126" s="122"/>
      <c r="K126" s="145"/>
      <c r="L126" s="122"/>
      <c r="M126" s="146"/>
      <c r="N126" s="147"/>
      <c r="O126" s="146"/>
      <c r="P126" s="142"/>
      <c r="Q126" s="143"/>
    </row>
    <row r="127" spans="1:17">
      <c r="A127" s="148"/>
      <c r="B127" s="148"/>
      <c r="C127" s="122"/>
      <c r="D127" s="122"/>
      <c r="E127" s="144"/>
      <c r="F127" s="144"/>
      <c r="G127" s="122"/>
      <c r="H127" s="122"/>
      <c r="I127" s="122"/>
      <c r="J127" s="122"/>
      <c r="K127" s="145"/>
      <c r="L127" s="122"/>
      <c r="M127" s="146"/>
      <c r="N127" s="147"/>
      <c r="O127" s="146"/>
      <c r="P127" s="142"/>
      <c r="Q127" s="143"/>
    </row>
    <row r="128" spans="1:17">
      <c r="A128" s="148"/>
      <c r="B128" s="148"/>
      <c r="C128" s="122"/>
      <c r="D128" s="122"/>
      <c r="E128" s="144"/>
      <c r="F128" s="144"/>
      <c r="G128" s="122"/>
      <c r="H128" s="122"/>
      <c r="I128" s="122"/>
      <c r="J128" s="122"/>
      <c r="K128" s="145"/>
      <c r="L128" s="122"/>
      <c r="M128" s="146"/>
      <c r="N128" s="147"/>
      <c r="O128" s="146"/>
      <c r="P128" s="142"/>
      <c r="Q128" s="143"/>
    </row>
    <row r="129" spans="1:17">
      <c r="A129" s="148"/>
      <c r="B129" s="148"/>
      <c r="C129" s="122"/>
      <c r="D129" s="122"/>
      <c r="E129" s="144"/>
      <c r="F129" s="144"/>
      <c r="G129" s="122"/>
      <c r="H129" s="122"/>
      <c r="I129" s="122"/>
      <c r="J129" s="122"/>
      <c r="K129" s="145"/>
      <c r="L129" s="122"/>
      <c r="M129" s="146"/>
      <c r="N129" s="147"/>
      <c r="O129" s="146"/>
      <c r="P129" s="142"/>
      <c r="Q129" s="143"/>
    </row>
    <row r="130" spans="1:17">
      <c r="A130" s="148"/>
      <c r="B130" s="148"/>
      <c r="C130" s="122"/>
      <c r="D130" s="122"/>
      <c r="E130" s="144"/>
      <c r="F130" s="144"/>
      <c r="G130" s="122"/>
      <c r="H130" s="122"/>
      <c r="I130" s="122"/>
      <c r="J130" s="122"/>
      <c r="K130" s="145"/>
      <c r="L130" s="122"/>
      <c r="M130" s="146"/>
      <c r="N130" s="147"/>
      <c r="O130" s="146"/>
      <c r="P130" s="142"/>
      <c r="Q130" s="143"/>
    </row>
    <row r="131" spans="1:17">
      <c r="A131" s="148"/>
      <c r="B131" s="148"/>
      <c r="C131" s="122"/>
      <c r="D131" s="122"/>
      <c r="E131" s="144"/>
      <c r="F131" s="144"/>
      <c r="G131" s="122"/>
      <c r="H131" s="122"/>
      <c r="I131" s="122"/>
      <c r="J131" s="122"/>
      <c r="K131" s="145"/>
      <c r="L131" s="122"/>
      <c r="M131" s="146"/>
      <c r="N131" s="147"/>
      <c r="O131" s="146"/>
      <c r="P131" s="142"/>
      <c r="Q131" s="143"/>
    </row>
    <row r="132" spans="1:17">
      <c r="A132" s="148"/>
      <c r="B132" s="148"/>
      <c r="C132" s="122"/>
      <c r="D132" s="122"/>
      <c r="E132" s="144"/>
      <c r="F132" s="144"/>
      <c r="G132" s="122"/>
      <c r="H132" s="122"/>
      <c r="I132" s="122"/>
      <c r="J132" s="122"/>
      <c r="K132" s="145"/>
      <c r="L132" s="122"/>
      <c r="M132" s="146"/>
      <c r="N132" s="147"/>
      <c r="O132" s="146"/>
      <c r="P132" s="142"/>
      <c r="Q132" s="143"/>
    </row>
    <row r="133" spans="1:17">
      <c r="A133" s="148"/>
      <c r="B133" s="148"/>
      <c r="C133" s="122"/>
      <c r="D133" s="122"/>
      <c r="E133" s="144"/>
      <c r="F133" s="144"/>
      <c r="G133" s="122"/>
      <c r="H133" s="122"/>
      <c r="I133" s="122"/>
      <c r="J133" s="122"/>
      <c r="K133" s="145"/>
      <c r="L133" s="122"/>
      <c r="M133" s="146"/>
      <c r="N133" s="147"/>
      <c r="O133" s="146"/>
      <c r="P133" s="142"/>
      <c r="Q133" s="143"/>
    </row>
    <row r="134" spans="1:17">
      <c r="A134" s="148"/>
      <c r="B134" s="148"/>
      <c r="C134" s="122"/>
      <c r="D134" s="122"/>
      <c r="E134" s="144"/>
      <c r="F134" s="144"/>
      <c r="G134" s="122"/>
      <c r="H134" s="122"/>
      <c r="I134" s="122"/>
      <c r="J134" s="122"/>
      <c r="K134" s="145"/>
      <c r="L134" s="122"/>
      <c r="M134" s="146"/>
      <c r="N134" s="147"/>
      <c r="O134" s="146"/>
      <c r="P134" s="142"/>
      <c r="Q134" s="143"/>
    </row>
    <row r="135" spans="1:17">
      <c r="A135" s="148"/>
      <c r="B135" s="148"/>
      <c r="C135" s="122"/>
      <c r="D135" s="122"/>
      <c r="E135" s="144"/>
      <c r="F135" s="144"/>
      <c r="G135" s="122"/>
      <c r="H135" s="122"/>
      <c r="I135" s="122"/>
      <c r="J135" s="122"/>
      <c r="K135" s="145"/>
      <c r="L135" s="122"/>
      <c r="M135" s="146"/>
      <c r="N135" s="147"/>
      <c r="O135" s="146"/>
      <c r="P135" s="142"/>
      <c r="Q135" s="143"/>
    </row>
    <row r="136" spans="1:17">
      <c r="A136" s="256"/>
      <c r="B136" s="256"/>
      <c r="C136" s="257"/>
      <c r="D136" s="257"/>
      <c r="E136" s="258"/>
      <c r="F136" s="258"/>
      <c r="G136" s="258"/>
      <c r="H136" s="258"/>
      <c r="I136" s="257"/>
      <c r="J136" s="257"/>
      <c r="K136" s="259"/>
      <c r="L136" s="257"/>
      <c r="M136" s="146"/>
      <c r="N136" s="147"/>
      <c r="O136" s="146"/>
      <c r="P136" s="256"/>
      <c r="Q136" s="256"/>
    </row>
    <row r="137" spans="1:17">
      <c r="A137" s="302"/>
      <c r="B137" s="302"/>
      <c r="C137" s="303"/>
      <c r="D137" s="303"/>
      <c r="E137" s="304"/>
      <c r="F137" s="144"/>
      <c r="G137" s="305"/>
      <c r="H137" s="306"/>
      <c r="I137" s="306"/>
      <c r="J137" s="303"/>
      <c r="K137" s="307"/>
      <c r="L137" s="308"/>
      <c r="M137" s="309"/>
      <c r="N137" s="310"/>
      <c r="O137" s="309"/>
      <c r="P137" s="302"/>
      <c r="Q137" s="302"/>
    </row>
    <row r="138" spans="1:17" ht="21">
      <c r="B138" s="280" t="s">
        <v>8299</v>
      </c>
      <c r="C138" s="281"/>
      <c r="I138" s="4" t="s">
        <v>1</v>
      </c>
      <c r="K138" s="13">
        <f>SUBTOTAL(9,M3:M136)</f>
        <v>0</v>
      </c>
      <c r="M138" s="1"/>
    </row>
    <row r="139" spans="1:17">
      <c r="C139" s="9"/>
      <c r="J139" s="3"/>
      <c r="K139" s="2"/>
      <c r="M139" s="1"/>
    </row>
    <row r="140" spans="1:17">
      <c r="B140" s="123" t="s">
        <v>12</v>
      </c>
      <c r="C140" s="123" t="s">
        <v>8297</v>
      </c>
      <c r="D140" s="4" t="str">
        <f>"PO "&amp;B140&amp;" LINE "&amp;C140&amp;" "</f>
        <v xml:space="preserve">PO PO LINE LINE </v>
      </c>
      <c r="I140" t="s">
        <v>8</v>
      </c>
      <c r="J140" s="22">
        <v>6.4999999999999997E-3</v>
      </c>
      <c r="K140" s="14">
        <f>ROUND(J140*K138,2)</f>
        <v>0</v>
      </c>
      <c r="M140" s="1" t="s">
        <v>10</v>
      </c>
      <c r="N140" s="116">
        <v>1.4999999999999999E-2</v>
      </c>
      <c r="O140" s="14">
        <f>ROUND(N140*K138,2)</f>
        <v>0</v>
      </c>
    </row>
    <row r="141" spans="1:17">
      <c r="B141" s="149"/>
      <c r="C141" s="149"/>
      <c r="D141" s="277"/>
      <c r="I141" t="s">
        <v>9</v>
      </c>
      <c r="J141" s="17">
        <v>0.03</v>
      </c>
      <c r="K141" s="14">
        <f>ROUND(J141*K138,2)</f>
        <v>0</v>
      </c>
      <c r="M141" s="1" t="s">
        <v>11</v>
      </c>
      <c r="N141" s="17">
        <v>0.01</v>
      </c>
      <c r="O141" s="14">
        <f>ROUND(N141*K138,2)</f>
        <v>0</v>
      </c>
    </row>
    <row r="142" spans="1:17">
      <c r="B142" s="149"/>
      <c r="C142" s="149"/>
      <c r="D142" s="277"/>
      <c r="M142" s="1"/>
    </row>
    <row r="143" spans="1:17">
      <c r="B143" s="149" t="s">
        <v>8379</v>
      </c>
      <c r="C143" s="149" t="s">
        <v>8296</v>
      </c>
      <c r="D143" s="277" t="str">
        <f t="shared" ref="D143" si="0">"PO "&amp;B143&amp;" LINE "&amp;C143&amp;" "</f>
        <v xml:space="preserve">PO 6211HG3453276-56 LINE 1 </v>
      </c>
      <c r="I143" s="4" t="s">
        <v>6</v>
      </c>
      <c r="K143" s="2">
        <f>K138-K140-K141-O140-O141</f>
        <v>0</v>
      </c>
      <c r="M143" s="1"/>
    </row>
    <row r="144" spans="1:17">
      <c r="B144" s="278"/>
      <c r="C144" s="278"/>
      <c r="D144" s="277"/>
      <c r="M144" s="1"/>
      <c r="Q144" s="11"/>
    </row>
    <row r="145" spans="2:17">
      <c r="B145" s="149"/>
      <c r="C145" s="149"/>
      <c r="D145" s="277"/>
      <c r="I145" s="193" t="s">
        <v>8335</v>
      </c>
      <c r="J145" s="11"/>
      <c r="K145" s="11"/>
      <c r="L145" s="11"/>
      <c r="M145" s="13"/>
      <c r="N145" s="11"/>
      <c r="O145" s="11"/>
      <c r="P145" s="11"/>
      <c r="Q145" s="11"/>
    </row>
    <row r="146" spans="2:17">
      <c r="B146" s="149"/>
      <c r="C146" s="149"/>
      <c r="D146" s="277"/>
      <c r="I146" s="11" t="str">
        <f>CONCATENATE("PO: ",D143,"/",E143,", ",D144,"/",E144,", ",D145,"/",E145,", ",D146,"/",E146,", ",D147,"/",E147,", ",D148,"/",E148,", ",D149,"/",E149,", ",D150,"/",E150,", ",D151,"/",E151,", ",D152,"/",E152,", ",D153,"/",E153,", ",D154,"/",E154,", ",D155,"/",E155,", ",D156,"/",E156,", ",D157,"/",E157,", ",D158,"/",E158,", ",D159,"/",E159,", ",D160,"/",E160,", ",D161,"/",E161,", ",D162,"/",E162,", ",D163,"/",E163,", ",D164,"/",E164,", ",D165,"/",E165,", ",D166,"/",E166,", ",D167,"/",E167,", ",D168,"/",E168,", ",D169,"/",E169,", ",D170,"/",E170,", ",D171,"/",E171,", ",D172,"/",E172,", ",D173,"/",E173,", ",D174,"/",E174,", ",D175,"/",E175,", ",D176,"/",E176,", ",D177,"/",E177,", ",D178,"/",E178,", ",D179,"/",E179,", ",D180,"/",E180,", ",D181,"/",E181,", ",D182,"/",E182,", ",D183,"/",E183,", ",D184,"/",E184,", ",D185,"/",E185,", ",D186,"/",E186,", ",D187,"/",E187,", ",D188,"/",E188,", ",D189,"/",E189,", ",D190,"/",E190,", ",D191,"/",E191,", ",D192,"/",E192,", ",D193,"/",E193,", ",D194,"/",E194,", ",D195,"/",E195,", ",D196,"/",E196,", ",D197,"/",E197,", ",D198,"/",E198,", ",D199,"/",E199,", ",D200,"/",E200,", ",D201,"/",E201,", ",D202,"/",E202)</f>
        <v>PO: PO 6211HG3453276-56 LINE 1 /, /, /, /, /, /, /, /, /, /, /, /, /, /, /, /, /, /, /, /, /, /, /, /, /, /, /, /, /, /, /, /, /, /, /, /, /, /, /, /, /, /, /, /, /, /, /, /, /, /, /, /, /, /, /, /, /, /, /, /</v>
      </c>
      <c r="J146" s="11"/>
      <c r="K146" s="11"/>
      <c r="L146" s="11"/>
      <c r="M146" s="13"/>
      <c r="N146" s="11"/>
      <c r="O146" s="11"/>
      <c r="P146" s="11"/>
    </row>
    <row r="147" spans="2:17">
      <c r="B147" s="149"/>
      <c r="C147" s="149"/>
      <c r="D147" s="277"/>
      <c r="I147" s="11"/>
      <c r="J147" s="11"/>
      <c r="K147" s="11"/>
      <c r="L147" s="11"/>
      <c r="M147" s="13"/>
      <c r="N147" s="11"/>
      <c r="O147" s="11"/>
      <c r="P147" s="11"/>
    </row>
    <row r="148" spans="2:17">
      <c r="B148" s="149"/>
      <c r="C148" s="149"/>
      <c r="D148" s="277"/>
      <c r="I148" s="12" t="str">
        <f>CONCATENATE("Retenções:  ",I140,"  ","R$ ",K140,"   ",I141,"  ","R$ ",K141,"   ",M140,"  ","R$ ",O140,"   ",M141," ","R$ ",O141)</f>
        <v>Retenções:  PIS 0,65%  R$ 0   COFINS 3%  R$ 0   IRRF 1,5%  R$ 0   CSLL 1% R$ 0</v>
      </c>
      <c r="J148" s="11"/>
      <c r="K148" s="11"/>
      <c r="L148" s="11"/>
      <c r="M148" s="13"/>
      <c r="N148" s="11"/>
      <c r="O148" s="11"/>
      <c r="P148" s="11"/>
    </row>
    <row r="149" spans="2:17">
      <c r="B149" s="149"/>
      <c r="C149" s="149"/>
      <c r="D149" s="277"/>
      <c r="L149" s="1"/>
    </row>
    <row r="150" spans="2:17">
      <c r="B150" s="149"/>
      <c r="C150" s="149"/>
      <c r="D150" s="277"/>
      <c r="G150" t="s">
        <v>8303</v>
      </c>
      <c r="L150" s="1"/>
    </row>
    <row r="151" spans="2:17">
      <c r="B151" s="149"/>
      <c r="C151" s="149"/>
      <c r="D151" s="277"/>
      <c r="L151" s="1"/>
    </row>
    <row r="152" spans="2:17">
      <c r="B152" s="149"/>
      <c r="C152" s="149"/>
      <c r="D152" s="277"/>
      <c r="L152" s="1"/>
    </row>
    <row r="153" spans="2:17">
      <c r="B153" s="149"/>
      <c r="C153" s="149"/>
      <c r="D153" s="277"/>
      <c r="J153" s="2"/>
      <c r="L153" s="1"/>
    </row>
    <row r="154" spans="2:17">
      <c r="B154" s="149"/>
      <c r="C154" s="149"/>
      <c r="D154" s="277"/>
      <c r="L154" s="1"/>
    </row>
    <row r="155" spans="2:17" ht="15" customHeight="1">
      <c r="B155" s="278"/>
      <c r="C155" s="278"/>
      <c r="D155" s="277"/>
      <c r="L155" s="1"/>
    </row>
    <row r="156" spans="2:17" ht="15" customHeight="1">
      <c r="B156" s="149"/>
      <c r="C156" s="149"/>
      <c r="D156" s="277"/>
      <c r="L156" s="1"/>
      <c r="O156" s="15"/>
    </row>
    <row r="157" spans="2:17">
      <c r="B157" s="149"/>
      <c r="C157" s="149"/>
      <c r="D157" s="277"/>
      <c r="L157" s="1"/>
      <c r="O157" s="15"/>
    </row>
    <row r="158" spans="2:17">
      <c r="B158" s="278"/>
      <c r="C158" s="278"/>
      <c r="D158" s="277"/>
      <c r="L158" s="1"/>
      <c r="O158" s="15"/>
    </row>
    <row r="159" spans="2:17">
      <c r="B159" s="278"/>
      <c r="C159" s="278"/>
      <c r="D159" s="277"/>
      <c r="L159" s="1"/>
      <c r="O159" s="15"/>
    </row>
    <row r="160" spans="2:17">
      <c r="B160" s="278"/>
      <c r="C160" s="278"/>
      <c r="D160" s="277"/>
      <c r="L160" s="1"/>
      <c r="O160" s="15"/>
    </row>
    <row r="161" spans="2:20">
      <c r="B161" s="149"/>
      <c r="C161" s="149"/>
      <c r="D161" s="277"/>
      <c r="I161" s="15"/>
      <c r="J161" s="15"/>
      <c r="K161" s="15"/>
      <c r="L161" s="56"/>
      <c r="M161" s="15"/>
      <c r="N161" s="15"/>
      <c r="O161" s="15"/>
    </row>
    <row r="162" spans="2:20">
      <c r="B162" s="149"/>
      <c r="C162" s="149"/>
      <c r="D162" s="277"/>
      <c r="L162" s="1"/>
      <c r="M162" s="15"/>
      <c r="N162" s="15"/>
      <c r="O162" s="15"/>
      <c r="P162" s="15"/>
      <c r="Q162" s="15"/>
      <c r="R162" s="15"/>
      <c r="S162" s="15"/>
      <c r="T162" s="15"/>
    </row>
    <row r="163" spans="2:20">
      <c r="B163" s="149"/>
      <c r="C163" s="149"/>
      <c r="D163" s="277"/>
      <c r="L163" s="1"/>
      <c r="M163" s="15"/>
      <c r="N163" s="15"/>
      <c r="O163" s="15"/>
      <c r="P163" s="15"/>
      <c r="Q163" s="15"/>
      <c r="R163" s="15"/>
      <c r="S163" s="15"/>
      <c r="T163" s="15"/>
    </row>
    <row r="164" spans="2:20">
      <c r="B164" s="279"/>
      <c r="C164" s="279"/>
      <c r="D164" s="277"/>
      <c r="L164" s="1"/>
      <c r="M164" s="15"/>
      <c r="N164" s="15"/>
      <c r="O164" s="15"/>
      <c r="P164" s="15"/>
      <c r="Q164" s="15"/>
      <c r="R164" s="15"/>
      <c r="S164" s="15"/>
      <c r="T164" s="15"/>
    </row>
    <row r="165" spans="2:20">
      <c r="B165" s="279"/>
      <c r="C165" s="279"/>
      <c r="D165" s="277"/>
      <c r="L165" s="1"/>
    </row>
    <row r="166" spans="2:20">
      <c r="B166" s="279"/>
      <c r="C166" s="279"/>
      <c r="D166" s="277"/>
      <c r="L166" s="1"/>
    </row>
    <row r="167" spans="2:20">
      <c r="B167" s="279"/>
      <c r="C167" s="279"/>
      <c r="D167" s="277"/>
      <c r="L167" s="1"/>
    </row>
    <row r="168" spans="2:20">
      <c r="B168" s="279"/>
      <c r="C168" s="279"/>
      <c r="D168" s="277"/>
      <c r="L168" s="1"/>
    </row>
    <row r="169" spans="2:20">
      <c r="B169" s="279"/>
      <c r="C169" s="279"/>
      <c r="D169" s="277"/>
      <c r="L169" s="1"/>
    </row>
    <row r="170" spans="2:20">
      <c r="B170" s="279"/>
      <c r="C170" s="279"/>
      <c r="D170" s="277"/>
      <c r="L170" s="1"/>
    </row>
    <row r="171" spans="2:20">
      <c r="B171" s="279"/>
      <c r="C171" s="279"/>
      <c r="D171" s="277"/>
      <c r="L171" s="1"/>
    </row>
    <row r="172" spans="2:20">
      <c r="B172" s="279"/>
      <c r="C172" s="279"/>
      <c r="D172" s="277"/>
      <c r="L172" s="1"/>
    </row>
    <row r="173" spans="2:20">
      <c r="B173" s="279"/>
      <c r="C173" s="279"/>
      <c r="D173" s="277"/>
      <c r="L173" s="1"/>
    </row>
    <row r="174" spans="2:20">
      <c r="B174" s="279"/>
      <c r="C174" s="279"/>
      <c r="D174" s="277"/>
      <c r="L174" s="1"/>
    </row>
    <row r="175" spans="2:20">
      <c r="B175" s="279"/>
      <c r="C175" s="279"/>
      <c r="L175" s="1"/>
    </row>
    <row r="176" spans="2:20">
      <c r="B176" s="279"/>
      <c r="C176" s="279"/>
      <c r="L176" s="1"/>
    </row>
    <row r="177" spans="2:12">
      <c r="B177" s="279"/>
      <c r="C177" s="279"/>
      <c r="L177" s="1"/>
    </row>
    <row r="178" spans="2:12">
      <c r="B178" s="279"/>
      <c r="C178" s="279"/>
      <c r="L178" s="1"/>
    </row>
    <row r="179" spans="2:12">
      <c r="B179" s="279"/>
      <c r="C179" s="279"/>
      <c r="L179" s="1"/>
    </row>
    <row r="180" spans="2:12">
      <c r="B180" s="279"/>
      <c r="C180" s="279"/>
      <c r="L180" s="1"/>
    </row>
    <row r="181" spans="2:12">
      <c r="B181" s="279"/>
      <c r="C181" s="279"/>
      <c r="L181" s="1"/>
    </row>
    <row r="182" spans="2:12">
      <c r="B182" s="279"/>
      <c r="C182" s="279"/>
      <c r="L182" s="1"/>
    </row>
    <row r="183" spans="2:12">
      <c r="B183" s="279"/>
      <c r="C183" s="279"/>
      <c r="L183" s="1"/>
    </row>
    <row r="184" spans="2:12">
      <c r="B184" s="279"/>
      <c r="C184" s="279"/>
      <c r="L184" s="1"/>
    </row>
    <row r="185" spans="2:12">
      <c r="B185" s="279"/>
      <c r="C185" s="279"/>
      <c r="L185" s="1"/>
    </row>
    <row r="186" spans="2:12">
      <c r="B186" s="279"/>
      <c r="C186" s="279"/>
      <c r="L186" s="1"/>
    </row>
    <row r="187" spans="2:12">
      <c r="B187" s="279"/>
      <c r="C187" s="279"/>
      <c r="L187" s="1"/>
    </row>
    <row r="188" spans="2:12">
      <c r="B188" s="279"/>
      <c r="C188" s="279"/>
      <c r="L188" s="1"/>
    </row>
    <row r="189" spans="2:12">
      <c r="B189" s="279"/>
      <c r="C189" s="279"/>
      <c r="L189" s="1"/>
    </row>
    <row r="190" spans="2:12">
      <c r="L190" s="1"/>
    </row>
    <row r="191" spans="2:12">
      <c r="L191" s="1"/>
    </row>
    <row r="192" spans="2:12">
      <c r="L192" s="1"/>
    </row>
    <row r="193" spans="12:12">
      <c r="L193" s="1"/>
    </row>
    <row r="194" spans="12:12">
      <c r="L194" s="1"/>
    </row>
    <row r="195" spans="12:12">
      <c r="L195" s="1"/>
    </row>
    <row r="196" spans="12:12">
      <c r="L196" s="1"/>
    </row>
    <row r="197" spans="12:12">
      <c r="L197" s="1"/>
    </row>
    <row r="198" spans="12:12">
      <c r="L198" s="1"/>
    </row>
    <row r="199" spans="12:12">
      <c r="L199" s="1"/>
    </row>
    <row r="200" spans="12:12">
      <c r="L200" s="1"/>
    </row>
    <row r="201" spans="12:12">
      <c r="L201" s="1"/>
    </row>
    <row r="202" spans="12:12">
      <c r="L202" s="1"/>
    </row>
    <row r="203" spans="12:12">
      <c r="L203" s="1"/>
    </row>
    <row r="204" spans="12:12">
      <c r="L204" s="1"/>
    </row>
    <row r="205" spans="12:12">
      <c r="L205" s="1"/>
    </row>
    <row r="206" spans="12:12">
      <c r="L206" s="1"/>
    </row>
  </sheetData>
  <mergeCells count="1">
    <mergeCell ref="C1:E1"/>
  </mergeCells>
  <conditionalFormatting sqref="B141:C163">
    <cfRule type="cellIs" dxfId="523" priority="2" operator="equal">
      <formula>"PENDENTE"</formula>
    </cfRule>
  </conditionalFormatting>
  <conditionalFormatting sqref="G2">
    <cfRule type="cellIs" dxfId="522" priority="4" operator="equal">
      <formula>"PENDENTE"</formula>
    </cfRule>
  </conditionalFormatting>
  <conditionalFormatting sqref="G3:H25">
    <cfRule type="cellIs" dxfId="521" priority="1" operator="equal">
      <formula>"PENDENTE"</formula>
    </cfRule>
  </conditionalFormatting>
  <conditionalFormatting sqref="H2">
    <cfRule type="cellIs" dxfId="520" priority="3" operator="equal">
      <formula>"PENDENTE"</formula>
    </cfRule>
  </conditionalFormatting>
  <pageMargins left="0.511811024" right="0.511811024" top="0.78740157499999996" bottom="0.78740157499999996" header="0.31496062000000002" footer="0.31496062000000002"/>
  <pageSetup paperSize="9" orientation="portrait" horizontalDpi="360" verticalDpi="36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2">
    <tabColor rgb="FF00B050"/>
  </sheetPr>
  <dimension ref="A1:Z1212"/>
  <sheetViews>
    <sheetView topLeftCell="F1" zoomScaleNormal="100" workbookViewId="0">
      <selection activeCell="O4" sqref="O4"/>
    </sheetView>
  </sheetViews>
  <sheetFormatPr defaultRowHeight="14.4"/>
  <cols>
    <col min="1" max="1" width="10" customWidth="1"/>
    <col min="2" max="2" width="9.6640625" customWidth="1"/>
    <col min="3" max="3" width="34.33203125" customWidth="1"/>
    <col min="4" max="4" width="8.44140625" customWidth="1"/>
    <col min="5" max="5" width="26.44140625" customWidth="1"/>
    <col min="6" max="6" width="13.44140625" customWidth="1"/>
    <col min="7" max="7" width="17.6640625" customWidth="1"/>
    <col min="8" max="8" width="16.77734375" customWidth="1"/>
    <col min="9" max="9" width="13" customWidth="1"/>
    <col min="10" max="10" width="11.44140625" style="25" customWidth="1"/>
    <col min="11" max="11" width="13.109375" style="25" customWidth="1"/>
    <col min="12" max="12" width="14.44140625" customWidth="1"/>
    <col min="13" max="13" width="16.109375" style="2" customWidth="1"/>
    <col min="14" max="14" width="15" customWidth="1"/>
    <col min="15" max="15" width="11" bestFit="1" customWidth="1"/>
    <col min="16" max="16" width="12.88671875" customWidth="1"/>
    <col min="17" max="17" width="11" customWidth="1"/>
    <col min="18" max="18" width="18.33203125" customWidth="1"/>
    <col min="19" max="19" width="10.88671875" bestFit="1" customWidth="1"/>
    <col min="20" max="20" width="14" customWidth="1"/>
    <col min="21" max="21" width="11.109375" bestFit="1" customWidth="1"/>
    <col min="22" max="22" width="11" bestFit="1" customWidth="1"/>
    <col min="23" max="23" width="8" bestFit="1" customWidth="1"/>
    <col min="24" max="24" width="10.44140625" style="25" bestFit="1" customWidth="1"/>
    <col min="25" max="26" width="20.33203125" bestFit="1" customWidth="1"/>
    <col min="27" max="27" width="10.109375" bestFit="1" customWidth="1"/>
  </cols>
  <sheetData>
    <row r="1" spans="1:24" ht="23.4">
      <c r="C1" s="372" t="s">
        <v>14</v>
      </c>
      <c r="D1" s="372"/>
      <c r="E1" s="372"/>
      <c r="F1" s="372"/>
      <c r="G1" s="372"/>
      <c r="N1" s="105">
        <f>SUBTOTAL(9,Parcela1[Coluna1])</f>
        <v>10</v>
      </c>
      <c r="V1" s="25"/>
      <c r="X1"/>
    </row>
    <row r="2" spans="1:24" ht="24">
      <c r="A2" s="122" t="s">
        <v>8305</v>
      </c>
      <c r="B2" s="174" t="s">
        <v>39</v>
      </c>
      <c r="C2" s="175" t="s">
        <v>33</v>
      </c>
      <c r="D2" s="175" t="s">
        <v>0</v>
      </c>
      <c r="E2" s="175" t="s">
        <v>34</v>
      </c>
      <c r="F2" s="175" t="s">
        <v>2452</v>
      </c>
      <c r="G2" s="175" t="s">
        <v>12</v>
      </c>
      <c r="H2" s="175" t="s">
        <v>8297</v>
      </c>
      <c r="I2" s="175" t="s">
        <v>2456</v>
      </c>
      <c r="J2" s="175" t="s">
        <v>35</v>
      </c>
      <c r="K2" s="176" t="s">
        <v>36</v>
      </c>
      <c r="L2" s="175" t="s">
        <v>37</v>
      </c>
      <c r="M2" s="177" t="s">
        <v>38</v>
      </c>
      <c r="N2" s="181" t="s">
        <v>46</v>
      </c>
      <c r="O2" s="179" t="s">
        <v>122</v>
      </c>
      <c r="P2" s="180" t="s">
        <v>7</v>
      </c>
      <c r="Q2" s="180" t="s">
        <v>24</v>
      </c>
      <c r="S2" s="114" t="s">
        <v>0</v>
      </c>
      <c r="T2" s="114" t="s">
        <v>133</v>
      </c>
      <c r="X2"/>
    </row>
    <row r="3" spans="1:24">
      <c r="A3" s="122" t="s">
        <v>2271</v>
      </c>
      <c r="B3" s="36">
        <v>7.02</v>
      </c>
      <c r="C3" s="292" t="s">
        <v>8405</v>
      </c>
      <c r="D3" s="36" t="s">
        <v>1953</v>
      </c>
      <c r="E3" s="122" t="s">
        <v>8425</v>
      </c>
      <c r="F3" s="122" t="s">
        <v>2453</v>
      </c>
      <c r="G3" s="36" t="s">
        <v>8402</v>
      </c>
      <c r="H3" s="36" t="s">
        <v>8373</v>
      </c>
      <c r="I3" s="36" t="s">
        <v>8426</v>
      </c>
      <c r="J3" s="113">
        <v>8812441757</v>
      </c>
      <c r="K3" s="293">
        <v>10</v>
      </c>
      <c r="L3" s="36" t="s">
        <v>8358</v>
      </c>
      <c r="M3" s="60">
        <v>10</v>
      </c>
      <c r="N3" s="37" t="s">
        <v>8296</v>
      </c>
      <c r="O3" s="60">
        <v>10</v>
      </c>
      <c r="P3" s="238"/>
      <c r="Q3" s="239"/>
      <c r="S3" s="36"/>
      <c r="T3" s="36"/>
      <c r="X3"/>
    </row>
    <row r="4" spans="1:24">
      <c r="A4" s="122"/>
      <c r="B4" s="36"/>
      <c r="C4" s="292"/>
      <c r="D4" s="36"/>
      <c r="E4" s="122"/>
      <c r="F4" s="122"/>
      <c r="G4" s="36"/>
      <c r="H4" s="36"/>
      <c r="I4" s="36"/>
      <c r="J4" s="113"/>
      <c r="K4" s="293"/>
      <c r="L4" s="36"/>
      <c r="M4" s="60"/>
      <c r="N4" s="37"/>
      <c r="O4" s="60"/>
      <c r="P4" s="238"/>
      <c r="Q4" s="239"/>
      <c r="S4" s="36"/>
      <c r="T4" s="36"/>
      <c r="X4"/>
    </row>
    <row r="5" spans="1:24">
      <c r="A5" s="358"/>
      <c r="B5" s="36"/>
      <c r="C5" s="292"/>
      <c r="D5" s="36"/>
      <c r="E5" s="122"/>
      <c r="F5" s="122"/>
      <c r="G5" s="36"/>
      <c r="H5" s="36"/>
      <c r="I5" s="36"/>
      <c r="J5" s="113"/>
      <c r="K5" s="293"/>
      <c r="L5" s="36"/>
      <c r="M5" s="60"/>
      <c r="N5" s="37"/>
      <c r="O5" s="60"/>
      <c r="P5" s="238"/>
      <c r="Q5" s="239"/>
      <c r="S5" s="36"/>
      <c r="T5" s="36"/>
      <c r="X5"/>
    </row>
    <row r="6" spans="1:24">
      <c r="A6" s="122"/>
      <c r="B6" s="36"/>
      <c r="C6" s="292"/>
      <c r="D6" s="36"/>
      <c r="E6" s="122"/>
      <c r="F6" s="122"/>
      <c r="G6" s="36"/>
      <c r="H6" s="36"/>
      <c r="I6" s="36"/>
      <c r="J6" s="113"/>
      <c r="K6" s="293"/>
      <c r="L6" s="36"/>
      <c r="M6" s="60"/>
      <c r="N6" s="37"/>
      <c r="O6" s="60"/>
      <c r="P6" s="238"/>
      <c r="Q6" s="239"/>
      <c r="S6" s="36"/>
      <c r="T6" s="36"/>
      <c r="X6"/>
    </row>
    <row r="7" spans="1:24">
      <c r="A7" s="122"/>
      <c r="B7" s="36"/>
      <c r="C7" s="292"/>
      <c r="D7" s="36"/>
      <c r="E7" s="122"/>
      <c r="F7" s="122"/>
      <c r="G7" s="36"/>
      <c r="H7" s="36"/>
      <c r="I7" s="36"/>
      <c r="J7" s="113"/>
      <c r="K7" s="293"/>
      <c r="L7" s="36"/>
      <c r="M7" s="60"/>
      <c r="N7" s="37"/>
      <c r="O7" s="60"/>
      <c r="P7" s="238"/>
      <c r="Q7" s="239"/>
      <c r="S7" s="36"/>
      <c r="T7" s="36"/>
      <c r="X7"/>
    </row>
    <row r="8" spans="1:24">
      <c r="A8" s="122"/>
      <c r="B8" s="36"/>
      <c r="C8" s="292"/>
      <c r="D8" s="36"/>
      <c r="E8" s="122"/>
      <c r="F8" s="122"/>
      <c r="G8" s="36"/>
      <c r="H8" s="36"/>
      <c r="I8" s="36"/>
      <c r="J8" s="113"/>
      <c r="K8" s="293"/>
      <c r="L8" s="36"/>
      <c r="M8" s="60"/>
      <c r="N8" s="37"/>
      <c r="O8" s="60"/>
      <c r="P8" s="238"/>
      <c r="Q8" s="239"/>
      <c r="S8" s="36"/>
      <c r="T8" s="36"/>
      <c r="X8"/>
    </row>
    <row r="9" spans="1:24">
      <c r="A9" s="122"/>
      <c r="B9" s="36"/>
      <c r="C9" s="292"/>
      <c r="D9" s="36"/>
      <c r="E9" s="122"/>
      <c r="F9" s="122"/>
      <c r="G9" s="36"/>
      <c r="H9" s="36"/>
      <c r="I9" s="36"/>
      <c r="J9" s="113"/>
      <c r="K9" s="293"/>
      <c r="L9" s="36"/>
      <c r="M9" s="60"/>
      <c r="N9" s="37"/>
      <c r="O9" s="60"/>
      <c r="P9" s="238"/>
      <c r="Q9" s="239"/>
      <c r="S9" s="36"/>
      <c r="T9" s="36"/>
      <c r="X9"/>
    </row>
    <row r="10" spans="1:24">
      <c r="A10" s="122"/>
      <c r="B10" s="36"/>
      <c r="C10" s="292"/>
      <c r="D10" s="36"/>
      <c r="E10" s="122"/>
      <c r="F10" s="122"/>
      <c r="G10" s="36"/>
      <c r="H10" s="36"/>
      <c r="I10" s="36"/>
      <c r="J10" s="113"/>
      <c r="K10" s="293"/>
      <c r="L10" s="36"/>
      <c r="M10" s="60"/>
      <c r="N10" s="37"/>
      <c r="O10" s="60"/>
      <c r="P10" s="238"/>
      <c r="Q10" s="239"/>
      <c r="S10" s="36"/>
      <c r="T10" s="36"/>
      <c r="X10"/>
    </row>
    <row r="11" spans="1:24">
      <c r="A11" s="122"/>
      <c r="B11" s="36"/>
      <c r="C11" s="292"/>
      <c r="D11" s="36"/>
      <c r="E11" s="122"/>
      <c r="F11" s="122"/>
      <c r="G11" s="36"/>
      <c r="H11" s="36"/>
      <c r="I11" s="36"/>
      <c r="J11" s="113"/>
      <c r="K11" s="293"/>
      <c r="L11" s="36"/>
      <c r="M11" s="60"/>
      <c r="N11" s="37"/>
      <c r="O11" s="60"/>
      <c r="P11" s="238"/>
      <c r="Q11" s="239"/>
      <c r="S11" s="36"/>
      <c r="T11" s="36"/>
      <c r="X11"/>
    </row>
    <row r="12" spans="1:24">
      <c r="A12" s="122"/>
      <c r="B12" s="36"/>
      <c r="C12" s="292"/>
      <c r="D12" s="36"/>
      <c r="E12" s="122"/>
      <c r="F12" s="122"/>
      <c r="G12" s="36"/>
      <c r="H12" s="36"/>
      <c r="I12" s="36"/>
      <c r="J12" s="113"/>
      <c r="K12" s="293"/>
      <c r="L12" s="36"/>
      <c r="M12" s="60"/>
      <c r="N12" s="37"/>
      <c r="O12" s="60"/>
      <c r="P12" s="238"/>
      <c r="Q12" s="239"/>
      <c r="S12" s="36"/>
      <c r="T12" s="36"/>
      <c r="X12"/>
    </row>
    <row r="13" spans="1:24">
      <c r="A13" s="122"/>
      <c r="B13" s="36"/>
      <c r="C13" s="292"/>
      <c r="D13" s="36"/>
      <c r="E13" s="122"/>
      <c r="F13" s="122"/>
      <c r="G13" s="36"/>
      <c r="H13" s="36"/>
      <c r="I13" s="36"/>
      <c r="J13" s="113"/>
      <c r="K13" s="293"/>
      <c r="L13" s="36"/>
      <c r="M13" s="60"/>
      <c r="N13" s="37"/>
      <c r="O13" s="60"/>
      <c r="P13" s="238"/>
      <c r="Q13" s="239"/>
      <c r="S13" s="36"/>
      <c r="T13" s="36"/>
      <c r="X13"/>
    </row>
    <row r="14" spans="1:24">
      <c r="A14" s="122"/>
      <c r="B14" s="36"/>
      <c r="C14" s="292"/>
      <c r="D14" s="36"/>
      <c r="E14" s="122"/>
      <c r="F14" s="122"/>
      <c r="G14" s="36"/>
      <c r="H14" s="36"/>
      <c r="I14" s="36"/>
      <c r="J14" s="113"/>
      <c r="K14" s="293"/>
      <c r="L14" s="36"/>
      <c r="M14" s="60"/>
      <c r="N14" s="37"/>
      <c r="O14" s="60"/>
      <c r="P14" s="238"/>
      <c r="Q14" s="239"/>
      <c r="S14" s="36"/>
      <c r="T14" s="36"/>
      <c r="X14"/>
    </row>
    <row r="15" spans="1:24">
      <c r="A15" s="122"/>
      <c r="B15" s="36"/>
      <c r="C15" s="292"/>
      <c r="D15" s="36"/>
      <c r="E15" s="122"/>
      <c r="F15" s="122"/>
      <c r="G15" s="36"/>
      <c r="H15" s="36"/>
      <c r="I15" s="36"/>
      <c r="J15" s="113"/>
      <c r="K15" s="293"/>
      <c r="L15" s="36"/>
      <c r="M15" s="60"/>
      <c r="N15" s="37"/>
      <c r="O15" s="60"/>
      <c r="P15" s="238"/>
      <c r="Q15" s="239"/>
      <c r="S15" s="36"/>
      <c r="T15" s="36"/>
      <c r="X15"/>
    </row>
    <row r="16" spans="1:24">
      <c r="A16" s="122"/>
      <c r="B16" s="36"/>
      <c r="C16" s="292"/>
      <c r="D16" s="36"/>
      <c r="E16" s="122"/>
      <c r="F16" s="122"/>
      <c r="G16" s="36"/>
      <c r="H16" s="36"/>
      <c r="I16" s="36"/>
      <c r="J16" s="113"/>
      <c r="K16" s="293"/>
      <c r="L16" s="36"/>
      <c r="M16" s="60"/>
      <c r="N16" s="37"/>
      <c r="O16" s="60"/>
      <c r="P16" s="238"/>
      <c r="Q16" s="239"/>
      <c r="S16" s="36"/>
      <c r="T16" s="36"/>
      <c r="X16"/>
    </row>
    <row r="17" spans="1:24">
      <c r="A17" s="122"/>
      <c r="B17" s="36"/>
      <c r="C17" s="292"/>
      <c r="D17" s="36"/>
      <c r="E17" s="122"/>
      <c r="F17" s="122"/>
      <c r="G17" s="36"/>
      <c r="H17" s="36"/>
      <c r="I17" s="36"/>
      <c r="J17" s="113"/>
      <c r="K17" s="293"/>
      <c r="L17" s="36"/>
      <c r="M17" s="60"/>
      <c r="N17" s="37"/>
      <c r="O17" s="60"/>
      <c r="P17" s="238"/>
      <c r="Q17" s="239"/>
      <c r="S17" s="36"/>
      <c r="T17" s="36"/>
      <c r="X17"/>
    </row>
    <row r="18" spans="1:24">
      <c r="A18" s="122"/>
      <c r="B18" s="36"/>
      <c r="C18" s="292"/>
      <c r="D18" s="36"/>
      <c r="E18" s="122"/>
      <c r="F18" s="122"/>
      <c r="G18" s="36"/>
      <c r="H18" s="36"/>
      <c r="I18" s="36"/>
      <c r="J18" s="113"/>
      <c r="K18" s="293"/>
      <c r="L18" s="36"/>
      <c r="M18" s="60"/>
      <c r="N18" s="37"/>
      <c r="O18" s="60"/>
      <c r="P18" s="238"/>
      <c r="Q18" s="239"/>
      <c r="S18" s="36"/>
      <c r="T18" s="36"/>
      <c r="X18"/>
    </row>
    <row r="19" spans="1:24">
      <c r="A19" s="122"/>
      <c r="B19" s="36"/>
      <c r="C19" s="292"/>
      <c r="D19" s="36"/>
      <c r="E19" s="122"/>
      <c r="F19" s="122"/>
      <c r="G19" s="36"/>
      <c r="H19" s="36"/>
      <c r="I19" s="36"/>
      <c r="J19" s="113"/>
      <c r="K19" s="293"/>
      <c r="L19" s="36"/>
      <c r="M19" s="60"/>
      <c r="N19" s="37"/>
      <c r="O19" s="60"/>
      <c r="P19" s="238"/>
      <c r="Q19" s="239"/>
      <c r="S19" s="36"/>
      <c r="T19" s="36"/>
      <c r="X19"/>
    </row>
    <row r="20" spans="1:24">
      <c r="A20" s="122"/>
      <c r="B20" s="36"/>
      <c r="C20" s="292"/>
      <c r="D20" s="36"/>
      <c r="E20" s="122"/>
      <c r="F20" s="122"/>
      <c r="G20" s="36"/>
      <c r="H20" s="36"/>
      <c r="I20" s="36"/>
      <c r="J20" s="113"/>
      <c r="K20" s="293"/>
      <c r="L20" s="36"/>
      <c r="M20" s="60"/>
      <c r="N20" s="37"/>
      <c r="O20" s="60"/>
      <c r="P20" s="238"/>
      <c r="Q20" s="239"/>
      <c r="S20" s="36"/>
      <c r="T20" s="36"/>
      <c r="X20"/>
    </row>
    <row r="21" spans="1:24">
      <c r="A21" s="122"/>
      <c r="B21" s="36"/>
      <c r="C21" s="292"/>
      <c r="D21" s="36"/>
      <c r="E21" s="122"/>
      <c r="F21" s="122"/>
      <c r="G21" s="36"/>
      <c r="H21" s="36"/>
      <c r="I21" s="36"/>
      <c r="J21" s="113"/>
      <c r="K21" s="293"/>
      <c r="L21" s="36"/>
      <c r="M21" s="60"/>
      <c r="N21" s="37"/>
      <c r="O21" s="60"/>
      <c r="P21" s="238"/>
      <c r="Q21" s="239"/>
      <c r="S21" s="36"/>
      <c r="T21" s="36"/>
      <c r="X21"/>
    </row>
    <row r="22" spans="1:24">
      <c r="A22" s="122"/>
      <c r="B22" s="36"/>
      <c r="C22" s="292"/>
      <c r="D22" s="36"/>
      <c r="E22" s="122"/>
      <c r="F22" s="122"/>
      <c r="G22" s="36"/>
      <c r="H22" s="36"/>
      <c r="I22" s="36"/>
      <c r="J22" s="113"/>
      <c r="K22" s="293"/>
      <c r="L22" s="36"/>
      <c r="M22" s="60"/>
      <c r="N22" s="37"/>
      <c r="O22" s="60"/>
      <c r="P22" s="238"/>
      <c r="Q22" s="239"/>
      <c r="S22" s="36"/>
      <c r="T22" s="36"/>
      <c r="X22"/>
    </row>
    <row r="23" spans="1:24">
      <c r="A23" s="122"/>
      <c r="B23" s="36"/>
      <c r="C23" s="292"/>
      <c r="D23" s="36"/>
      <c r="E23" s="122"/>
      <c r="F23" s="122"/>
      <c r="G23" s="36"/>
      <c r="H23" s="36"/>
      <c r="I23" s="36"/>
      <c r="J23" s="113"/>
      <c r="K23" s="293"/>
      <c r="L23" s="36"/>
      <c r="M23" s="60"/>
      <c r="N23" s="37"/>
      <c r="O23" s="60"/>
      <c r="P23" s="238"/>
      <c r="Q23" s="239"/>
      <c r="S23" s="36"/>
      <c r="T23" s="36"/>
      <c r="X23"/>
    </row>
    <row r="24" spans="1:24">
      <c r="A24" s="122"/>
      <c r="B24" s="36"/>
      <c r="C24" s="292"/>
      <c r="D24" s="36"/>
      <c r="E24" s="122"/>
      <c r="F24" s="122"/>
      <c r="G24" s="36"/>
      <c r="H24" s="36"/>
      <c r="I24" s="36"/>
      <c r="J24" s="113"/>
      <c r="K24" s="293"/>
      <c r="L24" s="36"/>
      <c r="M24" s="60"/>
      <c r="N24" s="37"/>
      <c r="O24" s="60"/>
      <c r="P24" s="238"/>
      <c r="Q24" s="239"/>
      <c r="S24" s="36"/>
      <c r="T24" s="36"/>
      <c r="X24"/>
    </row>
    <row r="25" spans="1:24">
      <c r="A25" s="122"/>
      <c r="B25" s="36"/>
      <c r="C25" s="292"/>
      <c r="D25" s="36"/>
      <c r="E25" s="122"/>
      <c r="F25" s="122"/>
      <c r="G25" s="36"/>
      <c r="H25" s="36"/>
      <c r="I25" s="36"/>
      <c r="J25" s="113"/>
      <c r="K25" s="293"/>
      <c r="L25" s="36"/>
      <c r="M25" s="60"/>
      <c r="N25" s="37"/>
      <c r="O25" s="60"/>
      <c r="P25" s="238"/>
      <c r="Q25" s="239"/>
      <c r="S25" s="36"/>
      <c r="T25" s="36"/>
      <c r="X25"/>
    </row>
    <row r="26" spans="1:24">
      <c r="A26" s="122"/>
      <c r="B26" s="36"/>
      <c r="C26" s="292"/>
      <c r="D26" s="36"/>
      <c r="E26" s="122"/>
      <c r="F26" s="122"/>
      <c r="G26" s="36"/>
      <c r="H26" s="36"/>
      <c r="I26" s="36"/>
      <c r="J26" s="113"/>
      <c r="K26" s="293"/>
      <c r="L26" s="36"/>
      <c r="M26" s="60"/>
      <c r="N26" s="37"/>
      <c r="O26" s="60"/>
      <c r="P26" s="238"/>
      <c r="Q26" s="239"/>
      <c r="S26" s="36"/>
      <c r="T26" s="36"/>
      <c r="X26"/>
    </row>
    <row r="27" spans="1:24">
      <c r="A27" s="122"/>
      <c r="B27" s="36"/>
      <c r="C27" s="292"/>
      <c r="D27" s="36"/>
      <c r="E27" s="122"/>
      <c r="F27" s="122"/>
      <c r="G27" s="36"/>
      <c r="H27" s="36"/>
      <c r="I27" s="36"/>
      <c r="J27" s="113"/>
      <c r="K27" s="293"/>
      <c r="L27" s="36"/>
      <c r="M27" s="60"/>
      <c r="N27" s="37"/>
      <c r="O27" s="60"/>
      <c r="P27" s="238"/>
      <c r="Q27" s="239"/>
      <c r="S27" s="36"/>
      <c r="T27" s="36"/>
      <c r="X27"/>
    </row>
    <row r="28" spans="1:24">
      <c r="A28" s="122"/>
      <c r="B28" s="36"/>
      <c r="C28" s="292"/>
      <c r="D28" s="36"/>
      <c r="E28" s="122"/>
      <c r="F28" s="122"/>
      <c r="G28" s="36"/>
      <c r="H28" s="36"/>
      <c r="I28" s="36"/>
      <c r="J28" s="113"/>
      <c r="K28" s="293"/>
      <c r="L28" s="36"/>
      <c r="M28" s="60"/>
      <c r="N28" s="37"/>
      <c r="O28" s="60"/>
      <c r="P28" s="238"/>
      <c r="Q28" s="239"/>
      <c r="S28" s="36"/>
      <c r="T28" s="36"/>
      <c r="X28"/>
    </row>
    <row r="29" spans="1:24">
      <c r="A29" s="122"/>
      <c r="B29" s="36"/>
      <c r="C29" s="292"/>
      <c r="D29" s="36"/>
      <c r="E29" s="122"/>
      <c r="F29" s="122"/>
      <c r="G29" s="36"/>
      <c r="H29" s="36"/>
      <c r="I29" s="36"/>
      <c r="J29" s="113"/>
      <c r="K29" s="293"/>
      <c r="L29" s="36"/>
      <c r="M29" s="60"/>
      <c r="N29" s="37"/>
      <c r="O29" s="60"/>
      <c r="P29" s="238"/>
      <c r="Q29" s="239"/>
      <c r="S29" s="36"/>
      <c r="T29" s="36"/>
      <c r="X29"/>
    </row>
    <row r="30" spans="1:24">
      <c r="A30" s="122"/>
      <c r="B30" s="36"/>
      <c r="C30" s="292"/>
      <c r="D30" s="36"/>
      <c r="E30" s="36"/>
      <c r="F30" s="122"/>
      <c r="G30" s="36"/>
      <c r="H30" s="36"/>
      <c r="I30" s="36"/>
      <c r="J30" s="113"/>
      <c r="K30" s="293"/>
      <c r="L30" s="36"/>
      <c r="M30" s="60"/>
      <c r="N30" s="37"/>
      <c r="O30" s="60"/>
      <c r="P30" s="238"/>
      <c r="Q30" s="239"/>
      <c r="S30" s="36"/>
      <c r="T30" s="36"/>
      <c r="X30"/>
    </row>
    <row r="31" spans="1:24">
      <c r="A31" s="122"/>
      <c r="B31" s="36"/>
      <c r="C31" s="292"/>
      <c r="D31" s="36"/>
      <c r="E31" s="36"/>
      <c r="F31" s="122"/>
      <c r="G31" s="36"/>
      <c r="H31" s="36"/>
      <c r="I31" s="36"/>
      <c r="J31" s="113"/>
      <c r="K31" s="293"/>
      <c r="L31" s="36"/>
      <c r="M31" s="60"/>
      <c r="N31" s="37"/>
      <c r="O31" s="60"/>
      <c r="P31" s="238"/>
      <c r="Q31" s="239"/>
      <c r="S31" s="36"/>
      <c r="T31" s="36"/>
      <c r="X31"/>
    </row>
    <row r="32" spans="1:24">
      <c r="A32" s="122"/>
      <c r="B32" s="36"/>
      <c r="C32" s="292"/>
      <c r="D32" s="36"/>
      <c r="E32" s="36"/>
      <c r="F32" s="122"/>
      <c r="G32" s="36"/>
      <c r="H32" s="36"/>
      <c r="I32" s="36"/>
      <c r="J32" s="113"/>
      <c r="K32" s="293"/>
      <c r="L32" s="36"/>
      <c r="M32" s="60"/>
      <c r="N32" s="37"/>
      <c r="O32" s="60"/>
      <c r="P32" s="238"/>
      <c r="Q32" s="239"/>
      <c r="S32" s="36"/>
      <c r="T32" s="36"/>
      <c r="X32"/>
    </row>
    <row r="33" spans="1:24">
      <c r="A33" s="122"/>
      <c r="B33" s="36"/>
      <c r="C33" s="292"/>
      <c r="D33" s="36"/>
      <c r="E33" s="122"/>
      <c r="F33" s="122"/>
      <c r="G33" s="36"/>
      <c r="H33" s="36"/>
      <c r="I33" s="36"/>
      <c r="J33" s="113"/>
      <c r="K33" s="293"/>
      <c r="L33" s="36"/>
      <c r="M33" s="60"/>
      <c r="N33" s="37"/>
      <c r="O33" s="60"/>
      <c r="P33" s="238"/>
      <c r="Q33" s="239"/>
      <c r="S33" s="36"/>
      <c r="T33" s="36"/>
      <c r="X33"/>
    </row>
    <row r="34" spans="1:24">
      <c r="A34" s="122"/>
      <c r="B34" s="36"/>
      <c r="C34" s="292"/>
      <c r="D34" s="36"/>
      <c r="E34" s="122"/>
      <c r="F34" s="122"/>
      <c r="G34" s="36"/>
      <c r="H34" s="36"/>
      <c r="I34" s="36"/>
      <c r="J34" s="113"/>
      <c r="K34" s="293"/>
      <c r="L34" s="36"/>
      <c r="M34" s="60"/>
      <c r="N34" s="37"/>
      <c r="O34" s="60"/>
      <c r="P34" s="238"/>
      <c r="Q34" s="239"/>
      <c r="S34" s="36"/>
      <c r="T34" s="36"/>
      <c r="X34"/>
    </row>
    <row r="35" spans="1:24">
      <c r="A35" s="122"/>
      <c r="B35" s="36"/>
      <c r="C35" s="36"/>
      <c r="D35" s="36"/>
      <c r="E35" s="122"/>
      <c r="F35" s="122"/>
      <c r="G35" s="36"/>
      <c r="H35" s="36"/>
      <c r="I35" s="36"/>
      <c r="J35" s="113"/>
      <c r="K35" s="293"/>
      <c r="L35" s="36"/>
      <c r="M35" s="60"/>
      <c r="N35" s="37"/>
      <c r="O35" s="60"/>
      <c r="P35" s="238"/>
      <c r="Q35" s="239"/>
      <c r="S35" s="36"/>
      <c r="T35" s="36"/>
      <c r="X35"/>
    </row>
    <row r="36" spans="1:24">
      <c r="A36" s="122"/>
      <c r="B36" s="36"/>
      <c r="C36" s="292"/>
      <c r="D36" s="36"/>
      <c r="E36" s="122"/>
      <c r="F36" s="122"/>
      <c r="G36" s="36"/>
      <c r="H36" s="36"/>
      <c r="I36" s="36"/>
      <c r="J36" s="113"/>
      <c r="K36" s="293"/>
      <c r="L36" s="36"/>
      <c r="M36" s="60"/>
      <c r="N36" s="37"/>
      <c r="O36" s="60"/>
      <c r="P36" s="238"/>
      <c r="Q36" s="239"/>
      <c r="S36" s="36"/>
      <c r="T36" s="36"/>
      <c r="X36"/>
    </row>
    <row r="37" spans="1:24">
      <c r="A37" s="122"/>
      <c r="B37" s="36"/>
      <c r="C37" s="292"/>
      <c r="D37" s="36"/>
      <c r="E37" s="122"/>
      <c r="F37" s="122"/>
      <c r="G37" s="36"/>
      <c r="H37" s="36"/>
      <c r="I37" s="36"/>
      <c r="J37" s="113"/>
      <c r="K37" s="293"/>
      <c r="L37" s="36"/>
      <c r="M37" s="60"/>
      <c r="N37" s="37"/>
      <c r="O37" s="60"/>
      <c r="P37" s="238"/>
      <c r="Q37" s="239"/>
      <c r="S37" s="36"/>
      <c r="T37" s="36"/>
      <c r="X37"/>
    </row>
    <row r="38" spans="1:24">
      <c r="A38" s="122"/>
      <c r="B38" s="36"/>
      <c r="C38" s="292"/>
      <c r="D38" s="36"/>
      <c r="E38" s="122"/>
      <c r="F38" s="122"/>
      <c r="G38" s="36"/>
      <c r="H38" s="36"/>
      <c r="I38" s="36"/>
      <c r="J38" s="113"/>
      <c r="K38" s="293"/>
      <c r="L38" s="36"/>
      <c r="M38" s="60"/>
      <c r="N38" s="37"/>
      <c r="O38" s="60"/>
      <c r="P38" s="238"/>
      <c r="Q38" s="239"/>
      <c r="S38" s="36"/>
      <c r="T38" s="36"/>
      <c r="X38"/>
    </row>
    <row r="39" spans="1:24">
      <c r="A39" s="122"/>
      <c r="B39" s="36"/>
      <c r="C39" s="292"/>
      <c r="D39" s="36"/>
      <c r="E39" s="122"/>
      <c r="F39" s="122"/>
      <c r="G39" s="36"/>
      <c r="H39" s="36"/>
      <c r="I39" s="36"/>
      <c r="J39" s="113"/>
      <c r="K39" s="293"/>
      <c r="L39" s="36"/>
      <c r="M39" s="60"/>
      <c r="N39" s="37"/>
      <c r="O39" s="60"/>
      <c r="P39" s="238"/>
      <c r="Q39" s="239"/>
      <c r="S39" s="36"/>
      <c r="T39" s="36"/>
      <c r="X39"/>
    </row>
    <row r="40" spans="1:24">
      <c r="A40" s="122"/>
      <c r="B40" s="36"/>
      <c r="C40" s="292"/>
      <c r="D40" s="36"/>
      <c r="E40" s="122"/>
      <c r="F40" s="122"/>
      <c r="G40" s="36"/>
      <c r="H40" s="36"/>
      <c r="I40" s="36"/>
      <c r="J40" s="113"/>
      <c r="K40" s="293"/>
      <c r="L40" s="36"/>
      <c r="M40" s="60"/>
      <c r="N40" s="37"/>
      <c r="O40" s="60"/>
      <c r="P40" s="238"/>
      <c r="Q40" s="239"/>
      <c r="S40" s="36"/>
      <c r="T40" s="36"/>
      <c r="X40"/>
    </row>
    <row r="41" spans="1:24">
      <c r="A41" s="122"/>
      <c r="B41" s="36"/>
      <c r="C41" s="292"/>
      <c r="D41" s="36"/>
      <c r="E41" s="122"/>
      <c r="F41" s="122"/>
      <c r="G41" s="36"/>
      <c r="H41" s="36"/>
      <c r="I41" s="36"/>
      <c r="J41" s="113"/>
      <c r="K41" s="293"/>
      <c r="L41" s="36"/>
      <c r="M41" s="60"/>
      <c r="N41" s="37"/>
      <c r="O41" s="60"/>
      <c r="P41" s="238"/>
      <c r="Q41" s="239"/>
      <c r="S41" s="36"/>
      <c r="T41" s="36"/>
      <c r="X41"/>
    </row>
    <row r="42" spans="1:24">
      <c r="A42" s="122"/>
      <c r="B42" s="36"/>
      <c r="C42" s="292"/>
      <c r="D42" s="36"/>
      <c r="E42" s="122"/>
      <c r="F42" s="122"/>
      <c r="G42" s="36"/>
      <c r="H42" s="36"/>
      <c r="I42" s="36"/>
      <c r="J42" s="113"/>
      <c r="K42" s="293"/>
      <c r="L42" s="36"/>
      <c r="M42" s="60"/>
      <c r="N42" s="37"/>
      <c r="O42" s="60"/>
      <c r="P42" s="238"/>
      <c r="Q42" s="239"/>
      <c r="S42" s="36"/>
      <c r="T42" s="36"/>
      <c r="X42"/>
    </row>
    <row r="43" spans="1:24">
      <c r="A43" s="122"/>
      <c r="B43" s="36"/>
      <c r="C43" s="292"/>
      <c r="D43" s="36"/>
      <c r="E43" s="122"/>
      <c r="F43" s="122"/>
      <c r="G43" s="36"/>
      <c r="H43" s="36"/>
      <c r="I43" s="36"/>
      <c r="J43" s="113"/>
      <c r="K43" s="293"/>
      <c r="L43" s="36"/>
      <c r="M43" s="60"/>
      <c r="N43" s="37"/>
      <c r="O43" s="60"/>
      <c r="P43" s="238"/>
      <c r="Q43" s="239"/>
      <c r="S43" s="36"/>
      <c r="T43" s="36"/>
      <c r="X43"/>
    </row>
    <row r="44" spans="1:24">
      <c r="A44" s="122"/>
      <c r="B44" s="36"/>
      <c r="C44" s="292"/>
      <c r="D44" s="36"/>
      <c r="E44" s="122"/>
      <c r="F44" s="122"/>
      <c r="G44" s="36"/>
      <c r="H44" s="36"/>
      <c r="I44" s="36"/>
      <c r="J44" s="113"/>
      <c r="K44" s="293"/>
      <c r="L44" s="36"/>
      <c r="M44" s="60"/>
      <c r="N44" s="37"/>
      <c r="O44" s="60"/>
      <c r="P44" s="238"/>
      <c r="Q44" s="239"/>
      <c r="S44" s="36"/>
      <c r="T44" s="36"/>
      <c r="X44"/>
    </row>
    <row r="45" spans="1:24">
      <c r="A45" s="122"/>
      <c r="B45" s="36"/>
      <c r="C45" s="292"/>
      <c r="D45" s="36"/>
      <c r="E45" s="122"/>
      <c r="F45" s="122"/>
      <c r="G45" s="36"/>
      <c r="H45" s="36"/>
      <c r="I45" s="36"/>
      <c r="J45" s="113"/>
      <c r="K45" s="293"/>
      <c r="L45" s="36"/>
      <c r="M45" s="60"/>
      <c r="N45" s="37"/>
      <c r="O45" s="60"/>
      <c r="P45" s="238"/>
      <c r="Q45" s="239"/>
      <c r="S45" s="36"/>
      <c r="T45" s="36"/>
      <c r="X45"/>
    </row>
    <row r="46" spans="1:24">
      <c r="A46" s="122"/>
      <c r="B46" s="36"/>
      <c r="C46" s="292"/>
      <c r="D46" s="36"/>
      <c r="E46" s="122"/>
      <c r="F46" s="122"/>
      <c r="G46" s="36"/>
      <c r="H46" s="36"/>
      <c r="I46" s="36"/>
      <c r="J46" s="113"/>
      <c r="K46" s="293"/>
      <c r="L46" s="36"/>
      <c r="M46" s="60"/>
      <c r="N46" s="37"/>
      <c r="O46" s="60"/>
      <c r="P46" s="238"/>
      <c r="Q46" s="239"/>
      <c r="S46" s="36"/>
      <c r="T46" s="36"/>
      <c r="X46"/>
    </row>
    <row r="47" spans="1:24">
      <c r="A47" s="122"/>
      <c r="B47" s="36"/>
      <c r="C47" s="292"/>
      <c r="D47" s="36"/>
      <c r="E47" s="122"/>
      <c r="F47" s="122"/>
      <c r="G47" s="36"/>
      <c r="H47" s="36"/>
      <c r="I47" s="36"/>
      <c r="J47" s="113"/>
      <c r="K47" s="293"/>
      <c r="L47" s="36"/>
      <c r="M47" s="60"/>
      <c r="N47" s="37"/>
      <c r="O47" s="60"/>
      <c r="P47" s="238"/>
      <c r="Q47" s="239"/>
      <c r="S47" s="36"/>
      <c r="T47" s="36"/>
      <c r="X47"/>
    </row>
    <row r="48" spans="1:24">
      <c r="A48" s="231"/>
      <c r="B48" s="36"/>
      <c r="C48" s="292"/>
      <c r="D48" s="36"/>
      <c r="E48" s="122"/>
      <c r="F48" s="122"/>
      <c r="G48" s="36"/>
      <c r="H48" s="36"/>
      <c r="I48" s="36"/>
      <c r="J48" s="113"/>
      <c r="K48" s="293"/>
      <c r="L48" s="36"/>
      <c r="M48" s="60"/>
      <c r="N48" s="37"/>
      <c r="O48" s="60"/>
      <c r="P48" s="238"/>
      <c r="Q48" s="239"/>
      <c r="S48" s="36"/>
      <c r="T48" s="36"/>
      <c r="X48"/>
    </row>
    <row r="49" spans="1:24">
      <c r="A49" s="231"/>
      <c r="B49" s="36"/>
      <c r="C49" s="292"/>
      <c r="D49" s="36"/>
      <c r="E49" s="122"/>
      <c r="F49" s="122"/>
      <c r="G49" s="36"/>
      <c r="H49" s="36"/>
      <c r="I49" s="36"/>
      <c r="J49" s="113"/>
      <c r="K49" s="293"/>
      <c r="L49" s="36"/>
      <c r="M49" s="60"/>
      <c r="N49" s="37"/>
      <c r="O49" s="60"/>
      <c r="P49" s="238"/>
      <c r="Q49" s="239"/>
      <c r="S49" s="36"/>
      <c r="T49" s="36"/>
      <c r="X49"/>
    </row>
    <row r="50" spans="1:24">
      <c r="A50" s="122"/>
      <c r="B50" s="36"/>
      <c r="C50" s="292"/>
      <c r="D50" s="36"/>
      <c r="E50" s="122"/>
      <c r="F50" s="122"/>
      <c r="G50" s="36"/>
      <c r="H50" s="36"/>
      <c r="I50" s="36"/>
      <c r="J50" s="113"/>
      <c r="K50" s="293"/>
      <c r="L50" s="36"/>
      <c r="M50" s="60"/>
      <c r="N50" s="37"/>
      <c r="O50" s="60"/>
      <c r="P50" s="238"/>
      <c r="Q50" s="239"/>
      <c r="S50" s="36"/>
      <c r="T50" s="36"/>
      <c r="X50"/>
    </row>
    <row r="51" spans="1:24">
      <c r="A51" s="122"/>
      <c r="B51" s="36"/>
      <c r="C51" s="292"/>
      <c r="D51" s="36"/>
      <c r="E51" s="122"/>
      <c r="F51" s="122"/>
      <c r="G51" s="36"/>
      <c r="H51" s="36"/>
      <c r="I51" s="36"/>
      <c r="J51" s="113"/>
      <c r="K51" s="293"/>
      <c r="L51" s="36"/>
      <c r="M51" s="60"/>
      <c r="N51" s="37"/>
      <c r="O51" s="60"/>
      <c r="P51" s="238"/>
      <c r="Q51" s="239"/>
      <c r="S51" s="36"/>
      <c r="T51" s="36"/>
      <c r="X51"/>
    </row>
    <row r="52" spans="1:24">
      <c r="A52" s="122"/>
      <c r="B52" s="36"/>
      <c r="C52" s="292"/>
      <c r="D52" s="36"/>
      <c r="E52" s="122"/>
      <c r="F52" s="122"/>
      <c r="G52" s="36"/>
      <c r="H52" s="36"/>
      <c r="I52" s="36"/>
      <c r="J52" s="113"/>
      <c r="K52" s="293"/>
      <c r="L52" s="36"/>
      <c r="M52" s="60"/>
      <c r="N52" s="37"/>
      <c r="O52" s="60"/>
      <c r="P52" s="238"/>
      <c r="Q52" s="239"/>
      <c r="S52" s="36"/>
      <c r="T52" s="36"/>
      <c r="X52"/>
    </row>
    <row r="53" spans="1:24">
      <c r="A53" s="122"/>
      <c r="B53" s="36"/>
      <c r="C53" s="292"/>
      <c r="D53" s="36"/>
      <c r="E53" s="122"/>
      <c r="F53" s="122"/>
      <c r="G53" s="36"/>
      <c r="H53" s="36"/>
      <c r="I53" s="36"/>
      <c r="J53" s="113"/>
      <c r="K53" s="293"/>
      <c r="L53" s="36"/>
      <c r="M53" s="60"/>
      <c r="N53" s="37"/>
      <c r="O53" s="60"/>
      <c r="P53" s="238"/>
      <c r="Q53" s="239"/>
      <c r="S53" s="36"/>
      <c r="T53" s="36"/>
      <c r="X53"/>
    </row>
    <row r="54" spans="1:24">
      <c r="A54" s="122"/>
      <c r="B54" s="36"/>
      <c r="C54" s="292"/>
      <c r="D54" s="36"/>
      <c r="E54" s="122"/>
      <c r="F54" s="122"/>
      <c r="G54" s="36"/>
      <c r="H54" s="36"/>
      <c r="I54" s="36"/>
      <c r="J54" s="113"/>
      <c r="K54" s="293"/>
      <c r="L54" s="36"/>
      <c r="M54" s="60"/>
      <c r="N54" s="37"/>
      <c r="O54" s="60"/>
      <c r="P54" s="238"/>
      <c r="Q54" s="239"/>
      <c r="S54" s="36"/>
      <c r="T54" s="36"/>
      <c r="X54"/>
    </row>
    <row r="55" spans="1:24">
      <c r="A55" s="122"/>
      <c r="B55" s="36"/>
      <c r="C55" s="292"/>
      <c r="D55" s="36"/>
      <c r="E55" s="122"/>
      <c r="F55" s="122"/>
      <c r="G55" s="36"/>
      <c r="H55" s="36"/>
      <c r="I55" s="36"/>
      <c r="J55" s="113"/>
      <c r="K55" s="293"/>
      <c r="L55" s="36"/>
      <c r="M55" s="60"/>
      <c r="N55" s="37"/>
      <c r="O55" s="60"/>
      <c r="P55" s="238"/>
      <c r="Q55" s="239"/>
      <c r="S55" s="36"/>
      <c r="T55" s="36"/>
      <c r="X55"/>
    </row>
    <row r="56" spans="1:24">
      <c r="A56" s="122"/>
      <c r="B56" s="36"/>
      <c r="C56" s="292"/>
      <c r="D56" s="36"/>
      <c r="E56" s="122"/>
      <c r="F56" s="122"/>
      <c r="G56" s="36"/>
      <c r="H56" s="36"/>
      <c r="I56" s="36"/>
      <c r="J56" s="113"/>
      <c r="K56" s="293"/>
      <c r="L56" s="36"/>
      <c r="M56" s="60"/>
      <c r="N56" s="37"/>
      <c r="O56" s="60"/>
      <c r="P56" s="238"/>
      <c r="Q56" s="239"/>
      <c r="S56" s="36"/>
      <c r="T56" s="36"/>
      <c r="X56"/>
    </row>
    <row r="57" spans="1:24">
      <c r="A57" s="231"/>
      <c r="B57" s="36"/>
      <c r="C57" s="292"/>
      <c r="D57" s="36"/>
      <c r="E57" s="36"/>
      <c r="F57" s="122"/>
      <c r="G57" s="36"/>
      <c r="H57" s="36"/>
      <c r="I57" s="36"/>
      <c r="J57" s="113"/>
      <c r="K57" s="293"/>
      <c r="L57" s="36"/>
      <c r="M57" s="60"/>
      <c r="N57" s="37"/>
      <c r="O57" s="60"/>
      <c r="P57" s="238"/>
      <c r="Q57" s="239"/>
      <c r="S57" s="36"/>
      <c r="T57" s="36"/>
      <c r="X57"/>
    </row>
    <row r="58" spans="1:24">
      <c r="A58" s="122"/>
      <c r="B58" s="36"/>
      <c r="C58" s="122"/>
      <c r="D58" s="36"/>
      <c r="E58" s="122"/>
      <c r="F58" s="122"/>
      <c r="G58" s="36"/>
      <c r="H58" s="36"/>
      <c r="I58" s="36"/>
      <c r="J58" s="113"/>
      <c r="K58" s="293"/>
      <c r="L58" s="36"/>
      <c r="M58" s="60"/>
      <c r="N58" s="37"/>
      <c r="O58" s="60"/>
      <c r="P58" s="238"/>
      <c r="Q58" s="239"/>
      <c r="S58" s="36"/>
      <c r="T58" s="36"/>
      <c r="X58"/>
    </row>
    <row r="59" spans="1:24">
      <c r="A59" s="122"/>
      <c r="B59" s="36"/>
      <c r="C59" s="292"/>
      <c r="D59" s="36"/>
      <c r="E59" s="122"/>
      <c r="F59" s="122"/>
      <c r="G59" s="36"/>
      <c r="H59" s="36"/>
      <c r="I59" s="36"/>
      <c r="J59" s="113"/>
      <c r="K59" s="293"/>
      <c r="L59" s="36"/>
      <c r="M59" s="60"/>
      <c r="N59" s="37"/>
      <c r="O59" s="60"/>
      <c r="P59" s="238"/>
      <c r="Q59" s="239"/>
      <c r="S59" s="36"/>
      <c r="T59" s="36"/>
      <c r="X59"/>
    </row>
    <row r="60" spans="1:24">
      <c r="A60" s="122"/>
      <c r="B60" s="36"/>
      <c r="C60" s="292"/>
      <c r="D60" s="36"/>
      <c r="E60" s="122"/>
      <c r="F60" s="122"/>
      <c r="G60" s="36"/>
      <c r="H60" s="36"/>
      <c r="I60" s="36"/>
      <c r="J60" s="113"/>
      <c r="K60" s="293"/>
      <c r="L60" s="36"/>
      <c r="M60" s="60"/>
      <c r="N60" s="37"/>
      <c r="O60" s="60"/>
      <c r="P60" s="238"/>
      <c r="Q60" s="239"/>
      <c r="S60" s="36"/>
      <c r="T60" s="36"/>
      <c r="X60"/>
    </row>
    <row r="61" spans="1:24">
      <c r="A61" s="122"/>
      <c r="B61" s="36"/>
      <c r="C61" s="292"/>
      <c r="D61" s="36"/>
      <c r="E61" s="122"/>
      <c r="F61" s="122"/>
      <c r="G61" s="36"/>
      <c r="H61" s="36"/>
      <c r="I61" s="36"/>
      <c r="J61" s="113"/>
      <c r="K61" s="293"/>
      <c r="L61" s="36"/>
      <c r="M61" s="60"/>
      <c r="N61" s="37"/>
      <c r="O61" s="60"/>
      <c r="P61" s="238"/>
      <c r="Q61" s="239"/>
      <c r="S61" s="36"/>
      <c r="T61" s="36"/>
      <c r="X61"/>
    </row>
    <row r="62" spans="1:24">
      <c r="A62" s="122"/>
      <c r="B62" s="36"/>
      <c r="C62" s="292"/>
      <c r="D62" s="36"/>
      <c r="E62" s="122"/>
      <c r="F62" s="122"/>
      <c r="G62" s="36"/>
      <c r="H62" s="36"/>
      <c r="I62" s="36"/>
      <c r="J62" s="113"/>
      <c r="K62" s="293"/>
      <c r="L62" s="36"/>
      <c r="M62" s="60"/>
      <c r="N62" s="37"/>
      <c r="O62" s="60"/>
      <c r="P62" s="156"/>
      <c r="Q62" s="239"/>
      <c r="S62" s="36"/>
      <c r="T62" s="36"/>
      <c r="X62"/>
    </row>
    <row r="63" spans="1:24">
      <c r="A63" s="122"/>
      <c r="B63" s="36"/>
      <c r="C63" s="292"/>
      <c r="D63" s="36"/>
      <c r="E63" s="122"/>
      <c r="F63" s="122"/>
      <c r="G63" s="36"/>
      <c r="H63" s="36"/>
      <c r="I63" s="36"/>
      <c r="J63" s="113"/>
      <c r="K63" s="293"/>
      <c r="L63" s="36"/>
      <c r="M63" s="60"/>
      <c r="N63" s="37"/>
      <c r="O63" s="60"/>
      <c r="P63" s="238"/>
      <c r="Q63" s="239"/>
      <c r="S63" s="36"/>
      <c r="T63" s="36"/>
      <c r="X63"/>
    </row>
    <row r="64" spans="1:24">
      <c r="A64" s="122"/>
      <c r="B64" s="36"/>
      <c r="C64" s="292"/>
      <c r="D64" s="36"/>
      <c r="E64" s="122"/>
      <c r="F64" s="122"/>
      <c r="G64" s="36"/>
      <c r="H64" s="36"/>
      <c r="I64" s="36"/>
      <c r="J64" s="113"/>
      <c r="K64" s="293"/>
      <c r="L64" s="36"/>
      <c r="M64" s="60"/>
      <c r="N64" s="37"/>
      <c r="O64" s="60"/>
      <c r="P64" s="238"/>
      <c r="Q64" s="239"/>
      <c r="S64" s="36"/>
      <c r="T64" s="36"/>
      <c r="X64"/>
    </row>
    <row r="65" spans="1:24">
      <c r="A65" s="122"/>
      <c r="B65" s="36"/>
      <c r="C65" s="292"/>
      <c r="D65" s="36"/>
      <c r="E65" s="122"/>
      <c r="F65" s="122"/>
      <c r="G65" s="36"/>
      <c r="H65" s="36"/>
      <c r="I65" s="36"/>
      <c r="J65" s="113"/>
      <c r="K65" s="293"/>
      <c r="L65" s="36"/>
      <c r="M65" s="60"/>
      <c r="N65" s="37"/>
      <c r="O65" s="60"/>
      <c r="P65" s="238"/>
      <c r="Q65" s="239"/>
      <c r="S65" s="36"/>
      <c r="T65" s="36"/>
      <c r="X65"/>
    </row>
    <row r="66" spans="1:24">
      <c r="A66" s="231"/>
      <c r="B66" s="36"/>
      <c r="C66" s="292"/>
      <c r="D66" s="36"/>
      <c r="E66" s="122"/>
      <c r="F66" s="122"/>
      <c r="G66" s="36"/>
      <c r="H66" s="36"/>
      <c r="I66" s="36"/>
      <c r="J66" s="113"/>
      <c r="K66" s="293"/>
      <c r="L66" s="36"/>
      <c r="M66" s="60"/>
      <c r="N66" s="37"/>
      <c r="O66" s="60"/>
      <c r="P66" s="238"/>
      <c r="Q66" s="239"/>
      <c r="S66" s="36"/>
      <c r="T66" s="36"/>
      <c r="X66"/>
    </row>
    <row r="67" spans="1:24">
      <c r="A67" s="122"/>
      <c r="B67" s="36"/>
      <c r="C67" s="292"/>
      <c r="D67" s="36"/>
      <c r="E67" s="122"/>
      <c r="F67" s="122"/>
      <c r="G67" s="36"/>
      <c r="H67" s="36"/>
      <c r="I67" s="36"/>
      <c r="J67" s="113"/>
      <c r="K67" s="293"/>
      <c r="L67" s="36"/>
      <c r="M67" s="60"/>
      <c r="N67" s="37"/>
      <c r="O67" s="60"/>
      <c r="P67" s="238"/>
      <c r="Q67" s="239"/>
      <c r="S67" s="36"/>
      <c r="T67" s="36"/>
      <c r="X67"/>
    </row>
    <row r="68" spans="1:24">
      <c r="A68" s="122"/>
      <c r="B68" s="36"/>
      <c r="C68" s="292"/>
      <c r="D68" s="36"/>
      <c r="E68" s="122"/>
      <c r="F68" s="122"/>
      <c r="G68" s="36"/>
      <c r="H68" s="36"/>
      <c r="I68" s="36"/>
      <c r="J68" s="113"/>
      <c r="K68" s="293"/>
      <c r="L68" s="36"/>
      <c r="M68" s="60"/>
      <c r="N68" s="37"/>
      <c r="O68" s="60"/>
      <c r="P68" s="238"/>
      <c r="Q68" s="239"/>
      <c r="S68" s="36"/>
      <c r="T68" s="36"/>
      <c r="X68"/>
    </row>
    <row r="69" spans="1:24">
      <c r="A69" s="122"/>
      <c r="B69" s="36"/>
      <c r="C69" s="292"/>
      <c r="D69" s="36"/>
      <c r="E69" s="122"/>
      <c r="F69" s="122"/>
      <c r="G69" s="36"/>
      <c r="H69" s="36"/>
      <c r="I69" s="36"/>
      <c r="J69" s="113"/>
      <c r="K69" s="293"/>
      <c r="L69" s="36"/>
      <c r="M69" s="60"/>
      <c r="N69" s="37"/>
      <c r="O69" s="60"/>
      <c r="P69" s="238"/>
      <c r="Q69" s="239"/>
      <c r="S69" s="36"/>
      <c r="T69" s="36"/>
      <c r="X69"/>
    </row>
    <row r="70" spans="1:24">
      <c r="A70" s="122"/>
      <c r="B70" s="36"/>
      <c r="C70" s="292"/>
      <c r="D70" s="36"/>
      <c r="E70" s="122"/>
      <c r="F70" s="122"/>
      <c r="G70" s="36"/>
      <c r="H70" s="36"/>
      <c r="I70" s="36"/>
      <c r="J70" s="113"/>
      <c r="K70" s="293"/>
      <c r="L70" s="36"/>
      <c r="M70" s="60"/>
      <c r="N70" s="37"/>
      <c r="O70" s="60"/>
      <c r="P70" s="238"/>
      <c r="Q70" s="239"/>
      <c r="S70" s="36"/>
      <c r="T70" s="36"/>
      <c r="X70"/>
    </row>
    <row r="71" spans="1:24">
      <c r="A71" s="122"/>
      <c r="B71" s="36"/>
      <c r="C71" s="292"/>
      <c r="D71" s="36"/>
      <c r="E71" s="122"/>
      <c r="F71" s="122"/>
      <c r="G71" s="36"/>
      <c r="H71" s="36"/>
      <c r="I71" s="36"/>
      <c r="J71" s="113"/>
      <c r="K71" s="293"/>
      <c r="L71" s="36"/>
      <c r="M71" s="60"/>
      <c r="N71" s="37"/>
      <c r="O71" s="60"/>
      <c r="P71" s="238"/>
      <c r="Q71" s="239"/>
      <c r="S71" s="36"/>
      <c r="T71" s="36"/>
      <c r="X71"/>
    </row>
    <row r="72" spans="1:24">
      <c r="A72" s="122"/>
      <c r="B72" s="36"/>
      <c r="C72" s="292"/>
      <c r="D72" s="36"/>
      <c r="E72" s="122"/>
      <c r="F72" s="122"/>
      <c r="G72" s="36"/>
      <c r="H72" s="36"/>
      <c r="I72" s="36"/>
      <c r="J72" s="113"/>
      <c r="K72" s="293"/>
      <c r="L72" s="36"/>
      <c r="M72" s="60"/>
      <c r="N72" s="37"/>
      <c r="O72" s="60"/>
      <c r="P72" s="238"/>
      <c r="Q72" s="239"/>
      <c r="S72" s="36"/>
      <c r="T72" s="36"/>
      <c r="X72"/>
    </row>
    <row r="73" spans="1:24">
      <c r="A73" s="357"/>
      <c r="B73" s="36"/>
      <c r="C73" s="292"/>
      <c r="D73" s="36"/>
      <c r="E73" s="122"/>
      <c r="F73" s="122"/>
      <c r="G73" s="36"/>
      <c r="H73" s="36"/>
      <c r="I73" s="36"/>
      <c r="J73" s="113"/>
      <c r="K73" s="293"/>
      <c r="L73" s="36"/>
      <c r="M73" s="60"/>
      <c r="N73" s="37"/>
      <c r="O73" s="60"/>
      <c r="P73" s="238"/>
      <c r="Q73" s="239"/>
      <c r="S73" s="36"/>
      <c r="T73" s="36"/>
      <c r="X73"/>
    </row>
    <row r="74" spans="1:24">
      <c r="A74" s="122"/>
      <c r="B74" s="36"/>
      <c r="C74" s="292"/>
      <c r="D74" s="36"/>
      <c r="E74" s="122"/>
      <c r="F74" s="122"/>
      <c r="G74" s="36"/>
      <c r="H74" s="36"/>
      <c r="I74" s="36"/>
      <c r="J74" s="113"/>
      <c r="K74" s="293"/>
      <c r="L74" s="36"/>
      <c r="M74" s="60"/>
      <c r="N74" s="37"/>
      <c r="O74" s="60"/>
      <c r="P74" s="238"/>
      <c r="Q74" s="239"/>
      <c r="S74" s="36"/>
      <c r="T74" s="36"/>
      <c r="X74"/>
    </row>
    <row r="75" spans="1:24">
      <c r="A75" s="122"/>
      <c r="B75" s="36"/>
      <c r="C75" s="292"/>
      <c r="D75" s="36"/>
      <c r="E75" s="122"/>
      <c r="F75" s="122"/>
      <c r="G75" s="36"/>
      <c r="H75" s="36"/>
      <c r="I75" s="36"/>
      <c r="J75" s="113"/>
      <c r="K75" s="293"/>
      <c r="L75" s="36"/>
      <c r="M75" s="60"/>
      <c r="N75" s="37"/>
      <c r="O75" s="60"/>
      <c r="P75" s="238"/>
      <c r="Q75" s="239"/>
      <c r="S75" s="36"/>
      <c r="T75" s="36"/>
      <c r="X75"/>
    </row>
    <row r="76" spans="1:24">
      <c r="A76" s="122"/>
      <c r="B76" s="36"/>
      <c r="C76" s="292"/>
      <c r="D76" s="36"/>
      <c r="E76" s="122"/>
      <c r="F76" s="122"/>
      <c r="G76" s="36"/>
      <c r="H76" s="36"/>
      <c r="I76" s="36"/>
      <c r="J76" s="113"/>
      <c r="K76" s="293"/>
      <c r="L76" s="36"/>
      <c r="M76" s="60"/>
      <c r="N76" s="37"/>
      <c r="O76" s="60"/>
      <c r="P76" s="238"/>
      <c r="Q76" s="239"/>
      <c r="S76" s="36"/>
      <c r="T76" s="36"/>
      <c r="X76"/>
    </row>
    <row r="77" spans="1:24">
      <c r="A77" s="122"/>
      <c r="B77" s="36"/>
      <c r="C77" s="292"/>
      <c r="D77" s="36"/>
      <c r="E77" s="122"/>
      <c r="F77" s="122"/>
      <c r="G77" s="36"/>
      <c r="H77" s="36"/>
      <c r="I77" s="36"/>
      <c r="J77" s="113"/>
      <c r="K77" s="293"/>
      <c r="L77" s="36"/>
      <c r="M77" s="60"/>
      <c r="N77" s="37"/>
      <c r="O77" s="60"/>
      <c r="P77" s="238"/>
      <c r="Q77" s="239"/>
      <c r="S77" s="36"/>
      <c r="T77" s="36"/>
      <c r="X77"/>
    </row>
    <row r="78" spans="1:24">
      <c r="A78" s="122"/>
      <c r="B78" s="36"/>
      <c r="C78" s="292"/>
      <c r="D78" s="36"/>
      <c r="E78" s="122"/>
      <c r="F78" s="122"/>
      <c r="G78" s="36"/>
      <c r="H78" s="36"/>
      <c r="I78" s="36"/>
      <c r="J78" s="113"/>
      <c r="K78" s="293"/>
      <c r="L78" s="36"/>
      <c r="M78" s="60"/>
      <c r="N78" s="37"/>
      <c r="O78" s="60"/>
      <c r="P78" s="238"/>
      <c r="Q78" s="239"/>
      <c r="S78" s="36"/>
      <c r="T78" s="36"/>
      <c r="X78"/>
    </row>
    <row r="79" spans="1:24">
      <c r="A79" s="122"/>
      <c r="B79" s="36"/>
      <c r="C79" s="292"/>
      <c r="D79" s="36"/>
      <c r="E79" s="122"/>
      <c r="F79" s="122"/>
      <c r="G79" s="36"/>
      <c r="H79" s="36"/>
      <c r="I79" s="36"/>
      <c r="J79" s="113"/>
      <c r="K79" s="293"/>
      <c r="L79" s="36"/>
      <c r="M79" s="60"/>
      <c r="N79" s="37"/>
      <c r="O79" s="60"/>
      <c r="P79" s="238"/>
      <c r="Q79" s="239"/>
      <c r="S79" s="36"/>
      <c r="T79" s="36"/>
      <c r="X79"/>
    </row>
    <row r="80" spans="1:24">
      <c r="A80" s="122"/>
      <c r="B80" s="36"/>
      <c r="C80" s="292"/>
      <c r="D80" s="36"/>
      <c r="E80" s="122"/>
      <c r="F80" s="122"/>
      <c r="G80" s="36"/>
      <c r="H80" s="36"/>
      <c r="I80" s="36"/>
      <c r="J80" s="113"/>
      <c r="K80" s="293"/>
      <c r="L80" s="36"/>
      <c r="M80" s="60"/>
      <c r="N80" s="37"/>
      <c r="O80" s="60"/>
      <c r="P80" s="238"/>
      <c r="Q80" s="239"/>
      <c r="S80" s="36"/>
      <c r="T80" s="36"/>
      <c r="X80"/>
    </row>
    <row r="81" spans="1:24">
      <c r="A81" s="357"/>
      <c r="B81" s="36"/>
      <c r="C81" s="292"/>
      <c r="D81" s="36"/>
      <c r="E81" s="122"/>
      <c r="F81" s="122"/>
      <c r="G81" s="36"/>
      <c r="H81" s="36"/>
      <c r="I81" s="36"/>
      <c r="J81" s="113"/>
      <c r="K81" s="293"/>
      <c r="L81" s="36"/>
      <c r="M81" s="60"/>
      <c r="N81" s="37"/>
      <c r="O81" s="60"/>
      <c r="P81" s="238"/>
      <c r="Q81" s="239"/>
      <c r="S81" s="36"/>
      <c r="T81" s="36"/>
      <c r="X81"/>
    </row>
    <row r="82" spans="1:24">
      <c r="A82" s="122"/>
      <c r="B82" s="36"/>
      <c r="C82" s="292"/>
      <c r="D82" s="36"/>
      <c r="E82" s="122"/>
      <c r="F82" s="122"/>
      <c r="G82" s="296"/>
      <c r="H82" s="36"/>
      <c r="I82" s="36"/>
      <c r="J82" s="113"/>
      <c r="K82" s="293"/>
      <c r="L82" s="36"/>
      <c r="M82" s="60"/>
      <c r="N82" s="37"/>
      <c r="O82" s="60"/>
      <c r="P82" s="238"/>
      <c r="Q82" s="239"/>
      <c r="S82" s="36"/>
      <c r="T82" s="36"/>
      <c r="X82"/>
    </row>
    <row r="83" spans="1:24">
      <c r="A83" s="122"/>
      <c r="B83" s="36"/>
      <c r="C83" s="292"/>
      <c r="D83" s="36"/>
      <c r="E83" s="122"/>
      <c r="F83" s="122"/>
      <c r="G83" s="36"/>
      <c r="H83" s="36"/>
      <c r="I83" s="36"/>
      <c r="J83" s="113"/>
      <c r="K83" s="293"/>
      <c r="L83" s="36"/>
      <c r="M83" s="60"/>
      <c r="N83" s="37"/>
      <c r="O83" s="60"/>
      <c r="P83" s="238"/>
      <c r="Q83" s="239"/>
      <c r="S83" s="36"/>
      <c r="T83" s="36"/>
      <c r="X83"/>
    </row>
    <row r="84" spans="1:24">
      <c r="A84" s="122"/>
      <c r="B84" s="36"/>
      <c r="C84" s="292"/>
      <c r="D84" s="36"/>
      <c r="E84" s="122"/>
      <c r="F84" s="122"/>
      <c r="G84" s="36"/>
      <c r="H84" s="36"/>
      <c r="I84" s="36"/>
      <c r="J84" s="113"/>
      <c r="K84" s="293"/>
      <c r="L84" s="36"/>
      <c r="M84" s="60"/>
      <c r="N84" s="37"/>
      <c r="O84" s="60"/>
      <c r="P84" s="238"/>
      <c r="Q84" s="239"/>
      <c r="S84" s="36"/>
      <c r="T84" s="36"/>
      <c r="X84"/>
    </row>
    <row r="85" spans="1:24">
      <c r="A85" s="122"/>
      <c r="B85" s="36"/>
      <c r="C85" s="292"/>
      <c r="D85" s="36"/>
      <c r="E85" s="122"/>
      <c r="F85" s="122"/>
      <c r="G85" s="36"/>
      <c r="H85" s="36"/>
      <c r="I85" s="36"/>
      <c r="J85" s="113"/>
      <c r="K85" s="293"/>
      <c r="L85" s="36"/>
      <c r="M85" s="60"/>
      <c r="N85" s="37"/>
      <c r="O85" s="60"/>
      <c r="P85" s="238"/>
      <c r="Q85" s="239"/>
      <c r="S85" s="36"/>
      <c r="T85" s="36"/>
      <c r="X85"/>
    </row>
    <row r="86" spans="1:24">
      <c r="A86" s="122"/>
      <c r="B86" s="36"/>
      <c r="C86" s="292"/>
      <c r="D86" s="36"/>
      <c r="E86" s="122"/>
      <c r="F86" s="122"/>
      <c r="G86" s="36"/>
      <c r="H86" s="36"/>
      <c r="I86" s="36"/>
      <c r="J86" s="113"/>
      <c r="K86" s="293"/>
      <c r="L86" s="36"/>
      <c r="M86" s="60"/>
      <c r="N86" s="37"/>
      <c r="O86" s="60"/>
      <c r="P86" s="238"/>
      <c r="Q86" s="239"/>
      <c r="S86" s="36"/>
      <c r="T86" s="36"/>
      <c r="X86"/>
    </row>
    <row r="87" spans="1:24">
      <c r="A87" s="122"/>
      <c r="B87" s="36"/>
      <c r="C87" s="292"/>
      <c r="D87" s="36"/>
      <c r="E87" s="122"/>
      <c r="F87" s="122"/>
      <c r="G87" s="36"/>
      <c r="H87" s="36"/>
      <c r="I87" s="36"/>
      <c r="J87" s="113"/>
      <c r="K87" s="293"/>
      <c r="L87" s="36"/>
      <c r="M87" s="60"/>
      <c r="N87" s="37"/>
      <c r="O87" s="60"/>
      <c r="P87" s="238"/>
      <c r="Q87" s="187"/>
      <c r="S87" s="36"/>
      <c r="T87" s="36"/>
      <c r="X87"/>
    </row>
    <row r="88" spans="1:24">
      <c r="A88" s="122"/>
      <c r="B88" s="36"/>
      <c r="C88" s="292"/>
      <c r="D88" s="36"/>
      <c r="E88" s="122"/>
      <c r="F88" s="122"/>
      <c r="G88" s="36"/>
      <c r="H88" s="36"/>
      <c r="I88" s="36"/>
      <c r="J88" s="113"/>
      <c r="K88" s="293"/>
      <c r="L88" s="36"/>
      <c r="M88" s="60"/>
      <c r="N88" s="37"/>
      <c r="O88" s="60"/>
      <c r="P88" s="238"/>
      <c r="Q88" s="239"/>
      <c r="S88" s="36"/>
      <c r="T88" s="36"/>
      <c r="X88"/>
    </row>
    <row r="89" spans="1:24">
      <c r="A89" s="122"/>
      <c r="B89" s="36"/>
      <c r="C89" s="292"/>
      <c r="D89" s="36"/>
      <c r="E89" s="122"/>
      <c r="F89" s="122"/>
      <c r="G89" s="36"/>
      <c r="H89" s="36"/>
      <c r="I89" s="36"/>
      <c r="J89" s="113"/>
      <c r="K89" s="293"/>
      <c r="L89" s="36"/>
      <c r="M89" s="60"/>
      <c r="N89" s="37"/>
      <c r="O89" s="60"/>
      <c r="P89" s="238"/>
      <c r="Q89" s="239"/>
      <c r="S89" s="36"/>
      <c r="T89" s="36"/>
      <c r="X89"/>
    </row>
    <row r="90" spans="1:24">
      <c r="A90" s="122"/>
      <c r="B90" s="36"/>
      <c r="C90" s="292"/>
      <c r="D90" s="36"/>
      <c r="E90" s="122"/>
      <c r="F90" s="122"/>
      <c r="G90" s="36"/>
      <c r="H90" s="36"/>
      <c r="I90" s="36"/>
      <c r="J90" s="113"/>
      <c r="K90" s="293"/>
      <c r="L90" s="36"/>
      <c r="M90" s="60"/>
      <c r="N90" s="37"/>
      <c r="O90" s="60"/>
      <c r="P90" s="238"/>
      <c r="Q90" s="239"/>
      <c r="S90" s="36"/>
      <c r="T90" s="36"/>
      <c r="X90"/>
    </row>
    <row r="91" spans="1:24">
      <c r="A91" s="122"/>
      <c r="B91" s="36"/>
      <c r="C91" s="292"/>
      <c r="D91" s="36"/>
      <c r="E91" s="122"/>
      <c r="F91" s="122"/>
      <c r="G91" s="36"/>
      <c r="H91" s="36"/>
      <c r="I91" s="36"/>
      <c r="J91" s="113"/>
      <c r="K91" s="293"/>
      <c r="L91" s="36"/>
      <c r="M91" s="60"/>
      <c r="N91" s="37"/>
      <c r="O91" s="60"/>
      <c r="P91" s="238"/>
      <c r="Q91" s="239"/>
      <c r="S91" s="36"/>
      <c r="T91" s="36"/>
      <c r="X91"/>
    </row>
    <row r="92" spans="1:24">
      <c r="A92" s="122"/>
      <c r="B92" s="36"/>
      <c r="C92" s="292"/>
      <c r="D92" s="36"/>
      <c r="E92" s="122"/>
      <c r="F92" s="122"/>
      <c r="G92" s="36"/>
      <c r="H92" s="36"/>
      <c r="I92" s="36"/>
      <c r="J92" s="113"/>
      <c r="K92" s="293"/>
      <c r="L92" s="36"/>
      <c r="M92" s="60"/>
      <c r="N92" s="37"/>
      <c r="O92" s="60"/>
      <c r="P92" s="238"/>
      <c r="Q92" s="239"/>
      <c r="S92" s="36"/>
      <c r="T92" s="36"/>
      <c r="X92"/>
    </row>
    <row r="93" spans="1:24">
      <c r="A93" s="122"/>
      <c r="B93" s="36"/>
      <c r="C93" s="292"/>
      <c r="D93" s="36"/>
      <c r="E93" s="122"/>
      <c r="F93" s="122"/>
      <c r="G93" s="36"/>
      <c r="H93" s="36"/>
      <c r="I93" s="36"/>
      <c r="J93" s="113"/>
      <c r="K93" s="293"/>
      <c r="L93" s="36"/>
      <c r="M93" s="60"/>
      <c r="N93" s="37"/>
      <c r="O93" s="60"/>
      <c r="P93" s="238"/>
      <c r="Q93" s="239"/>
      <c r="S93" s="36"/>
      <c r="T93" s="36"/>
      <c r="X93"/>
    </row>
    <row r="94" spans="1:24">
      <c r="A94" s="122"/>
      <c r="B94" s="36"/>
      <c r="C94" s="292"/>
      <c r="D94" s="36"/>
      <c r="E94" s="122"/>
      <c r="F94" s="122"/>
      <c r="G94" s="36"/>
      <c r="H94" s="36"/>
      <c r="I94" s="36"/>
      <c r="J94" s="113"/>
      <c r="K94" s="293"/>
      <c r="L94" s="36"/>
      <c r="M94" s="60"/>
      <c r="N94" s="37"/>
      <c r="O94" s="60"/>
      <c r="P94" s="238"/>
      <c r="Q94" s="239"/>
      <c r="S94" s="36"/>
      <c r="T94" s="36"/>
      <c r="X94"/>
    </row>
    <row r="95" spans="1:24">
      <c r="A95" s="122"/>
      <c r="B95" s="36"/>
      <c r="C95" s="292"/>
      <c r="D95" s="36"/>
      <c r="E95" s="122"/>
      <c r="F95" s="122"/>
      <c r="G95" s="36"/>
      <c r="H95" s="36"/>
      <c r="I95" s="36"/>
      <c r="J95" s="113"/>
      <c r="K95" s="293"/>
      <c r="L95" s="36"/>
      <c r="M95" s="60"/>
      <c r="N95" s="37"/>
      <c r="O95" s="60"/>
      <c r="P95" s="238"/>
      <c r="Q95" s="239"/>
      <c r="S95" s="36"/>
      <c r="T95" s="36"/>
      <c r="X95"/>
    </row>
    <row r="96" spans="1:24">
      <c r="A96" s="122"/>
      <c r="B96" s="36"/>
      <c r="C96" s="292"/>
      <c r="D96" s="36"/>
      <c r="E96" s="122"/>
      <c r="F96" s="122"/>
      <c r="G96" s="36"/>
      <c r="H96" s="36"/>
      <c r="I96" s="36"/>
      <c r="J96" s="113"/>
      <c r="K96" s="293"/>
      <c r="L96" s="36"/>
      <c r="M96" s="60"/>
      <c r="N96" s="37"/>
      <c r="O96" s="60"/>
      <c r="P96" s="238"/>
      <c r="Q96" s="239"/>
      <c r="S96" s="36"/>
      <c r="T96" s="36"/>
      <c r="X96"/>
    </row>
    <row r="97" spans="1:24">
      <c r="A97" s="357"/>
      <c r="B97" s="36"/>
      <c r="C97" s="292"/>
      <c r="D97" s="36"/>
      <c r="E97" s="122"/>
      <c r="F97" s="122"/>
      <c r="G97" s="36"/>
      <c r="H97" s="36"/>
      <c r="I97" s="36"/>
      <c r="J97" s="113"/>
      <c r="K97" s="293"/>
      <c r="L97" s="36"/>
      <c r="M97" s="60"/>
      <c r="N97" s="37"/>
      <c r="O97" s="60"/>
      <c r="P97" s="238"/>
      <c r="Q97" s="239"/>
      <c r="S97" s="36"/>
      <c r="T97" s="36"/>
      <c r="X97"/>
    </row>
    <row r="98" spans="1:24">
      <c r="A98" s="357"/>
      <c r="B98" s="36"/>
      <c r="C98" s="292"/>
      <c r="D98" s="36"/>
      <c r="E98" s="122"/>
      <c r="F98" s="122"/>
      <c r="G98" s="36"/>
      <c r="H98" s="36"/>
      <c r="I98" s="36"/>
      <c r="J98" s="113"/>
      <c r="K98" s="293"/>
      <c r="L98" s="36"/>
      <c r="M98" s="60"/>
      <c r="N98" s="37"/>
      <c r="O98" s="60"/>
      <c r="P98" s="238"/>
      <c r="Q98" s="239"/>
      <c r="S98" s="36"/>
      <c r="T98" s="36"/>
      <c r="X98"/>
    </row>
    <row r="99" spans="1:24">
      <c r="A99" s="122"/>
      <c r="B99" s="36"/>
      <c r="C99" s="292"/>
      <c r="D99" s="36"/>
      <c r="E99" s="122"/>
      <c r="F99" s="122"/>
      <c r="G99" s="36"/>
      <c r="H99" s="36"/>
      <c r="I99" s="36"/>
      <c r="J99" s="113"/>
      <c r="K99" s="293"/>
      <c r="L99" s="36"/>
      <c r="M99" s="60"/>
      <c r="N99" s="37"/>
      <c r="O99" s="60"/>
      <c r="P99" s="238"/>
      <c r="Q99" s="239"/>
      <c r="S99" s="36"/>
      <c r="T99" s="36"/>
      <c r="X99"/>
    </row>
    <row r="100" spans="1:24">
      <c r="A100" s="122"/>
      <c r="B100" s="36"/>
      <c r="C100" s="292"/>
      <c r="D100" s="36"/>
      <c r="E100" s="122"/>
      <c r="F100" s="122"/>
      <c r="G100" s="36"/>
      <c r="H100" s="36"/>
      <c r="I100" s="36"/>
      <c r="J100" s="113"/>
      <c r="K100" s="293"/>
      <c r="L100" s="36"/>
      <c r="M100" s="60"/>
      <c r="N100" s="37"/>
      <c r="O100" s="60"/>
      <c r="P100" s="238"/>
      <c r="Q100" s="239"/>
      <c r="S100" s="36"/>
      <c r="T100" s="36"/>
      <c r="X100"/>
    </row>
    <row r="101" spans="1:24">
      <c r="A101" s="122"/>
      <c r="B101" s="36"/>
      <c r="C101" s="292"/>
      <c r="D101" s="36"/>
      <c r="E101" s="122"/>
      <c r="F101" s="122"/>
      <c r="G101" s="36"/>
      <c r="H101" s="36"/>
      <c r="I101" s="36"/>
      <c r="J101" s="113"/>
      <c r="K101" s="293"/>
      <c r="L101" s="36"/>
      <c r="M101" s="60"/>
      <c r="N101" s="37"/>
      <c r="O101" s="60"/>
      <c r="P101" s="238"/>
      <c r="Q101" s="239"/>
      <c r="S101" s="36"/>
      <c r="T101" s="36"/>
      <c r="X101"/>
    </row>
    <row r="102" spans="1:24">
      <c r="A102" s="122"/>
      <c r="B102" s="36"/>
      <c r="C102" s="36"/>
      <c r="D102" s="36"/>
      <c r="E102" s="122"/>
      <c r="F102" s="122"/>
      <c r="G102" s="36"/>
      <c r="H102" s="36"/>
      <c r="I102" s="36"/>
      <c r="J102" s="113"/>
      <c r="K102" s="293"/>
      <c r="L102" s="36"/>
      <c r="M102" s="60"/>
      <c r="N102" s="37"/>
      <c r="O102" s="60"/>
      <c r="P102" s="238"/>
      <c r="Q102" s="239"/>
      <c r="S102" s="36"/>
      <c r="T102" s="36"/>
      <c r="X102"/>
    </row>
    <row r="103" spans="1:24">
      <c r="A103" s="122"/>
      <c r="B103" s="36"/>
      <c r="C103" s="292"/>
      <c r="D103" s="36"/>
      <c r="E103" s="122"/>
      <c r="F103" s="122"/>
      <c r="G103" s="36"/>
      <c r="H103" s="36"/>
      <c r="I103" s="36"/>
      <c r="J103" s="113"/>
      <c r="K103" s="293"/>
      <c r="L103" s="36"/>
      <c r="M103" s="60"/>
      <c r="N103" s="37"/>
      <c r="O103" s="60"/>
      <c r="P103" s="238"/>
      <c r="Q103" s="239"/>
      <c r="S103" s="36"/>
      <c r="T103" s="36"/>
      <c r="X103"/>
    </row>
    <row r="104" spans="1:24">
      <c r="A104" s="122"/>
      <c r="B104" s="36"/>
      <c r="C104" s="292"/>
      <c r="D104" s="36"/>
      <c r="E104" s="122"/>
      <c r="F104" s="122"/>
      <c r="G104" s="36"/>
      <c r="H104" s="36"/>
      <c r="I104" s="36"/>
      <c r="J104" s="113"/>
      <c r="K104" s="293"/>
      <c r="L104" s="36"/>
      <c r="M104" s="60"/>
      <c r="N104" s="37"/>
      <c r="O104" s="60"/>
      <c r="P104" s="238"/>
      <c r="Q104" s="239"/>
      <c r="S104" s="36"/>
      <c r="T104" s="36"/>
      <c r="X104"/>
    </row>
    <row r="105" spans="1:24">
      <c r="A105" s="122"/>
      <c r="B105" s="36"/>
      <c r="C105" s="292"/>
      <c r="D105" s="36"/>
      <c r="E105" s="122"/>
      <c r="F105" s="122"/>
      <c r="G105" s="36"/>
      <c r="H105" s="36"/>
      <c r="I105" s="36"/>
      <c r="J105" s="113"/>
      <c r="K105" s="293"/>
      <c r="L105" s="36"/>
      <c r="M105" s="60"/>
      <c r="N105" s="37"/>
      <c r="O105" s="60"/>
      <c r="P105" s="238"/>
      <c r="Q105" s="239"/>
      <c r="S105" s="36"/>
      <c r="T105" s="36"/>
      <c r="X105"/>
    </row>
    <row r="106" spans="1:24">
      <c r="A106" s="122"/>
      <c r="B106" s="36"/>
      <c r="C106" s="292"/>
      <c r="D106" s="36"/>
      <c r="E106" s="122"/>
      <c r="F106" s="122"/>
      <c r="G106" s="36"/>
      <c r="H106" s="36"/>
      <c r="I106" s="36"/>
      <c r="J106" s="113"/>
      <c r="K106" s="293"/>
      <c r="L106" s="36"/>
      <c r="M106" s="60"/>
      <c r="N106" s="37"/>
      <c r="O106" s="60"/>
      <c r="P106" s="238"/>
      <c r="Q106" s="239"/>
      <c r="S106" s="36"/>
      <c r="T106" s="36"/>
      <c r="X106"/>
    </row>
    <row r="107" spans="1:24">
      <c r="A107" s="122"/>
      <c r="B107" s="36"/>
      <c r="C107" s="292"/>
      <c r="D107" s="36"/>
      <c r="E107" s="122"/>
      <c r="F107" s="122"/>
      <c r="G107" s="36"/>
      <c r="H107" s="36"/>
      <c r="I107" s="36"/>
      <c r="J107" s="113"/>
      <c r="K107" s="293"/>
      <c r="L107" s="36"/>
      <c r="M107" s="60"/>
      <c r="N107" s="37"/>
      <c r="O107" s="60"/>
      <c r="P107" s="238"/>
      <c r="Q107" s="239"/>
      <c r="S107" s="36"/>
      <c r="T107" s="36"/>
      <c r="X107"/>
    </row>
    <row r="108" spans="1:24">
      <c r="A108" s="122"/>
      <c r="B108" s="36"/>
      <c r="C108" s="292"/>
      <c r="D108" s="36"/>
      <c r="E108" s="122"/>
      <c r="F108" s="122"/>
      <c r="G108" s="36"/>
      <c r="H108" s="36"/>
      <c r="I108" s="36"/>
      <c r="J108" s="113"/>
      <c r="K108" s="293"/>
      <c r="L108" s="36"/>
      <c r="M108" s="60"/>
      <c r="N108" s="37"/>
      <c r="O108" s="60"/>
      <c r="P108" s="238"/>
      <c r="Q108" s="239"/>
      <c r="S108" s="36"/>
      <c r="T108" s="36"/>
      <c r="X108"/>
    </row>
    <row r="109" spans="1:24">
      <c r="A109" s="122"/>
      <c r="B109" s="36"/>
      <c r="C109" s="292"/>
      <c r="D109" s="36"/>
      <c r="E109" s="122"/>
      <c r="F109" s="122"/>
      <c r="G109" s="36"/>
      <c r="H109" s="36"/>
      <c r="I109" s="36"/>
      <c r="J109" s="113"/>
      <c r="K109" s="293"/>
      <c r="L109" s="36"/>
      <c r="M109" s="60"/>
      <c r="N109" s="37"/>
      <c r="O109" s="60"/>
      <c r="P109" s="238"/>
      <c r="Q109" s="239"/>
      <c r="S109" s="36"/>
      <c r="T109" s="36"/>
      <c r="X109"/>
    </row>
    <row r="110" spans="1:24">
      <c r="A110" s="122"/>
      <c r="B110" s="36"/>
      <c r="C110" s="292"/>
      <c r="D110" s="36"/>
      <c r="E110" s="122"/>
      <c r="F110" s="122"/>
      <c r="G110" s="36"/>
      <c r="H110" s="36"/>
      <c r="I110" s="36"/>
      <c r="J110" s="113"/>
      <c r="K110" s="293"/>
      <c r="L110" s="36"/>
      <c r="M110" s="60"/>
      <c r="N110" s="37"/>
      <c r="O110" s="60"/>
      <c r="P110" s="238"/>
      <c r="Q110" s="239"/>
      <c r="S110" s="36"/>
      <c r="T110" s="36"/>
      <c r="X110"/>
    </row>
    <row r="111" spans="1:24">
      <c r="A111" s="122"/>
      <c r="B111" s="36"/>
      <c r="C111" s="292"/>
      <c r="D111" s="36"/>
      <c r="E111" s="122"/>
      <c r="F111" s="122"/>
      <c r="G111" s="36"/>
      <c r="H111" s="36"/>
      <c r="I111" s="36"/>
      <c r="J111" s="113"/>
      <c r="K111" s="293"/>
      <c r="L111" s="36"/>
      <c r="M111" s="60"/>
      <c r="N111" s="37"/>
      <c r="O111" s="60"/>
      <c r="P111" s="238"/>
      <c r="Q111" s="239"/>
      <c r="S111" s="36"/>
      <c r="T111" s="36"/>
      <c r="X111"/>
    </row>
    <row r="112" spans="1:24">
      <c r="A112" s="122"/>
      <c r="B112" s="36"/>
      <c r="C112" s="292"/>
      <c r="D112" s="36"/>
      <c r="E112" s="122"/>
      <c r="F112" s="122"/>
      <c r="G112" s="36"/>
      <c r="H112" s="36"/>
      <c r="I112" s="36"/>
      <c r="J112" s="113"/>
      <c r="K112" s="293"/>
      <c r="L112" s="36"/>
      <c r="M112" s="60"/>
      <c r="N112" s="37"/>
      <c r="O112" s="60"/>
      <c r="P112" s="238"/>
      <c r="Q112" s="239"/>
      <c r="S112" s="36"/>
      <c r="T112" s="36"/>
      <c r="X112"/>
    </row>
    <row r="113" spans="1:24">
      <c r="A113" s="122"/>
      <c r="B113" s="36"/>
      <c r="C113" s="292"/>
      <c r="D113" s="36"/>
      <c r="E113" s="122"/>
      <c r="F113" s="122"/>
      <c r="G113" s="36"/>
      <c r="H113" s="36"/>
      <c r="I113" s="36"/>
      <c r="J113" s="113"/>
      <c r="K113" s="293"/>
      <c r="L113" s="36"/>
      <c r="M113" s="60"/>
      <c r="N113" s="37"/>
      <c r="O113" s="60"/>
      <c r="P113" s="238"/>
      <c r="Q113" s="239"/>
      <c r="S113" s="36"/>
      <c r="T113" s="36"/>
      <c r="X113"/>
    </row>
    <row r="114" spans="1:24">
      <c r="A114" s="122"/>
      <c r="B114" s="36"/>
      <c r="C114" s="292"/>
      <c r="D114" s="36"/>
      <c r="E114" s="122"/>
      <c r="F114" s="122"/>
      <c r="G114" s="36"/>
      <c r="H114" s="36"/>
      <c r="I114" s="36"/>
      <c r="J114" s="113"/>
      <c r="K114" s="293"/>
      <c r="L114" s="36"/>
      <c r="M114" s="60"/>
      <c r="N114" s="37"/>
      <c r="O114" s="60"/>
      <c r="P114" s="238"/>
      <c r="Q114" s="239"/>
      <c r="S114" s="36"/>
      <c r="T114" s="36"/>
      <c r="X114"/>
    </row>
    <row r="115" spans="1:24">
      <c r="A115" s="122"/>
      <c r="B115" s="36"/>
      <c r="C115" s="292"/>
      <c r="D115" s="36"/>
      <c r="E115" s="122"/>
      <c r="F115" s="122"/>
      <c r="G115" s="36"/>
      <c r="H115" s="36"/>
      <c r="I115" s="36"/>
      <c r="J115" s="113"/>
      <c r="K115" s="293"/>
      <c r="L115" s="36"/>
      <c r="M115" s="60"/>
      <c r="N115" s="37"/>
      <c r="O115" s="60"/>
      <c r="P115" s="238"/>
      <c r="Q115" s="239"/>
      <c r="S115" s="36"/>
      <c r="T115" s="36"/>
      <c r="X115"/>
    </row>
    <row r="116" spans="1:24">
      <c r="A116" s="122"/>
      <c r="B116" s="36"/>
      <c r="C116" s="292"/>
      <c r="D116" s="36"/>
      <c r="E116" s="122"/>
      <c r="F116" s="122"/>
      <c r="G116" s="36"/>
      <c r="H116" s="36"/>
      <c r="I116" s="36"/>
      <c r="J116" s="113"/>
      <c r="K116" s="293"/>
      <c r="L116" s="36"/>
      <c r="M116" s="60"/>
      <c r="N116" s="37"/>
      <c r="O116" s="60"/>
      <c r="P116" s="238"/>
      <c r="Q116" s="239"/>
      <c r="S116" s="36"/>
      <c r="T116" s="36"/>
      <c r="X116"/>
    </row>
    <row r="117" spans="1:24">
      <c r="A117" s="122"/>
      <c r="B117" s="36"/>
      <c r="C117" s="292"/>
      <c r="D117" s="36"/>
      <c r="E117" s="122"/>
      <c r="F117" s="122"/>
      <c r="G117" s="36"/>
      <c r="H117" s="36"/>
      <c r="I117" s="36"/>
      <c r="J117" s="113"/>
      <c r="K117" s="293"/>
      <c r="L117" s="36"/>
      <c r="M117" s="60"/>
      <c r="N117" s="37"/>
      <c r="O117" s="60"/>
      <c r="P117" s="238"/>
      <c r="Q117" s="239"/>
      <c r="S117" s="36"/>
      <c r="T117" s="36"/>
      <c r="X117"/>
    </row>
    <row r="118" spans="1:24">
      <c r="A118" s="122"/>
      <c r="B118" s="36"/>
      <c r="C118" s="292"/>
      <c r="D118" s="36"/>
      <c r="E118" s="122"/>
      <c r="F118" s="122"/>
      <c r="G118" s="36"/>
      <c r="H118" s="36"/>
      <c r="I118" s="36"/>
      <c r="J118" s="113"/>
      <c r="K118" s="293"/>
      <c r="L118" s="36"/>
      <c r="M118" s="60"/>
      <c r="N118" s="37"/>
      <c r="O118" s="60"/>
      <c r="P118" s="238"/>
      <c r="Q118" s="239"/>
      <c r="S118" s="36"/>
      <c r="T118" s="36"/>
      <c r="X118"/>
    </row>
    <row r="119" spans="1:24">
      <c r="A119" s="122"/>
      <c r="B119" s="36"/>
      <c r="C119" s="292"/>
      <c r="D119" s="36"/>
      <c r="E119" s="122"/>
      <c r="F119" s="122"/>
      <c r="G119" s="36"/>
      <c r="H119" s="36"/>
      <c r="I119" s="36"/>
      <c r="J119" s="113"/>
      <c r="K119" s="293"/>
      <c r="L119" s="36"/>
      <c r="M119" s="60"/>
      <c r="N119" s="37"/>
      <c r="O119" s="60"/>
      <c r="P119" s="238"/>
      <c r="Q119" s="239"/>
      <c r="S119" s="36"/>
      <c r="T119" s="36"/>
      <c r="X119"/>
    </row>
    <row r="120" spans="1:24">
      <c r="A120" s="122"/>
      <c r="B120" s="36"/>
      <c r="C120" s="292"/>
      <c r="D120" s="36"/>
      <c r="E120" s="122"/>
      <c r="F120" s="122"/>
      <c r="G120" s="36"/>
      <c r="H120" s="36"/>
      <c r="I120" s="36"/>
      <c r="J120" s="113"/>
      <c r="K120" s="293"/>
      <c r="L120" s="36"/>
      <c r="M120" s="60"/>
      <c r="N120" s="37"/>
      <c r="O120" s="60"/>
      <c r="P120" s="238"/>
      <c r="Q120" s="239"/>
      <c r="S120" s="36"/>
      <c r="T120" s="36"/>
      <c r="X120"/>
    </row>
    <row r="121" spans="1:24">
      <c r="A121" s="122"/>
      <c r="B121" s="36"/>
      <c r="C121" s="292"/>
      <c r="D121" s="36"/>
      <c r="E121" s="122"/>
      <c r="F121" s="122"/>
      <c r="G121" s="36"/>
      <c r="H121" s="36"/>
      <c r="I121" s="36"/>
      <c r="J121" s="113"/>
      <c r="K121" s="293"/>
      <c r="L121" s="36"/>
      <c r="M121" s="60"/>
      <c r="N121" s="37"/>
      <c r="O121" s="60"/>
      <c r="P121" s="238"/>
      <c r="Q121" s="239"/>
      <c r="S121" s="36"/>
      <c r="T121" s="36"/>
      <c r="X121"/>
    </row>
    <row r="122" spans="1:24">
      <c r="A122" s="122"/>
      <c r="B122" s="36"/>
      <c r="C122" s="292"/>
      <c r="D122" s="36"/>
      <c r="E122" s="122"/>
      <c r="F122" s="122"/>
      <c r="G122" s="36"/>
      <c r="H122" s="36"/>
      <c r="I122" s="36"/>
      <c r="J122" s="113"/>
      <c r="K122" s="293"/>
      <c r="L122" s="36"/>
      <c r="M122" s="60"/>
      <c r="N122" s="37"/>
      <c r="O122" s="60"/>
      <c r="P122" s="238"/>
      <c r="Q122" s="239"/>
      <c r="S122" s="36"/>
      <c r="T122" s="36"/>
      <c r="X122"/>
    </row>
    <row r="123" spans="1:24">
      <c r="A123" s="122"/>
      <c r="B123" s="36"/>
      <c r="C123" s="292"/>
      <c r="D123" s="36"/>
      <c r="E123" s="122"/>
      <c r="F123" s="122"/>
      <c r="G123" s="36"/>
      <c r="H123" s="36"/>
      <c r="I123" s="36"/>
      <c r="J123" s="113"/>
      <c r="K123" s="293"/>
      <c r="L123" s="36"/>
      <c r="M123" s="60"/>
      <c r="N123" s="37"/>
      <c r="O123" s="60"/>
      <c r="P123" s="238"/>
      <c r="Q123" s="239"/>
      <c r="S123" s="36"/>
      <c r="T123" s="36"/>
      <c r="X123"/>
    </row>
    <row r="124" spans="1:24">
      <c r="A124" s="122"/>
      <c r="B124" s="36"/>
      <c r="C124" s="292"/>
      <c r="D124" s="36"/>
      <c r="E124" s="122"/>
      <c r="F124" s="122"/>
      <c r="G124" s="36"/>
      <c r="H124" s="36"/>
      <c r="I124" s="36"/>
      <c r="J124" s="113"/>
      <c r="K124" s="293"/>
      <c r="L124" s="36"/>
      <c r="M124" s="60"/>
      <c r="N124" s="37"/>
      <c r="O124" s="60"/>
      <c r="P124" s="238"/>
      <c r="Q124" s="239"/>
      <c r="S124" s="36"/>
      <c r="T124" s="36"/>
      <c r="X124"/>
    </row>
    <row r="125" spans="1:24">
      <c r="A125" s="122"/>
      <c r="B125" s="36"/>
      <c r="C125" s="292"/>
      <c r="D125" s="36"/>
      <c r="E125" s="122"/>
      <c r="F125" s="122"/>
      <c r="G125" s="36"/>
      <c r="H125" s="36"/>
      <c r="I125" s="36"/>
      <c r="J125" s="113"/>
      <c r="K125" s="293"/>
      <c r="L125" s="36"/>
      <c r="M125" s="60"/>
      <c r="N125" s="37"/>
      <c r="O125" s="60"/>
      <c r="P125" s="238"/>
      <c r="Q125" s="239"/>
      <c r="S125" s="36"/>
      <c r="T125" s="36"/>
      <c r="X125"/>
    </row>
    <row r="126" spans="1:24">
      <c r="A126" s="122"/>
      <c r="B126" s="36"/>
      <c r="C126" s="292"/>
      <c r="D126" s="36"/>
      <c r="E126" s="122"/>
      <c r="F126" s="122"/>
      <c r="G126" s="36"/>
      <c r="H126" s="36"/>
      <c r="I126" s="36"/>
      <c r="J126" s="113"/>
      <c r="K126" s="293"/>
      <c r="L126" s="36"/>
      <c r="M126" s="60"/>
      <c r="N126" s="37"/>
      <c r="O126" s="60"/>
      <c r="P126" s="238"/>
      <c r="Q126" s="239"/>
      <c r="S126" s="36"/>
      <c r="T126" s="36"/>
      <c r="X126"/>
    </row>
    <row r="127" spans="1:24">
      <c r="A127" s="122"/>
      <c r="B127" s="36"/>
      <c r="C127" s="292"/>
      <c r="D127" s="36"/>
      <c r="E127" s="122"/>
      <c r="F127" s="122"/>
      <c r="G127" s="36"/>
      <c r="H127" s="36"/>
      <c r="I127" s="36"/>
      <c r="J127" s="113"/>
      <c r="K127" s="293"/>
      <c r="L127" s="36"/>
      <c r="M127" s="60"/>
      <c r="N127" s="37"/>
      <c r="O127" s="60"/>
      <c r="P127" s="238"/>
      <c r="Q127" s="239"/>
      <c r="S127" s="36"/>
      <c r="T127" s="36"/>
      <c r="X127"/>
    </row>
    <row r="128" spans="1:24">
      <c r="A128" s="122"/>
      <c r="B128" s="36"/>
      <c r="C128" s="292"/>
      <c r="D128" s="36"/>
      <c r="E128" s="122"/>
      <c r="F128" s="122"/>
      <c r="G128" s="36"/>
      <c r="H128" s="36"/>
      <c r="I128" s="36"/>
      <c r="J128" s="113"/>
      <c r="K128" s="293"/>
      <c r="L128" s="36"/>
      <c r="M128" s="60"/>
      <c r="N128" s="37"/>
      <c r="O128" s="60"/>
      <c r="P128" s="238"/>
      <c r="Q128" s="239"/>
      <c r="S128" s="36"/>
      <c r="T128" s="36"/>
      <c r="X128"/>
    </row>
    <row r="129" spans="1:24">
      <c r="A129" s="122"/>
      <c r="B129" s="36"/>
      <c r="C129" s="292"/>
      <c r="D129" s="36"/>
      <c r="E129" s="122"/>
      <c r="F129" s="122"/>
      <c r="G129" s="36"/>
      <c r="H129" s="36"/>
      <c r="I129" s="36"/>
      <c r="J129" s="113"/>
      <c r="K129" s="293"/>
      <c r="L129" s="36"/>
      <c r="M129" s="60"/>
      <c r="N129" s="37"/>
      <c r="O129" s="60"/>
      <c r="P129" s="238"/>
      <c r="Q129" s="239"/>
      <c r="S129" s="36"/>
      <c r="T129" s="36"/>
      <c r="X129"/>
    </row>
    <row r="130" spans="1:24">
      <c r="A130" s="122"/>
      <c r="B130" s="36"/>
      <c r="C130" s="292"/>
      <c r="D130" s="36"/>
      <c r="E130" s="122"/>
      <c r="F130" s="122"/>
      <c r="G130" s="36"/>
      <c r="H130" s="36"/>
      <c r="I130" s="36"/>
      <c r="J130" s="113"/>
      <c r="K130" s="293"/>
      <c r="L130" s="36"/>
      <c r="M130" s="60"/>
      <c r="N130" s="37"/>
      <c r="O130" s="60"/>
      <c r="P130" s="238"/>
      <c r="Q130" s="239"/>
      <c r="S130" s="36"/>
      <c r="T130" s="36"/>
      <c r="X130"/>
    </row>
    <row r="131" spans="1:24">
      <c r="A131" s="231"/>
      <c r="B131" s="231"/>
      <c r="C131" s="122"/>
      <c r="D131" s="231"/>
      <c r="E131" s="231"/>
      <c r="F131" s="231"/>
      <c r="G131" s="122"/>
      <c r="H131" s="122"/>
      <c r="I131" s="282"/>
      <c r="J131" s="232"/>
      <c r="K131" s="233"/>
      <c r="L131" s="234"/>
      <c r="M131" s="235"/>
      <c r="N131" s="236"/>
      <c r="O131" s="237"/>
      <c r="P131" s="238"/>
      <c r="Q131" s="239"/>
      <c r="S131" s="36"/>
      <c r="T131" s="36"/>
      <c r="X131"/>
    </row>
    <row r="132" spans="1:24">
      <c r="A132" s="122"/>
      <c r="B132" s="36"/>
      <c r="C132" s="292"/>
      <c r="D132" s="36"/>
      <c r="E132" s="231"/>
      <c r="F132" s="231"/>
      <c r="G132" s="122"/>
      <c r="H132" s="122"/>
      <c r="I132" s="282"/>
      <c r="J132" s="232"/>
      <c r="K132" s="233"/>
      <c r="L132" s="234"/>
      <c r="M132" s="235"/>
      <c r="N132" s="236"/>
      <c r="O132" s="237"/>
      <c r="P132" s="238"/>
      <c r="Q132" s="239"/>
      <c r="S132" s="36"/>
      <c r="T132" s="36"/>
      <c r="X132"/>
    </row>
    <row r="133" spans="1:24">
      <c r="A133" s="122"/>
      <c r="B133" s="36"/>
      <c r="C133" s="292"/>
      <c r="D133" s="36"/>
      <c r="E133" s="231"/>
      <c r="F133" s="231"/>
      <c r="G133" s="122"/>
      <c r="H133" s="122"/>
      <c r="I133" s="282"/>
      <c r="J133" s="232"/>
      <c r="K133" s="233"/>
      <c r="L133" s="234"/>
      <c r="M133" s="235"/>
      <c r="N133" s="236"/>
      <c r="O133" s="237"/>
      <c r="P133" s="238"/>
      <c r="Q133" s="239"/>
      <c r="S133" s="36"/>
      <c r="T133" s="36"/>
      <c r="X133"/>
    </row>
    <row r="134" spans="1:24">
      <c r="A134" s="122"/>
      <c r="B134" s="36"/>
      <c r="C134" s="292"/>
      <c r="D134" s="36"/>
      <c r="E134" s="231"/>
      <c r="F134" s="231"/>
      <c r="G134" s="122"/>
      <c r="H134" s="122"/>
      <c r="I134" s="282"/>
      <c r="J134" s="232"/>
      <c r="K134" s="233"/>
      <c r="L134" s="234"/>
      <c r="M134" s="235"/>
      <c r="N134" s="236"/>
      <c r="O134" s="237"/>
      <c r="P134" s="238"/>
      <c r="Q134" s="239"/>
      <c r="S134" s="36"/>
      <c r="T134" s="36"/>
      <c r="X134"/>
    </row>
    <row r="135" spans="1:24">
      <c r="A135" s="231"/>
      <c r="B135" s="231"/>
      <c r="C135" s="122"/>
      <c r="D135" s="231"/>
      <c r="E135" s="231"/>
      <c r="F135" s="231"/>
      <c r="G135" s="122"/>
      <c r="H135" s="122"/>
      <c r="I135" s="282"/>
      <c r="J135" s="232"/>
      <c r="K135" s="233"/>
      <c r="L135" s="234"/>
      <c r="M135" s="235"/>
      <c r="N135" s="236"/>
      <c r="O135" s="237"/>
      <c r="P135" s="238"/>
      <c r="Q135" s="239"/>
      <c r="S135" s="36"/>
      <c r="T135" s="36"/>
      <c r="X135"/>
    </row>
    <row r="136" spans="1:24">
      <c r="A136" s="122"/>
      <c r="B136" s="36"/>
      <c r="C136" s="292"/>
      <c r="D136" s="36"/>
      <c r="E136" s="231"/>
      <c r="F136" s="231"/>
      <c r="G136" s="122"/>
      <c r="H136" s="122"/>
      <c r="I136" s="282"/>
      <c r="J136" s="232"/>
      <c r="K136" s="233"/>
      <c r="L136" s="234"/>
      <c r="M136" s="235"/>
      <c r="N136" s="236"/>
      <c r="O136" s="237"/>
      <c r="P136" s="238"/>
      <c r="Q136" s="239"/>
      <c r="S136" s="36"/>
      <c r="T136" s="36"/>
      <c r="X136"/>
    </row>
    <row r="137" spans="1:24">
      <c r="A137" s="122"/>
      <c r="B137" s="36"/>
      <c r="C137" s="292"/>
      <c r="D137" s="36"/>
      <c r="E137" s="231"/>
      <c r="F137" s="231"/>
      <c r="G137" s="122"/>
      <c r="H137" s="122"/>
      <c r="I137" s="282"/>
      <c r="J137" s="232"/>
      <c r="K137" s="233"/>
      <c r="L137" s="234"/>
      <c r="M137" s="235"/>
      <c r="N137" s="236"/>
      <c r="O137" s="237"/>
      <c r="P137" s="238"/>
      <c r="Q137" s="239"/>
      <c r="S137" s="36"/>
      <c r="T137" s="36"/>
      <c r="X137"/>
    </row>
    <row r="138" spans="1:24">
      <c r="A138" s="231"/>
      <c r="B138" s="36"/>
      <c r="C138" s="292"/>
      <c r="D138" s="36"/>
      <c r="E138" s="231"/>
      <c r="F138" s="231"/>
      <c r="G138" s="122"/>
      <c r="H138" s="122"/>
      <c r="I138" s="282"/>
      <c r="J138" s="232"/>
      <c r="K138" s="233"/>
      <c r="L138" s="234"/>
      <c r="M138" s="235"/>
      <c r="N138" s="236"/>
      <c r="O138" s="237"/>
      <c r="P138" s="238"/>
      <c r="Q138" s="239"/>
      <c r="S138" s="36"/>
      <c r="T138" s="36"/>
      <c r="X138"/>
    </row>
    <row r="139" spans="1:24">
      <c r="A139" s="231"/>
      <c r="B139" s="231"/>
      <c r="C139" s="122"/>
      <c r="D139" s="231"/>
      <c r="E139" s="231"/>
      <c r="F139" s="231"/>
      <c r="G139" s="122"/>
      <c r="H139" s="122"/>
      <c r="I139" s="282"/>
      <c r="J139" s="232"/>
      <c r="K139" s="233"/>
      <c r="L139" s="234"/>
      <c r="M139" s="235"/>
      <c r="N139" s="236"/>
      <c r="O139" s="237"/>
      <c r="P139" s="238"/>
      <c r="Q139" s="239"/>
      <c r="S139" s="36"/>
      <c r="T139" s="36"/>
      <c r="X139"/>
    </row>
    <row r="140" spans="1:24">
      <c r="A140" s="231"/>
      <c r="B140" s="231"/>
      <c r="C140" s="122"/>
      <c r="D140" s="231"/>
      <c r="E140" s="231"/>
      <c r="F140" s="231"/>
      <c r="G140" s="122"/>
      <c r="H140" s="122"/>
      <c r="I140" s="282"/>
      <c r="J140" s="232"/>
      <c r="K140" s="233"/>
      <c r="L140" s="234"/>
      <c r="M140" s="235"/>
      <c r="N140" s="236"/>
      <c r="O140" s="237"/>
      <c r="P140" s="238"/>
      <c r="Q140" s="239"/>
      <c r="S140" s="36"/>
      <c r="T140" s="36"/>
      <c r="X140"/>
    </row>
    <row r="141" spans="1:24">
      <c r="A141" s="231"/>
      <c r="B141" s="231"/>
      <c r="C141" s="122"/>
      <c r="D141" s="231"/>
      <c r="E141" s="231"/>
      <c r="F141" s="231"/>
      <c r="G141" s="122"/>
      <c r="H141" s="122"/>
      <c r="I141" s="282"/>
      <c r="J141" s="232"/>
      <c r="K141" s="233"/>
      <c r="L141" s="234"/>
      <c r="M141" s="235"/>
      <c r="N141" s="236"/>
      <c r="O141" s="237"/>
      <c r="P141" s="238"/>
      <c r="Q141" s="239"/>
      <c r="S141" s="36"/>
      <c r="T141" s="36"/>
      <c r="X141"/>
    </row>
    <row r="142" spans="1:24">
      <c r="A142" s="231"/>
      <c r="B142" s="231"/>
      <c r="C142" s="122"/>
      <c r="D142" s="231"/>
      <c r="E142" s="122"/>
      <c r="F142" s="231"/>
      <c r="G142" s="122"/>
      <c r="H142" s="122"/>
      <c r="I142" s="282"/>
      <c r="J142" s="232"/>
      <c r="K142" s="233"/>
      <c r="L142" s="234"/>
      <c r="M142" s="235"/>
      <c r="N142" s="236"/>
      <c r="O142" s="237"/>
      <c r="P142" s="238"/>
      <c r="Q142" s="239"/>
      <c r="S142" s="36"/>
      <c r="T142" s="36"/>
      <c r="X142"/>
    </row>
    <row r="143" spans="1:24">
      <c r="A143" s="231"/>
      <c r="B143" s="231"/>
      <c r="C143" s="122"/>
      <c r="D143" s="231"/>
      <c r="E143" s="231"/>
      <c r="F143" s="231"/>
      <c r="G143" s="122"/>
      <c r="H143" s="122"/>
      <c r="I143" s="282"/>
      <c r="J143" s="232"/>
      <c r="K143" s="233"/>
      <c r="L143" s="234"/>
      <c r="M143" s="235"/>
      <c r="N143" s="236"/>
      <c r="O143" s="237"/>
      <c r="P143" s="238"/>
      <c r="Q143" s="239"/>
      <c r="S143" s="36"/>
      <c r="T143" s="36"/>
      <c r="X143"/>
    </row>
    <row r="144" spans="1:24">
      <c r="A144" s="231"/>
      <c r="B144" s="231"/>
      <c r="C144" s="122"/>
      <c r="D144" s="231"/>
      <c r="E144" s="231"/>
      <c r="F144" s="231"/>
      <c r="G144" s="122"/>
      <c r="H144" s="122"/>
      <c r="I144" s="282"/>
      <c r="J144" s="232"/>
      <c r="K144" s="233"/>
      <c r="L144" s="234"/>
      <c r="M144" s="235"/>
      <c r="N144" s="236"/>
      <c r="O144" s="237"/>
      <c r="P144" s="238"/>
      <c r="Q144" s="239"/>
      <c r="S144" s="36"/>
      <c r="T144" s="36"/>
      <c r="X144"/>
    </row>
    <row r="145" spans="1:24">
      <c r="A145" s="231"/>
      <c r="B145" s="231"/>
      <c r="C145" s="122"/>
      <c r="D145" s="231"/>
      <c r="E145" s="231"/>
      <c r="F145" s="231"/>
      <c r="G145" s="122"/>
      <c r="H145" s="122"/>
      <c r="I145" s="282"/>
      <c r="J145" s="232"/>
      <c r="K145" s="233"/>
      <c r="L145" s="234"/>
      <c r="M145" s="235"/>
      <c r="N145" s="236"/>
      <c r="O145" s="237"/>
      <c r="P145" s="238"/>
      <c r="Q145" s="239"/>
      <c r="S145" s="36"/>
      <c r="T145" s="36"/>
      <c r="X145"/>
    </row>
    <row r="146" spans="1:24">
      <c r="A146" s="231"/>
      <c r="B146" s="231"/>
      <c r="C146" s="122"/>
      <c r="D146" s="231"/>
      <c r="E146" s="231"/>
      <c r="F146" s="231"/>
      <c r="G146" s="122"/>
      <c r="H146" s="122"/>
      <c r="I146" s="282"/>
      <c r="J146" s="232"/>
      <c r="K146" s="233"/>
      <c r="L146" s="234"/>
      <c r="M146" s="235"/>
      <c r="N146" s="236"/>
      <c r="O146" s="237"/>
      <c r="P146" s="238"/>
      <c r="Q146" s="239"/>
      <c r="S146" s="36"/>
      <c r="T146" s="36"/>
      <c r="X146"/>
    </row>
    <row r="147" spans="1:24">
      <c r="A147" s="231"/>
      <c r="B147" s="231"/>
      <c r="C147" s="122"/>
      <c r="D147" s="231"/>
      <c r="E147" s="231"/>
      <c r="F147" s="231"/>
      <c r="G147" s="122"/>
      <c r="H147" s="122"/>
      <c r="I147" s="282"/>
      <c r="J147" s="232"/>
      <c r="K147" s="233"/>
      <c r="L147" s="234"/>
      <c r="M147" s="235"/>
      <c r="N147" s="236"/>
      <c r="O147" s="237"/>
      <c r="P147" s="238"/>
      <c r="Q147" s="239"/>
      <c r="S147" s="36"/>
      <c r="T147" s="36"/>
      <c r="X147"/>
    </row>
    <row r="148" spans="1:24">
      <c r="A148" s="231"/>
      <c r="B148" s="231"/>
      <c r="C148" s="122"/>
      <c r="D148" s="231"/>
      <c r="E148" s="231"/>
      <c r="F148" s="231"/>
      <c r="G148" s="122"/>
      <c r="H148" s="122"/>
      <c r="I148" s="282"/>
      <c r="J148" s="232"/>
      <c r="K148" s="233"/>
      <c r="L148" s="234"/>
      <c r="M148" s="235"/>
      <c r="N148" s="236"/>
      <c r="O148" s="237"/>
      <c r="P148" s="238"/>
      <c r="Q148" s="239"/>
      <c r="S148" s="36"/>
      <c r="T148" s="36"/>
      <c r="X148"/>
    </row>
    <row r="149" spans="1:24">
      <c r="A149" s="122"/>
      <c r="B149" s="36"/>
      <c r="C149" s="292"/>
      <c r="D149" s="36"/>
      <c r="E149" s="231"/>
      <c r="F149" s="231"/>
      <c r="G149" s="122"/>
      <c r="H149" s="122"/>
      <c r="I149" s="282"/>
      <c r="J149" s="232"/>
      <c r="K149" s="233"/>
      <c r="L149" s="234"/>
      <c r="M149" s="235"/>
      <c r="N149" s="236"/>
      <c r="O149" s="237"/>
      <c r="P149" s="238"/>
      <c r="Q149" s="239"/>
      <c r="S149" s="36"/>
      <c r="T149" s="36"/>
      <c r="X149"/>
    </row>
    <row r="150" spans="1:24">
      <c r="A150" s="231"/>
      <c r="B150" s="231"/>
      <c r="C150" s="122"/>
      <c r="D150" s="231"/>
      <c r="E150" s="231"/>
      <c r="F150" s="231"/>
      <c r="G150" s="122"/>
      <c r="H150" s="122"/>
      <c r="I150" s="282"/>
      <c r="J150" s="232"/>
      <c r="K150" s="233"/>
      <c r="L150" s="234"/>
      <c r="M150" s="235"/>
      <c r="N150" s="236"/>
      <c r="O150" s="237"/>
      <c r="P150" s="238"/>
      <c r="Q150" s="239"/>
      <c r="S150" s="36"/>
      <c r="T150" s="36"/>
      <c r="X150"/>
    </row>
    <row r="151" spans="1:24">
      <c r="A151" s="122"/>
      <c r="B151" s="36"/>
      <c r="C151" s="292"/>
      <c r="D151" s="36"/>
      <c r="E151" s="231"/>
      <c r="F151" s="231"/>
      <c r="G151" s="122"/>
      <c r="H151" s="122"/>
      <c r="I151" s="282"/>
      <c r="J151" s="232"/>
      <c r="K151" s="233"/>
      <c r="L151" s="234"/>
      <c r="M151" s="235"/>
      <c r="N151" s="236"/>
      <c r="O151" s="237"/>
      <c r="P151" s="238"/>
      <c r="Q151" s="239"/>
      <c r="S151" s="36"/>
      <c r="T151" s="36"/>
      <c r="X151"/>
    </row>
    <row r="152" spans="1:24">
      <c r="A152" s="231"/>
      <c r="B152" s="231"/>
      <c r="C152" s="292"/>
      <c r="D152" s="231"/>
      <c r="E152" s="231"/>
      <c r="F152" s="231"/>
      <c r="G152" s="122"/>
      <c r="H152" s="122"/>
      <c r="I152" s="282"/>
      <c r="J152" s="232"/>
      <c r="K152" s="233"/>
      <c r="L152" s="234"/>
      <c r="M152" s="235"/>
      <c r="N152" s="236"/>
      <c r="O152" s="237"/>
      <c r="P152" s="238"/>
      <c r="Q152" s="239"/>
      <c r="S152" s="36"/>
      <c r="T152" s="36"/>
      <c r="X152"/>
    </row>
    <row r="153" spans="1:24">
      <c r="A153" s="231"/>
      <c r="B153" s="231"/>
      <c r="C153" s="292"/>
      <c r="D153" s="231"/>
      <c r="E153" s="231"/>
      <c r="F153" s="231"/>
      <c r="G153" s="122"/>
      <c r="H153" s="122"/>
      <c r="I153" s="282"/>
      <c r="J153" s="232"/>
      <c r="K153" s="233"/>
      <c r="L153" s="234"/>
      <c r="M153" s="235"/>
      <c r="N153" s="236"/>
      <c r="O153" s="237"/>
      <c r="P153" s="238"/>
      <c r="Q153" s="239"/>
      <c r="S153" s="36"/>
      <c r="T153" s="36"/>
      <c r="X153"/>
    </row>
    <row r="154" spans="1:24">
      <c r="A154" s="122"/>
      <c r="B154" s="36"/>
      <c r="C154" s="292"/>
      <c r="D154" s="36"/>
      <c r="E154" s="231"/>
      <c r="F154" s="231"/>
      <c r="G154" s="122"/>
      <c r="H154" s="122"/>
      <c r="I154" s="282"/>
      <c r="J154" s="232"/>
      <c r="K154" s="233"/>
      <c r="L154" s="234"/>
      <c r="M154" s="235"/>
      <c r="N154" s="236"/>
      <c r="O154" s="237"/>
      <c r="P154" s="238"/>
      <c r="Q154" s="239"/>
      <c r="S154" s="36"/>
      <c r="T154" s="36"/>
      <c r="X154"/>
    </row>
    <row r="155" spans="1:24">
      <c r="A155" s="231"/>
      <c r="B155" s="231"/>
      <c r="C155" s="122"/>
      <c r="D155" s="231"/>
      <c r="E155" s="231"/>
      <c r="F155" s="231"/>
      <c r="G155" s="122"/>
      <c r="H155" s="122"/>
      <c r="I155" s="282"/>
      <c r="J155" s="232"/>
      <c r="K155" s="233"/>
      <c r="L155" s="234"/>
      <c r="M155" s="235"/>
      <c r="N155" s="236"/>
      <c r="O155" s="237"/>
      <c r="P155" s="238"/>
      <c r="Q155" s="239"/>
      <c r="S155" s="36"/>
      <c r="T155" s="36"/>
      <c r="X155"/>
    </row>
    <row r="156" spans="1:24">
      <c r="A156" s="122"/>
      <c r="B156" s="36"/>
      <c r="C156" s="292"/>
      <c r="D156" s="36"/>
      <c r="E156" s="231"/>
      <c r="F156" s="231"/>
      <c r="G156" s="122"/>
      <c r="H156" s="122"/>
      <c r="I156" s="282"/>
      <c r="J156" s="232"/>
      <c r="K156" s="233"/>
      <c r="L156" s="234"/>
      <c r="M156" s="235"/>
      <c r="N156" s="236"/>
      <c r="O156" s="237"/>
      <c r="P156" s="238"/>
      <c r="Q156" s="239"/>
      <c r="S156" s="36"/>
      <c r="T156" s="36"/>
      <c r="X156"/>
    </row>
    <row r="157" spans="1:24">
      <c r="A157" s="122"/>
      <c r="B157" s="36"/>
      <c r="C157" s="292"/>
      <c r="D157" s="36"/>
      <c r="E157" s="231"/>
      <c r="F157" s="231"/>
      <c r="G157" s="122"/>
      <c r="H157" s="122"/>
      <c r="I157" s="282"/>
      <c r="J157" s="232"/>
      <c r="K157" s="233"/>
      <c r="L157" s="234"/>
      <c r="M157" s="235"/>
      <c r="N157" s="236"/>
      <c r="O157" s="237"/>
      <c r="P157" s="238"/>
      <c r="Q157" s="239"/>
      <c r="S157" s="36"/>
      <c r="T157" s="36"/>
      <c r="X157"/>
    </row>
    <row r="158" spans="1:24">
      <c r="A158" s="231"/>
      <c r="B158" s="231"/>
      <c r="C158" s="122"/>
      <c r="D158" s="231"/>
      <c r="E158" s="231"/>
      <c r="F158" s="231"/>
      <c r="G158" s="122"/>
      <c r="H158" s="122"/>
      <c r="I158" s="282"/>
      <c r="J158" s="232"/>
      <c r="K158" s="233"/>
      <c r="L158" s="234"/>
      <c r="M158" s="235"/>
      <c r="N158" s="236"/>
      <c r="O158" s="237"/>
      <c r="P158" s="238"/>
      <c r="Q158" s="239"/>
      <c r="S158" s="36"/>
      <c r="T158" s="36"/>
      <c r="X158"/>
    </row>
    <row r="159" spans="1:24">
      <c r="A159" s="231"/>
      <c r="B159" s="231"/>
      <c r="C159" s="122"/>
      <c r="D159" s="231"/>
      <c r="E159" s="231"/>
      <c r="F159" s="231"/>
      <c r="G159" s="122"/>
      <c r="H159" s="122"/>
      <c r="I159" s="282"/>
      <c r="J159" s="232"/>
      <c r="K159" s="233"/>
      <c r="L159" s="234"/>
      <c r="M159" s="235"/>
      <c r="N159" s="236"/>
      <c r="O159" s="237"/>
      <c r="P159" s="238"/>
      <c r="Q159" s="239"/>
      <c r="S159" s="36"/>
      <c r="T159" s="36"/>
      <c r="X159"/>
    </row>
    <row r="160" spans="1:24">
      <c r="A160" s="231"/>
      <c r="B160" s="231"/>
      <c r="C160" s="122"/>
      <c r="D160" s="231"/>
      <c r="E160" s="231"/>
      <c r="F160" s="231"/>
      <c r="G160" s="122"/>
      <c r="H160" s="122"/>
      <c r="I160" s="282"/>
      <c r="J160" s="232"/>
      <c r="K160" s="233"/>
      <c r="L160" s="234"/>
      <c r="M160" s="235"/>
      <c r="N160" s="236"/>
      <c r="O160" s="237"/>
      <c r="P160" s="238"/>
      <c r="Q160" s="239"/>
      <c r="S160" s="36"/>
      <c r="T160" s="36"/>
      <c r="X160"/>
    </row>
    <row r="161" spans="1:24">
      <c r="A161" s="122"/>
      <c r="B161" s="36"/>
      <c r="C161" s="292"/>
      <c r="D161" s="36"/>
      <c r="E161" s="231"/>
      <c r="F161" s="231"/>
      <c r="G161" s="122"/>
      <c r="H161" s="122"/>
      <c r="I161" s="282"/>
      <c r="J161" s="232"/>
      <c r="K161" s="233"/>
      <c r="L161" s="234"/>
      <c r="M161" s="235"/>
      <c r="N161" s="236"/>
      <c r="O161" s="237"/>
      <c r="P161" s="238"/>
      <c r="Q161" s="239"/>
      <c r="S161" s="36"/>
      <c r="T161" s="36"/>
      <c r="X161"/>
    </row>
    <row r="162" spans="1:24">
      <c r="A162" s="231"/>
      <c r="B162" s="36"/>
      <c r="C162" s="292"/>
      <c r="D162" s="36"/>
      <c r="E162" s="231"/>
      <c r="F162" s="231"/>
      <c r="G162" s="122"/>
      <c r="H162" s="122"/>
      <c r="I162" s="282"/>
      <c r="J162" s="232"/>
      <c r="K162" s="233"/>
      <c r="L162" s="234"/>
      <c r="M162" s="235"/>
      <c r="N162" s="236"/>
      <c r="O162" s="237"/>
      <c r="P162" s="238"/>
      <c r="Q162" s="239"/>
      <c r="S162" s="36"/>
      <c r="T162" s="36"/>
      <c r="X162"/>
    </row>
    <row r="163" spans="1:24">
      <c r="A163" s="231"/>
      <c r="B163" s="231"/>
      <c r="C163" s="122"/>
      <c r="D163" s="231"/>
      <c r="E163" s="231"/>
      <c r="F163" s="231"/>
      <c r="G163" s="122"/>
      <c r="H163" s="122"/>
      <c r="I163" s="282"/>
      <c r="J163" s="232"/>
      <c r="K163" s="233"/>
      <c r="L163" s="234"/>
      <c r="M163" s="235"/>
      <c r="N163" s="236"/>
      <c r="O163" s="237"/>
      <c r="P163" s="238"/>
      <c r="Q163" s="239"/>
      <c r="S163" s="36"/>
      <c r="T163" s="36"/>
      <c r="X163"/>
    </row>
    <row r="164" spans="1:24">
      <c r="A164" s="231"/>
      <c r="B164" s="231"/>
      <c r="C164" s="292"/>
      <c r="D164" s="231"/>
      <c r="E164" s="231"/>
      <c r="F164" s="231"/>
      <c r="G164" s="122"/>
      <c r="H164" s="122"/>
      <c r="I164" s="282"/>
      <c r="J164" s="232"/>
      <c r="K164" s="233"/>
      <c r="L164" s="234"/>
      <c r="M164" s="235"/>
      <c r="N164" s="236"/>
      <c r="O164" s="237"/>
      <c r="P164" s="238"/>
      <c r="Q164" s="239"/>
      <c r="S164" s="36"/>
      <c r="T164" s="36"/>
      <c r="X164"/>
    </row>
    <row r="165" spans="1:24">
      <c r="A165" s="231"/>
      <c r="B165" s="231"/>
      <c r="C165" s="292"/>
      <c r="D165" s="231"/>
      <c r="E165" s="231"/>
      <c r="F165" s="231"/>
      <c r="G165" s="122"/>
      <c r="H165" s="122"/>
      <c r="I165" s="282"/>
      <c r="J165" s="232"/>
      <c r="K165" s="233"/>
      <c r="L165" s="234"/>
      <c r="M165" s="235"/>
      <c r="N165" s="236"/>
      <c r="O165" s="237"/>
      <c r="P165" s="238"/>
      <c r="Q165" s="239"/>
      <c r="S165" s="36"/>
      <c r="T165" s="36"/>
      <c r="X165"/>
    </row>
    <row r="166" spans="1:24">
      <c r="A166" s="231"/>
      <c r="B166" s="231"/>
      <c r="C166" s="292"/>
      <c r="D166" s="231"/>
      <c r="E166" s="231"/>
      <c r="F166" s="231"/>
      <c r="G166" s="122"/>
      <c r="H166" s="122"/>
      <c r="I166" s="282"/>
      <c r="J166" s="232"/>
      <c r="K166" s="233"/>
      <c r="L166" s="234"/>
      <c r="M166" s="235"/>
      <c r="N166" s="236"/>
      <c r="O166" s="237"/>
      <c r="P166" s="238"/>
      <c r="Q166" s="239"/>
      <c r="S166" s="36"/>
      <c r="T166" s="36"/>
      <c r="X166"/>
    </row>
    <row r="167" spans="1:24">
      <c r="A167" s="231"/>
      <c r="B167" s="231"/>
      <c r="C167" s="122"/>
      <c r="D167" s="231"/>
      <c r="E167" s="231"/>
      <c r="F167" s="231"/>
      <c r="G167" s="122"/>
      <c r="H167" s="122"/>
      <c r="I167" s="282"/>
      <c r="J167" s="232"/>
      <c r="K167" s="233"/>
      <c r="L167" s="234"/>
      <c r="M167" s="235"/>
      <c r="N167" s="236"/>
      <c r="O167" s="237"/>
      <c r="P167" s="238"/>
      <c r="Q167" s="239"/>
      <c r="S167" s="36"/>
      <c r="T167" s="36"/>
      <c r="X167"/>
    </row>
    <row r="168" spans="1:24">
      <c r="A168" s="231"/>
      <c r="B168" s="231"/>
      <c r="C168" s="122"/>
      <c r="D168" s="231"/>
      <c r="E168" s="231"/>
      <c r="F168" s="231"/>
      <c r="G168" s="122"/>
      <c r="H168" s="122"/>
      <c r="I168" s="282"/>
      <c r="J168" s="232"/>
      <c r="K168" s="233"/>
      <c r="L168" s="234"/>
      <c r="M168" s="235"/>
      <c r="N168" s="236"/>
      <c r="O168" s="237"/>
      <c r="P168" s="238"/>
      <c r="Q168" s="239"/>
      <c r="S168" s="36"/>
      <c r="T168" s="36"/>
      <c r="X168"/>
    </row>
    <row r="169" spans="1:24">
      <c r="A169" s="231"/>
      <c r="B169" s="231"/>
      <c r="C169" s="122"/>
      <c r="D169" s="231"/>
      <c r="E169" s="231"/>
      <c r="F169" s="231"/>
      <c r="G169" s="122"/>
      <c r="H169" s="122"/>
      <c r="I169" s="282"/>
      <c r="J169" s="232"/>
      <c r="K169" s="233"/>
      <c r="L169" s="234"/>
      <c r="M169" s="235"/>
      <c r="N169" s="236"/>
      <c r="O169" s="237"/>
      <c r="P169" s="238"/>
      <c r="Q169" s="239"/>
      <c r="S169" s="36"/>
      <c r="T169" s="36"/>
      <c r="X169"/>
    </row>
    <row r="170" spans="1:24">
      <c r="A170" s="231"/>
      <c r="B170" s="231"/>
      <c r="C170" s="122"/>
      <c r="D170" s="231"/>
      <c r="E170" s="231"/>
      <c r="F170" s="231"/>
      <c r="G170" s="122"/>
      <c r="H170" s="122"/>
      <c r="I170" s="282"/>
      <c r="J170" s="232"/>
      <c r="K170" s="233"/>
      <c r="L170" s="234"/>
      <c r="M170" s="235"/>
      <c r="N170" s="236"/>
      <c r="O170" s="237"/>
      <c r="P170" s="238"/>
      <c r="Q170" s="239"/>
      <c r="S170" s="36"/>
      <c r="T170" s="36"/>
      <c r="X170"/>
    </row>
    <row r="171" spans="1:24">
      <c r="A171" s="231"/>
      <c r="B171" s="231"/>
      <c r="C171" s="122"/>
      <c r="D171" s="231"/>
      <c r="E171" s="231"/>
      <c r="F171" s="231"/>
      <c r="G171" s="122"/>
      <c r="H171" s="122"/>
      <c r="I171" s="282"/>
      <c r="J171" s="232"/>
      <c r="K171" s="233"/>
      <c r="L171" s="234"/>
      <c r="M171" s="235"/>
      <c r="N171" s="236"/>
      <c r="O171" s="237"/>
      <c r="P171" s="238"/>
      <c r="Q171" s="239"/>
      <c r="S171" s="36"/>
      <c r="T171" s="36"/>
      <c r="X171"/>
    </row>
    <row r="172" spans="1:24">
      <c r="A172" s="231"/>
      <c r="B172" s="231"/>
      <c r="C172" s="122"/>
      <c r="D172" s="231"/>
      <c r="E172" s="231"/>
      <c r="F172" s="231"/>
      <c r="G172" s="122"/>
      <c r="H172" s="122"/>
      <c r="I172" s="282"/>
      <c r="J172" s="232"/>
      <c r="K172" s="233"/>
      <c r="L172" s="234"/>
      <c r="M172" s="235"/>
      <c r="N172" s="236"/>
      <c r="O172" s="237"/>
      <c r="P172" s="238"/>
      <c r="Q172" s="239"/>
      <c r="S172" s="36"/>
      <c r="T172" s="36"/>
      <c r="X172"/>
    </row>
    <row r="173" spans="1:24">
      <c r="A173" s="122"/>
      <c r="B173" s="36"/>
      <c r="C173" s="292"/>
      <c r="D173" s="36"/>
      <c r="E173" s="231"/>
      <c r="F173" s="231"/>
      <c r="G173" s="122"/>
      <c r="H173" s="122"/>
      <c r="I173" s="282"/>
      <c r="J173" s="232"/>
      <c r="K173" s="233"/>
      <c r="L173" s="234"/>
      <c r="M173" s="235"/>
      <c r="N173" s="236"/>
      <c r="O173" s="237"/>
      <c r="P173" s="238"/>
      <c r="Q173" s="239"/>
      <c r="S173" s="36"/>
      <c r="T173" s="36"/>
      <c r="X173"/>
    </row>
    <row r="174" spans="1:24">
      <c r="A174" s="231"/>
      <c r="B174" s="231"/>
      <c r="C174" s="122"/>
      <c r="D174" s="231"/>
      <c r="E174" s="231"/>
      <c r="F174" s="231"/>
      <c r="G174" s="122"/>
      <c r="H174" s="122"/>
      <c r="I174" s="282"/>
      <c r="J174" s="232"/>
      <c r="K174" s="233"/>
      <c r="L174" s="234"/>
      <c r="M174" s="235"/>
      <c r="N174" s="236"/>
      <c r="O174" s="237"/>
      <c r="P174" s="238"/>
      <c r="Q174" s="239"/>
      <c r="S174" s="36"/>
      <c r="T174" s="36"/>
      <c r="X174"/>
    </row>
    <row r="175" spans="1:24">
      <c r="A175" s="231"/>
      <c r="B175" s="231"/>
      <c r="C175" s="122"/>
      <c r="D175" s="231"/>
      <c r="E175" s="231"/>
      <c r="F175" s="231"/>
      <c r="G175" s="122"/>
      <c r="H175" s="122"/>
      <c r="I175" s="282"/>
      <c r="J175" s="232"/>
      <c r="K175" s="233"/>
      <c r="L175" s="234"/>
      <c r="M175" s="235"/>
      <c r="N175" s="236"/>
      <c r="O175" s="237"/>
      <c r="P175" s="238"/>
      <c r="Q175" s="239"/>
      <c r="S175" s="36"/>
      <c r="T175" s="36"/>
      <c r="X175"/>
    </row>
    <row r="176" spans="1:24">
      <c r="A176" s="231"/>
      <c r="B176" s="231"/>
      <c r="C176" s="122"/>
      <c r="D176" s="231"/>
      <c r="E176" s="231"/>
      <c r="F176" s="231"/>
      <c r="G176" s="122"/>
      <c r="H176" s="122"/>
      <c r="I176" s="282"/>
      <c r="J176" s="232"/>
      <c r="K176" s="233"/>
      <c r="L176" s="234"/>
      <c r="M176" s="235"/>
      <c r="N176" s="236"/>
      <c r="O176" s="237"/>
      <c r="P176" s="238"/>
      <c r="Q176" s="239"/>
      <c r="S176" s="36"/>
      <c r="T176" s="36"/>
      <c r="X176"/>
    </row>
    <row r="177" spans="1:24">
      <c r="A177" s="231"/>
      <c r="B177" s="231"/>
      <c r="C177" s="292"/>
      <c r="D177" s="231"/>
      <c r="E177" s="231"/>
      <c r="F177" s="231"/>
      <c r="G177" s="122"/>
      <c r="H177" s="122"/>
      <c r="I177" s="282"/>
      <c r="J177" s="232"/>
      <c r="K177" s="233"/>
      <c r="L177" s="234"/>
      <c r="M177" s="235"/>
      <c r="N177" s="236"/>
      <c r="O177" s="237"/>
      <c r="P177" s="238"/>
      <c r="Q177" s="239"/>
      <c r="S177" s="36"/>
      <c r="T177" s="36"/>
      <c r="X177"/>
    </row>
    <row r="178" spans="1:24">
      <c r="A178" s="231"/>
      <c r="B178" s="231"/>
      <c r="C178" s="122"/>
      <c r="D178" s="231"/>
      <c r="E178" s="231"/>
      <c r="F178" s="231"/>
      <c r="G178" s="122"/>
      <c r="H178" s="122"/>
      <c r="I178" s="282"/>
      <c r="J178" s="232"/>
      <c r="K178" s="233"/>
      <c r="L178" s="234"/>
      <c r="M178" s="235"/>
      <c r="N178" s="236"/>
      <c r="O178" s="237"/>
      <c r="P178" s="238"/>
      <c r="Q178" s="239"/>
      <c r="S178" s="36"/>
      <c r="T178" s="36"/>
      <c r="X178"/>
    </row>
    <row r="179" spans="1:24">
      <c r="A179" s="231"/>
      <c r="B179" s="231"/>
      <c r="C179" s="292"/>
      <c r="D179" s="231"/>
      <c r="E179" s="231"/>
      <c r="F179" s="231"/>
      <c r="G179" s="122"/>
      <c r="H179" s="122"/>
      <c r="I179" s="282"/>
      <c r="J179" s="232"/>
      <c r="K179" s="233"/>
      <c r="L179" s="234"/>
      <c r="M179" s="235"/>
      <c r="N179" s="236"/>
      <c r="O179" s="237"/>
      <c r="P179" s="238"/>
      <c r="Q179" s="239"/>
      <c r="S179" s="36"/>
      <c r="T179" s="36"/>
      <c r="X179"/>
    </row>
    <row r="180" spans="1:24">
      <c r="A180" s="231"/>
      <c r="B180" s="231"/>
      <c r="C180" s="292"/>
      <c r="D180" s="231"/>
      <c r="E180" s="122"/>
      <c r="F180" s="122"/>
      <c r="G180" s="122"/>
      <c r="H180" s="122"/>
      <c r="I180" s="282"/>
      <c r="J180" s="232"/>
      <c r="K180" s="233"/>
      <c r="L180" s="234"/>
      <c r="M180" s="235"/>
      <c r="N180" s="236"/>
      <c r="O180" s="237"/>
      <c r="P180" s="238"/>
      <c r="Q180" s="239"/>
      <c r="S180" s="36"/>
      <c r="T180" s="36"/>
      <c r="X180"/>
    </row>
    <row r="181" spans="1:24">
      <c r="A181" s="231"/>
      <c r="B181" s="231"/>
      <c r="C181" s="292"/>
      <c r="D181" s="231"/>
      <c r="E181" s="122"/>
      <c r="F181" s="122"/>
      <c r="G181" s="122"/>
      <c r="H181" s="122"/>
      <c r="I181" s="282"/>
      <c r="J181" s="232"/>
      <c r="K181" s="233"/>
      <c r="L181" s="234"/>
      <c r="M181" s="235"/>
      <c r="N181" s="236"/>
      <c r="O181" s="237"/>
      <c r="P181" s="238"/>
      <c r="Q181" s="239"/>
      <c r="S181" s="36"/>
      <c r="T181" s="36"/>
      <c r="X181"/>
    </row>
    <row r="182" spans="1:24">
      <c r="A182" s="231"/>
      <c r="B182" s="231"/>
      <c r="C182" s="122"/>
      <c r="D182" s="231"/>
      <c r="E182" s="231"/>
      <c r="F182" s="231"/>
      <c r="G182" s="122"/>
      <c r="H182" s="122"/>
      <c r="I182" s="282"/>
      <c r="J182" s="232"/>
      <c r="K182" s="233"/>
      <c r="L182" s="234"/>
      <c r="M182" s="235"/>
      <c r="N182" s="236"/>
      <c r="O182" s="237"/>
      <c r="P182" s="238"/>
      <c r="Q182" s="239"/>
      <c r="S182" s="36"/>
      <c r="T182" s="36"/>
      <c r="X182"/>
    </row>
    <row r="183" spans="1:24">
      <c r="A183" s="231"/>
      <c r="B183" s="231"/>
      <c r="C183" s="122"/>
      <c r="D183" s="231"/>
      <c r="E183" s="231"/>
      <c r="F183" s="231"/>
      <c r="G183" s="122"/>
      <c r="H183" s="122"/>
      <c r="I183" s="282"/>
      <c r="J183" s="232"/>
      <c r="K183" s="233"/>
      <c r="L183" s="234"/>
      <c r="M183" s="235"/>
      <c r="N183" s="236"/>
      <c r="O183" s="237"/>
      <c r="P183" s="238"/>
      <c r="Q183" s="239"/>
      <c r="S183" s="36"/>
      <c r="T183" s="36"/>
      <c r="X183"/>
    </row>
    <row r="184" spans="1:24">
      <c r="A184" s="231"/>
      <c r="B184" s="231"/>
      <c r="C184" s="122"/>
      <c r="D184" s="231"/>
      <c r="E184" s="231"/>
      <c r="F184" s="231"/>
      <c r="G184" s="122"/>
      <c r="H184" s="122"/>
      <c r="I184" s="282"/>
      <c r="J184" s="232"/>
      <c r="K184" s="233"/>
      <c r="L184" s="234"/>
      <c r="M184" s="235"/>
      <c r="N184" s="236"/>
      <c r="O184" s="237"/>
      <c r="P184" s="238"/>
      <c r="Q184" s="239"/>
      <c r="S184" s="36"/>
      <c r="T184" s="36"/>
      <c r="X184"/>
    </row>
    <row r="185" spans="1:24">
      <c r="A185" s="231"/>
      <c r="B185" s="231"/>
      <c r="C185" s="122"/>
      <c r="D185" s="231"/>
      <c r="E185" s="231"/>
      <c r="F185" s="231"/>
      <c r="G185" s="122"/>
      <c r="H185" s="122"/>
      <c r="I185" s="282"/>
      <c r="J185" s="232"/>
      <c r="K185" s="233"/>
      <c r="L185" s="234"/>
      <c r="M185" s="235"/>
      <c r="N185" s="236"/>
      <c r="O185" s="237"/>
      <c r="P185" s="238"/>
      <c r="Q185" s="239"/>
      <c r="S185" s="36"/>
      <c r="T185" s="36"/>
      <c r="X185"/>
    </row>
    <row r="186" spans="1:24">
      <c r="A186" s="231"/>
      <c r="B186" s="231"/>
      <c r="C186" s="36"/>
      <c r="D186" s="231"/>
      <c r="E186" s="231"/>
      <c r="F186" s="231"/>
      <c r="G186" s="122"/>
      <c r="H186" s="122"/>
      <c r="I186" s="282"/>
      <c r="J186" s="232"/>
      <c r="K186" s="233"/>
      <c r="L186" s="234"/>
      <c r="M186" s="235"/>
      <c r="N186" s="236"/>
      <c r="O186" s="237"/>
      <c r="P186" s="238"/>
      <c r="Q186" s="239"/>
      <c r="S186" s="36"/>
      <c r="T186" s="36"/>
      <c r="X186"/>
    </row>
    <row r="187" spans="1:24">
      <c r="A187" s="231"/>
      <c r="B187" s="231"/>
      <c r="C187" s="122"/>
      <c r="D187" s="231"/>
      <c r="E187" s="231"/>
      <c r="F187" s="231"/>
      <c r="G187" s="122"/>
      <c r="H187" s="122"/>
      <c r="I187" s="282"/>
      <c r="J187" s="232"/>
      <c r="K187" s="233"/>
      <c r="L187" s="234"/>
      <c r="M187" s="235"/>
      <c r="N187" s="236"/>
      <c r="O187" s="237"/>
      <c r="P187" s="238"/>
      <c r="Q187" s="239"/>
      <c r="S187" s="36"/>
      <c r="T187" s="36"/>
      <c r="X187"/>
    </row>
    <row r="188" spans="1:24">
      <c r="A188" s="231"/>
      <c r="B188" s="231"/>
      <c r="C188" s="122"/>
      <c r="D188" s="231"/>
      <c r="E188" s="231"/>
      <c r="F188" s="231"/>
      <c r="G188" s="122"/>
      <c r="H188" s="122"/>
      <c r="I188" s="282"/>
      <c r="J188" s="232"/>
      <c r="K188" s="233"/>
      <c r="L188" s="234"/>
      <c r="M188" s="235"/>
      <c r="N188" s="236"/>
      <c r="O188" s="237"/>
      <c r="P188" s="238"/>
      <c r="Q188" s="239"/>
      <c r="S188" s="36"/>
      <c r="T188" s="36"/>
      <c r="X188"/>
    </row>
    <row r="189" spans="1:24">
      <c r="A189" s="231"/>
      <c r="B189" s="231"/>
      <c r="C189" s="122"/>
      <c r="D189" s="231"/>
      <c r="E189" s="231"/>
      <c r="F189" s="231"/>
      <c r="G189" s="122"/>
      <c r="H189" s="122"/>
      <c r="I189" s="282"/>
      <c r="J189" s="232"/>
      <c r="K189" s="233"/>
      <c r="L189" s="234"/>
      <c r="M189" s="235"/>
      <c r="N189" s="236"/>
      <c r="O189" s="237"/>
      <c r="P189" s="238"/>
      <c r="Q189" s="239"/>
      <c r="S189" s="36"/>
      <c r="T189" s="36"/>
      <c r="X189"/>
    </row>
    <row r="190" spans="1:24">
      <c r="A190" s="231"/>
      <c r="B190" s="231"/>
      <c r="C190" s="231"/>
      <c r="D190" s="231"/>
      <c r="E190" s="231"/>
      <c r="F190" s="231"/>
      <c r="G190" s="122"/>
      <c r="H190" s="122"/>
      <c r="I190" s="282"/>
      <c r="J190" s="232"/>
      <c r="K190" s="233"/>
      <c r="L190" s="234"/>
      <c r="M190" s="235"/>
      <c r="N190" s="236"/>
      <c r="O190" s="237"/>
      <c r="P190" s="238"/>
      <c r="Q190" s="239"/>
      <c r="S190" s="36"/>
      <c r="T190" s="36"/>
      <c r="X190"/>
    </row>
    <row r="191" spans="1:24">
      <c r="A191" s="231"/>
      <c r="B191" s="231"/>
      <c r="C191" s="292"/>
      <c r="D191" s="231"/>
      <c r="E191" s="231"/>
      <c r="F191" s="231"/>
      <c r="G191" s="122"/>
      <c r="H191" s="122"/>
      <c r="I191" s="282"/>
      <c r="J191" s="232"/>
      <c r="K191" s="233"/>
      <c r="L191" s="234"/>
      <c r="M191" s="235"/>
      <c r="N191" s="236"/>
      <c r="O191" s="237"/>
      <c r="P191" s="238"/>
      <c r="Q191" s="239"/>
      <c r="S191" s="36"/>
      <c r="T191" s="36"/>
      <c r="X191"/>
    </row>
    <row r="192" spans="1:24">
      <c r="A192" s="231"/>
      <c r="B192" s="231"/>
      <c r="C192" s="122"/>
      <c r="D192" s="231"/>
      <c r="E192" s="231"/>
      <c r="F192" s="231"/>
      <c r="G192" s="122"/>
      <c r="H192" s="122"/>
      <c r="I192" s="282"/>
      <c r="J192" s="232"/>
      <c r="K192" s="233"/>
      <c r="L192" s="234"/>
      <c r="M192" s="235"/>
      <c r="N192" s="236"/>
      <c r="O192" s="237"/>
      <c r="P192" s="238"/>
      <c r="Q192" s="239"/>
      <c r="S192" s="36"/>
      <c r="T192" s="36"/>
      <c r="X192"/>
    </row>
    <row r="193" spans="1:24">
      <c r="A193" s="231"/>
      <c r="B193" s="231"/>
      <c r="C193" s="122"/>
      <c r="D193" s="231"/>
      <c r="E193" s="231"/>
      <c r="F193" s="231"/>
      <c r="G193" s="122"/>
      <c r="H193" s="122"/>
      <c r="I193" s="282"/>
      <c r="J193" s="232"/>
      <c r="K193" s="233"/>
      <c r="L193" s="234"/>
      <c r="M193" s="235"/>
      <c r="N193" s="236"/>
      <c r="O193" s="237"/>
      <c r="P193" s="238"/>
      <c r="Q193" s="239"/>
      <c r="S193" s="36"/>
      <c r="T193" s="36"/>
      <c r="X193"/>
    </row>
    <row r="194" spans="1:24">
      <c r="A194" s="231"/>
      <c r="B194" s="231"/>
      <c r="C194" s="122"/>
      <c r="D194" s="231"/>
      <c r="E194" s="231"/>
      <c r="F194" s="231"/>
      <c r="G194" s="122"/>
      <c r="H194" s="122"/>
      <c r="I194" s="282"/>
      <c r="J194" s="232"/>
      <c r="K194" s="233"/>
      <c r="L194" s="234"/>
      <c r="M194" s="235"/>
      <c r="N194" s="236"/>
      <c r="O194" s="237"/>
      <c r="P194" s="238"/>
      <c r="Q194" s="239"/>
      <c r="S194" s="36"/>
      <c r="T194" s="36"/>
      <c r="X194"/>
    </row>
    <row r="195" spans="1:24">
      <c r="A195" s="231"/>
      <c r="B195" s="231"/>
      <c r="C195" s="122"/>
      <c r="D195" s="231"/>
      <c r="E195" s="231"/>
      <c r="F195" s="231"/>
      <c r="G195" s="122"/>
      <c r="H195" s="122"/>
      <c r="I195" s="282"/>
      <c r="J195" s="232"/>
      <c r="K195" s="233"/>
      <c r="L195" s="234"/>
      <c r="M195" s="235"/>
      <c r="N195" s="236"/>
      <c r="O195" s="237"/>
      <c r="P195" s="238"/>
      <c r="Q195" s="187"/>
      <c r="S195" s="36"/>
      <c r="T195" s="36"/>
      <c r="X195"/>
    </row>
    <row r="196" spans="1:24">
      <c r="A196" s="231"/>
      <c r="B196" s="231"/>
      <c r="C196" s="292"/>
      <c r="D196" s="36"/>
      <c r="E196" s="231"/>
      <c r="F196" s="231"/>
      <c r="G196" s="122"/>
      <c r="H196" s="122"/>
      <c r="I196" s="282"/>
      <c r="J196" s="232"/>
      <c r="K196" s="233"/>
      <c r="L196" s="234"/>
      <c r="M196" s="235"/>
      <c r="N196" s="236"/>
      <c r="O196" s="237"/>
      <c r="P196" s="238"/>
      <c r="Q196" s="187"/>
      <c r="S196" s="36"/>
      <c r="T196" s="36"/>
      <c r="X196"/>
    </row>
    <row r="197" spans="1:24">
      <c r="A197" s="231"/>
      <c r="B197" s="231"/>
      <c r="C197" s="292"/>
      <c r="D197" s="36"/>
      <c r="E197" s="122"/>
      <c r="F197" s="231"/>
      <c r="G197" s="122"/>
      <c r="H197" s="122"/>
      <c r="I197" s="282"/>
      <c r="J197" s="232"/>
      <c r="K197" s="233"/>
      <c r="L197" s="234"/>
      <c r="M197" s="235"/>
      <c r="N197" s="236"/>
      <c r="O197" s="237"/>
      <c r="P197" s="238"/>
      <c r="Q197" s="239"/>
      <c r="S197" s="36"/>
      <c r="T197" s="36"/>
      <c r="X197"/>
    </row>
    <row r="198" spans="1:24">
      <c r="A198" s="231"/>
      <c r="B198" s="231"/>
      <c r="C198" s="122"/>
      <c r="D198" s="231"/>
      <c r="E198" s="231"/>
      <c r="F198" s="231"/>
      <c r="G198" s="122"/>
      <c r="H198" s="122"/>
      <c r="I198" s="282"/>
      <c r="J198" s="232"/>
      <c r="K198" s="233"/>
      <c r="L198" s="234"/>
      <c r="M198" s="235"/>
      <c r="N198" s="236"/>
      <c r="O198" s="237"/>
      <c r="P198" s="238"/>
      <c r="Q198" s="239"/>
      <c r="S198" s="36"/>
      <c r="T198" s="36"/>
      <c r="X198"/>
    </row>
    <row r="199" spans="1:24">
      <c r="A199" s="122"/>
      <c r="B199" s="231"/>
      <c r="C199" s="122"/>
      <c r="D199" s="122"/>
      <c r="E199" s="231"/>
      <c r="F199" s="231"/>
      <c r="G199" s="122"/>
      <c r="H199" s="122"/>
      <c r="I199" s="282"/>
      <c r="J199" s="232"/>
      <c r="K199" s="233"/>
      <c r="L199" s="234"/>
      <c r="M199" s="235"/>
      <c r="N199" s="236"/>
      <c r="O199" s="237"/>
      <c r="P199" s="238"/>
      <c r="Q199" s="239"/>
      <c r="S199" s="36"/>
      <c r="T199" s="36"/>
      <c r="X199"/>
    </row>
    <row r="200" spans="1:24">
      <c r="A200" s="231"/>
      <c r="B200" s="231"/>
      <c r="C200" s="122"/>
      <c r="D200" s="231"/>
      <c r="E200" s="231"/>
      <c r="F200" s="231"/>
      <c r="G200" s="122"/>
      <c r="H200" s="122"/>
      <c r="I200" s="282"/>
      <c r="J200" s="232"/>
      <c r="K200" s="233"/>
      <c r="L200" s="234"/>
      <c r="M200" s="235"/>
      <c r="N200" s="236"/>
      <c r="O200" s="237"/>
      <c r="P200" s="238"/>
      <c r="Q200" s="239"/>
      <c r="S200" s="36"/>
      <c r="T200" s="36"/>
      <c r="X200"/>
    </row>
    <row r="201" spans="1:24">
      <c r="A201" s="231"/>
      <c r="B201" s="231"/>
      <c r="C201" s="122"/>
      <c r="D201" s="231"/>
      <c r="E201" s="231"/>
      <c r="F201" s="231"/>
      <c r="G201" s="122"/>
      <c r="H201" s="122"/>
      <c r="I201" s="282"/>
      <c r="J201" s="232"/>
      <c r="K201" s="233"/>
      <c r="L201" s="234"/>
      <c r="M201" s="235"/>
      <c r="N201" s="236"/>
      <c r="O201" s="237"/>
      <c r="P201" s="238"/>
      <c r="Q201" s="239"/>
      <c r="S201" s="36"/>
      <c r="T201" s="36"/>
      <c r="X201"/>
    </row>
    <row r="202" spans="1:24">
      <c r="A202" s="231"/>
      <c r="B202" s="231"/>
      <c r="C202" s="122"/>
      <c r="D202" s="231"/>
      <c r="E202" s="231"/>
      <c r="F202" s="231"/>
      <c r="G202" s="122"/>
      <c r="H202" s="122"/>
      <c r="I202" s="282"/>
      <c r="J202" s="232"/>
      <c r="K202" s="233"/>
      <c r="L202" s="234"/>
      <c r="M202" s="235"/>
      <c r="N202" s="236"/>
      <c r="O202" s="237"/>
      <c r="P202" s="238"/>
      <c r="Q202" s="239"/>
      <c r="S202" s="36"/>
      <c r="T202" s="36"/>
      <c r="X202"/>
    </row>
    <row r="203" spans="1:24">
      <c r="A203" s="231"/>
      <c r="B203" s="231"/>
      <c r="C203" s="231"/>
      <c r="D203" s="231"/>
      <c r="E203" s="231"/>
      <c r="F203" s="231"/>
      <c r="G203" s="122"/>
      <c r="H203" s="122"/>
      <c r="I203" s="282"/>
      <c r="J203" s="232"/>
      <c r="K203" s="233"/>
      <c r="L203" s="234"/>
      <c r="M203" s="235"/>
      <c r="N203" s="236"/>
      <c r="O203" s="237"/>
      <c r="P203" s="238"/>
      <c r="Q203" s="239"/>
      <c r="S203" s="36"/>
      <c r="T203" s="36"/>
      <c r="X203"/>
    </row>
    <row r="204" spans="1:24">
      <c r="A204" s="231"/>
      <c r="B204" s="231"/>
      <c r="C204" s="122"/>
      <c r="D204" s="231"/>
      <c r="E204" s="231"/>
      <c r="F204" s="231"/>
      <c r="G204" s="122"/>
      <c r="H204" s="122"/>
      <c r="I204" s="282"/>
      <c r="J204" s="232"/>
      <c r="K204" s="233"/>
      <c r="L204" s="234"/>
      <c r="M204" s="235"/>
      <c r="N204" s="236"/>
      <c r="O204" s="237"/>
      <c r="P204" s="238"/>
      <c r="Q204" s="239"/>
      <c r="S204" s="36"/>
      <c r="T204" s="36"/>
      <c r="X204"/>
    </row>
    <row r="205" spans="1:24">
      <c r="A205" s="231"/>
      <c r="B205" s="231"/>
      <c r="C205" s="122"/>
      <c r="D205" s="231"/>
      <c r="E205" s="231"/>
      <c r="F205" s="231"/>
      <c r="G205" s="122"/>
      <c r="H205" s="122"/>
      <c r="I205" s="282"/>
      <c r="J205" s="232"/>
      <c r="K205" s="233"/>
      <c r="L205" s="234"/>
      <c r="M205" s="235"/>
      <c r="N205" s="236"/>
      <c r="O205" s="237"/>
      <c r="P205" s="238"/>
      <c r="Q205" s="239"/>
      <c r="S205" s="36"/>
      <c r="T205" s="36"/>
      <c r="X205"/>
    </row>
    <row r="206" spans="1:24">
      <c r="A206" s="231"/>
      <c r="B206" s="231"/>
      <c r="C206" s="122"/>
      <c r="D206" s="231"/>
      <c r="E206" s="231"/>
      <c r="F206" s="231"/>
      <c r="G206" s="122"/>
      <c r="H206" s="122"/>
      <c r="I206" s="282"/>
      <c r="J206" s="232"/>
      <c r="K206" s="233"/>
      <c r="L206" s="234"/>
      <c r="M206" s="235"/>
      <c r="N206" s="236"/>
      <c r="O206" s="237"/>
      <c r="P206" s="238"/>
      <c r="Q206" s="239"/>
      <c r="S206" s="36"/>
      <c r="T206" s="36"/>
      <c r="X206"/>
    </row>
    <row r="207" spans="1:24">
      <c r="A207" s="231"/>
      <c r="B207" s="231"/>
      <c r="C207" s="122"/>
      <c r="D207" s="231"/>
      <c r="E207" s="231"/>
      <c r="F207" s="231"/>
      <c r="G207" s="122"/>
      <c r="H207" s="122"/>
      <c r="I207" s="282"/>
      <c r="J207" s="232"/>
      <c r="K207" s="233"/>
      <c r="L207" s="234"/>
      <c r="M207" s="235"/>
      <c r="N207" s="236"/>
      <c r="O207" s="237"/>
      <c r="P207" s="238"/>
      <c r="Q207" s="239"/>
      <c r="S207" s="36"/>
      <c r="T207" s="36"/>
      <c r="X207"/>
    </row>
    <row r="208" spans="1:24">
      <c r="A208" s="231"/>
      <c r="B208" s="231"/>
      <c r="C208" s="122"/>
      <c r="D208" s="231"/>
      <c r="E208" s="231"/>
      <c r="F208" s="231"/>
      <c r="G208" s="122"/>
      <c r="H208" s="122"/>
      <c r="I208" s="282"/>
      <c r="J208" s="232"/>
      <c r="K208" s="233"/>
      <c r="L208" s="234"/>
      <c r="M208" s="235"/>
      <c r="N208" s="236"/>
      <c r="O208" s="237"/>
      <c r="P208" s="238"/>
      <c r="Q208" s="239"/>
      <c r="S208" s="36"/>
      <c r="T208" s="36"/>
      <c r="X208"/>
    </row>
    <row r="209" spans="1:24">
      <c r="A209" s="231"/>
      <c r="B209" s="231"/>
      <c r="C209" s="122"/>
      <c r="D209" s="231"/>
      <c r="E209" s="231"/>
      <c r="F209" s="231"/>
      <c r="G209" s="122"/>
      <c r="H209" s="122"/>
      <c r="I209" s="282"/>
      <c r="J209" s="232"/>
      <c r="K209" s="233"/>
      <c r="L209" s="234"/>
      <c r="M209" s="235"/>
      <c r="N209" s="236"/>
      <c r="O209" s="237"/>
      <c r="P209" s="238"/>
      <c r="Q209" s="239"/>
      <c r="S209" s="36"/>
      <c r="T209" s="36"/>
      <c r="X209"/>
    </row>
    <row r="210" spans="1:24">
      <c r="A210" s="231"/>
      <c r="B210" s="231"/>
      <c r="C210" s="122"/>
      <c r="D210" s="231"/>
      <c r="E210" s="231"/>
      <c r="F210" s="231"/>
      <c r="G210" s="122"/>
      <c r="H210" s="122"/>
      <c r="I210" s="282"/>
      <c r="J210" s="232"/>
      <c r="K210" s="233"/>
      <c r="L210" s="234"/>
      <c r="M210" s="235"/>
      <c r="N210" s="236"/>
      <c r="O210" s="237"/>
      <c r="P210" s="238"/>
      <c r="Q210" s="239"/>
      <c r="S210" s="36"/>
      <c r="T210" s="36"/>
      <c r="X210"/>
    </row>
    <row r="211" spans="1:24">
      <c r="A211" s="231"/>
      <c r="B211" s="36"/>
      <c r="C211" s="292"/>
      <c r="D211" s="36"/>
      <c r="E211" s="231"/>
      <c r="F211" s="231"/>
      <c r="G211" s="122"/>
      <c r="H211" s="122"/>
      <c r="I211" s="282"/>
      <c r="J211" s="232"/>
      <c r="K211" s="233"/>
      <c r="L211" s="234"/>
      <c r="M211" s="235"/>
      <c r="N211" s="236"/>
      <c r="O211" s="237"/>
      <c r="P211" s="238"/>
      <c r="Q211" s="239"/>
      <c r="S211" s="36"/>
      <c r="T211" s="36"/>
      <c r="X211"/>
    </row>
    <row r="212" spans="1:24">
      <c r="A212" s="231"/>
      <c r="B212" s="231"/>
      <c r="C212" s="36"/>
      <c r="D212" s="231"/>
      <c r="E212" s="231"/>
      <c r="F212" s="231"/>
      <c r="G212" s="122"/>
      <c r="H212" s="122"/>
      <c r="I212" s="282"/>
      <c r="J212" s="232"/>
      <c r="K212" s="233"/>
      <c r="L212" s="234"/>
      <c r="M212" s="235"/>
      <c r="N212" s="236"/>
      <c r="O212" s="237"/>
      <c r="P212" s="238"/>
      <c r="Q212" s="239"/>
      <c r="S212" s="36"/>
      <c r="T212" s="36"/>
      <c r="X212"/>
    </row>
    <row r="213" spans="1:24">
      <c r="A213" s="231"/>
      <c r="B213" s="231"/>
      <c r="C213" s="122"/>
      <c r="D213" s="231"/>
      <c r="E213" s="231"/>
      <c r="F213" s="231"/>
      <c r="G213" s="122"/>
      <c r="H213" s="122"/>
      <c r="I213" s="282"/>
      <c r="J213" s="232"/>
      <c r="K213" s="233"/>
      <c r="L213" s="234"/>
      <c r="M213" s="235"/>
      <c r="N213" s="236"/>
      <c r="O213" s="237"/>
      <c r="P213" s="238"/>
      <c r="Q213" s="239"/>
      <c r="S213" s="36"/>
      <c r="T213" s="36"/>
      <c r="X213"/>
    </row>
    <row r="214" spans="1:24">
      <c r="A214" s="231"/>
      <c r="B214" s="231"/>
      <c r="C214" s="292"/>
      <c r="D214" s="231"/>
      <c r="E214" s="231"/>
      <c r="F214" s="231"/>
      <c r="G214" s="122"/>
      <c r="H214" s="122"/>
      <c r="I214" s="282"/>
      <c r="J214" s="232"/>
      <c r="K214" s="233"/>
      <c r="L214" s="234"/>
      <c r="M214" s="235"/>
      <c r="N214" s="236"/>
      <c r="O214" s="237"/>
      <c r="P214" s="238"/>
      <c r="Q214" s="239"/>
      <c r="S214" s="36"/>
      <c r="T214" s="36"/>
      <c r="X214"/>
    </row>
    <row r="215" spans="1:24">
      <c r="A215" s="231"/>
      <c r="B215" s="231"/>
      <c r="C215" s="292"/>
      <c r="D215" s="231"/>
      <c r="E215" s="231"/>
      <c r="F215" s="231"/>
      <c r="G215" s="122"/>
      <c r="H215" s="122"/>
      <c r="I215" s="282"/>
      <c r="J215" s="232"/>
      <c r="K215" s="233"/>
      <c r="L215" s="234"/>
      <c r="M215" s="235"/>
      <c r="N215" s="236"/>
      <c r="O215" s="237"/>
      <c r="P215" s="238"/>
      <c r="Q215" s="239"/>
      <c r="S215" s="36"/>
      <c r="T215" s="36"/>
      <c r="X215"/>
    </row>
    <row r="216" spans="1:24">
      <c r="A216" s="231"/>
      <c r="B216" s="231"/>
      <c r="C216" s="122"/>
      <c r="D216" s="231"/>
      <c r="E216" s="231"/>
      <c r="F216" s="231"/>
      <c r="G216" s="122"/>
      <c r="H216" s="122"/>
      <c r="I216" s="282"/>
      <c r="J216" s="232"/>
      <c r="K216" s="233"/>
      <c r="L216" s="234"/>
      <c r="M216" s="235"/>
      <c r="N216" s="236"/>
      <c r="O216" s="237"/>
      <c r="P216" s="238"/>
      <c r="Q216" s="239"/>
      <c r="S216" s="36"/>
      <c r="T216" s="36"/>
      <c r="X216"/>
    </row>
    <row r="217" spans="1:24">
      <c r="A217" s="231"/>
      <c r="B217" s="231"/>
      <c r="C217" s="122"/>
      <c r="D217" s="231"/>
      <c r="E217" s="231"/>
      <c r="F217" s="231"/>
      <c r="G217" s="122"/>
      <c r="H217" s="122"/>
      <c r="I217" s="282"/>
      <c r="J217" s="232"/>
      <c r="K217" s="233"/>
      <c r="L217" s="234"/>
      <c r="M217" s="235"/>
      <c r="N217" s="236"/>
      <c r="O217" s="237"/>
      <c r="P217" s="238"/>
      <c r="Q217" s="239"/>
      <c r="S217" s="36"/>
      <c r="T217" s="36"/>
      <c r="X217"/>
    </row>
    <row r="218" spans="1:24">
      <c r="A218" s="231"/>
      <c r="B218" s="231"/>
      <c r="C218" s="122"/>
      <c r="D218" s="231"/>
      <c r="E218" s="231"/>
      <c r="F218" s="231"/>
      <c r="G218" s="122"/>
      <c r="H218" s="122"/>
      <c r="I218" s="282"/>
      <c r="J218" s="232"/>
      <c r="K218" s="233"/>
      <c r="L218" s="234"/>
      <c r="M218" s="235"/>
      <c r="N218" s="236"/>
      <c r="O218" s="237"/>
      <c r="P218" s="238"/>
      <c r="Q218" s="239"/>
      <c r="S218" s="36"/>
      <c r="T218" s="36"/>
      <c r="X218"/>
    </row>
    <row r="219" spans="1:24">
      <c r="A219" s="231"/>
      <c r="B219" s="231"/>
      <c r="C219" s="231"/>
      <c r="D219" s="231"/>
      <c r="E219" s="231"/>
      <c r="F219" s="231"/>
      <c r="G219" s="122"/>
      <c r="H219" s="122"/>
      <c r="I219" s="282"/>
      <c r="J219" s="232"/>
      <c r="K219" s="233"/>
      <c r="L219" s="234"/>
      <c r="M219" s="235"/>
      <c r="N219" s="236"/>
      <c r="O219" s="237"/>
      <c r="P219" s="238"/>
      <c r="Q219" s="239"/>
      <c r="S219" s="36"/>
      <c r="T219" s="36"/>
      <c r="X219"/>
    </row>
    <row r="220" spans="1:24">
      <c r="A220" s="231"/>
      <c r="B220" s="231"/>
      <c r="C220" s="122"/>
      <c r="D220" s="231"/>
      <c r="E220" s="231"/>
      <c r="F220" s="231"/>
      <c r="G220" s="122"/>
      <c r="H220" s="122"/>
      <c r="I220" s="282"/>
      <c r="J220" s="232"/>
      <c r="K220" s="233"/>
      <c r="L220" s="234"/>
      <c r="M220" s="235"/>
      <c r="N220" s="236"/>
      <c r="O220" s="237"/>
      <c r="P220" s="238"/>
      <c r="Q220" s="239"/>
      <c r="S220" s="36"/>
      <c r="T220" s="36"/>
      <c r="X220"/>
    </row>
    <row r="221" spans="1:24">
      <c r="A221" s="231"/>
      <c r="B221" s="231"/>
      <c r="C221" s="122"/>
      <c r="D221" s="231"/>
      <c r="E221" s="231"/>
      <c r="F221" s="231"/>
      <c r="G221" s="122"/>
      <c r="H221" s="122"/>
      <c r="I221" s="282"/>
      <c r="J221" s="232"/>
      <c r="K221" s="233"/>
      <c r="L221" s="234"/>
      <c r="M221" s="235"/>
      <c r="N221" s="236"/>
      <c r="O221" s="237"/>
      <c r="P221" s="238"/>
      <c r="Q221" s="239"/>
      <c r="S221" s="36"/>
      <c r="T221" s="36"/>
      <c r="X221"/>
    </row>
    <row r="222" spans="1:24">
      <c r="A222" s="122"/>
      <c r="B222" s="231"/>
      <c r="C222" s="122"/>
      <c r="D222" s="122"/>
      <c r="E222" s="231"/>
      <c r="F222" s="231"/>
      <c r="G222" s="122"/>
      <c r="H222" s="122"/>
      <c r="I222" s="282"/>
      <c r="J222" s="232"/>
      <c r="K222" s="233"/>
      <c r="L222" s="234"/>
      <c r="M222" s="235"/>
      <c r="N222" s="236"/>
      <c r="O222" s="237"/>
      <c r="P222" s="238"/>
      <c r="Q222" s="239"/>
      <c r="S222" s="36"/>
      <c r="T222" s="36"/>
      <c r="X222"/>
    </row>
    <row r="223" spans="1:24">
      <c r="A223" s="231"/>
      <c r="B223" s="231"/>
      <c r="C223" s="122"/>
      <c r="D223" s="231"/>
      <c r="E223" s="231"/>
      <c r="F223" s="231"/>
      <c r="G223" s="122"/>
      <c r="H223" s="122"/>
      <c r="I223" s="282"/>
      <c r="J223" s="232"/>
      <c r="K223" s="233"/>
      <c r="L223" s="234"/>
      <c r="M223" s="235"/>
      <c r="N223" s="236"/>
      <c r="O223" s="237"/>
      <c r="P223" s="238"/>
      <c r="Q223" s="239"/>
      <c r="S223" s="36"/>
      <c r="T223" s="36"/>
      <c r="X223"/>
    </row>
    <row r="224" spans="1:24">
      <c r="A224" s="231"/>
      <c r="B224" s="231"/>
      <c r="C224" s="231"/>
      <c r="D224" s="231"/>
      <c r="E224" s="231"/>
      <c r="F224" s="231"/>
      <c r="G224" s="122"/>
      <c r="H224" s="122"/>
      <c r="I224" s="282"/>
      <c r="J224" s="232"/>
      <c r="K224" s="233"/>
      <c r="L224" s="234"/>
      <c r="M224" s="235"/>
      <c r="N224" s="236"/>
      <c r="O224" s="237"/>
      <c r="P224" s="238"/>
      <c r="Q224" s="239"/>
      <c r="S224" s="36"/>
      <c r="T224" s="36"/>
      <c r="X224"/>
    </row>
    <row r="225" spans="1:24">
      <c r="A225" s="231"/>
      <c r="B225" s="231"/>
      <c r="C225" s="231"/>
      <c r="D225" s="231"/>
      <c r="E225" s="122"/>
      <c r="F225" s="231"/>
      <c r="G225" s="122"/>
      <c r="H225" s="122"/>
      <c r="I225" s="282"/>
      <c r="J225" s="232"/>
      <c r="K225" s="233"/>
      <c r="L225" s="234"/>
      <c r="M225" s="235"/>
      <c r="N225" s="236"/>
      <c r="O225" s="237"/>
      <c r="P225" s="238"/>
      <c r="Q225" s="239"/>
      <c r="S225" s="36"/>
      <c r="T225" s="36"/>
      <c r="X225"/>
    </row>
    <row r="226" spans="1:24">
      <c r="A226" s="231"/>
      <c r="B226" s="231"/>
      <c r="C226" s="122"/>
      <c r="D226" s="231"/>
      <c r="E226" s="231"/>
      <c r="F226" s="231"/>
      <c r="G226" s="122"/>
      <c r="H226" s="122"/>
      <c r="I226" s="282"/>
      <c r="J226" s="232"/>
      <c r="K226" s="233"/>
      <c r="L226" s="234"/>
      <c r="M226" s="235"/>
      <c r="N226" s="236"/>
      <c r="O226" s="237"/>
      <c r="P226" s="238"/>
      <c r="Q226" s="239"/>
      <c r="S226" s="36"/>
      <c r="T226" s="36"/>
      <c r="X226"/>
    </row>
    <row r="227" spans="1:24">
      <c r="A227" s="231"/>
      <c r="B227" s="231"/>
      <c r="C227" s="292"/>
      <c r="D227" s="36"/>
      <c r="E227" s="231"/>
      <c r="F227" s="231"/>
      <c r="G227" s="122"/>
      <c r="H227" s="122"/>
      <c r="I227" s="282"/>
      <c r="J227" s="232"/>
      <c r="K227" s="233"/>
      <c r="L227" s="234"/>
      <c r="M227" s="235"/>
      <c r="N227" s="236"/>
      <c r="O227" s="237"/>
      <c r="P227" s="238"/>
      <c r="Q227" s="239"/>
      <c r="S227" s="36"/>
      <c r="T227" s="36"/>
      <c r="X227"/>
    </row>
    <row r="228" spans="1:24">
      <c r="A228" s="231"/>
      <c r="B228" s="231"/>
      <c r="C228" s="231"/>
      <c r="D228" s="231"/>
      <c r="E228" s="231"/>
      <c r="F228" s="231"/>
      <c r="G228" s="122"/>
      <c r="H228" s="122"/>
      <c r="I228" s="282"/>
      <c r="J228" s="232"/>
      <c r="K228" s="233"/>
      <c r="L228" s="234"/>
      <c r="M228" s="235"/>
      <c r="N228" s="236"/>
      <c r="O228" s="237"/>
      <c r="P228" s="238"/>
      <c r="Q228" s="239"/>
      <c r="S228" s="36"/>
      <c r="T228" s="36"/>
      <c r="X228"/>
    </row>
    <row r="229" spans="1:24">
      <c r="A229" s="231"/>
      <c r="B229" s="231"/>
      <c r="C229" s="122"/>
      <c r="D229" s="231"/>
      <c r="E229" s="231"/>
      <c r="F229" s="231"/>
      <c r="G229" s="122"/>
      <c r="H229" s="122"/>
      <c r="I229" s="282"/>
      <c r="J229" s="232"/>
      <c r="K229" s="233"/>
      <c r="L229" s="234"/>
      <c r="M229" s="235"/>
      <c r="N229" s="236"/>
      <c r="O229" s="237"/>
      <c r="P229" s="238"/>
      <c r="Q229" s="239"/>
      <c r="S229" s="36"/>
      <c r="T229" s="36"/>
      <c r="X229"/>
    </row>
    <row r="230" spans="1:24">
      <c r="A230" s="231"/>
      <c r="B230" s="231"/>
      <c r="C230" s="231"/>
      <c r="D230" s="231"/>
      <c r="E230" s="231"/>
      <c r="F230" s="231"/>
      <c r="G230" s="122"/>
      <c r="H230" s="122"/>
      <c r="I230" s="282"/>
      <c r="J230" s="232"/>
      <c r="K230" s="233"/>
      <c r="L230" s="234"/>
      <c r="M230" s="235"/>
      <c r="N230" s="236"/>
      <c r="O230" s="237"/>
      <c r="P230" s="238"/>
      <c r="Q230" s="239"/>
      <c r="S230" s="36"/>
      <c r="T230" s="36"/>
      <c r="X230"/>
    </row>
    <row r="231" spans="1:24">
      <c r="A231" s="231"/>
      <c r="B231" s="231"/>
      <c r="C231" s="122"/>
      <c r="D231" s="231"/>
      <c r="E231" s="231"/>
      <c r="F231" s="231"/>
      <c r="G231" s="122"/>
      <c r="H231" s="122"/>
      <c r="I231" s="282"/>
      <c r="J231" s="232"/>
      <c r="K231" s="233"/>
      <c r="L231" s="234"/>
      <c r="M231" s="235"/>
      <c r="N231" s="236"/>
      <c r="O231" s="237"/>
      <c r="P231" s="238"/>
      <c r="Q231" s="239"/>
      <c r="S231" s="36"/>
      <c r="T231" s="36"/>
      <c r="X231"/>
    </row>
    <row r="232" spans="1:24">
      <c r="A232" s="231"/>
      <c r="B232" s="231"/>
      <c r="C232" s="231"/>
      <c r="D232" s="231"/>
      <c r="E232" s="231"/>
      <c r="F232" s="231"/>
      <c r="G232" s="122"/>
      <c r="H232" s="122"/>
      <c r="I232" s="282"/>
      <c r="J232" s="232"/>
      <c r="K232" s="233"/>
      <c r="L232" s="234"/>
      <c r="M232" s="235"/>
      <c r="N232" s="236"/>
      <c r="O232" s="237"/>
      <c r="P232" s="238"/>
      <c r="Q232" s="239"/>
      <c r="S232" s="36"/>
      <c r="T232" s="36"/>
      <c r="X232"/>
    </row>
    <row r="233" spans="1:24">
      <c r="A233" s="231"/>
      <c r="B233" s="231"/>
      <c r="C233" s="122"/>
      <c r="D233" s="231"/>
      <c r="E233" s="231"/>
      <c r="F233" s="231"/>
      <c r="G233" s="122"/>
      <c r="H233" s="122"/>
      <c r="I233" s="282"/>
      <c r="J233" s="232"/>
      <c r="K233" s="233"/>
      <c r="L233" s="234"/>
      <c r="M233" s="235"/>
      <c r="N233" s="236"/>
      <c r="O233" s="237"/>
      <c r="P233" s="238"/>
      <c r="Q233" s="239"/>
      <c r="S233" s="36"/>
      <c r="T233" s="36"/>
      <c r="X233"/>
    </row>
    <row r="234" spans="1:24">
      <c r="A234" s="231"/>
      <c r="B234" s="231"/>
      <c r="C234" s="231"/>
      <c r="D234" s="231"/>
      <c r="E234" s="122"/>
      <c r="F234" s="231"/>
      <c r="G234" s="122"/>
      <c r="H234" s="122"/>
      <c r="I234" s="282"/>
      <c r="J234" s="232"/>
      <c r="K234" s="233"/>
      <c r="L234" s="234"/>
      <c r="M234" s="235"/>
      <c r="N234" s="236"/>
      <c r="O234" s="237"/>
      <c r="P234" s="238"/>
      <c r="Q234" s="239"/>
      <c r="S234" s="36"/>
      <c r="T234" s="36"/>
      <c r="X234"/>
    </row>
    <row r="235" spans="1:24">
      <c r="A235" s="231"/>
      <c r="B235" s="231"/>
      <c r="C235" s="231"/>
      <c r="D235" s="231"/>
      <c r="E235" s="231"/>
      <c r="F235" s="231"/>
      <c r="G235" s="122"/>
      <c r="H235" s="122"/>
      <c r="I235" s="282"/>
      <c r="J235" s="232"/>
      <c r="K235" s="233"/>
      <c r="L235" s="234"/>
      <c r="M235" s="235"/>
      <c r="N235" s="236"/>
      <c r="O235" s="237"/>
      <c r="P235" s="238"/>
      <c r="Q235" s="187"/>
      <c r="S235" s="36"/>
      <c r="T235" s="36"/>
      <c r="X235"/>
    </row>
    <row r="236" spans="1:24">
      <c r="A236" s="231"/>
      <c r="B236" s="231"/>
      <c r="C236" s="231"/>
      <c r="D236" s="231"/>
      <c r="E236" s="231"/>
      <c r="F236" s="231"/>
      <c r="G236" s="122"/>
      <c r="H236" s="122"/>
      <c r="I236" s="282"/>
      <c r="J236" s="232"/>
      <c r="K236" s="233"/>
      <c r="L236" s="234"/>
      <c r="M236" s="235"/>
      <c r="N236" s="236"/>
      <c r="O236" s="237"/>
      <c r="P236" s="238"/>
      <c r="Q236" s="239"/>
      <c r="S236" s="36"/>
      <c r="T236" s="36"/>
      <c r="X236"/>
    </row>
    <row r="237" spans="1:24">
      <c r="A237" s="231"/>
      <c r="B237" s="231"/>
      <c r="C237" s="231"/>
      <c r="D237" s="231"/>
      <c r="E237" s="231"/>
      <c r="F237" s="231"/>
      <c r="G237" s="122"/>
      <c r="H237" s="122"/>
      <c r="I237" s="282"/>
      <c r="J237" s="232"/>
      <c r="K237" s="233"/>
      <c r="L237" s="234"/>
      <c r="M237" s="235"/>
      <c r="N237" s="236"/>
      <c r="O237" s="237"/>
      <c r="P237" s="238"/>
      <c r="Q237" s="239"/>
      <c r="S237" s="36"/>
      <c r="T237" s="36"/>
      <c r="X237"/>
    </row>
    <row r="238" spans="1:24">
      <c r="A238" s="231"/>
      <c r="B238" s="231"/>
      <c r="C238" s="231"/>
      <c r="D238" s="231"/>
      <c r="E238" s="231"/>
      <c r="F238" s="231"/>
      <c r="G238" s="122"/>
      <c r="H238" s="122"/>
      <c r="I238" s="282"/>
      <c r="J238" s="232"/>
      <c r="K238" s="233"/>
      <c r="L238" s="234"/>
      <c r="M238" s="235"/>
      <c r="N238" s="236"/>
      <c r="O238" s="237"/>
      <c r="P238" s="238"/>
      <c r="Q238" s="239"/>
      <c r="S238" s="36"/>
      <c r="T238" s="36"/>
      <c r="X238"/>
    </row>
    <row r="239" spans="1:24">
      <c r="A239" s="231"/>
      <c r="B239" s="231"/>
      <c r="C239" s="122"/>
      <c r="D239" s="231"/>
      <c r="E239" s="231"/>
      <c r="F239" s="231"/>
      <c r="G239" s="122"/>
      <c r="H239" s="122"/>
      <c r="I239" s="282"/>
      <c r="J239" s="232"/>
      <c r="K239" s="233"/>
      <c r="L239" s="234"/>
      <c r="M239" s="235"/>
      <c r="N239" s="236"/>
      <c r="O239" s="237"/>
      <c r="P239" s="238"/>
      <c r="Q239" s="239"/>
      <c r="S239" s="36"/>
      <c r="T239" s="36"/>
      <c r="X239"/>
    </row>
    <row r="240" spans="1:24">
      <c r="A240" s="231"/>
      <c r="B240" s="231"/>
      <c r="C240" s="231"/>
      <c r="D240" s="231"/>
      <c r="E240" s="231"/>
      <c r="F240" s="231"/>
      <c r="G240" s="122"/>
      <c r="H240" s="122"/>
      <c r="I240" s="282"/>
      <c r="J240" s="232"/>
      <c r="K240" s="233"/>
      <c r="L240" s="234"/>
      <c r="M240" s="235"/>
      <c r="N240" s="236"/>
      <c r="O240" s="237"/>
      <c r="P240" s="238"/>
      <c r="Q240" s="239"/>
      <c r="S240" s="36"/>
      <c r="T240" s="36"/>
      <c r="X240"/>
    </row>
    <row r="241" spans="1:24">
      <c r="A241" s="231"/>
      <c r="B241" s="231"/>
      <c r="C241" s="122"/>
      <c r="D241" s="231"/>
      <c r="E241" s="231"/>
      <c r="F241" s="231"/>
      <c r="G241" s="122"/>
      <c r="H241" s="122"/>
      <c r="I241" s="282"/>
      <c r="J241" s="232"/>
      <c r="K241" s="233"/>
      <c r="L241" s="234"/>
      <c r="M241" s="235"/>
      <c r="N241" s="236"/>
      <c r="O241" s="237"/>
      <c r="P241" s="238"/>
      <c r="Q241" s="239"/>
      <c r="S241" s="36"/>
      <c r="T241" s="36"/>
      <c r="X241"/>
    </row>
    <row r="242" spans="1:24">
      <c r="A242" s="231"/>
      <c r="B242" s="231"/>
      <c r="C242" s="122"/>
      <c r="D242" s="231"/>
      <c r="E242" s="231"/>
      <c r="F242" s="231"/>
      <c r="G242" s="122"/>
      <c r="H242" s="122"/>
      <c r="I242" s="282"/>
      <c r="J242" s="232"/>
      <c r="K242" s="233"/>
      <c r="L242" s="234"/>
      <c r="M242" s="235"/>
      <c r="N242" s="236"/>
      <c r="O242" s="237"/>
      <c r="P242" s="238"/>
      <c r="Q242" s="239"/>
      <c r="S242" s="36"/>
      <c r="T242" s="36"/>
      <c r="X242"/>
    </row>
    <row r="243" spans="1:24">
      <c r="A243" s="231"/>
      <c r="B243" s="231"/>
      <c r="C243" s="231"/>
      <c r="D243" s="231"/>
      <c r="E243" s="231"/>
      <c r="F243" s="231"/>
      <c r="G243" s="122"/>
      <c r="H243" s="122"/>
      <c r="I243" s="282"/>
      <c r="J243" s="232"/>
      <c r="K243" s="233"/>
      <c r="L243" s="234"/>
      <c r="M243" s="235"/>
      <c r="N243" s="236"/>
      <c r="O243" s="237"/>
      <c r="P243" s="238"/>
      <c r="Q243" s="239"/>
      <c r="S243" s="36"/>
      <c r="T243" s="36"/>
      <c r="X243"/>
    </row>
    <row r="244" spans="1:24">
      <c r="A244" s="231"/>
      <c r="B244" s="231"/>
      <c r="C244" s="231"/>
      <c r="D244" s="231"/>
      <c r="E244" s="231"/>
      <c r="F244" s="231"/>
      <c r="G244" s="122"/>
      <c r="H244" s="122"/>
      <c r="I244" s="282"/>
      <c r="J244" s="232"/>
      <c r="K244" s="233"/>
      <c r="L244" s="234"/>
      <c r="M244" s="235"/>
      <c r="N244" s="236"/>
      <c r="O244" s="237"/>
      <c r="P244" s="238"/>
      <c r="Q244" s="239"/>
      <c r="S244" s="36"/>
      <c r="T244" s="36"/>
      <c r="X244"/>
    </row>
    <row r="245" spans="1:24">
      <c r="A245" s="231"/>
      <c r="B245" s="231"/>
      <c r="C245" s="122"/>
      <c r="D245" s="231"/>
      <c r="E245" s="231"/>
      <c r="F245" s="231"/>
      <c r="G245" s="122"/>
      <c r="H245" s="122"/>
      <c r="I245" s="282"/>
      <c r="J245" s="232"/>
      <c r="K245" s="233"/>
      <c r="L245" s="234"/>
      <c r="M245" s="235"/>
      <c r="N245" s="236"/>
      <c r="O245" s="237"/>
      <c r="P245" s="238"/>
      <c r="Q245" s="239"/>
      <c r="S245" s="36"/>
      <c r="T245" s="36"/>
      <c r="X245"/>
    </row>
    <row r="246" spans="1:24">
      <c r="A246" s="231"/>
      <c r="B246" s="231"/>
      <c r="C246" s="231"/>
      <c r="D246" s="231"/>
      <c r="E246" s="231"/>
      <c r="F246" s="231"/>
      <c r="G246" s="122"/>
      <c r="H246" s="122"/>
      <c r="I246" s="282"/>
      <c r="J246" s="232"/>
      <c r="K246" s="233"/>
      <c r="L246" s="234"/>
      <c r="M246" s="235"/>
      <c r="N246" s="236"/>
      <c r="O246" s="237"/>
      <c r="P246" s="238"/>
      <c r="Q246" s="239"/>
      <c r="S246" s="36"/>
      <c r="T246" s="36"/>
      <c r="X246"/>
    </row>
    <row r="247" spans="1:24">
      <c r="A247" s="231"/>
      <c r="B247" s="231"/>
      <c r="C247" s="231"/>
      <c r="D247" s="231"/>
      <c r="E247" s="231"/>
      <c r="F247" s="231"/>
      <c r="G247" s="122"/>
      <c r="H247" s="122"/>
      <c r="I247" s="282"/>
      <c r="J247" s="232"/>
      <c r="K247" s="233"/>
      <c r="L247" s="234"/>
      <c r="M247" s="235"/>
      <c r="N247" s="236"/>
      <c r="O247" s="237"/>
      <c r="P247" s="238"/>
      <c r="Q247" s="239"/>
      <c r="S247" s="36"/>
      <c r="T247" s="36"/>
      <c r="X247"/>
    </row>
    <row r="248" spans="1:24">
      <c r="A248" s="231"/>
      <c r="B248" s="231"/>
      <c r="C248" s="231"/>
      <c r="D248" s="231"/>
      <c r="E248" s="231"/>
      <c r="F248" s="231"/>
      <c r="G248" s="122"/>
      <c r="H248" s="122"/>
      <c r="I248" s="282"/>
      <c r="J248" s="232"/>
      <c r="K248" s="233"/>
      <c r="L248" s="234"/>
      <c r="M248" s="235"/>
      <c r="N248" s="236"/>
      <c r="O248" s="237"/>
      <c r="P248" s="238"/>
      <c r="Q248" s="239"/>
      <c r="S248" s="36"/>
      <c r="T248" s="36"/>
      <c r="X248"/>
    </row>
    <row r="249" spans="1:24">
      <c r="A249" s="231"/>
      <c r="B249" s="231"/>
      <c r="C249" s="231"/>
      <c r="D249" s="231"/>
      <c r="E249" s="231"/>
      <c r="F249" s="231"/>
      <c r="G249" s="122"/>
      <c r="H249" s="122"/>
      <c r="I249" s="282"/>
      <c r="J249" s="232"/>
      <c r="K249" s="233"/>
      <c r="L249" s="234"/>
      <c r="M249" s="235"/>
      <c r="N249" s="236"/>
      <c r="O249" s="237"/>
      <c r="P249" s="238"/>
      <c r="Q249" s="239"/>
      <c r="S249" s="36"/>
      <c r="T249" s="36"/>
      <c r="X249"/>
    </row>
    <row r="250" spans="1:24">
      <c r="A250" s="231"/>
      <c r="B250" s="231"/>
      <c r="C250" s="122"/>
      <c r="D250" s="231"/>
      <c r="E250" s="231"/>
      <c r="F250" s="231"/>
      <c r="G250" s="122"/>
      <c r="H250" s="122"/>
      <c r="I250" s="282"/>
      <c r="J250" s="232"/>
      <c r="K250" s="233"/>
      <c r="L250" s="234"/>
      <c r="M250" s="235"/>
      <c r="N250" s="236"/>
      <c r="O250" s="237"/>
      <c r="P250" s="238"/>
      <c r="Q250" s="239"/>
      <c r="S250" s="36"/>
      <c r="T250" s="36"/>
      <c r="X250"/>
    </row>
    <row r="251" spans="1:24">
      <c r="A251" s="231"/>
      <c r="B251" s="231"/>
      <c r="C251" s="231"/>
      <c r="D251" s="231"/>
      <c r="E251" s="231"/>
      <c r="F251" s="231"/>
      <c r="G251" s="122"/>
      <c r="H251" s="122"/>
      <c r="I251" s="282"/>
      <c r="J251" s="232"/>
      <c r="K251" s="233"/>
      <c r="L251" s="234"/>
      <c r="M251" s="235"/>
      <c r="N251" s="236"/>
      <c r="O251" s="237"/>
      <c r="P251" s="238"/>
      <c r="Q251" s="239"/>
      <c r="S251" s="36"/>
      <c r="T251" s="36"/>
      <c r="X251"/>
    </row>
    <row r="252" spans="1:24">
      <c r="A252" s="231"/>
      <c r="B252" s="231"/>
      <c r="C252" s="122"/>
      <c r="D252" s="231"/>
      <c r="E252" s="231"/>
      <c r="F252" s="231"/>
      <c r="G252" s="122"/>
      <c r="H252" s="122"/>
      <c r="I252" s="282"/>
      <c r="J252" s="232"/>
      <c r="K252" s="233"/>
      <c r="L252" s="234"/>
      <c r="M252" s="235"/>
      <c r="N252" s="236"/>
      <c r="O252" s="237"/>
      <c r="P252" s="238"/>
      <c r="Q252" s="239"/>
      <c r="S252" s="36"/>
      <c r="T252" s="36"/>
      <c r="X252"/>
    </row>
    <row r="253" spans="1:24">
      <c r="A253" s="231"/>
      <c r="B253" s="231"/>
      <c r="C253" s="231"/>
      <c r="D253" s="231"/>
      <c r="E253" s="231"/>
      <c r="F253" s="231"/>
      <c r="G253" s="122"/>
      <c r="H253" s="122"/>
      <c r="I253" s="282"/>
      <c r="J253" s="232"/>
      <c r="K253" s="233"/>
      <c r="L253" s="234"/>
      <c r="M253" s="235"/>
      <c r="N253" s="236"/>
      <c r="O253" s="237"/>
      <c r="P253" s="238"/>
      <c r="Q253" s="239"/>
      <c r="S253" s="36"/>
      <c r="T253" s="36"/>
      <c r="X253"/>
    </row>
    <row r="254" spans="1:24">
      <c r="A254" s="231"/>
      <c r="B254" s="231"/>
      <c r="C254" s="122"/>
      <c r="D254" s="231"/>
      <c r="E254" s="231"/>
      <c r="F254" s="231"/>
      <c r="G254" s="122"/>
      <c r="H254" s="122"/>
      <c r="I254" s="282"/>
      <c r="J254" s="232"/>
      <c r="K254" s="233"/>
      <c r="L254" s="234"/>
      <c r="M254" s="235"/>
      <c r="N254" s="236"/>
      <c r="O254" s="237"/>
      <c r="P254" s="238"/>
      <c r="Q254" s="239"/>
      <c r="S254" s="36"/>
      <c r="T254" s="36"/>
      <c r="X254"/>
    </row>
    <row r="255" spans="1:24">
      <c r="A255" s="231"/>
      <c r="B255" s="231"/>
      <c r="C255" s="122"/>
      <c r="D255" s="231"/>
      <c r="E255" s="231"/>
      <c r="F255" s="231"/>
      <c r="G255" s="122"/>
      <c r="H255" s="122"/>
      <c r="I255" s="282"/>
      <c r="J255" s="232"/>
      <c r="K255" s="233"/>
      <c r="L255" s="234"/>
      <c r="M255" s="235"/>
      <c r="N255" s="236"/>
      <c r="O255" s="237"/>
      <c r="P255" s="238"/>
      <c r="Q255" s="239"/>
      <c r="S255" s="36"/>
      <c r="T255" s="36"/>
      <c r="X255"/>
    </row>
    <row r="256" spans="1:24">
      <c r="A256" s="231"/>
      <c r="B256" s="231"/>
      <c r="C256" s="122"/>
      <c r="D256" s="231"/>
      <c r="E256" s="231"/>
      <c r="F256" s="231"/>
      <c r="G256" s="122"/>
      <c r="H256" s="122"/>
      <c r="I256" s="282"/>
      <c r="J256" s="232"/>
      <c r="K256" s="233"/>
      <c r="L256" s="234"/>
      <c r="M256" s="235"/>
      <c r="N256" s="236"/>
      <c r="O256" s="237"/>
      <c r="P256" s="238"/>
      <c r="Q256" s="239"/>
      <c r="S256" s="36"/>
      <c r="T256" s="36"/>
      <c r="X256"/>
    </row>
    <row r="257" spans="1:24">
      <c r="A257" s="231"/>
      <c r="B257" s="231"/>
      <c r="C257" s="231"/>
      <c r="D257" s="231"/>
      <c r="E257" s="231"/>
      <c r="F257" s="231"/>
      <c r="G257" s="122"/>
      <c r="H257" s="122"/>
      <c r="I257" s="282"/>
      <c r="J257" s="232"/>
      <c r="K257" s="233"/>
      <c r="L257" s="234"/>
      <c r="M257" s="235"/>
      <c r="N257" s="236"/>
      <c r="O257" s="237"/>
      <c r="P257" s="238"/>
      <c r="Q257" s="239"/>
      <c r="S257" s="36"/>
      <c r="T257" s="36"/>
      <c r="X257"/>
    </row>
    <row r="258" spans="1:24">
      <c r="A258" s="231"/>
      <c r="B258" s="231"/>
      <c r="C258" s="231"/>
      <c r="D258" s="231"/>
      <c r="E258" s="231"/>
      <c r="F258" s="231"/>
      <c r="G258" s="122"/>
      <c r="H258" s="122"/>
      <c r="I258" s="282"/>
      <c r="J258" s="232"/>
      <c r="K258" s="233"/>
      <c r="L258" s="234"/>
      <c r="M258" s="235"/>
      <c r="N258" s="236"/>
      <c r="O258" s="237"/>
      <c r="P258" s="238"/>
      <c r="Q258" s="239"/>
      <c r="S258" s="36"/>
      <c r="T258" s="36"/>
      <c r="X258"/>
    </row>
    <row r="259" spans="1:24">
      <c r="A259" s="231"/>
      <c r="B259" s="231"/>
      <c r="C259" s="231"/>
      <c r="D259" s="231"/>
      <c r="E259" s="231"/>
      <c r="F259" s="231"/>
      <c r="G259" s="122"/>
      <c r="H259" s="122"/>
      <c r="I259" s="282"/>
      <c r="J259" s="232"/>
      <c r="K259" s="233"/>
      <c r="L259" s="234"/>
      <c r="M259" s="235"/>
      <c r="N259" s="236"/>
      <c r="O259" s="237"/>
      <c r="P259" s="238"/>
      <c r="Q259" s="239"/>
      <c r="S259" s="36"/>
      <c r="T259" s="36"/>
      <c r="X259"/>
    </row>
    <row r="260" spans="1:24">
      <c r="A260" s="231"/>
      <c r="B260" s="231"/>
      <c r="C260" s="122"/>
      <c r="D260" s="231"/>
      <c r="E260" s="231"/>
      <c r="F260" s="231"/>
      <c r="G260" s="122"/>
      <c r="H260" s="122"/>
      <c r="I260" s="282"/>
      <c r="J260" s="232"/>
      <c r="K260" s="233"/>
      <c r="L260" s="234"/>
      <c r="M260" s="235"/>
      <c r="N260" s="236"/>
      <c r="O260" s="237"/>
      <c r="P260" s="238"/>
      <c r="Q260" s="239"/>
      <c r="S260" s="36"/>
      <c r="T260" s="36"/>
      <c r="X260"/>
    </row>
    <row r="261" spans="1:24">
      <c r="A261" s="231"/>
      <c r="B261" s="231"/>
      <c r="C261" s="231"/>
      <c r="D261" s="231"/>
      <c r="E261" s="231"/>
      <c r="F261" s="231"/>
      <c r="G261" s="122"/>
      <c r="H261" s="122"/>
      <c r="I261" s="282"/>
      <c r="J261" s="232"/>
      <c r="K261" s="233"/>
      <c r="L261" s="234"/>
      <c r="M261" s="235"/>
      <c r="N261" s="236"/>
      <c r="O261" s="237"/>
      <c r="P261" s="238"/>
      <c r="Q261" s="239"/>
      <c r="S261" s="36"/>
      <c r="T261" s="36"/>
      <c r="X261"/>
    </row>
    <row r="262" spans="1:24">
      <c r="A262" s="231"/>
      <c r="B262" s="231"/>
      <c r="C262" s="231"/>
      <c r="D262" s="231"/>
      <c r="E262" s="231"/>
      <c r="F262" s="231"/>
      <c r="G262" s="122"/>
      <c r="H262" s="122"/>
      <c r="I262" s="282"/>
      <c r="J262" s="232"/>
      <c r="K262" s="233"/>
      <c r="L262" s="234"/>
      <c r="M262" s="235"/>
      <c r="N262" s="236"/>
      <c r="O262" s="237"/>
      <c r="P262" s="238"/>
      <c r="Q262" s="239"/>
      <c r="S262" s="36"/>
      <c r="T262" s="36"/>
      <c r="X262"/>
    </row>
    <row r="263" spans="1:24">
      <c r="A263" s="231"/>
      <c r="B263" s="231"/>
      <c r="C263" s="231"/>
      <c r="D263" s="231"/>
      <c r="E263" s="231"/>
      <c r="F263" s="231"/>
      <c r="G263" s="122"/>
      <c r="H263" s="122"/>
      <c r="I263" s="282"/>
      <c r="J263" s="232"/>
      <c r="K263" s="233"/>
      <c r="L263" s="234"/>
      <c r="M263" s="235"/>
      <c r="N263" s="236"/>
      <c r="O263" s="237"/>
      <c r="P263" s="238"/>
      <c r="Q263" s="239"/>
      <c r="S263" s="36"/>
      <c r="T263" s="36"/>
      <c r="X263"/>
    </row>
    <row r="264" spans="1:24">
      <c r="A264" s="231"/>
      <c r="B264" s="231"/>
      <c r="C264" s="122"/>
      <c r="D264" s="231"/>
      <c r="E264" s="231"/>
      <c r="F264" s="231"/>
      <c r="G264" s="122"/>
      <c r="H264" s="122"/>
      <c r="I264" s="282"/>
      <c r="J264" s="232"/>
      <c r="K264" s="233"/>
      <c r="L264" s="234"/>
      <c r="M264" s="235"/>
      <c r="N264" s="236"/>
      <c r="O264" s="237"/>
      <c r="P264" s="238"/>
      <c r="Q264" s="239"/>
      <c r="S264" s="36"/>
      <c r="T264" s="36"/>
      <c r="X264"/>
    </row>
    <row r="265" spans="1:24">
      <c r="A265" s="231"/>
      <c r="B265" s="231"/>
      <c r="C265" s="231"/>
      <c r="D265" s="231"/>
      <c r="E265" s="231"/>
      <c r="F265" s="231"/>
      <c r="G265" s="122"/>
      <c r="H265" s="122"/>
      <c r="I265" s="282"/>
      <c r="J265" s="232"/>
      <c r="K265" s="233"/>
      <c r="L265" s="234"/>
      <c r="M265" s="235"/>
      <c r="N265" s="236"/>
      <c r="O265" s="237"/>
      <c r="P265" s="238"/>
      <c r="Q265" s="239"/>
      <c r="S265" s="36"/>
      <c r="T265" s="36"/>
      <c r="X265"/>
    </row>
    <row r="266" spans="1:24">
      <c r="A266" s="231"/>
      <c r="B266" s="231"/>
      <c r="C266" s="231"/>
      <c r="D266" s="231"/>
      <c r="E266" s="231"/>
      <c r="F266" s="231"/>
      <c r="G266" s="122"/>
      <c r="H266" s="122"/>
      <c r="I266" s="282"/>
      <c r="J266" s="232"/>
      <c r="K266" s="233"/>
      <c r="L266" s="234"/>
      <c r="M266" s="235"/>
      <c r="N266" s="236"/>
      <c r="O266" s="237"/>
      <c r="P266" s="238"/>
      <c r="Q266" s="239"/>
      <c r="S266" s="36"/>
      <c r="T266" s="36"/>
      <c r="X266"/>
    </row>
    <row r="267" spans="1:24">
      <c r="A267" s="231"/>
      <c r="B267" s="231"/>
      <c r="C267" s="231"/>
      <c r="D267" s="231"/>
      <c r="E267" s="231"/>
      <c r="F267" s="231"/>
      <c r="G267" s="122"/>
      <c r="H267" s="122"/>
      <c r="I267" s="282"/>
      <c r="J267" s="232"/>
      <c r="K267" s="233"/>
      <c r="L267" s="234"/>
      <c r="M267" s="235"/>
      <c r="N267" s="236"/>
      <c r="O267" s="237"/>
      <c r="P267" s="238"/>
      <c r="Q267" s="239"/>
      <c r="S267" s="36"/>
      <c r="T267" s="36"/>
      <c r="X267"/>
    </row>
    <row r="268" spans="1:24">
      <c r="A268" s="231"/>
      <c r="B268" s="231"/>
      <c r="C268" s="122"/>
      <c r="D268" s="231"/>
      <c r="E268" s="231"/>
      <c r="F268" s="231"/>
      <c r="G268" s="122"/>
      <c r="H268" s="122"/>
      <c r="I268" s="282"/>
      <c r="J268" s="232"/>
      <c r="K268" s="233"/>
      <c r="L268" s="234"/>
      <c r="M268" s="235"/>
      <c r="N268" s="236"/>
      <c r="O268" s="237"/>
      <c r="P268" s="238"/>
      <c r="Q268" s="239"/>
      <c r="S268" s="36"/>
      <c r="T268" s="36"/>
      <c r="X268"/>
    </row>
    <row r="269" spans="1:24">
      <c r="A269" s="231"/>
      <c r="B269" s="231"/>
      <c r="C269" s="122"/>
      <c r="D269" s="231"/>
      <c r="E269" s="231"/>
      <c r="F269" s="231"/>
      <c r="G269" s="122"/>
      <c r="H269" s="122"/>
      <c r="I269" s="282"/>
      <c r="J269" s="232"/>
      <c r="K269" s="233"/>
      <c r="L269" s="234"/>
      <c r="M269" s="235"/>
      <c r="N269" s="236"/>
      <c r="O269" s="237"/>
      <c r="P269" s="238"/>
      <c r="Q269" s="239"/>
      <c r="S269" s="36"/>
      <c r="T269" s="36"/>
      <c r="X269"/>
    </row>
    <row r="270" spans="1:24">
      <c r="A270" s="231"/>
      <c r="B270" s="231"/>
      <c r="C270" s="122"/>
      <c r="D270" s="231"/>
      <c r="E270" s="231"/>
      <c r="F270" s="231"/>
      <c r="G270" s="122"/>
      <c r="H270" s="122"/>
      <c r="I270" s="282"/>
      <c r="J270" s="232"/>
      <c r="K270" s="233"/>
      <c r="L270" s="234"/>
      <c r="M270" s="235"/>
      <c r="N270" s="236"/>
      <c r="O270" s="237"/>
      <c r="P270" s="238"/>
      <c r="Q270" s="239"/>
      <c r="S270" s="36"/>
      <c r="T270" s="36"/>
      <c r="X270"/>
    </row>
    <row r="271" spans="1:24">
      <c r="A271" s="231"/>
      <c r="B271" s="231"/>
      <c r="C271" s="231"/>
      <c r="D271" s="231"/>
      <c r="E271" s="231"/>
      <c r="F271" s="231"/>
      <c r="G271" s="122"/>
      <c r="H271" s="122"/>
      <c r="I271" s="282"/>
      <c r="J271" s="232"/>
      <c r="K271" s="233"/>
      <c r="L271" s="234"/>
      <c r="M271" s="235"/>
      <c r="N271" s="236"/>
      <c r="O271" s="237"/>
      <c r="P271" s="238"/>
      <c r="Q271" s="239"/>
      <c r="S271" s="36"/>
      <c r="T271" s="36"/>
      <c r="X271"/>
    </row>
    <row r="272" spans="1:24">
      <c r="A272" s="231"/>
      <c r="B272" s="231"/>
      <c r="C272" s="122"/>
      <c r="D272" s="231"/>
      <c r="E272" s="231"/>
      <c r="F272" s="231"/>
      <c r="G272" s="122"/>
      <c r="H272" s="122"/>
      <c r="I272" s="282"/>
      <c r="J272" s="232"/>
      <c r="K272" s="233"/>
      <c r="L272" s="234"/>
      <c r="M272" s="235"/>
      <c r="N272" s="236"/>
      <c r="O272" s="237"/>
      <c r="P272" s="238"/>
      <c r="Q272" s="239"/>
      <c r="S272" s="36"/>
      <c r="T272" s="36"/>
      <c r="X272"/>
    </row>
    <row r="273" spans="1:24">
      <c r="A273" s="231"/>
      <c r="B273" s="231"/>
      <c r="C273" s="122"/>
      <c r="D273" s="231"/>
      <c r="E273" s="231"/>
      <c r="F273" s="231"/>
      <c r="G273" s="122"/>
      <c r="H273" s="122"/>
      <c r="I273" s="282"/>
      <c r="J273" s="232"/>
      <c r="K273" s="233"/>
      <c r="L273" s="234"/>
      <c r="M273" s="235"/>
      <c r="N273" s="236"/>
      <c r="O273" s="237"/>
      <c r="P273" s="238"/>
      <c r="Q273" s="239"/>
      <c r="S273" s="36"/>
      <c r="T273" s="36"/>
      <c r="X273"/>
    </row>
    <row r="274" spans="1:24">
      <c r="A274" s="231"/>
      <c r="B274" s="231"/>
      <c r="C274" s="122"/>
      <c r="D274" s="231"/>
      <c r="E274" s="231"/>
      <c r="F274" s="231"/>
      <c r="G274" s="122"/>
      <c r="H274" s="122"/>
      <c r="I274" s="282"/>
      <c r="J274" s="232"/>
      <c r="K274" s="233"/>
      <c r="L274" s="234"/>
      <c r="M274" s="235"/>
      <c r="N274" s="236"/>
      <c r="O274" s="237"/>
      <c r="P274" s="238"/>
      <c r="Q274" s="239"/>
      <c r="S274" s="36"/>
      <c r="T274" s="36"/>
      <c r="X274"/>
    </row>
    <row r="275" spans="1:24">
      <c r="A275" s="231"/>
      <c r="B275" s="231"/>
      <c r="C275" s="231"/>
      <c r="D275" s="231"/>
      <c r="E275" s="231"/>
      <c r="F275" s="231"/>
      <c r="G275" s="122"/>
      <c r="H275" s="122"/>
      <c r="I275" s="282"/>
      <c r="J275" s="232"/>
      <c r="K275" s="233"/>
      <c r="L275" s="234"/>
      <c r="M275" s="235"/>
      <c r="N275" s="236"/>
      <c r="O275" s="237"/>
      <c r="P275" s="238"/>
      <c r="Q275" s="239"/>
      <c r="S275" s="36"/>
      <c r="T275" s="36"/>
      <c r="X275"/>
    </row>
    <row r="276" spans="1:24">
      <c r="A276" s="231"/>
      <c r="B276" s="231"/>
      <c r="C276" s="231"/>
      <c r="D276" s="231"/>
      <c r="E276" s="231"/>
      <c r="F276" s="231"/>
      <c r="G276" s="122"/>
      <c r="H276" s="122"/>
      <c r="I276" s="282"/>
      <c r="J276" s="232"/>
      <c r="K276" s="233"/>
      <c r="L276" s="234"/>
      <c r="M276" s="235"/>
      <c r="N276" s="236"/>
      <c r="O276" s="237"/>
      <c r="P276" s="238"/>
      <c r="Q276" s="239"/>
      <c r="S276" s="36"/>
      <c r="T276" s="36"/>
      <c r="X276"/>
    </row>
    <row r="277" spans="1:24">
      <c r="A277" s="231"/>
      <c r="B277" s="231"/>
      <c r="C277" s="122"/>
      <c r="D277" s="231"/>
      <c r="E277" s="231"/>
      <c r="F277" s="231"/>
      <c r="G277" s="122"/>
      <c r="H277" s="122"/>
      <c r="I277" s="282"/>
      <c r="J277" s="232"/>
      <c r="K277" s="233"/>
      <c r="L277" s="234"/>
      <c r="M277" s="235"/>
      <c r="N277" s="236"/>
      <c r="O277" s="237"/>
      <c r="P277" s="238"/>
      <c r="Q277" s="239"/>
      <c r="S277" s="36"/>
      <c r="T277" s="36"/>
      <c r="X277"/>
    </row>
    <row r="278" spans="1:24">
      <c r="A278" s="231"/>
      <c r="B278" s="231"/>
      <c r="C278" s="231"/>
      <c r="D278" s="231"/>
      <c r="E278" s="231"/>
      <c r="F278" s="231"/>
      <c r="G278" s="122"/>
      <c r="H278" s="122"/>
      <c r="I278" s="282"/>
      <c r="J278" s="232"/>
      <c r="K278" s="233"/>
      <c r="L278" s="234"/>
      <c r="M278" s="235"/>
      <c r="N278" s="236"/>
      <c r="O278" s="237"/>
      <c r="P278" s="238"/>
      <c r="Q278" s="239"/>
      <c r="S278" s="36"/>
      <c r="T278" s="36"/>
      <c r="X278"/>
    </row>
    <row r="279" spans="1:24">
      <c r="A279" s="231"/>
      <c r="B279" s="231"/>
      <c r="C279" s="231"/>
      <c r="D279" s="231"/>
      <c r="E279" s="231"/>
      <c r="F279" s="231"/>
      <c r="G279" s="122"/>
      <c r="H279" s="122"/>
      <c r="I279" s="282"/>
      <c r="J279" s="232"/>
      <c r="K279" s="233"/>
      <c r="L279" s="234"/>
      <c r="M279" s="235"/>
      <c r="N279" s="236"/>
      <c r="O279" s="237"/>
      <c r="P279" s="238"/>
      <c r="Q279" s="239"/>
      <c r="S279" s="36"/>
      <c r="T279" s="36"/>
      <c r="X279"/>
    </row>
    <row r="280" spans="1:24">
      <c r="A280" s="231"/>
      <c r="B280" s="231"/>
      <c r="C280" s="122"/>
      <c r="D280" s="231"/>
      <c r="E280" s="231"/>
      <c r="F280" s="231"/>
      <c r="G280" s="122"/>
      <c r="H280" s="122"/>
      <c r="I280" s="282"/>
      <c r="J280" s="232"/>
      <c r="K280" s="233"/>
      <c r="L280" s="234"/>
      <c r="M280" s="235"/>
      <c r="N280" s="236"/>
      <c r="O280" s="237"/>
      <c r="P280" s="238"/>
      <c r="Q280" s="187"/>
      <c r="S280" s="36"/>
      <c r="T280" s="36"/>
      <c r="X280"/>
    </row>
    <row r="281" spans="1:24">
      <c r="A281" s="231"/>
      <c r="B281" s="231"/>
      <c r="C281" s="231"/>
      <c r="D281" s="231"/>
      <c r="E281" s="231"/>
      <c r="F281" s="231"/>
      <c r="G281" s="122"/>
      <c r="H281" s="122"/>
      <c r="I281" s="282"/>
      <c r="J281" s="232"/>
      <c r="K281" s="233"/>
      <c r="L281" s="234"/>
      <c r="M281" s="235"/>
      <c r="N281" s="236"/>
      <c r="O281" s="237"/>
      <c r="P281" s="238"/>
      <c r="Q281" s="239"/>
      <c r="S281" s="36"/>
      <c r="T281" s="36"/>
      <c r="X281"/>
    </row>
    <row r="282" spans="1:24">
      <c r="A282" s="231"/>
      <c r="B282" s="231"/>
      <c r="C282" s="231"/>
      <c r="D282" s="231"/>
      <c r="E282" s="231"/>
      <c r="F282" s="231"/>
      <c r="G282" s="122"/>
      <c r="H282" s="122"/>
      <c r="I282" s="282"/>
      <c r="J282" s="232"/>
      <c r="K282" s="233"/>
      <c r="L282" s="234"/>
      <c r="M282" s="235"/>
      <c r="N282" s="236"/>
      <c r="O282" s="237"/>
      <c r="P282" s="238"/>
      <c r="Q282" s="239"/>
      <c r="S282" s="36"/>
      <c r="T282" s="36"/>
      <c r="X282"/>
    </row>
    <row r="283" spans="1:24">
      <c r="A283" s="231"/>
      <c r="B283" s="231"/>
      <c r="C283" s="231"/>
      <c r="D283" s="231"/>
      <c r="E283" s="231"/>
      <c r="F283" s="231"/>
      <c r="G283" s="122"/>
      <c r="H283" s="122"/>
      <c r="I283" s="282"/>
      <c r="J283" s="232"/>
      <c r="K283" s="233"/>
      <c r="L283" s="234"/>
      <c r="M283" s="235"/>
      <c r="N283" s="236"/>
      <c r="O283" s="237"/>
      <c r="P283" s="238"/>
      <c r="Q283" s="239"/>
      <c r="S283" s="36"/>
      <c r="T283" s="36"/>
      <c r="X283"/>
    </row>
    <row r="284" spans="1:24">
      <c r="A284" s="231"/>
      <c r="B284" s="231"/>
      <c r="C284" s="231"/>
      <c r="D284" s="231"/>
      <c r="E284" s="231"/>
      <c r="F284" s="231"/>
      <c r="G284" s="122"/>
      <c r="H284" s="122"/>
      <c r="I284" s="282"/>
      <c r="J284" s="232"/>
      <c r="K284" s="233"/>
      <c r="L284" s="234"/>
      <c r="M284" s="235"/>
      <c r="N284" s="236"/>
      <c r="O284" s="237"/>
      <c r="P284" s="238"/>
      <c r="Q284" s="239"/>
      <c r="S284" s="36"/>
      <c r="T284" s="36"/>
      <c r="X284"/>
    </row>
    <row r="285" spans="1:24">
      <c r="A285" s="231"/>
      <c r="B285" s="231"/>
      <c r="C285" s="122"/>
      <c r="D285" s="231"/>
      <c r="E285" s="231"/>
      <c r="F285" s="231"/>
      <c r="G285" s="122"/>
      <c r="H285" s="122"/>
      <c r="I285" s="282"/>
      <c r="J285" s="232"/>
      <c r="K285" s="233"/>
      <c r="L285" s="234"/>
      <c r="M285" s="235"/>
      <c r="N285" s="236"/>
      <c r="O285" s="237"/>
      <c r="P285" s="238"/>
      <c r="Q285" s="239"/>
      <c r="S285" s="36"/>
      <c r="T285" s="36"/>
      <c r="X285"/>
    </row>
    <row r="286" spans="1:24">
      <c r="A286" s="231"/>
      <c r="B286" s="231"/>
      <c r="C286" s="122"/>
      <c r="D286" s="231"/>
      <c r="E286" s="231"/>
      <c r="F286" s="231"/>
      <c r="G286" s="122"/>
      <c r="H286" s="122"/>
      <c r="I286" s="282"/>
      <c r="J286" s="232"/>
      <c r="K286" s="233"/>
      <c r="L286" s="234"/>
      <c r="M286" s="235"/>
      <c r="N286" s="236"/>
      <c r="O286" s="237"/>
      <c r="P286" s="238"/>
      <c r="Q286" s="239"/>
      <c r="S286" s="36"/>
      <c r="T286" s="36"/>
      <c r="X286"/>
    </row>
    <row r="287" spans="1:24">
      <c r="A287" s="231"/>
      <c r="B287" s="231"/>
      <c r="C287" s="122"/>
      <c r="D287" s="231"/>
      <c r="E287" s="231"/>
      <c r="F287" s="231"/>
      <c r="G287" s="122"/>
      <c r="H287" s="122"/>
      <c r="I287" s="282"/>
      <c r="J287" s="232"/>
      <c r="K287" s="233"/>
      <c r="L287" s="234"/>
      <c r="M287" s="235"/>
      <c r="N287" s="236"/>
      <c r="O287" s="237"/>
      <c r="P287" s="238"/>
      <c r="Q287" s="239"/>
      <c r="S287" s="36"/>
      <c r="T287" s="36"/>
      <c r="X287"/>
    </row>
    <row r="288" spans="1:24">
      <c r="A288" s="231"/>
      <c r="B288" s="231"/>
      <c r="C288" s="122"/>
      <c r="D288" s="231"/>
      <c r="E288" s="231"/>
      <c r="F288" s="231"/>
      <c r="G288" s="122"/>
      <c r="H288" s="122"/>
      <c r="I288" s="282"/>
      <c r="J288" s="232"/>
      <c r="K288" s="233"/>
      <c r="L288" s="234"/>
      <c r="M288" s="235"/>
      <c r="N288" s="236"/>
      <c r="O288" s="237"/>
      <c r="P288" s="238"/>
      <c r="Q288" s="239"/>
      <c r="S288" s="36"/>
      <c r="T288" s="36"/>
      <c r="X288"/>
    </row>
    <row r="289" spans="1:24">
      <c r="A289" s="231"/>
      <c r="B289" s="231"/>
      <c r="C289" s="231"/>
      <c r="D289" s="231"/>
      <c r="E289" s="231"/>
      <c r="F289" s="231"/>
      <c r="G289" s="122"/>
      <c r="H289" s="122"/>
      <c r="I289" s="282"/>
      <c r="J289" s="232"/>
      <c r="K289" s="233"/>
      <c r="L289" s="234"/>
      <c r="M289" s="235"/>
      <c r="N289" s="236"/>
      <c r="O289" s="237"/>
      <c r="P289" s="238"/>
      <c r="Q289" s="239"/>
      <c r="S289" s="36"/>
      <c r="T289" s="36"/>
      <c r="X289"/>
    </row>
    <row r="290" spans="1:24">
      <c r="A290" s="231"/>
      <c r="B290" s="231"/>
      <c r="C290" s="231"/>
      <c r="D290" s="231"/>
      <c r="E290" s="231"/>
      <c r="F290" s="231"/>
      <c r="G290" s="122"/>
      <c r="H290" s="122"/>
      <c r="I290" s="282"/>
      <c r="J290" s="232"/>
      <c r="K290" s="233"/>
      <c r="L290" s="234"/>
      <c r="M290" s="235"/>
      <c r="N290" s="236"/>
      <c r="O290" s="237"/>
      <c r="P290" s="238"/>
      <c r="Q290" s="239"/>
      <c r="S290" s="36"/>
      <c r="T290" s="36"/>
      <c r="X290"/>
    </row>
    <row r="291" spans="1:24">
      <c r="A291" s="231"/>
      <c r="B291" s="231"/>
      <c r="C291" s="122"/>
      <c r="D291" s="231"/>
      <c r="E291" s="231"/>
      <c r="F291" s="231"/>
      <c r="G291" s="122"/>
      <c r="H291" s="122"/>
      <c r="I291" s="282"/>
      <c r="J291" s="232"/>
      <c r="K291" s="233"/>
      <c r="L291" s="234"/>
      <c r="M291" s="235"/>
      <c r="N291" s="236"/>
      <c r="O291" s="237"/>
      <c r="P291" s="238"/>
      <c r="Q291" s="239"/>
      <c r="S291" s="36"/>
      <c r="T291" s="36"/>
      <c r="X291"/>
    </row>
    <row r="292" spans="1:24">
      <c r="A292" s="231"/>
      <c r="B292" s="231"/>
      <c r="C292" s="231"/>
      <c r="D292" s="231"/>
      <c r="E292" s="231"/>
      <c r="F292" s="231"/>
      <c r="G292" s="122"/>
      <c r="H292" s="122"/>
      <c r="I292" s="282"/>
      <c r="J292" s="232"/>
      <c r="K292" s="233"/>
      <c r="L292" s="234"/>
      <c r="M292" s="235"/>
      <c r="N292" s="236"/>
      <c r="O292" s="237"/>
      <c r="P292" s="238"/>
      <c r="Q292" s="239"/>
      <c r="S292" s="36"/>
      <c r="T292" s="36"/>
      <c r="X292"/>
    </row>
    <row r="293" spans="1:24">
      <c r="A293" s="231"/>
      <c r="B293" s="231"/>
      <c r="C293" s="231"/>
      <c r="D293" s="231"/>
      <c r="E293" s="231"/>
      <c r="F293" s="231"/>
      <c r="G293" s="122"/>
      <c r="H293" s="122"/>
      <c r="I293" s="282"/>
      <c r="J293" s="232"/>
      <c r="K293" s="233"/>
      <c r="L293" s="234"/>
      <c r="M293" s="235"/>
      <c r="N293" s="236"/>
      <c r="O293" s="237"/>
      <c r="P293" s="238"/>
      <c r="Q293" s="239"/>
      <c r="S293" s="36"/>
      <c r="T293" s="36"/>
      <c r="X293"/>
    </row>
    <row r="294" spans="1:24">
      <c r="A294" s="231"/>
      <c r="B294" s="231"/>
      <c r="C294" s="122"/>
      <c r="D294" s="231"/>
      <c r="E294" s="231"/>
      <c r="F294" s="231"/>
      <c r="G294" s="122"/>
      <c r="H294" s="122"/>
      <c r="I294" s="282"/>
      <c r="J294" s="232"/>
      <c r="K294" s="233"/>
      <c r="L294" s="234"/>
      <c r="M294" s="235"/>
      <c r="N294" s="236"/>
      <c r="O294" s="237"/>
      <c r="P294" s="238"/>
      <c r="Q294" s="239"/>
      <c r="S294" s="36"/>
      <c r="T294" s="36"/>
      <c r="X294"/>
    </row>
    <row r="295" spans="1:24">
      <c r="A295" s="231"/>
      <c r="B295" s="231"/>
      <c r="C295" s="231"/>
      <c r="D295" s="231"/>
      <c r="E295" s="231"/>
      <c r="F295" s="231"/>
      <c r="G295" s="122"/>
      <c r="H295" s="122"/>
      <c r="I295" s="282"/>
      <c r="J295" s="232"/>
      <c r="K295" s="233"/>
      <c r="L295" s="234"/>
      <c r="M295" s="235"/>
      <c r="N295" s="236"/>
      <c r="O295" s="237"/>
      <c r="P295" s="238"/>
      <c r="Q295" s="239"/>
      <c r="S295" s="36"/>
      <c r="T295" s="36"/>
      <c r="X295"/>
    </row>
    <row r="296" spans="1:24">
      <c r="A296" s="231"/>
      <c r="B296" s="231"/>
      <c r="C296" s="122"/>
      <c r="D296" s="231"/>
      <c r="E296" s="231"/>
      <c r="F296" s="231"/>
      <c r="G296" s="122"/>
      <c r="H296" s="122"/>
      <c r="I296" s="282"/>
      <c r="J296" s="232"/>
      <c r="K296" s="233"/>
      <c r="L296" s="234"/>
      <c r="M296" s="235"/>
      <c r="N296" s="236"/>
      <c r="O296" s="237"/>
      <c r="P296" s="238"/>
      <c r="Q296" s="239"/>
      <c r="S296" s="36"/>
      <c r="T296" s="36"/>
      <c r="X296"/>
    </row>
    <row r="297" spans="1:24">
      <c r="A297" s="231"/>
      <c r="B297" s="231"/>
      <c r="C297" s="231"/>
      <c r="D297" s="231"/>
      <c r="E297" s="231"/>
      <c r="F297" s="231"/>
      <c r="G297" s="122"/>
      <c r="H297" s="122"/>
      <c r="I297" s="282"/>
      <c r="J297" s="232"/>
      <c r="K297" s="233"/>
      <c r="L297" s="234"/>
      <c r="M297" s="235"/>
      <c r="N297" s="236"/>
      <c r="O297" s="237"/>
      <c r="P297" s="238"/>
      <c r="Q297" s="239"/>
      <c r="S297" s="36"/>
      <c r="T297" s="36"/>
      <c r="X297"/>
    </row>
    <row r="298" spans="1:24">
      <c r="A298" s="231"/>
      <c r="B298" s="231"/>
      <c r="C298" s="231"/>
      <c r="D298" s="231"/>
      <c r="E298" s="231"/>
      <c r="F298" s="231"/>
      <c r="G298" s="122"/>
      <c r="H298" s="122"/>
      <c r="I298" s="282"/>
      <c r="J298" s="232"/>
      <c r="K298" s="233"/>
      <c r="L298" s="234"/>
      <c r="M298" s="235"/>
      <c r="N298" s="236"/>
      <c r="O298" s="237"/>
      <c r="P298" s="238"/>
      <c r="Q298" s="187"/>
      <c r="S298" s="36"/>
      <c r="T298" s="36"/>
      <c r="X298"/>
    </row>
    <row r="299" spans="1:24">
      <c r="A299" s="231"/>
      <c r="B299" s="231"/>
      <c r="C299" s="231"/>
      <c r="D299" s="231"/>
      <c r="E299" s="231"/>
      <c r="F299" s="231"/>
      <c r="G299" s="122"/>
      <c r="H299" s="122"/>
      <c r="I299" s="282"/>
      <c r="J299" s="232"/>
      <c r="K299" s="233"/>
      <c r="L299" s="234"/>
      <c r="M299" s="235"/>
      <c r="N299" s="236"/>
      <c r="O299" s="237"/>
      <c r="P299" s="238"/>
      <c r="Q299" s="187"/>
      <c r="S299" s="36"/>
      <c r="T299" s="36"/>
      <c r="X299"/>
    </row>
    <row r="300" spans="1:24">
      <c r="A300" s="231"/>
      <c r="B300" s="231"/>
      <c r="C300" s="231"/>
      <c r="D300" s="231"/>
      <c r="E300" s="231"/>
      <c r="F300" s="231"/>
      <c r="G300" s="122"/>
      <c r="H300" s="122"/>
      <c r="I300" s="282"/>
      <c r="J300" s="232"/>
      <c r="K300" s="233"/>
      <c r="L300" s="234"/>
      <c r="M300" s="235"/>
      <c r="N300" s="236"/>
      <c r="O300" s="237"/>
      <c r="P300" s="238"/>
      <c r="Q300" s="239"/>
      <c r="S300" s="36"/>
      <c r="T300" s="36"/>
      <c r="X300"/>
    </row>
    <row r="301" spans="1:24">
      <c r="A301" s="231"/>
      <c r="B301" s="231"/>
      <c r="C301" s="231"/>
      <c r="D301" s="231"/>
      <c r="E301" s="231"/>
      <c r="F301" s="231"/>
      <c r="G301" s="122"/>
      <c r="H301" s="122"/>
      <c r="I301" s="282"/>
      <c r="J301" s="232"/>
      <c r="K301" s="233"/>
      <c r="L301" s="234"/>
      <c r="M301" s="235"/>
      <c r="N301" s="236"/>
      <c r="O301" s="237"/>
      <c r="P301" s="238"/>
      <c r="Q301" s="239"/>
      <c r="S301" s="36"/>
      <c r="T301" s="36"/>
      <c r="X301"/>
    </row>
    <row r="302" spans="1:24">
      <c r="A302" s="231"/>
      <c r="B302" s="231"/>
      <c r="C302" s="231"/>
      <c r="D302" s="231"/>
      <c r="E302" s="231"/>
      <c r="F302" s="231"/>
      <c r="G302" s="122"/>
      <c r="H302" s="122"/>
      <c r="I302" s="282"/>
      <c r="J302" s="232"/>
      <c r="K302" s="233"/>
      <c r="L302" s="234"/>
      <c r="M302" s="235"/>
      <c r="N302" s="236"/>
      <c r="O302" s="237"/>
      <c r="P302" s="238"/>
      <c r="Q302" s="239"/>
      <c r="S302" s="36"/>
      <c r="T302" s="36"/>
      <c r="X302"/>
    </row>
    <row r="303" spans="1:24">
      <c r="A303" s="231"/>
      <c r="B303" s="231"/>
      <c r="C303" s="231"/>
      <c r="D303" s="231"/>
      <c r="E303" s="231"/>
      <c r="F303" s="231"/>
      <c r="G303" s="122"/>
      <c r="H303" s="122"/>
      <c r="I303" s="282"/>
      <c r="J303" s="232"/>
      <c r="K303" s="233"/>
      <c r="L303" s="234"/>
      <c r="M303" s="235"/>
      <c r="N303" s="236"/>
      <c r="O303" s="237"/>
      <c r="P303" s="238"/>
      <c r="Q303" s="239"/>
      <c r="S303" s="36"/>
      <c r="T303" s="36"/>
      <c r="X303"/>
    </row>
    <row r="304" spans="1:24">
      <c r="A304" s="231"/>
      <c r="B304" s="231"/>
      <c r="C304" s="122"/>
      <c r="D304" s="231"/>
      <c r="E304" s="231"/>
      <c r="F304" s="231"/>
      <c r="G304" s="122"/>
      <c r="H304" s="122"/>
      <c r="I304" s="282"/>
      <c r="J304" s="232"/>
      <c r="K304" s="233"/>
      <c r="L304" s="234"/>
      <c r="M304" s="235"/>
      <c r="N304" s="236"/>
      <c r="O304" s="237"/>
      <c r="P304" s="238"/>
      <c r="Q304" s="239"/>
      <c r="S304" s="36"/>
      <c r="T304" s="36"/>
      <c r="X304"/>
    </row>
    <row r="305" spans="1:24">
      <c r="A305" s="231"/>
      <c r="B305" s="231"/>
      <c r="C305" s="231"/>
      <c r="D305" s="231"/>
      <c r="E305" s="231"/>
      <c r="F305" s="231"/>
      <c r="G305" s="122"/>
      <c r="H305" s="122"/>
      <c r="I305" s="282"/>
      <c r="J305" s="232"/>
      <c r="K305" s="233"/>
      <c r="L305" s="234"/>
      <c r="M305" s="235"/>
      <c r="N305" s="236"/>
      <c r="O305" s="237"/>
      <c r="P305" s="238"/>
      <c r="Q305" s="239"/>
      <c r="S305" s="36"/>
      <c r="T305" s="36"/>
      <c r="X305"/>
    </row>
    <row r="306" spans="1:24">
      <c r="A306" s="231"/>
      <c r="B306" s="231"/>
      <c r="C306" s="231"/>
      <c r="D306" s="231"/>
      <c r="E306" s="231"/>
      <c r="F306" s="231"/>
      <c r="G306" s="122"/>
      <c r="H306" s="122"/>
      <c r="I306" s="282"/>
      <c r="J306" s="232"/>
      <c r="K306" s="233"/>
      <c r="L306" s="234"/>
      <c r="M306" s="235"/>
      <c r="N306" s="236"/>
      <c r="O306" s="237"/>
      <c r="P306" s="238"/>
      <c r="Q306" s="239"/>
      <c r="S306" s="36"/>
      <c r="T306" s="36"/>
      <c r="X306"/>
    </row>
    <row r="307" spans="1:24">
      <c r="A307" s="231"/>
      <c r="B307" s="231"/>
      <c r="C307" s="231"/>
      <c r="D307" s="231"/>
      <c r="E307" s="231"/>
      <c r="F307" s="231"/>
      <c r="G307" s="122"/>
      <c r="H307" s="122"/>
      <c r="I307" s="282"/>
      <c r="J307" s="232"/>
      <c r="K307" s="233"/>
      <c r="L307" s="234"/>
      <c r="M307" s="235"/>
      <c r="N307" s="236"/>
      <c r="O307" s="237"/>
      <c r="P307" s="238"/>
      <c r="Q307" s="239"/>
      <c r="S307" s="36"/>
      <c r="T307" s="36"/>
      <c r="X307"/>
    </row>
    <row r="308" spans="1:24">
      <c r="A308" s="231"/>
      <c r="B308" s="231"/>
      <c r="C308" s="231"/>
      <c r="D308" s="231"/>
      <c r="E308" s="231"/>
      <c r="F308" s="231"/>
      <c r="G308" s="122"/>
      <c r="H308" s="122"/>
      <c r="I308" s="282"/>
      <c r="J308" s="232"/>
      <c r="K308" s="233"/>
      <c r="L308" s="234"/>
      <c r="M308" s="235"/>
      <c r="N308" s="236"/>
      <c r="O308" s="237"/>
      <c r="P308" s="238"/>
      <c r="Q308" s="239"/>
      <c r="S308" s="36"/>
      <c r="T308" s="36"/>
      <c r="X308"/>
    </row>
    <row r="309" spans="1:24">
      <c r="A309" s="231"/>
      <c r="B309" s="231"/>
      <c r="C309" s="231"/>
      <c r="D309" s="231"/>
      <c r="E309" s="231"/>
      <c r="F309" s="231"/>
      <c r="G309" s="122"/>
      <c r="H309" s="122"/>
      <c r="I309" s="282"/>
      <c r="J309" s="232"/>
      <c r="K309" s="233"/>
      <c r="L309" s="234"/>
      <c r="M309" s="235"/>
      <c r="N309" s="236"/>
      <c r="O309" s="237"/>
      <c r="P309" s="238"/>
      <c r="Q309" s="239"/>
      <c r="S309" s="36"/>
      <c r="T309" s="36"/>
      <c r="X309"/>
    </row>
    <row r="310" spans="1:24">
      <c r="A310" s="231"/>
      <c r="B310" s="231"/>
      <c r="C310" s="122"/>
      <c r="D310" s="231"/>
      <c r="E310" s="231"/>
      <c r="F310" s="231"/>
      <c r="G310" s="122"/>
      <c r="H310" s="122"/>
      <c r="I310" s="282"/>
      <c r="J310" s="232"/>
      <c r="K310" s="233"/>
      <c r="L310" s="234"/>
      <c r="M310" s="235"/>
      <c r="N310" s="236"/>
      <c r="O310" s="237"/>
      <c r="P310" s="238"/>
      <c r="Q310" s="239"/>
      <c r="S310" s="36"/>
      <c r="T310" s="36"/>
      <c r="X310"/>
    </row>
    <row r="311" spans="1:24">
      <c r="A311" s="231"/>
      <c r="B311" s="231"/>
      <c r="C311" s="231"/>
      <c r="D311" s="231"/>
      <c r="E311" s="231"/>
      <c r="F311" s="231"/>
      <c r="G311" s="122"/>
      <c r="H311" s="122"/>
      <c r="I311" s="282"/>
      <c r="J311" s="232"/>
      <c r="K311" s="233"/>
      <c r="L311" s="234"/>
      <c r="M311" s="235"/>
      <c r="N311" s="236"/>
      <c r="O311" s="237"/>
      <c r="P311" s="238"/>
      <c r="Q311" s="239"/>
      <c r="S311" s="36"/>
      <c r="T311" s="36"/>
      <c r="X311"/>
    </row>
    <row r="312" spans="1:24">
      <c r="A312" s="231"/>
      <c r="B312" s="231"/>
      <c r="C312" s="231"/>
      <c r="D312" s="231"/>
      <c r="E312" s="231"/>
      <c r="F312" s="231"/>
      <c r="G312" s="122"/>
      <c r="H312" s="122"/>
      <c r="I312" s="282"/>
      <c r="J312" s="232"/>
      <c r="K312" s="233"/>
      <c r="L312" s="234"/>
      <c r="M312" s="235"/>
      <c r="N312" s="236"/>
      <c r="O312" s="237"/>
      <c r="P312" s="238"/>
      <c r="Q312" s="239"/>
      <c r="S312" s="36"/>
      <c r="T312" s="36"/>
      <c r="X312"/>
    </row>
    <row r="313" spans="1:24">
      <c r="A313" s="231"/>
      <c r="B313" s="231"/>
      <c r="C313" s="231"/>
      <c r="D313" s="231"/>
      <c r="E313" s="231"/>
      <c r="F313" s="231"/>
      <c r="G313" s="122"/>
      <c r="H313" s="122"/>
      <c r="I313" s="282"/>
      <c r="J313" s="232"/>
      <c r="K313" s="233"/>
      <c r="L313" s="234"/>
      <c r="M313" s="235"/>
      <c r="N313" s="236"/>
      <c r="O313" s="237"/>
      <c r="P313" s="238"/>
      <c r="Q313" s="239"/>
      <c r="S313" s="36"/>
      <c r="T313" s="36"/>
      <c r="X313"/>
    </row>
    <row r="314" spans="1:24">
      <c r="A314" s="231"/>
      <c r="B314" s="231"/>
      <c r="C314" s="231"/>
      <c r="D314" s="231"/>
      <c r="E314" s="231"/>
      <c r="F314" s="231"/>
      <c r="G314" s="122"/>
      <c r="H314" s="122"/>
      <c r="I314" s="282"/>
      <c r="J314" s="232"/>
      <c r="K314" s="233"/>
      <c r="L314" s="234"/>
      <c r="M314" s="235"/>
      <c r="N314" s="236"/>
      <c r="O314" s="237"/>
      <c r="P314" s="238"/>
      <c r="Q314" s="239"/>
      <c r="S314" s="36"/>
      <c r="T314" s="36"/>
      <c r="X314"/>
    </row>
    <row r="315" spans="1:24">
      <c r="A315" s="231"/>
      <c r="B315" s="231"/>
      <c r="C315" s="122"/>
      <c r="D315" s="231"/>
      <c r="E315" s="231"/>
      <c r="F315" s="231"/>
      <c r="G315" s="122"/>
      <c r="H315" s="122"/>
      <c r="I315" s="282"/>
      <c r="J315" s="232"/>
      <c r="K315" s="233"/>
      <c r="L315" s="234"/>
      <c r="M315" s="235"/>
      <c r="N315" s="236"/>
      <c r="O315" s="237"/>
      <c r="P315" s="238"/>
      <c r="Q315" s="239"/>
      <c r="S315" s="36"/>
      <c r="T315" s="36"/>
      <c r="X315"/>
    </row>
    <row r="316" spans="1:24">
      <c r="A316" s="231"/>
      <c r="B316" s="231"/>
      <c r="C316" s="231"/>
      <c r="D316" s="231"/>
      <c r="E316" s="231"/>
      <c r="F316" s="231"/>
      <c r="G316" s="122"/>
      <c r="H316" s="122"/>
      <c r="I316" s="282"/>
      <c r="J316" s="232"/>
      <c r="K316" s="233"/>
      <c r="L316" s="234"/>
      <c r="M316" s="235"/>
      <c r="N316" s="236"/>
      <c r="O316" s="237"/>
      <c r="P316" s="238"/>
      <c r="Q316" s="239"/>
      <c r="S316" s="36"/>
      <c r="T316" s="36"/>
      <c r="X316"/>
    </row>
    <row r="317" spans="1:24">
      <c r="A317" s="231"/>
      <c r="B317" s="231"/>
      <c r="C317" s="231"/>
      <c r="D317" s="231"/>
      <c r="E317" s="231"/>
      <c r="F317" s="231"/>
      <c r="G317" s="122"/>
      <c r="H317" s="122"/>
      <c r="I317" s="282"/>
      <c r="J317" s="232"/>
      <c r="K317" s="233"/>
      <c r="L317" s="234"/>
      <c r="M317" s="235"/>
      <c r="N317" s="236"/>
      <c r="O317" s="237"/>
      <c r="P317" s="238"/>
      <c r="Q317" s="239"/>
      <c r="S317" s="36"/>
      <c r="T317" s="36"/>
      <c r="X317"/>
    </row>
    <row r="318" spans="1:24">
      <c r="A318" s="231"/>
      <c r="B318" s="231"/>
      <c r="C318" s="231"/>
      <c r="D318" s="231"/>
      <c r="E318" s="231"/>
      <c r="F318" s="231"/>
      <c r="G318" s="122"/>
      <c r="H318" s="122"/>
      <c r="I318" s="282"/>
      <c r="J318" s="232"/>
      <c r="K318" s="233"/>
      <c r="L318" s="234"/>
      <c r="M318" s="235"/>
      <c r="N318" s="236"/>
      <c r="O318" s="237"/>
      <c r="P318" s="238"/>
      <c r="Q318" s="239"/>
      <c r="S318" s="36"/>
      <c r="T318" s="36"/>
      <c r="X318"/>
    </row>
    <row r="319" spans="1:24">
      <c r="A319" s="231"/>
      <c r="B319" s="231"/>
      <c r="C319" s="231"/>
      <c r="D319" s="231"/>
      <c r="E319" s="231"/>
      <c r="F319" s="231"/>
      <c r="G319" s="122"/>
      <c r="H319" s="122"/>
      <c r="I319" s="282"/>
      <c r="J319" s="232"/>
      <c r="K319" s="233"/>
      <c r="L319" s="234"/>
      <c r="M319" s="235"/>
      <c r="N319" s="236"/>
      <c r="O319" s="237"/>
      <c r="P319" s="238"/>
      <c r="Q319" s="239"/>
      <c r="S319" s="36"/>
      <c r="T319" s="36"/>
      <c r="X319"/>
    </row>
    <row r="320" spans="1:24">
      <c r="A320" s="231"/>
      <c r="B320" s="231"/>
      <c r="C320" s="231"/>
      <c r="D320" s="231"/>
      <c r="E320" s="231"/>
      <c r="F320" s="231"/>
      <c r="G320" s="122"/>
      <c r="H320" s="122"/>
      <c r="I320" s="282"/>
      <c r="J320" s="232"/>
      <c r="K320" s="233"/>
      <c r="L320" s="234"/>
      <c r="M320" s="235"/>
      <c r="N320" s="236"/>
      <c r="O320" s="237"/>
      <c r="P320" s="238"/>
      <c r="Q320" s="239"/>
      <c r="S320" s="36"/>
      <c r="T320" s="36"/>
      <c r="X320"/>
    </row>
    <row r="321" spans="1:24">
      <c r="A321" s="231"/>
      <c r="B321" s="231"/>
      <c r="C321" s="231"/>
      <c r="D321" s="231"/>
      <c r="E321" s="231"/>
      <c r="F321" s="231"/>
      <c r="G321" s="122"/>
      <c r="H321" s="122"/>
      <c r="I321" s="282"/>
      <c r="J321" s="232"/>
      <c r="K321" s="233"/>
      <c r="L321" s="234"/>
      <c r="M321" s="235"/>
      <c r="N321" s="236"/>
      <c r="O321" s="237"/>
      <c r="P321" s="238"/>
      <c r="Q321" s="239"/>
      <c r="S321" s="36"/>
      <c r="T321" s="36"/>
      <c r="X321"/>
    </row>
    <row r="322" spans="1:24">
      <c r="A322" s="231"/>
      <c r="B322" s="231"/>
      <c r="C322" s="231"/>
      <c r="D322" s="231"/>
      <c r="E322" s="231"/>
      <c r="F322" s="231"/>
      <c r="G322" s="122"/>
      <c r="H322" s="122"/>
      <c r="I322" s="282"/>
      <c r="J322" s="232"/>
      <c r="K322" s="233"/>
      <c r="L322" s="234"/>
      <c r="M322" s="235"/>
      <c r="N322" s="236"/>
      <c r="O322" s="237"/>
      <c r="P322" s="238"/>
      <c r="Q322" s="239"/>
      <c r="S322" s="36"/>
      <c r="T322" s="36"/>
      <c r="X322"/>
    </row>
    <row r="323" spans="1:24">
      <c r="A323" s="231"/>
      <c r="B323" s="231"/>
      <c r="C323" s="231"/>
      <c r="D323" s="231"/>
      <c r="E323" s="231"/>
      <c r="F323" s="231"/>
      <c r="G323" s="122"/>
      <c r="H323" s="122"/>
      <c r="I323" s="282"/>
      <c r="J323" s="232"/>
      <c r="K323" s="233"/>
      <c r="L323" s="234"/>
      <c r="M323" s="235"/>
      <c r="N323" s="236"/>
      <c r="O323" s="237"/>
      <c r="P323" s="238"/>
      <c r="Q323" s="239"/>
      <c r="S323" s="36"/>
      <c r="T323" s="36"/>
      <c r="X323"/>
    </row>
    <row r="324" spans="1:24">
      <c r="A324" s="231"/>
      <c r="B324" s="231"/>
      <c r="C324" s="231"/>
      <c r="D324" s="231"/>
      <c r="E324" s="231"/>
      <c r="F324" s="231"/>
      <c r="G324" s="122"/>
      <c r="H324" s="122"/>
      <c r="I324" s="282"/>
      <c r="J324" s="232"/>
      <c r="K324" s="233"/>
      <c r="L324" s="234"/>
      <c r="M324" s="235"/>
      <c r="N324" s="236"/>
      <c r="O324" s="237"/>
      <c r="P324" s="238"/>
      <c r="Q324" s="239"/>
      <c r="S324" s="36"/>
      <c r="T324" s="36"/>
      <c r="X324"/>
    </row>
    <row r="325" spans="1:24">
      <c r="A325" s="231"/>
      <c r="B325" s="231"/>
      <c r="C325" s="231"/>
      <c r="D325" s="231"/>
      <c r="E325" s="231"/>
      <c r="F325" s="231"/>
      <c r="G325" s="122"/>
      <c r="H325" s="122"/>
      <c r="I325" s="282"/>
      <c r="J325" s="232"/>
      <c r="K325" s="233"/>
      <c r="L325" s="234"/>
      <c r="M325" s="235"/>
      <c r="N325" s="236"/>
      <c r="O325" s="237"/>
      <c r="P325" s="238"/>
      <c r="Q325" s="239"/>
      <c r="S325" s="36"/>
      <c r="T325" s="36"/>
      <c r="X325"/>
    </row>
    <row r="326" spans="1:24">
      <c r="A326" s="231"/>
      <c r="B326" s="231"/>
      <c r="C326" s="231"/>
      <c r="D326" s="231"/>
      <c r="E326" s="231"/>
      <c r="F326" s="231"/>
      <c r="G326" s="122"/>
      <c r="H326" s="122"/>
      <c r="I326" s="282"/>
      <c r="J326" s="232"/>
      <c r="K326" s="233"/>
      <c r="L326" s="234"/>
      <c r="M326" s="235"/>
      <c r="N326" s="236"/>
      <c r="O326" s="237"/>
      <c r="P326" s="238"/>
      <c r="Q326" s="239"/>
      <c r="S326" s="36"/>
      <c r="T326" s="36"/>
      <c r="X326"/>
    </row>
    <row r="327" spans="1:24">
      <c r="A327" s="231"/>
      <c r="B327" s="231"/>
      <c r="C327" s="231"/>
      <c r="D327" s="231"/>
      <c r="E327" s="231"/>
      <c r="F327" s="231"/>
      <c r="G327" s="122"/>
      <c r="H327" s="122"/>
      <c r="I327" s="282"/>
      <c r="J327" s="232"/>
      <c r="K327" s="233"/>
      <c r="L327" s="234"/>
      <c r="M327" s="235"/>
      <c r="N327" s="236"/>
      <c r="O327" s="237"/>
      <c r="P327" s="238"/>
      <c r="Q327" s="239"/>
      <c r="S327" s="36"/>
      <c r="T327" s="36"/>
      <c r="X327"/>
    </row>
    <row r="328" spans="1:24">
      <c r="A328" s="231"/>
      <c r="B328" s="231"/>
      <c r="C328" s="231"/>
      <c r="D328" s="231"/>
      <c r="E328" s="231"/>
      <c r="F328" s="231"/>
      <c r="G328" s="122"/>
      <c r="H328" s="122"/>
      <c r="I328" s="282"/>
      <c r="J328" s="232"/>
      <c r="K328" s="233"/>
      <c r="L328" s="234"/>
      <c r="M328" s="235"/>
      <c r="N328" s="236"/>
      <c r="O328" s="237"/>
      <c r="P328" s="238"/>
      <c r="Q328" s="239"/>
      <c r="S328" s="36"/>
      <c r="T328" s="36"/>
      <c r="X328"/>
    </row>
    <row r="329" spans="1:24">
      <c r="A329" s="231"/>
      <c r="B329" s="231"/>
      <c r="C329" s="231"/>
      <c r="D329" s="231"/>
      <c r="E329" s="231"/>
      <c r="F329" s="231"/>
      <c r="G329" s="122"/>
      <c r="H329" s="122"/>
      <c r="I329" s="282"/>
      <c r="J329" s="232"/>
      <c r="K329" s="233"/>
      <c r="L329" s="234"/>
      <c r="M329" s="235"/>
      <c r="N329" s="236"/>
      <c r="O329" s="237"/>
      <c r="P329" s="238"/>
      <c r="Q329" s="239"/>
      <c r="S329" s="36"/>
      <c r="T329" s="36"/>
      <c r="X329"/>
    </row>
    <row r="330" spans="1:24">
      <c r="A330" s="231"/>
      <c r="B330" s="231"/>
      <c r="C330" s="231"/>
      <c r="D330" s="231"/>
      <c r="E330" s="231"/>
      <c r="F330" s="231"/>
      <c r="G330" s="122"/>
      <c r="H330" s="122"/>
      <c r="I330" s="282"/>
      <c r="J330" s="232"/>
      <c r="K330" s="233"/>
      <c r="L330" s="234"/>
      <c r="M330" s="235"/>
      <c r="N330" s="236"/>
      <c r="O330" s="237"/>
      <c r="P330" s="238"/>
      <c r="Q330" s="239"/>
      <c r="S330" s="36"/>
      <c r="T330" s="36"/>
      <c r="X330"/>
    </row>
    <row r="331" spans="1:24">
      <c r="A331" s="231"/>
      <c r="B331" s="231"/>
      <c r="C331" s="231"/>
      <c r="D331" s="231"/>
      <c r="E331" s="231"/>
      <c r="F331" s="231"/>
      <c r="G331" s="122"/>
      <c r="H331" s="122"/>
      <c r="I331" s="282"/>
      <c r="J331" s="232"/>
      <c r="K331" s="233"/>
      <c r="L331" s="234"/>
      <c r="M331" s="235"/>
      <c r="N331" s="236"/>
      <c r="O331" s="237"/>
      <c r="P331" s="238"/>
      <c r="Q331" s="239"/>
      <c r="S331" s="36"/>
      <c r="T331" s="36"/>
      <c r="X331"/>
    </row>
    <row r="332" spans="1:24">
      <c r="A332" s="231"/>
      <c r="B332" s="231"/>
      <c r="C332" s="231"/>
      <c r="D332" s="231"/>
      <c r="E332" s="231"/>
      <c r="F332" s="231"/>
      <c r="G332" s="122"/>
      <c r="H332" s="122"/>
      <c r="I332" s="282"/>
      <c r="J332" s="232"/>
      <c r="K332" s="233"/>
      <c r="L332" s="234"/>
      <c r="M332" s="235"/>
      <c r="N332" s="236"/>
      <c r="O332" s="237"/>
      <c r="P332" s="238"/>
      <c r="Q332" s="239"/>
      <c r="S332" s="36"/>
      <c r="T332" s="36"/>
      <c r="X332"/>
    </row>
    <row r="333" spans="1:24">
      <c r="A333" s="231"/>
      <c r="B333" s="231"/>
      <c r="C333" s="231"/>
      <c r="D333" s="231"/>
      <c r="E333" s="231"/>
      <c r="F333" s="231"/>
      <c r="G333" s="122"/>
      <c r="H333" s="122"/>
      <c r="I333" s="282"/>
      <c r="J333" s="232"/>
      <c r="K333" s="233"/>
      <c r="L333" s="234"/>
      <c r="M333" s="235"/>
      <c r="N333" s="236"/>
      <c r="O333" s="237"/>
      <c r="P333" s="238"/>
      <c r="Q333" s="239"/>
      <c r="S333" s="36"/>
      <c r="T333" s="36"/>
      <c r="X333"/>
    </row>
    <row r="334" spans="1:24">
      <c r="A334" s="231"/>
      <c r="B334" s="231"/>
      <c r="C334" s="231"/>
      <c r="D334" s="231"/>
      <c r="E334" s="231"/>
      <c r="F334" s="231"/>
      <c r="G334" s="122"/>
      <c r="H334" s="122"/>
      <c r="I334" s="282"/>
      <c r="J334" s="232"/>
      <c r="K334" s="233"/>
      <c r="L334" s="234"/>
      <c r="M334" s="235"/>
      <c r="N334" s="236"/>
      <c r="O334" s="237"/>
      <c r="P334" s="238"/>
      <c r="Q334" s="239"/>
      <c r="S334" s="36"/>
      <c r="T334" s="36"/>
      <c r="X334"/>
    </row>
    <row r="335" spans="1:24">
      <c r="A335" s="231"/>
      <c r="B335" s="231"/>
      <c r="C335" s="231"/>
      <c r="D335" s="231"/>
      <c r="E335" s="231"/>
      <c r="F335" s="231"/>
      <c r="G335" s="122"/>
      <c r="H335" s="122"/>
      <c r="I335" s="282"/>
      <c r="J335" s="232"/>
      <c r="K335" s="233"/>
      <c r="L335" s="234"/>
      <c r="M335" s="235"/>
      <c r="N335" s="236"/>
      <c r="O335" s="237"/>
      <c r="P335" s="238"/>
      <c r="Q335" s="239"/>
      <c r="S335" s="36"/>
      <c r="T335" s="36"/>
      <c r="X335"/>
    </row>
    <row r="336" spans="1:24">
      <c r="A336" s="231"/>
      <c r="B336" s="231"/>
      <c r="C336" s="231"/>
      <c r="D336" s="231"/>
      <c r="E336" s="231"/>
      <c r="F336" s="231"/>
      <c r="G336" s="122"/>
      <c r="H336" s="122"/>
      <c r="I336" s="282"/>
      <c r="J336" s="232"/>
      <c r="K336" s="233"/>
      <c r="L336" s="234"/>
      <c r="M336" s="235"/>
      <c r="N336" s="236"/>
      <c r="O336" s="237"/>
      <c r="P336" s="238"/>
      <c r="Q336" s="239"/>
      <c r="S336" s="36"/>
      <c r="T336" s="36"/>
      <c r="X336"/>
    </row>
    <row r="337" spans="1:24">
      <c r="A337" s="231"/>
      <c r="B337" s="231"/>
      <c r="C337" s="231"/>
      <c r="D337" s="231"/>
      <c r="E337" s="231"/>
      <c r="F337" s="231"/>
      <c r="G337" s="122"/>
      <c r="H337" s="122"/>
      <c r="I337" s="282"/>
      <c r="J337" s="232"/>
      <c r="K337" s="233"/>
      <c r="L337" s="234"/>
      <c r="M337" s="235"/>
      <c r="N337" s="236"/>
      <c r="O337" s="237"/>
      <c r="P337" s="238"/>
      <c r="Q337" s="239"/>
      <c r="S337" s="36"/>
      <c r="T337" s="36"/>
      <c r="X337"/>
    </row>
    <row r="338" spans="1:24">
      <c r="A338" s="231"/>
      <c r="B338" s="231"/>
      <c r="C338" s="122"/>
      <c r="D338" s="231"/>
      <c r="E338" s="231"/>
      <c r="F338" s="231"/>
      <c r="G338" s="122"/>
      <c r="H338" s="122"/>
      <c r="I338" s="282"/>
      <c r="J338" s="232"/>
      <c r="K338" s="233"/>
      <c r="L338" s="234"/>
      <c r="M338" s="235"/>
      <c r="N338" s="236"/>
      <c r="O338" s="237"/>
      <c r="P338" s="238"/>
      <c r="Q338" s="239"/>
      <c r="S338" s="36"/>
      <c r="T338" s="36"/>
      <c r="X338"/>
    </row>
    <row r="339" spans="1:24">
      <c r="A339" s="231"/>
      <c r="B339" s="231"/>
      <c r="C339" s="231"/>
      <c r="D339" s="231"/>
      <c r="E339" s="231"/>
      <c r="F339" s="231"/>
      <c r="G339" s="122"/>
      <c r="H339" s="122"/>
      <c r="I339" s="282"/>
      <c r="J339" s="232"/>
      <c r="K339" s="233"/>
      <c r="L339" s="234"/>
      <c r="M339" s="235"/>
      <c r="N339" s="236"/>
      <c r="O339" s="237"/>
      <c r="P339" s="238"/>
      <c r="Q339" s="239"/>
      <c r="S339" s="36"/>
      <c r="T339" s="36"/>
      <c r="X339"/>
    </row>
    <row r="340" spans="1:24">
      <c r="A340" s="231"/>
      <c r="B340" s="231"/>
      <c r="C340" s="231"/>
      <c r="D340" s="231"/>
      <c r="E340" s="231"/>
      <c r="F340" s="231"/>
      <c r="G340" s="122"/>
      <c r="H340" s="122"/>
      <c r="I340" s="282"/>
      <c r="J340" s="232"/>
      <c r="K340" s="233"/>
      <c r="L340" s="234"/>
      <c r="M340" s="235"/>
      <c r="N340" s="236"/>
      <c r="O340" s="237"/>
      <c r="P340" s="238"/>
      <c r="Q340" s="239"/>
      <c r="S340" s="36"/>
      <c r="T340" s="36"/>
      <c r="X340"/>
    </row>
    <row r="341" spans="1:24">
      <c r="A341" s="231"/>
      <c r="B341" s="231"/>
      <c r="C341" s="231"/>
      <c r="D341" s="231"/>
      <c r="E341" s="231"/>
      <c r="F341" s="231"/>
      <c r="G341" s="122"/>
      <c r="H341" s="122"/>
      <c r="I341" s="282"/>
      <c r="J341" s="232"/>
      <c r="K341" s="233"/>
      <c r="L341" s="234"/>
      <c r="M341" s="235"/>
      <c r="N341" s="236"/>
      <c r="O341" s="237"/>
      <c r="P341" s="238"/>
      <c r="Q341" s="239"/>
      <c r="S341" s="36"/>
      <c r="T341" s="36"/>
      <c r="X341"/>
    </row>
    <row r="342" spans="1:24">
      <c r="A342" s="231"/>
      <c r="B342" s="231"/>
      <c r="C342" s="231"/>
      <c r="D342" s="231"/>
      <c r="E342" s="231"/>
      <c r="F342" s="231"/>
      <c r="G342" s="122"/>
      <c r="H342" s="122"/>
      <c r="I342" s="282"/>
      <c r="J342" s="232"/>
      <c r="K342" s="233"/>
      <c r="L342" s="234"/>
      <c r="M342" s="235"/>
      <c r="N342" s="236"/>
      <c r="O342" s="237"/>
      <c r="P342" s="238"/>
      <c r="Q342" s="239"/>
      <c r="S342" s="36"/>
      <c r="T342" s="36"/>
      <c r="X342"/>
    </row>
    <row r="343" spans="1:24">
      <c r="A343" s="231"/>
      <c r="B343" s="231"/>
      <c r="C343" s="231"/>
      <c r="D343" s="231"/>
      <c r="E343" s="231"/>
      <c r="F343" s="231"/>
      <c r="G343" s="122"/>
      <c r="H343" s="122"/>
      <c r="I343" s="282"/>
      <c r="J343" s="232"/>
      <c r="K343" s="233"/>
      <c r="L343" s="234"/>
      <c r="M343" s="235"/>
      <c r="N343" s="236"/>
      <c r="O343" s="237"/>
      <c r="P343" s="238"/>
      <c r="Q343" s="239"/>
      <c r="S343" s="36"/>
      <c r="T343" s="36"/>
      <c r="X343"/>
    </row>
    <row r="344" spans="1:24">
      <c r="A344" s="231"/>
      <c r="B344" s="231"/>
      <c r="C344" s="231"/>
      <c r="D344" s="231"/>
      <c r="E344" s="231"/>
      <c r="F344" s="231"/>
      <c r="G344" s="122"/>
      <c r="H344" s="122"/>
      <c r="I344" s="282"/>
      <c r="J344" s="232"/>
      <c r="K344" s="233"/>
      <c r="L344" s="234"/>
      <c r="M344" s="235"/>
      <c r="N344" s="236"/>
      <c r="O344" s="237"/>
      <c r="P344" s="238"/>
      <c r="Q344" s="239"/>
      <c r="S344" s="36"/>
      <c r="T344" s="36"/>
      <c r="X344"/>
    </row>
    <row r="345" spans="1:24">
      <c r="A345" s="231"/>
      <c r="B345" s="231"/>
      <c r="C345" s="231"/>
      <c r="D345" s="231"/>
      <c r="E345" s="231"/>
      <c r="F345" s="231"/>
      <c r="G345" s="122"/>
      <c r="H345" s="122"/>
      <c r="I345" s="282"/>
      <c r="J345" s="232"/>
      <c r="K345" s="233"/>
      <c r="L345" s="234"/>
      <c r="M345" s="235"/>
      <c r="N345" s="236"/>
      <c r="O345" s="237"/>
      <c r="P345" s="238"/>
      <c r="Q345" s="239"/>
      <c r="S345" s="36"/>
      <c r="T345" s="36"/>
      <c r="X345"/>
    </row>
    <row r="346" spans="1:24">
      <c r="A346" s="231"/>
      <c r="B346" s="231"/>
      <c r="C346" s="231"/>
      <c r="D346" s="231"/>
      <c r="E346" s="231"/>
      <c r="F346" s="231"/>
      <c r="G346" s="122"/>
      <c r="H346" s="122"/>
      <c r="I346" s="282"/>
      <c r="J346" s="232"/>
      <c r="K346" s="233"/>
      <c r="L346" s="234"/>
      <c r="M346" s="235"/>
      <c r="N346" s="236"/>
      <c r="O346" s="237"/>
      <c r="P346" s="238"/>
      <c r="Q346" s="239"/>
      <c r="S346" s="36"/>
      <c r="T346" s="36"/>
      <c r="X346"/>
    </row>
    <row r="347" spans="1:24">
      <c r="A347" s="231"/>
      <c r="B347" s="231"/>
      <c r="C347" s="231"/>
      <c r="D347" s="231"/>
      <c r="E347" s="231"/>
      <c r="F347" s="231"/>
      <c r="G347" s="122"/>
      <c r="H347" s="122"/>
      <c r="I347" s="282"/>
      <c r="J347" s="232"/>
      <c r="K347" s="233"/>
      <c r="L347" s="234"/>
      <c r="M347" s="235"/>
      <c r="N347" s="236"/>
      <c r="O347" s="237"/>
      <c r="P347" s="238"/>
      <c r="Q347" s="239"/>
      <c r="S347" s="36"/>
      <c r="T347" s="36"/>
      <c r="X347"/>
    </row>
    <row r="348" spans="1:24">
      <c r="A348" s="231"/>
      <c r="B348" s="231"/>
      <c r="C348" s="231"/>
      <c r="D348" s="231"/>
      <c r="E348" s="231"/>
      <c r="F348" s="231"/>
      <c r="G348" s="122"/>
      <c r="H348" s="122"/>
      <c r="I348" s="282"/>
      <c r="J348" s="232"/>
      <c r="K348" s="233"/>
      <c r="L348" s="234"/>
      <c r="M348" s="235"/>
      <c r="N348" s="236"/>
      <c r="O348" s="237"/>
      <c r="P348" s="238"/>
      <c r="Q348" s="239"/>
      <c r="S348" s="36"/>
      <c r="T348" s="36"/>
      <c r="X348"/>
    </row>
    <row r="349" spans="1:24">
      <c r="A349" s="231"/>
      <c r="B349" s="231"/>
      <c r="C349" s="231"/>
      <c r="D349" s="231"/>
      <c r="E349" s="231"/>
      <c r="F349" s="231"/>
      <c r="G349" s="122"/>
      <c r="H349" s="122"/>
      <c r="I349" s="282"/>
      <c r="J349" s="232"/>
      <c r="K349" s="233"/>
      <c r="L349" s="234"/>
      <c r="M349" s="235"/>
      <c r="N349" s="236"/>
      <c r="O349" s="237"/>
      <c r="P349" s="238"/>
      <c r="Q349" s="239"/>
      <c r="S349" s="36"/>
      <c r="T349" s="36"/>
      <c r="X349"/>
    </row>
    <row r="350" spans="1:24">
      <c r="A350" s="231"/>
      <c r="B350" s="231"/>
      <c r="C350" s="231"/>
      <c r="D350" s="231"/>
      <c r="E350" s="231"/>
      <c r="F350" s="231"/>
      <c r="G350" s="122"/>
      <c r="H350" s="122"/>
      <c r="I350" s="282"/>
      <c r="J350" s="232"/>
      <c r="K350" s="233"/>
      <c r="L350" s="234"/>
      <c r="M350" s="235"/>
      <c r="N350" s="236"/>
      <c r="O350" s="237"/>
      <c r="P350" s="238"/>
      <c r="Q350" s="239"/>
      <c r="S350" s="36"/>
      <c r="T350" s="36"/>
      <c r="X350"/>
    </row>
    <row r="351" spans="1:24">
      <c r="A351" s="231"/>
      <c r="B351" s="231"/>
      <c r="C351" s="231"/>
      <c r="D351" s="231"/>
      <c r="E351" s="231"/>
      <c r="F351" s="231"/>
      <c r="G351" s="122"/>
      <c r="H351" s="122"/>
      <c r="I351" s="282"/>
      <c r="J351" s="232"/>
      <c r="K351" s="233"/>
      <c r="L351" s="234"/>
      <c r="M351" s="235"/>
      <c r="N351" s="236"/>
      <c r="O351" s="237"/>
      <c r="P351" s="238"/>
      <c r="Q351" s="239"/>
      <c r="S351" s="36"/>
      <c r="T351" s="36"/>
      <c r="X351"/>
    </row>
    <row r="352" spans="1:24">
      <c r="A352" s="231"/>
      <c r="B352" s="231"/>
      <c r="C352" s="231"/>
      <c r="D352" s="231"/>
      <c r="E352" s="231"/>
      <c r="F352" s="231"/>
      <c r="G352" s="122"/>
      <c r="H352" s="122"/>
      <c r="I352" s="282"/>
      <c r="J352" s="232"/>
      <c r="K352" s="233"/>
      <c r="L352" s="234"/>
      <c r="M352" s="235"/>
      <c r="N352" s="236"/>
      <c r="O352" s="237"/>
      <c r="P352" s="238"/>
      <c r="Q352" s="239"/>
      <c r="S352" s="36"/>
      <c r="T352" s="36"/>
      <c r="X352"/>
    </row>
    <row r="353" spans="1:24">
      <c r="A353" s="231"/>
      <c r="B353" s="231"/>
      <c r="C353" s="231"/>
      <c r="D353" s="231"/>
      <c r="E353" s="231"/>
      <c r="F353" s="231"/>
      <c r="G353" s="122"/>
      <c r="H353" s="122"/>
      <c r="I353" s="282"/>
      <c r="J353" s="232"/>
      <c r="K353" s="233"/>
      <c r="L353" s="234"/>
      <c r="M353" s="235"/>
      <c r="N353" s="236"/>
      <c r="O353" s="237"/>
      <c r="P353" s="238"/>
      <c r="Q353" s="239"/>
      <c r="S353" s="36"/>
      <c r="T353" s="36"/>
      <c r="X353"/>
    </row>
    <row r="354" spans="1:24">
      <c r="A354" s="231"/>
      <c r="B354" s="231"/>
      <c r="C354" s="231"/>
      <c r="D354" s="231"/>
      <c r="E354" s="231"/>
      <c r="F354" s="231"/>
      <c r="G354" s="122"/>
      <c r="H354" s="122"/>
      <c r="I354" s="282"/>
      <c r="J354" s="232"/>
      <c r="K354" s="233"/>
      <c r="L354" s="234"/>
      <c r="M354" s="235"/>
      <c r="N354" s="236"/>
      <c r="O354" s="237"/>
      <c r="P354" s="238"/>
      <c r="Q354" s="239"/>
      <c r="S354" s="36"/>
      <c r="T354" s="36"/>
      <c r="X354"/>
    </row>
    <row r="355" spans="1:24">
      <c r="A355" s="231"/>
      <c r="B355" s="231"/>
      <c r="C355" s="231"/>
      <c r="D355" s="231"/>
      <c r="E355" s="231"/>
      <c r="F355" s="231"/>
      <c r="G355" s="122"/>
      <c r="H355" s="122"/>
      <c r="I355" s="282"/>
      <c r="J355" s="232"/>
      <c r="K355" s="233"/>
      <c r="L355" s="234"/>
      <c r="M355" s="235"/>
      <c r="N355" s="236"/>
      <c r="O355" s="237"/>
      <c r="P355" s="238"/>
      <c r="Q355" s="239"/>
      <c r="S355" s="36"/>
      <c r="T355" s="36"/>
      <c r="X355"/>
    </row>
    <row r="356" spans="1:24">
      <c r="A356" s="231"/>
      <c r="B356" s="231"/>
      <c r="C356" s="231"/>
      <c r="D356" s="231"/>
      <c r="E356" s="231"/>
      <c r="F356" s="231"/>
      <c r="G356" s="122"/>
      <c r="H356" s="122"/>
      <c r="I356" s="282"/>
      <c r="J356" s="232"/>
      <c r="K356" s="233"/>
      <c r="L356" s="234"/>
      <c r="M356" s="235"/>
      <c r="N356" s="236"/>
      <c r="O356" s="237"/>
      <c r="P356" s="238"/>
      <c r="Q356" s="239"/>
      <c r="S356" s="36"/>
      <c r="T356" s="36"/>
      <c r="X356"/>
    </row>
    <row r="357" spans="1:24">
      <c r="A357" s="231"/>
      <c r="B357" s="231"/>
      <c r="C357" s="231"/>
      <c r="D357" s="231"/>
      <c r="E357" s="231"/>
      <c r="F357" s="231"/>
      <c r="G357" s="122"/>
      <c r="H357" s="122"/>
      <c r="I357" s="282"/>
      <c r="J357" s="232"/>
      <c r="K357" s="233"/>
      <c r="L357" s="234"/>
      <c r="M357" s="235"/>
      <c r="N357" s="236"/>
      <c r="O357" s="237"/>
      <c r="P357" s="238"/>
      <c r="Q357" s="239"/>
      <c r="S357" s="36"/>
      <c r="T357" s="36"/>
      <c r="X357"/>
    </row>
    <row r="358" spans="1:24">
      <c r="A358" s="231"/>
      <c r="B358" s="231"/>
      <c r="C358" s="122"/>
      <c r="D358" s="231"/>
      <c r="E358" s="231"/>
      <c r="F358" s="231"/>
      <c r="G358" s="122"/>
      <c r="H358" s="122"/>
      <c r="I358" s="282"/>
      <c r="J358" s="232"/>
      <c r="K358" s="233"/>
      <c r="L358" s="234"/>
      <c r="M358" s="235"/>
      <c r="N358" s="236"/>
      <c r="O358" s="237"/>
      <c r="P358" s="238"/>
      <c r="Q358" s="239"/>
      <c r="S358" s="36"/>
      <c r="T358" s="36"/>
      <c r="X358"/>
    </row>
    <row r="359" spans="1:24">
      <c r="A359" s="231"/>
      <c r="B359" s="231"/>
      <c r="C359" s="231"/>
      <c r="D359" s="231"/>
      <c r="E359" s="231"/>
      <c r="F359" s="231"/>
      <c r="G359" s="122"/>
      <c r="H359" s="122"/>
      <c r="I359" s="282"/>
      <c r="J359" s="232"/>
      <c r="K359" s="233"/>
      <c r="L359" s="234"/>
      <c r="M359" s="235"/>
      <c r="N359" s="236"/>
      <c r="O359" s="237"/>
      <c r="P359" s="238"/>
      <c r="Q359" s="239"/>
      <c r="S359" s="36"/>
      <c r="T359" s="36"/>
      <c r="X359"/>
    </row>
    <row r="360" spans="1:24">
      <c r="A360" s="231"/>
      <c r="B360" s="231"/>
      <c r="C360" s="231"/>
      <c r="D360" s="231"/>
      <c r="E360" s="231"/>
      <c r="F360" s="231"/>
      <c r="G360" s="122"/>
      <c r="H360" s="122"/>
      <c r="I360" s="282"/>
      <c r="J360" s="232"/>
      <c r="K360" s="233"/>
      <c r="L360" s="234"/>
      <c r="M360" s="235"/>
      <c r="N360" s="236"/>
      <c r="O360" s="237"/>
      <c r="P360" s="238"/>
      <c r="Q360" s="239"/>
      <c r="S360" s="36"/>
      <c r="T360" s="36"/>
      <c r="X360"/>
    </row>
    <row r="361" spans="1:24">
      <c r="A361" s="231"/>
      <c r="B361" s="231"/>
      <c r="C361" s="231"/>
      <c r="D361" s="231"/>
      <c r="E361" s="231"/>
      <c r="F361" s="231"/>
      <c r="G361" s="122"/>
      <c r="H361" s="122"/>
      <c r="I361" s="282"/>
      <c r="J361" s="232"/>
      <c r="K361" s="233"/>
      <c r="L361" s="234"/>
      <c r="M361" s="235"/>
      <c r="N361" s="236"/>
      <c r="O361" s="237"/>
      <c r="P361" s="238"/>
      <c r="Q361" s="239"/>
      <c r="S361" s="36"/>
      <c r="T361" s="36"/>
      <c r="X361"/>
    </row>
    <row r="362" spans="1:24">
      <c r="A362" s="231"/>
      <c r="B362" s="231"/>
      <c r="C362" s="231"/>
      <c r="D362" s="231"/>
      <c r="E362" s="231"/>
      <c r="F362" s="231"/>
      <c r="G362" s="122"/>
      <c r="H362" s="122"/>
      <c r="I362" s="282"/>
      <c r="J362" s="232"/>
      <c r="K362" s="233"/>
      <c r="L362" s="234"/>
      <c r="M362" s="235"/>
      <c r="N362" s="236"/>
      <c r="O362" s="237"/>
      <c r="P362" s="238"/>
      <c r="Q362" s="239"/>
      <c r="S362" s="36"/>
      <c r="T362" s="36"/>
      <c r="X362"/>
    </row>
    <row r="363" spans="1:24">
      <c r="A363" s="231"/>
      <c r="B363" s="231"/>
      <c r="C363" s="292"/>
      <c r="D363" s="36"/>
      <c r="E363" s="231"/>
      <c r="F363" s="231"/>
      <c r="G363" s="122"/>
      <c r="H363" s="122"/>
      <c r="I363" s="282"/>
      <c r="J363" s="232"/>
      <c r="K363" s="233"/>
      <c r="L363" s="234"/>
      <c r="M363" s="235"/>
      <c r="N363" s="236"/>
      <c r="O363" s="237"/>
      <c r="P363" s="238"/>
      <c r="Q363" s="239"/>
      <c r="S363" s="36"/>
      <c r="T363" s="36"/>
      <c r="X363"/>
    </row>
    <row r="364" spans="1:24">
      <c r="A364" s="231"/>
      <c r="B364" s="231"/>
      <c r="C364" s="292"/>
      <c r="D364" s="36"/>
      <c r="E364" s="231"/>
      <c r="F364" s="231"/>
      <c r="G364" s="122"/>
      <c r="H364" s="122"/>
      <c r="I364" s="282"/>
      <c r="J364" s="232"/>
      <c r="K364" s="233"/>
      <c r="L364" s="234"/>
      <c r="M364" s="235"/>
      <c r="N364" s="236"/>
      <c r="O364" s="237"/>
      <c r="P364" s="238"/>
      <c r="Q364" s="239"/>
      <c r="S364" s="36"/>
      <c r="T364" s="36"/>
      <c r="X364"/>
    </row>
    <row r="365" spans="1:24">
      <c r="A365" s="231"/>
      <c r="B365" s="231"/>
      <c r="C365" s="231"/>
      <c r="D365" s="231"/>
      <c r="E365" s="231"/>
      <c r="F365" s="231"/>
      <c r="G365" s="122"/>
      <c r="H365" s="122"/>
      <c r="I365" s="282"/>
      <c r="J365" s="232"/>
      <c r="K365" s="233"/>
      <c r="L365" s="234"/>
      <c r="M365" s="235"/>
      <c r="N365" s="236"/>
      <c r="O365" s="237"/>
      <c r="P365" s="238"/>
      <c r="Q365" s="239"/>
      <c r="S365" s="36"/>
      <c r="T365" s="36"/>
      <c r="X365"/>
    </row>
    <row r="366" spans="1:24">
      <c r="A366" s="231"/>
      <c r="B366" s="231"/>
      <c r="C366" s="231"/>
      <c r="D366" s="231"/>
      <c r="E366" s="231"/>
      <c r="F366" s="231"/>
      <c r="G366" s="122"/>
      <c r="H366" s="122"/>
      <c r="I366" s="282"/>
      <c r="J366" s="232"/>
      <c r="K366" s="233"/>
      <c r="L366" s="234"/>
      <c r="M366" s="235"/>
      <c r="N366" s="236"/>
      <c r="O366" s="237"/>
      <c r="P366" s="238"/>
      <c r="Q366" s="239"/>
      <c r="S366" s="36"/>
      <c r="T366" s="36"/>
      <c r="X366"/>
    </row>
    <row r="367" spans="1:24">
      <c r="A367" s="231"/>
      <c r="B367" s="231"/>
      <c r="C367" s="231"/>
      <c r="D367" s="231"/>
      <c r="E367" s="231"/>
      <c r="F367" s="231"/>
      <c r="G367" s="122"/>
      <c r="H367" s="122"/>
      <c r="I367" s="282"/>
      <c r="J367" s="232"/>
      <c r="K367" s="233"/>
      <c r="L367" s="234"/>
      <c r="M367" s="235"/>
      <c r="N367" s="236"/>
      <c r="O367" s="237"/>
      <c r="P367" s="238"/>
      <c r="Q367" s="239"/>
      <c r="S367" s="36"/>
      <c r="T367" s="36"/>
      <c r="X367"/>
    </row>
    <row r="368" spans="1:24">
      <c r="A368" s="231"/>
      <c r="B368" s="231"/>
      <c r="C368" s="231"/>
      <c r="D368" s="231"/>
      <c r="E368" s="231"/>
      <c r="F368" s="231"/>
      <c r="G368" s="122"/>
      <c r="H368" s="122"/>
      <c r="I368" s="282"/>
      <c r="J368" s="232"/>
      <c r="K368" s="233"/>
      <c r="L368" s="234"/>
      <c r="M368" s="235"/>
      <c r="N368" s="236"/>
      <c r="O368" s="237"/>
      <c r="P368" s="238"/>
      <c r="Q368" s="239"/>
      <c r="S368" s="36"/>
      <c r="T368" s="36"/>
      <c r="X368"/>
    </row>
    <row r="369" spans="1:24">
      <c r="A369" s="231"/>
      <c r="B369" s="231"/>
      <c r="C369" s="231"/>
      <c r="D369" s="231"/>
      <c r="E369" s="231"/>
      <c r="F369" s="231"/>
      <c r="G369" s="122"/>
      <c r="H369" s="122"/>
      <c r="I369" s="282"/>
      <c r="J369" s="232"/>
      <c r="K369" s="233"/>
      <c r="L369" s="234"/>
      <c r="M369" s="235"/>
      <c r="N369" s="236"/>
      <c r="O369" s="237"/>
      <c r="P369" s="238"/>
      <c r="Q369" s="239"/>
      <c r="S369" s="36"/>
      <c r="T369" s="36"/>
      <c r="X369"/>
    </row>
    <row r="370" spans="1:24">
      <c r="A370" s="231"/>
      <c r="B370" s="231"/>
      <c r="C370" s="231"/>
      <c r="D370" s="231"/>
      <c r="E370" s="231"/>
      <c r="F370" s="231"/>
      <c r="G370" s="122"/>
      <c r="H370" s="122"/>
      <c r="I370" s="282"/>
      <c r="J370" s="232"/>
      <c r="K370" s="233"/>
      <c r="L370" s="234"/>
      <c r="M370" s="235"/>
      <c r="N370" s="236"/>
      <c r="O370" s="237"/>
      <c r="P370" s="238"/>
      <c r="Q370" s="239"/>
      <c r="S370" s="36"/>
      <c r="T370" s="36"/>
      <c r="X370"/>
    </row>
    <row r="371" spans="1:24">
      <c r="A371" s="231"/>
      <c r="B371" s="231"/>
      <c r="C371" s="231"/>
      <c r="D371" s="231"/>
      <c r="E371" s="231"/>
      <c r="F371" s="231"/>
      <c r="G371" s="122"/>
      <c r="H371" s="122"/>
      <c r="I371" s="282"/>
      <c r="J371" s="232"/>
      <c r="K371" s="233"/>
      <c r="L371" s="234"/>
      <c r="M371" s="235"/>
      <c r="N371" s="236"/>
      <c r="O371" s="237"/>
      <c r="P371" s="238"/>
      <c r="Q371" s="239"/>
      <c r="S371" s="36"/>
      <c r="T371" s="36"/>
      <c r="X371"/>
    </row>
    <row r="372" spans="1:24">
      <c r="A372" s="231"/>
      <c r="B372" s="231"/>
      <c r="C372" s="231"/>
      <c r="D372" s="231"/>
      <c r="E372" s="231"/>
      <c r="F372" s="231"/>
      <c r="G372" s="122"/>
      <c r="H372" s="122"/>
      <c r="I372" s="282"/>
      <c r="J372" s="232"/>
      <c r="K372" s="233"/>
      <c r="L372" s="234"/>
      <c r="M372" s="235"/>
      <c r="N372" s="236"/>
      <c r="O372" s="237"/>
      <c r="P372" s="238"/>
      <c r="Q372" s="239"/>
      <c r="S372" s="36"/>
      <c r="T372" s="36"/>
      <c r="X372"/>
    </row>
    <row r="373" spans="1:24">
      <c r="A373" s="231"/>
      <c r="B373" s="231"/>
      <c r="C373" s="231"/>
      <c r="D373" s="231"/>
      <c r="E373" s="231"/>
      <c r="F373" s="231"/>
      <c r="G373" s="122"/>
      <c r="H373" s="122"/>
      <c r="I373" s="282"/>
      <c r="J373" s="232"/>
      <c r="K373" s="233"/>
      <c r="L373" s="234"/>
      <c r="M373" s="235"/>
      <c r="N373" s="236"/>
      <c r="O373" s="237"/>
      <c r="P373" s="238"/>
      <c r="Q373" s="239"/>
      <c r="S373" s="36"/>
      <c r="T373" s="36"/>
      <c r="X373"/>
    </row>
    <row r="374" spans="1:24">
      <c r="A374" s="231"/>
      <c r="B374" s="231"/>
      <c r="C374" s="231"/>
      <c r="D374" s="231"/>
      <c r="E374" s="231"/>
      <c r="F374" s="231"/>
      <c r="G374" s="122"/>
      <c r="H374" s="122"/>
      <c r="I374" s="282"/>
      <c r="J374" s="232"/>
      <c r="K374" s="233"/>
      <c r="L374" s="234"/>
      <c r="M374" s="235"/>
      <c r="N374" s="236"/>
      <c r="O374" s="237"/>
      <c r="P374" s="238"/>
      <c r="Q374" s="239"/>
      <c r="S374" s="36"/>
      <c r="T374" s="36"/>
      <c r="X374"/>
    </row>
    <row r="375" spans="1:24">
      <c r="A375" s="231"/>
      <c r="B375" s="231"/>
      <c r="C375" s="231"/>
      <c r="D375" s="231"/>
      <c r="E375" s="231"/>
      <c r="F375" s="231"/>
      <c r="G375" s="122"/>
      <c r="H375" s="122"/>
      <c r="I375" s="282"/>
      <c r="J375" s="232"/>
      <c r="K375" s="233"/>
      <c r="L375" s="234"/>
      <c r="M375" s="235"/>
      <c r="N375" s="236"/>
      <c r="O375" s="237"/>
      <c r="P375" s="238"/>
      <c r="Q375" s="239"/>
      <c r="S375" s="36"/>
      <c r="T375" s="36"/>
      <c r="X375"/>
    </row>
    <row r="376" spans="1:24">
      <c r="A376" s="231"/>
      <c r="B376" s="231"/>
      <c r="C376" s="122"/>
      <c r="D376" s="231"/>
      <c r="E376" s="231"/>
      <c r="F376" s="231"/>
      <c r="G376" s="122"/>
      <c r="H376" s="122"/>
      <c r="I376" s="282"/>
      <c r="J376" s="232"/>
      <c r="K376" s="233"/>
      <c r="L376" s="234"/>
      <c r="M376" s="235"/>
      <c r="N376" s="236"/>
      <c r="O376" s="237"/>
      <c r="P376" s="238"/>
      <c r="Q376" s="239"/>
      <c r="S376" s="36"/>
      <c r="T376" s="36"/>
      <c r="X376"/>
    </row>
    <row r="377" spans="1:24">
      <c r="A377" s="231"/>
      <c r="B377" s="231"/>
      <c r="C377" s="231"/>
      <c r="D377" s="231"/>
      <c r="E377" s="231"/>
      <c r="F377" s="231"/>
      <c r="G377" s="122"/>
      <c r="H377" s="122"/>
      <c r="I377" s="282"/>
      <c r="J377" s="232"/>
      <c r="K377" s="233"/>
      <c r="L377" s="234"/>
      <c r="M377" s="235"/>
      <c r="N377" s="236"/>
      <c r="O377" s="237"/>
      <c r="P377" s="238"/>
      <c r="Q377" s="239"/>
      <c r="S377" s="36"/>
      <c r="T377" s="36"/>
      <c r="X377"/>
    </row>
    <row r="378" spans="1:24">
      <c r="A378" s="231"/>
      <c r="B378" s="231"/>
      <c r="C378" s="231"/>
      <c r="D378" s="231"/>
      <c r="E378" s="231"/>
      <c r="F378" s="231"/>
      <c r="G378" s="122"/>
      <c r="H378" s="122"/>
      <c r="I378" s="282"/>
      <c r="J378" s="232"/>
      <c r="K378" s="233"/>
      <c r="L378" s="234"/>
      <c r="M378" s="235"/>
      <c r="N378" s="236"/>
      <c r="O378" s="237"/>
      <c r="P378" s="238"/>
      <c r="Q378" s="239"/>
      <c r="S378" s="36"/>
      <c r="T378" s="36"/>
      <c r="X378"/>
    </row>
    <row r="379" spans="1:24">
      <c r="A379" s="231"/>
      <c r="B379" s="231"/>
      <c r="C379" s="231"/>
      <c r="D379" s="231"/>
      <c r="E379" s="231"/>
      <c r="F379" s="231"/>
      <c r="G379" s="122"/>
      <c r="H379" s="122"/>
      <c r="I379" s="282"/>
      <c r="J379" s="232"/>
      <c r="K379" s="233"/>
      <c r="L379" s="234"/>
      <c r="M379" s="235"/>
      <c r="N379" s="236"/>
      <c r="O379" s="237"/>
      <c r="P379" s="238"/>
      <c r="Q379" s="239"/>
      <c r="S379" s="36"/>
      <c r="T379" s="36"/>
      <c r="X379"/>
    </row>
    <row r="380" spans="1:24">
      <c r="A380" s="231"/>
      <c r="B380" s="231"/>
      <c r="C380" s="122"/>
      <c r="D380" s="231"/>
      <c r="E380" s="231"/>
      <c r="F380" s="231"/>
      <c r="G380" s="122"/>
      <c r="H380" s="122"/>
      <c r="I380" s="282"/>
      <c r="J380" s="232"/>
      <c r="K380" s="233"/>
      <c r="L380" s="234"/>
      <c r="M380" s="235"/>
      <c r="N380" s="236"/>
      <c r="O380" s="237"/>
      <c r="P380" s="238"/>
      <c r="Q380" s="239"/>
      <c r="S380" s="36"/>
      <c r="T380" s="36"/>
      <c r="X380"/>
    </row>
    <row r="381" spans="1:24">
      <c r="A381" s="231"/>
      <c r="B381" s="231"/>
      <c r="C381" s="231"/>
      <c r="D381" s="231"/>
      <c r="E381" s="231"/>
      <c r="F381" s="231"/>
      <c r="G381" s="122"/>
      <c r="H381" s="122"/>
      <c r="I381" s="282"/>
      <c r="J381" s="232"/>
      <c r="K381" s="233"/>
      <c r="L381" s="234"/>
      <c r="M381" s="235"/>
      <c r="N381" s="236"/>
      <c r="O381" s="237"/>
      <c r="P381" s="238"/>
      <c r="Q381" s="239"/>
      <c r="S381" s="36"/>
      <c r="T381" s="36"/>
      <c r="X381"/>
    </row>
    <row r="382" spans="1:24">
      <c r="A382" s="231"/>
      <c r="B382" s="231"/>
      <c r="C382" s="231"/>
      <c r="D382" s="231"/>
      <c r="E382" s="231"/>
      <c r="F382" s="231"/>
      <c r="G382" s="122"/>
      <c r="H382" s="122"/>
      <c r="I382" s="282"/>
      <c r="J382" s="232"/>
      <c r="K382" s="233"/>
      <c r="L382" s="234"/>
      <c r="M382" s="235"/>
      <c r="N382" s="236"/>
      <c r="O382" s="237"/>
      <c r="P382" s="238"/>
      <c r="Q382" s="239"/>
      <c r="S382" s="36"/>
      <c r="T382" s="36"/>
      <c r="X382"/>
    </row>
    <row r="383" spans="1:24">
      <c r="A383" s="231"/>
      <c r="B383" s="231"/>
      <c r="C383" s="122"/>
      <c r="D383" s="231"/>
      <c r="E383" s="231"/>
      <c r="F383" s="231"/>
      <c r="G383" s="122"/>
      <c r="H383" s="122"/>
      <c r="I383" s="282"/>
      <c r="J383" s="232"/>
      <c r="K383" s="233"/>
      <c r="L383" s="234"/>
      <c r="M383" s="235"/>
      <c r="N383" s="236"/>
      <c r="O383" s="237"/>
      <c r="P383" s="238"/>
      <c r="Q383" s="187"/>
      <c r="S383" s="36"/>
      <c r="T383" s="36"/>
      <c r="X383"/>
    </row>
    <row r="384" spans="1:24">
      <c r="A384" s="231"/>
      <c r="B384" s="231"/>
      <c r="C384" s="231"/>
      <c r="D384" s="231"/>
      <c r="E384" s="231"/>
      <c r="F384" s="231"/>
      <c r="G384" s="122"/>
      <c r="H384" s="122"/>
      <c r="I384" s="282"/>
      <c r="J384" s="232"/>
      <c r="K384" s="233"/>
      <c r="L384" s="234"/>
      <c r="M384" s="235"/>
      <c r="N384" s="236"/>
      <c r="O384" s="237"/>
      <c r="P384" s="238"/>
      <c r="Q384" s="187"/>
      <c r="S384" s="36"/>
      <c r="T384" s="36"/>
      <c r="X384"/>
    </row>
    <row r="385" spans="1:24">
      <c r="A385" s="231"/>
      <c r="B385" s="231"/>
      <c r="C385" s="231"/>
      <c r="D385" s="231"/>
      <c r="E385" s="231"/>
      <c r="F385" s="231"/>
      <c r="G385" s="122"/>
      <c r="H385" s="122"/>
      <c r="I385" s="282"/>
      <c r="J385" s="232"/>
      <c r="K385" s="233"/>
      <c r="L385" s="234"/>
      <c r="M385" s="235"/>
      <c r="N385" s="236"/>
      <c r="O385" s="237"/>
      <c r="P385" s="238"/>
      <c r="Q385" s="187"/>
      <c r="S385" s="36"/>
      <c r="T385" s="36"/>
      <c r="X385"/>
    </row>
    <row r="386" spans="1:24">
      <c r="A386" s="231"/>
      <c r="B386" s="231"/>
      <c r="C386" s="231"/>
      <c r="D386" s="231"/>
      <c r="E386" s="231"/>
      <c r="F386" s="231"/>
      <c r="G386" s="122"/>
      <c r="H386" s="122"/>
      <c r="I386" s="282"/>
      <c r="J386" s="232"/>
      <c r="K386" s="233"/>
      <c r="L386" s="234"/>
      <c r="M386" s="235"/>
      <c r="N386" s="236"/>
      <c r="O386" s="237"/>
      <c r="P386" s="238"/>
      <c r="Q386" s="239"/>
      <c r="S386" s="36"/>
      <c r="T386" s="36"/>
      <c r="X386"/>
    </row>
    <row r="387" spans="1:24">
      <c r="A387" s="231"/>
      <c r="B387" s="231"/>
      <c r="C387" s="231"/>
      <c r="D387" s="231"/>
      <c r="E387" s="231"/>
      <c r="F387" s="231"/>
      <c r="G387" s="122"/>
      <c r="H387" s="122"/>
      <c r="I387" s="282"/>
      <c r="J387" s="232"/>
      <c r="K387" s="233"/>
      <c r="L387" s="234"/>
      <c r="M387" s="235"/>
      <c r="N387" s="236"/>
      <c r="O387" s="237"/>
      <c r="P387" s="238"/>
      <c r="Q387" s="239"/>
      <c r="S387" s="36"/>
      <c r="T387" s="36"/>
      <c r="X387"/>
    </row>
    <row r="388" spans="1:24">
      <c r="A388" s="231"/>
      <c r="B388" s="231"/>
      <c r="C388" s="231"/>
      <c r="D388" s="231"/>
      <c r="E388" s="231"/>
      <c r="F388" s="231"/>
      <c r="G388" s="122"/>
      <c r="H388" s="122"/>
      <c r="I388" s="282"/>
      <c r="J388" s="232"/>
      <c r="K388" s="233"/>
      <c r="L388" s="234"/>
      <c r="M388" s="235"/>
      <c r="N388" s="236"/>
      <c r="O388" s="237"/>
      <c r="P388" s="238"/>
      <c r="Q388" s="239"/>
      <c r="S388" s="36"/>
      <c r="T388" s="36"/>
      <c r="X388"/>
    </row>
    <row r="389" spans="1:24">
      <c r="A389" s="231"/>
      <c r="B389" s="231"/>
      <c r="C389" s="231"/>
      <c r="D389" s="231"/>
      <c r="E389" s="231"/>
      <c r="F389" s="231"/>
      <c r="G389" s="122"/>
      <c r="H389" s="122"/>
      <c r="I389" s="282"/>
      <c r="J389" s="232"/>
      <c r="K389" s="233"/>
      <c r="L389" s="234"/>
      <c r="M389" s="235"/>
      <c r="N389" s="236"/>
      <c r="O389" s="237"/>
      <c r="P389" s="238"/>
      <c r="Q389" s="239"/>
      <c r="S389" s="36"/>
      <c r="T389" s="36"/>
      <c r="X389"/>
    </row>
    <row r="390" spans="1:24">
      <c r="A390" s="231"/>
      <c r="B390" s="231"/>
      <c r="C390" s="231"/>
      <c r="D390" s="231"/>
      <c r="E390" s="231"/>
      <c r="F390" s="231"/>
      <c r="G390" s="122"/>
      <c r="H390" s="122"/>
      <c r="I390" s="282"/>
      <c r="J390" s="232"/>
      <c r="K390" s="233"/>
      <c r="L390" s="234"/>
      <c r="M390" s="235"/>
      <c r="N390" s="236"/>
      <c r="O390" s="237"/>
      <c r="P390" s="238"/>
      <c r="Q390" s="239"/>
      <c r="S390" s="36"/>
      <c r="T390" s="36"/>
      <c r="X390"/>
    </row>
    <row r="391" spans="1:24">
      <c r="A391" s="231"/>
      <c r="B391" s="231"/>
      <c r="C391" s="231"/>
      <c r="D391" s="231"/>
      <c r="E391" s="231"/>
      <c r="F391" s="231"/>
      <c r="G391" s="122"/>
      <c r="H391" s="122"/>
      <c r="I391" s="282"/>
      <c r="J391" s="232"/>
      <c r="K391" s="233"/>
      <c r="L391" s="234"/>
      <c r="M391" s="235"/>
      <c r="N391" s="236"/>
      <c r="O391" s="237"/>
      <c r="P391" s="238"/>
      <c r="Q391" s="239"/>
      <c r="S391" s="36"/>
      <c r="T391" s="36"/>
      <c r="X391"/>
    </row>
    <row r="392" spans="1:24">
      <c r="A392" s="231"/>
      <c r="B392" s="231"/>
      <c r="C392" s="231"/>
      <c r="D392" s="231"/>
      <c r="E392" s="231"/>
      <c r="F392" s="231"/>
      <c r="G392" s="122"/>
      <c r="H392" s="122"/>
      <c r="I392" s="282"/>
      <c r="J392" s="232"/>
      <c r="K392" s="233"/>
      <c r="L392" s="234"/>
      <c r="M392" s="235"/>
      <c r="N392" s="236"/>
      <c r="O392" s="237"/>
      <c r="P392" s="238"/>
      <c r="Q392" s="239"/>
      <c r="S392" s="36"/>
      <c r="T392" s="36"/>
      <c r="X392"/>
    </row>
    <row r="393" spans="1:24">
      <c r="A393" s="231"/>
      <c r="B393" s="231"/>
      <c r="C393" s="231"/>
      <c r="D393" s="231"/>
      <c r="E393" s="231"/>
      <c r="F393" s="231"/>
      <c r="G393" s="122"/>
      <c r="H393" s="122"/>
      <c r="I393" s="282"/>
      <c r="J393" s="232"/>
      <c r="K393" s="233"/>
      <c r="L393" s="234"/>
      <c r="M393" s="235"/>
      <c r="N393" s="236"/>
      <c r="O393" s="237"/>
      <c r="P393" s="238"/>
      <c r="Q393" s="239"/>
      <c r="S393" s="36"/>
      <c r="T393" s="36"/>
      <c r="X393"/>
    </row>
    <row r="394" spans="1:24">
      <c r="A394" s="231"/>
      <c r="B394" s="231"/>
      <c r="C394" s="231"/>
      <c r="D394" s="231"/>
      <c r="E394" s="231"/>
      <c r="F394" s="231"/>
      <c r="G394" s="122"/>
      <c r="H394" s="122"/>
      <c r="I394" s="282"/>
      <c r="J394" s="232"/>
      <c r="K394" s="233"/>
      <c r="L394" s="234"/>
      <c r="M394" s="235"/>
      <c r="N394" s="236"/>
      <c r="O394" s="237"/>
      <c r="P394" s="238"/>
      <c r="Q394" s="239"/>
      <c r="S394" s="36"/>
      <c r="T394" s="36"/>
      <c r="X394"/>
    </row>
    <row r="395" spans="1:24">
      <c r="A395" s="231"/>
      <c r="B395" s="231"/>
      <c r="C395" s="231"/>
      <c r="D395" s="231"/>
      <c r="E395" s="231"/>
      <c r="F395" s="231"/>
      <c r="G395" s="122"/>
      <c r="H395" s="122"/>
      <c r="I395" s="282"/>
      <c r="J395" s="232"/>
      <c r="K395" s="233"/>
      <c r="L395" s="234"/>
      <c r="M395" s="235"/>
      <c r="N395" s="236"/>
      <c r="O395" s="237"/>
      <c r="P395" s="238"/>
      <c r="Q395" s="239"/>
      <c r="S395" s="36"/>
      <c r="T395" s="36"/>
      <c r="X395"/>
    </row>
    <row r="396" spans="1:24">
      <c r="A396" s="231"/>
      <c r="B396" s="231"/>
      <c r="C396" s="231"/>
      <c r="D396" s="231"/>
      <c r="E396" s="231"/>
      <c r="F396" s="231"/>
      <c r="G396" s="122"/>
      <c r="H396" s="122"/>
      <c r="I396" s="282"/>
      <c r="J396" s="232"/>
      <c r="K396" s="233"/>
      <c r="L396" s="234"/>
      <c r="M396" s="235"/>
      <c r="N396" s="236"/>
      <c r="O396" s="237"/>
      <c r="P396" s="238"/>
      <c r="Q396" s="239"/>
      <c r="S396" s="36"/>
      <c r="T396" s="36"/>
      <c r="X396"/>
    </row>
    <row r="397" spans="1:24">
      <c r="A397" s="231"/>
      <c r="B397" s="231"/>
      <c r="C397" s="231"/>
      <c r="D397" s="231"/>
      <c r="E397" s="231"/>
      <c r="F397" s="231"/>
      <c r="G397" s="122"/>
      <c r="H397" s="122"/>
      <c r="I397" s="282"/>
      <c r="J397" s="232"/>
      <c r="K397" s="233"/>
      <c r="L397" s="234"/>
      <c r="M397" s="235"/>
      <c r="N397" s="236"/>
      <c r="O397" s="237"/>
      <c r="P397" s="238"/>
      <c r="Q397" s="239"/>
      <c r="S397" s="36"/>
      <c r="T397" s="36"/>
      <c r="X397"/>
    </row>
    <row r="398" spans="1:24">
      <c r="A398" s="231"/>
      <c r="B398" s="231"/>
      <c r="C398" s="231"/>
      <c r="D398" s="231"/>
      <c r="E398" s="231"/>
      <c r="F398" s="231"/>
      <c r="G398" s="122"/>
      <c r="H398" s="122"/>
      <c r="I398" s="282"/>
      <c r="J398" s="232"/>
      <c r="K398" s="233"/>
      <c r="L398" s="234"/>
      <c r="M398" s="235"/>
      <c r="N398" s="236"/>
      <c r="O398" s="237"/>
      <c r="P398" s="238"/>
      <c r="Q398" s="239"/>
      <c r="S398" s="36"/>
      <c r="T398" s="36"/>
      <c r="X398"/>
    </row>
    <row r="399" spans="1:24">
      <c r="A399" s="231"/>
      <c r="B399" s="231"/>
      <c r="C399" s="231"/>
      <c r="D399" s="231"/>
      <c r="E399" s="231"/>
      <c r="F399" s="231"/>
      <c r="G399" s="122"/>
      <c r="H399" s="122"/>
      <c r="I399" s="282"/>
      <c r="J399" s="232"/>
      <c r="K399" s="233"/>
      <c r="L399" s="234"/>
      <c r="M399" s="235"/>
      <c r="N399" s="236"/>
      <c r="O399" s="237"/>
      <c r="P399" s="238"/>
      <c r="Q399" s="239"/>
      <c r="S399" s="36"/>
      <c r="T399" s="36"/>
      <c r="X399"/>
    </row>
    <row r="400" spans="1:24">
      <c r="A400" s="231"/>
      <c r="B400" s="231"/>
      <c r="C400" s="231"/>
      <c r="D400" s="231"/>
      <c r="E400" s="231"/>
      <c r="F400" s="231"/>
      <c r="G400" s="122"/>
      <c r="H400" s="122"/>
      <c r="I400" s="282"/>
      <c r="J400" s="232"/>
      <c r="K400" s="233"/>
      <c r="L400" s="234"/>
      <c r="M400" s="235"/>
      <c r="N400" s="236"/>
      <c r="O400" s="237"/>
      <c r="P400" s="238"/>
      <c r="Q400" s="239"/>
      <c r="S400" s="36"/>
      <c r="T400" s="36"/>
      <c r="X400"/>
    </row>
    <row r="401" spans="1:24">
      <c r="A401" s="231"/>
      <c r="B401" s="231"/>
      <c r="C401" s="231"/>
      <c r="D401" s="231"/>
      <c r="E401" s="231"/>
      <c r="F401" s="231"/>
      <c r="G401" s="122"/>
      <c r="H401" s="122"/>
      <c r="I401" s="282"/>
      <c r="J401" s="232"/>
      <c r="K401" s="233"/>
      <c r="L401" s="234"/>
      <c r="M401" s="235"/>
      <c r="N401" s="236"/>
      <c r="O401" s="237"/>
      <c r="P401" s="238"/>
      <c r="Q401" s="239"/>
      <c r="S401" s="36"/>
      <c r="T401" s="36"/>
      <c r="X401"/>
    </row>
    <row r="402" spans="1:24">
      <c r="A402" s="231"/>
      <c r="B402" s="231"/>
      <c r="C402" s="231"/>
      <c r="D402" s="231"/>
      <c r="E402" s="231"/>
      <c r="F402" s="231"/>
      <c r="G402" s="122"/>
      <c r="H402" s="122"/>
      <c r="I402" s="282"/>
      <c r="J402" s="232"/>
      <c r="K402" s="233"/>
      <c r="L402" s="234"/>
      <c r="M402" s="235"/>
      <c r="N402" s="236"/>
      <c r="O402" s="237"/>
      <c r="P402" s="238"/>
      <c r="Q402" s="239"/>
      <c r="S402" s="36"/>
      <c r="T402" s="36"/>
      <c r="X402"/>
    </row>
    <row r="403" spans="1:24">
      <c r="A403" s="231"/>
      <c r="B403" s="231"/>
      <c r="C403" s="231"/>
      <c r="D403" s="231"/>
      <c r="E403" s="231"/>
      <c r="F403" s="231"/>
      <c r="G403" s="122"/>
      <c r="H403" s="122"/>
      <c r="I403" s="282"/>
      <c r="J403" s="232"/>
      <c r="K403" s="233"/>
      <c r="L403" s="234"/>
      <c r="M403" s="235"/>
      <c r="N403" s="236"/>
      <c r="O403" s="237"/>
      <c r="P403" s="238"/>
      <c r="Q403" s="239"/>
      <c r="S403" s="36"/>
      <c r="T403" s="36"/>
      <c r="X403"/>
    </row>
    <row r="404" spans="1:24">
      <c r="A404" s="231"/>
      <c r="B404" s="231"/>
      <c r="C404" s="231"/>
      <c r="D404" s="231"/>
      <c r="E404" s="231"/>
      <c r="F404" s="231"/>
      <c r="G404" s="122"/>
      <c r="H404" s="122"/>
      <c r="I404" s="282"/>
      <c r="J404" s="232"/>
      <c r="K404" s="233"/>
      <c r="L404" s="234"/>
      <c r="M404" s="235"/>
      <c r="N404" s="236"/>
      <c r="O404" s="237"/>
      <c r="P404" s="238"/>
      <c r="Q404" s="239"/>
      <c r="S404" s="36"/>
      <c r="T404" s="36"/>
      <c r="X404"/>
    </row>
    <row r="405" spans="1:24">
      <c r="A405" s="231"/>
      <c r="B405" s="231"/>
      <c r="C405" s="231"/>
      <c r="D405" s="231"/>
      <c r="E405" s="231"/>
      <c r="F405" s="231"/>
      <c r="G405" s="122"/>
      <c r="H405" s="122"/>
      <c r="I405" s="282"/>
      <c r="J405" s="232"/>
      <c r="K405" s="233"/>
      <c r="L405" s="234"/>
      <c r="M405" s="235"/>
      <c r="N405" s="236"/>
      <c r="O405" s="237"/>
      <c r="P405" s="238"/>
      <c r="Q405" s="239"/>
      <c r="S405" s="36"/>
      <c r="T405" s="36"/>
      <c r="X405"/>
    </row>
    <row r="406" spans="1:24">
      <c r="A406" s="231"/>
      <c r="B406" s="231"/>
      <c r="C406" s="231"/>
      <c r="D406" s="231"/>
      <c r="E406" s="231"/>
      <c r="F406" s="231"/>
      <c r="G406" s="122"/>
      <c r="H406" s="122"/>
      <c r="I406" s="282"/>
      <c r="J406" s="232"/>
      <c r="K406" s="233"/>
      <c r="L406" s="234"/>
      <c r="M406" s="235"/>
      <c r="N406" s="236"/>
      <c r="O406" s="237"/>
      <c r="P406" s="238"/>
      <c r="Q406" s="239"/>
      <c r="S406" s="36"/>
      <c r="T406" s="36"/>
      <c r="X406"/>
    </row>
    <row r="407" spans="1:24">
      <c r="A407" s="231"/>
      <c r="B407" s="231"/>
      <c r="C407" s="231"/>
      <c r="D407" s="231"/>
      <c r="E407" s="231"/>
      <c r="F407" s="231"/>
      <c r="G407" s="122"/>
      <c r="H407" s="122"/>
      <c r="I407" s="282"/>
      <c r="J407" s="232"/>
      <c r="K407" s="233"/>
      <c r="L407" s="234"/>
      <c r="M407" s="235"/>
      <c r="N407" s="236"/>
      <c r="O407" s="237"/>
      <c r="P407" s="238"/>
      <c r="Q407" s="239"/>
      <c r="S407" s="36"/>
      <c r="T407" s="36"/>
      <c r="X407"/>
    </row>
    <row r="408" spans="1:24">
      <c r="A408" s="231"/>
      <c r="B408" s="231"/>
      <c r="C408" s="231"/>
      <c r="D408" s="231"/>
      <c r="E408" s="231"/>
      <c r="F408" s="231"/>
      <c r="G408" s="122"/>
      <c r="H408" s="122"/>
      <c r="I408" s="282"/>
      <c r="J408" s="232"/>
      <c r="K408" s="233"/>
      <c r="L408" s="234"/>
      <c r="M408" s="235"/>
      <c r="N408" s="236"/>
      <c r="O408" s="237"/>
      <c r="P408" s="238"/>
      <c r="Q408" s="239"/>
      <c r="S408" s="36"/>
      <c r="T408" s="36"/>
      <c r="X408"/>
    </row>
    <row r="409" spans="1:24">
      <c r="A409" s="231"/>
      <c r="B409" s="231"/>
      <c r="C409" s="231"/>
      <c r="D409" s="231"/>
      <c r="E409" s="231"/>
      <c r="F409" s="231"/>
      <c r="G409" s="122"/>
      <c r="H409" s="122"/>
      <c r="I409" s="282"/>
      <c r="J409" s="232"/>
      <c r="K409" s="233"/>
      <c r="L409" s="234"/>
      <c r="M409" s="235"/>
      <c r="N409" s="236"/>
      <c r="O409" s="237"/>
      <c r="P409" s="238"/>
      <c r="Q409" s="239"/>
      <c r="S409" s="36"/>
      <c r="T409" s="36"/>
      <c r="X409"/>
    </row>
    <row r="410" spans="1:24">
      <c r="A410" s="231"/>
      <c r="B410" s="231"/>
      <c r="C410" s="231"/>
      <c r="D410" s="231"/>
      <c r="E410" s="231"/>
      <c r="F410" s="231"/>
      <c r="G410" s="122"/>
      <c r="H410" s="122"/>
      <c r="I410" s="282"/>
      <c r="J410" s="232"/>
      <c r="K410" s="233"/>
      <c r="L410" s="234"/>
      <c r="M410" s="235"/>
      <c r="N410" s="236"/>
      <c r="O410" s="237"/>
      <c r="P410" s="238"/>
      <c r="Q410" s="239"/>
      <c r="S410" s="36"/>
      <c r="T410" s="36"/>
      <c r="X410"/>
    </row>
    <row r="411" spans="1:24">
      <c r="A411" s="231"/>
      <c r="B411" s="231"/>
      <c r="C411" s="231"/>
      <c r="D411" s="231"/>
      <c r="E411" s="231"/>
      <c r="F411" s="231"/>
      <c r="G411" s="122"/>
      <c r="H411" s="122"/>
      <c r="I411" s="282"/>
      <c r="J411" s="232"/>
      <c r="K411" s="233"/>
      <c r="L411" s="234"/>
      <c r="M411" s="235"/>
      <c r="N411" s="236"/>
      <c r="O411" s="237"/>
      <c r="P411" s="238"/>
      <c r="Q411" s="239"/>
      <c r="S411" s="36"/>
      <c r="T411" s="36"/>
      <c r="X411"/>
    </row>
    <row r="412" spans="1:24">
      <c r="A412" s="231"/>
      <c r="B412" s="231"/>
      <c r="C412" s="231"/>
      <c r="D412" s="231"/>
      <c r="E412" s="231"/>
      <c r="F412" s="231"/>
      <c r="G412" s="122"/>
      <c r="H412" s="122"/>
      <c r="I412" s="282"/>
      <c r="J412" s="232"/>
      <c r="K412" s="233"/>
      <c r="L412" s="234"/>
      <c r="M412" s="235"/>
      <c r="N412" s="236"/>
      <c r="O412" s="237"/>
      <c r="P412" s="238"/>
      <c r="Q412" s="239"/>
      <c r="S412" s="36"/>
      <c r="T412" s="36"/>
      <c r="X412"/>
    </row>
    <row r="413" spans="1:24">
      <c r="A413" s="231"/>
      <c r="B413" s="231"/>
      <c r="C413" s="231"/>
      <c r="D413" s="231"/>
      <c r="E413" s="231"/>
      <c r="F413" s="231"/>
      <c r="G413" s="122"/>
      <c r="H413" s="122"/>
      <c r="I413" s="282"/>
      <c r="J413" s="232"/>
      <c r="K413" s="233"/>
      <c r="L413" s="234"/>
      <c r="M413" s="235"/>
      <c r="N413" s="236"/>
      <c r="O413" s="237"/>
      <c r="P413" s="238"/>
      <c r="Q413" s="239"/>
      <c r="S413" s="36"/>
      <c r="T413" s="36"/>
      <c r="X413"/>
    </row>
    <row r="414" spans="1:24">
      <c r="A414" s="231"/>
      <c r="B414" s="231"/>
      <c r="C414" s="231"/>
      <c r="D414" s="231"/>
      <c r="E414" s="231"/>
      <c r="F414" s="231"/>
      <c r="G414" s="122"/>
      <c r="H414" s="122"/>
      <c r="I414" s="282"/>
      <c r="J414" s="232"/>
      <c r="K414" s="233"/>
      <c r="L414" s="234"/>
      <c r="M414" s="235"/>
      <c r="N414" s="236"/>
      <c r="O414" s="237"/>
      <c r="P414" s="238"/>
      <c r="Q414" s="239"/>
      <c r="S414" s="36"/>
      <c r="T414" s="36"/>
      <c r="X414"/>
    </row>
    <row r="415" spans="1:24">
      <c r="A415" s="231"/>
      <c r="B415" s="231"/>
      <c r="C415" s="231"/>
      <c r="D415" s="231"/>
      <c r="E415" s="231"/>
      <c r="F415" s="231"/>
      <c r="G415" s="122"/>
      <c r="H415" s="122"/>
      <c r="I415" s="282"/>
      <c r="J415" s="232"/>
      <c r="K415" s="233"/>
      <c r="L415" s="234"/>
      <c r="M415" s="235"/>
      <c r="N415" s="236"/>
      <c r="O415" s="237"/>
      <c r="P415" s="238"/>
      <c r="Q415" s="239"/>
      <c r="S415" s="36"/>
      <c r="T415" s="36"/>
      <c r="X415"/>
    </row>
    <row r="416" spans="1:24">
      <c r="A416" s="231"/>
      <c r="B416" s="231"/>
      <c r="C416" s="231"/>
      <c r="D416" s="231"/>
      <c r="E416" s="231"/>
      <c r="F416" s="231"/>
      <c r="G416" s="122"/>
      <c r="H416" s="122"/>
      <c r="I416" s="282"/>
      <c r="J416" s="232"/>
      <c r="K416" s="233"/>
      <c r="L416" s="234"/>
      <c r="M416" s="235"/>
      <c r="N416" s="236"/>
      <c r="O416" s="237"/>
      <c r="P416" s="238"/>
      <c r="Q416" s="239"/>
      <c r="S416" s="36"/>
      <c r="T416" s="36"/>
      <c r="X416"/>
    </row>
    <row r="417" spans="1:24">
      <c r="A417" s="231"/>
      <c r="B417" s="231"/>
      <c r="C417" s="231"/>
      <c r="D417" s="231"/>
      <c r="E417" s="231"/>
      <c r="F417" s="231"/>
      <c r="G417" s="122"/>
      <c r="H417" s="122"/>
      <c r="I417" s="282"/>
      <c r="J417" s="232"/>
      <c r="K417" s="233"/>
      <c r="L417" s="234"/>
      <c r="M417" s="235"/>
      <c r="N417" s="236"/>
      <c r="O417" s="237"/>
      <c r="P417" s="238"/>
      <c r="Q417" s="239"/>
      <c r="S417" s="36"/>
      <c r="T417" s="36"/>
      <c r="X417"/>
    </row>
    <row r="418" spans="1:24">
      <c r="A418" s="231"/>
      <c r="B418" s="231"/>
      <c r="C418" s="231"/>
      <c r="D418" s="231"/>
      <c r="E418" s="231"/>
      <c r="F418" s="231"/>
      <c r="G418" s="122"/>
      <c r="H418" s="122"/>
      <c r="I418" s="282"/>
      <c r="J418" s="232"/>
      <c r="K418" s="233"/>
      <c r="L418" s="234"/>
      <c r="M418" s="235"/>
      <c r="N418" s="236"/>
      <c r="O418" s="237"/>
      <c r="P418" s="238"/>
      <c r="Q418" s="239"/>
      <c r="S418" s="36"/>
      <c r="T418" s="36"/>
      <c r="X418"/>
    </row>
    <row r="419" spans="1:24">
      <c r="A419" s="231"/>
      <c r="B419" s="231"/>
      <c r="C419" s="231"/>
      <c r="D419" s="231"/>
      <c r="E419" s="231"/>
      <c r="F419" s="231"/>
      <c r="G419" s="122"/>
      <c r="H419" s="122"/>
      <c r="I419" s="282"/>
      <c r="J419" s="232"/>
      <c r="K419" s="233"/>
      <c r="L419" s="234"/>
      <c r="M419" s="235"/>
      <c r="N419" s="236"/>
      <c r="O419" s="237"/>
      <c r="P419" s="238"/>
      <c r="Q419" s="239"/>
      <c r="S419" s="36"/>
      <c r="T419" s="36"/>
      <c r="X419"/>
    </row>
    <row r="420" spans="1:24">
      <c r="A420" s="231"/>
      <c r="B420" s="231"/>
      <c r="C420" s="231"/>
      <c r="D420" s="231"/>
      <c r="E420" s="231"/>
      <c r="F420" s="231"/>
      <c r="G420" s="122"/>
      <c r="H420" s="122"/>
      <c r="I420" s="282"/>
      <c r="J420" s="232"/>
      <c r="K420" s="233"/>
      <c r="L420" s="234"/>
      <c r="M420" s="235"/>
      <c r="N420" s="236"/>
      <c r="O420" s="237"/>
      <c r="P420" s="238"/>
      <c r="Q420" s="239"/>
      <c r="S420" s="36"/>
      <c r="T420" s="36"/>
      <c r="X420"/>
    </row>
    <row r="421" spans="1:24">
      <c r="A421" s="231"/>
      <c r="B421" s="231"/>
      <c r="C421" s="231"/>
      <c r="D421" s="231"/>
      <c r="E421" s="231"/>
      <c r="F421" s="231"/>
      <c r="G421" s="122"/>
      <c r="H421" s="122"/>
      <c r="I421" s="282"/>
      <c r="J421" s="232"/>
      <c r="K421" s="233"/>
      <c r="L421" s="234"/>
      <c r="M421" s="235"/>
      <c r="N421" s="236"/>
      <c r="O421" s="237"/>
      <c r="P421" s="238"/>
      <c r="Q421" s="239"/>
      <c r="S421" s="36"/>
      <c r="T421" s="36"/>
      <c r="X421"/>
    </row>
    <row r="422" spans="1:24">
      <c r="A422" s="231"/>
      <c r="B422" s="231"/>
      <c r="C422" s="231"/>
      <c r="D422" s="231"/>
      <c r="E422" s="231"/>
      <c r="F422" s="231"/>
      <c r="G422" s="122"/>
      <c r="H422" s="122"/>
      <c r="I422" s="282"/>
      <c r="J422" s="232"/>
      <c r="K422" s="233"/>
      <c r="L422" s="234"/>
      <c r="M422" s="235"/>
      <c r="N422" s="236"/>
      <c r="O422" s="237"/>
      <c r="P422" s="238"/>
      <c r="Q422" s="239"/>
      <c r="S422" s="36"/>
      <c r="T422" s="36"/>
      <c r="X422"/>
    </row>
    <row r="423" spans="1:24">
      <c r="A423" s="231"/>
      <c r="B423" s="231"/>
      <c r="C423" s="231"/>
      <c r="D423" s="231"/>
      <c r="E423" s="231"/>
      <c r="F423" s="231"/>
      <c r="G423" s="122"/>
      <c r="H423" s="122"/>
      <c r="I423" s="282"/>
      <c r="J423" s="232"/>
      <c r="K423" s="233"/>
      <c r="L423" s="234"/>
      <c r="M423" s="235"/>
      <c r="N423" s="236"/>
      <c r="O423" s="237"/>
      <c r="P423" s="238"/>
      <c r="Q423" s="239"/>
      <c r="S423" s="36"/>
      <c r="T423" s="36"/>
      <c r="X423"/>
    </row>
    <row r="424" spans="1:24">
      <c r="A424" s="231"/>
      <c r="B424" s="231"/>
      <c r="C424" s="231"/>
      <c r="D424" s="231"/>
      <c r="E424" s="231"/>
      <c r="F424" s="231"/>
      <c r="G424" s="122"/>
      <c r="H424" s="122"/>
      <c r="I424" s="282"/>
      <c r="J424" s="232"/>
      <c r="K424" s="233"/>
      <c r="L424" s="234"/>
      <c r="M424" s="235"/>
      <c r="N424" s="236"/>
      <c r="O424" s="237"/>
      <c r="P424" s="238"/>
      <c r="Q424" s="239"/>
      <c r="S424" s="36"/>
      <c r="T424" s="36"/>
      <c r="X424"/>
    </row>
    <row r="425" spans="1:24">
      <c r="A425" s="231"/>
      <c r="B425" s="231"/>
      <c r="C425" s="231"/>
      <c r="D425" s="231"/>
      <c r="E425" s="231"/>
      <c r="F425" s="231"/>
      <c r="G425" s="122"/>
      <c r="H425" s="122"/>
      <c r="I425" s="282"/>
      <c r="J425" s="232"/>
      <c r="K425" s="233"/>
      <c r="L425" s="234"/>
      <c r="M425" s="235"/>
      <c r="N425" s="236"/>
      <c r="O425" s="237"/>
      <c r="P425" s="238"/>
      <c r="Q425" s="239"/>
      <c r="S425" s="36"/>
      <c r="T425" s="36"/>
      <c r="X425"/>
    </row>
    <row r="426" spans="1:24">
      <c r="A426" s="231"/>
      <c r="B426" s="231"/>
      <c r="C426" s="231"/>
      <c r="D426" s="231"/>
      <c r="E426" s="231"/>
      <c r="F426" s="231"/>
      <c r="G426" s="122"/>
      <c r="H426" s="122"/>
      <c r="I426" s="282"/>
      <c r="J426" s="232"/>
      <c r="K426" s="233"/>
      <c r="L426" s="234"/>
      <c r="M426" s="235"/>
      <c r="N426" s="236"/>
      <c r="O426" s="237"/>
      <c r="P426" s="238"/>
      <c r="Q426" s="239"/>
      <c r="S426" s="36"/>
      <c r="T426" s="36"/>
      <c r="X426"/>
    </row>
    <row r="427" spans="1:24">
      <c r="A427" s="231"/>
      <c r="B427" s="231"/>
      <c r="C427" s="231"/>
      <c r="D427" s="231"/>
      <c r="E427" s="231"/>
      <c r="F427" s="231"/>
      <c r="G427" s="122"/>
      <c r="H427" s="122"/>
      <c r="I427" s="282"/>
      <c r="J427" s="232"/>
      <c r="K427" s="233"/>
      <c r="L427" s="234"/>
      <c r="M427" s="235"/>
      <c r="N427" s="236"/>
      <c r="O427" s="237"/>
      <c r="P427" s="238"/>
      <c r="Q427" s="239"/>
      <c r="S427" s="36"/>
      <c r="T427" s="36"/>
      <c r="X427"/>
    </row>
    <row r="428" spans="1:24">
      <c r="A428" s="231"/>
      <c r="B428" s="231"/>
      <c r="C428" s="231"/>
      <c r="D428" s="231"/>
      <c r="E428" s="231"/>
      <c r="F428" s="231"/>
      <c r="G428" s="122"/>
      <c r="H428" s="122"/>
      <c r="I428" s="282"/>
      <c r="J428" s="232"/>
      <c r="K428" s="233"/>
      <c r="L428" s="234"/>
      <c r="M428" s="235"/>
      <c r="N428" s="236"/>
      <c r="O428" s="237"/>
      <c r="P428" s="238"/>
      <c r="Q428" s="239"/>
      <c r="S428" s="36"/>
      <c r="T428" s="36"/>
      <c r="X428"/>
    </row>
    <row r="429" spans="1:24">
      <c r="A429" s="231"/>
      <c r="B429" s="231"/>
      <c r="C429" s="231"/>
      <c r="D429" s="231"/>
      <c r="E429" s="231"/>
      <c r="F429" s="231"/>
      <c r="G429" s="122"/>
      <c r="H429" s="122"/>
      <c r="I429" s="282"/>
      <c r="J429" s="232"/>
      <c r="K429" s="233"/>
      <c r="L429" s="234"/>
      <c r="M429" s="235"/>
      <c r="N429" s="236"/>
      <c r="O429" s="237"/>
      <c r="P429" s="238"/>
      <c r="Q429" s="239"/>
      <c r="S429" s="36"/>
      <c r="T429" s="36"/>
      <c r="X429"/>
    </row>
    <row r="430" spans="1:24">
      <c r="A430" s="231"/>
      <c r="B430" s="231"/>
      <c r="C430" s="231"/>
      <c r="D430" s="231"/>
      <c r="E430" s="231"/>
      <c r="F430" s="231"/>
      <c r="G430" s="122"/>
      <c r="H430" s="122"/>
      <c r="I430" s="282"/>
      <c r="J430" s="232"/>
      <c r="K430" s="233"/>
      <c r="L430" s="234"/>
      <c r="M430" s="235"/>
      <c r="N430" s="236"/>
      <c r="O430" s="237"/>
      <c r="P430" s="238"/>
      <c r="Q430" s="239"/>
      <c r="S430" s="36"/>
      <c r="T430" s="36"/>
      <c r="X430"/>
    </row>
    <row r="431" spans="1:24">
      <c r="A431" s="231"/>
      <c r="B431" s="231"/>
      <c r="C431" s="231"/>
      <c r="D431" s="231"/>
      <c r="E431" s="231"/>
      <c r="F431" s="231"/>
      <c r="G431" s="122"/>
      <c r="H431" s="122"/>
      <c r="I431" s="282"/>
      <c r="J431" s="232"/>
      <c r="K431" s="233"/>
      <c r="L431" s="234"/>
      <c r="M431" s="235"/>
      <c r="N431" s="236"/>
      <c r="O431" s="237"/>
      <c r="P431" s="238"/>
      <c r="Q431" s="239"/>
      <c r="S431" s="36"/>
      <c r="T431" s="36"/>
      <c r="X431"/>
    </row>
    <row r="432" spans="1:24">
      <c r="A432" s="231"/>
      <c r="B432" s="231"/>
      <c r="C432" s="231"/>
      <c r="D432" s="231"/>
      <c r="E432" s="231"/>
      <c r="F432" s="231"/>
      <c r="G432" s="122"/>
      <c r="H432" s="122"/>
      <c r="I432" s="282"/>
      <c r="J432" s="232"/>
      <c r="K432" s="233"/>
      <c r="L432" s="234"/>
      <c r="M432" s="235"/>
      <c r="N432" s="236"/>
      <c r="O432" s="237"/>
      <c r="P432" s="238"/>
      <c r="Q432" s="239"/>
      <c r="S432" s="36"/>
      <c r="T432" s="36"/>
      <c r="X432"/>
    </row>
    <row r="433" spans="1:24">
      <c r="A433" s="231"/>
      <c r="B433" s="231"/>
      <c r="C433" s="231"/>
      <c r="D433" s="231"/>
      <c r="E433" s="231"/>
      <c r="F433" s="231"/>
      <c r="G433" s="122"/>
      <c r="H433" s="122"/>
      <c r="I433" s="282"/>
      <c r="J433" s="232"/>
      <c r="K433" s="233"/>
      <c r="L433" s="234"/>
      <c r="M433" s="235"/>
      <c r="N433" s="236"/>
      <c r="O433" s="237"/>
      <c r="P433" s="238"/>
      <c r="Q433" s="239"/>
      <c r="S433" s="36"/>
      <c r="T433" s="36"/>
      <c r="X433"/>
    </row>
    <row r="434" spans="1:24">
      <c r="A434" s="231"/>
      <c r="B434" s="231"/>
      <c r="C434" s="231"/>
      <c r="D434" s="231"/>
      <c r="E434" s="231"/>
      <c r="F434" s="231"/>
      <c r="G434" s="122"/>
      <c r="H434" s="122"/>
      <c r="I434" s="282"/>
      <c r="J434" s="232"/>
      <c r="K434" s="233"/>
      <c r="L434" s="234"/>
      <c r="M434" s="235"/>
      <c r="N434" s="236"/>
      <c r="O434" s="237"/>
      <c r="P434" s="238"/>
      <c r="Q434" s="239"/>
      <c r="S434" s="36"/>
      <c r="T434" s="36"/>
      <c r="X434"/>
    </row>
    <row r="435" spans="1:24">
      <c r="A435" s="231"/>
      <c r="B435" s="231"/>
      <c r="C435" s="231"/>
      <c r="D435" s="231"/>
      <c r="E435" s="231"/>
      <c r="F435" s="231"/>
      <c r="G435" s="122"/>
      <c r="H435" s="122"/>
      <c r="I435" s="282"/>
      <c r="J435" s="232"/>
      <c r="K435" s="233"/>
      <c r="L435" s="234"/>
      <c r="M435" s="235"/>
      <c r="N435" s="236"/>
      <c r="O435" s="237"/>
      <c r="P435" s="238"/>
      <c r="Q435" s="239"/>
      <c r="S435" s="36"/>
      <c r="T435" s="36"/>
      <c r="X435"/>
    </row>
    <row r="436" spans="1:24">
      <c r="A436" s="231"/>
      <c r="B436" s="231"/>
      <c r="C436" s="231"/>
      <c r="D436" s="231"/>
      <c r="E436" s="231"/>
      <c r="F436" s="231"/>
      <c r="G436" s="122"/>
      <c r="H436" s="122"/>
      <c r="I436" s="282"/>
      <c r="J436" s="232"/>
      <c r="K436" s="233"/>
      <c r="L436" s="234"/>
      <c r="M436" s="235"/>
      <c r="N436" s="236"/>
      <c r="O436" s="237"/>
      <c r="P436" s="238"/>
      <c r="Q436" s="239"/>
      <c r="S436" s="36"/>
      <c r="T436" s="36"/>
      <c r="X436"/>
    </row>
    <row r="437" spans="1:24">
      <c r="A437" s="231"/>
      <c r="B437" s="231"/>
      <c r="C437" s="231"/>
      <c r="D437" s="231"/>
      <c r="E437" s="231"/>
      <c r="F437" s="231"/>
      <c r="G437" s="122"/>
      <c r="H437" s="122"/>
      <c r="I437" s="282"/>
      <c r="J437" s="232"/>
      <c r="K437" s="233"/>
      <c r="L437" s="234"/>
      <c r="M437" s="235"/>
      <c r="N437" s="236"/>
      <c r="O437" s="237"/>
      <c r="P437" s="238"/>
      <c r="Q437" s="239"/>
      <c r="S437" s="36"/>
      <c r="T437" s="36"/>
      <c r="X437"/>
    </row>
    <row r="438" spans="1:24">
      <c r="A438" s="231"/>
      <c r="B438" s="231"/>
      <c r="C438" s="231"/>
      <c r="D438" s="231"/>
      <c r="E438" s="231"/>
      <c r="F438" s="231"/>
      <c r="G438" s="122"/>
      <c r="H438" s="122"/>
      <c r="I438" s="282"/>
      <c r="J438" s="232"/>
      <c r="K438" s="233"/>
      <c r="L438" s="234"/>
      <c r="M438" s="235"/>
      <c r="N438" s="236"/>
      <c r="O438" s="237"/>
      <c r="P438" s="238"/>
      <c r="Q438" s="239"/>
      <c r="S438" s="36"/>
      <c r="T438" s="36"/>
      <c r="X438"/>
    </row>
    <row r="439" spans="1:24">
      <c r="A439" s="231"/>
      <c r="B439" s="231"/>
      <c r="C439" s="231"/>
      <c r="D439" s="231"/>
      <c r="E439" s="231"/>
      <c r="F439" s="231"/>
      <c r="G439" s="122"/>
      <c r="H439" s="122"/>
      <c r="I439" s="282"/>
      <c r="J439" s="232"/>
      <c r="K439" s="233"/>
      <c r="L439" s="234"/>
      <c r="M439" s="235"/>
      <c r="N439" s="236"/>
      <c r="O439" s="237"/>
      <c r="P439" s="238"/>
      <c r="Q439" s="239"/>
      <c r="S439" s="36"/>
      <c r="T439" s="36"/>
      <c r="X439"/>
    </row>
    <row r="440" spans="1:24">
      <c r="A440" s="231"/>
      <c r="B440" s="231"/>
      <c r="C440" s="231"/>
      <c r="D440" s="231"/>
      <c r="E440" s="231"/>
      <c r="F440" s="231"/>
      <c r="G440" s="122"/>
      <c r="H440" s="122"/>
      <c r="I440" s="282"/>
      <c r="J440" s="232"/>
      <c r="K440" s="233"/>
      <c r="L440" s="234"/>
      <c r="M440" s="235"/>
      <c r="N440" s="236"/>
      <c r="O440" s="237"/>
      <c r="P440" s="238"/>
      <c r="Q440" s="239"/>
      <c r="S440" s="36"/>
      <c r="T440" s="36"/>
      <c r="X440"/>
    </row>
    <row r="441" spans="1:24">
      <c r="A441" s="231"/>
      <c r="B441" s="231"/>
      <c r="C441" s="231"/>
      <c r="D441" s="231"/>
      <c r="E441" s="231"/>
      <c r="F441" s="231"/>
      <c r="G441" s="122"/>
      <c r="H441" s="122"/>
      <c r="I441" s="282"/>
      <c r="J441" s="232"/>
      <c r="K441" s="233"/>
      <c r="L441" s="234"/>
      <c r="M441" s="235"/>
      <c r="N441" s="236"/>
      <c r="O441" s="237"/>
      <c r="P441" s="238"/>
      <c r="Q441" s="239"/>
      <c r="S441" s="36"/>
      <c r="T441" s="36"/>
      <c r="X441"/>
    </row>
    <row r="442" spans="1:24">
      <c r="A442" s="231"/>
      <c r="B442" s="231"/>
      <c r="C442" s="231"/>
      <c r="D442" s="231"/>
      <c r="E442" s="231"/>
      <c r="F442" s="231"/>
      <c r="G442" s="122"/>
      <c r="H442" s="122"/>
      <c r="I442" s="282"/>
      <c r="J442" s="232"/>
      <c r="K442" s="233"/>
      <c r="L442" s="234"/>
      <c r="M442" s="235"/>
      <c r="N442" s="236"/>
      <c r="O442" s="237"/>
      <c r="P442" s="238"/>
      <c r="Q442" s="239"/>
      <c r="S442" s="36"/>
      <c r="T442" s="36"/>
      <c r="X442"/>
    </row>
    <row r="443" spans="1:24">
      <c r="A443" s="231"/>
      <c r="B443" s="231"/>
      <c r="C443" s="231"/>
      <c r="D443" s="231"/>
      <c r="E443" s="231"/>
      <c r="F443" s="231"/>
      <c r="G443" s="122"/>
      <c r="H443" s="122"/>
      <c r="I443" s="282"/>
      <c r="J443" s="232"/>
      <c r="K443" s="233"/>
      <c r="L443" s="234"/>
      <c r="M443" s="235"/>
      <c r="N443" s="236"/>
      <c r="O443" s="237"/>
      <c r="P443" s="238"/>
      <c r="Q443" s="239"/>
      <c r="S443" s="36"/>
      <c r="T443" s="36"/>
      <c r="X443"/>
    </row>
    <row r="444" spans="1:24">
      <c r="A444" s="231"/>
      <c r="B444" s="231"/>
      <c r="C444" s="231"/>
      <c r="D444" s="231"/>
      <c r="E444" s="231"/>
      <c r="F444" s="231"/>
      <c r="G444" s="122"/>
      <c r="H444" s="122"/>
      <c r="I444" s="282"/>
      <c r="J444" s="232"/>
      <c r="K444" s="233"/>
      <c r="L444" s="234"/>
      <c r="M444" s="235"/>
      <c r="N444" s="236"/>
      <c r="O444" s="237"/>
      <c r="P444" s="238"/>
      <c r="Q444" s="239"/>
      <c r="S444" s="36"/>
      <c r="T444" s="36"/>
      <c r="X444"/>
    </row>
    <row r="445" spans="1:24">
      <c r="A445" s="231"/>
      <c r="B445" s="231"/>
      <c r="C445" s="231"/>
      <c r="D445" s="231"/>
      <c r="E445" s="231"/>
      <c r="F445" s="231"/>
      <c r="G445" s="122"/>
      <c r="H445" s="122"/>
      <c r="I445" s="282"/>
      <c r="J445" s="232"/>
      <c r="K445" s="233"/>
      <c r="L445" s="234"/>
      <c r="M445" s="235"/>
      <c r="N445" s="236"/>
      <c r="O445" s="237"/>
      <c r="P445" s="238"/>
      <c r="Q445" s="239"/>
      <c r="S445" s="36"/>
      <c r="T445" s="36"/>
      <c r="X445"/>
    </row>
    <row r="446" spans="1:24">
      <c r="A446" s="231"/>
      <c r="B446" s="231"/>
      <c r="C446" s="231"/>
      <c r="D446" s="231"/>
      <c r="E446" s="231"/>
      <c r="F446" s="231"/>
      <c r="G446" s="122"/>
      <c r="H446" s="122"/>
      <c r="I446" s="282"/>
      <c r="J446" s="232"/>
      <c r="K446" s="233"/>
      <c r="L446" s="234"/>
      <c r="M446" s="235"/>
      <c r="N446" s="236"/>
      <c r="O446" s="237"/>
      <c r="P446" s="238"/>
      <c r="Q446" s="239"/>
      <c r="S446" s="36"/>
      <c r="T446" s="36"/>
      <c r="X446"/>
    </row>
    <row r="447" spans="1:24">
      <c r="A447" s="231"/>
      <c r="B447" s="231"/>
      <c r="C447" s="231"/>
      <c r="D447" s="231"/>
      <c r="E447" s="231"/>
      <c r="F447" s="231"/>
      <c r="G447" s="122"/>
      <c r="H447" s="122"/>
      <c r="I447" s="282"/>
      <c r="J447" s="232"/>
      <c r="K447" s="233"/>
      <c r="L447" s="234"/>
      <c r="M447" s="235"/>
      <c r="N447" s="236"/>
      <c r="O447" s="237"/>
      <c r="P447" s="238"/>
      <c r="Q447" s="239"/>
      <c r="S447" s="36"/>
      <c r="T447" s="36"/>
      <c r="X447"/>
    </row>
    <row r="448" spans="1:24">
      <c r="A448" s="231"/>
      <c r="B448" s="231"/>
      <c r="C448" s="231"/>
      <c r="D448" s="231"/>
      <c r="E448" s="231"/>
      <c r="F448" s="231"/>
      <c r="G448" s="122"/>
      <c r="H448" s="122"/>
      <c r="I448" s="282"/>
      <c r="J448" s="232"/>
      <c r="K448" s="233"/>
      <c r="L448" s="234"/>
      <c r="M448" s="235"/>
      <c r="N448" s="236"/>
      <c r="O448" s="237"/>
      <c r="P448" s="238"/>
      <c r="Q448" s="239"/>
      <c r="S448" s="36"/>
      <c r="T448" s="36"/>
      <c r="X448"/>
    </row>
    <row r="449" spans="1:24">
      <c r="A449" s="231"/>
      <c r="B449" s="231"/>
      <c r="C449" s="231"/>
      <c r="D449" s="231"/>
      <c r="E449" s="231"/>
      <c r="F449" s="231"/>
      <c r="G449" s="122"/>
      <c r="H449" s="122"/>
      <c r="I449" s="282"/>
      <c r="J449" s="232"/>
      <c r="K449" s="233"/>
      <c r="L449" s="234"/>
      <c r="M449" s="235"/>
      <c r="N449" s="236"/>
      <c r="O449" s="237"/>
      <c r="P449" s="238"/>
      <c r="Q449" s="239"/>
      <c r="S449" s="36"/>
      <c r="T449" s="36"/>
      <c r="X449"/>
    </row>
    <row r="450" spans="1:24">
      <c r="A450" s="231"/>
      <c r="B450" s="231"/>
      <c r="C450" s="231"/>
      <c r="D450" s="231"/>
      <c r="E450" s="231"/>
      <c r="F450" s="231"/>
      <c r="G450" s="122"/>
      <c r="H450" s="122"/>
      <c r="I450" s="282"/>
      <c r="J450" s="232"/>
      <c r="K450" s="233"/>
      <c r="L450" s="234"/>
      <c r="M450" s="235"/>
      <c r="N450" s="236"/>
      <c r="O450" s="237"/>
      <c r="P450" s="238"/>
      <c r="Q450" s="239"/>
      <c r="S450" s="36"/>
      <c r="T450" s="36"/>
      <c r="X450"/>
    </row>
    <row r="451" spans="1:24">
      <c r="A451" s="231"/>
      <c r="B451" s="231"/>
      <c r="C451" s="231"/>
      <c r="D451" s="231"/>
      <c r="E451" s="231"/>
      <c r="F451" s="231"/>
      <c r="G451" s="122"/>
      <c r="H451" s="122"/>
      <c r="I451" s="282"/>
      <c r="J451" s="232"/>
      <c r="K451" s="233"/>
      <c r="L451" s="234"/>
      <c r="M451" s="235"/>
      <c r="N451" s="236"/>
      <c r="O451" s="237"/>
      <c r="P451" s="238"/>
      <c r="Q451" s="239"/>
      <c r="S451" s="36"/>
      <c r="T451" s="36"/>
      <c r="X451"/>
    </row>
    <row r="452" spans="1:24">
      <c r="A452" s="231"/>
      <c r="B452" s="231"/>
      <c r="C452" s="231"/>
      <c r="D452" s="231"/>
      <c r="E452" s="231"/>
      <c r="F452" s="231"/>
      <c r="G452" s="122"/>
      <c r="H452" s="122"/>
      <c r="I452" s="282"/>
      <c r="J452" s="232"/>
      <c r="K452" s="233"/>
      <c r="L452" s="234"/>
      <c r="M452" s="235"/>
      <c r="N452" s="236"/>
      <c r="O452" s="237"/>
      <c r="P452" s="238"/>
      <c r="Q452" s="239"/>
      <c r="S452" s="36"/>
      <c r="T452" s="36"/>
      <c r="X452"/>
    </row>
    <row r="453" spans="1:24">
      <c r="A453" s="231"/>
      <c r="B453" s="231"/>
      <c r="C453" s="231"/>
      <c r="D453" s="231"/>
      <c r="E453" s="231"/>
      <c r="F453" s="231"/>
      <c r="G453" s="122"/>
      <c r="H453" s="122"/>
      <c r="I453" s="282"/>
      <c r="J453" s="232"/>
      <c r="K453" s="233"/>
      <c r="L453" s="234"/>
      <c r="M453" s="235"/>
      <c r="N453" s="236"/>
      <c r="O453" s="237"/>
      <c r="P453" s="238"/>
      <c r="Q453" s="239"/>
      <c r="S453" s="36"/>
      <c r="T453" s="36"/>
      <c r="X453"/>
    </row>
    <row r="454" spans="1:24">
      <c r="A454" s="231"/>
      <c r="B454" s="231"/>
      <c r="C454" s="231"/>
      <c r="D454" s="231"/>
      <c r="E454" s="231"/>
      <c r="F454" s="231"/>
      <c r="G454" s="122"/>
      <c r="H454" s="122"/>
      <c r="I454" s="282"/>
      <c r="J454" s="232"/>
      <c r="K454" s="233"/>
      <c r="L454" s="234"/>
      <c r="M454" s="235"/>
      <c r="N454" s="236"/>
      <c r="O454" s="237"/>
      <c r="P454" s="238"/>
      <c r="Q454" s="239"/>
      <c r="S454" s="36"/>
      <c r="T454" s="36"/>
      <c r="X454"/>
    </row>
    <row r="455" spans="1:24">
      <c r="A455" s="231"/>
      <c r="B455" s="231"/>
      <c r="C455" s="231"/>
      <c r="D455" s="231"/>
      <c r="E455" s="231"/>
      <c r="F455" s="231"/>
      <c r="G455" s="122"/>
      <c r="H455" s="122"/>
      <c r="I455" s="282"/>
      <c r="J455" s="232"/>
      <c r="K455" s="233"/>
      <c r="L455" s="234"/>
      <c r="M455" s="235"/>
      <c r="N455" s="236"/>
      <c r="O455" s="237"/>
      <c r="P455" s="238"/>
      <c r="Q455" s="239"/>
      <c r="S455" s="36"/>
      <c r="T455" s="36"/>
      <c r="X455"/>
    </row>
    <row r="456" spans="1:24">
      <c r="A456" s="231"/>
      <c r="B456" s="231"/>
      <c r="C456" s="231"/>
      <c r="D456" s="231"/>
      <c r="E456" s="231"/>
      <c r="F456" s="231"/>
      <c r="G456" s="122"/>
      <c r="H456" s="122"/>
      <c r="I456" s="282"/>
      <c r="J456" s="232"/>
      <c r="K456" s="233"/>
      <c r="L456" s="234"/>
      <c r="M456" s="235"/>
      <c r="N456" s="236"/>
      <c r="O456" s="237"/>
      <c r="P456" s="238"/>
      <c r="Q456" s="239"/>
      <c r="S456" s="36"/>
      <c r="T456" s="36"/>
      <c r="X456"/>
    </row>
    <row r="457" spans="1:24">
      <c r="A457" s="231"/>
      <c r="B457" s="231"/>
      <c r="C457" s="231"/>
      <c r="D457" s="231"/>
      <c r="E457" s="231"/>
      <c r="F457" s="231"/>
      <c r="G457" s="122"/>
      <c r="H457" s="122"/>
      <c r="I457" s="282"/>
      <c r="J457" s="232"/>
      <c r="K457" s="233"/>
      <c r="L457" s="234"/>
      <c r="M457" s="235"/>
      <c r="N457" s="236"/>
      <c r="O457" s="237"/>
      <c r="P457" s="238"/>
      <c r="Q457" s="239"/>
      <c r="S457" s="36"/>
      <c r="T457" s="36"/>
      <c r="X457"/>
    </row>
    <row r="458" spans="1:24">
      <c r="A458" s="231"/>
      <c r="B458" s="231"/>
      <c r="C458" s="231"/>
      <c r="D458" s="231"/>
      <c r="E458" s="231"/>
      <c r="F458" s="231"/>
      <c r="G458" s="122"/>
      <c r="H458" s="122"/>
      <c r="I458" s="282"/>
      <c r="J458" s="232"/>
      <c r="K458" s="233"/>
      <c r="L458" s="234"/>
      <c r="M458" s="235"/>
      <c r="N458" s="236"/>
      <c r="O458" s="237"/>
      <c r="P458" s="238"/>
      <c r="Q458" s="239"/>
      <c r="S458" s="36"/>
      <c r="T458" s="36"/>
      <c r="X458"/>
    </row>
    <row r="459" spans="1:24">
      <c r="A459" s="231"/>
      <c r="B459" s="231"/>
      <c r="C459" s="231"/>
      <c r="D459" s="231"/>
      <c r="E459" s="231"/>
      <c r="F459" s="231"/>
      <c r="G459" s="122"/>
      <c r="H459" s="122"/>
      <c r="I459" s="282"/>
      <c r="J459" s="232"/>
      <c r="K459" s="233"/>
      <c r="L459" s="234"/>
      <c r="M459" s="235"/>
      <c r="N459" s="236"/>
      <c r="O459" s="237"/>
      <c r="P459" s="238"/>
      <c r="Q459" s="239"/>
      <c r="S459" s="36"/>
      <c r="T459" s="36"/>
      <c r="X459"/>
    </row>
    <row r="460" spans="1:24">
      <c r="A460" s="231"/>
      <c r="B460" s="231"/>
      <c r="C460" s="231"/>
      <c r="D460" s="231"/>
      <c r="E460" s="231"/>
      <c r="F460" s="231"/>
      <c r="G460" s="122"/>
      <c r="H460" s="122"/>
      <c r="I460" s="282"/>
      <c r="J460" s="232"/>
      <c r="K460" s="233"/>
      <c r="L460" s="234"/>
      <c r="M460" s="235"/>
      <c r="N460" s="236"/>
      <c r="O460" s="237"/>
      <c r="P460" s="238"/>
      <c r="Q460" s="239"/>
      <c r="S460" s="36"/>
      <c r="T460" s="36"/>
      <c r="X460"/>
    </row>
    <row r="461" spans="1:24">
      <c r="A461" s="231"/>
      <c r="B461" s="231"/>
      <c r="C461" s="231"/>
      <c r="D461" s="231"/>
      <c r="E461" s="231"/>
      <c r="F461" s="231"/>
      <c r="G461" s="122"/>
      <c r="H461" s="122"/>
      <c r="I461" s="282"/>
      <c r="J461" s="232"/>
      <c r="K461" s="233"/>
      <c r="L461" s="234"/>
      <c r="M461" s="235"/>
      <c r="N461" s="236"/>
      <c r="O461" s="237"/>
      <c r="P461" s="238"/>
      <c r="Q461" s="239"/>
      <c r="S461" s="36"/>
      <c r="T461" s="36"/>
      <c r="X461"/>
    </row>
    <row r="462" spans="1:24">
      <c r="A462" s="231"/>
      <c r="B462" s="231"/>
      <c r="C462" s="231"/>
      <c r="D462" s="231"/>
      <c r="E462" s="231"/>
      <c r="F462" s="231"/>
      <c r="G462" s="122"/>
      <c r="H462" s="122"/>
      <c r="I462" s="282"/>
      <c r="J462" s="232"/>
      <c r="K462" s="233"/>
      <c r="L462" s="234"/>
      <c r="M462" s="235"/>
      <c r="N462" s="236"/>
      <c r="O462" s="237"/>
      <c r="P462" s="238"/>
      <c r="Q462" s="239"/>
      <c r="S462" s="36"/>
      <c r="T462" s="36"/>
      <c r="X462"/>
    </row>
    <row r="463" spans="1:24">
      <c r="A463" s="231"/>
      <c r="B463" s="231"/>
      <c r="C463" s="231"/>
      <c r="D463" s="231"/>
      <c r="E463" s="231"/>
      <c r="F463" s="231"/>
      <c r="G463" s="122"/>
      <c r="H463" s="122"/>
      <c r="I463" s="282"/>
      <c r="J463" s="232"/>
      <c r="K463" s="233"/>
      <c r="L463" s="234"/>
      <c r="M463" s="235"/>
      <c r="N463" s="236"/>
      <c r="O463" s="237"/>
      <c r="P463" s="238"/>
      <c r="Q463" s="239"/>
      <c r="S463" s="36"/>
      <c r="T463" s="36"/>
      <c r="X463"/>
    </row>
    <row r="464" spans="1:24">
      <c r="A464" s="231"/>
      <c r="B464" s="231"/>
      <c r="C464" s="231"/>
      <c r="D464" s="231"/>
      <c r="E464" s="231"/>
      <c r="F464" s="231"/>
      <c r="G464" s="122"/>
      <c r="H464" s="122"/>
      <c r="I464" s="282"/>
      <c r="J464" s="232"/>
      <c r="K464" s="233"/>
      <c r="L464" s="234"/>
      <c r="M464" s="235"/>
      <c r="N464" s="236"/>
      <c r="O464" s="237"/>
      <c r="P464" s="238"/>
      <c r="Q464" s="239"/>
      <c r="S464" s="36"/>
      <c r="T464" s="36"/>
      <c r="X464"/>
    </row>
    <row r="465" spans="1:24">
      <c r="A465" s="231"/>
      <c r="B465" s="231"/>
      <c r="C465" s="231"/>
      <c r="D465" s="231"/>
      <c r="E465" s="231"/>
      <c r="F465" s="231"/>
      <c r="G465" s="122"/>
      <c r="H465" s="122"/>
      <c r="I465" s="282"/>
      <c r="J465" s="232"/>
      <c r="K465" s="233"/>
      <c r="L465" s="234"/>
      <c r="M465" s="235"/>
      <c r="N465" s="236"/>
      <c r="O465" s="237"/>
      <c r="P465" s="238"/>
      <c r="Q465" s="239"/>
      <c r="S465" s="36"/>
      <c r="T465" s="36"/>
      <c r="X465"/>
    </row>
    <row r="466" spans="1:24">
      <c r="A466" s="231"/>
      <c r="B466" s="231"/>
      <c r="C466" s="231"/>
      <c r="D466" s="231"/>
      <c r="E466" s="231"/>
      <c r="F466" s="231"/>
      <c r="G466" s="122"/>
      <c r="H466" s="122"/>
      <c r="I466" s="282"/>
      <c r="J466" s="232"/>
      <c r="K466" s="233"/>
      <c r="L466" s="234"/>
      <c r="M466" s="235"/>
      <c r="N466" s="236"/>
      <c r="O466" s="237"/>
      <c r="P466" s="238"/>
      <c r="Q466" s="239"/>
      <c r="S466" s="36"/>
      <c r="T466" s="36"/>
      <c r="X466"/>
    </row>
    <row r="467" spans="1:24">
      <c r="A467" s="231"/>
      <c r="B467" s="231"/>
      <c r="C467" s="231"/>
      <c r="D467" s="231"/>
      <c r="E467" s="231"/>
      <c r="F467" s="231"/>
      <c r="G467" s="122"/>
      <c r="H467" s="122"/>
      <c r="I467" s="282"/>
      <c r="J467" s="232"/>
      <c r="K467" s="233"/>
      <c r="L467" s="234"/>
      <c r="M467" s="235"/>
      <c r="N467" s="236"/>
      <c r="O467" s="237"/>
      <c r="P467" s="238"/>
      <c r="Q467" s="239"/>
      <c r="S467" s="36"/>
      <c r="T467" s="36"/>
      <c r="X467"/>
    </row>
    <row r="468" spans="1:24">
      <c r="A468" s="231"/>
      <c r="B468" s="231"/>
      <c r="C468" s="231"/>
      <c r="D468" s="231"/>
      <c r="E468" s="231"/>
      <c r="F468" s="231"/>
      <c r="G468" s="122"/>
      <c r="H468" s="122"/>
      <c r="I468" s="282"/>
      <c r="J468" s="232"/>
      <c r="K468" s="233"/>
      <c r="L468" s="234"/>
      <c r="M468" s="235"/>
      <c r="N468" s="236"/>
      <c r="O468" s="237"/>
      <c r="P468" s="238"/>
      <c r="Q468" s="239"/>
      <c r="S468" s="36"/>
      <c r="T468" s="36"/>
      <c r="X468"/>
    </row>
    <row r="469" spans="1:24">
      <c r="A469" s="231"/>
      <c r="B469" s="231"/>
      <c r="C469" s="231"/>
      <c r="D469" s="231"/>
      <c r="E469" s="231"/>
      <c r="F469" s="231"/>
      <c r="G469" s="122"/>
      <c r="H469" s="122"/>
      <c r="I469" s="282"/>
      <c r="J469" s="232"/>
      <c r="K469" s="233"/>
      <c r="L469" s="234"/>
      <c r="M469" s="235"/>
      <c r="N469" s="236"/>
      <c r="O469" s="237"/>
      <c r="P469" s="238"/>
      <c r="Q469" s="239"/>
      <c r="S469" s="36"/>
      <c r="T469" s="36"/>
      <c r="X469"/>
    </row>
    <row r="470" spans="1:24">
      <c r="A470" s="231"/>
      <c r="B470" s="231"/>
      <c r="C470" s="231"/>
      <c r="D470" s="231"/>
      <c r="E470" s="231"/>
      <c r="F470" s="231"/>
      <c r="G470" s="122"/>
      <c r="H470" s="122"/>
      <c r="I470" s="282"/>
      <c r="J470" s="232"/>
      <c r="K470" s="233"/>
      <c r="L470" s="234"/>
      <c r="M470" s="235"/>
      <c r="N470" s="236"/>
      <c r="O470" s="237"/>
      <c r="P470" s="238"/>
      <c r="Q470" s="239"/>
      <c r="S470" s="36"/>
      <c r="T470" s="36"/>
      <c r="X470"/>
    </row>
    <row r="471" spans="1:24">
      <c r="A471" s="231"/>
      <c r="B471" s="231"/>
      <c r="C471" s="231"/>
      <c r="D471" s="231"/>
      <c r="E471" s="231"/>
      <c r="F471" s="231"/>
      <c r="G471" s="122"/>
      <c r="H471" s="122"/>
      <c r="I471" s="282"/>
      <c r="J471" s="232"/>
      <c r="K471" s="233"/>
      <c r="L471" s="234"/>
      <c r="M471" s="235"/>
      <c r="N471" s="236"/>
      <c r="O471" s="237"/>
      <c r="P471" s="238"/>
      <c r="Q471" s="239"/>
      <c r="S471" s="36"/>
      <c r="T471" s="36"/>
      <c r="X471"/>
    </row>
    <row r="472" spans="1:24">
      <c r="A472" s="231"/>
      <c r="B472" s="231"/>
      <c r="C472" s="231"/>
      <c r="D472" s="231"/>
      <c r="E472" s="231"/>
      <c r="F472" s="231"/>
      <c r="G472" s="122"/>
      <c r="H472" s="122"/>
      <c r="I472" s="282"/>
      <c r="J472" s="232"/>
      <c r="K472" s="233"/>
      <c r="L472" s="234"/>
      <c r="M472" s="235"/>
      <c r="N472" s="236"/>
      <c r="O472" s="237"/>
      <c r="P472" s="238"/>
      <c r="Q472" s="239"/>
      <c r="S472" s="36"/>
      <c r="T472" s="36"/>
      <c r="X472"/>
    </row>
    <row r="473" spans="1:24">
      <c r="A473" s="231"/>
      <c r="B473" s="231"/>
      <c r="C473" s="231"/>
      <c r="D473" s="231"/>
      <c r="E473" s="231"/>
      <c r="F473" s="231"/>
      <c r="G473" s="122"/>
      <c r="H473" s="122"/>
      <c r="I473" s="282"/>
      <c r="J473" s="232"/>
      <c r="K473" s="233"/>
      <c r="L473" s="234"/>
      <c r="M473" s="235"/>
      <c r="N473" s="236"/>
      <c r="O473" s="237"/>
      <c r="P473" s="238"/>
      <c r="Q473" s="239"/>
      <c r="S473" s="36"/>
      <c r="T473" s="36"/>
      <c r="X473"/>
    </row>
    <row r="474" spans="1:24">
      <c r="A474" s="231"/>
      <c r="B474" s="231"/>
      <c r="C474" s="231"/>
      <c r="D474" s="231"/>
      <c r="E474" s="231"/>
      <c r="F474" s="231"/>
      <c r="G474" s="122"/>
      <c r="H474" s="122"/>
      <c r="I474" s="282"/>
      <c r="J474" s="232"/>
      <c r="K474" s="233"/>
      <c r="L474" s="234"/>
      <c r="M474" s="235"/>
      <c r="N474" s="236"/>
      <c r="O474" s="237"/>
      <c r="P474" s="238"/>
      <c r="Q474" s="239"/>
      <c r="S474" s="36"/>
      <c r="T474" s="36"/>
      <c r="X474"/>
    </row>
    <row r="475" spans="1:24">
      <c r="A475" s="231"/>
      <c r="B475" s="231"/>
      <c r="C475" s="231"/>
      <c r="D475" s="231"/>
      <c r="E475" s="231"/>
      <c r="F475" s="231"/>
      <c r="G475" s="122"/>
      <c r="H475" s="122"/>
      <c r="I475" s="282"/>
      <c r="J475" s="232"/>
      <c r="K475" s="233"/>
      <c r="L475" s="234"/>
      <c r="M475" s="235"/>
      <c r="N475" s="236"/>
      <c r="O475" s="237"/>
      <c r="P475" s="238"/>
      <c r="Q475" s="239"/>
      <c r="S475" s="36"/>
      <c r="T475" s="36"/>
      <c r="X475"/>
    </row>
    <row r="476" spans="1:24">
      <c r="A476" s="231"/>
      <c r="B476" s="231"/>
      <c r="C476" s="231"/>
      <c r="D476" s="231"/>
      <c r="E476" s="231"/>
      <c r="F476" s="231"/>
      <c r="G476" s="122"/>
      <c r="H476" s="122"/>
      <c r="I476" s="282"/>
      <c r="J476" s="232"/>
      <c r="K476" s="233"/>
      <c r="L476" s="234"/>
      <c r="M476" s="235"/>
      <c r="N476" s="236"/>
      <c r="O476" s="237"/>
      <c r="P476" s="238"/>
      <c r="Q476" s="239"/>
      <c r="S476" s="36"/>
      <c r="T476" s="36"/>
      <c r="X476"/>
    </row>
    <row r="477" spans="1:24">
      <c r="A477" s="231"/>
      <c r="B477" s="231"/>
      <c r="C477" s="231"/>
      <c r="D477" s="231"/>
      <c r="E477" s="231"/>
      <c r="F477" s="231"/>
      <c r="G477" s="122"/>
      <c r="H477" s="122"/>
      <c r="I477" s="282"/>
      <c r="J477" s="232"/>
      <c r="K477" s="233"/>
      <c r="L477" s="234"/>
      <c r="M477" s="235"/>
      <c r="N477" s="236"/>
      <c r="O477" s="237"/>
      <c r="P477" s="238"/>
      <c r="Q477" s="239"/>
      <c r="S477" s="36"/>
      <c r="T477" s="36"/>
      <c r="X477"/>
    </row>
    <row r="478" spans="1:24">
      <c r="A478" s="231"/>
      <c r="B478" s="231"/>
      <c r="C478" s="231"/>
      <c r="D478" s="231"/>
      <c r="E478" s="231"/>
      <c r="F478" s="231"/>
      <c r="G478" s="122"/>
      <c r="H478" s="122"/>
      <c r="I478" s="282"/>
      <c r="J478" s="232"/>
      <c r="K478" s="233"/>
      <c r="L478" s="234"/>
      <c r="M478" s="235"/>
      <c r="N478" s="236"/>
      <c r="O478" s="237"/>
      <c r="P478" s="238"/>
      <c r="Q478" s="239"/>
      <c r="S478" s="36"/>
      <c r="T478" s="36"/>
      <c r="X478"/>
    </row>
    <row r="479" spans="1:24">
      <c r="A479" s="231"/>
      <c r="B479" s="231"/>
      <c r="C479" s="231"/>
      <c r="D479" s="231"/>
      <c r="E479" s="231"/>
      <c r="F479" s="231"/>
      <c r="G479" s="122"/>
      <c r="H479" s="122"/>
      <c r="I479" s="282"/>
      <c r="J479" s="232"/>
      <c r="K479" s="233"/>
      <c r="L479" s="234"/>
      <c r="M479" s="235"/>
      <c r="N479" s="236"/>
      <c r="O479" s="237"/>
      <c r="P479" s="238"/>
      <c r="Q479" s="239"/>
      <c r="S479" s="36"/>
      <c r="T479" s="36"/>
      <c r="X479"/>
    </row>
    <row r="480" spans="1:24">
      <c r="A480" s="231"/>
      <c r="B480" s="231"/>
      <c r="C480" s="231"/>
      <c r="D480" s="231"/>
      <c r="E480" s="231"/>
      <c r="F480" s="231"/>
      <c r="G480" s="122"/>
      <c r="H480" s="122"/>
      <c r="I480" s="282"/>
      <c r="J480" s="232"/>
      <c r="K480" s="233"/>
      <c r="L480" s="234"/>
      <c r="M480" s="235"/>
      <c r="N480" s="236"/>
      <c r="O480" s="237"/>
      <c r="P480" s="238"/>
      <c r="Q480" s="239"/>
      <c r="S480" s="36"/>
      <c r="T480" s="36"/>
      <c r="X480"/>
    </row>
    <row r="481" spans="1:24">
      <c r="A481" s="231"/>
      <c r="B481" s="231"/>
      <c r="C481" s="231"/>
      <c r="D481" s="231"/>
      <c r="E481" s="231"/>
      <c r="F481" s="231"/>
      <c r="G481" s="122"/>
      <c r="H481" s="122"/>
      <c r="I481" s="282"/>
      <c r="J481" s="232"/>
      <c r="K481" s="233"/>
      <c r="L481" s="234"/>
      <c r="M481" s="235"/>
      <c r="N481" s="236"/>
      <c r="O481" s="237"/>
      <c r="P481" s="238"/>
      <c r="Q481" s="239"/>
      <c r="S481" s="36"/>
      <c r="T481" s="36"/>
      <c r="X481"/>
    </row>
    <row r="482" spans="1:24">
      <c r="A482" s="231"/>
      <c r="B482" s="231"/>
      <c r="C482" s="231"/>
      <c r="D482" s="231"/>
      <c r="E482" s="231"/>
      <c r="F482" s="231"/>
      <c r="G482" s="122"/>
      <c r="H482" s="122"/>
      <c r="I482" s="282"/>
      <c r="J482" s="232"/>
      <c r="K482" s="233"/>
      <c r="L482" s="234"/>
      <c r="M482" s="235"/>
      <c r="N482" s="236"/>
      <c r="O482" s="237"/>
      <c r="P482" s="238"/>
      <c r="Q482" s="239"/>
      <c r="S482" s="36"/>
      <c r="T482" s="36"/>
      <c r="X482"/>
    </row>
    <row r="483" spans="1:24">
      <c r="A483" s="231"/>
      <c r="B483" s="231"/>
      <c r="C483" s="231"/>
      <c r="D483" s="231"/>
      <c r="E483" s="231"/>
      <c r="F483" s="231"/>
      <c r="G483" s="122"/>
      <c r="H483" s="122"/>
      <c r="I483" s="282"/>
      <c r="J483" s="232"/>
      <c r="K483" s="233"/>
      <c r="L483" s="234"/>
      <c r="M483" s="235"/>
      <c r="N483" s="236"/>
      <c r="O483" s="237"/>
      <c r="P483" s="238"/>
      <c r="Q483" s="239"/>
      <c r="S483" s="36"/>
      <c r="T483" s="36"/>
      <c r="X483"/>
    </row>
    <row r="484" spans="1:24">
      <c r="A484" s="231"/>
      <c r="B484" s="231"/>
      <c r="C484" s="231"/>
      <c r="D484" s="231"/>
      <c r="E484" s="231"/>
      <c r="F484" s="231"/>
      <c r="G484" s="122"/>
      <c r="H484" s="122"/>
      <c r="I484" s="282"/>
      <c r="J484" s="232"/>
      <c r="K484" s="233"/>
      <c r="L484" s="234"/>
      <c r="M484" s="235"/>
      <c r="N484" s="236"/>
      <c r="O484" s="237"/>
      <c r="P484" s="238"/>
      <c r="Q484" s="239"/>
      <c r="S484" s="36"/>
      <c r="T484" s="36"/>
      <c r="X484"/>
    </row>
    <row r="485" spans="1:24">
      <c r="A485" s="231"/>
      <c r="B485" s="231"/>
      <c r="C485" s="231"/>
      <c r="D485" s="231"/>
      <c r="E485" s="231"/>
      <c r="F485" s="231"/>
      <c r="G485" s="122"/>
      <c r="H485" s="122"/>
      <c r="I485" s="282"/>
      <c r="J485" s="232"/>
      <c r="K485" s="233"/>
      <c r="L485" s="234"/>
      <c r="M485" s="235"/>
      <c r="N485" s="236"/>
      <c r="O485" s="237"/>
      <c r="P485" s="238"/>
      <c r="Q485" s="239"/>
      <c r="S485" s="36"/>
      <c r="T485" s="36"/>
      <c r="X485"/>
    </row>
    <row r="486" spans="1:24">
      <c r="A486" s="231"/>
      <c r="B486" s="231"/>
      <c r="C486" s="231"/>
      <c r="D486" s="231"/>
      <c r="E486" s="231"/>
      <c r="F486" s="231"/>
      <c r="G486" s="122"/>
      <c r="H486" s="122"/>
      <c r="I486" s="282"/>
      <c r="J486" s="232"/>
      <c r="K486" s="233"/>
      <c r="L486" s="234"/>
      <c r="M486" s="235"/>
      <c r="N486" s="236"/>
      <c r="O486" s="237"/>
      <c r="P486" s="238"/>
      <c r="Q486" s="239"/>
      <c r="S486" s="36"/>
      <c r="T486" s="36"/>
      <c r="X486"/>
    </row>
    <row r="487" spans="1:24">
      <c r="A487" s="231"/>
      <c r="B487" s="231"/>
      <c r="C487" s="231"/>
      <c r="D487" s="231"/>
      <c r="E487" s="231"/>
      <c r="F487" s="231"/>
      <c r="G487" s="122"/>
      <c r="H487" s="122"/>
      <c r="I487" s="282"/>
      <c r="J487" s="232"/>
      <c r="K487" s="233"/>
      <c r="L487" s="234"/>
      <c r="M487" s="235"/>
      <c r="N487" s="236"/>
      <c r="O487" s="237"/>
      <c r="P487" s="238"/>
      <c r="Q487" s="239"/>
      <c r="S487" s="36"/>
      <c r="T487" s="36"/>
      <c r="X487"/>
    </row>
    <row r="488" spans="1:24">
      <c r="A488" s="231"/>
      <c r="B488" s="231"/>
      <c r="C488" s="231"/>
      <c r="D488" s="231"/>
      <c r="E488" s="231"/>
      <c r="F488" s="231"/>
      <c r="G488" s="122"/>
      <c r="H488" s="122"/>
      <c r="I488" s="282"/>
      <c r="J488" s="232"/>
      <c r="K488" s="233"/>
      <c r="L488" s="234"/>
      <c r="M488" s="235"/>
      <c r="N488" s="236"/>
      <c r="O488" s="237"/>
      <c r="P488" s="238"/>
      <c r="Q488" s="239"/>
      <c r="S488" s="36"/>
      <c r="T488" s="36"/>
      <c r="X488"/>
    </row>
    <row r="489" spans="1:24">
      <c r="A489" s="231"/>
      <c r="B489" s="231"/>
      <c r="C489" s="231"/>
      <c r="D489" s="231"/>
      <c r="E489" s="231"/>
      <c r="F489" s="231"/>
      <c r="G489" s="122"/>
      <c r="H489" s="122"/>
      <c r="I489" s="282"/>
      <c r="J489" s="232"/>
      <c r="K489" s="233"/>
      <c r="L489" s="234"/>
      <c r="M489" s="235"/>
      <c r="N489" s="236"/>
      <c r="O489" s="237"/>
      <c r="P489" s="238"/>
      <c r="Q489" s="239"/>
      <c r="S489" s="36"/>
      <c r="T489" s="36"/>
      <c r="X489"/>
    </row>
    <row r="490" spans="1:24">
      <c r="A490" s="231"/>
      <c r="B490" s="231"/>
      <c r="C490" s="231"/>
      <c r="D490" s="231"/>
      <c r="E490" s="231"/>
      <c r="F490" s="231"/>
      <c r="G490" s="122"/>
      <c r="H490" s="122"/>
      <c r="I490" s="282"/>
      <c r="J490" s="232"/>
      <c r="K490" s="233"/>
      <c r="L490" s="234"/>
      <c r="M490" s="235"/>
      <c r="N490" s="236"/>
      <c r="O490" s="237"/>
      <c r="P490" s="238"/>
      <c r="Q490" s="239"/>
      <c r="S490" s="36"/>
      <c r="T490" s="36"/>
      <c r="X490"/>
    </row>
    <row r="491" spans="1:24">
      <c r="A491" s="231"/>
      <c r="B491" s="231"/>
      <c r="C491" s="231"/>
      <c r="D491" s="231"/>
      <c r="E491" s="231"/>
      <c r="F491" s="231"/>
      <c r="G491" s="122"/>
      <c r="H491" s="122"/>
      <c r="I491" s="282"/>
      <c r="J491" s="232"/>
      <c r="K491" s="233"/>
      <c r="L491" s="234"/>
      <c r="M491" s="235"/>
      <c r="N491" s="236"/>
      <c r="O491" s="237"/>
      <c r="P491" s="238"/>
      <c r="Q491" s="239"/>
      <c r="S491" s="36"/>
      <c r="T491" s="36"/>
      <c r="X491"/>
    </row>
    <row r="492" spans="1:24">
      <c r="A492" s="231"/>
      <c r="B492" s="231"/>
      <c r="C492" s="231"/>
      <c r="D492" s="231"/>
      <c r="E492" s="231"/>
      <c r="F492" s="231"/>
      <c r="G492" s="122"/>
      <c r="H492" s="122"/>
      <c r="I492" s="282"/>
      <c r="J492" s="232"/>
      <c r="K492" s="233"/>
      <c r="L492" s="234"/>
      <c r="M492" s="235"/>
      <c r="N492" s="236"/>
      <c r="O492" s="237"/>
      <c r="P492" s="238"/>
      <c r="Q492" s="239"/>
      <c r="S492" s="36"/>
      <c r="T492" s="36"/>
      <c r="X492"/>
    </row>
    <row r="493" spans="1:24">
      <c r="A493" s="231"/>
      <c r="B493" s="231"/>
      <c r="C493" s="231"/>
      <c r="D493" s="231"/>
      <c r="E493" s="231"/>
      <c r="F493" s="231"/>
      <c r="G493" s="122"/>
      <c r="H493" s="122"/>
      <c r="I493" s="282"/>
      <c r="J493" s="232"/>
      <c r="K493" s="233"/>
      <c r="L493" s="234"/>
      <c r="M493" s="235"/>
      <c r="N493" s="236"/>
      <c r="O493" s="237"/>
      <c r="P493" s="238"/>
      <c r="Q493" s="239"/>
      <c r="S493" s="36"/>
      <c r="T493" s="36"/>
      <c r="X493"/>
    </row>
    <row r="494" spans="1:24">
      <c r="A494" s="231"/>
      <c r="B494" s="231"/>
      <c r="C494" s="231"/>
      <c r="D494" s="231"/>
      <c r="E494" s="231"/>
      <c r="F494" s="231"/>
      <c r="G494" s="122"/>
      <c r="H494" s="122"/>
      <c r="I494" s="282"/>
      <c r="J494" s="232"/>
      <c r="K494" s="233"/>
      <c r="L494" s="234"/>
      <c r="M494" s="235"/>
      <c r="N494" s="236"/>
      <c r="O494" s="237"/>
      <c r="P494" s="238"/>
      <c r="Q494" s="239"/>
      <c r="S494" s="36"/>
      <c r="T494" s="36"/>
      <c r="X494"/>
    </row>
    <row r="495" spans="1:24">
      <c r="A495" s="231"/>
      <c r="B495" s="231"/>
      <c r="C495" s="231"/>
      <c r="D495" s="231"/>
      <c r="E495" s="231"/>
      <c r="F495" s="231"/>
      <c r="G495" s="122"/>
      <c r="H495" s="122"/>
      <c r="I495" s="282"/>
      <c r="J495" s="232"/>
      <c r="K495" s="233"/>
      <c r="L495" s="234"/>
      <c r="M495" s="235"/>
      <c r="N495" s="236"/>
      <c r="O495" s="237"/>
      <c r="P495" s="238"/>
      <c r="Q495" s="239"/>
      <c r="S495" s="36"/>
      <c r="T495" s="36"/>
      <c r="X495"/>
    </row>
    <row r="496" spans="1:24">
      <c r="A496" s="231"/>
      <c r="B496" s="231"/>
      <c r="C496" s="231"/>
      <c r="D496" s="231"/>
      <c r="E496" s="231"/>
      <c r="F496" s="231"/>
      <c r="G496" s="122"/>
      <c r="H496" s="122"/>
      <c r="I496" s="282"/>
      <c r="J496" s="232"/>
      <c r="K496" s="233"/>
      <c r="L496" s="234"/>
      <c r="M496" s="235"/>
      <c r="N496" s="236"/>
      <c r="O496" s="237"/>
      <c r="P496" s="238"/>
      <c r="Q496" s="239"/>
      <c r="S496" s="36"/>
      <c r="T496" s="36"/>
      <c r="X496"/>
    </row>
    <row r="497" spans="1:24">
      <c r="A497" s="231"/>
      <c r="B497" s="231"/>
      <c r="C497" s="231"/>
      <c r="D497" s="231"/>
      <c r="E497" s="231"/>
      <c r="F497" s="231"/>
      <c r="G497" s="122"/>
      <c r="H497" s="122"/>
      <c r="I497" s="282"/>
      <c r="J497" s="232"/>
      <c r="K497" s="233"/>
      <c r="L497" s="234"/>
      <c r="M497" s="235"/>
      <c r="N497" s="236"/>
      <c r="O497" s="237"/>
      <c r="P497" s="238"/>
      <c r="Q497" s="239"/>
      <c r="S497" s="36"/>
      <c r="T497" s="36"/>
      <c r="X497"/>
    </row>
    <row r="498" spans="1:24">
      <c r="A498" s="231"/>
      <c r="B498" s="231"/>
      <c r="C498" s="231"/>
      <c r="D498" s="231"/>
      <c r="E498" s="231"/>
      <c r="F498" s="231"/>
      <c r="G498" s="122"/>
      <c r="H498" s="122"/>
      <c r="I498" s="282"/>
      <c r="J498" s="232"/>
      <c r="K498" s="233"/>
      <c r="L498" s="234"/>
      <c r="M498" s="235"/>
      <c r="N498" s="236"/>
      <c r="O498" s="237"/>
      <c r="P498" s="238"/>
      <c r="Q498" s="239"/>
      <c r="S498" s="36"/>
      <c r="T498" s="36"/>
      <c r="X498"/>
    </row>
    <row r="499" spans="1:24">
      <c r="A499" s="231"/>
      <c r="B499" s="231"/>
      <c r="C499" s="231"/>
      <c r="D499" s="231"/>
      <c r="E499" s="231"/>
      <c r="F499" s="231"/>
      <c r="G499" s="283"/>
      <c r="H499" s="283"/>
      <c r="I499" s="284"/>
      <c r="J499" s="232"/>
      <c r="K499" s="233"/>
      <c r="L499" s="234"/>
      <c r="M499" s="235"/>
      <c r="N499" s="236"/>
      <c r="O499" s="237"/>
      <c r="P499" s="238"/>
      <c r="Q499" s="239"/>
      <c r="S499" s="36"/>
      <c r="T499" s="36"/>
      <c r="X499"/>
    </row>
    <row r="500" spans="1:24">
      <c r="A500" s="231"/>
      <c r="B500" s="231"/>
      <c r="C500" s="231"/>
      <c r="D500" s="231"/>
      <c r="E500" s="231"/>
      <c r="F500" s="231"/>
      <c r="G500" s="283"/>
      <c r="H500" s="283"/>
      <c r="I500" s="284"/>
      <c r="J500" s="232"/>
      <c r="K500" s="233"/>
      <c r="L500" s="234"/>
      <c r="M500" s="235"/>
      <c r="N500" s="236"/>
      <c r="O500" s="237"/>
      <c r="P500" s="238"/>
      <c r="Q500" s="239"/>
      <c r="S500" s="36"/>
      <c r="T500" s="36"/>
      <c r="X500"/>
    </row>
    <row r="501" spans="1:24">
      <c r="A501" s="231"/>
      <c r="B501" s="231"/>
      <c r="C501" s="231"/>
      <c r="D501" s="231"/>
      <c r="E501" s="231"/>
      <c r="F501" s="231"/>
      <c r="G501" s="283"/>
      <c r="H501" s="283"/>
      <c r="I501" s="284"/>
      <c r="J501" s="232"/>
      <c r="K501" s="233"/>
      <c r="L501" s="234"/>
      <c r="M501" s="235"/>
      <c r="N501" s="236"/>
      <c r="O501" s="237"/>
      <c r="P501" s="238"/>
      <c r="Q501" s="239"/>
      <c r="S501" s="36"/>
      <c r="T501" s="36"/>
      <c r="X501"/>
    </row>
    <row r="502" spans="1:24">
      <c r="A502" s="231"/>
      <c r="B502" s="231"/>
      <c r="C502" s="231"/>
      <c r="D502" s="231"/>
      <c r="E502" s="231"/>
      <c r="F502" s="231"/>
      <c r="G502" s="283"/>
      <c r="H502" s="283"/>
      <c r="I502" s="284"/>
      <c r="J502" s="232"/>
      <c r="K502" s="233"/>
      <c r="L502" s="234"/>
      <c r="M502" s="235"/>
      <c r="N502" s="236"/>
      <c r="O502" s="237"/>
      <c r="P502" s="238"/>
      <c r="Q502" s="239"/>
      <c r="S502" s="36"/>
      <c r="T502" s="36"/>
      <c r="X502"/>
    </row>
    <row r="503" spans="1:24">
      <c r="A503" s="231"/>
      <c r="B503" s="231"/>
      <c r="C503" s="231"/>
      <c r="D503" s="231"/>
      <c r="E503" s="231"/>
      <c r="F503" s="231"/>
      <c r="G503" s="283"/>
      <c r="H503" s="283"/>
      <c r="I503" s="284"/>
      <c r="J503" s="232"/>
      <c r="K503" s="233"/>
      <c r="L503" s="234"/>
      <c r="M503" s="235"/>
      <c r="N503" s="236"/>
      <c r="O503" s="237"/>
      <c r="P503" s="238"/>
      <c r="Q503" s="239"/>
      <c r="S503" s="36"/>
      <c r="T503" s="36"/>
      <c r="X503"/>
    </row>
    <row r="504" spans="1:24">
      <c r="A504" s="231"/>
      <c r="B504" s="231"/>
      <c r="C504" s="231"/>
      <c r="D504" s="231"/>
      <c r="E504" s="231"/>
      <c r="F504" s="231"/>
      <c r="G504" s="283"/>
      <c r="H504" s="283"/>
      <c r="I504" s="284"/>
      <c r="J504" s="232"/>
      <c r="K504" s="233"/>
      <c r="L504" s="234"/>
      <c r="M504" s="235"/>
      <c r="N504" s="236"/>
      <c r="O504" s="237"/>
      <c r="P504" s="238"/>
      <c r="Q504" s="239"/>
      <c r="S504" s="36"/>
      <c r="T504" s="36"/>
      <c r="X504"/>
    </row>
    <row r="505" spans="1:24">
      <c r="A505" s="231"/>
      <c r="B505" s="231"/>
      <c r="C505" s="231"/>
      <c r="D505" s="231"/>
      <c r="E505" s="231"/>
      <c r="F505" s="231"/>
      <c r="G505" s="283"/>
      <c r="H505" s="283"/>
      <c r="I505" s="284"/>
      <c r="J505" s="232"/>
      <c r="K505" s="233"/>
      <c r="L505" s="234"/>
      <c r="M505" s="235"/>
      <c r="N505" s="236"/>
      <c r="O505" s="237"/>
      <c r="P505" s="238"/>
      <c r="Q505" s="239"/>
      <c r="S505" s="36"/>
      <c r="T505" s="36"/>
      <c r="X505"/>
    </row>
    <row r="506" spans="1:24">
      <c r="A506" s="231"/>
      <c r="B506" s="231"/>
      <c r="C506" s="231"/>
      <c r="D506" s="231"/>
      <c r="E506" s="231"/>
      <c r="F506" s="231"/>
      <c r="G506" s="283"/>
      <c r="H506" s="283"/>
      <c r="I506" s="284"/>
      <c r="J506" s="232"/>
      <c r="K506" s="233"/>
      <c r="L506" s="234"/>
      <c r="M506" s="235"/>
      <c r="N506" s="236"/>
      <c r="O506" s="237"/>
      <c r="P506" s="238"/>
      <c r="Q506" s="239"/>
      <c r="S506" s="36"/>
      <c r="T506" s="36"/>
      <c r="X506"/>
    </row>
    <row r="507" spans="1:24">
      <c r="A507" s="231"/>
      <c r="B507" s="231"/>
      <c r="C507" s="231"/>
      <c r="D507" s="231"/>
      <c r="E507" s="231"/>
      <c r="F507" s="231"/>
      <c r="G507" s="283"/>
      <c r="H507" s="283"/>
      <c r="I507" s="284"/>
      <c r="J507" s="232"/>
      <c r="K507" s="233"/>
      <c r="L507" s="234"/>
      <c r="M507" s="235"/>
      <c r="N507" s="236"/>
      <c r="O507" s="237"/>
      <c r="P507" s="238"/>
      <c r="Q507" s="239"/>
      <c r="S507" s="36"/>
      <c r="T507" s="36"/>
      <c r="X507"/>
    </row>
    <row r="508" spans="1:24">
      <c r="A508" s="231"/>
      <c r="B508" s="231"/>
      <c r="C508" s="231"/>
      <c r="D508" s="231"/>
      <c r="E508" s="231"/>
      <c r="F508" s="231"/>
      <c r="G508" s="283"/>
      <c r="H508" s="283"/>
      <c r="I508" s="284"/>
      <c r="J508" s="232"/>
      <c r="K508" s="233"/>
      <c r="L508" s="234"/>
      <c r="M508" s="235"/>
      <c r="N508" s="236"/>
      <c r="O508" s="237"/>
      <c r="P508" s="238"/>
      <c r="Q508" s="239"/>
      <c r="S508" s="36"/>
      <c r="T508" s="36"/>
      <c r="X508"/>
    </row>
    <row r="509" spans="1:24">
      <c r="A509" s="231"/>
      <c r="B509" s="231"/>
      <c r="C509" s="231"/>
      <c r="D509" s="231"/>
      <c r="E509" s="231"/>
      <c r="F509" s="231"/>
      <c r="G509" s="283"/>
      <c r="H509" s="283"/>
      <c r="I509" s="284"/>
      <c r="J509" s="232"/>
      <c r="K509" s="233"/>
      <c r="L509" s="234"/>
      <c r="M509" s="235"/>
      <c r="N509" s="236"/>
      <c r="O509" s="237"/>
      <c r="P509" s="238"/>
      <c r="Q509" s="239"/>
      <c r="S509" s="36"/>
      <c r="T509" s="36"/>
      <c r="X509"/>
    </row>
    <row r="510" spans="1:24">
      <c r="A510" s="231"/>
      <c r="B510" s="231"/>
      <c r="C510" s="231"/>
      <c r="D510" s="231"/>
      <c r="E510" s="231"/>
      <c r="F510" s="231"/>
      <c r="G510" s="283"/>
      <c r="H510" s="283"/>
      <c r="I510" s="284"/>
      <c r="J510" s="232"/>
      <c r="K510" s="233"/>
      <c r="L510" s="234"/>
      <c r="M510" s="235"/>
      <c r="N510" s="236"/>
      <c r="O510" s="237"/>
      <c r="P510" s="238"/>
      <c r="Q510" s="239"/>
      <c r="S510" s="36"/>
      <c r="T510" s="36"/>
      <c r="X510"/>
    </row>
    <row r="511" spans="1:24">
      <c r="A511" s="231"/>
      <c r="B511" s="231"/>
      <c r="C511" s="231"/>
      <c r="D511" s="231"/>
      <c r="E511" s="231"/>
      <c r="F511" s="231"/>
      <c r="G511" s="283"/>
      <c r="H511" s="283"/>
      <c r="I511" s="284"/>
      <c r="J511" s="232"/>
      <c r="K511" s="233"/>
      <c r="L511" s="234"/>
      <c r="M511" s="235"/>
      <c r="N511" s="236"/>
      <c r="O511" s="237"/>
      <c r="P511" s="238"/>
      <c r="Q511" s="239"/>
      <c r="S511" s="36"/>
      <c r="T511" s="36"/>
      <c r="X511"/>
    </row>
    <row r="512" spans="1:24">
      <c r="A512" s="231"/>
      <c r="B512" s="231"/>
      <c r="C512" s="231"/>
      <c r="D512" s="231"/>
      <c r="E512" s="231"/>
      <c r="F512" s="231"/>
      <c r="G512" s="283"/>
      <c r="H512" s="283"/>
      <c r="I512" s="284"/>
      <c r="J512" s="232"/>
      <c r="K512" s="233"/>
      <c r="L512" s="234"/>
      <c r="M512" s="235"/>
      <c r="N512" s="236"/>
      <c r="O512" s="237"/>
      <c r="P512" s="238"/>
      <c r="Q512" s="239"/>
      <c r="S512" s="36"/>
      <c r="T512" s="36"/>
      <c r="X512"/>
    </row>
    <row r="513" spans="1:24">
      <c r="A513" s="231"/>
      <c r="B513" s="231"/>
      <c r="C513" s="231"/>
      <c r="D513" s="231"/>
      <c r="E513" s="231"/>
      <c r="F513" s="231"/>
      <c r="G513" s="283"/>
      <c r="H513" s="283"/>
      <c r="I513" s="284"/>
      <c r="J513" s="232"/>
      <c r="K513" s="233"/>
      <c r="L513" s="234"/>
      <c r="M513" s="235"/>
      <c r="N513" s="236"/>
      <c r="O513" s="237"/>
      <c r="P513" s="238"/>
      <c r="Q513" s="239"/>
      <c r="S513" s="36"/>
      <c r="T513" s="36"/>
      <c r="X513"/>
    </row>
    <row r="514" spans="1:24">
      <c r="A514" s="231"/>
      <c r="B514" s="231"/>
      <c r="C514" s="231"/>
      <c r="D514" s="231"/>
      <c r="E514" s="231"/>
      <c r="F514" s="231"/>
      <c r="G514" s="283"/>
      <c r="H514" s="283"/>
      <c r="I514" s="284"/>
      <c r="J514" s="232"/>
      <c r="K514" s="233"/>
      <c r="L514" s="234"/>
      <c r="M514" s="235"/>
      <c r="N514" s="236"/>
      <c r="O514" s="237"/>
      <c r="P514" s="238"/>
      <c r="Q514" s="239"/>
      <c r="S514" s="36"/>
      <c r="T514" s="36"/>
      <c r="X514"/>
    </row>
    <row r="515" spans="1:24">
      <c r="A515" s="231"/>
      <c r="B515" s="231"/>
      <c r="C515" s="231"/>
      <c r="D515" s="231"/>
      <c r="E515" s="231"/>
      <c r="F515" s="231"/>
      <c r="G515" s="283"/>
      <c r="H515" s="283"/>
      <c r="I515" s="284"/>
      <c r="J515" s="232"/>
      <c r="K515" s="233"/>
      <c r="L515" s="234"/>
      <c r="M515" s="235"/>
      <c r="N515" s="236"/>
      <c r="O515" s="237"/>
      <c r="P515" s="238"/>
      <c r="Q515" s="239"/>
      <c r="S515" s="36"/>
      <c r="T515" s="36"/>
      <c r="X515"/>
    </row>
    <row r="516" spans="1:24">
      <c r="A516" s="231"/>
      <c r="B516" s="231"/>
      <c r="C516" s="231"/>
      <c r="D516" s="231"/>
      <c r="E516" s="231"/>
      <c r="F516" s="231"/>
      <c r="G516" s="283"/>
      <c r="H516" s="283"/>
      <c r="I516" s="284"/>
      <c r="J516" s="232"/>
      <c r="K516" s="233"/>
      <c r="L516" s="234"/>
      <c r="M516" s="235"/>
      <c r="N516" s="236"/>
      <c r="O516" s="237"/>
      <c r="P516" s="238"/>
      <c r="Q516" s="239"/>
      <c r="S516" s="36"/>
      <c r="T516" s="36"/>
      <c r="X516"/>
    </row>
    <row r="517" spans="1:24">
      <c r="A517" s="231"/>
      <c r="B517" s="231"/>
      <c r="C517" s="231"/>
      <c r="D517" s="231"/>
      <c r="E517" s="231"/>
      <c r="F517" s="231"/>
      <c r="G517" s="283"/>
      <c r="H517" s="283"/>
      <c r="I517" s="284"/>
      <c r="J517" s="232"/>
      <c r="K517" s="233"/>
      <c r="L517" s="234"/>
      <c r="M517" s="235"/>
      <c r="N517" s="236"/>
      <c r="O517" s="237"/>
      <c r="P517" s="238"/>
      <c r="Q517" s="239"/>
      <c r="S517" s="36"/>
      <c r="T517" s="36"/>
      <c r="X517"/>
    </row>
    <row r="518" spans="1:24">
      <c r="A518" s="231"/>
      <c r="B518" s="231"/>
      <c r="C518" s="231"/>
      <c r="D518" s="231"/>
      <c r="E518" s="231"/>
      <c r="F518" s="231"/>
      <c r="G518" s="283"/>
      <c r="H518" s="283"/>
      <c r="I518" s="284"/>
      <c r="J518" s="232"/>
      <c r="K518" s="233"/>
      <c r="L518" s="234"/>
      <c r="M518" s="235"/>
      <c r="N518" s="236"/>
      <c r="O518" s="237"/>
      <c r="P518" s="238"/>
      <c r="Q518" s="239"/>
      <c r="S518" s="36"/>
      <c r="T518" s="36"/>
      <c r="X518"/>
    </row>
    <row r="519" spans="1:24">
      <c r="A519" s="231"/>
      <c r="B519" s="231"/>
      <c r="C519" s="231"/>
      <c r="D519" s="231"/>
      <c r="E519" s="231"/>
      <c r="F519" s="231"/>
      <c r="G519" s="283"/>
      <c r="H519" s="283"/>
      <c r="I519" s="284"/>
      <c r="J519" s="232"/>
      <c r="K519" s="233"/>
      <c r="L519" s="234"/>
      <c r="M519" s="235"/>
      <c r="N519" s="236"/>
      <c r="O519" s="237"/>
      <c r="P519" s="238"/>
      <c r="Q519" s="239"/>
      <c r="S519" s="36"/>
      <c r="T519" s="36"/>
      <c r="X519"/>
    </row>
    <row r="520" spans="1:24">
      <c r="A520" s="231"/>
      <c r="B520" s="231"/>
      <c r="C520" s="231"/>
      <c r="D520" s="231"/>
      <c r="E520" s="231"/>
      <c r="F520" s="231"/>
      <c r="G520" s="283"/>
      <c r="H520" s="283"/>
      <c r="I520" s="284"/>
      <c r="J520" s="232"/>
      <c r="K520" s="233"/>
      <c r="L520" s="234"/>
      <c r="M520" s="235"/>
      <c r="N520" s="236"/>
      <c r="O520" s="237"/>
      <c r="P520" s="238"/>
      <c r="Q520" s="239"/>
      <c r="S520" s="36"/>
      <c r="T520" s="36"/>
      <c r="X520"/>
    </row>
    <row r="521" spans="1:24">
      <c r="A521" s="231"/>
      <c r="B521" s="231"/>
      <c r="C521" s="231"/>
      <c r="D521" s="231"/>
      <c r="E521" s="231"/>
      <c r="F521" s="231"/>
      <c r="G521" s="283"/>
      <c r="H521" s="283"/>
      <c r="I521" s="284"/>
      <c r="J521" s="232"/>
      <c r="K521" s="233"/>
      <c r="L521" s="234"/>
      <c r="M521" s="235"/>
      <c r="N521" s="236"/>
      <c r="O521" s="237"/>
      <c r="P521" s="238"/>
      <c r="Q521" s="239"/>
      <c r="S521" s="36"/>
      <c r="T521" s="36"/>
      <c r="X521"/>
    </row>
    <row r="522" spans="1:24">
      <c r="A522" s="231"/>
      <c r="B522" s="231"/>
      <c r="C522" s="231"/>
      <c r="D522" s="231"/>
      <c r="E522" s="231"/>
      <c r="F522" s="231"/>
      <c r="G522" s="283"/>
      <c r="H522" s="283"/>
      <c r="I522" s="284"/>
      <c r="J522" s="232"/>
      <c r="K522" s="233"/>
      <c r="L522" s="234"/>
      <c r="M522" s="235"/>
      <c r="N522" s="236"/>
      <c r="O522" s="237"/>
      <c r="P522" s="238"/>
      <c r="Q522" s="239"/>
      <c r="S522" s="36"/>
      <c r="T522" s="36"/>
      <c r="X522"/>
    </row>
    <row r="523" spans="1:24">
      <c r="A523" s="231"/>
      <c r="B523" s="231"/>
      <c r="C523" s="231"/>
      <c r="D523" s="231"/>
      <c r="E523" s="231"/>
      <c r="F523" s="231"/>
      <c r="G523" s="283"/>
      <c r="H523" s="283"/>
      <c r="I523" s="284"/>
      <c r="J523" s="232"/>
      <c r="K523" s="233"/>
      <c r="L523" s="234"/>
      <c r="M523" s="235"/>
      <c r="N523" s="236"/>
      <c r="O523" s="237"/>
      <c r="P523" s="238"/>
      <c r="Q523" s="239"/>
      <c r="S523" s="36"/>
      <c r="T523" s="36"/>
      <c r="X523"/>
    </row>
    <row r="524" spans="1:24">
      <c r="A524" s="231"/>
      <c r="B524" s="231"/>
      <c r="C524" s="231"/>
      <c r="D524" s="231"/>
      <c r="E524" s="231"/>
      <c r="F524" s="231"/>
      <c r="G524" s="283"/>
      <c r="H524" s="283"/>
      <c r="I524" s="284"/>
      <c r="J524" s="232"/>
      <c r="K524" s="233"/>
      <c r="L524" s="234"/>
      <c r="M524" s="235"/>
      <c r="N524" s="236"/>
      <c r="O524" s="237"/>
      <c r="P524" s="238"/>
      <c r="Q524" s="239"/>
      <c r="S524" s="36"/>
      <c r="T524" s="36"/>
      <c r="X524"/>
    </row>
    <row r="525" spans="1:24">
      <c r="A525" s="231"/>
      <c r="B525" s="231"/>
      <c r="C525" s="231"/>
      <c r="D525" s="231"/>
      <c r="E525" s="231"/>
      <c r="F525" s="231"/>
      <c r="G525" s="283"/>
      <c r="H525" s="283"/>
      <c r="I525" s="284"/>
      <c r="J525" s="232"/>
      <c r="K525" s="233"/>
      <c r="L525" s="234"/>
      <c r="M525" s="235"/>
      <c r="N525" s="236"/>
      <c r="O525" s="237"/>
      <c r="P525" s="238"/>
      <c r="Q525" s="239"/>
      <c r="S525" s="36"/>
      <c r="T525" s="36"/>
      <c r="X525"/>
    </row>
    <row r="526" spans="1:24">
      <c r="A526" s="231"/>
      <c r="B526" s="231"/>
      <c r="C526" s="231"/>
      <c r="D526" s="231"/>
      <c r="E526" s="231"/>
      <c r="F526" s="231"/>
      <c r="G526" s="283"/>
      <c r="H526" s="283"/>
      <c r="I526" s="284"/>
      <c r="J526" s="232"/>
      <c r="K526" s="233"/>
      <c r="L526" s="234"/>
      <c r="M526" s="235"/>
      <c r="N526" s="236"/>
      <c r="O526" s="237"/>
      <c r="P526" s="238"/>
      <c r="Q526" s="239"/>
      <c r="S526" s="36"/>
      <c r="T526" s="36"/>
      <c r="X526"/>
    </row>
    <row r="527" spans="1:24">
      <c r="A527" s="231"/>
      <c r="B527" s="231"/>
      <c r="C527" s="231"/>
      <c r="D527" s="231"/>
      <c r="E527" s="231"/>
      <c r="F527" s="231"/>
      <c r="G527" s="283"/>
      <c r="H527" s="283"/>
      <c r="I527" s="284"/>
      <c r="J527" s="232"/>
      <c r="K527" s="233"/>
      <c r="L527" s="234"/>
      <c r="M527" s="235"/>
      <c r="N527" s="236"/>
      <c r="O527" s="237"/>
      <c r="P527" s="238"/>
      <c r="Q527" s="239"/>
      <c r="S527" s="36"/>
      <c r="T527" s="36"/>
      <c r="X527"/>
    </row>
    <row r="528" spans="1:24">
      <c r="A528" s="231"/>
      <c r="B528" s="231"/>
      <c r="C528" s="231"/>
      <c r="D528" s="231"/>
      <c r="E528" s="231"/>
      <c r="F528" s="231"/>
      <c r="G528" s="283"/>
      <c r="H528" s="283"/>
      <c r="I528" s="284"/>
      <c r="J528" s="232"/>
      <c r="K528" s="233"/>
      <c r="L528" s="234"/>
      <c r="M528" s="235"/>
      <c r="N528" s="236"/>
      <c r="O528" s="237"/>
      <c r="P528" s="238"/>
      <c r="Q528" s="239"/>
      <c r="S528" s="36"/>
      <c r="T528" s="36"/>
      <c r="X528"/>
    </row>
    <row r="529" spans="1:24">
      <c r="A529" s="231"/>
      <c r="B529" s="231"/>
      <c r="C529" s="231"/>
      <c r="D529" s="231"/>
      <c r="E529" s="231"/>
      <c r="F529" s="231"/>
      <c r="G529" s="283"/>
      <c r="H529" s="283"/>
      <c r="I529" s="284"/>
      <c r="J529" s="232"/>
      <c r="K529" s="233"/>
      <c r="L529" s="234"/>
      <c r="M529" s="235"/>
      <c r="N529" s="236"/>
      <c r="O529" s="237"/>
      <c r="P529" s="238"/>
      <c r="Q529" s="239"/>
      <c r="S529" s="36"/>
      <c r="T529" s="36"/>
      <c r="X529"/>
    </row>
    <row r="530" spans="1:24">
      <c r="A530" s="231"/>
      <c r="B530" s="231"/>
      <c r="C530" s="231"/>
      <c r="D530" s="231"/>
      <c r="E530" s="231"/>
      <c r="F530" s="231"/>
      <c r="G530" s="283"/>
      <c r="H530" s="283"/>
      <c r="I530" s="284"/>
      <c r="J530" s="232"/>
      <c r="K530" s="233"/>
      <c r="L530" s="234"/>
      <c r="M530" s="235"/>
      <c r="N530" s="236"/>
      <c r="O530" s="237"/>
      <c r="P530" s="238"/>
      <c r="Q530" s="239"/>
      <c r="S530" s="36"/>
      <c r="T530" s="36"/>
      <c r="X530"/>
    </row>
    <row r="531" spans="1:24">
      <c r="A531" s="231"/>
      <c r="B531" s="231"/>
      <c r="C531" s="231"/>
      <c r="D531" s="231"/>
      <c r="E531" s="231"/>
      <c r="F531" s="231"/>
      <c r="G531" s="283"/>
      <c r="H531" s="283"/>
      <c r="I531" s="284"/>
      <c r="J531" s="232"/>
      <c r="K531" s="233"/>
      <c r="L531" s="234"/>
      <c r="M531" s="235"/>
      <c r="N531" s="236"/>
      <c r="O531" s="237"/>
      <c r="P531" s="238"/>
      <c r="Q531" s="239"/>
      <c r="S531" s="36"/>
      <c r="T531" s="36"/>
      <c r="X531"/>
    </row>
    <row r="532" spans="1:24">
      <c r="A532" s="231"/>
      <c r="B532" s="231"/>
      <c r="C532" s="231"/>
      <c r="D532" s="231"/>
      <c r="E532" s="231"/>
      <c r="F532" s="231"/>
      <c r="G532" s="283"/>
      <c r="H532" s="283"/>
      <c r="I532" s="284"/>
      <c r="J532" s="232"/>
      <c r="K532" s="233"/>
      <c r="L532" s="234"/>
      <c r="M532" s="235"/>
      <c r="N532" s="236"/>
      <c r="O532" s="237"/>
      <c r="P532" s="238"/>
      <c r="Q532" s="239"/>
      <c r="S532" s="36"/>
      <c r="T532" s="36"/>
      <c r="X532"/>
    </row>
    <row r="533" spans="1:24">
      <c r="A533" s="231"/>
      <c r="B533" s="231"/>
      <c r="C533" s="231"/>
      <c r="D533" s="231"/>
      <c r="E533" s="231"/>
      <c r="F533" s="231"/>
      <c r="G533" s="283"/>
      <c r="H533" s="283"/>
      <c r="I533" s="284"/>
      <c r="J533" s="232"/>
      <c r="K533" s="233"/>
      <c r="L533" s="234"/>
      <c r="M533" s="235"/>
      <c r="N533" s="236"/>
      <c r="O533" s="237"/>
      <c r="P533" s="238"/>
      <c r="Q533" s="239"/>
      <c r="S533" s="36"/>
      <c r="T533" s="36"/>
      <c r="X533"/>
    </row>
    <row r="534" spans="1:24">
      <c r="A534" s="231"/>
      <c r="B534" s="231"/>
      <c r="C534" s="231"/>
      <c r="D534" s="231"/>
      <c r="E534" s="231"/>
      <c r="F534" s="231"/>
      <c r="G534" s="283"/>
      <c r="H534" s="283"/>
      <c r="I534" s="284"/>
      <c r="J534" s="232"/>
      <c r="K534" s="233"/>
      <c r="L534" s="234"/>
      <c r="M534" s="235"/>
      <c r="N534" s="236"/>
      <c r="O534" s="237"/>
      <c r="P534" s="238"/>
      <c r="Q534" s="239"/>
      <c r="S534" s="36"/>
      <c r="T534" s="36"/>
      <c r="X534"/>
    </row>
    <row r="535" spans="1:24">
      <c r="A535" s="231"/>
      <c r="B535" s="231"/>
      <c r="C535" s="231"/>
      <c r="D535" s="231"/>
      <c r="E535" s="231"/>
      <c r="F535" s="231"/>
      <c r="G535" s="283"/>
      <c r="H535" s="283"/>
      <c r="I535" s="284"/>
      <c r="J535" s="232"/>
      <c r="K535" s="233"/>
      <c r="L535" s="234"/>
      <c r="M535" s="235"/>
      <c r="N535" s="236"/>
      <c r="O535" s="237"/>
      <c r="P535" s="238"/>
      <c r="Q535" s="239"/>
      <c r="S535" s="36"/>
      <c r="T535" s="36"/>
      <c r="X535"/>
    </row>
    <row r="536" spans="1:24">
      <c r="A536" s="231"/>
      <c r="B536" s="231"/>
      <c r="C536" s="231"/>
      <c r="D536" s="231"/>
      <c r="E536" s="231"/>
      <c r="F536" s="231"/>
      <c r="G536" s="283"/>
      <c r="H536" s="283"/>
      <c r="I536" s="284"/>
      <c r="J536" s="232"/>
      <c r="K536" s="233"/>
      <c r="L536" s="234"/>
      <c r="M536" s="235"/>
      <c r="N536" s="236"/>
      <c r="O536" s="237"/>
      <c r="P536" s="238"/>
      <c r="Q536" s="239"/>
      <c r="S536" s="36"/>
      <c r="T536" s="36"/>
      <c r="X536"/>
    </row>
    <row r="537" spans="1:24">
      <c r="A537" s="231"/>
      <c r="B537" s="231"/>
      <c r="C537" s="231"/>
      <c r="D537" s="231"/>
      <c r="E537" s="231"/>
      <c r="F537" s="231"/>
      <c r="G537" s="283"/>
      <c r="H537" s="283"/>
      <c r="I537" s="284"/>
      <c r="J537" s="232"/>
      <c r="K537" s="233"/>
      <c r="L537" s="234"/>
      <c r="M537" s="235"/>
      <c r="N537" s="236"/>
      <c r="O537" s="237"/>
      <c r="P537" s="238"/>
      <c r="Q537" s="239"/>
      <c r="S537" s="36"/>
      <c r="T537" s="36"/>
      <c r="X537"/>
    </row>
    <row r="538" spans="1:24">
      <c r="A538" s="231"/>
      <c r="B538" s="231"/>
      <c r="C538" s="231"/>
      <c r="D538" s="231"/>
      <c r="E538" s="231"/>
      <c r="F538" s="231"/>
      <c r="G538" s="283"/>
      <c r="H538" s="283"/>
      <c r="I538" s="284"/>
      <c r="J538" s="232"/>
      <c r="K538" s="233"/>
      <c r="L538" s="234"/>
      <c r="M538" s="235"/>
      <c r="N538" s="236"/>
      <c r="O538" s="237"/>
      <c r="P538" s="238"/>
      <c r="Q538" s="239"/>
      <c r="S538" s="36"/>
      <c r="T538" s="36"/>
      <c r="X538"/>
    </row>
    <row r="539" spans="1:24">
      <c r="A539" s="231"/>
      <c r="B539" s="231"/>
      <c r="C539" s="231"/>
      <c r="D539" s="231"/>
      <c r="E539" s="231"/>
      <c r="F539" s="231"/>
      <c r="G539" s="283"/>
      <c r="H539" s="283"/>
      <c r="I539" s="284"/>
      <c r="J539" s="232"/>
      <c r="K539" s="233"/>
      <c r="L539" s="234"/>
      <c r="M539" s="235"/>
      <c r="N539" s="236"/>
      <c r="O539" s="237"/>
      <c r="P539" s="238"/>
      <c r="Q539" s="239"/>
      <c r="S539" s="36"/>
      <c r="T539" s="36"/>
      <c r="X539"/>
    </row>
    <row r="540" spans="1:24">
      <c r="A540" s="231"/>
      <c r="B540" s="231"/>
      <c r="C540" s="231"/>
      <c r="D540" s="231"/>
      <c r="E540" s="231"/>
      <c r="F540" s="231"/>
      <c r="G540" s="283"/>
      <c r="H540" s="283"/>
      <c r="I540" s="284"/>
      <c r="J540" s="232"/>
      <c r="K540" s="233"/>
      <c r="L540" s="234"/>
      <c r="M540" s="235"/>
      <c r="N540" s="236"/>
      <c r="O540" s="237"/>
      <c r="P540" s="238"/>
      <c r="Q540" s="239"/>
      <c r="S540" s="36"/>
      <c r="T540" s="36"/>
      <c r="X540"/>
    </row>
    <row r="541" spans="1:24">
      <c r="A541" s="231"/>
      <c r="B541" s="231"/>
      <c r="C541" s="231"/>
      <c r="D541" s="231"/>
      <c r="E541" s="231"/>
      <c r="F541" s="231"/>
      <c r="G541" s="283"/>
      <c r="H541" s="283"/>
      <c r="I541" s="284"/>
      <c r="J541" s="232"/>
      <c r="K541" s="233"/>
      <c r="L541" s="234"/>
      <c r="M541" s="235"/>
      <c r="N541" s="236"/>
      <c r="O541" s="237"/>
      <c r="P541" s="238"/>
      <c r="Q541" s="239"/>
      <c r="S541" s="36"/>
      <c r="T541" s="36"/>
      <c r="X541"/>
    </row>
    <row r="542" spans="1:24">
      <c r="A542" s="231"/>
      <c r="B542" s="231"/>
      <c r="C542" s="231"/>
      <c r="D542" s="231"/>
      <c r="E542" s="231"/>
      <c r="F542" s="231"/>
      <c r="G542" s="283"/>
      <c r="H542" s="283"/>
      <c r="I542" s="284"/>
      <c r="J542" s="232"/>
      <c r="K542" s="233"/>
      <c r="L542" s="234"/>
      <c r="M542" s="235"/>
      <c r="N542" s="236"/>
      <c r="O542" s="237"/>
      <c r="P542" s="238"/>
      <c r="Q542" s="239"/>
      <c r="S542" s="36"/>
      <c r="T542" s="36"/>
      <c r="X542"/>
    </row>
    <row r="543" spans="1:24">
      <c r="A543" s="231"/>
      <c r="B543" s="231"/>
      <c r="C543" s="231"/>
      <c r="D543" s="231"/>
      <c r="E543" s="231"/>
      <c r="F543" s="231"/>
      <c r="G543" s="283"/>
      <c r="H543" s="283"/>
      <c r="I543" s="284"/>
      <c r="J543" s="232"/>
      <c r="K543" s="233"/>
      <c r="L543" s="234"/>
      <c r="M543" s="235"/>
      <c r="N543" s="236"/>
      <c r="O543" s="237"/>
      <c r="P543" s="238"/>
      <c r="Q543" s="239"/>
      <c r="S543" s="36"/>
      <c r="T543" s="36"/>
      <c r="X543"/>
    </row>
    <row r="544" spans="1:24">
      <c r="A544" s="231"/>
      <c r="B544" s="231"/>
      <c r="C544" s="231"/>
      <c r="D544" s="231"/>
      <c r="E544" s="231"/>
      <c r="F544" s="231"/>
      <c r="G544" s="283"/>
      <c r="H544" s="283"/>
      <c r="I544" s="284"/>
      <c r="J544" s="232"/>
      <c r="K544" s="233"/>
      <c r="L544" s="234"/>
      <c r="M544" s="235"/>
      <c r="N544" s="236"/>
      <c r="O544" s="237"/>
      <c r="P544" s="238"/>
      <c r="Q544" s="239"/>
      <c r="S544" s="36"/>
      <c r="T544" s="36"/>
      <c r="X544"/>
    </row>
    <row r="545" spans="1:24">
      <c r="A545" s="231"/>
      <c r="B545" s="231"/>
      <c r="C545" s="231"/>
      <c r="D545" s="231"/>
      <c r="E545" s="231"/>
      <c r="F545" s="231"/>
      <c r="G545" s="283"/>
      <c r="H545" s="283"/>
      <c r="I545" s="284"/>
      <c r="J545" s="232"/>
      <c r="K545" s="233"/>
      <c r="L545" s="234"/>
      <c r="M545" s="235"/>
      <c r="N545" s="236"/>
      <c r="O545" s="237"/>
      <c r="P545" s="238"/>
      <c r="Q545" s="239"/>
      <c r="S545" s="36"/>
      <c r="T545" s="36"/>
      <c r="X545"/>
    </row>
    <row r="546" spans="1:24">
      <c r="A546" s="231"/>
      <c r="B546" s="231"/>
      <c r="C546" s="231"/>
      <c r="D546" s="231"/>
      <c r="E546" s="231"/>
      <c r="F546" s="231"/>
      <c r="G546" s="283"/>
      <c r="H546" s="283"/>
      <c r="I546" s="284"/>
      <c r="J546" s="232"/>
      <c r="K546" s="233"/>
      <c r="L546" s="234"/>
      <c r="M546" s="235"/>
      <c r="N546" s="236"/>
      <c r="O546" s="237"/>
      <c r="P546" s="238"/>
      <c r="Q546" s="239"/>
      <c r="S546" s="36"/>
      <c r="T546" s="36"/>
      <c r="X546"/>
    </row>
    <row r="547" spans="1:24">
      <c r="A547" s="231"/>
      <c r="B547" s="231"/>
      <c r="C547" s="231"/>
      <c r="D547" s="231"/>
      <c r="E547" s="231"/>
      <c r="F547" s="231"/>
      <c r="G547" s="283"/>
      <c r="H547" s="283"/>
      <c r="I547" s="284"/>
      <c r="J547" s="232"/>
      <c r="K547" s="233"/>
      <c r="L547" s="234"/>
      <c r="M547" s="235"/>
      <c r="N547" s="236"/>
      <c r="O547" s="237"/>
      <c r="P547" s="238"/>
      <c r="Q547" s="239"/>
      <c r="S547" s="36"/>
      <c r="T547" s="36"/>
      <c r="X547"/>
    </row>
    <row r="548" spans="1:24">
      <c r="A548" s="231"/>
      <c r="B548" s="231"/>
      <c r="C548" s="231"/>
      <c r="D548" s="231"/>
      <c r="E548" s="231"/>
      <c r="F548" s="231"/>
      <c r="G548" s="283"/>
      <c r="H548" s="283"/>
      <c r="I548" s="284"/>
      <c r="J548" s="232"/>
      <c r="K548" s="233"/>
      <c r="L548" s="234"/>
      <c r="M548" s="235"/>
      <c r="N548" s="236"/>
      <c r="O548" s="237"/>
      <c r="P548" s="238"/>
      <c r="Q548" s="239"/>
      <c r="S548" s="36"/>
      <c r="T548" s="36"/>
      <c r="X548"/>
    </row>
    <row r="549" spans="1:24">
      <c r="A549" s="231"/>
      <c r="B549" s="231"/>
      <c r="C549" s="231"/>
      <c r="D549" s="231"/>
      <c r="E549" s="231"/>
      <c r="F549" s="231"/>
      <c r="G549" s="283"/>
      <c r="H549" s="283"/>
      <c r="I549" s="284"/>
      <c r="J549" s="232"/>
      <c r="K549" s="233"/>
      <c r="L549" s="234"/>
      <c r="M549" s="235"/>
      <c r="N549" s="236"/>
      <c r="O549" s="237"/>
      <c r="P549" s="238"/>
      <c r="Q549" s="239"/>
      <c r="S549" s="36"/>
      <c r="T549" s="36"/>
      <c r="X549"/>
    </row>
    <row r="550" spans="1:24">
      <c r="A550" s="231"/>
      <c r="B550" s="231"/>
      <c r="C550" s="231"/>
      <c r="D550" s="231"/>
      <c r="E550" s="231"/>
      <c r="F550" s="231"/>
      <c r="G550" s="283"/>
      <c r="H550" s="283"/>
      <c r="I550" s="284"/>
      <c r="J550" s="232"/>
      <c r="K550" s="233"/>
      <c r="L550" s="234"/>
      <c r="M550" s="235"/>
      <c r="N550" s="236"/>
      <c r="O550" s="237"/>
      <c r="P550" s="238"/>
      <c r="Q550" s="239"/>
      <c r="S550" s="36"/>
      <c r="T550" s="36"/>
      <c r="X550"/>
    </row>
    <row r="551" spans="1:24">
      <c r="A551" s="231"/>
      <c r="B551" s="231"/>
      <c r="C551" s="231"/>
      <c r="D551" s="231"/>
      <c r="E551" s="231"/>
      <c r="F551" s="231"/>
      <c r="G551" s="283"/>
      <c r="H551" s="283"/>
      <c r="I551" s="284"/>
      <c r="J551" s="232"/>
      <c r="K551" s="233"/>
      <c r="L551" s="234"/>
      <c r="M551" s="235"/>
      <c r="N551" s="236"/>
      <c r="O551" s="237"/>
      <c r="P551" s="238"/>
      <c r="Q551" s="239"/>
      <c r="S551" s="36"/>
      <c r="T551" s="36"/>
      <c r="X551"/>
    </row>
    <row r="552" spans="1:24">
      <c r="A552" s="231"/>
      <c r="B552" s="231"/>
      <c r="C552" s="231"/>
      <c r="D552" s="231"/>
      <c r="E552" s="231"/>
      <c r="F552" s="231"/>
      <c r="G552" s="283"/>
      <c r="H552" s="283"/>
      <c r="I552" s="284"/>
      <c r="J552" s="232"/>
      <c r="K552" s="233"/>
      <c r="L552" s="234"/>
      <c r="M552" s="235"/>
      <c r="N552" s="236"/>
      <c r="O552" s="237"/>
      <c r="P552" s="238"/>
      <c r="Q552" s="239"/>
      <c r="S552" s="36"/>
      <c r="T552" s="36"/>
      <c r="X552"/>
    </row>
    <row r="553" spans="1:24">
      <c r="A553" s="231"/>
      <c r="B553" s="231"/>
      <c r="C553" s="231"/>
      <c r="D553" s="231"/>
      <c r="E553" s="231"/>
      <c r="F553" s="231"/>
      <c r="G553" s="283"/>
      <c r="H553" s="283"/>
      <c r="I553" s="284"/>
      <c r="J553" s="232"/>
      <c r="K553" s="233"/>
      <c r="L553" s="234"/>
      <c r="M553" s="235"/>
      <c r="N553" s="236"/>
      <c r="O553" s="237"/>
      <c r="P553" s="238"/>
      <c r="Q553" s="239"/>
      <c r="S553" s="36"/>
      <c r="T553" s="36"/>
      <c r="X553"/>
    </row>
    <row r="554" spans="1:24">
      <c r="A554" s="231"/>
      <c r="B554" s="231"/>
      <c r="C554" s="231"/>
      <c r="D554" s="231"/>
      <c r="E554" s="231"/>
      <c r="F554" s="231"/>
      <c r="G554" s="283"/>
      <c r="H554" s="283"/>
      <c r="I554" s="284"/>
      <c r="J554" s="232"/>
      <c r="K554" s="233"/>
      <c r="L554" s="234"/>
      <c r="M554" s="235"/>
      <c r="N554" s="236"/>
      <c r="O554" s="237"/>
      <c r="P554" s="238"/>
      <c r="Q554" s="239"/>
      <c r="S554" s="36"/>
      <c r="T554" s="36"/>
      <c r="X554"/>
    </row>
    <row r="555" spans="1:24">
      <c r="A555" s="231"/>
      <c r="B555" s="231"/>
      <c r="C555" s="231"/>
      <c r="D555" s="231"/>
      <c r="E555" s="231"/>
      <c r="F555" s="231"/>
      <c r="G555" s="283"/>
      <c r="H555" s="283"/>
      <c r="I555" s="284"/>
      <c r="J555" s="232"/>
      <c r="K555" s="233"/>
      <c r="L555" s="234"/>
      <c r="M555" s="235"/>
      <c r="N555" s="236"/>
      <c r="O555" s="237"/>
      <c r="P555" s="238"/>
      <c r="Q555" s="239"/>
      <c r="S555" s="36"/>
      <c r="T555" s="36"/>
      <c r="X555"/>
    </row>
    <row r="556" spans="1:24">
      <c r="A556" s="231"/>
      <c r="B556" s="231"/>
      <c r="C556" s="231"/>
      <c r="D556" s="231"/>
      <c r="E556" s="231"/>
      <c r="F556" s="231"/>
      <c r="G556" s="283"/>
      <c r="H556" s="283"/>
      <c r="I556" s="284"/>
      <c r="J556" s="232"/>
      <c r="K556" s="233"/>
      <c r="L556" s="234"/>
      <c r="M556" s="235"/>
      <c r="N556" s="236"/>
      <c r="O556" s="237"/>
      <c r="P556" s="238"/>
      <c r="Q556" s="239"/>
      <c r="S556" s="36"/>
      <c r="T556" s="36"/>
      <c r="X556"/>
    </row>
    <row r="557" spans="1:24">
      <c r="A557" s="231"/>
      <c r="B557" s="231"/>
      <c r="C557" s="231"/>
      <c r="D557" s="231"/>
      <c r="E557" s="231"/>
      <c r="F557" s="231"/>
      <c r="G557" s="283"/>
      <c r="H557" s="283"/>
      <c r="I557" s="284"/>
      <c r="J557" s="232"/>
      <c r="K557" s="233"/>
      <c r="L557" s="234"/>
      <c r="M557" s="235"/>
      <c r="N557" s="236"/>
      <c r="O557" s="237"/>
      <c r="P557" s="238"/>
      <c r="Q557" s="239"/>
      <c r="S557" s="36"/>
      <c r="T557" s="36"/>
      <c r="X557"/>
    </row>
    <row r="558" spans="1:24">
      <c r="A558" s="231"/>
      <c r="B558" s="231"/>
      <c r="C558" s="231"/>
      <c r="D558" s="231"/>
      <c r="E558" s="231"/>
      <c r="F558" s="231"/>
      <c r="G558" s="283"/>
      <c r="H558" s="283"/>
      <c r="I558" s="284"/>
      <c r="J558" s="232"/>
      <c r="K558" s="233"/>
      <c r="L558" s="234"/>
      <c r="M558" s="235"/>
      <c r="N558" s="236"/>
      <c r="O558" s="237"/>
      <c r="P558" s="238"/>
      <c r="Q558" s="239"/>
      <c r="S558" s="36"/>
      <c r="T558" s="36"/>
      <c r="X558"/>
    </row>
    <row r="559" spans="1:24">
      <c r="A559" s="231"/>
      <c r="B559" s="231"/>
      <c r="C559" s="231"/>
      <c r="D559" s="231"/>
      <c r="E559" s="231"/>
      <c r="F559" s="231"/>
      <c r="G559" s="283"/>
      <c r="H559" s="283"/>
      <c r="I559" s="284"/>
      <c r="J559" s="232"/>
      <c r="K559" s="233"/>
      <c r="L559" s="234"/>
      <c r="M559" s="235"/>
      <c r="N559" s="236"/>
      <c r="O559" s="237"/>
      <c r="P559" s="238"/>
      <c r="Q559" s="239"/>
      <c r="S559" s="36"/>
      <c r="T559" s="36"/>
      <c r="X559"/>
    </row>
    <row r="560" spans="1:24">
      <c r="A560" s="231"/>
      <c r="B560" s="231"/>
      <c r="C560" s="231"/>
      <c r="D560" s="231"/>
      <c r="E560" s="231"/>
      <c r="F560" s="231"/>
      <c r="G560" s="283"/>
      <c r="H560" s="283"/>
      <c r="I560" s="284"/>
      <c r="J560" s="232"/>
      <c r="K560" s="233"/>
      <c r="L560" s="234"/>
      <c r="M560" s="235"/>
      <c r="N560" s="236"/>
      <c r="O560" s="237"/>
      <c r="P560" s="238"/>
      <c r="Q560" s="239"/>
      <c r="S560" s="36"/>
      <c r="T560" s="36"/>
      <c r="X560"/>
    </row>
    <row r="561" spans="1:24">
      <c r="A561" s="231"/>
      <c r="B561" s="231"/>
      <c r="C561" s="231"/>
      <c r="D561" s="231"/>
      <c r="E561" s="231"/>
      <c r="F561" s="231"/>
      <c r="G561" s="283"/>
      <c r="H561" s="283"/>
      <c r="I561" s="284"/>
      <c r="J561" s="232"/>
      <c r="K561" s="233"/>
      <c r="L561" s="234"/>
      <c r="M561" s="235"/>
      <c r="N561" s="236"/>
      <c r="O561" s="237"/>
      <c r="P561" s="238"/>
      <c r="Q561" s="239"/>
      <c r="S561" s="36"/>
      <c r="T561" s="36"/>
      <c r="X561"/>
    </row>
    <row r="562" spans="1:24">
      <c r="A562" s="231"/>
      <c r="B562" s="231"/>
      <c r="C562" s="231"/>
      <c r="D562" s="231"/>
      <c r="E562" s="231"/>
      <c r="F562" s="231"/>
      <c r="G562" s="283"/>
      <c r="H562" s="283"/>
      <c r="I562" s="284"/>
      <c r="J562" s="232"/>
      <c r="K562" s="233"/>
      <c r="L562" s="234"/>
      <c r="M562" s="235"/>
      <c r="N562" s="236"/>
      <c r="O562" s="237"/>
      <c r="P562" s="238"/>
      <c r="Q562" s="239"/>
      <c r="S562" s="36"/>
      <c r="T562" s="36"/>
      <c r="X562"/>
    </row>
    <row r="563" spans="1:24">
      <c r="A563" s="231"/>
      <c r="B563" s="231"/>
      <c r="C563" s="231"/>
      <c r="D563" s="231"/>
      <c r="E563" s="231"/>
      <c r="F563" s="231"/>
      <c r="G563" s="283"/>
      <c r="H563" s="283"/>
      <c r="I563" s="284"/>
      <c r="J563" s="232"/>
      <c r="K563" s="233"/>
      <c r="L563" s="234"/>
      <c r="M563" s="235"/>
      <c r="N563" s="236"/>
      <c r="O563" s="237"/>
      <c r="P563" s="238"/>
      <c r="Q563" s="239"/>
      <c r="S563" s="36"/>
      <c r="T563" s="36"/>
      <c r="X563"/>
    </row>
    <row r="564" spans="1:24">
      <c r="A564" s="231"/>
      <c r="B564" s="231"/>
      <c r="C564" s="231"/>
      <c r="D564" s="231"/>
      <c r="E564" s="231"/>
      <c r="F564" s="231"/>
      <c r="G564" s="283"/>
      <c r="H564" s="283"/>
      <c r="I564" s="284"/>
      <c r="J564" s="232"/>
      <c r="K564" s="233"/>
      <c r="L564" s="234"/>
      <c r="M564" s="235"/>
      <c r="N564" s="236"/>
      <c r="O564" s="237"/>
      <c r="P564" s="238"/>
      <c r="Q564" s="239"/>
      <c r="S564" s="36"/>
      <c r="T564" s="36"/>
      <c r="X564"/>
    </row>
    <row r="565" spans="1:24">
      <c r="A565" s="231"/>
      <c r="B565" s="231"/>
      <c r="C565" s="231"/>
      <c r="D565" s="231"/>
      <c r="E565" s="231"/>
      <c r="F565" s="231"/>
      <c r="G565" s="283"/>
      <c r="H565" s="283"/>
      <c r="I565" s="284"/>
      <c r="J565" s="232"/>
      <c r="K565" s="233"/>
      <c r="L565" s="234"/>
      <c r="M565" s="235"/>
      <c r="N565" s="236"/>
      <c r="O565" s="237"/>
      <c r="P565" s="238"/>
      <c r="Q565" s="239"/>
      <c r="S565" s="36"/>
      <c r="T565" s="36"/>
      <c r="X565"/>
    </row>
    <row r="566" spans="1:24">
      <c r="A566" s="231"/>
      <c r="B566" s="231"/>
      <c r="C566" s="231"/>
      <c r="D566" s="231"/>
      <c r="E566" s="231"/>
      <c r="F566" s="231"/>
      <c r="G566" s="283"/>
      <c r="H566" s="283"/>
      <c r="I566" s="284"/>
      <c r="J566" s="232"/>
      <c r="K566" s="233"/>
      <c r="L566" s="234"/>
      <c r="M566" s="235"/>
      <c r="N566" s="236"/>
      <c r="O566" s="237"/>
      <c r="P566" s="238"/>
      <c r="Q566" s="239"/>
      <c r="S566" s="36"/>
      <c r="T566" s="36"/>
      <c r="X566"/>
    </row>
    <row r="567" spans="1:24">
      <c r="A567" s="231"/>
      <c r="B567" s="231"/>
      <c r="C567" s="231"/>
      <c r="D567" s="231"/>
      <c r="E567" s="231"/>
      <c r="F567" s="231"/>
      <c r="G567" s="283"/>
      <c r="H567" s="283"/>
      <c r="I567" s="284"/>
      <c r="J567" s="232"/>
      <c r="K567" s="233"/>
      <c r="L567" s="234"/>
      <c r="M567" s="235"/>
      <c r="N567" s="236"/>
      <c r="O567" s="237"/>
      <c r="P567" s="238"/>
      <c r="Q567" s="239"/>
      <c r="S567" s="36"/>
      <c r="T567" s="36"/>
      <c r="X567"/>
    </row>
    <row r="568" spans="1:24">
      <c r="A568" s="231"/>
      <c r="B568" s="231"/>
      <c r="C568" s="231"/>
      <c r="D568" s="231"/>
      <c r="E568" s="231"/>
      <c r="F568" s="231"/>
      <c r="G568" s="283"/>
      <c r="H568" s="283"/>
      <c r="I568" s="284"/>
      <c r="J568" s="232"/>
      <c r="K568" s="233"/>
      <c r="L568" s="234"/>
      <c r="M568" s="235"/>
      <c r="N568" s="236"/>
      <c r="O568" s="237"/>
      <c r="P568" s="238"/>
      <c r="Q568" s="239"/>
      <c r="S568" s="36"/>
      <c r="T568" s="36"/>
      <c r="X568"/>
    </row>
    <row r="569" spans="1:24">
      <c r="A569" s="231"/>
      <c r="B569" s="231"/>
      <c r="C569" s="231"/>
      <c r="D569" s="231"/>
      <c r="E569" s="231"/>
      <c r="F569" s="231"/>
      <c r="G569" s="283"/>
      <c r="H569" s="283"/>
      <c r="I569" s="284"/>
      <c r="J569" s="232"/>
      <c r="K569" s="233"/>
      <c r="L569" s="234"/>
      <c r="M569" s="235"/>
      <c r="N569" s="236"/>
      <c r="O569" s="237"/>
      <c r="P569" s="238"/>
      <c r="Q569" s="239"/>
      <c r="S569" s="36"/>
      <c r="T569" s="36"/>
      <c r="X569"/>
    </row>
    <row r="570" spans="1:24">
      <c r="A570" s="231"/>
      <c r="B570" s="231"/>
      <c r="C570" s="231"/>
      <c r="D570" s="231"/>
      <c r="E570" s="231"/>
      <c r="F570" s="231"/>
      <c r="G570" s="283"/>
      <c r="H570" s="283"/>
      <c r="I570" s="284"/>
      <c r="J570" s="232"/>
      <c r="K570" s="233"/>
      <c r="L570" s="234"/>
      <c r="M570" s="235"/>
      <c r="N570" s="236"/>
      <c r="O570" s="237"/>
      <c r="P570" s="238"/>
      <c r="Q570" s="239"/>
      <c r="S570" s="36"/>
      <c r="T570" s="36"/>
      <c r="X570"/>
    </row>
    <row r="571" spans="1:24">
      <c r="A571" s="231"/>
      <c r="B571" s="231"/>
      <c r="C571" s="231"/>
      <c r="D571" s="231"/>
      <c r="E571" s="231"/>
      <c r="F571" s="231"/>
      <c r="G571" s="283"/>
      <c r="H571" s="283"/>
      <c r="I571" s="284"/>
      <c r="J571" s="232"/>
      <c r="K571" s="233"/>
      <c r="L571" s="234"/>
      <c r="M571" s="235"/>
      <c r="N571" s="236"/>
      <c r="O571" s="237"/>
      <c r="P571" s="238"/>
      <c r="Q571" s="239"/>
      <c r="S571" s="36"/>
      <c r="T571" s="36"/>
      <c r="X571"/>
    </row>
    <row r="572" spans="1:24">
      <c r="A572" s="231"/>
      <c r="B572" s="231"/>
      <c r="C572" s="231"/>
      <c r="D572" s="231"/>
      <c r="E572" s="231"/>
      <c r="F572" s="231"/>
      <c r="G572" s="283"/>
      <c r="H572" s="283"/>
      <c r="I572" s="284"/>
      <c r="J572" s="232"/>
      <c r="K572" s="233"/>
      <c r="L572" s="234"/>
      <c r="M572" s="235"/>
      <c r="N572" s="236"/>
      <c r="O572" s="237"/>
      <c r="P572" s="238"/>
      <c r="Q572" s="239"/>
      <c r="S572" s="36"/>
      <c r="T572" s="36"/>
      <c r="X572"/>
    </row>
    <row r="573" spans="1:24">
      <c r="A573" s="231"/>
      <c r="B573" s="231"/>
      <c r="C573" s="231"/>
      <c r="D573" s="231"/>
      <c r="E573" s="231"/>
      <c r="F573" s="231"/>
      <c r="G573" s="283"/>
      <c r="H573" s="283"/>
      <c r="I573" s="284"/>
      <c r="J573" s="232"/>
      <c r="K573" s="233"/>
      <c r="L573" s="234"/>
      <c r="M573" s="235"/>
      <c r="N573" s="236"/>
      <c r="O573" s="237"/>
      <c r="P573" s="238"/>
      <c r="Q573" s="239"/>
      <c r="S573" s="36"/>
      <c r="T573" s="36"/>
      <c r="X573"/>
    </row>
    <row r="574" spans="1:24">
      <c r="A574" s="231"/>
      <c r="B574" s="231"/>
      <c r="C574" s="231"/>
      <c r="D574" s="231"/>
      <c r="E574" s="231"/>
      <c r="F574" s="231"/>
      <c r="G574" s="283"/>
      <c r="H574" s="283"/>
      <c r="I574" s="284"/>
      <c r="J574" s="232"/>
      <c r="K574" s="233"/>
      <c r="L574" s="234"/>
      <c r="M574" s="235"/>
      <c r="N574" s="236"/>
      <c r="O574" s="237"/>
      <c r="P574" s="238"/>
      <c r="Q574" s="239"/>
      <c r="S574" s="36"/>
      <c r="T574" s="36"/>
      <c r="X574"/>
    </row>
    <row r="575" spans="1:24">
      <c r="A575" s="231"/>
      <c r="B575" s="231"/>
      <c r="C575" s="231"/>
      <c r="D575" s="231"/>
      <c r="E575" s="231"/>
      <c r="F575" s="231"/>
      <c r="G575" s="283"/>
      <c r="H575" s="283"/>
      <c r="I575" s="284"/>
      <c r="J575" s="232"/>
      <c r="K575" s="233"/>
      <c r="L575" s="234"/>
      <c r="M575" s="235"/>
      <c r="N575" s="236"/>
      <c r="O575" s="237"/>
      <c r="P575" s="238"/>
      <c r="Q575" s="239"/>
      <c r="S575" s="36"/>
      <c r="T575" s="36"/>
      <c r="X575"/>
    </row>
    <row r="576" spans="1:24">
      <c r="A576" s="231"/>
      <c r="B576" s="231"/>
      <c r="C576" s="231"/>
      <c r="D576" s="231"/>
      <c r="E576" s="231"/>
      <c r="F576" s="231"/>
      <c r="G576" s="283"/>
      <c r="H576" s="283"/>
      <c r="I576" s="284"/>
      <c r="J576" s="232"/>
      <c r="K576" s="233"/>
      <c r="L576" s="234"/>
      <c r="M576" s="235"/>
      <c r="N576" s="236"/>
      <c r="O576" s="237"/>
      <c r="P576" s="238"/>
      <c r="Q576" s="239"/>
      <c r="S576" s="36"/>
      <c r="T576" s="36"/>
      <c r="X576"/>
    </row>
    <row r="577" spans="1:24">
      <c r="A577" s="231"/>
      <c r="B577" s="231"/>
      <c r="C577" s="231"/>
      <c r="D577" s="231"/>
      <c r="E577" s="231"/>
      <c r="F577" s="231"/>
      <c r="G577" s="283"/>
      <c r="H577" s="283"/>
      <c r="I577" s="284"/>
      <c r="J577" s="232"/>
      <c r="K577" s="233"/>
      <c r="L577" s="234"/>
      <c r="M577" s="235"/>
      <c r="N577" s="236"/>
      <c r="O577" s="237"/>
      <c r="P577" s="238"/>
      <c r="Q577" s="239"/>
      <c r="S577" s="36"/>
      <c r="T577" s="36"/>
      <c r="X577"/>
    </row>
    <row r="578" spans="1:24">
      <c r="A578" s="231"/>
      <c r="B578" s="231"/>
      <c r="C578" s="231"/>
      <c r="D578" s="231"/>
      <c r="E578" s="231"/>
      <c r="F578" s="231"/>
      <c r="G578" s="283"/>
      <c r="H578" s="283"/>
      <c r="I578" s="284"/>
      <c r="J578" s="232"/>
      <c r="K578" s="233"/>
      <c r="L578" s="234"/>
      <c r="M578" s="235"/>
      <c r="N578" s="236"/>
      <c r="O578" s="237"/>
      <c r="P578" s="238"/>
      <c r="Q578" s="239"/>
      <c r="S578" s="36"/>
      <c r="T578" s="36"/>
      <c r="X578"/>
    </row>
    <row r="579" spans="1:24">
      <c r="A579" s="231"/>
      <c r="B579" s="231"/>
      <c r="C579" s="231"/>
      <c r="D579" s="231"/>
      <c r="E579" s="231"/>
      <c r="F579" s="231"/>
      <c r="G579" s="283"/>
      <c r="H579" s="283"/>
      <c r="I579" s="284"/>
      <c r="J579" s="232"/>
      <c r="K579" s="233"/>
      <c r="L579" s="234"/>
      <c r="M579" s="235"/>
      <c r="N579" s="236"/>
      <c r="O579" s="237"/>
      <c r="P579" s="238"/>
      <c r="Q579" s="239"/>
      <c r="S579" s="36"/>
      <c r="T579" s="36"/>
      <c r="X579"/>
    </row>
    <row r="580" spans="1:24">
      <c r="A580" s="231"/>
      <c r="B580" s="231"/>
      <c r="C580" s="231"/>
      <c r="D580" s="231"/>
      <c r="E580" s="231"/>
      <c r="F580" s="231"/>
      <c r="G580" s="283"/>
      <c r="H580" s="283"/>
      <c r="I580" s="284"/>
      <c r="J580" s="232"/>
      <c r="K580" s="233"/>
      <c r="L580" s="234"/>
      <c r="M580" s="235"/>
      <c r="N580" s="236"/>
      <c r="O580" s="237"/>
      <c r="P580" s="238"/>
      <c r="Q580" s="239"/>
      <c r="S580" s="36"/>
      <c r="T580" s="36"/>
      <c r="X580"/>
    </row>
    <row r="581" spans="1:24">
      <c r="A581" s="231"/>
      <c r="B581" s="231"/>
      <c r="C581" s="231"/>
      <c r="D581" s="231"/>
      <c r="E581" s="231"/>
      <c r="F581" s="231"/>
      <c r="G581" s="283"/>
      <c r="H581" s="283"/>
      <c r="I581" s="284"/>
      <c r="J581" s="232"/>
      <c r="K581" s="233"/>
      <c r="L581" s="234"/>
      <c r="M581" s="235"/>
      <c r="N581" s="236"/>
      <c r="O581" s="237"/>
      <c r="P581" s="238"/>
      <c r="Q581" s="239"/>
      <c r="S581" s="36"/>
      <c r="T581" s="36"/>
      <c r="X581"/>
    </row>
    <row r="582" spans="1:24">
      <c r="A582" s="231"/>
      <c r="B582" s="231"/>
      <c r="C582" s="231"/>
      <c r="D582" s="231"/>
      <c r="E582" s="231"/>
      <c r="F582" s="231"/>
      <c r="G582" s="283"/>
      <c r="H582" s="283"/>
      <c r="I582" s="284"/>
      <c r="J582" s="232"/>
      <c r="K582" s="233"/>
      <c r="L582" s="234"/>
      <c r="M582" s="235"/>
      <c r="N582" s="236"/>
      <c r="O582" s="237"/>
      <c r="P582" s="238"/>
      <c r="Q582" s="239"/>
      <c r="S582" s="36"/>
      <c r="T582" s="36"/>
      <c r="X582"/>
    </row>
    <row r="583" spans="1:24">
      <c r="A583" s="231"/>
      <c r="B583" s="231"/>
      <c r="C583" s="231"/>
      <c r="D583" s="231"/>
      <c r="E583" s="231"/>
      <c r="F583" s="231"/>
      <c r="G583" s="283"/>
      <c r="H583" s="283"/>
      <c r="I583" s="284"/>
      <c r="J583" s="232"/>
      <c r="K583" s="233"/>
      <c r="L583" s="234"/>
      <c r="M583" s="235"/>
      <c r="N583" s="236"/>
      <c r="O583" s="237"/>
      <c r="P583" s="238"/>
      <c r="Q583" s="239"/>
      <c r="S583" s="36"/>
      <c r="T583" s="36"/>
      <c r="X583"/>
    </row>
    <row r="584" spans="1:24">
      <c r="A584" s="231"/>
      <c r="B584" s="231"/>
      <c r="C584" s="231"/>
      <c r="D584" s="231"/>
      <c r="E584" s="231"/>
      <c r="F584" s="231"/>
      <c r="G584" s="283"/>
      <c r="H584" s="283"/>
      <c r="I584" s="284"/>
      <c r="J584" s="232"/>
      <c r="K584" s="233"/>
      <c r="L584" s="234"/>
      <c r="M584" s="235"/>
      <c r="N584" s="236"/>
      <c r="O584" s="237"/>
      <c r="P584" s="238"/>
      <c r="Q584" s="239"/>
      <c r="S584" s="36"/>
      <c r="T584" s="36"/>
      <c r="X584"/>
    </row>
    <row r="585" spans="1:24">
      <c r="A585" s="231"/>
      <c r="B585" s="231"/>
      <c r="C585" s="231"/>
      <c r="D585" s="231"/>
      <c r="E585" s="231"/>
      <c r="F585" s="231"/>
      <c r="G585" s="283"/>
      <c r="H585" s="283"/>
      <c r="I585" s="284"/>
      <c r="J585" s="232"/>
      <c r="K585" s="233"/>
      <c r="L585" s="234"/>
      <c r="M585" s="235"/>
      <c r="N585" s="236"/>
      <c r="O585" s="237"/>
      <c r="P585" s="238"/>
      <c r="Q585" s="239"/>
      <c r="S585" s="36"/>
      <c r="T585" s="36"/>
      <c r="X585"/>
    </row>
    <row r="586" spans="1:24">
      <c r="A586" s="231"/>
      <c r="B586" s="231"/>
      <c r="C586" s="231"/>
      <c r="D586" s="231"/>
      <c r="E586" s="231"/>
      <c r="F586" s="231"/>
      <c r="G586" s="283"/>
      <c r="H586" s="283"/>
      <c r="I586" s="284"/>
      <c r="J586" s="232"/>
      <c r="K586" s="233"/>
      <c r="L586" s="234"/>
      <c r="M586" s="235"/>
      <c r="N586" s="236"/>
      <c r="O586" s="237"/>
      <c r="P586" s="238"/>
      <c r="Q586" s="239"/>
      <c r="S586" s="36"/>
      <c r="T586" s="36"/>
      <c r="X586"/>
    </row>
    <row r="587" spans="1:24">
      <c r="A587" s="231"/>
      <c r="B587" s="231"/>
      <c r="C587" s="231"/>
      <c r="D587" s="231"/>
      <c r="E587" s="231"/>
      <c r="F587" s="231"/>
      <c r="G587" s="283"/>
      <c r="H587" s="283"/>
      <c r="I587" s="284"/>
      <c r="J587" s="232"/>
      <c r="K587" s="233"/>
      <c r="L587" s="234"/>
      <c r="M587" s="235"/>
      <c r="N587" s="236"/>
      <c r="O587" s="237"/>
      <c r="P587" s="238"/>
      <c r="Q587" s="239"/>
      <c r="S587" s="36"/>
      <c r="T587" s="36"/>
      <c r="X587"/>
    </row>
    <row r="588" spans="1:24">
      <c r="A588" s="231"/>
      <c r="B588" s="231"/>
      <c r="C588" s="231"/>
      <c r="D588" s="231"/>
      <c r="E588" s="231"/>
      <c r="F588" s="231"/>
      <c r="G588" s="283"/>
      <c r="H588" s="283"/>
      <c r="I588" s="284"/>
      <c r="J588" s="232"/>
      <c r="K588" s="233"/>
      <c r="L588" s="234"/>
      <c r="M588" s="235"/>
      <c r="N588" s="236"/>
      <c r="O588" s="237"/>
      <c r="P588" s="238"/>
      <c r="Q588" s="239"/>
      <c r="S588" s="36"/>
      <c r="T588" s="36"/>
      <c r="X588"/>
    </row>
    <row r="589" spans="1:24">
      <c r="A589" s="231"/>
      <c r="B589" s="231"/>
      <c r="C589" s="231"/>
      <c r="D589" s="231"/>
      <c r="E589" s="231"/>
      <c r="F589" s="231"/>
      <c r="G589" s="283"/>
      <c r="H589" s="283"/>
      <c r="I589" s="284"/>
      <c r="J589" s="232"/>
      <c r="K589" s="233"/>
      <c r="L589" s="234"/>
      <c r="M589" s="235"/>
      <c r="N589" s="236"/>
      <c r="O589" s="237"/>
      <c r="P589" s="238"/>
      <c r="Q589" s="239"/>
      <c r="S589" s="36"/>
      <c r="T589" s="36"/>
      <c r="X589"/>
    </row>
    <row r="590" spans="1:24">
      <c r="A590" s="231"/>
      <c r="B590" s="231"/>
      <c r="C590" s="231"/>
      <c r="D590" s="231"/>
      <c r="E590" s="231"/>
      <c r="F590" s="231"/>
      <c r="G590" s="283"/>
      <c r="H590" s="283"/>
      <c r="I590" s="284"/>
      <c r="J590" s="232"/>
      <c r="K590" s="233"/>
      <c r="L590" s="234"/>
      <c r="M590" s="235"/>
      <c r="N590" s="236"/>
      <c r="O590" s="237"/>
      <c r="P590" s="238"/>
      <c r="Q590" s="239"/>
      <c r="S590" s="36"/>
      <c r="T590" s="36"/>
      <c r="X590"/>
    </row>
    <row r="591" spans="1:24">
      <c r="A591" s="231"/>
      <c r="B591" s="231"/>
      <c r="C591" s="231"/>
      <c r="D591" s="231"/>
      <c r="E591" s="231"/>
      <c r="F591" s="231"/>
      <c r="G591" s="283"/>
      <c r="H591" s="283"/>
      <c r="I591" s="284"/>
      <c r="J591" s="232"/>
      <c r="K591" s="233"/>
      <c r="L591" s="234"/>
      <c r="M591" s="235"/>
      <c r="N591" s="236"/>
      <c r="O591" s="237"/>
      <c r="P591" s="238"/>
      <c r="Q591" s="239"/>
      <c r="S591" s="36"/>
      <c r="T591" s="36"/>
      <c r="X591"/>
    </row>
    <row r="592" spans="1:24">
      <c r="A592" s="231"/>
      <c r="B592" s="231"/>
      <c r="C592" s="231"/>
      <c r="D592" s="231"/>
      <c r="E592" s="231"/>
      <c r="F592" s="231"/>
      <c r="G592" s="283"/>
      <c r="H592" s="283"/>
      <c r="I592" s="284"/>
      <c r="J592" s="232"/>
      <c r="K592" s="233"/>
      <c r="L592" s="234"/>
      <c r="M592" s="235"/>
      <c r="N592" s="236"/>
      <c r="O592" s="237"/>
      <c r="P592" s="238"/>
      <c r="Q592" s="239"/>
      <c r="S592" s="36"/>
      <c r="T592" s="36"/>
      <c r="X592"/>
    </row>
    <row r="593" spans="1:24">
      <c r="A593" s="231"/>
      <c r="B593" s="231"/>
      <c r="C593" s="231"/>
      <c r="D593" s="231"/>
      <c r="E593" s="231"/>
      <c r="F593" s="231"/>
      <c r="G593" s="283"/>
      <c r="H593" s="283"/>
      <c r="I593" s="284"/>
      <c r="J593" s="232"/>
      <c r="K593" s="233"/>
      <c r="L593" s="234"/>
      <c r="M593" s="235"/>
      <c r="N593" s="236"/>
      <c r="O593" s="237"/>
      <c r="P593" s="238"/>
      <c r="Q593" s="239"/>
      <c r="S593" s="36"/>
      <c r="T593" s="36"/>
      <c r="X593"/>
    </row>
    <row r="594" spans="1:24">
      <c r="A594" s="231"/>
      <c r="B594" s="231"/>
      <c r="C594" s="231"/>
      <c r="D594" s="231"/>
      <c r="E594" s="231"/>
      <c r="F594" s="231"/>
      <c r="G594" s="283"/>
      <c r="H594" s="283"/>
      <c r="I594" s="284"/>
      <c r="J594" s="232"/>
      <c r="K594" s="233"/>
      <c r="L594" s="234"/>
      <c r="M594" s="235"/>
      <c r="N594" s="236"/>
      <c r="O594" s="237"/>
      <c r="P594" s="238"/>
      <c r="Q594" s="239"/>
      <c r="S594" s="36"/>
      <c r="T594" s="36"/>
      <c r="X594"/>
    </row>
    <row r="595" spans="1:24">
      <c r="A595" s="231"/>
      <c r="B595" s="231"/>
      <c r="C595" s="231"/>
      <c r="D595" s="231"/>
      <c r="E595" s="231"/>
      <c r="F595" s="231"/>
      <c r="G595" s="283"/>
      <c r="H595" s="283"/>
      <c r="I595" s="284"/>
      <c r="J595" s="232"/>
      <c r="K595" s="233"/>
      <c r="L595" s="234"/>
      <c r="M595" s="235"/>
      <c r="N595" s="236"/>
      <c r="O595" s="237"/>
      <c r="P595" s="238"/>
      <c r="Q595" s="239"/>
      <c r="S595" s="36"/>
      <c r="T595" s="36"/>
      <c r="X595"/>
    </row>
    <row r="596" spans="1:24">
      <c r="A596" s="231"/>
      <c r="B596" s="231"/>
      <c r="C596" s="231"/>
      <c r="D596" s="231"/>
      <c r="E596" s="231"/>
      <c r="F596" s="231"/>
      <c r="G596" s="283"/>
      <c r="H596" s="283"/>
      <c r="I596" s="284"/>
      <c r="J596" s="232"/>
      <c r="K596" s="233"/>
      <c r="L596" s="234"/>
      <c r="M596" s="235"/>
      <c r="N596" s="236"/>
      <c r="O596" s="237"/>
      <c r="P596" s="238"/>
      <c r="Q596" s="239"/>
      <c r="S596" s="36"/>
      <c r="T596" s="36"/>
      <c r="X596"/>
    </row>
    <row r="597" spans="1:24">
      <c r="A597" s="231"/>
      <c r="B597" s="231"/>
      <c r="C597" s="231"/>
      <c r="D597" s="231"/>
      <c r="E597" s="231"/>
      <c r="F597" s="231"/>
      <c r="G597" s="283"/>
      <c r="H597" s="283"/>
      <c r="I597" s="284"/>
      <c r="J597" s="232"/>
      <c r="K597" s="233"/>
      <c r="L597" s="234"/>
      <c r="M597" s="235"/>
      <c r="N597" s="236"/>
      <c r="O597" s="237"/>
      <c r="P597" s="238"/>
      <c r="Q597" s="239"/>
      <c r="S597" s="36"/>
      <c r="T597" s="36"/>
      <c r="X597"/>
    </row>
    <row r="598" spans="1:24">
      <c r="A598" s="231"/>
      <c r="B598" s="231"/>
      <c r="C598" s="231"/>
      <c r="D598" s="231"/>
      <c r="E598" s="231"/>
      <c r="F598" s="231"/>
      <c r="G598" s="283"/>
      <c r="H598" s="283"/>
      <c r="I598" s="284"/>
      <c r="J598" s="232"/>
      <c r="K598" s="233"/>
      <c r="L598" s="234"/>
      <c r="M598" s="235"/>
      <c r="N598" s="236"/>
      <c r="O598" s="237"/>
      <c r="P598" s="238"/>
      <c r="Q598" s="239"/>
      <c r="S598" s="36"/>
      <c r="T598" s="36"/>
      <c r="X598"/>
    </row>
    <row r="599" spans="1:24">
      <c r="A599" s="231"/>
      <c r="B599" s="231"/>
      <c r="C599" s="231"/>
      <c r="D599" s="231"/>
      <c r="E599" s="231"/>
      <c r="F599" s="231"/>
      <c r="G599" s="283"/>
      <c r="H599" s="283"/>
      <c r="I599" s="284"/>
      <c r="J599" s="232"/>
      <c r="K599" s="233"/>
      <c r="L599" s="234"/>
      <c r="M599" s="235"/>
      <c r="N599" s="236"/>
      <c r="O599" s="237"/>
      <c r="P599" s="238"/>
      <c r="Q599" s="239"/>
      <c r="S599" s="36"/>
      <c r="T599" s="36"/>
      <c r="X599"/>
    </row>
    <row r="600" spans="1:24">
      <c r="A600" s="231"/>
      <c r="B600" s="231"/>
      <c r="C600" s="231"/>
      <c r="D600" s="231"/>
      <c r="E600" s="231"/>
      <c r="F600" s="231"/>
      <c r="G600" s="283"/>
      <c r="H600" s="283"/>
      <c r="I600" s="284"/>
      <c r="J600" s="232"/>
      <c r="K600" s="233"/>
      <c r="L600" s="234"/>
      <c r="M600" s="235"/>
      <c r="N600" s="236"/>
      <c r="O600" s="237"/>
      <c r="P600" s="238"/>
      <c r="Q600" s="239"/>
      <c r="S600" s="36"/>
      <c r="T600" s="36"/>
      <c r="X600"/>
    </row>
    <row r="601" spans="1:24">
      <c r="A601" s="231"/>
      <c r="B601" s="231"/>
      <c r="C601" s="231"/>
      <c r="D601" s="231"/>
      <c r="E601" s="231"/>
      <c r="F601" s="231"/>
      <c r="G601" s="283"/>
      <c r="H601" s="283"/>
      <c r="I601" s="284"/>
      <c r="J601" s="232"/>
      <c r="K601" s="233"/>
      <c r="L601" s="234"/>
      <c r="M601" s="235"/>
      <c r="N601" s="236"/>
      <c r="O601" s="237"/>
      <c r="P601" s="238"/>
      <c r="Q601" s="239"/>
      <c r="S601" s="36"/>
      <c r="T601" s="36"/>
      <c r="X601"/>
    </row>
    <row r="602" spans="1:24">
      <c r="A602" s="231"/>
      <c r="B602" s="231"/>
      <c r="C602" s="231"/>
      <c r="D602" s="231"/>
      <c r="E602" s="231"/>
      <c r="F602" s="231"/>
      <c r="G602" s="283"/>
      <c r="H602" s="283"/>
      <c r="I602" s="284"/>
      <c r="J602" s="232"/>
      <c r="K602" s="233"/>
      <c r="L602" s="234"/>
      <c r="M602" s="235"/>
      <c r="N602" s="236"/>
      <c r="O602" s="237"/>
      <c r="P602" s="238"/>
      <c r="Q602" s="239"/>
      <c r="S602" s="36"/>
      <c r="T602" s="36"/>
      <c r="X602"/>
    </row>
    <row r="603" spans="1:24">
      <c r="A603" s="231"/>
      <c r="B603" s="231"/>
      <c r="C603" s="231"/>
      <c r="D603" s="231"/>
      <c r="E603" s="231"/>
      <c r="F603" s="231"/>
      <c r="G603" s="283"/>
      <c r="H603" s="283"/>
      <c r="I603" s="284"/>
      <c r="J603" s="232"/>
      <c r="K603" s="233"/>
      <c r="L603" s="234"/>
      <c r="M603" s="235"/>
      <c r="N603" s="236"/>
      <c r="O603" s="237"/>
      <c r="P603" s="238"/>
      <c r="Q603" s="239"/>
      <c r="S603" s="36"/>
      <c r="T603" s="36"/>
      <c r="X603"/>
    </row>
    <row r="604" spans="1:24">
      <c r="A604" s="231"/>
      <c r="B604" s="231"/>
      <c r="C604" s="231"/>
      <c r="D604" s="231"/>
      <c r="E604" s="231"/>
      <c r="F604" s="231"/>
      <c r="G604" s="283"/>
      <c r="H604" s="283"/>
      <c r="I604" s="284"/>
      <c r="J604" s="232"/>
      <c r="K604" s="233"/>
      <c r="L604" s="234"/>
      <c r="M604" s="235"/>
      <c r="N604" s="236"/>
      <c r="O604" s="237"/>
      <c r="P604" s="238"/>
      <c r="Q604" s="239"/>
      <c r="S604" s="36"/>
      <c r="T604" s="36"/>
      <c r="X604"/>
    </row>
    <row r="605" spans="1:24">
      <c r="A605" s="231"/>
      <c r="B605" s="231"/>
      <c r="C605" s="231"/>
      <c r="D605" s="231"/>
      <c r="E605" s="231"/>
      <c r="F605" s="231"/>
      <c r="G605" s="283"/>
      <c r="H605" s="283"/>
      <c r="I605" s="284"/>
      <c r="J605" s="232"/>
      <c r="K605" s="233"/>
      <c r="L605" s="234"/>
      <c r="M605" s="235"/>
      <c r="N605" s="236"/>
      <c r="O605" s="237"/>
      <c r="P605" s="238"/>
      <c r="Q605" s="239"/>
      <c r="S605" s="36"/>
      <c r="T605" s="36"/>
      <c r="X605"/>
    </row>
    <row r="606" spans="1:24">
      <c r="A606" s="231"/>
      <c r="B606" s="231"/>
      <c r="C606" s="231"/>
      <c r="D606" s="231"/>
      <c r="E606" s="231"/>
      <c r="F606" s="231"/>
      <c r="G606" s="283"/>
      <c r="H606" s="283"/>
      <c r="I606" s="284"/>
      <c r="J606" s="232"/>
      <c r="K606" s="233"/>
      <c r="L606" s="234"/>
      <c r="M606" s="235"/>
      <c r="N606" s="236"/>
      <c r="O606" s="237"/>
      <c r="P606" s="238"/>
      <c r="Q606" s="239"/>
      <c r="S606" s="36"/>
      <c r="T606" s="36"/>
      <c r="X606"/>
    </row>
    <row r="607" spans="1:24">
      <c r="A607" s="231"/>
      <c r="B607" s="231"/>
      <c r="C607" s="231"/>
      <c r="D607" s="231"/>
      <c r="E607" s="231"/>
      <c r="F607" s="231"/>
      <c r="G607" s="283"/>
      <c r="H607" s="283"/>
      <c r="I607" s="284"/>
      <c r="J607" s="232"/>
      <c r="K607" s="233"/>
      <c r="L607" s="234"/>
      <c r="M607" s="235"/>
      <c r="N607" s="236"/>
      <c r="O607" s="237"/>
      <c r="P607" s="238"/>
      <c r="Q607" s="239"/>
      <c r="S607" s="36"/>
      <c r="T607" s="36"/>
      <c r="X607"/>
    </row>
    <row r="608" spans="1:24">
      <c r="A608" s="231"/>
      <c r="B608" s="231"/>
      <c r="C608" s="231"/>
      <c r="D608" s="231"/>
      <c r="E608" s="231"/>
      <c r="F608" s="231"/>
      <c r="G608" s="283"/>
      <c r="H608" s="283"/>
      <c r="I608" s="284"/>
      <c r="J608" s="232"/>
      <c r="K608" s="233"/>
      <c r="L608" s="234"/>
      <c r="M608" s="235"/>
      <c r="N608" s="236"/>
      <c r="O608" s="237"/>
      <c r="P608" s="238"/>
      <c r="Q608" s="239"/>
      <c r="S608" s="36"/>
      <c r="T608" s="36"/>
      <c r="X608"/>
    </row>
    <row r="609" spans="1:24">
      <c r="A609" s="231"/>
      <c r="B609" s="231"/>
      <c r="C609" s="231"/>
      <c r="D609" s="231"/>
      <c r="E609" s="231"/>
      <c r="F609" s="231"/>
      <c r="G609" s="283"/>
      <c r="H609" s="283"/>
      <c r="I609" s="284"/>
      <c r="J609" s="232"/>
      <c r="K609" s="233"/>
      <c r="L609" s="234"/>
      <c r="M609" s="235"/>
      <c r="N609" s="236"/>
      <c r="O609" s="237"/>
      <c r="P609" s="238"/>
      <c r="Q609" s="239"/>
      <c r="S609" s="36"/>
      <c r="T609" s="36"/>
      <c r="X609"/>
    </row>
    <row r="610" spans="1:24">
      <c r="A610" s="231"/>
      <c r="B610" s="231"/>
      <c r="C610" s="231"/>
      <c r="D610" s="231"/>
      <c r="E610" s="231"/>
      <c r="F610" s="231"/>
      <c r="G610" s="283"/>
      <c r="H610" s="283"/>
      <c r="I610" s="284"/>
      <c r="J610" s="232"/>
      <c r="K610" s="233"/>
      <c r="L610" s="234"/>
      <c r="M610" s="235"/>
      <c r="N610" s="236"/>
      <c r="O610" s="237"/>
      <c r="P610" s="238"/>
      <c r="Q610" s="239"/>
      <c r="S610" s="36"/>
      <c r="T610" s="36"/>
      <c r="X610"/>
    </row>
    <row r="611" spans="1:24">
      <c r="A611" s="231"/>
      <c r="B611" s="231"/>
      <c r="C611" s="231"/>
      <c r="D611" s="231"/>
      <c r="E611" s="231"/>
      <c r="F611" s="231"/>
      <c r="G611" s="283"/>
      <c r="H611" s="283"/>
      <c r="I611" s="284"/>
      <c r="J611" s="232"/>
      <c r="K611" s="233"/>
      <c r="L611" s="234"/>
      <c r="M611" s="235"/>
      <c r="N611" s="236"/>
      <c r="O611" s="237"/>
      <c r="P611" s="238"/>
      <c r="Q611" s="239"/>
      <c r="S611" s="36"/>
      <c r="T611" s="36"/>
      <c r="X611"/>
    </row>
    <row r="612" spans="1:24">
      <c r="A612" s="231"/>
      <c r="B612" s="231"/>
      <c r="C612" s="231"/>
      <c r="D612" s="231"/>
      <c r="E612" s="231"/>
      <c r="F612" s="231"/>
      <c r="G612" s="283"/>
      <c r="H612" s="283"/>
      <c r="I612" s="284"/>
      <c r="J612" s="232"/>
      <c r="K612" s="233"/>
      <c r="L612" s="234"/>
      <c r="M612" s="235"/>
      <c r="N612" s="236"/>
      <c r="O612" s="237"/>
      <c r="P612" s="238"/>
      <c r="Q612" s="239"/>
      <c r="S612" s="36"/>
      <c r="T612" s="36"/>
      <c r="X612"/>
    </row>
    <row r="613" spans="1:24">
      <c r="A613" s="231"/>
      <c r="B613" s="231"/>
      <c r="C613" s="231"/>
      <c r="D613" s="231"/>
      <c r="E613" s="231"/>
      <c r="F613" s="231"/>
      <c r="G613" s="283"/>
      <c r="H613" s="283"/>
      <c r="I613" s="284"/>
      <c r="J613" s="232"/>
      <c r="K613" s="233"/>
      <c r="L613" s="234"/>
      <c r="M613" s="235"/>
      <c r="N613" s="236"/>
      <c r="O613" s="237"/>
      <c r="P613" s="238"/>
      <c r="Q613" s="239"/>
      <c r="S613" s="36"/>
      <c r="T613" s="36"/>
      <c r="X613"/>
    </row>
    <row r="614" spans="1:24">
      <c r="A614" s="231"/>
      <c r="B614" s="231"/>
      <c r="C614" s="231"/>
      <c r="D614" s="231"/>
      <c r="E614" s="231"/>
      <c r="F614" s="231"/>
      <c r="G614" s="283"/>
      <c r="H614" s="283"/>
      <c r="I614" s="284"/>
      <c r="J614" s="232"/>
      <c r="K614" s="233"/>
      <c r="L614" s="234"/>
      <c r="M614" s="235"/>
      <c r="N614" s="236"/>
      <c r="O614" s="237"/>
      <c r="P614" s="238"/>
      <c r="Q614" s="239"/>
      <c r="S614" s="36"/>
      <c r="T614" s="36"/>
      <c r="X614"/>
    </row>
    <row r="615" spans="1:24">
      <c r="A615" s="231"/>
      <c r="B615" s="231"/>
      <c r="C615" s="231"/>
      <c r="D615" s="231"/>
      <c r="E615" s="231"/>
      <c r="F615" s="231"/>
      <c r="G615" s="283"/>
      <c r="H615" s="283"/>
      <c r="I615" s="284"/>
      <c r="J615" s="232"/>
      <c r="K615" s="233"/>
      <c r="L615" s="234"/>
      <c r="M615" s="235"/>
      <c r="N615" s="236"/>
      <c r="O615" s="237"/>
      <c r="P615" s="238"/>
      <c r="Q615" s="239"/>
      <c r="S615" s="36"/>
      <c r="T615" s="36"/>
      <c r="X615"/>
    </row>
    <row r="616" spans="1:24">
      <c r="A616" s="231"/>
      <c r="B616" s="231"/>
      <c r="C616" s="231"/>
      <c r="D616" s="231"/>
      <c r="E616" s="231"/>
      <c r="F616" s="231"/>
      <c r="G616" s="283"/>
      <c r="H616" s="283"/>
      <c r="I616" s="284"/>
      <c r="J616" s="232"/>
      <c r="K616" s="233"/>
      <c r="L616" s="234"/>
      <c r="M616" s="235"/>
      <c r="N616" s="236"/>
      <c r="O616" s="237"/>
      <c r="P616" s="238"/>
      <c r="Q616" s="239"/>
      <c r="S616" s="36"/>
      <c r="T616" s="36"/>
      <c r="X616"/>
    </row>
    <row r="617" spans="1:24">
      <c r="A617" s="231"/>
      <c r="B617" s="231"/>
      <c r="C617" s="231"/>
      <c r="D617" s="231"/>
      <c r="E617" s="231"/>
      <c r="F617" s="231"/>
      <c r="G617" s="283"/>
      <c r="H617" s="283"/>
      <c r="I617" s="284"/>
      <c r="J617" s="232"/>
      <c r="K617" s="233"/>
      <c r="L617" s="234"/>
      <c r="M617" s="235"/>
      <c r="N617" s="236"/>
      <c r="O617" s="237"/>
      <c r="P617" s="238"/>
      <c r="Q617" s="239"/>
      <c r="S617" s="36"/>
      <c r="T617" s="36"/>
      <c r="X617"/>
    </row>
    <row r="618" spans="1:24">
      <c r="A618" s="231"/>
      <c r="B618" s="231"/>
      <c r="C618" s="231"/>
      <c r="D618" s="231"/>
      <c r="E618" s="231"/>
      <c r="F618" s="231"/>
      <c r="G618" s="283"/>
      <c r="H618" s="283"/>
      <c r="I618" s="284"/>
      <c r="J618" s="232"/>
      <c r="K618" s="233"/>
      <c r="L618" s="234"/>
      <c r="M618" s="235"/>
      <c r="N618" s="236"/>
      <c r="O618" s="237"/>
      <c r="P618" s="238"/>
      <c r="Q618" s="239"/>
      <c r="S618" s="36"/>
      <c r="T618" s="36"/>
      <c r="X618"/>
    </row>
    <row r="619" spans="1:24">
      <c r="A619" s="231"/>
      <c r="B619" s="231"/>
      <c r="C619" s="231"/>
      <c r="D619" s="231"/>
      <c r="E619" s="231"/>
      <c r="F619" s="231"/>
      <c r="G619" s="283"/>
      <c r="H619" s="283"/>
      <c r="I619" s="284"/>
      <c r="J619" s="232"/>
      <c r="K619" s="233"/>
      <c r="L619" s="234"/>
      <c r="M619" s="235"/>
      <c r="N619" s="236"/>
      <c r="O619" s="237"/>
      <c r="P619" s="238"/>
      <c r="Q619" s="239"/>
      <c r="S619" s="36"/>
      <c r="T619" s="36"/>
      <c r="X619"/>
    </row>
    <row r="620" spans="1:24">
      <c r="A620" s="231"/>
      <c r="B620" s="231"/>
      <c r="C620" s="231"/>
      <c r="D620" s="231"/>
      <c r="E620" s="231"/>
      <c r="F620" s="231"/>
      <c r="G620" s="283"/>
      <c r="H620" s="283"/>
      <c r="I620" s="284"/>
      <c r="J620" s="232"/>
      <c r="K620" s="233"/>
      <c r="L620" s="234"/>
      <c r="M620" s="235"/>
      <c r="N620" s="236"/>
      <c r="O620" s="237"/>
      <c r="P620" s="238"/>
      <c r="Q620" s="239"/>
      <c r="S620" s="36"/>
      <c r="T620" s="36"/>
      <c r="X620"/>
    </row>
    <row r="621" spans="1:24">
      <c r="A621" s="231"/>
      <c r="B621" s="231"/>
      <c r="C621" s="231"/>
      <c r="D621" s="231"/>
      <c r="E621" s="231"/>
      <c r="F621" s="231"/>
      <c r="G621" s="283"/>
      <c r="H621" s="283"/>
      <c r="I621" s="284"/>
      <c r="J621" s="232"/>
      <c r="K621" s="233"/>
      <c r="L621" s="234"/>
      <c r="M621" s="235"/>
      <c r="N621" s="236"/>
      <c r="O621" s="237"/>
      <c r="P621" s="238"/>
      <c r="Q621" s="239"/>
      <c r="S621" s="36"/>
      <c r="T621" s="36"/>
      <c r="X621"/>
    </row>
    <row r="622" spans="1:24">
      <c r="A622" s="231"/>
      <c r="B622" s="231"/>
      <c r="C622" s="231"/>
      <c r="D622" s="231"/>
      <c r="E622" s="231"/>
      <c r="F622" s="231"/>
      <c r="G622" s="283"/>
      <c r="H622" s="283"/>
      <c r="I622" s="284"/>
      <c r="J622" s="232"/>
      <c r="K622" s="233"/>
      <c r="L622" s="234"/>
      <c r="M622" s="235"/>
      <c r="N622" s="236"/>
      <c r="O622" s="237"/>
      <c r="P622" s="238"/>
      <c r="Q622" s="239"/>
      <c r="S622" s="36"/>
      <c r="T622" s="36"/>
      <c r="X622"/>
    </row>
    <row r="623" spans="1:24">
      <c r="A623" s="231"/>
      <c r="B623" s="231"/>
      <c r="C623" s="231"/>
      <c r="D623" s="231"/>
      <c r="E623" s="231"/>
      <c r="F623" s="231"/>
      <c r="G623" s="283"/>
      <c r="H623" s="283"/>
      <c r="I623" s="284"/>
      <c r="J623" s="232"/>
      <c r="K623" s="233"/>
      <c r="L623" s="234"/>
      <c r="M623" s="235"/>
      <c r="N623" s="236"/>
      <c r="O623" s="237"/>
      <c r="P623" s="238"/>
      <c r="Q623" s="239"/>
      <c r="S623" s="36"/>
      <c r="T623" s="36"/>
      <c r="X623"/>
    </row>
    <row r="624" spans="1:24">
      <c r="A624" s="231"/>
      <c r="B624" s="231"/>
      <c r="C624" s="231"/>
      <c r="D624" s="231"/>
      <c r="E624" s="231"/>
      <c r="F624" s="231"/>
      <c r="G624" s="283"/>
      <c r="H624" s="283"/>
      <c r="I624" s="284"/>
      <c r="J624" s="232"/>
      <c r="K624" s="233"/>
      <c r="L624" s="234"/>
      <c r="M624" s="235"/>
      <c r="N624" s="236"/>
      <c r="O624" s="237"/>
      <c r="P624" s="238"/>
      <c r="Q624" s="239"/>
      <c r="S624" s="36"/>
      <c r="T624" s="36"/>
      <c r="X624"/>
    </row>
    <row r="625" spans="1:24">
      <c r="A625" s="231"/>
      <c r="B625" s="231"/>
      <c r="C625" s="231"/>
      <c r="D625" s="231"/>
      <c r="E625" s="231"/>
      <c r="F625" s="231"/>
      <c r="G625" s="283"/>
      <c r="H625" s="283"/>
      <c r="I625" s="284"/>
      <c r="J625" s="232"/>
      <c r="K625" s="233"/>
      <c r="L625" s="234"/>
      <c r="M625" s="235"/>
      <c r="N625" s="236"/>
      <c r="O625" s="237"/>
      <c r="P625" s="238"/>
      <c r="Q625" s="239"/>
      <c r="S625" s="36"/>
      <c r="T625" s="36"/>
      <c r="X625"/>
    </row>
    <row r="626" spans="1:24">
      <c r="A626" s="231"/>
      <c r="B626" s="231"/>
      <c r="C626" s="231"/>
      <c r="D626" s="231"/>
      <c r="E626" s="231"/>
      <c r="F626" s="231"/>
      <c r="G626" s="283"/>
      <c r="H626" s="283"/>
      <c r="I626" s="284"/>
      <c r="J626" s="232"/>
      <c r="K626" s="233"/>
      <c r="L626" s="234"/>
      <c r="M626" s="235"/>
      <c r="N626" s="236"/>
      <c r="O626" s="237"/>
      <c r="P626" s="238"/>
      <c r="Q626" s="239"/>
      <c r="S626" s="36"/>
      <c r="T626" s="36"/>
      <c r="X626"/>
    </row>
    <row r="627" spans="1:24">
      <c r="A627" s="231"/>
      <c r="B627" s="231"/>
      <c r="C627" s="231"/>
      <c r="D627" s="231"/>
      <c r="E627" s="231"/>
      <c r="F627" s="231"/>
      <c r="G627" s="283"/>
      <c r="H627" s="283"/>
      <c r="I627" s="284"/>
      <c r="J627" s="232"/>
      <c r="K627" s="233"/>
      <c r="L627" s="234"/>
      <c r="M627" s="235"/>
      <c r="N627" s="236"/>
      <c r="O627" s="237"/>
      <c r="P627" s="238"/>
      <c r="Q627" s="239"/>
      <c r="S627" s="36"/>
      <c r="T627" s="36"/>
      <c r="X627"/>
    </row>
    <row r="628" spans="1:24">
      <c r="A628" s="231"/>
      <c r="B628" s="231"/>
      <c r="C628" s="231"/>
      <c r="D628" s="231"/>
      <c r="E628" s="231"/>
      <c r="F628" s="231"/>
      <c r="G628" s="283"/>
      <c r="H628" s="283"/>
      <c r="I628" s="284"/>
      <c r="J628" s="232"/>
      <c r="K628" s="233"/>
      <c r="L628" s="234"/>
      <c r="M628" s="235"/>
      <c r="N628" s="236"/>
      <c r="O628" s="237"/>
      <c r="P628" s="238"/>
      <c r="Q628" s="239"/>
      <c r="S628" s="36"/>
      <c r="T628" s="36"/>
      <c r="X628"/>
    </row>
    <row r="629" spans="1:24">
      <c r="A629" s="231"/>
      <c r="B629" s="231"/>
      <c r="C629" s="231"/>
      <c r="D629" s="231"/>
      <c r="E629" s="231"/>
      <c r="F629" s="231"/>
      <c r="G629" s="283"/>
      <c r="H629" s="283"/>
      <c r="I629" s="284"/>
      <c r="J629" s="232"/>
      <c r="K629" s="233"/>
      <c r="L629" s="234"/>
      <c r="M629" s="235"/>
      <c r="N629" s="236"/>
      <c r="O629" s="237"/>
      <c r="P629" s="238"/>
      <c r="Q629" s="239"/>
      <c r="S629" s="36"/>
      <c r="T629" s="36"/>
      <c r="X629"/>
    </row>
    <row r="630" spans="1:24">
      <c r="A630" s="231"/>
      <c r="B630" s="231"/>
      <c r="C630" s="231"/>
      <c r="D630" s="231"/>
      <c r="E630" s="231"/>
      <c r="F630" s="231"/>
      <c r="G630" s="283"/>
      <c r="H630" s="283"/>
      <c r="I630" s="284"/>
      <c r="J630" s="232"/>
      <c r="K630" s="233"/>
      <c r="L630" s="234"/>
      <c r="M630" s="235"/>
      <c r="N630" s="236"/>
      <c r="O630" s="237"/>
      <c r="P630" s="238"/>
      <c r="Q630" s="239"/>
      <c r="S630" s="36"/>
      <c r="T630" s="36"/>
      <c r="X630"/>
    </row>
    <row r="631" spans="1:24">
      <c r="A631" s="231"/>
      <c r="B631" s="231"/>
      <c r="C631" s="231"/>
      <c r="D631" s="231"/>
      <c r="E631" s="231"/>
      <c r="F631" s="231"/>
      <c r="G631" s="283"/>
      <c r="H631" s="283"/>
      <c r="I631" s="284"/>
      <c r="J631" s="232"/>
      <c r="K631" s="233"/>
      <c r="L631" s="234"/>
      <c r="M631" s="235"/>
      <c r="N631" s="236"/>
      <c r="O631" s="237"/>
      <c r="P631" s="238"/>
      <c r="Q631" s="239"/>
      <c r="S631" s="36"/>
      <c r="T631" s="36"/>
      <c r="X631"/>
    </row>
    <row r="632" spans="1:24">
      <c r="A632" s="231"/>
      <c r="B632" s="231"/>
      <c r="C632" s="231"/>
      <c r="D632" s="231"/>
      <c r="E632" s="231"/>
      <c r="F632" s="231"/>
      <c r="G632" s="283"/>
      <c r="H632" s="283"/>
      <c r="I632" s="284"/>
      <c r="J632" s="232"/>
      <c r="K632" s="233"/>
      <c r="L632" s="234"/>
      <c r="M632" s="235"/>
      <c r="N632" s="236"/>
      <c r="O632" s="237"/>
      <c r="P632" s="238"/>
      <c r="Q632" s="239"/>
      <c r="S632" s="36"/>
      <c r="T632" s="36"/>
      <c r="X632"/>
    </row>
    <row r="633" spans="1:24">
      <c r="A633" s="231"/>
      <c r="B633" s="231"/>
      <c r="C633" s="231"/>
      <c r="D633" s="231"/>
      <c r="E633" s="231"/>
      <c r="F633" s="231"/>
      <c r="G633" s="283"/>
      <c r="H633" s="283"/>
      <c r="I633" s="284"/>
      <c r="J633" s="232"/>
      <c r="K633" s="233"/>
      <c r="L633" s="234"/>
      <c r="M633" s="235"/>
      <c r="N633" s="236"/>
      <c r="O633" s="237"/>
      <c r="P633" s="238"/>
      <c r="Q633" s="239"/>
      <c r="S633" s="36"/>
      <c r="T633" s="36"/>
      <c r="X633"/>
    </row>
    <row r="634" spans="1:24">
      <c r="A634" s="231"/>
      <c r="B634" s="231"/>
      <c r="C634" s="231"/>
      <c r="D634" s="231"/>
      <c r="E634" s="231"/>
      <c r="F634" s="231"/>
      <c r="G634" s="283"/>
      <c r="H634" s="283"/>
      <c r="I634" s="284"/>
      <c r="J634" s="232"/>
      <c r="K634" s="233"/>
      <c r="L634" s="234"/>
      <c r="M634" s="235"/>
      <c r="N634" s="236"/>
      <c r="O634" s="237"/>
      <c r="P634" s="238"/>
      <c r="Q634" s="239"/>
      <c r="S634" s="36"/>
      <c r="T634" s="36"/>
      <c r="X634"/>
    </row>
    <row r="635" spans="1:24">
      <c r="A635" s="231"/>
      <c r="B635" s="231"/>
      <c r="C635" s="231"/>
      <c r="D635" s="231"/>
      <c r="E635" s="231"/>
      <c r="F635" s="231"/>
      <c r="G635" s="283"/>
      <c r="H635" s="283"/>
      <c r="I635" s="284"/>
      <c r="J635" s="232"/>
      <c r="K635" s="233"/>
      <c r="L635" s="234"/>
      <c r="M635" s="235"/>
      <c r="N635" s="236"/>
      <c r="O635" s="237"/>
      <c r="P635" s="238"/>
      <c r="Q635" s="239"/>
      <c r="S635" s="36"/>
      <c r="T635" s="36"/>
      <c r="X635"/>
    </row>
    <row r="636" spans="1:24">
      <c r="A636" s="231"/>
      <c r="B636" s="231"/>
      <c r="C636" s="231"/>
      <c r="D636" s="231"/>
      <c r="E636" s="231"/>
      <c r="F636" s="231"/>
      <c r="G636" s="283"/>
      <c r="H636" s="283"/>
      <c r="I636" s="284"/>
      <c r="J636" s="232"/>
      <c r="K636" s="233"/>
      <c r="L636" s="234"/>
      <c r="M636" s="235"/>
      <c r="N636" s="236"/>
      <c r="O636" s="237"/>
      <c r="P636" s="238"/>
      <c r="Q636" s="239"/>
      <c r="S636" s="36"/>
      <c r="T636" s="36"/>
      <c r="X636"/>
    </row>
    <row r="637" spans="1:24">
      <c r="A637" s="231"/>
      <c r="B637" s="231"/>
      <c r="C637" s="231"/>
      <c r="D637" s="231"/>
      <c r="E637" s="231"/>
      <c r="F637" s="231"/>
      <c r="G637" s="283"/>
      <c r="H637" s="283"/>
      <c r="I637" s="284"/>
      <c r="J637" s="232"/>
      <c r="K637" s="233"/>
      <c r="L637" s="234"/>
      <c r="M637" s="235"/>
      <c r="N637" s="236"/>
      <c r="O637" s="237"/>
      <c r="P637" s="238"/>
      <c r="Q637" s="239"/>
      <c r="S637" s="36"/>
      <c r="T637" s="36"/>
      <c r="X637"/>
    </row>
    <row r="638" spans="1:24">
      <c r="A638" s="231"/>
      <c r="B638" s="231"/>
      <c r="C638" s="231"/>
      <c r="D638" s="231"/>
      <c r="E638" s="231"/>
      <c r="F638" s="231"/>
      <c r="G638" s="283"/>
      <c r="H638" s="283"/>
      <c r="I638" s="284"/>
      <c r="J638" s="232"/>
      <c r="K638" s="233"/>
      <c r="L638" s="234"/>
      <c r="M638" s="235"/>
      <c r="N638" s="236"/>
      <c r="O638" s="237"/>
      <c r="P638" s="238"/>
      <c r="Q638" s="239"/>
      <c r="S638" s="36"/>
      <c r="T638" s="36"/>
      <c r="X638"/>
    </row>
    <row r="639" spans="1:24">
      <c r="A639" s="231"/>
      <c r="B639" s="231"/>
      <c r="C639" s="231"/>
      <c r="D639" s="231"/>
      <c r="E639" s="231"/>
      <c r="F639" s="231"/>
      <c r="G639" s="283"/>
      <c r="H639" s="283"/>
      <c r="I639" s="284"/>
      <c r="J639" s="232"/>
      <c r="K639" s="233"/>
      <c r="L639" s="234"/>
      <c r="M639" s="235"/>
      <c r="N639" s="236"/>
      <c r="O639" s="237"/>
      <c r="P639" s="238"/>
      <c r="Q639" s="239"/>
      <c r="S639" s="36"/>
      <c r="T639" s="36"/>
      <c r="X639"/>
    </row>
    <row r="640" spans="1:24">
      <c r="A640" s="231"/>
      <c r="B640" s="231"/>
      <c r="C640" s="231"/>
      <c r="D640" s="231"/>
      <c r="E640" s="231"/>
      <c r="F640" s="231"/>
      <c r="G640" s="283"/>
      <c r="H640" s="283"/>
      <c r="I640" s="284"/>
      <c r="J640" s="232"/>
      <c r="K640" s="233"/>
      <c r="L640" s="234"/>
      <c r="M640" s="235"/>
      <c r="N640" s="236"/>
      <c r="O640" s="237"/>
      <c r="P640" s="238"/>
      <c r="Q640" s="239"/>
      <c r="S640" s="36"/>
      <c r="T640" s="36"/>
      <c r="X640"/>
    </row>
    <row r="641" spans="1:24">
      <c r="A641" s="231"/>
      <c r="B641" s="231"/>
      <c r="C641" s="231"/>
      <c r="D641" s="231"/>
      <c r="E641" s="231"/>
      <c r="F641" s="231"/>
      <c r="G641" s="283"/>
      <c r="H641" s="283"/>
      <c r="I641" s="284"/>
      <c r="J641" s="232"/>
      <c r="K641" s="233"/>
      <c r="L641" s="234"/>
      <c r="M641" s="235"/>
      <c r="N641" s="236"/>
      <c r="O641" s="237"/>
      <c r="P641" s="238"/>
      <c r="Q641" s="239"/>
      <c r="S641" s="36"/>
      <c r="T641" s="36"/>
      <c r="X641"/>
    </row>
    <row r="642" spans="1:24">
      <c r="A642" s="231"/>
      <c r="B642" s="231"/>
      <c r="C642" s="231"/>
      <c r="D642" s="231"/>
      <c r="E642" s="231"/>
      <c r="F642" s="231"/>
      <c r="G642" s="283"/>
      <c r="H642" s="283"/>
      <c r="I642" s="284"/>
      <c r="J642" s="232"/>
      <c r="K642" s="233"/>
      <c r="L642" s="234"/>
      <c r="M642" s="235"/>
      <c r="N642" s="236"/>
      <c r="O642" s="237"/>
      <c r="P642" s="238"/>
      <c r="Q642" s="239"/>
      <c r="S642" s="36"/>
      <c r="T642" s="36"/>
      <c r="X642"/>
    </row>
    <row r="643" spans="1:24">
      <c r="A643" s="231"/>
      <c r="B643" s="231"/>
      <c r="C643" s="231"/>
      <c r="D643" s="231"/>
      <c r="E643" s="231"/>
      <c r="F643" s="231"/>
      <c r="G643" s="283"/>
      <c r="H643" s="283"/>
      <c r="I643" s="284"/>
      <c r="J643" s="232"/>
      <c r="K643" s="233"/>
      <c r="L643" s="234"/>
      <c r="M643" s="235"/>
      <c r="N643" s="236"/>
      <c r="O643" s="237"/>
      <c r="P643" s="238"/>
      <c r="Q643" s="239"/>
      <c r="S643" s="36"/>
      <c r="T643" s="36"/>
      <c r="X643"/>
    </row>
    <row r="644" spans="1:24">
      <c r="A644" s="231"/>
      <c r="B644" s="231"/>
      <c r="C644" s="231"/>
      <c r="D644" s="231"/>
      <c r="E644" s="231"/>
      <c r="F644" s="231"/>
      <c r="G644" s="283"/>
      <c r="H644" s="283"/>
      <c r="I644" s="284"/>
      <c r="J644" s="232"/>
      <c r="K644" s="233"/>
      <c r="L644" s="234"/>
      <c r="M644" s="235"/>
      <c r="N644" s="236"/>
      <c r="O644" s="237"/>
      <c r="P644" s="238"/>
      <c r="Q644" s="239"/>
      <c r="S644" s="36"/>
      <c r="T644" s="36"/>
      <c r="X644"/>
    </row>
    <row r="645" spans="1:24">
      <c r="A645" s="231"/>
      <c r="B645" s="231"/>
      <c r="C645" s="231"/>
      <c r="D645" s="231"/>
      <c r="E645" s="231"/>
      <c r="F645" s="231"/>
      <c r="G645" s="283"/>
      <c r="H645" s="283"/>
      <c r="I645" s="284"/>
      <c r="J645" s="232"/>
      <c r="K645" s="233"/>
      <c r="L645" s="234"/>
      <c r="M645" s="235"/>
      <c r="N645" s="236"/>
      <c r="O645" s="237"/>
      <c r="P645" s="238"/>
      <c r="Q645" s="239"/>
      <c r="S645" s="36"/>
      <c r="T645" s="36"/>
      <c r="X645"/>
    </row>
    <row r="646" spans="1:24">
      <c r="A646" s="231"/>
      <c r="B646" s="231"/>
      <c r="C646" s="231"/>
      <c r="D646" s="231"/>
      <c r="E646" s="231"/>
      <c r="F646" s="231"/>
      <c r="G646" s="283"/>
      <c r="H646" s="283"/>
      <c r="I646" s="284"/>
      <c r="J646" s="232"/>
      <c r="K646" s="233"/>
      <c r="L646" s="234"/>
      <c r="M646" s="235"/>
      <c r="N646" s="236"/>
      <c r="O646" s="237"/>
      <c r="P646" s="238"/>
      <c r="Q646" s="239"/>
      <c r="S646" s="36"/>
      <c r="T646" s="36"/>
      <c r="X646"/>
    </row>
    <row r="647" spans="1:24">
      <c r="A647" s="231"/>
      <c r="B647" s="231"/>
      <c r="C647" s="231"/>
      <c r="D647" s="231"/>
      <c r="E647" s="231"/>
      <c r="F647" s="231"/>
      <c r="G647" s="283"/>
      <c r="H647" s="283"/>
      <c r="I647" s="284"/>
      <c r="J647" s="232"/>
      <c r="K647" s="233"/>
      <c r="L647" s="234"/>
      <c r="M647" s="235"/>
      <c r="N647" s="236"/>
      <c r="O647" s="237"/>
      <c r="P647" s="238"/>
      <c r="Q647" s="239"/>
      <c r="S647" s="36"/>
      <c r="T647" s="36"/>
      <c r="X647"/>
    </row>
    <row r="648" spans="1:24">
      <c r="A648" s="231"/>
      <c r="B648" s="231"/>
      <c r="C648" s="231"/>
      <c r="D648" s="231"/>
      <c r="E648" s="231"/>
      <c r="F648" s="231"/>
      <c r="G648" s="283"/>
      <c r="H648" s="283"/>
      <c r="I648" s="284"/>
      <c r="J648" s="232"/>
      <c r="K648" s="233"/>
      <c r="L648" s="234"/>
      <c r="M648" s="235"/>
      <c r="N648" s="236"/>
      <c r="O648" s="237"/>
      <c r="P648" s="238"/>
      <c r="Q648" s="239"/>
      <c r="S648" s="36"/>
      <c r="T648" s="36"/>
      <c r="X648"/>
    </row>
    <row r="649" spans="1:24">
      <c r="A649" s="231"/>
      <c r="B649" s="231"/>
      <c r="C649" s="231"/>
      <c r="D649" s="231"/>
      <c r="E649" s="231"/>
      <c r="F649" s="231"/>
      <c r="G649" s="283"/>
      <c r="H649" s="283"/>
      <c r="I649" s="284"/>
      <c r="J649" s="232"/>
      <c r="K649" s="233"/>
      <c r="L649" s="234"/>
      <c r="M649" s="235"/>
      <c r="N649" s="236"/>
      <c r="O649" s="237"/>
      <c r="P649" s="238"/>
      <c r="Q649" s="239"/>
      <c r="S649" s="36"/>
      <c r="T649" s="36"/>
      <c r="X649"/>
    </row>
    <row r="650" spans="1:24">
      <c r="A650" s="231"/>
      <c r="B650" s="231"/>
      <c r="C650" s="231"/>
      <c r="D650" s="231"/>
      <c r="E650" s="231"/>
      <c r="F650" s="231"/>
      <c r="G650" s="283"/>
      <c r="H650" s="283"/>
      <c r="I650" s="284"/>
      <c r="J650" s="232"/>
      <c r="K650" s="233"/>
      <c r="L650" s="234"/>
      <c r="M650" s="235"/>
      <c r="N650" s="236"/>
      <c r="O650" s="237"/>
      <c r="P650" s="238"/>
      <c r="Q650" s="239"/>
      <c r="S650" s="36"/>
      <c r="T650" s="36"/>
      <c r="X650"/>
    </row>
    <row r="651" spans="1:24">
      <c r="A651" s="231"/>
      <c r="B651" s="231"/>
      <c r="C651" s="231"/>
      <c r="D651" s="231"/>
      <c r="E651" s="231"/>
      <c r="F651" s="231"/>
      <c r="G651" s="283"/>
      <c r="H651" s="283"/>
      <c r="I651" s="284"/>
      <c r="J651" s="232"/>
      <c r="K651" s="233"/>
      <c r="L651" s="234"/>
      <c r="M651" s="235"/>
      <c r="N651" s="236"/>
      <c r="O651" s="237"/>
      <c r="P651" s="238"/>
      <c r="Q651" s="239"/>
      <c r="S651" s="36"/>
      <c r="T651" s="36"/>
      <c r="X651"/>
    </row>
    <row r="652" spans="1:24">
      <c r="A652" s="231"/>
      <c r="B652" s="231"/>
      <c r="C652" s="231"/>
      <c r="D652" s="231"/>
      <c r="E652" s="231"/>
      <c r="F652" s="231"/>
      <c r="G652" s="283"/>
      <c r="H652" s="283"/>
      <c r="I652" s="284"/>
      <c r="J652" s="232"/>
      <c r="K652" s="233"/>
      <c r="L652" s="234"/>
      <c r="M652" s="235"/>
      <c r="N652" s="236"/>
      <c r="O652" s="237"/>
      <c r="P652" s="238"/>
      <c r="Q652" s="239"/>
      <c r="S652" s="36"/>
      <c r="T652" s="36"/>
      <c r="X652"/>
    </row>
    <row r="653" spans="1:24">
      <c r="A653" s="231"/>
      <c r="B653" s="231"/>
      <c r="C653" s="231"/>
      <c r="D653" s="231"/>
      <c r="E653" s="231"/>
      <c r="F653" s="231"/>
      <c r="G653" s="283"/>
      <c r="H653" s="283"/>
      <c r="I653" s="284"/>
      <c r="J653" s="232"/>
      <c r="K653" s="233"/>
      <c r="L653" s="234"/>
      <c r="M653" s="235"/>
      <c r="N653" s="236"/>
      <c r="O653" s="237"/>
      <c r="P653" s="238"/>
      <c r="Q653" s="239"/>
      <c r="S653" s="36"/>
      <c r="T653" s="36"/>
      <c r="X653"/>
    </row>
    <row r="654" spans="1:24">
      <c r="A654" s="231"/>
      <c r="B654" s="231"/>
      <c r="C654" s="231"/>
      <c r="D654" s="231"/>
      <c r="E654" s="231"/>
      <c r="F654" s="231"/>
      <c r="G654" s="283"/>
      <c r="H654" s="283"/>
      <c r="I654" s="284"/>
      <c r="J654" s="232"/>
      <c r="K654" s="233"/>
      <c r="L654" s="234"/>
      <c r="M654" s="235"/>
      <c r="N654" s="236"/>
      <c r="O654" s="237"/>
      <c r="P654" s="238"/>
      <c r="Q654" s="239"/>
      <c r="S654" s="36"/>
      <c r="T654" s="36"/>
      <c r="X654"/>
    </row>
    <row r="655" spans="1:24">
      <c r="A655" s="231"/>
      <c r="B655" s="231"/>
      <c r="C655" s="231"/>
      <c r="D655" s="231"/>
      <c r="E655" s="231"/>
      <c r="F655" s="231"/>
      <c r="G655" s="283"/>
      <c r="H655" s="283"/>
      <c r="I655" s="284"/>
      <c r="J655" s="232"/>
      <c r="K655" s="233"/>
      <c r="L655" s="234"/>
      <c r="M655" s="235"/>
      <c r="N655" s="236"/>
      <c r="O655" s="237"/>
      <c r="P655" s="238"/>
      <c r="Q655" s="239"/>
      <c r="S655" s="36"/>
      <c r="T655" s="36"/>
      <c r="X655"/>
    </row>
    <row r="656" spans="1:24">
      <c r="A656" s="231"/>
      <c r="B656" s="231"/>
      <c r="C656" s="231"/>
      <c r="D656" s="231"/>
      <c r="E656" s="231"/>
      <c r="F656" s="231"/>
      <c r="G656" s="283"/>
      <c r="H656" s="283"/>
      <c r="I656" s="284"/>
      <c r="J656" s="232"/>
      <c r="K656" s="233"/>
      <c r="L656" s="234"/>
      <c r="M656" s="235"/>
      <c r="N656" s="236"/>
      <c r="O656" s="237"/>
      <c r="P656" s="238"/>
      <c r="Q656" s="239"/>
      <c r="S656" s="36"/>
      <c r="T656" s="36"/>
      <c r="X656"/>
    </row>
    <row r="657" spans="1:24">
      <c r="A657" s="231"/>
      <c r="B657" s="231"/>
      <c r="C657" s="231"/>
      <c r="D657" s="231"/>
      <c r="E657" s="231"/>
      <c r="F657" s="231"/>
      <c r="G657" s="283"/>
      <c r="H657" s="283"/>
      <c r="I657" s="284"/>
      <c r="J657" s="232"/>
      <c r="K657" s="233"/>
      <c r="L657" s="234"/>
      <c r="M657" s="235"/>
      <c r="N657" s="236"/>
      <c r="O657" s="237"/>
      <c r="P657" s="238"/>
      <c r="Q657" s="239"/>
      <c r="S657" s="36"/>
      <c r="T657" s="36"/>
      <c r="X657"/>
    </row>
    <row r="658" spans="1:24">
      <c r="A658" s="231"/>
      <c r="B658" s="231"/>
      <c r="C658" s="231"/>
      <c r="D658" s="231"/>
      <c r="E658" s="231"/>
      <c r="F658" s="231"/>
      <c r="G658" s="283"/>
      <c r="H658" s="283"/>
      <c r="I658" s="284"/>
      <c r="J658" s="232"/>
      <c r="K658" s="233"/>
      <c r="L658" s="234"/>
      <c r="M658" s="235"/>
      <c r="N658" s="236"/>
      <c r="O658" s="237"/>
      <c r="P658" s="238"/>
      <c r="Q658" s="239"/>
      <c r="S658" s="36"/>
      <c r="T658" s="36"/>
      <c r="X658"/>
    </row>
    <row r="659" spans="1:24">
      <c r="A659" s="231"/>
      <c r="B659" s="231"/>
      <c r="C659" s="231"/>
      <c r="D659" s="231"/>
      <c r="E659" s="231"/>
      <c r="F659" s="231"/>
      <c r="G659" s="283"/>
      <c r="H659" s="283"/>
      <c r="I659" s="284"/>
      <c r="J659" s="232"/>
      <c r="K659" s="233"/>
      <c r="L659" s="234"/>
      <c r="M659" s="235"/>
      <c r="N659" s="236"/>
      <c r="O659" s="237"/>
      <c r="P659" s="238"/>
      <c r="Q659" s="239"/>
      <c r="S659" s="36"/>
      <c r="T659" s="36"/>
      <c r="X659"/>
    </row>
    <row r="660" spans="1:24">
      <c r="A660" s="231"/>
      <c r="B660" s="231"/>
      <c r="C660" s="231"/>
      <c r="D660" s="231"/>
      <c r="E660" s="231"/>
      <c r="F660" s="231"/>
      <c r="G660" s="283"/>
      <c r="H660" s="283"/>
      <c r="I660" s="284"/>
      <c r="J660" s="232"/>
      <c r="K660" s="233"/>
      <c r="L660" s="234"/>
      <c r="M660" s="235"/>
      <c r="N660" s="236"/>
      <c r="O660" s="237"/>
      <c r="P660" s="238"/>
      <c r="Q660" s="239"/>
      <c r="S660" s="36"/>
      <c r="T660" s="36"/>
      <c r="X660"/>
    </row>
    <row r="661" spans="1:24">
      <c r="A661" s="231"/>
      <c r="B661" s="231"/>
      <c r="C661" s="231"/>
      <c r="D661" s="231"/>
      <c r="E661" s="231"/>
      <c r="F661" s="231"/>
      <c r="G661" s="283"/>
      <c r="H661" s="283"/>
      <c r="I661" s="284"/>
      <c r="J661" s="232"/>
      <c r="K661" s="233"/>
      <c r="L661" s="234"/>
      <c r="M661" s="235"/>
      <c r="N661" s="236"/>
      <c r="O661" s="237"/>
      <c r="P661" s="238"/>
      <c r="Q661" s="239"/>
      <c r="S661" s="36"/>
      <c r="T661" s="36"/>
      <c r="X661"/>
    </row>
    <row r="662" spans="1:24">
      <c r="A662" s="231"/>
      <c r="B662" s="231"/>
      <c r="C662" s="231"/>
      <c r="D662" s="231"/>
      <c r="E662" s="231"/>
      <c r="F662" s="231"/>
      <c r="G662" s="283"/>
      <c r="H662" s="283"/>
      <c r="I662" s="284"/>
      <c r="J662" s="232"/>
      <c r="K662" s="233"/>
      <c r="L662" s="234"/>
      <c r="M662" s="235"/>
      <c r="N662" s="236"/>
      <c r="O662" s="237"/>
      <c r="P662" s="238"/>
      <c r="Q662" s="239"/>
      <c r="S662" s="36"/>
      <c r="T662" s="36"/>
      <c r="X662"/>
    </row>
    <row r="663" spans="1:24">
      <c r="A663" s="231"/>
      <c r="B663" s="231"/>
      <c r="C663" s="231"/>
      <c r="D663" s="231"/>
      <c r="E663" s="231"/>
      <c r="F663" s="231"/>
      <c r="G663" s="283"/>
      <c r="H663" s="283"/>
      <c r="I663" s="284"/>
      <c r="J663" s="232"/>
      <c r="K663" s="233"/>
      <c r="L663" s="234"/>
      <c r="M663" s="235"/>
      <c r="N663" s="236"/>
      <c r="O663" s="237"/>
      <c r="P663" s="238"/>
      <c r="Q663" s="239"/>
      <c r="S663" s="36"/>
      <c r="T663" s="36"/>
      <c r="X663"/>
    </row>
    <row r="664" spans="1:24">
      <c r="A664" s="231"/>
      <c r="B664" s="231"/>
      <c r="C664" s="231"/>
      <c r="D664" s="231"/>
      <c r="E664" s="231"/>
      <c r="F664" s="231"/>
      <c r="G664" s="283"/>
      <c r="H664" s="283"/>
      <c r="I664" s="284"/>
      <c r="J664" s="232"/>
      <c r="K664" s="233"/>
      <c r="L664" s="234"/>
      <c r="M664" s="235"/>
      <c r="N664" s="236"/>
      <c r="O664" s="237"/>
      <c r="P664" s="238"/>
      <c r="Q664" s="239"/>
      <c r="S664" s="36"/>
      <c r="T664" s="36"/>
      <c r="X664"/>
    </row>
    <row r="665" spans="1:24">
      <c r="A665" s="231"/>
      <c r="B665" s="231"/>
      <c r="C665" s="231"/>
      <c r="D665" s="231"/>
      <c r="E665" s="231"/>
      <c r="F665" s="231"/>
      <c r="G665" s="283"/>
      <c r="H665" s="283"/>
      <c r="I665" s="284"/>
      <c r="J665" s="232"/>
      <c r="K665" s="233"/>
      <c r="L665" s="234"/>
      <c r="M665" s="235"/>
      <c r="N665" s="236"/>
      <c r="O665" s="237"/>
      <c r="P665" s="238"/>
      <c r="Q665" s="239"/>
      <c r="S665" s="36"/>
      <c r="T665" s="36"/>
      <c r="X665"/>
    </row>
    <row r="666" spans="1:24">
      <c r="A666" s="231"/>
      <c r="B666" s="231"/>
      <c r="C666" s="231"/>
      <c r="D666" s="231"/>
      <c r="E666" s="231"/>
      <c r="F666" s="231"/>
      <c r="G666" s="283"/>
      <c r="H666" s="283"/>
      <c r="I666" s="284"/>
      <c r="J666" s="232"/>
      <c r="K666" s="233"/>
      <c r="L666" s="234"/>
      <c r="M666" s="235"/>
      <c r="N666" s="236"/>
      <c r="O666" s="237"/>
      <c r="P666" s="238"/>
      <c r="Q666" s="239"/>
      <c r="S666" s="36"/>
      <c r="T666" s="36"/>
      <c r="X666"/>
    </row>
    <row r="667" spans="1:24">
      <c r="A667" s="231"/>
      <c r="B667" s="231"/>
      <c r="C667" s="231"/>
      <c r="D667" s="231"/>
      <c r="E667" s="231"/>
      <c r="F667" s="231"/>
      <c r="G667" s="283"/>
      <c r="H667" s="283"/>
      <c r="I667" s="284"/>
      <c r="J667" s="232"/>
      <c r="K667" s="233"/>
      <c r="L667" s="234"/>
      <c r="M667" s="235"/>
      <c r="N667" s="236"/>
      <c r="O667" s="237"/>
      <c r="P667" s="238"/>
      <c r="Q667" s="239"/>
      <c r="S667" s="36"/>
      <c r="T667" s="36"/>
      <c r="X667"/>
    </row>
    <row r="668" spans="1:24">
      <c r="A668" s="231"/>
      <c r="B668" s="231"/>
      <c r="C668" s="231"/>
      <c r="D668" s="231"/>
      <c r="E668" s="231"/>
      <c r="F668" s="231"/>
      <c r="G668" s="283"/>
      <c r="H668" s="283"/>
      <c r="I668" s="284"/>
      <c r="J668" s="232"/>
      <c r="K668" s="233"/>
      <c r="L668" s="234"/>
      <c r="M668" s="235"/>
      <c r="N668" s="236"/>
      <c r="O668" s="237"/>
      <c r="P668" s="238"/>
      <c r="Q668" s="239"/>
      <c r="S668" s="36"/>
      <c r="T668" s="36"/>
      <c r="X668"/>
    </row>
    <row r="669" spans="1:24">
      <c r="A669" s="231"/>
      <c r="B669" s="231"/>
      <c r="C669" s="231"/>
      <c r="D669" s="231"/>
      <c r="E669" s="231"/>
      <c r="F669" s="231"/>
      <c r="G669" s="283"/>
      <c r="H669" s="283"/>
      <c r="I669" s="284"/>
      <c r="J669" s="232"/>
      <c r="K669" s="233"/>
      <c r="L669" s="234"/>
      <c r="M669" s="235"/>
      <c r="N669" s="236"/>
      <c r="O669" s="237"/>
      <c r="P669" s="238"/>
      <c r="Q669" s="239"/>
      <c r="S669" s="36"/>
      <c r="T669" s="36"/>
      <c r="X669"/>
    </row>
    <row r="670" spans="1:24">
      <c r="A670" s="231"/>
      <c r="B670" s="231"/>
      <c r="C670" s="231"/>
      <c r="D670" s="231"/>
      <c r="E670" s="231"/>
      <c r="F670" s="231"/>
      <c r="G670" s="283"/>
      <c r="H670" s="283"/>
      <c r="I670" s="284"/>
      <c r="J670" s="232"/>
      <c r="K670" s="233"/>
      <c r="L670" s="234"/>
      <c r="M670" s="235"/>
      <c r="N670" s="236"/>
      <c r="O670" s="237"/>
      <c r="P670" s="238"/>
      <c r="Q670" s="239"/>
      <c r="S670" s="36"/>
      <c r="T670" s="36"/>
      <c r="X670"/>
    </row>
    <row r="671" spans="1:24">
      <c r="A671" s="231"/>
      <c r="B671" s="231"/>
      <c r="C671" s="231"/>
      <c r="D671" s="231"/>
      <c r="E671" s="231"/>
      <c r="F671" s="231"/>
      <c r="G671" s="283"/>
      <c r="H671" s="283"/>
      <c r="I671" s="284"/>
      <c r="J671" s="232"/>
      <c r="K671" s="233"/>
      <c r="L671" s="234"/>
      <c r="M671" s="235"/>
      <c r="N671" s="236"/>
      <c r="O671" s="237"/>
      <c r="P671" s="238"/>
      <c r="Q671" s="239"/>
      <c r="S671" s="36"/>
      <c r="T671" s="36"/>
      <c r="X671"/>
    </row>
    <row r="672" spans="1:24">
      <c r="A672" s="231"/>
      <c r="B672" s="231"/>
      <c r="C672" s="231"/>
      <c r="D672" s="231"/>
      <c r="E672" s="231"/>
      <c r="F672" s="231"/>
      <c r="G672" s="283"/>
      <c r="H672" s="283"/>
      <c r="I672" s="284"/>
      <c r="J672" s="232"/>
      <c r="K672" s="233"/>
      <c r="L672" s="234"/>
      <c r="M672" s="235"/>
      <c r="N672" s="236"/>
      <c r="O672" s="237"/>
      <c r="P672" s="238"/>
      <c r="Q672" s="239"/>
      <c r="S672" s="36"/>
      <c r="T672" s="36"/>
      <c r="X672"/>
    </row>
    <row r="673" spans="1:24">
      <c r="A673" s="231"/>
      <c r="B673" s="231"/>
      <c r="C673" s="231"/>
      <c r="D673" s="231"/>
      <c r="E673" s="231"/>
      <c r="F673" s="231"/>
      <c r="G673" s="283"/>
      <c r="H673" s="283"/>
      <c r="I673" s="284"/>
      <c r="J673" s="232"/>
      <c r="K673" s="233"/>
      <c r="L673" s="234"/>
      <c r="M673" s="235"/>
      <c r="N673" s="236"/>
      <c r="O673" s="237"/>
      <c r="P673" s="238"/>
      <c r="Q673" s="239"/>
      <c r="S673" s="36"/>
      <c r="T673" s="36"/>
      <c r="X673"/>
    </row>
    <row r="674" spans="1:24">
      <c r="A674" s="231"/>
      <c r="B674" s="231"/>
      <c r="C674" s="231"/>
      <c r="D674" s="231"/>
      <c r="E674" s="231"/>
      <c r="F674" s="231"/>
      <c r="G674" s="283"/>
      <c r="H674" s="283"/>
      <c r="I674" s="284"/>
      <c r="J674" s="232"/>
      <c r="K674" s="233"/>
      <c r="L674" s="234"/>
      <c r="M674" s="235"/>
      <c r="N674" s="236"/>
      <c r="O674" s="237"/>
      <c r="P674" s="238"/>
      <c r="Q674" s="239"/>
      <c r="S674" s="36"/>
      <c r="T674" s="36"/>
      <c r="X674"/>
    </row>
    <row r="675" spans="1:24">
      <c r="A675" s="231"/>
      <c r="B675" s="231"/>
      <c r="C675" s="231"/>
      <c r="D675" s="231"/>
      <c r="E675" s="231"/>
      <c r="F675" s="231"/>
      <c r="G675" s="283"/>
      <c r="H675" s="283"/>
      <c r="I675" s="284"/>
      <c r="J675" s="232"/>
      <c r="K675" s="233"/>
      <c r="L675" s="234"/>
      <c r="M675" s="235"/>
      <c r="N675" s="236"/>
      <c r="O675" s="237"/>
      <c r="P675" s="238"/>
      <c r="Q675" s="239"/>
      <c r="S675" s="36"/>
      <c r="T675" s="36"/>
      <c r="X675"/>
    </row>
    <row r="676" spans="1:24">
      <c r="A676" s="231"/>
      <c r="B676" s="231"/>
      <c r="C676" s="231"/>
      <c r="D676" s="231"/>
      <c r="E676" s="231"/>
      <c r="F676" s="231"/>
      <c r="G676" s="283"/>
      <c r="H676" s="283"/>
      <c r="I676" s="284"/>
      <c r="J676" s="232"/>
      <c r="K676" s="233"/>
      <c r="L676" s="234"/>
      <c r="M676" s="235"/>
      <c r="N676" s="236"/>
      <c r="O676" s="237"/>
      <c r="P676" s="238"/>
      <c r="Q676" s="239"/>
      <c r="S676" s="36"/>
      <c r="T676" s="36"/>
      <c r="X676"/>
    </row>
    <row r="677" spans="1:24">
      <c r="A677" s="231"/>
      <c r="B677" s="231"/>
      <c r="C677" s="231"/>
      <c r="D677" s="231"/>
      <c r="E677" s="231"/>
      <c r="F677" s="231"/>
      <c r="G677" s="283"/>
      <c r="H677" s="283"/>
      <c r="I677" s="284"/>
      <c r="J677" s="232"/>
      <c r="K677" s="233"/>
      <c r="L677" s="234"/>
      <c r="M677" s="235"/>
      <c r="N677" s="236"/>
      <c r="O677" s="237"/>
      <c r="P677" s="238"/>
      <c r="Q677" s="239"/>
      <c r="S677" s="36"/>
      <c r="T677" s="36"/>
      <c r="X677"/>
    </row>
    <row r="678" spans="1:24">
      <c r="A678" s="231"/>
      <c r="B678" s="231"/>
      <c r="C678" s="231"/>
      <c r="D678" s="231"/>
      <c r="E678" s="231"/>
      <c r="F678" s="231"/>
      <c r="G678" s="283"/>
      <c r="H678" s="283"/>
      <c r="I678" s="284"/>
      <c r="J678" s="232"/>
      <c r="K678" s="233"/>
      <c r="L678" s="234"/>
      <c r="M678" s="235"/>
      <c r="N678" s="236"/>
      <c r="O678" s="237"/>
      <c r="P678" s="238"/>
      <c r="Q678" s="239"/>
      <c r="S678" s="36"/>
      <c r="T678" s="36"/>
      <c r="X678"/>
    </row>
    <row r="679" spans="1:24">
      <c r="A679" s="231"/>
      <c r="B679" s="231"/>
      <c r="C679" s="231"/>
      <c r="D679" s="231"/>
      <c r="E679" s="231"/>
      <c r="F679" s="231"/>
      <c r="G679" s="283"/>
      <c r="H679" s="283"/>
      <c r="I679" s="284"/>
      <c r="J679" s="232"/>
      <c r="K679" s="233"/>
      <c r="L679" s="234"/>
      <c r="M679" s="235"/>
      <c r="N679" s="236"/>
      <c r="O679" s="237"/>
      <c r="P679" s="238"/>
      <c r="Q679" s="239"/>
      <c r="S679" s="36"/>
      <c r="T679" s="36"/>
      <c r="X679"/>
    </row>
    <row r="680" spans="1:24">
      <c r="A680" s="231"/>
      <c r="B680" s="231"/>
      <c r="C680" s="231"/>
      <c r="D680" s="231"/>
      <c r="E680" s="231"/>
      <c r="F680" s="231"/>
      <c r="G680" s="283"/>
      <c r="H680" s="283"/>
      <c r="I680" s="284"/>
      <c r="J680" s="232"/>
      <c r="K680" s="233"/>
      <c r="L680" s="234"/>
      <c r="M680" s="235"/>
      <c r="N680" s="236"/>
      <c r="O680" s="237"/>
      <c r="P680" s="238"/>
      <c r="Q680" s="239"/>
      <c r="S680" s="36"/>
      <c r="T680" s="36"/>
      <c r="X680"/>
    </row>
    <row r="681" spans="1:24">
      <c r="A681" s="231"/>
      <c r="B681" s="231"/>
      <c r="C681" s="231"/>
      <c r="D681" s="231"/>
      <c r="E681" s="231"/>
      <c r="F681" s="231"/>
      <c r="G681" s="283"/>
      <c r="H681" s="283"/>
      <c r="I681" s="284"/>
      <c r="J681" s="232"/>
      <c r="K681" s="233"/>
      <c r="L681" s="234"/>
      <c r="M681" s="235"/>
      <c r="N681" s="236"/>
      <c r="O681" s="237"/>
      <c r="P681" s="238"/>
      <c r="Q681" s="239"/>
      <c r="S681" s="36"/>
      <c r="T681" s="36"/>
      <c r="X681"/>
    </row>
    <row r="682" spans="1:24">
      <c r="A682" s="231"/>
      <c r="B682" s="231"/>
      <c r="C682" s="231"/>
      <c r="D682" s="231"/>
      <c r="E682" s="231"/>
      <c r="F682" s="231"/>
      <c r="G682" s="283"/>
      <c r="H682" s="283"/>
      <c r="I682" s="284"/>
      <c r="J682" s="232"/>
      <c r="K682" s="233"/>
      <c r="L682" s="234"/>
      <c r="M682" s="235"/>
      <c r="N682" s="236"/>
      <c r="O682" s="237"/>
      <c r="P682" s="238"/>
      <c r="Q682" s="239"/>
      <c r="S682" s="36"/>
      <c r="T682" s="36"/>
      <c r="X682"/>
    </row>
    <row r="683" spans="1:24">
      <c r="A683" s="231"/>
      <c r="B683" s="231"/>
      <c r="C683" s="231"/>
      <c r="D683" s="231"/>
      <c r="E683" s="231"/>
      <c r="F683" s="231"/>
      <c r="G683" s="283"/>
      <c r="H683" s="283"/>
      <c r="I683" s="284"/>
      <c r="J683" s="232"/>
      <c r="K683" s="233"/>
      <c r="L683" s="234"/>
      <c r="M683" s="235"/>
      <c r="N683" s="236"/>
      <c r="O683" s="237"/>
      <c r="P683" s="238"/>
      <c r="Q683" s="239"/>
      <c r="S683" s="36"/>
      <c r="T683" s="36"/>
      <c r="X683"/>
    </row>
    <row r="684" spans="1:24">
      <c r="A684" s="231"/>
      <c r="B684" s="231"/>
      <c r="C684" s="231"/>
      <c r="D684" s="231"/>
      <c r="E684" s="231"/>
      <c r="F684" s="231"/>
      <c r="G684" s="283"/>
      <c r="H684" s="283"/>
      <c r="I684" s="284"/>
      <c r="J684" s="232"/>
      <c r="K684" s="233"/>
      <c r="L684" s="234"/>
      <c r="M684" s="235"/>
      <c r="N684" s="236"/>
      <c r="O684" s="237"/>
      <c r="P684" s="238"/>
      <c r="Q684" s="239"/>
      <c r="S684" s="36"/>
      <c r="T684" s="36"/>
      <c r="X684"/>
    </row>
    <row r="685" spans="1:24">
      <c r="A685" s="231"/>
      <c r="B685" s="231"/>
      <c r="C685" s="231"/>
      <c r="D685" s="231"/>
      <c r="E685" s="231"/>
      <c r="F685" s="231"/>
      <c r="G685" s="283"/>
      <c r="H685" s="283"/>
      <c r="I685" s="284"/>
      <c r="J685" s="232"/>
      <c r="K685" s="233"/>
      <c r="L685" s="234"/>
      <c r="M685" s="235"/>
      <c r="N685" s="236"/>
      <c r="O685" s="237"/>
      <c r="P685" s="238"/>
      <c r="Q685" s="239"/>
      <c r="S685" s="36"/>
      <c r="T685" s="36"/>
      <c r="X685"/>
    </row>
    <row r="686" spans="1:24">
      <c r="A686" s="231"/>
      <c r="B686" s="231"/>
      <c r="C686" s="231"/>
      <c r="D686" s="231"/>
      <c r="E686" s="231"/>
      <c r="F686" s="231"/>
      <c r="G686" s="283"/>
      <c r="H686" s="283"/>
      <c r="I686" s="284"/>
      <c r="J686" s="232"/>
      <c r="K686" s="233"/>
      <c r="L686" s="234"/>
      <c r="M686" s="235"/>
      <c r="N686" s="236"/>
      <c r="O686" s="237"/>
      <c r="P686" s="238"/>
      <c r="Q686" s="239"/>
      <c r="S686" s="36"/>
      <c r="T686" s="36"/>
      <c r="X686"/>
    </row>
    <row r="687" spans="1:24">
      <c r="A687" s="231"/>
      <c r="B687" s="231"/>
      <c r="C687" s="231"/>
      <c r="D687" s="231"/>
      <c r="E687" s="231"/>
      <c r="F687" s="231"/>
      <c r="G687" s="283"/>
      <c r="H687" s="283"/>
      <c r="I687" s="284"/>
      <c r="J687" s="232"/>
      <c r="K687" s="233"/>
      <c r="L687" s="234"/>
      <c r="M687" s="235"/>
      <c r="N687" s="236"/>
      <c r="O687" s="237"/>
      <c r="P687" s="238"/>
      <c r="Q687" s="239"/>
      <c r="S687" s="36"/>
      <c r="T687" s="36"/>
      <c r="X687"/>
    </row>
    <row r="688" spans="1:24">
      <c r="A688" s="231"/>
      <c r="B688" s="231"/>
      <c r="C688" s="231"/>
      <c r="D688" s="231"/>
      <c r="E688" s="231"/>
      <c r="F688" s="231"/>
      <c r="G688" s="283"/>
      <c r="H688" s="283"/>
      <c r="I688" s="284"/>
      <c r="J688" s="232"/>
      <c r="K688" s="233"/>
      <c r="L688" s="234"/>
      <c r="M688" s="235"/>
      <c r="N688" s="236"/>
      <c r="O688" s="237"/>
      <c r="P688" s="238"/>
      <c r="Q688" s="239"/>
      <c r="S688" s="36"/>
      <c r="T688" s="36"/>
      <c r="X688"/>
    </row>
    <row r="689" spans="1:24">
      <c r="A689" s="231"/>
      <c r="B689" s="231"/>
      <c r="C689" s="231"/>
      <c r="D689" s="231"/>
      <c r="E689" s="231"/>
      <c r="F689" s="231"/>
      <c r="G689" s="283"/>
      <c r="H689" s="283"/>
      <c r="I689" s="284"/>
      <c r="J689" s="232"/>
      <c r="K689" s="233"/>
      <c r="L689" s="234"/>
      <c r="M689" s="235"/>
      <c r="N689" s="236"/>
      <c r="O689" s="237"/>
      <c r="P689" s="238"/>
      <c r="Q689" s="239"/>
      <c r="S689" s="36"/>
      <c r="T689" s="36"/>
      <c r="X689"/>
    </row>
    <row r="690" spans="1:24">
      <c r="A690" s="231"/>
      <c r="B690" s="231"/>
      <c r="C690" s="231"/>
      <c r="D690" s="231"/>
      <c r="E690" s="231"/>
      <c r="F690" s="231"/>
      <c r="G690" s="283"/>
      <c r="H690" s="283"/>
      <c r="I690" s="284"/>
      <c r="J690" s="232"/>
      <c r="K690" s="233"/>
      <c r="L690" s="234"/>
      <c r="M690" s="235"/>
      <c r="N690" s="236"/>
      <c r="O690" s="237"/>
      <c r="P690" s="238"/>
      <c r="Q690" s="239"/>
      <c r="S690" s="36"/>
      <c r="T690" s="36"/>
      <c r="X690"/>
    </row>
    <row r="691" spans="1:24">
      <c r="A691" s="231"/>
      <c r="B691" s="231"/>
      <c r="C691" s="231"/>
      <c r="D691" s="231"/>
      <c r="E691" s="231"/>
      <c r="F691" s="231"/>
      <c r="G691" s="283"/>
      <c r="H691" s="283"/>
      <c r="I691" s="284"/>
      <c r="J691" s="232"/>
      <c r="K691" s="233"/>
      <c r="L691" s="234"/>
      <c r="M691" s="235"/>
      <c r="N691" s="236"/>
      <c r="O691" s="237"/>
      <c r="P691" s="238"/>
      <c r="Q691" s="239"/>
      <c r="S691" s="36"/>
      <c r="T691" s="36"/>
      <c r="X691"/>
    </row>
    <row r="692" spans="1:24">
      <c r="A692" s="231"/>
      <c r="B692" s="231"/>
      <c r="C692" s="231"/>
      <c r="D692" s="231"/>
      <c r="E692" s="231"/>
      <c r="F692" s="231"/>
      <c r="G692" s="283"/>
      <c r="H692" s="283"/>
      <c r="I692" s="284"/>
      <c r="J692" s="232"/>
      <c r="K692" s="233"/>
      <c r="L692" s="234"/>
      <c r="M692" s="235"/>
      <c r="N692" s="236"/>
      <c r="O692" s="237"/>
      <c r="P692" s="238"/>
      <c r="Q692" s="239"/>
      <c r="S692" s="36"/>
      <c r="T692" s="36"/>
      <c r="X692"/>
    </row>
    <row r="693" spans="1:24">
      <c r="A693" s="231"/>
      <c r="B693" s="231"/>
      <c r="C693" s="231"/>
      <c r="D693" s="231"/>
      <c r="E693" s="231"/>
      <c r="F693" s="231"/>
      <c r="G693" s="283"/>
      <c r="H693" s="283"/>
      <c r="I693" s="284"/>
      <c r="J693" s="232"/>
      <c r="K693" s="233"/>
      <c r="L693" s="234"/>
      <c r="M693" s="235"/>
      <c r="N693" s="236"/>
      <c r="O693" s="237"/>
      <c r="P693" s="238"/>
      <c r="Q693" s="239"/>
      <c r="S693" s="36"/>
      <c r="T693" s="36"/>
      <c r="X693"/>
    </row>
    <row r="694" spans="1:24">
      <c r="A694" s="231"/>
      <c r="B694" s="231"/>
      <c r="C694" s="231"/>
      <c r="D694" s="231"/>
      <c r="E694" s="231"/>
      <c r="F694" s="231"/>
      <c r="G694" s="283"/>
      <c r="H694" s="283"/>
      <c r="I694" s="284"/>
      <c r="J694" s="232"/>
      <c r="K694" s="233"/>
      <c r="L694" s="234"/>
      <c r="M694" s="235"/>
      <c r="N694" s="236"/>
      <c r="O694" s="237"/>
      <c r="P694" s="238"/>
      <c r="Q694" s="239"/>
      <c r="S694" s="36"/>
      <c r="T694" s="36"/>
      <c r="X694"/>
    </row>
    <row r="695" spans="1:24">
      <c r="A695" s="122"/>
      <c r="B695" s="122"/>
      <c r="C695" s="122"/>
      <c r="D695" s="122"/>
      <c r="E695" s="122"/>
      <c r="F695" s="122"/>
      <c r="G695" s="36"/>
      <c r="H695" s="36"/>
      <c r="I695" s="113"/>
      <c r="J695" s="36"/>
      <c r="K695" s="182"/>
      <c r="L695" s="36"/>
      <c r="M695" s="60"/>
      <c r="N695" s="185"/>
      <c r="O695" s="60"/>
      <c r="P695" s="156"/>
      <c r="Q695" s="187"/>
      <c r="S695" s="36"/>
      <c r="T695" s="36"/>
      <c r="X695"/>
    </row>
    <row r="696" spans="1:24">
      <c r="A696" s="122"/>
      <c r="B696" s="122"/>
      <c r="C696" s="122"/>
      <c r="D696" s="122"/>
      <c r="E696" s="122"/>
      <c r="F696" s="122"/>
      <c r="G696" s="36"/>
      <c r="H696" s="36"/>
      <c r="I696" s="113"/>
      <c r="J696" s="36"/>
      <c r="K696" s="182"/>
      <c r="L696" s="36"/>
      <c r="M696" s="60"/>
      <c r="N696" s="185"/>
      <c r="O696" s="60"/>
      <c r="P696" s="156"/>
      <c r="Q696" s="187"/>
      <c r="S696" s="36"/>
      <c r="T696" s="36"/>
      <c r="X696"/>
    </row>
    <row r="697" spans="1:24">
      <c r="A697" s="122"/>
      <c r="B697" s="122"/>
      <c r="C697" s="122"/>
      <c r="D697" s="122"/>
      <c r="E697" s="122"/>
      <c r="F697" s="122"/>
      <c r="G697" s="36"/>
      <c r="H697" s="36"/>
      <c r="I697" s="113"/>
      <c r="J697" s="36"/>
      <c r="K697" s="182"/>
      <c r="L697" s="36"/>
      <c r="M697" s="60"/>
      <c r="N697" s="185"/>
      <c r="O697" s="60"/>
      <c r="P697" s="156"/>
      <c r="Q697" s="187"/>
      <c r="S697" s="36"/>
      <c r="T697" s="36"/>
      <c r="X697"/>
    </row>
    <row r="698" spans="1:24">
      <c r="A698" s="122"/>
      <c r="B698" s="122"/>
      <c r="C698" s="122"/>
      <c r="D698" s="122"/>
      <c r="E698" s="122"/>
      <c r="F698" s="122"/>
      <c r="G698" s="36"/>
      <c r="H698" s="36"/>
      <c r="I698" s="113"/>
      <c r="J698" s="36"/>
      <c r="K698" s="182"/>
      <c r="L698" s="36"/>
      <c r="M698" s="60"/>
      <c r="N698" s="185"/>
      <c r="O698" s="60"/>
      <c r="P698" s="156"/>
      <c r="Q698" s="187"/>
      <c r="S698" s="36"/>
      <c r="T698" s="36"/>
      <c r="X698"/>
    </row>
    <row r="699" spans="1:24">
      <c r="A699" s="122"/>
      <c r="B699" s="122"/>
      <c r="C699" s="122"/>
      <c r="D699" s="122"/>
      <c r="E699" s="122"/>
      <c r="F699" s="122"/>
      <c r="G699" s="36"/>
      <c r="H699" s="36"/>
      <c r="I699" s="113"/>
      <c r="J699" s="36"/>
      <c r="K699" s="182"/>
      <c r="L699" s="36"/>
      <c r="M699" s="60"/>
      <c r="N699" s="185"/>
      <c r="O699" s="60"/>
      <c r="P699" s="156"/>
      <c r="Q699" s="187"/>
      <c r="X699"/>
    </row>
    <row r="700" spans="1:24">
      <c r="A700" s="122"/>
      <c r="B700" s="122"/>
      <c r="C700" s="122"/>
      <c r="D700" s="122"/>
      <c r="E700" s="122"/>
      <c r="F700" s="122"/>
      <c r="G700" s="36"/>
      <c r="H700" s="36"/>
      <c r="I700" s="113"/>
      <c r="J700" s="36"/>
      <c r="K700" s="182"/>
      <c r="L700" s="36"/>
      <c r="M700" s="60"/>
      <c r="N700" s="185"/>
      <c r="O700" s="60"/>
      <c r="P700" s="156"/>
      <c r="Q700" s="187"/>
      <c r="S700" s="36"/>
      <c r="T700" s="36"/>
      <c r="X700"/>
    </row>
    <row r="701" spans="1:24">
      <c r="A701" s="150"/>
      <c r="B701" s="122"/>
      <c r="C701" s="122"/>
      <c r="D701" s="122"/>
      <c r="E701" s="122"/>
      <c r="F701" s="122"/>
      <c r="G701" s="36"/>
      <c r="H701" s="36"/>
      <c r="I701" s="113"/>
      <c r="J701" s="36"/>
      <c r="K701" s="182"/>
      <c r="L701" s="36"/>
      <c r="M701" s="60"/>
      <c r="N701" s="185"/>
      <c r="O701" s="60"/>
      <c r="P701" s="156"/>
      <c r="Q701" s="187"/>
      <c r="S701" s="36"/>
      <c r="T701" s="36"/>
      <c r="X701"/>
    </row>
    <row r="702" spans="1:24">
      <c r="A702" s="150"/>
      <c r="B702" s="122"/>
      <c r="C702" s="122"/>
      <c r="D702" s="122"/>
      <c r="E702" s="122"/>
      <c r="F702" s="122"/>
      <c r="G702" s="36"/>
      <c r="H702" s="36"/>
      <c r="I702" s="113"/>
      <c r="J702" s="36"/>
      <c r="K702" s="182"/>
      <c r="L702" s="36"/>
      <c r="M702" s="60"/>
      <c r="N702" s="185"/>
      <c r="O702" s="60"/>
      <c r="P702" s="156"/>
      <c r="Q702" s="187"/>
      <c r="X702"/>
    </row>
    <row r="703" spans="1:24">
      <c r="A703" s="122"/>
      <c r="B703" s="122"/>
      <c r="C703" s="122"/>
      <c r="D703" s="122"/>
      <c r="E703" s="122"/>
      <c r="F703" s="122"/>
      <c r="G703" s="36"/>
      <c r="H703" s="36"/>
      <c r="I703" s="113"/>
      <c r="J703" s="36"/>
      <c r="K703" s="182"/>
      <c r="L703" s="36"/>
      <c r="M703" s="60"/>
      <c r="N703" s="185"/>
      <c r="O703" s="60"/>
      <c r="P703" s="156"/>
      <c r="Q703" s="187"/>
      <c r="S703" s="36"/>
      <c r="T703" s="36"/>
      <c r="X703"/>
    </row>
    <row r="704" spans="1:24">
      <c r="A704" s="122"/>
      <c r="B704" s="122"/>
      <c r="C704" s="122"/>
      <c r="D704" s="122"/>
      <c r="E704" s="122"/>
      <c r="F704" s="122"/>
      <c r="G704" s="36"/>
      <c r="H704" s="36"/>
      <c r="I704" s="113"/>
      <c r="J704" s="36"/>
      <c r="K704" s="182"/>
      <c r="L704" s="36"/>
      <c r="M704" s="60"/>
      <c r="N704" s="185"/>
      <c r="O704" s="60"/>
      <c r="P704" s="156"/>
      <c r="Q704" s="187"/>
      <c r="X704"/>
    </row>
    <row r="705" spans="1:24">
      <c r="A705" s="122"/>
      <c r="B705" s="122"/>
      <c r="C705" s="122"/>
      <c r="D705" s="122"/>
      <c r="E705" s="122"/>
      <c r="F705" s="122"/>
      <c r="G705" s="36"/>
      <c r="H705" s="36"/>
      <c r="I705" s="113"/>
      <c r="J705" s="36"/>
      <c r="K705" s="182"/>
      <c r="L705" s="36"/>
      <c r="M705" s="60"/>
      <c r="N705" s="185"/>
      <c r="O705" s="60"/>
      <c r="P705" s="156"/>
      <c r="Q705" s="187"/>
      <c r="X705"/>
    </row>
    <row r="706" spans="1:24">
      <c r="A706" s="122"/>
      <c r="B706" s="122"/>
      <c r="C706" s="122"/>
      <c r="D706" s="122"/>
      <c r="E706" s="122"/>
      <c r="F706" s="122"/>
      <c r="G706" s="36"/>
      <c r="H706" s="36"/>
      <c r="I706" s="113"/>
      <c r="J706" s="36"/>
      <c r="K706" s="182"/>
      <c r="L706" s="36"/>
      <c r="M706" s="60"/>
      <c r="N706" s="185"/>
      <c r="O706" s="60"/>
      <c r="P706" s="156"/>
      <c r="Q706" s="187"/>
      <c r="X706"/>
    </row>
    <row r="707" spans="1:24">
      <c r="A707" s="122"/>
      <c r="B707" s="122"/>
      <c r="C707" s="122"/>
      <c r="D707" s="122"/>
      <c r="E707" s="122"/>
      <c r="F707" s="122"/>
      <c r="G707" s="36"/>
      <c r="H707" s="36"/>
      <c r="I707" s="113"/>
      <c r="J707" s="36"/>
      <c r="K707" s="182"/>
      <c r="L707" s="36"/>
      <c r="M707" s="60"/>
      <c r="N707" s="185"/>
      <c r="O707" s="60"/>
      <c r="P707" s="156"/>
      <c r="Q707" s="187"/>
      <c r="X707"/>
    </row>
    <row r="708" spans="1:24">
      <c r="A708" s="122"/>
      <c r="B708" s="122"/>
      <c r="C708" s="122"/>
      <c r="D708" s="122"/>
      <c r="E708" s="122"/>
      <c r="F708" s="122"/>
      <c r="G708" s="36"/>
      <c r="H708" s="36"/>
      <c r="I708" s="113"/>
      <c r="J708" s="36"/>
      <c r="K708" s="182"/>
      <c r="L708" s="36"/>
      <c r="M708" s="60"/>
      <c r="N708" s="185"/>
      <c r="O708" s="60"/>
      <c r="P708" s="156"/>
      <c r="Q708" s="187"/>
      <c r="X708"/>
    </row>
    <row r="709" spans="1:24">
      <c r="A709" s="122"/>
      <c r="B709" s="122"/>
      <c r="C709" s="122"/>
      <c r="D709" s="122"/>
      <c r="E709" s="122"/>
      <c r="F709" s="122"/>
      <c r="G709" s="36"/>
      <c r="H709" s="36"/>
      <c r="I709" s="113"/>
      <c r="J709" s="36"/>
      <c r="K709" s="182"/>
      <c r="L709" s="36"/>
      <c r="M709" s="60"/>
      <c r="N709" s="185"/>
      <c r="O709" s="60"/>
      <c r="P709" s="156"/>
      <c r="Q709" s="187"/>
      <c r="X709"/>
    </row>
    <row r="710" spans="1:24">
      <c r="A710" s="122"/>
      <c r="B710" s="122"/>
      <c r="C710" s="122"/>
      <c r="D710" s="122"/>
      <c r="E710" s="122"/>
      <c r="F710" s="122"/>
      <c r="G710" s="36"/>
      <c r="H710" s="36"/>
      <c r="I710" s="113"/>
      <c r="J710" s="36"/>
      <c r="K710" s="182"/>
      <c r="L710" s="36"/>
      <c r="M710" s="60"/>
      <c r="N710" s="185"/>
      <c r="O710" s="60"/>
      <c r="P710" s="156"/>
      <c r="Q710" s="187"/>
      <c r="X710"/>
    </row>
    <row r="711" spans="1:24">
      <c r="A711" s="122"/>
      <c r="B711" s="122"/>
      <c r="C711" s="122"/>
      <c r="D711" s="122"/>
      <c r="E711" s="122"/>
      <c r="F711" s="122"/>
      <c r="G711" s="36"/>
      <c r="H711" s="36"/>
      <c r="I711" s="113"/>
      <c r="J711" s="36"/>
      <c r="K711" s="182"/>
      <c r="L711" s="36"/>
      <c r="M711" s="60"/>
      <c r="N711" s="185"/>
      <c r="O711" s="60"/>
      <c r="P711" s="156"/>
      <c r="Q711" s="187"/>
      <c r="X711"/>
    </row>
    <row r="712" spans="1:24">
      <c r="A712" s="122"/>
      <c r="B712" s="122"/>
      <c r="C712" s="122"/>
      <c r="D712" s="122"/>
      <c r="E712" s="122"/>
      <c r="F712" s="122"/>
      <c r="G712" s="36"/>
      <c r="H712" s="36"/>
      <c r="I712" s="113"/>
      <c r="J712" s="36"/>
      <c r="K712" s="182"/>
      <c r="L712" s="36"/>
      <c r="M712" s="60"/>
      <c r="N712" s="185"/>
      <c r="O712" s="60"/>
      <c r="P712" s="156"/>
      <c r="Q712" s="187"/>
      <c r="X712"/>
    </row>
    <row r="713" spans="1:24">
      <c r="A713" s="122"/>
      <c r="B713" s="122"/>
      <c r="C713" s="122"/>
      <c r="D713" s="122"/>
      <c r="E713" s="122"/>
      <c r="F713" s="122"/>
      <c r="G713" s="36"/>
      <c r="H713" s="36"/>
      <c r="I713" s="113"/>
      <c r="J713" s="36"/>
      <c r="K713" s="182"/>
      <c r="L713" s="36"/>
      <c r="M713" s="60"/>
      <c r="N713" s="185"/>
      <c r="O713" s="60"/>
      <c r="P713" s="156"/>
      <c r="Q713" s="187"/>
      <c r="X713"/>
    </row>
    <row r="714" spans="1:24">
      <c r="A714" s="122"/>
      <c r="B714" s="122"/>
      <c r="C714" s="122"/>
      <c r="D714" s="122"/>
      <c r="E714" s="122"/>
      <c r="F714" s="122"/>
      <c r="G714" s="36"/>
      <c r="H714" s="36"/>
      <c r="I714" s="113"/>
      <c r="J714" s="36"/>
      <c r="K714" s="182"/>
      <c r="L714" s="36"/>
      <c r="M714" s="60"/>
      <c r="N714" s="185"/>
      <c r="O714" s="60"/>
      <c r="P714" s="156"/>
      <c r="Q714" s="187"/>
      <c r="X714"/>
    </row>
    <row r="715" spans="1:24">
      <c r="A715" s="122"/>
      <c r="B715" s="122"/>
      <c r="C715" s="122"/>
      <c r="D715" s="122"/>
      <c r="E715" s="122"/>
      <c r="F715" s="122"/>
      <c r="G715" s="36"/>
      <c r="H715" s="36"/>
      <c r="I715" s="113"/>
      <c r="J715" s="36"/>
      <c r="K715" s="182"/>
      <c r="L715" s="36"/>
      <c r="M715" s="60"/>
      <c r="N715" s="185"/>
      <c r="O715" s="60"/>
      <c r="P715" s="156"/>
      <c r="Q715" s="187"/>
      <c r="X715"/>
    </row>
    <row r="716" spans="1:24">
      <c r="A716" s="122"/>
      <c r="B716" s="122"/>
      <c r="C716" s="122"/>
      <c r="D716" s="122"/>
      <c r="E716" s="122"/>
      <c r="F716" s="122"/>
      <c r="G716" s="36"/>
      <c r="H716" s="36"/>
      <c r="I716" s="113"/>
      <c r="J716" s="36"/>
      <c r="K716" s="182"/>
      <c r="L716" s="36"/>
      <c r="M716" s="60"/>
      <c r="N716" s="185"/>
      <c r="O716" s="60"/>
      <c r="P716" s="156"/>
      <c r="Q716" s="187"/>
      <c r="X716"/>
    </row>
    <row r="717" spans="1:24">
      <c r="A717" s="122"/>
      <c r="B717" s="122"/>
      <c r="C717" s="122"/>
      <c r="D717" s="122"/>
      <c r="E717" s="122"/>
      <c r="F717" s="122"/>
      <c r="G717" s="36"/>
      <c r="H717" s="36"/>
      <c r="I717" s="113"/>
      <c r="J717" s="36"/>
      <c r="K717" s="182"/>
      <c r="L717" s="36"/>
      <c r="M717" s="60"/>
      <c r="N717" s="185"/>
      <c r="O717" s="60"/>
      <c r="P717" s="156"/>
      <c r="Q717" s="187"/>
      <c r="X717"/>
    </row>
    <row r="718" spans="1:24">
      <c r="A718" s="122"/>
      <c r="B718" s="122"/>
      <c r="C718" s="122"/>
      <c r="D718" s="122"/>
      <c r="E718" s="122"/>
      <c r="F718" s="122"/>
      <c r="G718" s="36"/>
      <c r="H718" s="36"/>
      <c r="I718" s="113"/>
      <c r="J718" s="36"/>
      <c r="K718" s="182"/>
      <c r="L718" s="36"/>
      <c r="M718" s="60"/>
      <c r="N718" s="185"/>
      <c r="O718" s="60"/>
      <c r="P718" s="156"/>
      <c r="Q718" s="187"/>
      <c r="X718"/>
    </row>
    <row r="719" spans="1:24">
      <c r="A719" s="122"/>
      <c r="B719" s="122"/>
      <c r="C719" s="122"/>
      <c r="D719" s="122"/>
      <c r="E719" s="122"/>
      <c r="F719" s="122"/>
      <c r="G719" s="36"/>
      <c r="H719" s="36"/>
      <c r="I719" s="113"/>
      <c r="J719" s="36"/>
      <c r="K719" s="182"/>
      <c r="L719" s="36"/>
      <c r="M719" s="60"/>
      <c r="N719" s="185"/>
      <c r="O719" s="60"/>
      <c r="P719" s="156"/>
      <c r="Q719" s="187"/>
      <c r="X719"/>
    </row>
    <row r="720" spans="1:24">
      <c r="A720" s="122"/>
      <c r="B720" s="122"/>
      <c r="C720" s="122"/>
      <c r="D720" s="122"/>
      <c r="E720" s="122"/>
      <c r="F720" s="122"/>
      <c r="G720" s="36"/>
      <c r="H720" s="36"/>
      <c r="I720" s="113"/>
      <c r="J720" s="36"/>
      <c r="K720" s="182"/>
      <c r="L720" s="36"/>
      <c r="M720" s="60"/>
      <c r="N720" s="185"/>
      <c r="O720" s="60"/>
      <c r="P720" s="156"/>
      <c r="Q720" s="187"/>
      <c r="X720"/>
    </row>
    <row r="721" spans="1:24">
      <c r="A721" s="122"/>
      <c r="B721" s="122"/>
      <c r="C721" s="122"/>
      <c r="D721" s="122"/>
      <c r="E721" s="122"/>
      <c r="F721" s="122"/>
      <c r="G721" s="36"/>
      <c r="H721" s="36"/>
      <c r="I721" s="113"/>
      <c r="J721" s="36"/>
      <c r="K721" s="182"/>
      <c r="L721" s="36"/>
      <c r="M721" s="60"/>
      <c r="N721" s="185"/>
      <c r="O721" s="60"/>
      <c r="P721" s="156"/>
      <c r="Q721" s="187"/>
      <c r="X721"/>
    </row>
    <row r="722" spans="1:24">
      <c r="A722" s="122"/>
      <c r="B722" s="122"/>
      <c r="C722" s="122"/>
      <c r="D722" s="122"/>
      <c r="E722" s="122"/>
      <c r="F722" s="122"/>
      <c r="G722" s="36"/>
      <c r="H722" s="36"/>
      <c r="I722" s="113"/>
      <c r="J722" s="36"/>
      <c r="K722" s="182"/>
      <c r="L722" s="36"/>
      <c r="M722" s="60"/>
      <c r="N722" s="185"/>
      <c r="O722" s="60"/>
      <c r="P722" s="156"/>
      <c r="Q722" s="187"/>
      <c r="X722"/>
    </row>
    <row r="723" spans="1:24">
      <c r="A723" s="122"/>
      <c r="B723" s="122"/>
      <c r="C723" s="122"/>
      <c r="D723" s="122"/>
      <c r="E723" s="122"/>
      <c r="F723" s="122"/>
      <c r="G723" s="36"/>
      <c r="H723" s="36"/>
      <c r="I723" s="113"/>
      <c r="J723" s="36"/>
      <c r="K723" s="182"/>
      <c r="L723" s="36"/>
      <c r="M723" s="60"/>
      <c r="N723" s="185"/>
      <c r="O723" s="60"/>
      <c r="P723" s="156"/>
      <c r="Q723" s="187"/>
      <c r="X723"/>
    </row>
    <row r="724" spans="1:24">
      <c r="A724" s="122"/>
      <c r="B724" s="122"/>
      <c r="C724" s="122"/>
      <c r="D724" s="122"/>
      <c r="E724" s="122"/>
      <c r="F724" s="122"/>
      <c r="G724" s="36"/>
      <c r="H724" s="36"/>
      <c r="I724" s="113"/>
      <c r="J724" s="36"/>
      <c r="K724" s="182"/>
      <c r="L724" s="36"/>
      <c r="M724" s="60"/>
      <c r="N724" s="185"/>
      <c r="O724" s="60"/>
      <c r="P724" s="156"/>
      <c r="Q724" s="187"/>
      <c r="X724"/>
    </row>
    <row r="725" spans="1:24">
      <c r="A725" s="122"/>
      <c r="B725" s="122"/>
      <c r="C725" s="122"/>
      <c r="D725" s="122"/>
      <c r="E725" s="122"/>
      <c r="F725" s="122"/>
      <c r="G725" s="36"/>
      <c r="H725" s="36"/>
      <c r="I725" s="113"/>
      <c r="J725" s="36"/>
      <c r="K725" s="182"/>
      <c r="L725" s="36"/>
      <c r="M725" s="60"/>
      <c r="N725" s="185"/>
      <c r="O725" s="60"/>
      <c r="P725" s="156"/>
      <c r="Q725" s="187"/>
      <c r="X725"/>
    </row>
    <row r="726" spans="1:24">
      <c r="A726" s="122"/>
      <c r="B726" s="122"/>
      <c r="C726" s="122"/>
      <c r="D726" s="122"/>
      <c r="E726" s="122"/>
      <c r="F726" s="122"/>
      <c r="G726" s="36"/>
      <c r="H726" s="36"/>
      <c r="I726" s="113"/>
      <c r="J726" s="36"/>
      <c r="K726" s="182"/>
      <c r="L726" s="36"/>
      <c r="M726" s="60"/>
      <c r="N726" s="185"/>
      <c r="O726" s="60"/>
      <c r="P726" s="156"/>
      <c r="Q726" s="187"/>
      <c r="X726"/>
    </row>
    <row r="727" spans="1:24">
      <c r="A727" s="122"/>
      <c r="B727" s="122"/>
      <c r="C727" s="122"/>
      <c r="D727" s="122"/>
      <c r="E727" s="122"/>
      <c r="F727" s="122"/>
      <c r="G727" s="36"/>
      <c r="H727" s="36"/>
      <c r="I727" s="113"/>
      <c r="J727" s="36"/>
      <c r="K727" s="182"/>
      <c r="L727" s="36"/>
      <c r="M727" s="60"/>
      <c r="N727" s="185"/>
      <c r="O727" s="60"/>
      <c r="P727" s="156"/>
      <c r="Q727" s="187"/>
      <c r="X727"/>
    </row>
    <row r="728" spans="1:24">
      <c r="A728" s="122"/>
      <c r="B728" s="122"/>
      <c r="C728" s="122"/>
      <c r="D728" s="122"/>
      <c r="E728" s="122"/>
      <c r="F728" s="122"/>
      <c r="G728" s="36"/>
      <c r="H728" s="36"/>
      <c r="I728" s="113"/>
      <c r="J728" s="36"/>
      <c r="K728" s="182"/>
      <c r="L728" s="36"/>
      <c r="M728" s="60"/>
      <c r="N728" s="185"/>
      <c r="O728" s="60"/>
      <c r="P728" s="156"/>
      <c r="Q728" s="187"/>
      <c r="X728"/>
    </row>
    <row r="729" spans="1:24">
      <c r="A729" s="122"/>
      <c r="B729" s="122"/>
      <c r="C729" s="122"/>
      <c r="D729" s="122"/>
      <c r="E729" s="122"/>
      <c r="F729" s="122"/>
      <c r="G729" s="36"/>
      <c r="H729" s="36"/>
      <c r="I729" s="113"/>
      <c r="J729" s="36"/>
      <c r="K729" s="182"/>
      <c r="L729" s="36"/>
      <c r="M729" s="60"/>
      <c r="N729" s="185"/>
      <c r="O729" s="60"/>
      <c r="P729" s="156"/>
      <c r="Q729" s="187"/>
      <c r="X729"/>
    </row>
    <row r="730" spans="1:24">
      <c r="A730" s="122"/>
      <c r="B730" s="122"/>
      <c r="C730" s="122"/>
      <c r="D730" s="122"/>
      <c r="E730" s="122"/>
      <c r="F730" s="122"/>
      <c r="G730" s="36"/>
      <c r="H730" s="36"/>
      <c r="I730" s="113"/>
      <c r="J730" s="36"/>
      <c r="K730" s="182"/>
      <c r="L730" s="36"/>
      <c r="M730" s="60"/>
      <c r="N730" s="185"/>
      <c r="O730" s="60"/>
      <c r="P730" s="156"/>
      <c r="Q730" s="187"/>
      <c r="X730"/>
    </row>
    <row r="731" spans="1:24">
      <c r="A731" s="122"/>
      <c r="B731" s="122"/>
      <c r="C731" s="122"/>
      <c r="D731" s="122"/>
      <c r="E731" s="122"/>
      <c r="F731" s="122"/>
      <c r="G731" s="36"/>
      <c r="H731" s="36"/>
      <c r="I731" s="113"/>
      <c r="J731" s="36"/>
      <c r="K731" s="182"/>
      <c r="L731" s="36"/>
      <c r="M731" s="60"/>
      <c r="N731" s="185"/>
      <c r="O731" s="60"/>
      <c r="P731" s="156"/>
      <c r="Q731" s="187"/>
      <c r="X731"/>
    </row>
    <row r="732" spans="1:24">
      <c r="A732" s="122"/>
      <c r="B732" s="122"/>
      <c r="C732" s="122"/>
      <c r="D732" s="122"/>
      <c r="E732" s="122"/>
      <c r="F732" s="122"/>
      <c r="G732" s="36"/>
      <c r="H732" s="36"/>
      <c r="I732" s="113"/>
      <c r="J732" s="36"/>
      <c r="K732" s="182"/>
      <c r="L732" s="36"/>
      <c r="M732" s="60"/>
      <c r="N732" s="185"/>
      <c r="O732" s="60"/>
      <c r="P732" s="156"/>
      <c r="Q732" s="187"/>
      <c r="X732"/>
    </row>
    <row r="733" spans="1:24">
      <c r="A733" s="150"/>
      <c r="B733" s="122"/>
      <c r="C733" s="122"/>
      <c r="D733" s="122"/>
      <c r="E733" s="122"/>
      <c r="F733" s="122"/>
      <c r="G733" s="36"/>
      <c r="H733" s="36"/>
      <c r="I733" s="113"/>
      <c r="J733" s="36"/>
      <c r="K733" s="182"/>
      <c r="L733" s="36"/>
      <c r="M733" s="60"/>
      <c r="N733" s="185"/>
      <c r="O733" s="60"/>
      <c r="P733" s="156"/>
      <c r="Q733" s="187"/>
      <c r="X733"/>
    </row>
    <row r="734" spans="1:24">
      <c r="A734" s="150"/>
      <c r="B734" s="122"/>
      <c r="C734" s="122"/>
      <c r="D734" s="122"/>
      <c r="E734" s="122"/>
      <c r="F734" s="122"/>
      <c r="G734" s="36"/>
      <c r="H734" s="36"/>
      <c r="I734" s="113"/>
      <c r="J734" s="36"/>
      <c r="K734" s="182"/>
      <c r="L734" s="36"/>
      <c r="M734" s="60"/>
      <c r="N734" s="185"/>
      <c r="O734" s="60"/>
      <c r="P734" s="156"/>
      <c r="Q734" s="187"/>
      <c r="X734"/>
    </row>
    <row r="735" spans="1:24">
      <c r="A735" s="122"/>
      <c r="B735" s="122"/>
      <c r="C735" s="122"/>
      <c r="D735" s="122"/>
      <c r="E735" s="122"/>
      <c r="F735" s="122"/>
      <c r="G735" s="122"/>
      <c r="H735" s="122"/>
      <c r="I735" s="282"/>
      <c r="J735" s="122"/>
      <c r="K735" s="145"/>
      <c r="L735" s="122"/>
      <c r="M735" s="141"/>
      <c r="N735" s="186"/>
      <c r="O735" s="141"/>
      <c r="P735" s="156"/>
      <c r="Q735" s="187"/>
      <c r="X735"/>
    </row>
    <row r="736" spans="1:24">
      <c r="A736" s="122"/>
      <c r="B736" s="122"/>
      <c r="C736" s="122"/>
      <c r="D736" s="122"/>
      <c r="E736" s="122"/>
      <c r="F736" s="122"/>
      <c r="G736" s="122"/>
      <c r="H736" s="122"/>
      <c r="I736" s="282"/>
      <c r="J736" s="122"/>
      <c r="K736" s="145"/>
      <c r="L736" s="122"/>
      <c r="M736" s="141"/>
      <c r="N736" s="186"/>
      <c r="O736" s="141"/>
      <c r="P736" s="156"/>
      <c r="Q736" s="187"/>
      <c r="X736"/>
    </row>
    <row r="737" spans="1:24">
      <c r="A737" s="122"/>
      <c r="B737" s="122"/>
      <c r="C737" s="122"/>
      <c r="D737" s="122"/>
      <c r="E737" s="122"/>
      <c r="F737" s="122"/>
      <c r="G737" s="122"/>
      <c r="H737" s="122"/>
      <c r="I737" s="282"/>
      <c r="J737" s="122"/>
      <c r="K737" s="145"/>
      <c r="L737" s="122"/>
      <c r="M737" s="141"/>
      <c r="N737" s="186"/>
      <c r="O737" s="141"/>
      <c r="P737" s="156"/>
      <c r="Q737" s="187"/>
      <c r="X737"/>
    </row>
    <row r="738" spans="1:24">
      <c r="A738" s="122"/>
      <c r="B738" s="122"/>
      <c r="C738" s="122"/>
      <c r="D738" s="122"/>
      <c r="E738" s="122"/>
      <c r="F738" s="122"/>
      <c r="G738" s="122"/>
      <c r="H738" s="122"/>
      <c r="I738" s="282"/>
      <c r="J738" s="122"/>
      <c r="K738" s="145"/>
      <c r="L738" s="122"/>
      <c r="M738" s="141"/>
      <c r="N738" s="186"/>
      <c r="O738" s="141"/>
      <c r="P738" s="156"/>
      <c r="Q738" s="187"/>
      <c r="X738"/>
    </row>
    <row r="739" spans="1:24">
      <c r="A739" s="122"/>
      <c r="B739" s="122"/>
      <c r="C739" s="122"/>
      <c r="D739" s="122"/>
      <c r="E739" s="122"/>
      <c r="F739" s="122"/>
      <c r="G739" s="122"/>
      <c r="H739" s="122"/>
      <c r="I739" s="282"/>
      <c r="J739" s="122"/>
      <c r="K739" s="145"/>
      <c r="L739" s="122"/>
      <c r="M739" s="141"/>
      <c r="N739" s="186"/>
      <c r="O739" s="141"/>
      <c r="P739" s="156"/>
      <c r="Q739" s="187"/>
      <c r="X739"/>
    </row>
    <row r="740" spans="1:24">
      <c r="A740" s="122"/>
      <c r="B740" s="122"/>
      <c r="C740" s="122"/>
      <c r="D740" s="122"/>
      <c r="E740" s="122"/>
      <c r="F740" s="122"/>
      <c r="G740" s="122"/>
      <c r="H740" s="122"/>
      <c r="I740" s="282"/>
      <c r="J740" s="122"/>
      <c r="K740" s="145"/>
      <c r="L740" s="122"/>
      <c r="M740" s="141"/>
      <c r="N740" s="186"/>
      <c r="O740" s="141"/>
      <c r="P740" s="156"/>
      <c r="Q740" s="187"/>
      <c r="X740"/>
    </row>
    <row r="741" spans="1:24">
      <c r="A741" s="122"/>
      <c r="B741" s="122"/>
      <c r="C741" s="122"/>
      <c r="D741" s="122"/>
      <c r="E741" s="122"/>
      <c r="F741" s="122"/>
      <c r="G741" s="122"/>
      <c r="H741" s="122"/>
      <c r="I741" s="282"/>
      <c r="J741" s="122"/>
      <c r="K741" s="145"/>
      <c r="L741" s="122"/>
      <c r="M741" s="141"/>
      <c r="N741" s="186"/>
      <c r="O741" s="141"/>
      <c r="P741" s="156"/>
      <c r="Q741" s="187"/>
      <c r="X741"/>
    </row>
    <row r="742" spans="1:24">
      <c r="A742" s="122"/>
      <c r="B742" s="122"/>
      <c r="C742" s="122"/>
      <c r="D742" s="122"/>
      <c r="E742" s="122"/>
      <c r="F742" s="122"/>
      <c r="G742" s="122"/>
      <c r="H742" s="122"/>
      <c r="I742" s="282"/>
      <c r="J742" s="122"/>
      <c r="K742" s="145"/>
      <c r="L742" s="122"/>
      <c r="M742" s="141"/>
      <c r="N742" s="186"/>
      <c r="O742" s="141"/>
      <c r="P742" s="156"/>
      <c r="Q742" s="187"/>
      <c r="X742"/>
    </row>
    <row r="743" spans="1:24">
      <c r="A743" s="122"/>
      <c r="B743" s="122"/>
      <c r="C743" s="122"/>
      <c r="D743" s="122"/>
      <c r="E743" s="122"/>
      <c r="F743" s="122"/>
      <c r="G743" s="122"/>
      <c r="H743" s="122"/>
      <c r="I743" s="282"/>
      <c r="J743" s="122"/>
      <c r="K743" s="145"/>
      <c r="L743" s="122"/>
      <c r="M743" s="141"/>
      <c r="N743" s="186"/>
      <c r="O743" s="141"/>
      <c r="P743" s="156"/>
      <c r="Q743" s="187"/>
      <c r="X743"/>
    </row>
    <row r="744" spans="1:24">
      <c r="A744" s="122"/>
      <c r="B744" s="122"/>
      <c r="C744" s="122"/>
      <c r="D744" s="122"/>
      <c r="E744" s="122"/>
      <c r="F744" s="122"/>
      <c r="G744" s="36"/>
      <c r="H744" s="36"/>
      <c r="I744" s="113"/>
      <c r="J744" s="36"/>
      <c r="K744" s="182"/>
      <c r="L744" s="36"/>
      <c r="M744" s="60"/>
      <c r="N744" s="185"/>
      <c r="O744" s="60"/>
      <c r="P744" s="156"/>
      <c r="Q744" s="187"/>
      <c r="X744"/>
    </row>
    <row r="745" spans="1:24">
      <c r="A745" s="122"/>
      <c r="B745" s="122"/>
      <c r="C745" s="122"/>
      <c r="D745" s="122"/>
      <c r="E745" s="122"/>
      <c r="F745" s="122"/>
      <c r="G745" s="36"/>
      <c r="H745" s="36"/>
      <c r="I745" s="113"/>
      <c r="J745" s="36"/>
      <c r="K745" s="182"/>
      <c r="L745" s="36"/>
      <c r="M745" s="60"/>
      <c r="N745" s="185"/>
      <c r="O745" s="60"/>
      <c r="P745" s="156"/>
      <c r="Q745" s="187"/>
      <c r="X745"/>
    </row>
    <row r="746" spans="1:24">
      <c r="A746" s="122"/>
      <c r="B746" s="122"/>
      <c r="C746" s="122"/>
      <c r="D746" s="122"/>
      <c r="E746" s="122"/>
      <c r="F746" s="122"/>
      <c r="G746" s="36"/>
      <c r="H746" s="36"/>
      <c r="I746" s="113"/>
      <c r="J746" s="36"/>
      <c r="K746" s="182"/>
      <c r="L746" s="36"/>
      <c r="M746" s="60"/>
      <c r="N746" s="185"/>
      <c r="O746" s="60"/>
      <c r="P746" s="156"/>
      <c r="Q746" s="187"/>
      <c r="X746"/>
    </row>
    <row r="747" spans="1:24">
      <c r="A747" s="122"/>
      <c r="B747" s="122"/>
      <c r="C747" s="122"/>
      <c r="D747" s="122"/>
      <c r="E747" s="122"/>
      <c r="F747" s="122"/>
      <c r="G747" s="36"/>
      <c r="H747" s="36"/>
      <c r="I747" s="113"/>
      <c r="J747" s="36"/>
      <c r="K747" s="182"/>
      <c r="L747" s="36"/>
      <c r="M747" s="60"/>
      <c r="N747" s="185"/>
      <c r="O747" s="60"/>
      <c r="P747" s="156"/>
      <c r="Q747" s="187"/>
      <c r="X747"/>
    </row>
    <row r="748" spans="1:24">
      <c r="A748" s="122"/>
      <c r="B748" s="122"/>
      <c r="C748" s="122"/>
      <c r="D748" s="122"/>
      <c r="E748" s="122"/>
      <c r="F748" s="122"/>
      <c r="G748" s="36"/>
      <c r="H748" s="36"/>
      <c r="I748" s="113"/>
      <c r="J748" s="36"/>
      <c r="K748" s="182"/>
      <c r="L748" s="36"/>
      <c r="M748" s="60"/>
      <c r="N748" s="185"/>
      <c r="O748" s="60"/>
      <c r="P748" s="156"/>
      <c r="Q748" s="187"/>
      <c r="X748"/>
    </row>
    <row r="749" spans="1:24">
      <c r="A749" s="122"/>
      <c r="B749" s="122"/>
      <c r="C749" s="122"/>
      <c r="D749" s="122"/>
      <c r="E749" s="122"/>
      <c r="F749" s="122"/>
      <c r="G749" s="36"/>
      <c r="H749" s="36"/>
      <c r="I749" s="113"/>
      <c r="J749" s="36"/>
      <c r="K749" s="182"/>
      <c r="L749" s="36"/>
      <c r="M749" s="60"/>
      <c r="N749" s="185"/>
      <c r="O749" s="60"/>
      <c r="P749" s="156"/>
      <c r="Q749" s="187"/>
      <c r="X749"/>
    </row>
    <row r="750" spans="1:24">
      <c r="A750" s="122"/>
      <c r="B750" s="122"/>
      <c r="C750" s="122"/>
      <c r="D750" s="122"/>
      <c r="E750" s="122"/>
      <c r="F750" s="122"/>
      <c r="G750" s="36"/>
      <c r="H750" s="36"/>
      <c r="I750" s="113"/>
      <c r="J750" s="36"/>
      <c r="K750" s="182"/>
      <c r="L750" s="36"/>
      <c r="M750" s="60"/>
      <c r="N750" s="185"/>
      <c r="O750" s="60"/>
      <c r="P750" s="156"/>
      <c r="Q750" s="187"/>
      <c r="X750"/>
    </row>
    <row r="751" spans="1:24">
      <c r="A751" s="122"/>
      <c r="B751" s="122"/>
      <c r="C751" s="122"/>
      <c r="D751" s="122"/>
      <c r="E751" s="122"/>
      <c r="F751" s="122"/>
      <c r="G751" s="36"/>
      <c r="H751" s="36"/>
      <c r="I751" s="113"/>
      <c r="J751" s="36"/>
      <c r="K751" s="182"/>
      <c r="L751" s="36"/>
      <c r="M751" s="60"/>
      <c r="N751" s="185"/>
      <c r="O751" s="60"/>
      <c r="P751" s="156"/>
      <c r="Q751" s="187"/>
      <c r="X751"/>
    </row>
    <row r="752" spans="1:24">
      <c r="A752" s="122"/>
      <c r="B752" s="122"/>
      <c r="C752" s="122"/>
      <c r="D752" s="122"/>
      <c r="E752" s="122"/>
      <c r="F752" s="122"/>
      <c r="G752" s="36"/>
      <c r="H752" s="36"/>
      <c r="I752" s="113"/>
      <c r="J752" s="36"/>
      <c r="K752" s="182"/>
      <c r="L752" s="36"/>
      <c r="M752" s="60"/>
      <c r="N752" s="185"/>
      <c r="O752" s="60"/>
      <c r="P752" s="156"/>
      <c r="Q752" s="187"/>
      <c r="X752"/>
    </row>
    <row r="753" spans="1:24">
      <c r="A753" s="122"/>
      <c r="B753" s="122"/>
      <c r="C753" s="122"/>
      <c r="D753" s="122"/>
      <c r="E753" s="122"/>
      <c r="F753" s="122"/>
      <c r="G753" s="36"/>
      <c r="H753" s="36"/>
      <c r="I753" s="113"/>
      <c r="J753" s="36"/>
      <c r="K753" s="182"/>
      <c r="L753" s="36"/>
      <c r="M753" s="60"/>
      <c r="N753" s="185"/>
      <c r="O753" s="60"/>
      <c r="P753" s="156"/>
      <c r="Q753" s="187"/>
      <c r="X753"/>
    </row>
    <row r="754" spans="1:24">
      <c r="A754" s="122"/>
      <c r="B754" s="122"/>
      <c r="C754" s="122"/>
      <c r="D754" s="122"/>
      <c r="E754" s="122"/>
      <c r="F754" s="122"/>
      <c r="G754" s="36"/>
      <c r="H754" s="36"/>
      <c r="I754" s="113"/>
      <c r="J754" s="36"/>
      <c r="K754" s="182"/>
      <c r="L754" s="36"/>
      <c r="M754" s="60"/>
      <c r="N754" s="185"/>
      <c r="O754" s="60"/>
      <c r="P754" s="156"/>
      <c r="Q754" s="187"/>
      <c r="X754"/>
    </row>
    <row r="755" spans="1:24">
      <c r="A755" s="122"/>
      <c r="B755" s="122"/>
      <c r="C755" s="122"/>
      <c r="D755" s="122"/>
      <c r="E755" s="122"/>
      <c r="F755" s="122"/>
      <c r="G755" s="36"/>
      <c r="H755" s="36"/>
      <c r="I755" s="113"/>
      <c r="J755" s="36"/>
      <c r="K755" s="182"/>
      <c r="L755" s="36"/>
      <c r="M755" s="60"/>
      <c r="N755" s="185"/>
      <c r="O755" s="60"/>
      <c r="P755" s="156"/>
      <c r="Q755" s="187"/>
      <c r="X755"/>
    </row>
    <row r="756" spans="1:24">
      <c r="A756" s="122"/>
      <c r="B756" s="122"/>
      <c r="C756" s="122"/>
      <c r="D756" s="122"/>
      <c r="E756" s="122"/>
      <c r="F756" s="122"/>
      <c r="G756" s="36"/>
      <c r="H756" s="36"/>
      <c r="I756" s="113"/>
      <c r="J756" s="36"/>
      <c r="K756" s="182"/>
      <c r="L756" s="36"/>
      <c r="M756" s="60"/>
      <c r="N756" s="185"/>
      <c r="O756" s="60"/>
      <c r="P756" s="156"/>
      <c r="Q756" s="187"/>
      <c r="X756"/>
    </row>
    <row r="757" spans="1:24">
      <c r="A757" s="122"/>
      <c r="B757" s="122"/>
      <c r="C757" s="122"/>
      <c r="D757" s="122"/>
      <c r="E757" s="122"/>
      <c r="F757" s="122"/>
      <c r="G757" s="36"/>
      <c r="H757" s="36"/>
      <c r="I757" s="113"/>
      <c r="J757" s="36"/>
      <c r="K757" s="182"/>
      <c r="L757" s="36"/>
      <c r="M757" s="60"/>
      <c r="N757" s="185"/>
      <c r="O757" s="60"/>
      <c r="P757" s="156"/>
      <c r="Q757" s="187"/>
      <c r="X757"/>
    </row>
    <row r="758" spans="1:24">
      <c r="A758" s="122"/>
      <c r="B758" s="122"/>
      <c r="C758" s="122"/>
      <c r="D758" s="122"/>
      <c r="E758" s="122"/>
      <c r="F758" s="122"/>
      <c r="G758" s="36"/>
      <c r="H758" s="36"/>
      <c r="I758" s="113"/>
      <c r="J758" s="36"/>
      <c r="K758" s="182"/>
      <c r="L758" s="36"/>
      <c r="M758" s="60"/>
      <c r="N758" s="185"/>
      <c r="O758" s="60"/>
      <c r="P758" s="156"/>
      <c r="Q758" s="187"/>
      <c r="X758"/>
    </row>
    <row r="759" spans="1:24">
      <c r="A759" s="122"/>
      <c r="B759" s="122"/>
      <c r="C759" s="122"/>
      <c r="D759" s="122"/>
      <c r="E759" s="122"/>
      <c r="F759" s="122"/>
      <c r="G759" s="36"/>
      <c r="H759" s="36"/>
      <c r="I759" s="113"/>
      <c r="J759" s="36"/>
      <c r="K759" s="182"/>
      <c r="L759" s="36"/>
      <c r="M759" s="60"/>
      <c r="N759" s="185"/>
      <c r="O759" s="60"/>
      <c r="P759" s="156"/>
      <c r="Q759" s="187"/>
      <c r="X759"/>
    </row>
    <row r="760" spans="1:24">
      <c r="A760" s="122"/>
      <c r="B760" s="122"/>
      <c r="C760" s="122"/>
      <c r="D760" s="122"/>
      <c r="E760" s="122"/>
      <c r="F760" s="122"/>
      <c r="G760" s="36"/>
      <c r="H760" s="36"/>
      <c r="I760" s="113"/>
      <c r="J760" s="36"/>
      <c r="K760" s="182"/>
      <c r="L760" s="36"/>
      <c r="M760" s="60"/>
      <c r="N760" s="185"/>
      <c r="O760" s="60"/>
      <c r="P760" s="156"/>
      <c r="Q760" s="187"/>
      <c r="X760"/>
    </row>
    <row r="761" spans="1:24">
      <c r="A761" s="122"/>
      <c r="B761" s="122"/>
      <c r="C761" s="122"/>
      <c r="D761" s="122"/>
      <c r="E761" s="122"/>
      <c r="F761" s="122"/>
      <c r="G761" s="36"/>
      <c r="H761" s="36"/>
      <c r="I761" s="113"/>
      <c r="J761" s="36"/>
      <c r="K761" s="182"/>
      <c r="L761" s="36"/>
      <c r="M761" s="60"/>
      <c r="N761" s="185"/>
      <c r="O761" s="60"/>
      <c r="P761" s="156"/>
      <c r="Q761" s="187"/>
      <c r="X761"/>
    </row>
    <row r="762" spans="1:24">
      <c r="A762" s="122"/>
      <c r="B762" s="122"/>
      <c r="C762" s="122"/>
      <c r="D762" s="122"/>
      <c r="E762" s="122"/>
      <c r="F762" s="122"/>
      <c r="G762" s="36"/>
      <c r="H762" s="36"/>
      <c r="I762" s="113"/>
      <c r="J762" s="36"/>
      <c r="K762" s="182"/>
      <c r="L762" s="36"/>
      <c r="M762" s="60"/>
      <c r="N762" s="185"/>
      <c r="O762" s="60"/>
      <c r="P762" s="156"/>
      <c r="Q762" s="187"/>
      <c r="X762"/>
    </row>
    <row r="763" spans="1:24">
      <c r="A763" s="122"/>
      <c r="B763" s="122"/>
      <c r="C763" s="122"/>
      <c r="D763" s="122"/>
      <c r="E763" s="122"/>
      <c r="F763" s="122"/>
      <c r="G763" s="36"/>
      <c r="H763" s="36"/>
      <c r="I763" s="113"/>
      <c r="J763" s="36"/>
      <c r="K763" s="182"/>
      <c r="L763" s="36"/>
      <c r="M763" s="60"/>
      <c r="N763" s="185"/>
      <c r="O763" s="60"/>
      <c r="P763" s="156"/>
      <c r="Q763" s="187"/>
      <c r="X763"/>
    </row>
    <row r="764" spans="1:24">
      <c r="A764" s="122"/>
      <c r="B764" s="122"/>
      <c r="C764" s="122"/>
      <c r="D764" s="122"/>
      <c r="E764" s="122"/>
      <c r="F764" s="122"/>
      <c r="G764" s="36"/>
      <c r="H764" s="36"/>
      <c r="I764" s="113"/>
      <c r="J764" s="36"/>
      <c r="K764" s="182"/>
      <c r="L764" s="36"/>
      <c r="M764" s="60"/>
      <c r="N764" s="185"/>
      <c r="O764" s="60"/>
      <c r="P764" s="156"/>
      <c r="Q764" s="187"/>
      <c r="X764"/>
    </row>
    <row r="765" spans="1:24">
      <c r="A765" s="122"/>
      <c r="B765" s="122"/>
      <c r="C765" s="122"/>
      <c r="D765" s="122"/>
      <c r="E765" s="122"/>
      <c r="F765" s="122"/>
      <c r="G765" s="36"/>
      <c r="H765" s="36"/>
      <c r="I765" s="113"/>
      <c r="J765" s="36"/>
      <c r="K765" s="182"/>
      <c r="L765" s="36"/>
      <c r="M765" s="60"/>
      <c r="N765" s="185"/>
      <c r="O765" s="60"/>
      <c r="P765" s="156"/>
      <c r="Q765" s="187"/>
      <c r="X765"/>
    </row>
    <row r="766" spans="1:24">
      <c r="A766" s="122"/>
      <c r="B766" s="122"/>
      <c r="C766" s="122"/>
      <c r="D766" s="122"/>
      <c r="E766" s="122"/>
      <c r="F766" s="122"/>
      <c r="G766" s="36"/>
      <c r="H766" s="36"/>
      <c r="I766" s="113"/>
      <c r="J766" s="36"/>
      <c r="K766" s="182"/>
      <c r="L766" s="36"/>
      <c r="M766" s="60"/>
      <c r="N766" s="185"/>
      <c r="O766" s="60"/>
      <c r="P766" s="156"/>
      <c r="Q766" s="187"/>
      <c r="X766"/>
    </row>
    <row r="767" spans="1:24">
      <c r="A767" s="122"/>
      <c r="B767" s="122"/>
      <c r="C767" s="122"/>
      <c r="D767" s="122"/>
      <c r="E767" s="122"/>
      <c r="F767" s="122"/>
      <c r="G767" s="36"/>
      <c r="H767" s="36"/>
      <c r="I767" s="113"/>
      <c r="J767" s="36"/>
      <c r="K767" s="182"/>
      <c r="L767" s="36"/>
      <c r="M767" s="60"/>
      <c r="N767" s="185"/>
      <c r="O767" s="60"/>
      <c r="P767" s="156"/>
      <c r="Q767" s="187"/>
      <c r="X767"/>
    </row>
    <row r="768" spans="1:24">
      <c r="A768" s="122"/>
      <c r="B768" s="122"/>
      <c r="C768" s="122"/>
      <c r="D768" s="122"/>
      <c r="E768" s="122"/>
      <c r="F768" s="122"/>
      <c r="G768" s="36"/>
      <c r="H768" s="36"/>
      <c r="I768" s="113"/>
      <c r="J768" s="36"/>
      <c r="K768" s="182"/>
      <c r="L768" s="36"/>
      <c r="M768" s="60"/>
      <c r="N768" s="185"/>
      <c r="O768" s="60"/>
      <c r="P768" s="156"/>
      <c r="Q768" s="187"/>
      <c r="X768"/>
    </row>
    <row r="769" spans="1:24">
      <c r="A769" s="122"/>
      <c r="B769" s="122"/>
      <c r="C769" s="122"/>
      <c r="D769" s="122"/>
      <c r="E769" s="122"/>
      <c r="F769" s="122"/>
      <c r="G769" s="36"/>
      <c r="H769" s="36"/>
      <c r="I769" s="113"/>
      <c r="J769" s="36"/>
      <c r="K769" s="182"/>
      <c r="L769" s="36"/>
      <c r="M769" s="60"/>
      <c r="N769" s="185"/>
      <c r="O769" s="60"/>
      <c r="P769" s="156"/>
      <c r="Q769" s="187"/>
      <c r="X769"/>
    </row>
    <row r="770" spans="1:24">
      <c r="A770" s="122"/>
      <c r="B770" s="122"/>
      <c r="C770" s="122"/>
      <c r="D770" s="122"/>
      <c r="E770" s="122"/>
      <c r="F770" s="122"/>
      <c r="G770" s="36"/>
      <c r="H770" s="36"/>
      <c r="I770" s="113"/>
      <c r="J770" s="36"/>
      <c r="K770" s="182"/>
      <c r="L770" s="36"/>
      <c r="M770" s="60"/>
      <c r="N770" s="185"/>
      <c r="O770" s="60"/>
      <c r="P770" s="156"/>
      <c r="Q770" s="187"/>
      <c r="X770"/>
    </row>
    <row r="771" spans="1:24">
      <c r="A771" s="122"/>
      <c r="B771" s="122"/>
      <c r="C771" s="122"/>
      <c r="D771" s="122"/>
      <c r="E771" s="122"/>
      <c r="F771" s="122"/>
      <c r="G771" s="36"/>
      <c r="H771" s="36"/>
      <c r="I771" s="113"/>
      <c r="J771" s="36"/>
      <c r="K771" s="182"/>
      <c r="L771" s="36"/>
      <c r="M771" s="60"/>
      <c r="N771" s="185"/>
      <c r="O771" s="60"/>
      <c r="P771" s="156"/>
      <c r="Q771" s="187"/>
      <c r="X771"/>
    </row>
    <row r="772" spans="1:24">
      <c r="A772" s="122"/>
      <c r="B772" s="122"/>
      <c r="C772" s="122"/>
      <c r="D772" s="122"/>
      <c r="E772" s="122"/>
      <c r="F772" s="122"/>
      <c r="G772" s="36"/>
      <c r="H772" s="36"/>
      <c r="I772" s="113"/>
      <c r="J772" s="36"/>
      <c r="K772" s="182"/>
      <c r="L772" s="36"/>
      <c r="M772" s="60"/>
      <c r="N772" s="185"/>
      <c r="O772" s="60"/>
      <c r="P772" s="156"/>
      <c r="Q772" s="187"/>
      <c r="X772"/>
    </row>
    <row r="773" spans="1:24">
      <c r="A773" s="122"/>
      <c r="B773" s="122"/>
      <c r="C773" s="122"/>
      <c r="D773" s="122"/>
      <c r="E773" s="122"/>
      <c r="F773" s="122"/>
      <c r="G773" s="36"/>
      <c r="H773" s="36"/>
      <c r="I773" s="113"/>
      <c r="J773" s="36"/>
      <c r="K773" s="182"/>
      <c r="L773" s="36"/>
      <c r="M773" s="60"/>
      <c r="N773" s="185"/>
      <c r="O773" s="60"/>
      <c r="P773" s="156"/>
      <c r="Q773" s="187"/>
      <c r="X773"/>
    </row>
    <row r="774" spans="1:24">
      <c r="A774" s="122"/>
      <c r="B774" s="122"/>
      <c r="C774" s="122"/>
      <c r="D774" s="122"/>
      <c r="E774" s="122"/>
      <c r="F774" s="122"/>
      <c r="G774" s="36"/>
      <c r="H774" s="36"/>
      <c r="I774" s="113"/>
      <c r="J774" s="36"/>
      <c r="K774" s="182"/>
      <c r="L774" s="36"/>
      <c r="M774" s="60"/>
      <c r="N774" s="185"/>
      <c r="O774" s="60"/>
      <c r="P774" s="156"/>
      <c r="Q774" s="187"/>
      <c r="X774"/>
    </row>
    <row r="775" spans="1:24">
      <c r="A775" s="122"/>
      <c r="B775" s="122"/>
      <c r="C775" s="122"/>
      <c r="D775" s="122"/>
      <c r="E775" s="122"/>
      <c r="F775" s="122"/>
      <c r="G775" s="36"/>
      <c r="H775" s="36"/>
      <c r="I775" s="113"/>
      <c r="J775" s="36"/>
      <c r="K775" s="182"/>
      <c r="L775" s="36"/>
      <c r="M775" s="60"/>
      <c r="N775" s="185"/>
      <c r="O775" s="60"/>
      <c r="P775" s="156"/>
      <c r="Q775" s="187"/>
      <c r="X775"/>
    </row>
    <row r="776" spans="1:24">
      <c r="A776" s="122"/>
      <c r="B776" s="122"/>
      <c r="C776" s="122"/>
      <c r="D776" s="122"/>
      <c r="E776" s="122"/>
      <c r="F776" s="122"/>
      <c r="G776" s="36"/>
      <c r="H776" s="36"/>
      <c r="I776" s="113"/>
      <c r="J776" s="36"/>
      <c r="K776" s="182"/>
      <c r="L776" s="36"/>
      <c r="M776" s="60"/>
      <c r="N776" s="185"/>
      <c r="O776" s="60"/>
      <c r="P776" s="156"/>
      <c r="Q776" s="187"/>
      <c r="X776"/>
    </row>
    <row r="777" spans="1:24">
      <c r="A777" s="122"/>
      <c r="B777" s="122"/>
      <c r="C777" s="122"/>
      <c r="D777" s="122"/>
      <c r="E777" s="122"/>
      <c r="F777" s="122"/>
      <c r="G777" s="36"/>
      <c r="H777" s="36"/>
      <c r="I777" s="113"/>
      <c r="J777" s="36"/>
      <c r="K777" s="182"/>
      <c r="L777" s="36"/>
      <c r="M777" s="60"/>
      <c r="N777" s="185"/>
      <c r="O777" s="60"/>
      <c r="P777" s="156"/>
      <c r="Q777" s="187"/>
      <c r="X777"/>
    </row>
    <row r="778" spans="1:24">
      <c r="A778" s="122"/>
      <c r="B778" s="122"/>
      <c r="C778" s="122"/>
      <c r="D778" s="122"/>
      <c r="E778" s="122"/>
      <c r="F778" s="122"/>
      <c r="G778" s="36"/>
      <c r="H778" s="36"/>
      <c r="I778" s="113"/>
      <c r="J778" s="36"/>
      <c r="K778" s="182"/>
      <c r="L778" s="36"/>
      <c r="M778" s="60"/>
      <c r="N778" s="185"/>
      <c r="O778" s="60"/>
      <c r="P778" s="156"/>
      <c r="Q778" s="187"/>
      <c r="X778"/>
    </row>
    <row r="779" spans="1:24">
      <c r="A779" s="122"/>
      <c r="B779" s="122"/>
      <c r="C779" s="122"/>
      <c r="D779" s="122"/>
      <c r="E779" s="122"/>
      <c r="F779" s="122"/>
      <c r="G779" s="36"/>
      <c r="H779" s="36"/>
      <c r="I779" s="113"/>
      <c r="J779" s="36"/>
      <c r="K779" s="182"/>
      <c r="L779" s="36"/>
      <c r="M779" s="60"/>
      <c r="N779" s="185"/>
      <c r="O779" s="60"/>
      <c r="P779" s="156"/>
      <c r="Q779" s="187"/>
      <c r="X779"/>
    </row>
    <row r="780" spans="1:24">
      <c r="A780" s="122"/>
      <c r="B780" s="122"/>
      <c r="C780" s="122"/>
      <c r="D780" s="122"/>
      <c r="E780" s="122"/>
      <c r="F780" s="122"/>
      <c r="G780" s="36"/>
      <c r="H780" s="36"/>
      <c r="I780" s="113"/>
      <c r="J780" s="36"/>
      <c r="K780" s="182"/>
      <c r="L780" s="36"/>
      <c r="M780" s="60"/>
      <c r="N780" s="185"/>
      <c r="O780" s="60"/>
      <c r="P780" s="156"/>
      <c r="Q780" s="187"/>
      <c r="X780"/>
    </row>
    <row r="781" spans="1:24">
      <c r="A781" s="122"/>
      <c r="B781" s="122"/>
      <c r="C781" s="122"/>
      <c r="D781" s="122"/>
      <c r="E781" s="122"/>
      <c r="F781" s="122"/>
      <c r="G781" s="36"/>
      <c r="H781" s="36"/>
      <c r="I781" s="113"/>
      <c r="J781" s="36"/>
      <c r="K781" s="182"/>
      <c r="L781" s="36"/>
      <c r="M781" s="60"/>
      <c r="N781" s="185"/>
      <c r="O781" s="60"/>
      <c r="P781" s="156"/>
      <c r="Q781" s="187"/>
      <c r="X781"/>
    </row>
    <row r="782" spans="1:24">
      <c r="A782" s="122"/>
      <c r="B782" s="122"/>
      <c r="C782" s="122"/>
      <c r="D782" s="122"/>
      <c r="E782" s="122"/>
      <c r="F782" s="122"/>
      <c r="G782" s="36"/>
      <c r="H782" s="36"/>
      <c r="I782" s="113"/>
      <c r="J782" s="36"/>
      <c r="K782" s="182"/>
      <c r="L782" s="36"/>
      <c r="M782" s="60"/>
      <c r="N782" s="185"/>
      <c r="O782" s="60"/>
      <c r="P782" s="156"/>
      <c r="Q782" s="187"/>
      <c r="X782"/>
    </row>
    <row r="783" spans="1:24">
      <c r="A783" s="122"/>
      <c r="B783" s="122"/>
      <c r="C783" s="122"/>
      <c r="D783" s="122"/>
      <c r="E783" s="122"/>
      <c r="F783" s="122"/>
      <c r="G783" s="36"/>
      <c r="H783" s="36"/>
      <c r="I783" s="113"/>
      <c r="J783" s="36"/>
      <c r="K783" s="182"/>
      <c r="L783" s="36"/>
      <c r="M783" s="60"/>
      <c r="N783" s="185"/>
      <c r="O783" s="60"/>
      <c r="P783" s="156"/>
      <c r="Q783" s="187"/>
      <c r="X783"/>
    </row>
    <row r="784" spans="1:24">
      <c r="A784" s="122"/>
      <c r="B784" s="122"/>
      <c r="C784" s="122"/>
      <c r="D784" s="122"/>
      <c r="E784" s="122"/>
      <c r="F784" s="122"/>
      <c r="G784" s="36"/>
      <c r="H784" s="36"/>
      <c r="I784" s="113"/>
      <c r="J784" s="36"/>
      <c r="K784" s="182"/>
      <c r="L784" s="36"/>
      <c r="M784" s="60"/>
      <c r="N784" s="185"/>
      <c r="O784" s="60"/>
      <c r="P784" s="156"/>
      <c r="Q784" s="187"/>
      <c r="X784"/>
    </row>
    <row r="785" spans="1:24">
      <c r="A785" s="122"/>
      <c r="B785" s="122"/>
      <c r="C785" s="122"/>
      <c r="D785" s="122"/>
      <c r="E785" s="122"/>
      <c r="F785" s="122"/>
      <c r="G785" s="36"/>
      <c r="H785" s="36"/>
      <c r="I785" s="113"/>
      <c r="J785" s="36"/>
      <c r="K785" s="182"/>
      <c r="L785" s="36"/>
      <c r="M785" s="60"/>
      <c r="N785" s="185"/>
      <c r="O785" s="60"/>
      <c r="P785" s="156"/>
      <c r="Q785" s="187"/>
      <c r="X785"/>
    </row>
    <row r="786" spans="1:24">
      <c r="A786" s="122"/>
      <c r="B786" s="122"/>
      <c r="C786" s="122"/>
      <c r="D786" s="122"/>
      <c r="E786" s="122"/>
      <c r="F786" s="122"/>
      <c r="G786" s="36"/>
      <c r="H786" s="36"/>
      <c r="I786" s="113"/>
      <c r="J786" s="36"/>
      <c r="K786" s="182"/>
      <c r="L786" s="36"/>
      <c r="M786" s="60"/>
      <c r="N786" s="185"/>
      <c r="O786" s="60"/>
      <c r="P786" s="156"/>
      <c r="Q786" s="187"/>
      <c r="X786"/>
    </row>
    <row r="787" spans="1:24">
      <c r="A787" s="122"/>
      <c r="B787" s="122"/>
      <c r="C787" s="122"/>
      <c r="D787" s="122"/>
      <c r="E787" s="122"/>
      <c r="F787" s="122"/>
      <c r="G787" s="36"/>
      <c r="H787" s="36"/>
      <c r="I787" s="113"/>
      <c r="J787" s="36"/>
      <c r="K787" s="182"/>
      <c r="L787" s="36"/>
      <c r="M787" s="60"/>
      <c r="N787" s="185"/>
      <c r="O787" s="60"/>
      <c r="P787" s="156"/>
      <c r="Q787" s="187"/>
      <c r="X787"/>
    </row>
    <row r="788" spans="1:24">
      <c r="A788" s="122"/>
      <c r="B788" s="122"/>
      <c r="C788" s="122"/>
      <c r="D788" s="122"/>
      <c r="E788" s="122"/>
      <c r="F788" s="122"/>
      <c r="G788" s="36"/>
      <c r="H788" s="36"/>
      <c r="I788" s="113"/>
      <c r="J788" s="36"/>
      <c r="K788" s="182"/>
      <c r="L788" s="36"/>
      <c r="M788" s="60"/>
      <c r="N788" s="185"/>
      <c r="O788" s="60"/>
      <c r="P788" s="156"/>
      <c r="Q788" s="187"/>
      <c r="X788"/>
    </row>
    <row r="789" spans="1:24">
      <c r="A789" s="122"/>
      <c r="B789" s="122"/>
      <c r="C789" s="122"/>
      <c r="D789" s="122"/>
      <c r="E789" s="122"/>
      <c r="F789" s="122"/>
      <c r="G789" s="36"/>
      <c r="H789" s="36"/>
      <c r="I789" s="113"/>
      <c r="J789" s="36"/>
      <c r="K789" s="182"/>
      <c r="L789" s="36"/>
      <c r="M789" s="60"/>
      <c r="N789" s="185"/>
      <c r="O789" s="60"/>
      <c r="P789" s="156"/>
      <c r="Q789" s="187"/>
      <c r="X789"/>
    </row>
    <row r="790" spans="1:24">
      <c r="A790" s="122"/>
      <c r="B790" s="122"/>
      <c r="C790" s="122"/>
      <c r="D790" s="122"/>
      <c r="E790" s="122"/>
      <c r="F790" s="122"/>
      <c r="G790" s="36"/>
      <c r="H790" s="36"/>
      <c r="I790" s="113"/>
      <c r="J790" s="36"/>
      <c r="K790" s="182"/>
      <c r="L790" s="36"/>
      <c r="M790" s="60"/>
      <c r="N790" s="185"/>
      <c r="O790" s="60"/>
      <c r="P790" s="156"/>
      <c r="Q790" s="187"/>
      <c r="X790"/>
    </row>
    <row r="791" spans="1:24">
      <c r="A791" s="122"/>
      <c r="B791" s="122"/>
      <c r="C791" s="122"/>
      <c r="D791" s="122"/>
      <c r="E791" s="122"/>
      <c r="F791" s="122"/>
      <c r="G791" s="36"/>
      <c r="H791" s="36"/>
      <c r="I791" s="113"/>
      <c r="J791" s="36"/>
      <c r="K791" s="182"/>
      <c r="L791" s="36"/>
      <c r="M791" s="60"/>
      <c r="N791" s="185"/>
      <c r="O791" s="60"/>
      <c r="P791" s="156"/>
      <c r="Q791" s="187"/>
      <c r="X791"/>
    </row>
    <row r="792" spans="1:24">
      <c r="A792" s="122"/>
      <c r="B792" s="122"/>
      <c r="C792" s="122"/>
      <c r="D792" s="122"/>
      <c r="E792" s="122"/>
      <c r="F792" s="122"/>
      <c r="G792" s="36"/>
      <c r="H792" s="36"/>
      <c r="I792" s="113"/>
      <c r="J792" s="36"/>
      <c r="K792" s="182"/>
      <c r="L792" s="36"/>
      <c r="M792" s="60"/>
      <c r="N792" s="185"/>
      <c r="O792" s="60"/>
      <c r="P792" s="156"/>
      <c r="Q792" s="187"/>
      <c r="X792"/>
    </row>
    <row r="793" spans="1:24">
      <c r="A793" s="122"/>
      <c r="B793" s="122"/>
      <c r="C793" s="122"/>
      <c r="D793" s="122"/>
      <c r="E793" s="122"/>
      <c r="F793" s="122"/>
      <c r="G793" s="36"/>
      <c r="H793" s="36"/>
      <c r="I793" s="113"/>
      <c r="J793" s="36"/>
      <c r="K793" s="182"/>
      <c r="L793" s="36"/>
      <c r="M793" s="60"/>
      <c r="N793" s="185"/>
      <c r="O793" s="60"/>
      <c r="P793" s="156"/>
      <c r="Q793" s="187"/>
      <c r="X793"/>
    </row>
    <row r="794" spans="1:24">
      <c r="A794" s="122"/>
      <c r="B794" s="122"/>
      <c r="C794" s="122"/>
      <c r="D794" s="122"/>
      <c r="E794" s="122"/>
      <c r="F794" s="122"/>
      <c r="G794" s="36"/>
      <c r="H794" s="36"/>
      <c r="I794" s="113"/>
      <c r="J794" s="36"/>
      <c r="K794" s="182"/>
      <c r="L794" s="36"/>
      <c r="M794" s="60"/>
      <c r="N794" s="185"/>
      <c r="O794" s="60"/>
      <c r="P794" s="156"/>
      <c r="Q794" s="187"/>
      <c r="X794"/>
    </row>
    <row r="795" spans="1:24">
      <c r="A795" s="122"/>
      <c r="B795" s="122"/>
      <c r="C795" s="122"/>
      <c r="D795" s="122"/>
      <c r="E795" s="122"/>
      <c r="F795" s="122"/>
      <c r="G795" s="36"/>
      <c r="H795" s="36"/>
      <c r="I795" s="113"/>
      <c r="J795" s="36"/>
      <c r="K795" s="182"/>
      <c r="L795" s="36"/>
      <c r="M795" s="60"/>
      <c r="N795" s="185"/>
      <c r="O795" s="60"/>
      <c r="P795" s="156"/>
      <c r="Q795" s="187"/>
      <c r="X795"/>
    </row>
    <row r="796" spans="1:24">
      <c r="A796" s="122"/>
      <c r="B796" s="122"/>
      <c r="C796" s="122"/>
      <c r="D796" s="122"/>
      <c r="E796" s="122"/>
      <c r="F796" s="122"/>
      <c r="G796" s="36"/>
      <c r="H796" s="36"/>
      <c r="I796" s="113"/>
      <c r="J796" s="36"/>
      <c r="K796" s="182"/>
      <c r="L796" s="36"/>
      <c r="M796" s="60"/>
      <c r="N796" s="185"/>
      <c r="O796" s="60"/>
      <c r="P796" s="156"/>
      <c r="Q796" s="187"/>
      <c r="X796"/>
    </row>
    <row r="797" spans="1:24">
      <c r="A797" s="122"/>
      <c r="B797" s="122"/>
      <c r="C797" s="122"/>
      <c r="D797" s="122"/>
      <c r="E797" s="122"/>
      <c r="F797" s="122"/>
      <c r="G797" s="36"/>
      <c r="H797" s="36"/>
      <c r="I797" s="113"/>
      <c r="J797" s="36"/>
      <c r="K797" s="182"/>
      <c r="L797" s="36"/>
      <c r="M797" s="60"/>
      <c r="N797" s="185"/>
      <c r="O797" s="60"/>
      <c r="P797" s="156"/>
      <c r="Q797" s="187"/>
      <c r="X797"/>
    </row>
    <row r="798" spans="1:24">
      <c r="A798" s="122"/>
      <c r="B798" s="122"/>
      <c r="C798" s="122"/>
      <c r="D798" s="122"/>
      <c r="E798" s="122"/>
      <c r="F798" s="122"/>
      <c r="G798" s="36"/>
      <c r="H798" s="36"/>
      <c r="I798" s="113"/>
      <c r="J798" s="36"/>
      <c r="K798" s="182"/>
      <c r="L798" s="36"/>
      <c r="M798" s="60"/>
      <c r="N798" s="185"/>
      <c r="O798" s="60"/>
      <c r="P798" s="156"/>
      <c r="Q798" s="187"/>
      <c r="X798"/>
    </row>
    <row r="799" spans="1:24">
      <c r="A799" s="122"/>
      <c r="B799" s="122"/>
      <c r="C799" s="122"/>
      <c r="D799" s="122"/>
      <c r="E799" s="122"/>
      <c r="F799" s="122"/>
      <c r="G799" s="36"/>
      <c r="H799" s="36"/>
      <c r="I799" s="113"/>
      <c r="J799" s="36"/>
      <c r="K799" s="182"/>
      <c r="L799" s="36"/>
      <c r="M799" s="60"/>
      <c r="N799" s="185"/>
      <c r="O799" s="60"/>
      <c r="P799" s="156"/>
      <c r="Q799" s="187"/>
      <c r="X799"/>
    </row>
    <row r="800" spans="1:24">
      <c r="A800" s="122"/>
      <c r="B800" s="122"/>
      <c r="C800" s="122"/>
      <c r="D800" s="122"/>
      <c r="E800" s="122"/>
      <c r="F800" s="122"/>
      <c r="G800" s="36"/>
      <c r="H800" s="36"/>
      <c r="I800" s="113"/>
      <c r="J800" s="36"/>
      <c r="K800" s="182"/>
      <c r="L800" s="36"/>
      <c r="M800" s="60"/>
      <c r="N800" s="185"/>
      <c r="O800" s="60"/>
      <c r="P800" s="156"/>
      <c r="Q800" s="187"/>
      <c r="X800"/>
    </row>
    <row r="801" spans="1:24">
      <c r="A801" s="122"/>
      <c r="B801" s="122"/>
      <c r="C801" s="122"/>
      <c r="D801" s="122"/>
      <c r="E801" s="122"/>
      <c r="F801" s="122"/>
      <c r="G801" s="36"/>
      <c r="H801" s="36"/>
      <c r="I801" s="113"/>
      <c r="J801" s="36"/>
      <c r="K801" s="182"/>
      <c r="L801" s="36"/>
      <c r="M801" s="60"/>
      <c r="N801" s="185"/>
      <c r="O801" s="60"/>
      <c r="P801" s="156"/>
      <c r="Q801" s="187"/>
      <c r="X801"/>
    </row>
    <row r="802" spans="1:24">
      <c r="A802" s="122"/>
      <c r="B802" s="122"/>
      <c r="C802" s="122"/>
      <c r="D802" s="122"/>
      <c r="E802" s="122"/>
      <c r="F802" s="122"/>
      <c r="G802" s="36"/>
      <c r="H802" s="36"/>
      <c r="I802" s="113"/>
      <c r="J802" s="36"/>
      <c r="K802" s="182"/>
      <c r="L802" s="36"/>
      <c r="M802" s="60"/>
      <c r="N802" s="185"/>
      <c r="O802" s="60"/>
      <c r="P802" s="156"/>
      <c r="Q802" s="187"/>
      <c r="X802"/>
    </row>
    <row r="803" spans="1:24">
      <c r="A803" s="122"/>
      <c r="B803" s="122"/>
      <c r="C803" s="122"/>
      <c r="D803" s="122"/>
      <c r="E803" s="122"/>
      <c r="F803" s="122"/>
      <c r="G803" s="36"/>
      <c r="H803" s="36"/>
      <c r="I803" s="113"/>
      <c r="J803" s="36"/>
      <c r="K803" s="182"/>
      <c r="L803" s="36"/>
      <c r="M803" s="60"/>
      <c r="N803" s="185"/>
      <c r="O803" s="60"/>
      <c r="P803" s="156"/>
      <c r="Q803" s="187"/>
      <c r="X803"/>
    </row>
    <row r="804" spans="1:24">
      <c r="A804" s="122"/>
      <c r="B804" s="122"/>
      <c r="C804" s="122"/>
      <c r="D804" s="122"/>
      <c r="E804" s="122"/>
      <c r="F804" s="122"/>
      <c r="G804" s="36"/>
      <c r="H804" s="36"/>
      <c r="I804" s="113"/>
      <c r="J804" s="36"/>
      <c r="K804" s="182"/>
      <c r="L804" s="36"/>
      <c r="M804" s="60"/>
      <c r="N804" s="185"/>
      <c r="O804" s="60"/>
      <c r="P804" s="156"/>
      <c r="Q804" s="187"/>
      <c r="X804"/>
    </row>
    <row r="805" spans="1:24">
      <c r="A805" s="122"/>
      <c r="B805" s="122"/>
      <c r="C805" s="122"/>
      <c r="D805" s="122"/>
      <c r="E805" s="122"/>
      <c r="F805" s="122"/>
      <c r="G805" s="36"/>
      <c r="H805" s="36"/>
      <c r="I805" s="113"/>
      <c r="J805" s="36"/>
      <c r="K805" s="182"/>
      <c r="L805" s="36"/>
      <c r="M805" s="60"/>
      <c r="N805" s="185"/>
      <c r="O805" s="60"/>
      <c r="P805" s="156"/>
      <c r="Q805" s="187"/>
      <c r="X805"/>
    </row>
    <row r="806" spans="1:24">
      <c r="A806" s="122"/>
      <c r="B806" s="122"/>
      <c r="C806" s="122"/>
      <c r="D806" s="122"/>
      <c r="E806" s="122"/>
      <c r="F806" s="122"/>
      <c r="G806" s="36"/>
      <c r="H806" s="36"/>
      <c r="I806" s="113"/>
      <c r="J806" s="36"/>
      <c r="K806" s="182"/>
      <c r="L806" s="36"/>
      <c r="M806" s="60"/>
      <c r="N806" s="185"/>
      <c r="O806" s="60"/>
      <c r="P806" s="156"/>
      <c r="Q806" s="187"/>
      <c r="X806"/>
    </row>
    <row r="807" spans="1:24">
      <c r="A807" s="122"/>
      <c r="B807" s="122"/>
      <c r="C807" s="122"/>
      <c r="D807" s="122"/>
      <c r="E807" s="122"/>
      <c r="F807" s="122"/>
      <c r="G807" s="36"/>
      <c r="H807" s="36"/>
      <c r="I807" s="113"/>
      <c r="J807" s="36"/>
      <c r="K807" s="182"/>
      <c r="L807" s="36"/>
      <c r="M807" s="60"/>
      <c r="N807" s="185"/>
      <c r="O807" s="60"/>
      <c r="P807" s="156"/>
      <c r="Q807" s="187"/>
      <c r="X807"/>
    </row>
    <row r="808" spans="1:24">
      <c r="A808" s="122"/>
      <c r="B808" s="122"/>
      <c r="C808" s="122"/>
      <c r="D808" s="122"/>
      <c r="E808" s="122"/>
      <c r="F808" s="122"/>
      <c r="G808" s="36"/>
      <c r="H808" s="36"/>
      <c r="I808" s="113"/>
      <c r="J808" s="36"/>
      <c r="K808" s="182"/>
      <c r="L808" s="36"/>
      <c r="M808" s="60"/>
      <c r="N808" s="185"/>
      <c r="O808" s="60"/>
      <c r="P808" s="156"/>
      <c r="Q808" s="187"/>
      <c r="X808"/>
    </row>
    <row r="809" spans="1:24">
      <c r="A809" s="122"/>
      <c r="B809" s="122"/>
      <c r="C809" s="122"/>
      <c r="D809" s="122"/>
      <c r="E809" s="122"/>
      <c r="F809" s="122"/>
      <c r="G809" s="36"/>
      <c r="H809" s="36"/>
      <c r="I809" s="113"/>
      <c r="J809" s="36"/>
      <c r="K809" s="182"/>
      <c r="L809" s="36"/>
      <c r="M809" s="60"/>
      <c r="N809" s="185"/>
      <c r="O809" s="60"/>
      <c r="P809" s="156"/>
      <c r="Q809" s="187"/>
      <c r="X809"/>
    </row>
    <row r="810" spans="1:24">
      <c r="A810" s="122"/>
      <c r="B810" s="122"/>
      <c r="C810" s="122"/>
      <c r="D810" s="122"/>
      <c r="E810" s="122"/>
      <c r="F810" s="122"/>
      <c r="G810" s="36"/>
      <c r="H810" s="36"/>
      <c r="I810" s="113"/>
      <c r="J810" s="36"/>
      <c r="K810" s="182"/>
      <c r="L810" s="36"/>
      <c r="M810" s="60"/>
      <c r="N810" s="185"/>
      <c r="O810" s="60"/>
      <c r="P810" s="156"/>
      <c r="Q810" s="187"/>
      <c r="X810"/>
    </row>
    <row r="811" spans="1:24">
      <c r="A811" s="122"/>
      <c r="B811" s="122"/>
      <c r="C811" s="122"/>
      <c r="D811" s="122"/>
      <c r="E811" s="122"/>
      <c r="F811" s="122"/>
      <c r="G811" s="36"/>
      <c r="H811" s="36"/>
      <c r="I811" s="113"/>
      <c r="J811" s="36"/>
      <c r="K811" s="182"/>
      <c r="L811" s="36"/>
      <c r="M811" s="60"/>
      <c r="N811" s="185"/>
      <c r="O811" s="60"/>
      <c r="P811" s="156"/>
      <c r="Q811" s="187"/>
      <c r="X811"/>
    </row>
    <row r="812" spans="1:24">
      <c r="A812" s="122"/>
      <c r="B812" s="122"/>
      <c r="C812" s="122"/>
      <c r="D812" s="122"/>
      <c r="E812" s="122"/>
      <c r="F812" s="122"/>
      <c r="G812" s="36"/>
      <c r="H812" s="36"/>
      <c r="I812" s="113"/>
      <c r="J812" s="36"/>
      <c r="K812" s="182"/>
      <c r="L812" s="36"/>
      <c r="M812" s="60"/>
      <c r="N812" s="185"/>
      <c r="O812" s="60"/>
      <c r="P812" s="156"/>
      <c r="Q812" s="187"/>
      <c r="X812"/>
    </row>
    <row r="813" spans="1:24">
      <c r="A813" s="122"/>
      <c r="B813" s="122"/>
      <c r="C813" s="122"/>
      <c r="D813" s="122"/>
      <c r="E813" s="122"/>
      <c r="F813" s="122"/>
      <c r="G813" s="36"/>
      <c r="H813" s="36"/>
      <c r="I813" s="113"/>
      <c r="J813" s="36"/>
      <c r="K813" s="182"/>
      <c r="L813" s="36"/>
      <c r="M813" s="60"/>
      <c r="N813" s="185"/>
      <c r="O813" s="60"/>
      <c r="P813" s="156"/>
      <c r="Q813" s="187"/>
      <c r="X813"/>
    </row>
    <row r="814" spans="1:24">
      <c r="A814" s="122"/>
      <c r="B814" s="122"/>
      <c r="C814" s="122"/>
      <c r="D814" s="122"/>
      <c r="E814" s="122"/>
      <c r="F814" s="122"/>
      <c r="G814" s="36"/>
      <c r="H814" s="36"/>
      <c r="I814" s="113"/>
      <c r="J814" s="36"/>
      <c r="K814" s="182"/>
      <c r="L814" s="36"/>
      <c r="M814" s="60"/>
      <c r="N814" s="185"/>
      <c r="O814" s="60"/>
      <c r="P814" s="156"/>
      <c r="Q814" s="187"/>
      <c r="X814"/>
    </row>
    <row r="815" spans="1:24">
      <c r="A815" s="122"/>
      <c r="B815" s="122"/>
      <c r="C815" s="122"/>
      <c r="D815" s="122"/>
      <c r="E815" s="122"/>
      <c r="F815" s="122"/>
      <c r="G815" s="36"/>
      <c r="H815" s="36"/>
      <c r="I815" s="113"/>
      <c r="J815" s="36"/>
      <c r="K815" s="182"/>
      <c r="L815" s="36"/>
      <c r="M815" s="60"/>
      <c r="N815" s="185"/>
      <c r="O815" s="60"/>
      <c r="P815" s="156"/>
      <c r="Q815" s="187"/>
      <c r="X815"/>
    </row>
    <row r="816" spans="1:24">
      <c r="A816" s="122"/>
      <c r="B816" s="122"/>
      <c r="C816" s="122"/>
      <c r="D816" s="122"/>
      <c r="E816" s="122"/>
      <c r="F816" s="122"/>
      <c r="G816" s="36"/>
      <c r="H816" s="36"/>
      <c r="I816" s="113"/>
      <c r="J816" s="36"/>
      <c r="K816" s="182"/>
      <c r="L816" s="36"/>
      <c r="M816" s="60"/>
      <c r="N816" s="185"/>
      <c r="O816" s="60"/>
      <c r="P816" s="156"/>
      <c r="Q816" s="187"/>
      <c r="X816"/>
    </row>
    <row r="817" spans="1:24">
      <c r="A817" s="122"/>
      <c r="B817" s="122"/>
      <c r="C817" s="122"/>
      <c r="D817" s="122"/>
      <c r="E817" s="122"/>
      <c r="F817" s="122"/>
      <c r="G817" s="36"/>
      <c r="H817" s="36"/>
      <c r="I817" s="113"/>
      <c r="J817" s="36"/>
      <c r="K817" s="182"/>
      <c r="L817" s="36"/>
      <c r="M817" s="60"/>
      <c r="N817" s="185"/>
      <c r="O817" s="60"/>
      <c r="P817" s="156"/>
      <c r="Q817" s="187"/>
      <c r="X817"/>
    </row>
    <row r="818" spans="1:24">
      <c r="A818" s="122"/>
      <c r="B818" s="122"/>
      <c r="C818" s="122"/>
      <c r="D818" s="122"/>
      <c r="E818" s="122"/>
      <c r="F818" s="122"/>
      <c r="G818" s="36"/>
      <c r="H818" s="36"/>
      <c r="I818" s="113"/>
      <c r="J818" s="36"/>
      <c r="K818" s="182"/>
      <c r="L818" s="36"/>
      <c r="M818" s="60"/>
      <c r="N818" s="185"/>
      <c r="O818" s="60"/>
      <c r="P818" s="156"/>
      <c r="Q818" s="187"/>
      <c r="X818"/>
    </row>
    <row r="819" spans="1:24">
      <c r="A819" s="122"/>
      <c r="B819" s="122"/>
      <c r="C819" s="122"/>
      <c r="D819" s="122"/>
      <c r="E819" s="122"/>
      <c r="F819" s="122"/>
      <c r="G819" s="36"/>
      <c r="H819" s="36"/>
      <c r="I819" s="113"/>
      <c r="J819" s="36"/>
      <c r="K819" s="182"/>
      <c r="L819" s="36"/>
      <c r="M819" s="60"/>
      <c r="N819" s="185"/>
      <c r="O819" s="60"/>
      <c r="P819" s="156"/>
      <c r="Q819" s="187"/>
      <c r="X819"/>
    </row>
    <row r="820" spans="1:24">
      <c r="A820" s="122"/>
      <c r="B820" s="122"/>
      <c r="C820" s="122"/>
      <c r="D820" s="122"/>
      <c r="E820" s="122"/>
      <c r="F820" s="122"/>
      <c r="G820" s="36"/>
      <c r="H820" s="36"/>
      <c r="I820" s="113"/>
      <c r="J820" s="36"/>
      <c r="K820" s="182"/>
      <c r="L820" s="36"/>
      <c r="M820" s="60"/>
      <c r="N820" s="185"/>
      <c r="O820" s="60"/>
      <c r="P820" s="156"/>
      <c r="Q820" s="187"/>
      <c r="X820"/>
    </row>
    <row r="821" spans="1:24">
      <c r="A821" s="122"/>
      <c r="B821" s="122"/>
      <c r="C821" s="122"/>
      <c r="D821" s="122"/>
      <c r="E821" s="122"/>
      <c r="F821" s="122"/>
      <c r="G821" s="36"/>
      <c r="H821" s="36"/>
      <c r="I821" s="113"/>
      <c r="J821" s="36"/>
      <c r="K821" s="182"/>
      <c r="L821" s="36"/>
      <c r="M821" s="60"/>
      <c r="N821" s="185"/>
      <c r="O821" s="60"/>
      <c r="P821" s="156"/>
      <c r="Q821" s="187"/>
      <c r="X821"/>
    </row>
    <row r="822" spans="1:24">
      <c r="A822" s="122"/>
      <c r="B822" s="122"/>
      <c r="C822" s="122"/>
      <c r="D822" s="122"/>
      <c r="E822" s="122"/>
      <c r="F822" s="122"/>
      <c r="G822" s="36"/>
      <c r="H822" s="36"/>
      <c r="I822" s="113"/>
      <c r="J822" s="36"/>
      <c r="K822" s="182"/>
      <c r="L822" s="36"/>
      <c r="M822" s="60"/>
      <c r="N822" s="185"/>
      <c r="O822" s="60"/>
      <c r="P822" s="156"/>
      <c r="Q822" s="187"/>
      <c r="X822"/>
    </row>
    <row r="823" spans="1:24">
      <c r="A823" s="122"/>
      <c r="B823" s="122"/>
      <c r="C823" s="122"/>
      <c r="D823" s="122"/>
      <c r="E823" s="122"/>
      <c r="F823" s="122"/>
      <c r="G823" s="36"/>
      <c r="H823" s="36"/>
      <c r="I823" s="113"/>
      <c r="J823" s="36"/>
      <c r="K823" s="182"/>
      <c r="L823" s="36"/>
      <c r="M823" s="60"/>
      <c r="N823" s="185"/>
      <c r="O823" s="60"/>
      <c r="P823" s="156"/>
      <c r="Q823" s="187"/>
      <c r="X823"/>
    </row>
    <row r="824" spans="1:24">
      <c r="A824" s="122"/>
      <c r="B824" s="122"/>
      <c r="C824" s="122"/>
      <c r="D824" s="122"/>
      <c r="E824" s="122"/>
      <c r="F824" s="122"/>
      <c r="G824" s="36"/>
      <c r="H824" s="36"/>
      <c r="I824" s="113"/>
      <c r="J824" s="36"/>
      <c r="K824" s="182"/>
      <c r="L824" s="36"/>
      <c r="M824" s="60"/>
      <c r="N824" s="185"/>
      <c r="O824" s="60"/>
      <c r="P824" s="156"/>
      <c r="Q824" s="187"/>
      <c r="X824"/>
    </row>
    <row r="825" spans="1:24">
      <c r="A825" s="122"/>
      <c r="B825" s="122"/>
      <c r="C825" s="122"/>
      <c r="D825" s="122"/>
      <c r="E825" s="122"/>
      <c r="F825" s="122"/>
      <c r="G825" s="36"/>
      <c r="H825" s="36"/>
      <c r="I825" s="113"/>
      <c r="J825" s="36"/>
      <c r="K825" s="182"/>
      <c r="L825" s="36"/>
      <c r="M825" s="60"/>
      <c r="N825" s="185"/>
      <c r="O825" s="60"/>
      <c r="P825" s="156"/>
      <c r="Q825" s="187"/>
      <c r="X825"/>
    </row>
    <row r="826" spans="1:24">
      <c r="A826" s="122"/>
      <c r="B826" s="122"/>
      <c r="C826" s="122"/>
      <c r="D826" s="122"/>
      <c r="E826" s="122"/>
      <c r="F826" s="122"/>
      <c r="G826" s="36"/>
      <c r="H826" s="36"/>
      <c r="I826" s="113"/>
      <c r="J826" s="36"/>
      <c r="K826" s="182"/>
      <c r="L826" s="36"/>
      <c r="M826" s="60"/>
      <c r="N826" s="185"/>
      <c r="O826" s="60"/>
      <c r="P826" s="156"/>
      <c r="Q826" s="187"/>
      <c r="X826"/>
    </row>
    <row r="827" spans="1:24">
      <c r="A827" s="122"/>
      <c r="B827" s="122"/>
      <c r="C827" s="122"/>
      <c r="D827" s="122"/>
      <c r="E827" s="122"/>
      <c r="F827" s="122"/>
      <c r="G827" s="36"/>
      <c r="H827" s="36"/>
      <c r="I827" s="113"/>
      <c r="J827" s="36"/>
      <c r="K827" s="182"/>
      <c r="L827" s="36"/>
      <c r="M827" s="60"/>
      <c r="N827" s="185"/>
      <c r="O827" s="60"/>
      <c r="P827" s="156"/>
      <c r="Q827" s="187"/>
      <c r="X827"/>
    </row>
    <row r="828" spans="1:24">
      <c r="A828" s="122"/>
      <c r="B828" s="122"/>
      <c r="C828" s="122"/>
      <c r="D828" s="122"/>
      <c r="E828" s="122"/>
      <c r="F828" s="122"/>
      <c r="G828" s="36"/>
      <c r="H828" s="36"/>
      <c r="I828" s="113"/>
      <c r="J828" s="36"/>
      <c r="K828" s="182"/>
      <c r="L828" s="36"/>
      <c r="M828" s="60"/>
      <c r="N828" s="185"/>
      <c r="O828" s="60"/>
      <c r="P828" s="156"/>
      <c r="Q828" s="187"/>
      <c r="X828"/>
    </row>
    <row r="829" spans="1:24">
      <c r="A829" s="122"/>
      <c r="B829" s="122"/>
      <c r="C829" s="122"/>
      <c r="D829" s="122"/>
      <c r="E829" s="122"/>
      <c r="F829" s="122"/>
      <c r="G829" s="36"/>
      <c r="H829" s="36"/>
      <c r="I829" s="113"/>
      <c r="J829" s="36"/>
      <c r="K829" s="182"/>
      <c r="L829" s="36"/>
      <c r="M829" s="60"/>
      <c r="N829" s="185"/>
      <c r="O829" s="60"/>
      <c r="P829" s="156"/>
      <c r="Q829" s="187"/>
      <c r="X829"/>
    </row>
    <row r="830" spans="1:24">
      <c r="A830" s="122"/>
      <c r="B830" s="122"/>
      <c r="C830" s="122"/>
      <c r="D830" s="122"/>
      <c r="E830" s="122"/>
      <c r="F830" s="122"/>
      <c r="G830" s="36"/>
      <c r="H830" s="36"/>
      <c r="I830" s="113"/>
      <c r="J830" s="36"/>
      <c r="K830" s="182"/>
      <c r="L830" s="36"/>
      <c r="M830" s="60"/>
      <c r="N830" s="185"/>
      <c r="O830" s="60"/>
      <c r="P830" s="156"/>
      <c r="Q830" s="187"/>
      <c r="X830"/>
    </row>
    <row r="831" spans="1:24">
      <c r="A831" s="122"/>
      <c r="B831" s="122"/>
      <c r="C831" s="122"/>
      <c r="D831" s="122"/>
      <c r="E831" s="122"/>
      <c r="F831" s="122"/>
      <c r="G831" s="36"/>
      <c r="H831" s="36"/>
      <c r="I831" s="113"/>
      <c r="J831" s="36"/>
      <c r="K831" s="182"/>
      <c r="L831" s="36"/>
      <c r="M831" s="60"/>
      <c r="N831" s="185"/>
      <c r="O831" s="60"/>
      <c r="P831" s="156"/>
      <c r="Q831" s="187"/>
      <c r="X831"/>
    </row>
    <row r="832" spans="1:24">
      <c r="A832" s="122"/>
      <c r="B832" s="122"/>
      <c r="C832" s="122"/>
      <c r="D832" s="122"/>
      <c r="E832" s="122"/>
      <c r="F832" s="122"/>
      <c r="G832" s="36"/>
      <c r="H832" s="36"/>
      <c r="I832" s="113"/>
      <c r="J832" s="36"/>
      <c r="K832" s="182"/>
      <c r="L832" s="36"/>
      <c r="M832" s="60"/>
      <c r="N832" s="185"/>
      <c r="O832" s="60"/>
      <c r="P832" s="156"/>
      <c r="Q832" s="187"/>
      <c r="X832"/>
    </row>
    <row r="833" spans="1:24">
      <c r="A833" s="122"/>
      <c r="B833" s="122"/>
      <c r="C833" s="122"/>
      <c r="D833" s="122"/>
      <c r="E833" s="122"/>
      <c r="F833" s="122"/>
      <c r="G833" s="36"/>
      <c r="H833" s="36"/>
      <c r="I833" s="113"/>
      <c r="J833" s="36"/>
      <c r="K833" s="182"/>
      <c r="L833" s="36"/>
      <c r="M833" s="60"/>
      <c r="N833" s="185"/>
      <c r="O833" s="60"/>
      <c r="P833" s="156"/>
      <c r="Q833" s="187"/>
      <c r="X833"/>
    </row>
    <row r="834" spans="1:24">
      <c r="A834" s="122"/>
      <c r="B834" s="122"/>
      <c r="C834" s="122"/>
      <c r="D834" s="122"/>
      <c r="E834" s="122"/>
      <c r="F834" s="122"/>
      <c r="G834" s="36"/>
      <c r="H834" s="36"/>
      <c r="I834" s="113"/>
      <c r="J834" s="36"/>
      <c r="K834" s="182"/>
      <c r="L834" s="36"/>
      <c r="M834" s="60"/>
      <c r="N834" s="185"/>
      <c r="O834" s="60"/>
      <c r="P834" s="156"/>
      <c r="Q834" s="187"/>
      <c r="X834"/>
    </row>
    <row r="835" spans="1:24">
      <c r="A835" s="122"/>
      <c r="B835" s="122"/>
      <c r="C835" s="122"/>
      <c r="D835" s="122"/>
      <c r="E835" s="122"/>
      <c r="F835" s="122"/>
      <c r="G835" s="36"/>
      <c r="H835" s="36"/>
      <c r="I835" s="113"/>
      <c r="J835" s="36"/>
      <c r="K835" s="182"/>
      <c r="L835" s="36"/>
      <c r="M835" s="60"/>
      <c r="N835" s="185"/>
      <c r="O835" s="60"/>
      <c r="P835" s="156"/>
      <c r="Q835" s="187"/>
      <c r="X835"/>
    </row>
    <row r="836" spans="1:24">
      <c r="A836" s="122"/>
      <c r="B836" s="122"/>
      <c r="C836" s="122"/>
      <c r="D836" s="122"/>
      <c r="E836" s="122"/>
      <c r="F836" s="122"/>
      <c r="G836" s="36"/>
      <c r="H836" s="36"/>
      <c r="I836" s="113"/>
      <c r="J836" s="36"/>
      <c r="K836" s="182"/>
      <c r="L836" s="36"/>
      <c r="M836" s="60"/>
      <c r="N836" s="185"/>
      <c r="O836" s="60"/>
      <c r="P836" s="156"/>
      <c r="Q836" s="187"/>
      <c r="X836"/>
    </row>
    <row r="837" spans="1:24">
      <c r="A837" s="122"/>
      <c r="B837" s="122"/>
      <c r="C837" s="122"/>
      <c r="D837" s="122"/>
      <c r="E837" s="122"/>
      <c r="F837" s="122"/>
      <c r="G837" s="36"/>
      <c r="H837" s="36"/>
      <c r="I837" s="113"/>
      <c r="J837" s="36"/>
      <c r="K837" s="182"/>
      <c r="L837" s="36"/>
      <c r="M837" s="60"/>
      <c r="N837" s="185"/>
      <c r="O837" s="60"/>
      <c r="P837" s="156"/>
      <c r="Q837" s="187"/>
      <c r="X837"/>
    </row>
    <row r="838" spans="1:24">
      <c r="A838" s="122"/>
      <c r="B838" s="122"/>
      <c r="C838" s="122"/>
      <c r="D838" s="122"/>
      <c r="E838" s="122"/>
      <c r="F838" s="122"/>
      <c r="G838" s="36"/>
      <c r="H838" s="36"/>
      <c r="I838" s="113"/>
      <c r="J838" s="36"/>
      <c r="K838" s="182"/>
      <c r="L838" s="36"/>
      <c r="M838" s="60"/>
      <c r="N838" s="185"/>
      <c r="O838" s="60"/>
      <c r="P838" s="156"/>
      <c r="Q838" s="187"/>
      <c r="X838"/>
    </row>
    <row r="839" spans="1:24">
      <c r="A839" s="122"/>
      <c r="B839" s="122"/>
      <c r="C839" s="122"/>
      <c r="D839" s="122"/>
      <c r="E839" s="122"/>
      <c r="F839" s="122"/>
      <c r="G839" s="36"/>
      <c r="H839" s="36"/>
      <c r="I839" s="113"/>
      <c r="J839" s="36"/>
      <c r="K839" s="182"/>
      <c r="L839" s="36"/>
      <c r="M839" s="60"/>
      <c r="N839" s="185"/>
      <c r="O839" s="60"/>
      <c r="P839" s="156"/>
      <c r="Q839" s="187"/>
      <c r="X839"/>
    </row>
    <row r="840" spans="1:24">
      <c r="A840" s="122"/>
      <c r="B840" s="122"/>
      <c r="C840" s="122"/>
      <c r="D840" s="122"/>
      <c r="E840" s="122"/>
      <c r="F840" s="122"/>
      <c r="G840" s="36"/>
      <c r="H840" s="36"/>
      <c r="I840" s="113"/>
      <c r="J840" s="36"/>
      <c r="K840" s="182"/>
      <c r="L840" s="36"/>
      <c r="M840" s="60"/>
      <c r="N840" s="185"/>
      <c r="O840" s="60"/>
      <c r="P840" s="156"/>
      <c r="Q840" s="187"/>
      <c r="X840"/>
    </row>
    <row r="841" spans="1:24">
      <c r="A841" s="122"/>
      <c r="B841" s="122"/>
      <c r="C841" s="122"/>
      <c r="D841" s="122"/>
      <c r="E841" s="122"/>
      <c r="F841" s="122"/>
      <c r="G841" s="36"/>
      <c r="H841" s="36"/>
      <c r="I841" s="113"/>
      <c r="J841" s="36"/>
      <c r="K841" s="182"/>
      <c r="L841" s="36"/>
      <c r="M841" s="60"/>
      <c r="N841" s="185"/>
      <c r="O841" s="60"/>
      <c r="P841" s="156"/>
      <c r="Q841" s="187"/>
      <c r="X841"/>
    </row>
    <row r="842" spans="1:24">
      <c r="A842" s="122"/>
      <c r="B842" s="122"/>
      <c r="C842" s="122"/>
      <c r="D842" s="122"/>
      <c r="E842" s="122"/>
      <c r="F842" s="122"/>
      <c r="G842" s="36"/>
      <c r="H842" s="36"/>
      <c r="I842" s="113"/>
      <c r="J842" s="36"/>
      <c r="K842" s="182"/>
      <c r="L842" s="36"/>
      <c r="M842" s="60"/>
      <c r="N842" s="185"/>
      <c r="O842" s="60"/>
      <c r="P842" s="156"/>
      <c r="Q842" s="187"/>
      <c r="X842"/>
    </row>
    <row r="843" spans="1:24">
      <c r="A843" s="122"/>
      <c r="B843" s="122"/>
      <c r="C843" s="122"/>
      <c r="D843" s="122"/>
      <c r="E843" s="122"/>
      <c r="F843" s="122"/>
      <c r="G843" s="36"/>
      <c r="H843" s="36"/>
      <c r="I843" s="113"/>
      <c r="J843" s="36"/>
      <c r="K843" s="182"/>
      <c r="L843" s="36"/>
      <c r="M843" s="60"/>
      <c r="N843" s="185"/>
      <c r="O843" s="60"/>
      <c r="P843" s="156"/>
      <c r="Q843" s="187"/>
      <c r="X843"/>
    </row>
    <row r="844" spans="1:24">
      <c r="A844" s="122"/>
      <c r="B844" s="122"/>
      <c r="C844" s="122"/>
      <c r="D844" s="122"/>
      <c r="E844" s="122"/>
      <c r="F844" s="122"/>
      <c r="G844" s="36"/>
      <c r="H844" s="36"/>
      <c r="I844" s="113"/>
      <c r="J844" s="36"/>
      <c r="K844" s="182"/>
      <c r="L844" s="36"/>
      <c r="M844" s="60"/>
      <c r="N844" s="185"/>
      <c r="O844" s="60"/>
      <c r="P844" s="156"/>
      <c r="Q844" s="187"/>
      <c r="X844"/>
    </row>
    <row r="845" spans="1:24">
      <c r="A845" s="122"/>
      <c r="B845" s="122"/>
      <c r="C845" s="122"/>
      <c r="D845" s="122"/>
      <c r="E845" s="122"/>
      <c r="F845" s="122"/>
      <c r="G845" s="36"/>
      <c r="H845" s="36"/>
      <c r="I845" s="113"/>
      <c r="J845" s="36"/>
      <c r="K845" s="182"/>
      <c r="L845" s="36"/>
      <c r="M845" s="60"/>
      <c r="N845" s="185"/>
      <c r="O845" s="60"/>
      <c r="P845" s="156"/>
      <c r="Q845" s="187"/>
      <c r="X845"/>
    </row>
    <row r="846" spans="1:24">
      <c r="A846" s="122"/>
      <c r="B846" s="122"/>
      <c r="C846" s="122"/>
      <c r="D846" s="122"/>
      <c r="E846" s="122"/>
      <c r="F846" s="122"/>
      <c r="G846" s="36"/>
      <c r="H846" s="36"/>
      <c r="I846" s="113"/>
      <c r="J846" s="36"/>
      <c r="K846" s="182"/>
      <c r="L846" s="36"/>
      <c r="M846" s="60"/>
      <c r="N846" s="185"/>
      <c r="O846" s="60"/>
      <c r="P846" s="156"/>
      <c r="Q846" s="187"/>
      <c r="X846"/>
    </row>
    <row r="847" spans="1:24">
      <c r="A847" s="122"/>
      <c r="B847" s="122"/>
      <c r="C847" s="122"/>
      <c r="D847" s="122"/>
      <c r="E847" s="122"/>
      <c r="F847" s="122"/>
      <c r="G847" s="36"/>
      <c r="H847" s="36"/>
      <c r="I847" s="113"/>
      <c r="J847" s="36"/>
      <c r="K847" s="182"/>
      <c r="L847" s="36"/>
      <c r="M847" s="60"/>
      <c r="N847" s="185"/>
      <c r="O847" s="60"/>
      <c r="P847" s="156"/>
      <c r="Q847" s="187"/>
      <c r="X847"/>
    </row>
    <row r="848" spans="1:24">
      <c r="A848" s="122"/>
      <c r="B848" s="122"/>
      <c r="C848" s="122"/>
      <c r="D848" s="122"/>
      <c r="E848" s="122"/>
      <c r="F848" s="122"/>
      <c r="G848" s="36"/>
      <c r="H848" s="36"/>
      <c r="I848" s="113"/>
      <c r="J848" s="36"/>
      <c r="K848" s="182"/>
      <c r="L848" s="36"/>
      <c r="M848" s="60"/>
      <c r="N848" s="185"/>
      <c r="O848" s="60"/>
      <c r="P848" s="156"/>
      <c r="Q848" s="187"/>
      <c r="X848"/>
    </row>
    <row r="849" spans="1:24">
      <c r="A849" s="122"/>
      <c r="B849" s="122"/>
      <c r="C849" s="122"/>
      <c r="D849" s="122"/>
      <c r="E849" s="122"/>
      <c r="F849" s="122"/>
      <c r="G849" s="36"/>
      <c r="H849" s="36"/>
      <c r="I849" s="113"/>
      <c r="J849" s="36"/>
      <c r="K849" s="182"/>
      <c r="L849" s="36"/>
      <c r="M849" s="60"/>
      <c r="N849" s="185"/>
      <c r="O849" s="60"/>
      <c r="P849" s="156"/>
      <c r="Q849" s="187"/>
      <c r="X849"/>
    </row>
    <row r="850" spans="1:24">
      <c r="A850" s="122"/>
      <c r="B850" s="122"/>
      <c r="C850" s="122"/>
      <c r="D850" s="122"/>
      <c r="E850" s="122"/>
      <c r="F850" s="122"/>
      <c r="G850" s="36"/>
      <c r="H850" s="36"/>
      <c r="I850" s="113"/>
      <c r="J850" s="36"/>
      <c r="K850" s="182"/>
      <c r="L850" s="36"/>
      <c r="M850" s="60"/>
      <c r="N850" s="185"/>
      <c r="O850" s="60"/>
      <c r="P850" s="156"/>
      <c r="Q850" s="187"/>
      <c r="X850"/>
    </row>
    <row r="851" spans="1:24">
      <c r="A851" s="122"/>
      <c r="B851" s="122"/>
      <c r="C851" s="122"/>
      <c r="D851" s="122"/>
      <c r="E851" s="122"/>
      <c r="F851" s="122"/>
      <c r="G851" s="36"/>
      <c r="H851" s="36"/>
      <c r="I851" s="113"/>
      <c r="J851" s="36"/>
      <c r="K851" s="182"/>
      <c r="L851" s="36"/>
      <c r="M851" s="60"/>
      <c r="N851" s="185"/>
      <c r="O851" s="60"/>
      <c r="P851" s="156"/>
      <c r="Q851" s="187"/>
      <c r="X851"/>
    </row>
    <row r="852" spans="1:24">
      <c r="A852" s="122"/>
      <c r="B852" s="122"/>
      <c r="C852" s="122"/>
      <c r="D852" s="122"/>
      <c r="E852" s="122"/>
      <c r="F852" s="122"/>
      <c r="G852" s="36"/>
      <c r="H852" s="36"/>
      <c r="I852" s="113"/>
      <c r="J852" s="36"/>
      <c r="K852" s="182"/>
      <c r="L852" s="36"/>
      <c r="M852" s="60"/>
      <c r="N852" s="185"/>
      <c r="O852" s="60"/>
      <c r="P852" s="156"/>
      <c r="Q852" s="187"/>
      <c r="X852"/>
    </row>
    <row r="853" spans="1:24">
      <c r="A853" s="122"/>
      <c r="B853" s="122"/>
      <c r="C853" s="122"/>
      <c r="D853" s="122"/>
      <c r="E853" s="122"/>
      <c r="F853" s="122"/>
      <c r="G853" s="36"/>
      <c r="H853" s="36"/>
      <c r="I853" s="113"/>
      <c r="J853" s="36"/>
      <c r="K853" s="182"/>
      <c r="L853" s="36"/>
      <c r="M853" s="60"/>
      <c r="N853" s="185"/>
      <c r="O853" s="60"/>
      <c r="P853" s="156"/>
      <c r="Q853" s="187"/>
      <c r="X853"/>
    </row>
    <row r="854" spans="1:24">
      <c r="A854" s="122"/>
      <c r="B854" s="122"/>
      <c r="C854" s="122"/>
      <c r="D854" s="122"/>
      <c r="E854" s="122"/>
      <c r="F854" s="122"/>
      <c r="G854" s="36"/>
      <c r="H854" s="36"/>
      <c r="I854" s="113"/>
      <c r="J854" s="36"/>
      <c r="K854" s="182"/>
      <c r="L854" s="36"/>
      <c r="M854" s="60"/>
      <c r="N854" s="185"/>
      <c r="O854" s="60"/>
      <c r="P854" s="156"/>
      <c r="Q854" s="187"/>
      <c r="X854"/>
    </row>
    <row r="855" spans="1:24">
      <c r="A855" s="122"/>
      <c r="B855" s="122"/>
      <c r="C855" s="122"/>
      <c r="D855" s="122"/>
      <c r="E855" s="122"/>
      <c r="F855" s="122"/>
      <c r="G855" s="36"/>
      <c r="H855" s="36"/>
      <c r="I855" s="113"/>
      <c r="J855" s="36"/>
      <c r="K855" s="182"/>
      <c r="L855" s="36"/>
      <c r="M855" s="60"/>
      <c r="N855" s="185"/>
      <c r="O855" s="60"/>
      <c r="P855" s="156"/>
      <c r="Q855" s="187"/>
      <c r="X855"/>
    </row>
    <row r="856" spans="1:24">
      <c r="A856" s="122"/>
      <c r="B856" s="122"/>
      <c r="C856" s="122"/>
      <c r="D856" s="122"/>
      <c r="E856" s="122"/>
      <c r="F856" s="122"/>
      <c r="G856" s="36"/>
      <c r="H856" s="36"/>
      <c r="I856" s="113"/>
      <c r="J856" s="36"/>
      <c r="K856" s="182"/>
      <c r="L856" s="36"/>
      <c r="M856" s="60"/>
      <c r="N856" s="185"/>
      <c r="O856" s="60"/>
      <c r="P856" s="156"/>
      <c r="Q856" s="187"/>
      <c r="X856"/>
    </row>
    <row r="857" spans="1:24">
      <c r="A857" s="122"/>
      <c r="B857" s="122"/>
      <c r="C857" s="122"/>
      <c r="D857" s="122"/>
      <c r="E857" s="122"/>
      <c r="F857" s="122"/>
      <c r="G857" s="36"/>
      <c r="H857" s="36"/>
      <c r="I857" s="113"/>
      <c r="J857" s="36"/>
      <c r="K857" s="182"/>
      <c r="L857" s="36"/>
      <c r="M857" s="60"/>
      <c r="N857" s="185"/>
      <c r="O857" s="60"/>
      <c r="P857" s="156"/>
      <c r="Q857" s="187"/>
      <c r="X857"/>
    </row>
    <row r="858" spans="1:24">
      <c r="A858" s="122"/>
      <c r="B858" s="122"/>
      <c r="C858" s="122"/>
      <c r="D858" s="122"/>
      <c r="E858" s="122"/>
      <c r="F858" s="122"/>
      <c r="G858" s="36"/>
      <c r="H858" s="36"/>
      <c r="I858" s="113"/>
      <c r="J858" s="36"/>
      <c r="K858" s="182"/>
      <c r="L858" s="36"/>
      <c r="M858" s="60"/>
      <c r="N858" s="185"/>
      <c r="O858" s="60"/>
      <c r="P858" s="156"/>
      <c r="Q858" s="187"/>
      <c r="X858"/>
    </row>
    <row r="859" spans="1:24">
      <c r="A859" s="122"/>
      <c r="B859" s="122"/>
      <c r="C859" s="122"/>
      <c r="D859" s="122"/>
      <c r="E859" s="122"/>
      <c r="F859" s="122"/>
      <c r="G859" s="36"/>
      <c r="H859" s="36"/>
      <c r="I859" s="113"/>
      <c r="J859" s="36"/>
      <c r="K859" s="182"/>
      <c r="L859" s="36"/>
      <c r="M859" s="60"/>
      <c r="N859" s="185"/>
      <c r="O859" s="60"/>
      <c r="P859" s="156"/>
      <c r="Q859" s="187"/>
      <c r="X859"/>
    </row>
    <row r="860" spans="1:24">
      <c r="A860" s="122"/>
      <c r="B860" s="122"/>
      <c r="C860" s="122"/>
      <c r="D860" s="122"/>
      <c r="E860" s="122"/>
      <c r="F860" s="122"/>
      <c r="G860" s="36"/>
      <c r="H860" s="36"/>
      <c r="I860" s="113"/>
      <c r="J860" s="36"/>
      <c r="K860" s="182"/>
      <c r="L860" s="36"/>
      <c r="M860" s="60"/>
      <c r="N860" s="185"/>
      <c r="O860" s="60"/>
      <c r="P860" s="156"/>
      <c r="Q860" s="187"/>
      <c r="X860"/>
    </row>
    <row r="861" spans="1:24">
      <c r="A861" s="122"/>
      <c r="B861" s="122"/>
      <c r="C861" s="122"/>
      <c r="D861" s="122"/>
      <c r="E861" s="122"/>
      <c r="F861" s="122"/>
      <c r="G861" s="36"/>
      <c r="H861" s="36"/>
      <c r="I861" s="113"/>
      <c r="J861" s="36"/>
      <c r="K861" s="182"/>
      <c r="L861" s="36"/>
      <c r="M861" s="60"/>
      <c r="N861" s="185"/>
      <c r="O861" s="60"/>
      <c r="P861" s="156"/>
      <c r="Q861" s="187"/>
      <c r="X861"/>
    </row>
    <row r="862" spans="1:24">
      <c r="A862" s="122"/>
      <c r="B862" s="122"/>
      <c r="C862" s="122"/>
      <c r="D862" s="122"/>
      <c r="E862" s="122"/>
      <c r="F862" s="122"/>
      <c r="G862" s="36"/>
      <c r="H862" s="36"/>
      <c r="I862" s="113"/>
      <c r="J862" s="36"/>
      <c r="K862" s="182"/>
      <c r="L862" s="36"/>
      <c r="M862" s="60"/>
      <c r="N862" s="185"/>
      <c r="O862" s="60"/>
      <c r="P862" s="156"/>
      <c r="Q862" s="187"/>
      <c r="X862"/>
    </row>
    <row r="863" spans="1:24">
      <c r="A863" s="122"/>
      <c r="B863" s="122"/>
      <c r="C863" s="122"/>
      <c r="D863" s="122"/>
      <c r="E863" s="122"/>
      <c r="F863" s="122"/>
      <c r="G863" s="36"/>
      <c r="H863" s="36"/>
      <c r="I863" s="113"/>
      <c r="J863" s="36"/>
      <c r="K863" s="182"/>
      <c r="L863" s="36"/>
      <c r="M863" s="60"/>
      <c r="N863" s="185"/>
      <c r="O863" s="60"/>
      <c r="P863" s="156"/>
      <c r="Q863" s="187"/>
      <c r="X863"/>
    </row>
    <row r="864" spans="1:24">
      <c r="A864" s="122"/>
      <c r="B864" s="122"/>
      <c r="C864" s="122"/>
      <c r="D864" s="122"/>
      <c r="E864" s="122"/>
      <c r="F864" s="122"/>
      <c r="G864" s="36"/>
      <c r="H864" s="36"/>
      <c r="I864" s="113"/>
      <c r="J864" s="36"/>
      <c r="K864" s="182"/>
      <c r="L864" s="36"/>
      <c r="M864" s="60"/>
      <c r="N864" s="185"/>
      <c r="O864" s="60"/>
      <c r="P864" s="156"/>
      <c r="Q864" s="187"/>
      <c r="X864"/>
    </row>
    <row r="865" spans="1:24">
      <c r="A865" s="122"/>
      <c r="B865" s="122"/>
      <c r="C865" s="122"/>
      <c r="D865" s="122"/>
      <c r="E865" s="122"/>
      <c r="F865" s="122"/>
      <c r="G865" s="36"/>
      <c r="H865" s="36"/>
      <c r="I865" s="113"/>
      <c r="J865" s="36"/>
      <c r="K865" s="182"/>
      <c r="L865" s="36"/>
      <c r="M865" s="60"/>
      <c r="N865" s="185"/>
      <c r="O865" s="60"/>
      <c r="P865" s="156"/>
      <c r="Q865" s="187"/>
      <c r="X865"/>
    </row>
    <row r="866" spans="1:24">
      <c r="A866" s="122"/>
      <c r="B866" s="122"/>
      <c r="C866" s="122"/>
      <c r="D866" s="122"/>
      <c r="E866" s="122"/>
      <c r="F866" s="122"/>
      <c r="G866" s="36"/>
      <c r="H866" s="36"/>
      <c r="I866" s="113"/>
      <c r="J866" s="36"/>
      <c r="K866" s="182"/>
      <c r="L866" s="36"/>
      <c r="M866" s="60"/>
      <c r="N866" s="185"/>
      <c r="O866" s="60"/>
      <c r="P866" s="156"/>
      <c r="Q866" s="187"/>
      <c r="X866"/>
    </row>
    <row r="867" spans="1:24">
      <c r="A867" s="122"/>
      <c r="B867" s="122"/>
      <c r="C867" s="122"/>
      <c r="D867" s="122"/>
      <c r="E867" s="122"/>
      <c r="F867" s="122"/>
      <c r="G867" s="36"/>
      <c r="H867" s="36"/>
      <c r="I867" s="113"/>
      <c r="J867" s="36"/>
      <c r="K867" s="182"/>
      <c r="L867" s="36"/>
      <c r="M867" s="60"/>
      <c r="N867" s="185"/>
      <c r="O867" s="60"/>
      <c r="P867" s="156"/>
      <c r="Q867" s="187"/>
      <c r="X867"/>
    </row>
    <row r="868" spans="1:24">
      <c r="A868" s="122"/>
      <c r="B868" s="122"/>
      <c r="C868" s="122"/>
      <c r="D868" s="122"/>
      <c r="E868" s="122"/>
      <c r="F868" s="122"/>
      <c r="G868" s="36"/>
      <c r="H868" s="36"/>
      <c r="I868" s="113"/>
      <c r="J868" s="36"/>
      <c r="K868" s="182"/>
      <c r="L868" s="36"/>
      <c r="M868" s="60"/>
      <c r="N868" s="185"/>
      <c r="O868" s="60"/>
      <c r="P868" s="156"/>
      <c r="Q868" s="187"/>
      <c r="X868"/>
    </row>
    <row r="869" spans="1:24">
      <c r="A869" s="122"/>
      <c r="B869" s="122"/>
      <c r="C869" s="122"/>
      <c r="D869" s="122"/>
      <c r="E869" s="122"/>
      <c r="F869" s="122"/>
      <c r="G869" s="36"/>
      <c r="H869" s="36"/>
      <c r="I869" s="113"/>
      <c r="J869" s="36"/>
      <c r="K869" s="182"/>
      <c r="L869" s="36"/>
      <c r="M869" s="60"/>
      <c r="N869" s="185"/>
      <c r="O869" s="60"/>
      <c r="P869" s="156"/>
      <c r="Q869" s="187"/>
      <c r="X869"/>
    </row>
    <row r="870" spans="1:24">
      <c r="A870" s="122"/>
      <c r="B870" s="122"/>
      <c r="C870" s="122"/>
      <c r="D870" s="122"/>
      <c r="E870" s="122"/>
      <c r="F870" s="122"/>
      <c r="G870" s="36"/>
      <c r="H870" s="36"/>
      <c r="I870" s="113"/>
      <c r="J870" s="36"/>
      <c r="K870" s="182"/>
      <c r="L870" s="36"/>
      <c r="M870" s="60"/>
      <c r="N870" s="185"/>
      <c r="O870" s="60"/>
      <c r="P870" s="156"/>
      <c r="Q870" s="187"/>
      <c r="X870"/>
    </row>
    <row r="871" spans="1:24">
      <c r="A871" s="122"/>
      <c r="B871" s="122"/>
      <c r="C871" s="122"/>
      <c r="D871" s="122"/>
      <c r="E871" s="122"/>
      <c r="F871" s="122"/>
      <c r="G871" s="36"/>
      <c r="H871" s="36"/>
      <c r="I871" s="113"/>
      <c r="J871" s="36"/>
      <c r="K871" s="182"/>
      <c r="L871" s="36"/>
      <c r="M871" s="60"/>
      <c r="N871" s="185"/>
      <c r="O871" s="60"/>
      <c r="P871" s="156"/>
      <c r="Q871" s="187"/>
      <c r="X871"/>
    </row>
    <row r="872" spans="1:24">
      <c r="A872" s="122"/>
      <c r="B872" s="122"/>
      <c r="C872" s="122"/>
      <c r="D872" s="122"/>
      <c r="E872" s="122"/>
      <c r="F872" s="122"/>
      <c r="G872" s="36"/>
      <c r="H872" s="36"/>
      <c r="I872" s="113"/>
      <c r="J872" s="36"/>
      <c r="K872" s="182"/>
      <c r="L872" s="36"/>
      <c r="M872" s="60"/>
      <c r="N872" s="185"/>
      <c r="O872" s="60"/>
      <c r="P872" s="156"/>
      <c r="Q872" s="187"/>
      <c r="X872"/>
    </row>
    <row r="873" spans="1:24">
      <c r="A873" s="122"/>
      <c r="B873" s="122"/>
      <c r="C873" s="122"/>
      <c r="D873" s="122"/>
      <c r="E873" s="122"/>
      <c r="F873" s="122"/>
      <c r="G873" s="36"/>
      <c r="H873" s="36"/>
      <c r="I873" s="113"/>
      <c r="J873" s="36"/>
      <c r="K873" s="182"/>
      <c r="L873" s="36"/>
      <c r="M873" s="60"/>
      <c r="N873" s="185"/>
      <c r="O873" s="60"/>
      <c r="P873" s="156"/>
      <c r="Q873" s="187"/>
      <c r="X873"/>
    </row>
    <row r="874" spans="1:24">
      <c r="A874" s="122"/>
      <c r="B874" s="122"/>
      <c r="C874" s="122"/>
      <c r="D874" s="122"/>
      <c r="E874" s="122"/>
      <c r="F874" s="122"/>
      <c r="G874" s="36"/>
      <c r="H874" s="36"/>
      <c r="I874" s="113"/>
      <c r="J874" s="36"/>
      <c r="K874" s="182"/>
      <c r="L874" s="36"/>
      <c r="M874" s="60"/>
      <c r="N874" s="185"/>
      <c r="O874" s="60"/>
      <c r="P874" s="156"/>
      <c r="Q874" s="187"/>
      <c r="X874"/>
    </row>
    <row r="875" spans="1:24">
      <c r="A875" s="122"/>
      <c r="B875" s="122"/>
      <c r="C875" s="122"/>
      <c r="D875" s="122"/>
      <c r="E875" s="122"/>
      <c r="F875" s="122"/>
      <c r="G875" s="36"/>
      <c r="H875" s="36"/>
      <c r="I875" s="113"/>
      <c r="J875" s="36"/>
      <c r="K875" s="182"/>
      <c r="L875" s="36"/>
      <c r="M875" s="60"/>
      <c r="N875" s="185"/>
      <c r="O875" s="60"/>
      <c r="P875" s="156"/>
      <c r="Q875" s="187"/>
      <c r="X875"/>
    </row>
    <row r="876" spans="1:24">
      <c r="A876" s="122"/>
      <c r="B876" s="122"/>
      <c r="C876" s="122"/>
      <c r="D876" s="122"/>
      <c r="E876" s="122"/>
      <c r="F876" s="122"/>
      <c r="G876" s="36"/>
      <c r="H876" s="36"/>
      <c r="I876" s="113"/>
      <c r="J876" s="36"/>
      <c r="K876" s="182"/>
      <c r="L876" s="36"/>
      <c r="M876" s="60"/>
      <c r="N876" s="185"/>
      <c r="O876" s="60"/>
      <c r="P876" s="156"/>
      <c r="Q876" s="187"/>
      <c r="X876"/>
    </row>
    <row r="877" spans="1:24">
      <c r="A877" s="122"/>
      <c r="B877" s="122"/>
      <c r="C877" s="122"/>
      <c r="D877" s="122"/>
      <c r="E877" s="122"/>
      <c r="F877" s="122"/>
      <c r="G877" s="36"/>
      <c r="H877" s="36"/>
      <c r="I877" s="113"/>
      <c r="J877" s="36"/>
      <c r="K877" s="182"/>
      <c r="L877" s="36"/>
      <c r="M877" s="60"/>
      <c r="N877" s="185"/>
      <c r="O877" s="60"/>
      <c r="P877" s="156"/>
      <c r="Q877" s="187"/>
      <c r="X877"/>
    </row>
    <row r="878" spans="1:24">
      <c r="A878" s="122"/>
      <c r="B878" s="122"/>
      <c r="C878" s="122"/>
      <c r="D878" s="122"/>
      <c r="E878" s="122"/>
      <c r="F878" s="122"/>
      <c r="G878" s="36"/>
      <c r="H878" s="36"/>
      <c r="I878" s="113"/>
      <c r="J878" s="36"/>
      <c r="K878" s="182"/>
      <c r="L878" s="36"/>
      <c r="M878" s="60"/>
      <c r="N878" s="185"/>
      <c r="O878" s="60"/>
      <c r="P878" s="156"/>
      <c r="Q878" s="187"/>
      <c r="X878"/>
    </row>
    <row r="879" spans="1:24">
      <c r="A879" s="122"/>
      <c r="B879" s="122"/>
      <c r="C879" s="122"/>
      <c r="D879" s="122"/>
      <c r="E879" s="122"/>
      <c r="F879" s="122"/>
      <c r="G879" s="36"/>
      <c r="H879" s="36"/>
      <c r="I879" s="113"/>
      <c r="J879" s="36"/>
      <c r="K879" s="182"/>
      <c r="L879" s="36"/>
      <c r="M879" s="60"/>
      <c r="N879" s="185"/>
      <c r="O879" s="60"/>
      <c r="P879" s="156"/>
      <c r="Q879" s="187"/>
      <c r="X879"/>
    </row>
    <row r="880" spans="1:24">
      <c r="A880" s="122"/>
      <c r="B880" s="122"/>
      <c r="C880" s="122"/>
      <c r="D880" s="122"/>
      <c r="E880" s="122"/>
      <c r="F880" s="122"/>
      <c r="G880" s="36"/>
      <c r="H880" s="36"/>
      <c r="I880" s="113"/>
      <c r="J880" s="36"/>
      <c r="K880" s="182"/>
      <c r="L880" s="36"/>
      <c r="M880" s="60"/>
      <c r="N880" s="185"/>
      <c r="O880" s="60"/>
      <c r="P880" s="156"/>
      <c r="Q880" s="187"/>
      <c r="X880"/>
    </row>
    <row r="881" spans="1:24">
      <c r="A881" s="122"/>
      <c r="B881" s="122"/>
      <c r="C881" s="122"/>
      <c r="D881" s="122"/>
      <c r="E881" s="122"/>
      <c r="F881" s="122"/>
      <c r="G881" s="36"/>
      <c r="H881" s="36"/>
      <c r="I881" s="113"/>
      <c r="J881" s="36"/>
      <c r="K881" s="182"/>
      <c r="L881" s="36"/>
      <c r="M881" s="60"/>
      <c r="N881" s="185"/>
      <c r="O881" s="60"/>
      <c r="P881" s="156"/>
      <c r="Q881" s="187"/>
      <c r="X881"/>
    </row>
    <row r="882" spans="1:24">
      <c r="A882" s="122"/>
      <c r="B882" s="122"/>
      <c r="C882" s="122"/>
      <c r="D882" s="122"/>
      <c r="E882" s="122"/>
      <c r="F882" s="122"/>
      <c r="G882" s="36"/>
      <c r="H882" s="36"/>
      <c r="I882" s="113"/>
      <c r="J882" s="36"/>
      <c r="K882" s="182"/>
      <c r="L882" s="36"/>
      <c r="M882" s="60"/>
      <c r="N882" s="185"/>
      <c r="O882" s="60"/>
      <c r="P882" s="156"/>
      <c r="Q882" s="187"/>
      <c r="X882"/>
    </row>
    <row r="883" spans="1:24">
      <c r="A883" s="122"/>
      <c r="B883" s="122"/>
      <c r="C883" s="122"/>
      <c r="D883" s="122"/>
      <c r="E883" s="122"/>
      <c r="F883" s="122"/>
      <c r="G883" s="36"/>
      <c r="H883" s="36"/>
      <c r="I883" s="113"/>
      <c r="J883" s="36"/>
      <c r="K883" s="182"/>
      <c r="L883" s="36"/>
      <c r="M883" s="60"/>
      <c r="N883" s="185"/>
      <c r="O883" s="60"/>
      <c r="P883" s="156"/>
      <c r="Q883" s="187"/>
      <c r="X883"/>
    </row>
    <row r="884" spans="1:24">
      <c r="A884" s="122"/>
      <c r="B884" s="122"/>
      <c r="C884" s="122"/>
      <c r="D884" s="122"/>
      <c r="E884" s="122"/>
      <c r="F884" s="122"/>
      <c r="G884" s="36"/>
      <c r="H884" s="36"/>
      <c r="I884" s="113"/>
      <c r="J884" s="36"/>
      <c r="K884" s="182"/>
      <c r="L884" s="36"/>
      <c r="M884" s="60"/>
      <c r="N884" s="185"/>
      <c r="O884" s="60"/>
      <c r="P884" s="156"/>
      <c r="Q884" s="187"/>
      <c r="X884"/>
    </row>
    <row r="885" spans="1:24">
      <c r="A885" s="122"/>
      <c r="B885" s="122"/>
      <c r="C885" s="122"/>
      <c r="D885" s="122"/>
      <c r="E885" s="122"/>
      <c r="F885" s="122"/>
      <c r="G885" s="122"/>
      <c r="H885" s="122"/>
      <c r="I885" s="282"/>
      <c r="J885" s="122"/>
      <c r="K885" s="145"/>
      <c r="L885" s="122"/>
      <c r="M885" s="141"/>
      <c r="N885" s="186"/>
      <c r="O885" s="141"/>
      <c r="P885" s="156"/>
      <c r="Q885" s="187"/>
      <c r="X885"/>
    </row>
    <row r="886" spans="1:24">
      <c r="A886" s="122"/>
      <c r="B886" s="122"/>
      <c r="C886" s="122"/>
      <c r="D886" s="122"/>
      <c r="E886" s="122"/>
      <c r="F886" s="122"/>
      <c r="G886" s="122"/>
      <c r="H886" s="122"/>
      <c r="I886" s="282"/>
      <c r="J886" s="122"/>
      <c r="K886" s="145"/>
      <c r="L886" s="122"/>
      <c r="M886" s="141"/>
      <c r="N886" s="186"/>
      <c r="O886" s="141"/>
      <c r="P886" s="156"/>
      <c r="Q886" s="187"/>
      <c r="X886"/>
    </row>
    <row r="887" spans="1:24">
      <c r="A887" s="122"/>
      <c r="B887" s="122"/>
      <c r="C887" s="122"/>
      <c r="D887" s="122"/>
      <c r="E887" s="122"/>
      <c r="F887" s="122"/>
      <c r="G887" s="122"/>
      <c r="H887" s="122"/>
      <c r="I887" s="282"/>
      <c r="J887" s="122"/>
      <c r="K887" s="145"/>
      <c r="L887" s="122"/>
      <c r="M887" s="141"/>
      <c r="N887" s="186"/>
      <c r="O887" s="141"/>
      <c r="P887" s="156"/>
      <c r="Q887" s="187"/>
      <c r="X887"/>
    </row>
    <row r="888" spans="1:24">
      <c r="A888" s="122"/>
      <c r="B888" s="122"/>
      <c r="C888" s="122"/>
      <c r="D888" s="122"/>
      <c r="E888" s="122"/>
      <c r="F888" s="122"/>
      <c r="G888" s="122"/>
      <c r="H888" s="122"/>
      <c r="I888" s="282"/>
      <c r="J888" s="122"/>
      <c r="K888" s="145"/>
      <c r="L888" s="122"/>
      <c r="M888" s="141"/>
      <c r="N888" s="186"/>
      <c r="O888" s="141"/>
      <c r="P888" s="156"/>
      <c r="Q888" s="187"/>
      <c r="X888"/>
    </row>
    <row r="889" spans="1:24">
      <c r="A889" s="122"/>
      <c r="B889" s="122"/>
      <c r="C889" s="122"/>
      <c r="D889" s="122"/>
      <c r="E889" s="122"/>
      <c r="F889" s="122"/>
      <c r="G889" s="122"/>
      <c r="H889" s="122"/>
      <c r="I889" s="282"/>
      <c r="J889" s="122"/>
      <c r="K889" s="145"/>
      <c r="L889" s="122"/>
      <c r="M889" s="141"/>
      <c r="N889" s="186"/>
      <c r="O889" s="141"/>
      <c r="P889" s="156"/>
      <c r="Q889" s="187"/>
      <c r="X889"/>
    </row>
    <row r="890" spans="1:24">
      <c r="A890" s="122"/>
      <c r="B890" s="122"/>
      <c r="C890" s="122"/>
      <c r="D890" s="122"/>
      <c r="E890" s="122"/>
      <c r="F890" s="122"/>
      <c r="G890" s="36"/>
      <c r="H890" s="36"/>
      <c r="I890" s="113"/>
      <c r="J890" s="36"/>
      <c r="K890" s="182"/>
      <c r="L890" s="36"/>
      <c r="M890" s="60"/>
      <c r="N890" s="185"/>
      <c r="O890" s="60"/>
      <c r="P890" s="156"/>
      <c r="Q890" s="187"/>
      <c r="X890"/>
    </row>
    <row r="891" spans="1:24">
      <c r="A891" s="122"/>
      <c r="B891" s="122"/>
      <c r="C891" s="122"/>
      <c r="D891" s="122"/>
      <c r="E891" s="122"/>
      <c r="F891" s="122"/>
      <c r="G891" s="36"/>
      <c r="H891" s="36"/>
      <c r="I891" s="113"/>
      <c r="J891" s="36"/>
      <c r="K891" s="182"/>
      <c r="L891" s="36"/>
      <c r="M891" s="60"/>
      <c r="N891" s="109"/>
      <c r="O891" s="60"/>
      <c r="P891" s="156"/>
      <c r="Q891" s="187"/>
      <c r="X891"/>
    </row>
    <row r="892" spans="1:24">
      <c r="A892" s="122"/>
      <c r="B892" s="122"/>
      <c r="C892" s="122"/>
      <c r="D892" s="122"/>
      <c r="E892" s="122"/>
      <c r="F892" s="122"/>
      <c r="G892" s="36"/>
      <c r="H892" s="36"/>
      <c r="I892" s="113"/>
      <c r="J892" s="36"/>
      <c r="K892" s="182"/>
      <c r="L892" s="36"/>
      <c r="M892" s="60"/>
      <c r="N892" s="109"/>
      <c r="O892" s="60"/>
      <c r="P892" s="156"/>
      <c r="Q892" s="187"/>
      <c r="X892"/>
    </row>
    <row r="893" spans="1:24">
      <c r="A893" s="122"/>
      <c r="B893" s="122"/>
      <c r="C893" s="122"/>
      <c r="D893" s="122"/>
      <c r="E893" s="122"/>
      <c r="F893" s="122"/>
      <c r="G893" s="36"/>
      <c r="H893" s="36"/>
      <c r="I893" s="113"/>
      <c r="J893" s="36"/>
      <c r="K893" s="182"/>
      <c r="L893" s="36"/>
      <c r="M893" s="60"/>
      <c r="N893" s="109"/>
      <c r="O893" s="60"/>
      <c r="P893" s="156"/>
      <c r="Q893" s="187"/>
      <c r="X893"/>
    </row>
    <row r="894" spans="1:24">
      <c r="A894" s="122"/>
      <c r="B894" s="122"/>
      <c r="C894" s="122"/>
      <c r="D894" s="122"/>
      <c r="E894" s="122"/>
      <c r="F894" s="122"/>
      <c r="G894" s="36"/>
      <c r="H894" s="36"/>
      <c r="I894" s="113"/>
      <c r="J894" s="36"/>
      <c r="K894" s="182"/>
      <c r="L894" s="36"/>
      <c r="M894" s="60"/>
      <c r="N894" s="109"/>
      <c r="O894" s="60"/>
      <c r="P894" s="156"/>
      <c r="Q894" s="187"/>
      <c r="X894"/>
    </row>
    <row r="895" spans="1:24">
      <c r="A895" s="122"/>
      <c r="B895" s="122"/>
      <c r="C895" s="122"/>
      <c r="D895" s="122"/>
      <c r="E895" s="122"/>
      <c r="F895" s="122"/>
      <c r="G895" s="36"/>
      <c r="H895" s="36"/>
      <c r="I895" s="113"/>
      <c r="J895" s="36"/>
      <c r="K895" s="182"/>
      <c r="L895" s="36"/>
      <c r="M895" s="60"/>
      <c r="N895" s="109"/>
      <c r="O895" s="60"/>
      <c r="P895" s="156"/>
      <c r="Q895" s="187"/>
      <c r="X895"/>
    </row>
    <row r="896" spans="1:24">
      <c r="A896" s="122"/>
      <c r="B896" s="122"/>
      <c r="C896" s="122"/>
      <c r="D896" s="122"/>
      <c r="E896" s="122"/>
      <c r="F896" s="122"/>
      <c r="G896" s="36"/>
      <c r="H896" s="36"/>
      <c r="I896" s="113"/>
      <c r="J896" s="36"/>
      <c r="K896" s="182"/>
      <c r="L896" s="36"/>
      <c r="M896" s="60"/>
      <c r="N896" s="109"/>
      <c r="O896" s="60"/>
      <c r="P896" s="156"/>
      <c r="Q896" s="187"/>
      <c r="X896"/>
    </row>
    <row r="897" spans="1:24">
      <c r="A897" s="122"/>
      <c r="B897" s="122"/>
      <c r="C897" s="122"/>
      <c r="D897" s="122"/>
      <c r="E897" s="122"/>
      <c r="F897" s="122"/>
      <c r="G897" s="36"/>
      <c r="H897" s="36"/>
      <c r="I897" s="113"/>
      <c r="J897" s="36"/>
      <c r="K897" s="182"/>
      <c r="L897" s="36"/>
      <c r="M897" s="60"/>
      <c r="N897" s="109"/>
      <c r="O897" s="60"/>
      <c r="P897" s="156"/>
      <c r="Q897" s="187"/>
      <c r="X897"/>
    </row>
    <row r="898" spans="1:24">
      <c r="A898" s="122"/>
      <c r="B898" s="122"/>
      <c r="C898" s="122"/>
      <c r="D898" s="122"/>
      <c r="E898" s="122"/>
      <c r="F898" s="122"/>
      <c r="G898" s="36"/>
      <c r="H898" s="36"/>
      <c r="I898" s="113"/>
      <c r="J898" s="36"/>
      <c r="K898" s="182"/>
      <c r="L898" s="36"/>
      <c r="M898" s="60"/>
      <c r="N898" s="109"/>
      <c r="O898" s="60"/>
      <c r="P898" s="156"/>
      <c r="Q898" s="187"/>
      <c r="X898"/>
    </row>
    <row r="899" spans="1:24">
      <c r="A899" s="122"/>
      <c r="B899" s="122"/>
      <c r="C899" s="122"/>
      <c r="D899" s="122"/>
      <c r="E899" s="122"/>
      <c r="F899" s="122"/>
      <c r="G899" s="36"/>
      <c r="H899" s="36"/>
      <c r="I899" s="113"/>
      <c r="J899" s="36"/>
      <c r="K899" s="182"/>
      <c r="L899" s="36"/>
      <c r="M899" s="60"/>
      <c r="N899" s="109"/>
      <c r="O899" s="60"/>
      <c r="P899" s="156"/>
      <c r="Q899" s="187"/>
      <c r="X899"/>
    </row>
    <row r="900" spans="1:24">
      <c r="A900" s="122"/>
      <c r="B900" s="122"/>
      <c r="C900" s="122"/>
      <c r="D900" s="122"/>
      <c r="E900" s="122"/>
      <c r="F900" s="122"/>
      <c r="G900" s="36"/>
      <c r="H900" s="36"/>
      <c r="I900" s="113"/>
      <c r="J900" s="36"/>
      <c r="K900" s="182"/>
      <c r="L900" s="36"/>
      <c r="M900" s="60"/>
      <c r="N900" s="109"/>
      <c r="O900" s="60"/>
      <c r="P900" s="156"/>
      <c r="Q900" s="187"/>
      <c r="X900"/>
    </row>
    <row r="901" spans="1:24">
      <c r="A901" s="122"/>
      <c r="B901" s="122"/>
      <c r="C901" s="122"/>
      <c r="D901" s="122"/>
      <c r="E901" s="122"/>
      <c r="F901" s="122"/>
      <c r="G901" s="36"/>
      <c r="H901" s="36"/>
      <c r="I901" s="113"/>
      <c r="J901" s="36"/>
      <c r="K901" s="182"/>
      <c r="L901" s="36"/>
      <c r="M901" s="60"/>
      <c r="N901" s="109"/>
      <c r="O901" s="60"/>
      <c r="P901" s="156"/>
      <c r="Q901" s="187"/>
      <c r="X901"/>
    </row>
    <row r="902" spans="1:24">
      <c r="A902" s="122"/>
      <c r="B902" s="122"/>
      <c r="C902" s="122"/>
      <c r="D902" s="122"/>
      <c r="E902" s="122"/>
      <c r="F902" s="122"/>
      <c r="G902" s="36"/>
      <c r="H902" s="36"/>
      <c r="I902" s="113"/>
      <c r="J902" s="36"/>
      <c r="K902" s="182"/>
      <c r="L902" s="36"/>
      <c r="M902" s="60"/>
      <c r="N902" s="109"/>
      <c r="O902" s="60"/>
      <c r="P902" s="156"/>
      <c r="Q902" s="187"/>
      <c r="X902"/>
    </row>
    <row r="903" spans="1:24">
      <c r="A903" s="122"/>
      <c r="B903" s="122"/>
      <c r="C903" s="122"/>
      <c r="D903" s="122"/>
      <c r="E903" s="122"/>
      <c r="F903" s="122"/>
      <c r="G903" s="36"/>
      <c r="H903" s="36"/>
      <c r="I903" s="113"/>
      <c r="J903" s="36"/>
      <c r="K903" s="182"/>
      <c r="L903" s="36"/>
      <c r="M903" s="60"/>
      <c r="N903" s="109"/>
      <c r="O903" s="60"/>
      <c r="P903" s="156"/>
      <c r="Q903" s="187"/>
      <c r="X903"/>
    </row>
    <row r="904" spans="1:24">
      <c r="A904" s="122"/>
      <c r="B904" s="122"/>
      <c r="C904" s="122"/>
      <c r="D904" s="122"/>
      <c r="E904" s="122"/>
      <c r="F904" s="122"/>
      <c r="G904" s="36"/>
      <c r="H904" s="36"/>
      <c r="I904" s="113"/>
      <c r="J904" s="36"/>
      <c r="K904" s="182"/>
      <c r="L904" s="36"/>
      <c r="M904" s="60"/>
      <c r="N904" s="109"/>
      <c r="O904" s="60"/>
      <c r="P904" s="156"/>
      <c r="Q904" s="187"/>
      <c r="X904"/>
    </row>
    <row r="905" spans="1:24">
      <c r="A905" s="122"/>
      <c r="B905" s="122"/>
      <c r="C905" s="122"/>
      <c r="D905" s="122"/>
      <c r="E905" s="122"/>
      <c r="F905" s="122"/>
      <c r="G905" s="36"/>
      <c r="H905" s="36"/>
      <c r="I905" s="113"/>
      <c r="J905" s="36"/>
      <c r="K905" s="182"/>
      <c r="L905" s="36"/>
      <c r="M905" s="60"/>
      <c r="N905" s="109"/>
      <c r="O905" s="60"/>
      <c r="P905" s="156"/>
      <c r="Q905" s="187"/>
      <c r="X905"/>
    </row>
    <row r="906" spans="1:24">
      <c r="A906" s="122"/>
      <c r="B906" s="122"/>
      <c r="C906" s="122"/>
      <c r="D906" s="122"/>
      <c r="E906" s="122"/>
      <c r="F906" s="122"/>
      <c r="G906" s="36"/>
      <c r="H906" s="36"/>
      <c r="I906" s="113"/>
      <c r="J906" s="36"/>
      <c r="K906" s="182"/>
      <c r="L906" s="36"/>
      <c r="M906" s="60"/>
      <c r="N906" s="109"/>
      <c r="O906" s="60"/>
      <c r="P906" s="156"/>
      <c r="Q906" s="187"/>
      <c r="X906"/>
    </row>
    <row r="907" spans="1:24">
      <c r="A907" s="122"/>
      <c r="B907" s="122"/>
      <c r="C907" s="122"/>
      <c r="D907" s="122"/>
      <c r="E907" s="122"/>
      <c r="F907" s="122"/>
      <c r="G907" s="36"/>
      <c r="H907" s="36"/>
      <c r="I907" s="113"/>
      <c r="J907" s="36"/>
      <c r="K907" s="182"/>
      <c r="L907" s="36"/>
      <c r="M907" s="60"/>
      <c r="N907" s="109"/>
      <c r="O907" s="60"/>
      <c r="P907" s="156"/>
      <c r="Q907" s="187"/>
      <c r="X907"/>
    </row>
    <row r="908" spans="1:24">
      <c r="A908" s="122"/>
      <c r="B908" s="122"/>
      <c r="C908" s="122"/>
      <c r="D908" s="122"/>
      <c r="E908" s="122"/>
      <c r="F908" s="122"/>
      <c r="G908" s="36"/>
      <c r="H908" s="36"/>
      <c r="I908" s="113"/>
      <c r="J908" s="36"/>
      <c r="K908" s="182"/>
      <c r="L908" s="36"/>
      <c r="M908" s="60"/>
      <c r="N908" s="109"/>
      <c r="O908" s="60"/>
      <c r="P908" s="156"/>
      <c r="Q908" s="187"/>
      <c r="X908"/>
    </row>
    <row r="909" spans="1:24">
      <c r="A909" s="122"/>
      <c r="B909" s="122"/>
      <c r="C909" s="122"/>
      <c r="D909" s="122"/>
      <c r="E909" s="122"/>
      <c r="F909" s="122"/>
      <c r="G909" s="36"/>
      <c r="H909" s="36"/>
      <c r="I909" s="113"/>
      <c r="J909" s="36"/>
      <c r="K909" s="182"/>
      <c r="L909" s="36"/>
      <c r="M909" s="60"/>
      <c r="N909" s="109"/>
      <c r="O909" s="60"/>
      <c r="P909" s="156"/>
      <c r="Q909" s="187"/>
      <c r="X909"/>
    </row>
    <row r="910" spans="1:24">
      <c r="A910" s="122"/>
      <c r="B910" s="122"/>
      <c r="C910" s="122"/>
      <c r="D910" s="122"/>
      <c r="E910" s="122"/>
      <c r="F910" s="122"/>
      <c r="G910" s="36"/>
      <c r="H910" s="36"/>
      <c r="I910" s="113"/>
      <c r="J910" s="36"/>
      <c r="K910" s="182"/>
      <c r="L910" s="36"/>
      <c r="M910" s="60"/>
      <c r="N910" s="109"/>
      <c r="O910" s="60"/>
      <c r="P910" s="156"/>
      <c r="Q910" s="187"/>
      <c r="X910"/>
    </row>
    <row r="911" spans="1:24">
      <c r="A911" s="122"/>
      <c r="B911" s="122"/>
      <c r="C911" s="122"/>
      <c r="D911" s="122"/>
      <c r="E911" s="122"/>
      <c r="F911" s="122"/>
      <c r="G911" s="36"/>
      <c r="H911" s="36"/>
      <c r="I911" s="113"/>
      <c r="J911" s="36"/>
      <c r="K911" s="182"/>
      <c r="L911" s="36"/>
      <c r="M911" s="60"/>
      <c r="N911" s="109"/>
      <c r="O911" s="60"/>
      <c r="P911" s="156"/>
      <c r="Q911" s="187"/>
      <c r="X911"/>
    </row>
    <row r="912" spans="1:24">
      <c r="A912" s="122"/>
      <c r="B912" s="122"/>
      <c r="C912" s="122"/>
      <c r="D912" s="122"/>
      <c r="E912" s="122"/>
      <c r="F912" s="122"/>
      <c r="G912" s="36"/>
      <c r="H912" s="36"/>
      <c r="I912" s="113"/>
      <c r="J912" s="36"/>
      <c r="K912" s="182"/>
      <c r="L912" s="36"/>
      <c r="M912" s="60"/>
      <c r="N912" s="109"/>
      <c r="O912" s="60"/>
      <c r="P912" s="156"/>
      <c r="Q912" s="187"/>
      <c r="X912"/>
    </row>
    <row r="913" spans="1:24">
      <c r="A913" s="122"/>
      <c r="B913" s="122"/>
      <c r="C913" s="122"/>
      <c r="D913" s="122"/>
      <c r="E913" s="122"/>
      <c r="F913" s="122"/>
      <c r="G913" s="36"/>
      <c r="H913" s="36"/>
      <c r="I913" s="113"/>
      <c r="J913" s="36"/>
      <c r="K913" s="182"/>
      <c r="L913" s="36"/>
      <c r="M913" s="60"/>
      <c r="N913" s="109"/>
      <c r="O913" s="60"/>
      <c r="P913" s="156"/>
      <c r="Q913" s="187"/>
      <c r="X913"/>
    </row>
    <row r="914" spans="1:24">
      <c r="A914" s="122"/>
      <c r="B914" s="122"/>
      <c r="C914" s="122"/>
      <c r="D914" s="122"/>
      <c r="E914" s="122"/>
      <c r="F914" s="122"/>
      <c r="G914" s="36"/>
      <c r="H914" s="36"/>
      <c r="I914" s="113"/>
      <c r="J914" s="36"/>
      <c r="K914" s="182"/>
      <c r="L914" s="36"/>
      <c r="M914" s="60"/>
      <c r="N914" s="109"/>
      <c r="O914" s="60"/>
      <c r="P914" s="156"/>
      <c r="Q914" s="187"/>
      <c r="X914"/>
    </row>
    <row r="915" spans="1:24">
      <c r="A915" s="122"/>
      <c r="B915" s="122"/>
      <c r="C915" s="122"/>
      <c r="D915" s="122"/>
      <c r="E915" s="122"/>
      <c r="F915" s="122"/>
      <c r="G915" s="36"/>
      <c r="H915" s="36"/>
      <c r="I915" s="113"/>
      <c r="J915" s="36"/>
      <c r="K915" s="182"/>
      <c r="L915" s="36"/>
      <c r="M915" s="60"/>
      <c r="N915" s="109"/>
      <c r="O915" s="60"/>
      <c r="P915" s="156"/>
      <c r="Q915" s="187"/>
      <c r="X915"/>
    </row>
    <row r="916" spans="1:24">
      <c r="A916" s="122"/>
      <c r="B916" s="122"/>
      <c r="C916" s="122"/>
      <c r="D916" s="122"/>
      <c r="E916" s="122"/>
      <c r="F916" s="122"/>
      <c r="G916" s="36"/>
      <c r="H916" s="36"/>
      <c r="I916" s="113"/>
      <c r="J916" s="36"/>
      <c r="K916" s="182"/>
      <c r="L916" s="36"/>
      <c r="M916" s="60"/>
      <c r="N916" s="109"/>
      <c r="O916" s="60"/>
      <c r="P916" s="156"/>
      <c r="Q916" s="187"/>
      <c r="X916"/>
    </row>
    <row r="917" spans="1:24">
      <c r="A917" s="122"/>
      <c r="B917" s="122"/>
      <c r="C917" s="122"/>
      <c r="D917" s="122"/>
      <c r="E917" s="122"/>
      <c r="F917" s="122"/>
      <c r="G917" s="36"/>
      <c r="H917" s="36"/>
      <c r="I917" s="113"/>
      <c r="J917" s="36"/>
      <c r="K917" s="182"/>
      <c r="L917" s="36"/>
      <c r="M917" s="60"/>
      <c r="N917" s="109"/>
      <c r="O917" s="60"/>
      <c r="P917" s="156"/>
      <c r="Q917" s="187"/>
      <c r="X917"/>
    </row>
    <row r="918" spans="1:24">
      <c r="A918" s="122"/>
      <c r="B918" s="122"/>
      <c r="C918" s="122"/>
      <c r="D918" s="122"/>
      <c r="E918" s="122"/>
      <c r="F918" s="122"/>
      <c r="G918" s="36"/>
      <c r="H918" s="36"/>
      <c r="I918" s="113"/>
      <c r="J918" s="36"/>
      <c r="K918" s="182"/>
      <c r="L918" s="36"/>
      <c r="M918" s="60"/>
      <c r="N918" s="109"/>
      <c r="O918" s="60"/>
      <c r="P918" s="156"/>
      <c r="Q918" s="187"/>
      <c r="X918"/>
    </row>
    <row r="919" spans="1:24">
      <c r="A919" s="122"/>
      <c r="B919" s="122"/>
      <c r="C919" s="122"/>
      <c r="D919" s="122"/>
      <c r="E919" s="122"/>
      <c r="F919" s="122"/>
      <c r="G919" s="36"/>
      <c r="H919" s="36"/>
      <c r="I919" s="113"/>
      <c r="J919" s="36"/>
      <c r="K919" s="182"/>
      <c r="L919" s="36"/>
      <c r="M919" s="60"/>
      <c r="N919" s="109"/>
      <c r="O919" s="60"/>
      <c r="P919" s="156"/>
      <c r="Q919" s="187"/>
      <c r="X919"/>
    </row>
    <row r="920" spans="1:24">
      <c r="A920" s="122"/>
      <c r="B920" s="122"/>
      <c r="C920" s="122"/>
      <c r="D920" s="122"/>
      <c r="E920" s="122"/>
      <c r="F920" s="122"/>
      <c r="G920" s="36"/>
      <c r="H920" s="36"/>
      <c r="I920" s="113"/>
      <c r="J920" s="36"/>
      <c r="K920" s="182"/>
      <c r="L920" s="36"/>
      <c r="M920" s="60"/>
      <c r="N920" s="109"/>
      <c r="O920" s="60"/>
      <c r="P920" s="156"/>
      <c r="Q920" s="187"/>
      <c r="X920"/>
    </row>
    <row r="921" spans="1:24">
      <c r="A921" s="122"/>
      <c r="B921" s="122"/>
      <c r="C921" s="122"/>
      <c r="D921" s="122"/>
      <c r="E921" s="122"/>
      <c r="F921" s="122"/>
      <c r="G921" s="36"/>
      <c r="H921" s="36"/>
      <c r="I921" s="113"/>
      <c r="J921" s="36"/>
      <c r="K921" s="182"/>
      <c r="L921" s="36"/>
      <c r="M921" s="60"/>
      <c r="N921" s="109"/>
      <c r="O921" s="60"/>
      <c r="P921" s="156"/>
      <c r="Q921" s="187"/>
      <c r="X921"/>
    </row>
    <row r="922" spans="1:24">
      <c r="A922" s="122"/>
      <c r="B922" s="122"/>
      <c r="C922" s="122"/>
      <c r="D922" s="122"/>
      <c r="E922" s="122"/>
      <c r="F922" s="122"/>
      <c r="G922" s="36"/>
      <c r="H922" s="36"/>
      <c r="I922" s="113"/>
      <c r="J922" s="36"/>
      <c r="K922" s="182"/>
      <c r="L922" s="36"/>
      <c r="M922" s="60"/>
      <c r="N922" s="109"/>
      <c r="O922" s="60"/>
      <c r="P922" s="156"/>
      <c r="Q922" s="187"/>
      <c r="X922"/>
    </row>
    <row r="923" spans="1:24">
      <c r="A923" s="122"/>
      <c r="B923" s="122"/>
      <c r="C923" s="122"/>
      <c r="D923" s="122"/>
      <c r="E923" s="122"/>
      <c r="F923" s="122"/>
      <c r="G923" s="36"/>
      <c r="H923" s="36"/>
      <c r="I923" s="113"/>
      <c r="J923" s="36"/>
      <c r="K923" s="182"/>
      <c r="L923" s="36"/>
      <c r="M923" s="60"/>
      <c r="N923" s="109"/>
      <c r="O923" s="60"/>
      <c r="P923" s="156"/>
      <c r="Q923" s="187"/>
      <c r="X923"/>
    </row>
    <row r="924" spans="1:24">
      <c r="A924" s="122"/>
      <c r="B924" s="122"/>
      <c r="C924" s="122"/>
      <c r="D924" s="122"/>
      <c r="E924" s="122"/>
      <c r="F924" s="122"/>
      <c r="G924" s="36"/>
      <c r="H924" s="36"/>
      <c r="I924" s="113"/>
      <c r="J924" s="36"/>
      <c r="K924" s="182"/>
      <c r="L924" s="36"/>
      <c r="M924" s="60"/>
      <c r="N924" s="109"/>
      <c r="O924" s="60"/>
      <c r="P924" s="156"/>
      <c r="Q924" s="187"/>
      <c r="X924"/>
    </row>
    <row r="925" spans="1:24">
      <c r="A925" s="122"/>
      <c r="B925" s="122"/>
      <c r="C925" s="122"/>
      <c r="D925" s="122"/>
      <c r="E925" s="122"/>
      <c r="F925" s="122"/>
      <c r="G925" s="36"/>
      <c r="H925" s="36"/>
      <c r="I925" s="113"/>
      <c r="J925" s="36"/>
      <c r="K925" s="182"/>
      <c r="L925" s="36"/>
      <c r="M925" s="60"/>
      <c r="N925" s="109"/>
      <c r="O925" s="60"/>
      <c r="P925" s="156"/>
      <c r="Q925" s="187"/>
      <c r="X925"/>
    </row>
    <row r="926" spans="1:24">
      <c r="A926" s="122"/>
      <c r="B926" s="122"/>
      <c r="C926" s="122"/>
      <c r="D926" s="122"/>
      <c r="E926" s="122"/>
      <c r="F926" s="122"/>
      <c r="G926" s="36"/>
      <c r="H926" s="36"/>
      <c r="I926" s="113"/>
      <c r="J926" s="36"/>
      <c r="K926" s="182"/>
      <c r="L926" s="36"/>
      <c r="M926" s="60"/>
      <c r="N926" s="109"/>
      <c r="O926" s="60"/>
      <c r="P926" s="156"/>
      <c r="Q926" s="187"/>
      <c r="X926"/>
    </row>
    <row r="927" spans="1:24">
      <c r="A927" s="122"/>
      <c r="B927" s="122"/>
      <c r="C927" s="122"/>
      <c r="D927" s="122"/>
      <c r="E927" s="122"/>
      <c r="F927" s="122"/>
      <c r="G927" s="36"/>
      <c r="H927" s="36"/>
      <c r="I927" s="113"/>
      <c r="J927" s="36"/>
      <c r="K927" s="182"/>
      <c r="L927" s="36"/>
      <c r="M927" s="60"/>
      <c r="N927" s="109"/>
      <c r="O927" s="60"/>
      <c r="P927" s="156"/>
      <c r="Q927" s="187"/>
      <c r="X927"/>
    </row>
    <row r="928" spans="1:24">
      <c r="A928" s="122"/>
      <c r="B928" s="122"/>
      <c r="C928" s="122"/>
      <c r="D928" s="122"/>
      <c r="E928" s="122"/>
      <c r="F928" s="122"/>
      <c r="G928" s="36"/>
      <c r="H928" s="36"/>
      <c r="I928" s="113"/>
      <c r="J928" s="36"/>
      <c r="K928" s="182"/>
      <c r="L928" s="36"/>
      <c r="M928" s="60"/>
      <c r="N928" s="109"/>
      <c r="O928" s="60"/>
      <c r="P928" s="156"/>
      <c r="Q928" s="187"/>
      <c r="X928"/>
    </row>
    <row r="929" spans="1:24">
      <c r="A929" s="122"/>
      <c r="B929" s="122"/>
      <c r="C929" s="122"/>
      <c r="D929" s="122"/>
      <c r="E929" s="122"/>
      <c r="F929" s="122"/>
      <c r="G929" s="36"/>
      <c r="H929" s="36"/>
      <c r="I929" s="113"/>
      <c r="J929" s="36"/>
      <c r="K929" s="182"/>
      <c r="L929" s="36"/>
      <c r="M929" s="60"/>
      <c r="N929" s="109"/>
      <c r="O929" s="60"/>
      <c r="P929" s="156"/>
      <c r="Q929" s="187"/>
      <c r="X929"/>
    </row>
    <row r="930" spans="1:24">
      <c r="A930" s="122"/>
      <c r="B930" s="122"/>
      <c r="C930" s="122"/>
      <c r="D930" s="122"/>
      <c r="E930" s="122"/>
      <c r="F930" s="122"/>
      <c r="G930" s="36"/>
      <c r="H930" s="36"/>
      <c r="I930" s="113"/>
      <c r="J930" s="36"/>
      <c r="K930" s="182"/>
      <c r="L930" s="36"/>
      <c r="M930" s="60"/>
      <c r="N930" s="109"/>
      <c r="O930" s="60"/>
      <c r="P930" s="156"/>
      <c r="Q930" s="187"/>
      <c r="X930"/>
    </row>
    <row r="931" spans="1:24">
      <c r="A931" s="122"/>
      <c r="B931" s="122"/>
      <c r="C931" s="122"/>
      <c r="D931" s="122"/>
      <c r="E931" s="122"/>
      <c r="F931" s="122"/>
      <c r="G931" s="36"/>
      <c r="H931" s="36"/>
      <c r="I931" s="113"/>
      <c r="J931" s="36"/>
      <c r="K931" s="182"/>
      <c r="L931" s="36"/>
      <c r="M931" s="60"/>
      <c r="N931" s="109"/>
      <c r="O931" s="60"/>
      <c r="P931" s="156"/>
      <c r="Q931" s="187"/>
      <c r="X931"/>
    </row>
    <row r="932" spans="1:24">
      <c r="A932" s="122"/>
      <c r="B932" s="122"/>
      <c r="C932" s="122"/>
      <c r="D932" s="122"/>
      <c r="E932" s="122"/>
      <c r="F932" s="122"/>
      <c r="G932" s="36"/>
      <c r="H932" s="36"/>
      <c r="I932" s="113"/>
      <c r="J932" s="36"/>
      <c r="K932" s="182"/>
      <c r="L932" s="36"/>
      <c r="M932" s="60"/>
      <c r="N932" s="109"/>
      <c r="O932" s="60"/>
      <c r="P932" s="156"/>
      <c r="Q932" s="187"/>
      <c r="X932"/>
    </row>
    <row r="933" spans="1:24">
      <c r="A933" s="122"/>
      <c r="B933" s="122"/>
      <c r="C933" s="122"/>
      <c r="D933" s="122"/>
      <c r="E933" s="122"/>
      <c r="F933" s="122"/>
      <c r="G933" s="36"/>
      <c r="H933" s="36"/>
      <c r="I933" s="113"/>
      <c r="J933" s="36"/>
      <c r="K933" s="182"/>
      <c r="L933" s="36"/>
      <c r="M933" s="60"/>
      <c r="N933" s="109"/>
      <c r="O933" s="60"/>
      <c r="P933" s="156"/>
      <c r="Q933" s="187"/>
      <c r="X933"/>
    </row>
    <row r="934" spans="1:24">
      <c r="A934" s="122"/>
      <c r="B934" s="122"/>
      <c r="C934" s="122"/>
      <c r="D934" s="122"/>
      <c r="E934" s="122"/>
      <c r="F934" s="122"/>
      <c r="G934" s="36"/>
      <c r="H934" s="36"/>
      <c r="I934" s="113"/>
      <c r="J934" s="36"/>
      <c r="K934" s="182"/>
      <c r="L934" s="36"/>
      <c r="M934" s="60"/>
      <c r="N934" s="109"/>
      <c r="O934" s="60"/>
      <c r="P934" s="156"/>
      <c r="Q934" s="187"/>
      <c r="X934"/>
    </row>
    <row r="935" spans="1:24">
      <c r="A935" s="122"/>
      <c r="B935" s="122"/>
      <c r="C935" s="122"/>
      <c r="D935" s="122"/>
      <c r="E935" s="122"/>
      <c r="F935" s="122"/>
      <c r="G935" s="36"/>
      <c r="H935" s="36"/>
      <c r="I935" s="113"/>
      <c r="J935" s="36"/>
      <c r="K935" s="182"/>
      <c r="L935" s="36"/>
      <c r="M935" s="60"/>
      <c r="N935" s="109"/>
      <c r="O935" s="60"/>
      <c r="P935" s="156"/>
      <c r="Q935" s="187"/>
      <c r="X935"/>
    </row>
    <row r="936" spans="1:24">
      <c r="A936" s="122"/>
      <c r="B936" s="122"/>
      <c r="C936" s="122"/>
      <c r="D936" s="122"/>
      <c r="E936" s="122"/>
      <c r="F936" s="122"/>
      <c r="G936" s="36"/>
      <c r="H936" s="36"/>
      <c r="I936" s="113"/>
      <c r="J936" s="36"/>
      <c r="K936" s="182"/>
      <c r="L936" s="36"/>
      <c r="M936" s="60"/>
      <c r="N936" s="109"/>
      <c r="O936" s="60"/>
      <c r="P936" s="156"/>
      <c r="Q936" s="187"/>
      <c r="X936"/>
    </row>
    <row r="937" spans="1:24">
      <c r="A937" s="122"/>
      <c r="B937" s="122"/>
      <c r="C937" s="122"/>
      <c r="D937" s="122"/>
      <c r="E937" s="122"/>
      <c r="F937" s="122"/>
      <c r="G937" s="36"/>
      <c r="H937" s="36"/>
      <c r="I937" s="113"/>
      <c r="J937" s="36"/>
      <c r="K937" s="182"/>
      <c r="L937" s="36"/>
      <c r="M937" s="60"/>
      <c r="N937" s="109"/>
      <c r="O937" s="60"/>
      <c r="P937" s="156"/>
      <c r="Q937" s="187"/>
      <c r="X937"/>
    </row>
    <row r="938" spans="1:24">
      <c r="A938" s="122"/>
      <c r="B938" s="122"/>
      <c r="C938" s="122"/>
      <c r="D938" s="122"/>
      <c r="E938" s="122"/>
      <c r="F938" s="122"/>
      <c r="G938" s="36"/>
      <c r="H938" s="36"/>
      <c r="I938" s="113"/>
      <c r="J938" s="36"/>
      <c r="K938" s="182"/>
      <c r="L938" s="36"/>
      <c r="M938" s="60"/>
      <c r="N938" s="109"/>
      <c r="O938" s="60"/>
      <c r="P938" s="156"/>
      <c r="Q938" s="187"/>
      <c r="X938"/>
    </row>
    <row r="939" spans="1:24">
      <c r="A939" s="122"/>
      <c r="B939" s="122"/>
      <c r="C939" s="122"/>
      <c r="D939" s="122"/>
      <c r="E939" s="122"/>
      <c r="F939" s="122"/>
      <c r="G939" s="36"/>
      <c r="H939" s="36"/>
      <c r="I939" s="113"/>
      <c r="J939" s="36"/>
      <c r="K939" s="182"/>
      <c r="L939" s="36"/>
      <c r="M939" s="60"/>
      <c r="N939" s="109"/>
      <c r="O939" s="60"/>
      <c r="P939" s="156"/>
      <c r="Q939" s="187"/>
      <c r="X939"/>
    </row>
    <row r="940" spans="1:24">
      <c r="A940" s="122"/>
      <c r="B940" s="122"/>
      <c r="C940" s="122"/>
      <c r="D940" s="122"/>
      <c r="E940" s="122"/>
      <c r="F940" s="122"/>
      <c r="G940" s="36"/>
      <c r="H940" s="36"/>
      <c r="I940" s="113"/>
      <c r="J940" s="36"/>
      <c r="K940" s="182"/>
      <c r="L940" s="36"/>
      <c r="M940" s="60"/>
      <c r="N940" s="109"/>
      <c r="O940" s="60"/>
      <c r="P940" s="156"/>
      <c r="Q940" s="187"/>
      <c r="X940"/>
    </row>
    <row r="941" spans="1:24">
      <c r="A941" s="122"/>
      <c r="B941" s="122"/>
      <c r="C941" s="122"/>
      <c r="D941" s="122"/>
      <c r="E941" s="122"/>
      <c r="F941" s="122"/>
      <c r="G941" s="36"/>
      <c r="H941" s="36"/>
      <c r="I941" s="113"/>
      <c r="J941" s="36"/>
      <c r="K941" s="182"/>
      <c r="L941" s="36"/>
      <c r="M941" s="60"/>
      <c r="N941" s="109"/>
      <c r="O941" s="60"/>
      <c r="P941" s="156"/>
      <c r="Q941" s="187"/>
      <c r="X941"/>
    </row>
    <row r="942" spans="1:24">
      <c r="A942" s="122"/>
      <c r="B942" s="122"/>
      <c r="C942" s="122"/>
      <c r="D942" s="122"/>
      <c r="E942" s="122"/>
      <c r="F942" s="122"/>
      <c r="G942" s="36"/>
      <c r="H942" s="36"/>
      <c r="I942" s="113"/>
      <c r="J942" s="36"/>
      <c r="K942" s="182"/>
      <c r="L942" s="36"/>
      <c r="M942" s="60"/>
      <c r="N942" s="109"/>
      <c r="O942" s="60"/>
      <c r="P942" s="156"/>
      <c r="Q942" s="187"/>
      <c r="X942"/>
    </row>
    <row r="943" spans="1:24">
      <c r="A943" s="122"/>
      <c r="B943" s="122"/>
      <c r="C943" s="122"/>
      <c r="D943" s="122"/>
      <c r="E943" s="122"/>
      <c r="F943" s="122"/>
      <c r="G943" s="36"/>
      <c r="H943" s="36"/>
      <c r="I943" s="113"/>
      <c r="J943" s="36"/>
      <c r="K943" s="182"/>
      <c r="L943" s="36"/>
      <c r="M943" s="60"/>
      <c r="N943" s="109"/>
      <c r="O943" s="60"/>
      <c r="P943" s="156"/>
      <c r="Q943" s="187"/>
      <c r="X943"/>
    </row>
    <row r="944" spans="1:24">
      <c r="A944" s="122"/>
      <c r="B944" s="122"/>
      <c r="C944" s="122"/>
      <c r="D944" s="122"/>
      <c r="E944" s="122"/>
      <c r="F944" s="122"/>
      <c r="G944" s="36"/>
      <c r="H944" s="36"/>
      <c r="I944" s="113"/>
      <c r="J944" s="36"/>
      <c r="K944" s="182"/>
      <c r="L944" s="36"/>
      <c r="M944" s="60"/>
      <c r="N944" s="109"/>
      <c r="O944" s="60"/>
      <c r="P944" s="156"/>
      <c r="Q944" s="187"/>
      <c r="X944"/>
    </row>
    <row r="945" spans="1:24">
      <c r="A945" s="122"/>
      <c r="B945" s="122"/>
      <c r="C945" s="122"/>
      <c r="D945" s="122"/>
      <c r="E945" s="122"/>
      <c r="F945" s="122"/>
      <c r="G945" s="36"/>
      <c r="H945" s="36"/>
      <c r="I945" s="113"/>
      <c r="J945" s="36"/>
      <c r="K945" s="182"/>
      <c r="L945" s="36"/>
      <c r="M945" s="60"/>
      <c r="N945" s="109"/>
      <c r="O945" s="60"/>
      <c r="P945" s="156"/>
      <c r="Q945" s="187"/>
      <c r="X945"/>
    </row>
    <row r="946" spans="1:24">
      <c r="A946" s="122"/>
      <c r="B946" s="122"/>
      <c r="C946" s="122"/>
      <c r="D946" s="122"/>
      <c r="E946" s="122"/>
      <c r="F946" s="122"/>
      <c r="G946" s="36"/>
      <c r="H946" s="36"/>
      <c r="I946" s="113"/>
      <c r="J946" s="36"/>
      <c r="K946" s="182"/>
      <c r="L946" s="36"/>
      <c r="M946" s="60"/>
      <c r="N946" s="109"/>
      <c r="O946" s="60"/>
      <c r="P946" s="156"/>
      <c r="Q946" s="187"/>
      <c r="X946"/>
    </row>
    <row r="947" spans="1:24">
      <c r="A947" s="122"/>
      <c r="B947" s="122"/>
      <c r="C947" s="122"/>
      <c r="D947" s="122"/>
      <c r="E947" s="122"/>
      <c r="F947" s="122"/>
      <c r="G947" s="36"/>
      <c r="H947" s="36"/>
      <c r="I947" s="113"/>
      <c r="J947" s="36"/>
      <c r="K947" s="182"/>
      <c r="L947" s="36"/>
      <c r="M947" s="60"/>
      <c r="N947" s="109"/>
      <c r="O947" s="60"/>
      <c r="P947" s="156"/>
      <c r="Q947" s="187"/>
      <c r="X947"/>
    </row>
    <row r="948" spans="1:24">
      <c r="A948" s="122"/>
      <c r="B948" s="122"/>
      <c r="C948" s="122"/>
      <c r="D948" s="122"/>
      <c r="E948" s="122"/>
      <c r="F948" s="122"/>
      <c r="G948" s="36"/>
      <c r="H948" s="36"/>
      <c r="I948" s="113"/>
      <c r="J948" s="36"/>
      <c r="K948" s="182"/>
      <c r="L948" s="36"/>
      <c r="M948" s="60"/>
      <c r="N948" s="109"/>
      <c r="O948" s="60"/>
      <c r="P948" s="156"/>
      <c r="Q948" s="187"/>
      <c r="X948"/>
    </row>
    <row r="949" spans="1:24">
      <c r="A949" s="122"/>
      <c r="B949" s="122"/>
      <c r="C949" s="122"/>
      <c r="D949" s="122"/>
      <c r="E949" s="122"/>
      <c r="F949" s="122"/>
      <c r="G949" s="36"/>
      <c r="H949" s="36"/>
      <c r="I949" s="113"/>
      <c r="J949" s="36"/>
      <c r="K949" s="182"/>
      <c r="L949" s="36"/>
      <c r="M949" s="60"/>
      <c r="N949" s="109"/>
      <c r="O949" s="60"/>
      <c r="P949" s="156"/>
      <c r="Q949" s="187"/>
      <c r="X949"/>
    </row>
    <row r="950" spans="1:24">
      <c r="A950" s="122"/>
      <c r="B950" s="122"/>
      <c r="C950" s="122"/>
      <c r="D950" s="122"/>
      <c r="E950" s="122"/>
      <c r="F950" s="122"/>
      <c r="G950" s="36"/>
      <c r="H950" s="36"/>
      <c r="I950" s="113"/>
      <c r="J950" s="36"/>
      <c r="K950" s="182"/>
      <c r="L950" s="36"/>
      <c r="M950" s="60"/>
      <c r="N950" s="109"/>
      <c r="O950" s="60"/>
      <c r="P950" s="156"/>
      <c r="Q950" s="187"/>
      <c r="X950"/>
    </row>
    <row r="951" spans="1:24">
      <c r="A951" s="122"/>
      <c r="B951" s="122"/>
      <c r="C951" s="122"/>
      <c r="D951" s="122"/>
      <c r="E951" s="122"/>
      <c r="F951" s="122"/>
      <c r="G951" s="36"/>
      <c r="H951" s="36"/>
      <c r="I951" s="113"/>
      <c r="J951" s="36"/>
      <c r="K951" s="182"/>
      <c r="L951" s="36"/>
      <c r="M951" s="60"/>
      <c r="N951" s="109"/>
      <c r="O951" s="60"/>
      <c r="P951" s="156"/>
      <c r="Q951" s="187"/>
      <c r="X951"/>
    </row>
    <row r="952" spans="1:24">
      <c r="A952" s="122"/>
      <c r="B952" s="122"/>
      <c r="C952" s="122"/>
      <c r="D952" s="122"/>
      <c r="E952" s="122"/>
      <c r="F952" s="122"/>
      <c r="G952" s="36"/>
      <c r="H952" s="36"/>
      <c r="I952" s="113"/>
      <c r="J952" s="36"/>
      <c r="K952" s="182"/>
      <c r="L952" s="36"/>
      <c r="M952" s="60"/>
      <c r="N952" s="109"/>
      <c r="O952" s="60"/>
      <c r="P952" s="156"/>
      <c r="Q952" s="187"/>
      <c r="X952"/>
    </row>
    <row r="953" spans="1:24">
      <c r="A953" s="122"/>
      <c r="B953" s="122"/>
      <c r="C953" s="122"/>
      <c r="D953" s="122"/>
      <c r="E953" s="122"/>
      <c r="F953" s="122"/>
      <c r="G953" s="36"/>
      <c r="H953" s="36"/>
      <c r="I953" s="113"/>
      <c r="J953" s="36"/>
      <c r="K953" s="182"/>
      <c r="L953" s="36"/>
      <c r="M953" s="60"/>
      <c r="N953" s="109"/>
      <c r="O953" s="60"/>
      <c r="P953" s="156"/>
      <c r="Q953" s="187"/>
      <c r="X953"/>
    </row>
    <row r="954" spans="1:24">
      <c r="A954" s="122"/>
      <c r="B954" s="122"/>
      <c r="C954" s="122"/>
      <c r="D954" s="122"/>
      <c r="E954" s="122"/>
      <c r="F954" s="122"/>
      <c r="G954" s="36"/>
      <c r="H954" s="36"/>
      <c r="I954" s="113"/>
      <c r="J954" s="36"/>
      <c r="K954" s="182"/>
      <c r="L954" s="36"/>
      <c r="M954" s="60"/>
      <c r="N954" s="109"/>
      <c r="O954" s="60"/>
      <c r="P954" s="156"/>
      <c r="Q954" s="187"/>
      <c r="X954"/>
    </row>
    <row r="955" spans="1:24">
      <c r="A955" s="122"/>
      <c r="B955" s="122"/>
      <c r="C955" s="122"/>
      <c r="D955" s="122"/>
      <c r="E955" s="122"/>
      <c r="F955" s="122"/>
      <c r="G955" s="36"/>
      <c r="H955" s="36"/>
      <c r="I955" s="113"/>
      <c r="J955" s="36"/>
      <c r="K955" s="182"/>
      <c r="L955" s="36"/>
      <c r="M955" s="60"/>
      <c r="N955" s="109"/>
      <c r="O955" s="60"/>
      <c r="P955" s="156"/>
      <c r="Q955" s="187"/>
      <c r="X955"/>
    </row>
    <row r="956" spans="1:24">
      <c r="A956" s="122"/>
      <c r="B956" s="122"/>
      <c r="C956" s="122"/>
      <c r="D956" s="122"/>
      <c r="E956" s="122"/>
      <c r="F956" s="122"/>
      <c r="G956" s="36"/>
      <c r="H956" s="36"/>
      <c r="I956" s="113"/>
      <c r="J956" s="36"/>
      <c r="K956" s="182"/>
      <c r="L956" s="36"/>
      <c r="M956" s="60"/>
      <c r="N956" s="109"/>
      <c r="O956" s="60"/>
      <c r="P956" s="156"/>
      <c r="Q956" s="187"/>
      <c r="X956"/>
    </row>
    <row r="957" spans="1:24">
      <c r="A957" s="122"/>
      <c r="B957" s="122"/>
      <c r="C957" s="122"/>
      <c r="D957" s="122"/>
      <c r="E957" s="122"/>
      <c r="F957" s="122"/>
      <c r="G957" s="36"/>
      <c r="H957" s="36"/>
      <c r="I957" s="113"/>
      <c r="J957" s="36"/>
      <c r="K957" s="182"/>
      <c r="L957" s="36"/>
      <c r="M957" s="60"/>
      <c r="N957" s="109"/>
      <c r="O957" s="60"/>
      <c r="P957" s="156"/>
      <c r="Q957" s="187"/>
      <c r="X957"/>
    </row>
    <row r="958" spans="1:24">
      <c r="A958" s="122"/>
      <c r="B958" s="122"/>
      <c r="C958" s="122"/>
      <c r="D958" s="122"/>
      <c r="E958" s="122"/>
      <c r="F958" s="122"/>
      <c r="G958" s="36"/>
      <c r="H958" s="36"/>
      <c r="I958" s="113"/>
      <c r="J958" s="36"/>
      <c r="K958" s="182"/>
      <c r="L958" s="36"/>
      <c r="M958" s="60"/>
      <c r="N958" s="109"/>
      <c r="O958" s="60"/>
      <c r="P958" s="156"/>
      <c r="Q958" s="187"/>
      <c r="X958"/>
    </row>
    <row r="959" spans="1:24">
      <c r="A959" s="122"/>
      <c r="B959" s="122"/>
      <c r="C959" s="122"/>
      <c r="D959" s="122"/>
      <c r="E959" s="122"/>
      <c r="F959" s="122"/>
      <c r="G959" s="36"/>
      <c r="H959" s="36"/>
      <c r="I959" s="113"/>
      <c r="J959" s="36"/>
      <c r="K959" s="182"/>
      <c r="L959" s="36"/>
      <c r="M959" s="60"/>
      <c r="N959" s="109"/>
      <c r="O959" s="60"/>
      <c r="P959" s="156"/>
      <c r="Q959" s="187"/>
      <c r="X959"/>
    </row>
    <row r="960" spans="1:24">
      <c r="A960" s="122"/>
      <c r="B960" s="122"/>
      <c r="C960" s="122"/>
      <c r="D960" s="122"/>
      <c r="E960" s="122"/>
      <c r="F960" s="122"/>
      <c r="G960" s="36"/>
      <c r="H960" s="36"/>
      <c r="I960" s="113"/>
      <c r="J960" s="36"/>
      <c r="K960" s="182"/>
      <c r="L960" s="36"/>
      <c r="M960" s="60"/>
      <c r="N960" s="109"/>
      <c r="O960" s="60"/>
      <c r="P960" s="156"/>
      <c r="Q960" s="187"/>
      <c r="X960"/>
    </row>
    <row r="961" spans="1:24">
      <c r="A961" s="122"/>
      <c r="B961" s="122"/>
      <c r="C961" s="122"/>
      <c r="D961" s="122"/>
      <c r="E961" s="122"/>
      <c r="F961" s="122"/>
      <c r="G961" s="36"/>
      <c r="H961" s="36"/>
      <c r="I961" s="113"/>
      <c r="J961" s="36"/>
      <c r="K961" s="182"/>
      <c r="L961" s="36"/>
      <c r="M961" s="60"/>
      <c r="N961" s="109"/>
      <c r="O961" s="60"/>
      <c r="P961" s="156"/>
      <c r="Q961" s="187"/>
      <c r="X961"/>
    </row>
    <row r="962" spans="1:24">
      <c r="A962" s="122"/>
      <c r="B962" s="122"/>
      <c r="C962" s="122"/>
      <c r="D962" s="122"/>
      <c r="E962" s="122"/>
      <c r="F962" s="122"/>
      <c r="G962" s="36"/>
      <c r="H962" s="36"/>
      <c r="I962" s="113"/>
      <c r="J962" s="36"/>
      <c r="K962" s="182"/>
      <c r="L962" s="36"/>
      <c r="M962" s="60"/>
      <c r="N962" s="109"/>
      <c r="O962" s="60"/>
      <c r="P962" s="156"/>
      <c r="Q962" s="187"/>
      <c r="X962"/>
    </row>
    <row r="963" spans="1:24">
      <c r="A963" s="122"/>
      <c r="B963" s="122"/>
      <c r="C963" s="122"/>
      <c r="D963" s="122"/>
      <c r="E963" s="122"/>
      <c r="F963" s="122"/>
      <c r="G963" s="36"/>
      <c r="H963" s="36"/>
      <c r="I963" s="113"/>
      <c r="J963" s="36"/>
      <c r="K963" s="182"/>
      <c r="L963" s="36"/>
      <c r="M963" s="60"/>
      <c r="N963" s="109"/>
      <c r="O963" s="60"/>
      <c r="P963" s="156"/>
      <c r="Q963" s="187"/>
      <c r="X963"/>
    </row>
    <row r="964" spans="1:24">
      <c r="A964" s="122"/>
      <c r="B964" s="122"/>
      <c r="C964" s="122"/>
      <c r="D964" s="122"/>
      <c r="E964" s="122"/>
      <c r="F964" s="122"/>
      <c r="G964" s="36"/>
      <c r="H964" s="36"/>
      <c r="I964" s="113"/>
      <c r="J964" s="36"/>
      <c r="K964" s="182"/>
      <c r="L964" s="36"/>
      <c r="M964" s="60"/>
      <c r="N964" s="109"/>
      <c r="O964" s="60"/>
      <c r="P964" s="156"/>
      <c r="Q964" s="187"/>
      <c r="X964"/>
    </row>
    <row r="965" spans="1:24">
      <c r="A965" s="122"/>
      <c r="B965" s="122"/>
      <c r="C965" s="122"/>
      <c r="D965" s="122"/>
      <c r="E965" s="122"/>
      <c r="F965" s="122"/>
      <c r="G965" s="36"/>
      <c r="H965" s="36"/>
      <c r="I965" s="113"/>
      <c r="J965" s="36"/>
      <c r="K965" s="182"/>
      <c r="L965" s="36"/>
      <c r="M965" s="60"/>
      <c r="N965" s="109"/>
      <c r="O965" s="60"/>
      <c r="P965" s="156"/>
      <c r="Q965" s="187"/>
      <c r="X965"/>
    </row>
    <row r="966" spans="1:24">
      <c r="A966" s="122"/>
      <c r="B966" s="122"/>
      <c r="C966" s="122"/>
      <c r="D966" s="122"/>
      <c r="E966" s="122"/>
      <c r="F966" s="122"/>
      <c r="G966" s="36"/>
      <c r="H966" s="36"/>
      <c r="I966" s="113"/>
      <c r="J966" s="36"/>
      <c r="K966" s="182"/>
      <c r="L966" s="36"/>
      <c r="M966" s="60"/>
      <c r="N966" s="109"/>
      <c r="O966" s="60"/>
      <c r="P966" s="156"/>
      <c r="Q966" s="187"/>
      <c r="X966"/>
    </row>
    <row r="967" spans="1:24">
      <c r="A967" s="122"/>
      <c r="B967" s="122"/>
      <c r="C967" s="122"/>
      <c r="D967" s="122"/>
      <c r="E967" s="122"/>
      <c r="F967" s="122"/>
      <c r="G967" s="36"/>
      <c r="H967" s="36"/>
      <c r="I967" s="113"/>
      <c r="J967" s="36"/>
      <c r="K967" s="182"/>
      <c r="L967" s="36"/>
      <c r="M967" s="60"/>
      <c r="N967" s="109"/>
      <c r="O967" s="60"/>
      <c r="P967" s="156"/>
      <c r="Q967" s="187"/>
      <c r="X967"/>
    </row>
    <row r="968" spans="1:24">
      <c r="A968" s="122"/>
      <c r="B968" s="122"/>
      <c r="C968" s="122"/>
      <c r="D968" s="122"/>
      <c r="E968" s="122"/>
      <c r="F968" s="122"/>
      <c r="G968" s="36"/>
      <c r="H968" s="36"/>
      <c r="I968" s="113"/>
      <c r="J968" s="36"/>
      <c r="K968" s="182"/>
      <c r="L968" s="36"/>
      <c r="M968" s="60"/>
      <c r="N968" s="109"/>
      <c r="O968" s="60"/>
      <c r="P968" s="156"/>
      <c r="Q968" s="187"/>
      <c r="X968"/>
    </row>
    <row r="969" spans="1:24">
      <c r="A969" s="122"/>
      <c r="B969" s="122"/>
      <c r="C969" s="122"/>
      <c r="D969" s="122"/>
      <c r="E969" s="122"/>
      <c r="F969" s="122"/>
      <c r="G969" s="36"/>
      <c r="H969" s="36"/>
      <c r="I969" s="113"/>
      <c r="J969" s="36"/>
      <c r="K969" s="182"/>
      <c r="L969" s="36"/>
      <c r="M969" s="60"/>
      <c r="N969" s="109"/>
      <c r="O969" s="60"/>
      <c r="P969" s="156"/>
      <c r="Q969" s="187"/>
      <c r="X969"/>
    </row>
    <row r="970" spans="1:24">
      <c r="A970" s="122"/>
      <c r="B970" s="122"/>
      <c r="C970" s="122"/>
      <c r="D970" s="122"/>
      <c r="E970" s="122"/>
      <c r="F970" s="122"/>
      <c r="G970" s="36"/>
      <c r="H970" s="36"/>
      <c r="I970" s="113"/>
      <c r="J970" s="36"/>
      <c r="K970" s="182"/>
      <c r="L970" s="36"/>
      <c r="M970" s="60"/>
      <c r="N970" s="109"/>
      <c r="O970" s="60"/>
      <c r="P970" s="156"/>
      <c r="Q970" s="187"/>
      <c r="X970"/>
    </row>
    <row r="971" spans="1:24">
      <c r="A971" s="122"/>
      <c r="B971" s="122"/>
      <c r="C971" s="122"/>
      <c r="D971" s="122"/>
      <c r="E971" s="122"/>
      <c r="F971" s="122"/>
      <c r="G971" s="36"/>
      <c r="H971" s="36"/>
      <c r="I971" s="113"/>
      <c r="J971" s="36"/>
      <c r="K971" s="182"/>
      <c r="L971" s="36"/>
      <c r="M971" s="60"/>
      <c r="N971" s="109"/>
      <c r="O971" s="60"/>
      <c r="P971" s="156"/>
      <c r="Q971" s="187"/>
      <c r="X971"/>
    </row>
    <row r="972" spans="1:24">
      <c r="A972" s="122"/>
      <c r="B972" s="122"/>
      <c r="C972" s="122"/>
      <c r="D972" s="122"/>
      <c r="E972" s="122"/>
      <c r="F972" s="122"/>
      <c r="G972" s="36"/>
      <c r="H972" s="36"/>
      <c r="I972" s="113"/>
      <c r="J972" s="36"/>
      <c r="K972" s="182"/>
      <c r="L972" s="36"/>
      <c r="M972" s="60"/>
      <c r="N972" s="109"/>
      <c r="O972" s="60"/>
      <c r="P972" s="156"/>
      <c r="Q972" s="187"/>
      <c r="X972"/>
    </row>
    <row r="973" spans="1:24">
      <c r="A973" s="122"/>
      <c r="B973" s="122"/>
      <c r="C973" s="122"/>
      <c r="D973" s="122"/>
      <c r="E973" s="122"/>
      <c r="F973" s="122"/>
      <c r="G973" s="36"/>
      <c r="H973" s="36"/>
      <c r="I973" s="113"/>
      <c r="J973" s="36"/>
      <c r="K973" s="182"/>
      <c r="L973" s="36"/>
      <c r="M973" s="60"/>
      <c r="N973" s="109"/>
      <c r="O973" s="60"/>
      <c r="P973" s="156"/>
      <c r="Q973" s="187"/>
      <c r="X973"/>
    </row>
    <row r="974" spans="1:24">
      <c r="A974" s="122"/>
      <c r="B974" s="122"/>
      <c r="C974" s="122"/>
      <c r="D974" s="122"/>
      <c r="E974" s="122"/>
      <c r="F974" s="122"/>
      <c r="G974" s="36"/>
      <c r="H974" s="36"/>
      <c r="I974" s="113"/>
      <c r="J974" s="36"/>
      <c r="K974" s="182"/>
      <c r="L974" s="36"/>
      <c r="M974" s="60"/>
      <c r="N974" s="109"/>
      <c r="O974" s="60"/>
      <c r="P974" s="156"/>
      <c r="Q974" s="187"/>
      <c r="X974"/>
    </row>
    <row r="975" spans="1:24">
      <c r="A975" s="122"/>
      <c r="B975" s="122"/>
      <c r="C975" s="122"/>
      <c r="D975" s="122"/>
      <c r="E975" s="122"/>
      <c r="F975" s="122"/>
      <c r="G975" s="36"/>
      <c r="H975" s="36"/>
      <c r="I975" s="113"/>
      <c r="J975" s="36"/>
      <c r="K975" s="182"/>
      <c r="L975" s="36"/>
      <c r="M975" s="60"/>
      <c r="N975" s="109"/>
      <c r="O975" s="60"/>
      <c r="P975" s="156"/>
      <c r="Q975" s="187"/>
      <c r="X975"/>
    </row>
    <row r="976" spans="1:24">
      <c r="A976" s="122"/>
      <c r="B976" s="122"/>
      <c r="C976" s="122"/>
      <c r="D976" s="122"/>
      <c r="E976" s="122"/>
      <c r="F976" s="122"/>
      <c r="G976" s="36"/>
      <c r="H976" s="36"/>
      <c r="I976" s="113"/>
      <c r="J976" s="36"/>
      <c r="K976" s="182"/>
      <c r="L976" s="36"/>
      <c r="M976" s="60"/>
      <c r="N976" s="109"/>
      <c r="O976" s="60"/>
      <c r="P976" s="156"/>
      <c r="Q976" s="187"/>
      <c r="X976"/>
    </row>
    <row r="977" spans="1:24">
      <c r="A977" s="122"/>
      <c r="B977" s="122"/>
      <c r="C977" s="122"/>
      <c r="D977" s="122"/>
      <c r="E977" s="122"/>
      <c r="F977" s="122"/>
      <c r="G977" s="285"/>
      <c r="H977" s="285"/>
      <c r="I977" s="286"/>
      <c r="J977" s="162"/>
      <c r="K977" s="163"/>
      <c r="L977" s="24"/>
      <c r="M977" s="164"/>
      <c r="N977" s="165"/>
      <c r="O977" s="188"/>
      <c r="P977" s="160"/>
      <c r="Q977" s="161"/>
      <c r="X977"/>
    </row>
    <row r="978" spans="1:24">
      <c r="A978" s="122"/>
      <c r="B978" s="122"/>
      <c r="C978" s="122"/>
      <c r="D978" s="122"/>
      <c r="E978" s="122"/>
      <c r="F978" s="122"/>
      <c r="G978" s="285"/>
      <c r="H978" s="285"/>
      <c r="I978" s="286"/>
      <c r="J978" s="162"/>
      <c r="K978" s="163"/>
      <c r="L978" s="24"/>
      <c r="M978" s="164"/>
      <c r="N978" s="165"/>
      <c r="O978" s="188"/>
      <c r="P978" s="160"/>
      <c r="Q978" s="161"/>
      <c r="X978"/>
    </row>
    <row r="979" spans="1:24">
      <c r="A979" s="122"/>
      <c r="B979" s="122"/>
      <c r="C979" s="122"/>
      <c r="D979" s="122"/>
      <c r="E979" s="122"/>
      <c r="F979" s="122"/>
      <c r="G979" s="285"/>
      <c r="H979" s="285"/>
      <c r="I979" s="286"/>
      <c r="J979" s="162"/>
      <c r="K979" s="163"/>
      <c r="L979" s="24"/>
      <c r="M979" s="164"/>
      <c r="N979" s="165"/>
      <c r="O979" s="188"/>
      <c r="P979" s="160"/>
      <c r="Q979" s="161"/>
      <c r="X979"/>
    </row>
    <row r="980" spans="1:24">
      <c r="A980" s="122"/>
      <c r="B980" s="122"/>
      <c r="C980" s="122"/>
      <c r="D980" s="122"/>
      <c r="E980" s="122"/>
      <c r="F980" s="122"/>
      <c r="G980" s="285"/>
      <c r="H980" s="285"/>
      <c r="I980" s="286"/>
      <c r="J980" s="162"/>
      <c r="K980" s="163"/>
      <c r="L980" s="24"/>
      <c r="M980" s="164"/>
      <c r="N980" s="165"/>
      <c r="O980" s="188"/>
      <c r="P980" s="160"/>
      <c r="Q980" s="161"/>
      <c r="X980"/>
    </row>
    <row r="981" spans="1:24">
      <c r="A981" s="122"/>
      <c r="B981" s="122"/>
      <c r="C981" s="122"/>
      <c r="D981" s="122"/>
      <c r="E981" s="122"/>
      <c r="F981" s="122"/>
      <c r="G981" s="285"/>
      <c r="H981" s="285"/>
      <c r="I981" s="286"/>
      <c r="J981" s="162"/>
      <c r="K981" s="163"/>
      <c r="L981" s="24"/>
      <c r="M981" s="164"/>
      <c r="N981" s="165"/>
      <c r="O981" s="188"/>
      <c r="P981" s="160"/>
      <c r="Q981" s="161"/>
      <c r="X981"/>
    </row>
    <row r="982" spans="1:24">
      <c r="A982" s="122"/>
      <c r="B982" s="122"/>
      <c r="C982" s="122"/>
      <c r="D982" s="122"/>
      <c r="E982" s="122"/>
      <c r="F982" s="122"/>
      <c r="G982" s="285"/>
      <c r="H982" s="285"/>
      <c r="I982" s="286"/>
      <c r="J982" s="162"/>
      <c r="K982" s="163"/>
      <c r="L982" s="24"/>
      <c r="M982" s="164"/>
      <c r="N982" s="165"/>
      <c r="O982" s="188"/>
      <c r="P982" s="160"/>
      <c r="Q982" s="161"/>
      <c r="X982"/>
    </row>
    <row r="983" spans="1:24">
      <c r="A983" s="122"/>
      <c r="B983" s="122"/>
      <c r="C983" s="122"/>
      <c r="D983" s="122"/>
      <c r="E983" s="122"/>
      <c r="F983" s="122"/>
      <c r="G983" s="285"/>
      <c r="H983" s="285"/>
      <c r="I983" s="286"/>
      <c r="J983" s="162"/>
      <c r="K983" s="163"/>
      <c r="L983" s="24"/>
      <c r="M983" s="164"/>
      <c r="N983" s="165"/>
      <c r="O983" s="188"/>
      <c r="P983" s="160"/>
      <c r="Q983" s="161"/>
      <c r="X983"/>
    </row>
    <row r="984" spans="1:24">
      <c r="A984" s="122"/>
      <c r="B984" s="122"/>
      <c r="C984" s="122"/>
      <c r="D984" s="122"/>
      <c r="E984" s="122"/>
      <c r="F984" s="122"/>
      <c r="G984" s="285"/>
      <c r="H984" s="285"/>
      <c r="I984" s="286"/>
      <c r="J984" s="162"/>
      <c r="K984" s="163"/>
      <c r="L984" s="24"/>
      <c r="M984" s="164"/>
      <c r="N984" s="165"/>
      <c r="O984" s="188"/>
      <c r="P984" s="160"/>
      <c r="Q984" s="161"/>
      <c r="X984"/>
    </row>
    <row r="985" spans="1:24">
      <c r="A985" s="122"/>
      <c r="B985" s="122"/>
      <c r="C985" s="122"/>
      <c r="D985" s="122"/>
      <c r="E985" s="122"/>
      <c r="F985" s="122"/>
      <c r="G985" s="285"/>
      <c r="H985" s="285"/>
      <c r="I985" s="286"/>
      <c r="J985" s="162"/>
      <c r="K985" s="163"/>
      <c r="L985" s="24"/>
      <c r="M985" s="164"/>
      <c r="N985" s="165"/>
      <c r="O985" s="188"/>
      <c r="P985" s="160"/>
      <c r="Q985" s="161"/>
      <c r="X985"/>
    </row>
    <row r="986" spans="1:24">
      <c r="A986" s="122"/>
      <c r="B986" s="122"/>
      <c r="C986" s="122"/>
      <c r="D986" s="122"/>
      <c r="E986" s="122"/>
      <c r="F986" s="122"/>
      <c r="G986" s="285"/>
      <c r="H986" s="285"/>
      <c r="I986" s="286"/>
      <c r="J986" s="162"/>
      <c r="K986" s="163"/>
      <c r="L986" s="24"/>
      <c r="M986" s="164"/>
      <c r="N986" s="165"/>
      <c r="O986" s="188"/>
      <c r="P986" s="160"/>
      <c r="Q986" s="161"/>
      <c r="X986"/>
    </row>
    <row r="987" spans="1:24">
      <c r="A987" s="122"/>
      <c r="B987" s="122"/>
      <c r="C987" s="122"/>
      <c r="D987" s="122"/>
      <c r="E987" s="122"/>
      <c r="F987" s="122"/>
      <c r="G987" s="285"/>
      <c r="H987" s="285"/>
      <c r="I987" s="286"/>
      <c r="J987" s="162"/>
      <c r="K987" s="163"/>
      <c r="L987" s="24"/>
      <c r="M987" s="164"/>
      <c r="N987" s="165"/>
      <c r="O987" s="188"/>
      <c r="P987" s="160"/>
      <c r="Q987" s="161"/>
      <c r="X987"/>
    </row>
    <row r="988" spans="1:24">
      <c r="A988" s="122"/>
      <c r="B988" s="122"/>
      <c r="C988" s="122"/>
      <c r="D988" s="122"/>
      <c r="E988" s="122"/>
      <c r="F988" s="122"/>
      <c r="G988" s="285"/>
      <c r="H988" s="285"/>
      <c r="I988" s="286"/>
      <c r="J988" s="162"/>
      <c r="K988" s="163"/>
      <c r="L988" s="24"/>
      <c r="M988" s="164"/>
      <c r="N988" s="165"/>
      <c r="O988" s="188"/>
      <c r="P988" s="160"/>
      <c r="Q988" s="161"/>
      <c r="X988"/>
    </row>
    <row r="989" spans="1:24">
      <c r="A989" s="122"/>
      <c r="B989" s="122"/>
      <c r="C989" s="122"/>
      <c r="D989" s="122"/>
      <c r="E989" s="122"/>
      <c r="F989" s="122"/>
      <c r="G989" s="285"/>
      <c r="H989" s="285"/>
      <c r="I989" s="286"/>
      <c r="J989" s="162"/>
      <c r="K989" s="163"/>
      <c r="L989" s="24"/>
      <c r="M989" s="164"/>
      <c r="N989" s="165"/>
      <c r="O989" s="188"/>
      <c r="P989" s="160"/>
      <c r="Q989" s="161"/>
      <c r="X989"/>
    </row>
    <row r="990" spans="1:24">
      <c r="A990" s="122"/>
      <c r="B990" s="122"/>
      <c r="C990" s="122"/>
      <c r="D990" s="122"/>
      <c r="E990" s="122"/>
      <c r="F990" s="122"/>
      <c r="G990" s="285"/>
      <c r="H990" s="285"/>
      <c r="I990" s="286"/>
      <c r="J990" s="162"/>
      <c r="K990" s="163"/>
      <c r="L990" s="24"/>
      <c r="M990" s="164"/>
      <c r="N990" s="165"/>
      <c r="O990" s="188"/>
      <c r="P990" s="160"/>
      <c r="Q990" s="161"/>
      <c r="X990"/>
    </row>
    <row r="991" spans="1:24">
      <c r="A991" s="122"/>
      <c r="B991" s="122"/>
      <c r="C991" s="122"/>
      <c r="D991" s="122"/>
      <c r="E991" s="122"/>
      <c r="F991" s="122"/>
      <c r="G991" s="285"/>
      <c r="H991" s="285"/>
      <c r="I991" s="286"/>
      <c r="J991" s="162"/>
      <c r="K991" s="163"/>
      <c r="L991" s="24"/>
      <c r="M991" s="164"/>
      <c r="N991" s="165"/>
      <c r="O991" s="188"/>
      <c r="P991" s="160"/>
      <c r="Q991" s="161"/>
      <c r="X991"/>
    </row>
    <row r="992" spans="1:24">
      <c r="A992" s="122"/>
      <c r="B992" s="122"/>
      <c r="C992" s="122"/>
      <c r="D992" s="122"/>
      <c r="E992" s="122"/>
      <c r="F992" s="122"/>
      <c r="G992" s="285"/>
      <c r="H992" s="285"/>
      <c r="I992" s="286"/>
      <c r="J992" s="162"/>
      <c r="K992" s="163"/>
      <c r="L992" s="24"/>
      <c r="M992" s="164"/>
      <c r="N992" s="165"/>
      <c r="O992" s="188"/>
      <c r="P992" s="160"/>
      <c r="Q992" s="161"/>
      <c r="X992"/>
    </row>
    <row r="993" spans="1:24">
      <c r="A993" s="122"/>
      <c r="B993" s="122"/>
      <c r="C993" s="122"/>
      <c r="D993" s="122"/>
      <c r="E993" s="122"/>
      <c r="F993" s="122"/>
      <c r="G993" s="285"/>
      <c r="H993" s="285"/>
      <c r="I993" s="286"/>
      <c r="J993" s="162"/>
      <c r="K993" s="163"/>
      <c r="L993" s="24"/>
      <c r="M993" s="164"/>
      <c r="N993" s="165"/>
      <c r="O993" s="188"/>
      <c r="P993" s="160"/>
      <c r="Q993" s="161"/>
      <c r="X993"/>
    </row>
    <row r="994" spans="1:24">
      <c r="A994" s="122"/>
      <c r="B994" s="122"/>
      <c r="C994" s="122"/>
      <c r="D994" s="122"/>
      <c r="E994" s="122"/>
      <c r="F994" s="122"/>
      <c r="G994" s="285"/>
      <c r="H994" s="285"/>
      <c r="I994" s="286"/>
      <c r="J994" s="162"/>
      <c r="K994" s="163"/>
      <c r="L994" s="24"/>
      <c r="M994" s="164"/>
      <c r="N994" s="165"/>
      <c r="O994" s="188"/>
      <c r="P994" s="160"/>
      <c r="Q994" s="161"/>
      <c r="X994"/>
    </row>
    <row r="995" spans="1:24">
      <c r="A995" s="122"/>
      <c r="B995" s="122"/>
      <c r="C995" s="122"/>
      <c r="D995" s="122"/>
      <c r="E995" s="122"/>
      <c r="F995" s="122"/>
      <c r="G995" s="285"/>
      <c r="H995" s="285"/>
      <c r="I995" s="286"/>
      <c r="J995" s="162"/>
      <c r="K995" s="163"/>
      <c r="L995" s="24"/>
      <c r="M995" s="164"/>
      <c r="N995" s="165"/>
      <c r="O995" s="188"/>
      <c r="P995" s="160"/>
      <c r="Q995" s="161"/>
      <c r="X995"/>
    </row>
    <row r="996" spans="1:24">
      <c r="A996" s="122"/>
      <c r="B996" s="122"/>
      <c r="C996" s="122"/>
      <c r="D996" s="122"/>
      <c r="E996" s="122"/>
      <c r="F996" s="122"/>
      <c r="G996" s="285"/>
      <c r="H996" s="285"/>
      <c r="I996" s="286"/>
      <c r="J996" s="162"/>
      <c r="K996" s="163"/>
      <c r="L996" s="24"/>
      <c r="M996" s="164"/>
      <c r="N996" s="165"/>
      <c r="O996" s="188"/>
      <c r="P996" s="160"/>
      <c r="Q996" s="161"/>
      <c r="X996"/>
    </row>
    <row r="997" spans="1:24">
      <c r="A997" s="122"/>
      <c r="B997" s="122"/>
      <c r="C997" s="122"/>
      <c r="D997" s="122"/>
      <c r="E997" s="122"/>
      <c r="F997" s="122"/>
      <c r="G997" s="285"/>
      <c r="H997" s="285"/>
      <c r="I997" s="286"/>
      <c r="J997" s="162"/>
      <c r="K997" s="163"/>
      <c r="L997" s="24"/>
      <c r="M997" s="164"/>
      <c r="N997" s="165"/>
      <c r="O997" s="188"/>
      <c r="P997" s="160"/>
      <c r="Q997" s="161"/>
      <c r="X997"/>
    </row>
    <row r="998" spans="1:24">
      <c r="A998" s="122"/>
      <c r="B998" s="122"/>
      <c r="C998" s="122"/>
      <c r="D998" s="122"/>
      <c r="E998" s="122"/>
      <c r="F998" s="122"/>
      <c r="G998" s="285"/>
      <c r="H998" s="285"/>
      <c r="I998" s="286"/>
      <c r="J998" s="162"/>
      <c r="K998" s="163"/>
      <c r="L998" s="24"/>
      <c r="M998" s="164"/>
      <c r="N998" s="165"/>
      <c r="O998" s="188"/>
      <c r="P998" s="160"/>
      <c r="Q998" s="161"/>
      <c r="X998"/>
    </row>
    <row r="999" spans="1:24">
      <c r="A999" s="122"/>
      <c r="B999" s="122"/>
      <c r="C999" s="122"/>
      <c r="D999" s="122"/>
      <c r="E999" s="122"/>
      <c r="F999" s="122"/>
      <c r="G999" s="285"/>
      <c r="H999" s="285"/>
      <c r="I999" s="286"/>
      <c r="J999" s="162"/>
      <c r="K999" s="163"/>
      <c r="L999" s="24"/>
      <c r="M999" s="164"/>
      <c r="N999" s="165"/>
      <c r="O999" s="188"/>
      <c r="P999" s="160"/>
      <c r="Q999" s="161"/>
      <c r="X999"/>
    </row>
    <row r="1000" spans="1:24">
      <c r="A1000" s="122"/>
      <c r="B1000" s="122"/>
      <c r="C1000" s="122"/>
      <c r="D1000" s="122"/>
      <c r="E1000" s="122"/>
      <c r="F1000" s="122"/>
      <c r="G1000" s="285"/>
      <c r="H1000" s="285"/>
      <c r="I1000" s="286"/>
      <c r="J1000" s="162"/>
      <c r="K1000" s="163"/>
      <c r="L1000" s="24"/>
      <c r="M1000" s="164"/>
      <c r="N1000" s="165"/>
      <c r="O1000" s="188"/>
      <c r="P1000" s="160"/>
      <c r="Q1000" s="161"/>
      <c r="X1000"/>
    </row>
    <row r="1001" spans="1:24">
      <c r="A1001" s="122"/>
      <c r="B1001" s="122"/>
      <c r="C1001" s="122"/>
      <c r="D1001" s="122"/>
      <c r="E1001" s="122"/>
      <c r="F1001" s="122"/>
      <c r="G1001" s="285"/>
      <c r="H1001" s="285"/>
      <c r="I1001" s="286"/>
      <c r="J1001" s="162"/>
      <c r="K1001" s="163"/>
      <c r="L1001" s="24"/>
      <c r="M1001" s="164"/>
      <c r="N1001" s="165"/>
      <c r="O1001" s="188"/>
      <c r="P1001" s="160"/>
      <c r="Q1001" s="161"/>
      <c r="X1001"/>
    </row>
    <row r="1002" spans="1:24">
      <c r="A1002" s="122"/>
      <c r="B1002" s="122"/>
      <c r="C1002" s="122"/>
      <c r="D1002" s="122"/>
      <c r="E1002" s="122"/>
      <c r="F1002" s="122"/>
      <c r="G1002" s="285"/>
      <c r="H1002" s="285"/>
      <c r="I1002" s="286"/>
      <c r="J1002" s="162"/>
      <c r="K1002" s="163"/>
      <c r="L1002" s="24"/>
      <c r="M1002" s="164"/>
      <c r="N1002" s="165"/>
      <c r="O1002" s="188"/>
      <c r="P1002" s="160"/>
      <c r="Q1002" s="161"/>
      <c r="X1002"/>
    </row>
    <row r="1003" spans="1:24">
      <c r="A1003" s="122"/>
      <c r="B1003" s="122"/>
      <c r="C1003" s="122"/>
      <c r="D1003" s="122"/>
      <c r="E1003" s="122"/>
      <c r="F1003" s="122"/>
      <c r="G1003" s="285"/>
      <c r="H1003" s="285"/>
      <c r="I1003" s="286"/>
      <c r="J1003" s="162"/>
      <c r="K1003" s="163"/>
      <c r="L1003" s="24"/>
      <c r="M1003" s="164"/>
      <c r="N1003" s="165"/>
      <c r="O1003" s="188"/>
      <c r="P1003" s="160"/>
      <c r="Q1003" s="161"/>
      <c r="X1003"/>
    </row>
    <row r="1004" spans="1:24">
      <c r="A1004" s="122"/>
      <c r="B1004" s="122"/>
      <c r="C1004" s="122"/>
      <c r="D1004" s="122"/>
      <c r="E1004" s="122"/>
      <c r="F1004" s="122"/>
      <c r="G1004" s="285"/>
      <c r="H1004" s="285"/>
      <c r="I1004" s="286"/>
      <c r="J1004" s="162"/>
      <c r="K1004" s="163"/>
      <c r="L1004" s="24"/>
      <c r="M1004" s="164"/>
      <c r="N1004" s="165"/>
      <c r="O1004" s="188"/>
      <c r="P1004" s="160"/>
      <c r="Q1004" s="161"/>
      <c r="X1004"/>
    </row>
    <row r="1005" spans="1:24">
      <c r="A1005" s="122"/>
      <c r="B1005" s="122"/>
      <c r="C1005" s="122"/>
      <c r="D1005" s="122"/>
      <c r="E1005" s="122"/>
      <c r="F1005" s="122"/>
      <c r="G1005" s="285"/>
      <c r="H1005" s="285"/>
      <c r="I1005" s="286"/>
      <c r="J1005" s="162"/>
      <c r="K1005" s="163"/>
      <c r="L1005" s="24"/>
      <c r="M1005" s="164"/>
      <c r="N1005" s="165"/>
      <c r="O1005" s="188"/>
      <c r="P1005" s="160"/>
      <c r="Q1005" s="161"/>
      <c r="X1005"/>
    </row>
    <row r="1006" spans="1:24">
      <c r="A1006" s="122"/>
      <c r="B1006" s="122"/>
      <c r="C1006" s="122"/>
      <c r="D1006" s="122"/>
      <c r="E1006" s="122"/>
      <c r="F1006" s="122"/>
      <c r="G1006" s="285"/>
      <c r="H1006" s="285"/>
      <c r="I1006" s="286"/>
      <c r="J1006" s="162"/>
      <c r="K1006" s="163"/>
      <c r="L1006" s="24"/>
      <c r="M1006" s="164"/>
      <c r="N1006" s="165"/>
      <c r="O1006" s="188"/>
      <c r="P1006" s="160"/>
      <c r="Q1006" s="161"/>
      <c r="X1006"/>
    </row>
    <row r="1007" spans="1:24">
      <c r="A1007" s="122"/>
      <c r="B1007" s="122"/>
      <c r="C1007" s="122"/>
      <c r="D1007" s="122"/>
      <c r="E1007" s="122"/>
      <c r="F1007" s="122"/>
      <c r="G1007" s="285"/>
      <c r="H1007" s="285"/>
      <c r="I1007" s="286"/>
      <c r="J1007" s="162"/>
      <c r="K1007" s="163"/>
      <c r="L1007" s="24"/>
      <c r="M1007" s="164"/>
      <c r="N1007" s="165"/>
      <c r="O1007" s="188"/>
      <c r="P1007" s="160"/>
      <c r="Q1007" s="161"/>
      <c r="X1007"/>
    </row>
    <row r="1008" spans="1:24">
      <c r="A1008" s="122"/>
      <c r="B1008" s="122"/>
      <c r="C1008" s="122"/>
      <c r="D1008" s="122"/>
      <c r="E1008" s="122"/>
      <c r="F1008" s="122"/>
      <c r="G1008" s="285"/>
      <c r="H1008" s="285"/>
      <c r="I1008" s="286"/>
      <c r="J1008" s="162"/>
      <c r="K1008" s="163"/>
      <c r="L1008" s="24"/>
      <c r="M1008" s="164"/>
      <c r="N1008" s="165"/>
      <c r="O1008" s="188"/>
      <c r="P1008" s="160"/>
      <c r="Q1008" s="161"/>
      <c r="X1008"/>
    </row>
    <row r="1009" spans="1:24">
      <c r="A1009" s="122"/>
      <c r="B1009" s="122"/>
      <c r="C1009" s="122"/>
      <c r="D1009" s="122"/>
      <c r="E1009" s="122"/>
      <c r="F1009" s="122"/>
      <c r="G1009" s="285"/>
      <c r="H1009" s="285"/>
      <c r="I1009" s="286"/>
      <c r="J1009" s="162"/>
      <c r="K1009" s="163"/>
      <c r="L1009" s="24"/>
      <c r="M1009" s="164"/>
      <c r="N1009" s="165"/>
      <c r="O1009" s="188"/>
      <c r="P1009" s="160"/>
      <c r="Q1009" s="161"/>
      <c r="X1009"/>
    </row>
    <row r="1010" spans="1:24">
      <c r="A1010" s="122"/>
      <c r="B1010" s="122"/>
      <c r="C1010" s="122"/>
      <c r="D1010" s="122"/>
      <c r="E1010" s="122"/>
      <c r="F1010" s="122"/>
      <c r="G1010" s="285"/>
      <c r="H1010" s="285"/>
      <c r="I1010" s="286"/>
      <c r="J1010" s="162"/>
      <c r="K1010" s="163"/>
      <c r="L1010" s="24"/>
      <c r="M1010" s="164"/>
      <c r="N1010" s="165"/>
      <c r="O1010" s="188"/>
      <c r="P1010" s="160"/>
      <c r="Q1010" s="161"/>
      <c r="X1010"/>
    </row>
    <row r="1011" spans="1:24">
      <c r="A1011" s="122"/>
      <c r="B1011" s="122"/>
      <c r="C1011" s="122"/>
      <c r="D1011" s="122"/>
      <c r="E1011" s="122"/>
      <c r="F1011" s="122"/>
      <c r="G1011" s="285"/>
      <c r="H1011" s="285"/>
      <c r="I1011" s="286"/>
      <c r="J1011" s="162"/>
      <c r="K1011" s="163"/>
      <c r="L1011" s="24"/>
      <c r="M1011" s="164"/>
      <c r="N1011" s="165"/>
      <c r="O1011" s="188"/>
      <c r="P1011" s="160"/>
      <c r="Q1011" s="161"/>
      <c r="X1011"/>
    </row>
    <row r="1012" spans="1:24">
      <c r="A1012" s="122"/>
      <c r="B1012" s="122"/>
      <c r="C1012" s="122"/>
      <c r="D1012" s="122"/>
      <c r="E1012" s="122"/>
      <c r="F1012" s="122"/>
      <c r="G1012" s="285"/>
      <c r="H1012" s="285"/>
      <c r="I1012" s="286"/>
      <c r="J1012" s="162"/>
      <c r="K1012" s="163"/>
      <c r="L1012" s="24"/>
      <c r="M1012" s="164"/>
      <c r="N1012" s="165"/>
      <c r="O1012" s="188"/>
      <c r="P1012" s="160"/>
      <c r="Q1012" s="161"/>
      <c r="X1012"/>
    </row>
    <row r="1013" spans="1:24">
      <c r="A1013" s="122"/>
      <c r="B1013" s="122"/>
      <c r="C1013" s="122"/>
      <c r="D1013" s="122"/>
      <c r="E1013" s="122"/>
      <c r="F1013" s="122"/>
      <c r="G1013" s="285"/>
      <c r="H1013" s="285"/>
      <c r="I1013" s="286"/>
      <c r="J1013" s="162"/>
      <c r="K1013" s="163"/>
      <c r="L1013" s="24"/>
      <c r="M1013" s="164"/>
      <c r="N1013" s="165"/>
      <c r="O1013" s="188"/>
      <c r="P1013" s="160"/>
      <c r="Q1013" s="161"/>
      <c r="X1013"/>
    </row>
    <row r="1014" spans="1:24">
      <c r="A1014" s="122"/>
      <c r="B1014" s="122"/>
      <c r="C1014" s="122"/>
      <c r="D1014" s="122"/>
      <c r="E1014" s="122"/>
      <c r="F1014" s="122"/>
      <c r="G1014" s="285"/>
      <c r="H1014" s="285"/>
      <c r="I1014" s="286"/>
      <c r="J1014" s="162"/>
      <c r="K1014" s="163"/>
      <c r="L1014" s="24"/>
      <c r="M1014" s="164"/>
      <c r="N1014" s="165"/>
      <c r="O1014" s="188"/>
      <c r="P1014" s="160"/>
      <c r="Q1014" s="161"/>
      <c r="X1014"/>
    </row>
    <row r="1015" spans="1:24">
      <c r="A1015" s="122"/>
      <c r="B1015" s="122"/>
      <c r="C1015" s="122"/>
      <c r="D1015" s="122"/>
      <c r="E1015" s="122"/>
      <c r="F1015" s="122"/>
      <c r="G1015" s="285"/>
      <c r="H1015" s="285"/>
      <c r="I1015" s="286"/>
      <c r="J1015" s="162"/>
      <c r="K1015" s="163"/>
      <c r="L1015" s="24"/>
      <c r="M1015" s="164"/>
      <c r="N1015" s="165"/>
      <c r="O1015" s="188"/>
      <c r="P1015" s="160"/>
      <c r="Q1015" s="161"/>
      <c r="X1015"/>
    </row>
    <row r="1016" spans="1:24">
      <c r="A1016" s="122"/>
      <c r="B1016" s="122"/>
      <c r="C1016" s="122"/>
      <c r="D1016" s="122"/>
      <c r="E1016" s="122"/>
      <c r="F1016" s="122"/>
      <c r="G1016" s="285"/>
      <c r="H1016" s="285"/>
      <c r="I1016" s="286"/>
      <c r="J1016" s="162"/>
      <c r="K1016" s="163"/>
      <c r="L1016" s="24"/>
      <c r="M1016" s="164"/>
      <c r="N1016" s="165"/>
      <c r="O1016" s="188"/>
      <c r="P1016" s="160"/>
      <c r="Q1016" s="161"/>
      <c r="X1016"/>
    </row>
    <row r="1017" spans="1:24">
      <c r="A1017" s="122"/>
      <c r="B1017" s="122"/>
      <c r="C1017" s="122"/>
      <c r="D1017" s="122"/>
      <c r="E1017" s="122"/>
      <c r="F1017" s="122"/>
      <c r="G1017" s="285"/>
      <c r="H1017" s="285"/>
      <c r="I1017" s="286"/>
      <c r="J1017" s="162"/>
      <c r="K1017" s="163"/>
      <c r="L1017" s="24"/>
      <c r="M1017" s="164"/>
      <c r="N1017" s="165"/>
      <c r="O1017" s="188"/>
      <c r="P1017" s="160"/>
      <c r="Q1017" s="161"/>
      <c r="X1017"/>
    </row>
    <row r="1018" spans="1:24">
      <c r="A1018" s="122"/>
      <c r="B1018" s="122"/>
      <c r="C1018" s="122"/>
      <c r="D1018" s="122"/>
      <c r="E1018" s="122"/>
      <c r="F1018" s="122"/>
      <c r="G1018" s="285"/>
      <c r="H1018" s="285"/>
      <c r="I1018" s="286"/>
      <c r="J1018" s="162"/>
      <c r="K1018" s="163"/>
      <c r="L1018" s="24"/>
      <c r="M1018" s="164"/>
      <c r="N1018" s="165"/>
      <c r="O1018" s="188"/>
      <c r="P1018" s="160"/>
      <c r="Q1018" s="161"/>
      <c r="X1018"/>
    </row>
    <row r="1019" spans="1:24">
      <c r="A1019" s="122"/>
      <c r="B1019" s="122"/>
      <c r="C1019" s="122"/>
      <c r="D1019" s="122"/>
      <c r="E1019" s="122"/>
      <c r="F1019" s="122"/>
      <c r="G1019" s="285"/>
      <c r="H1019" s="285"/>
      <c r="I1019" s="286"/>
      <c r="J1019" s="162"/>
      <c r="K1019" s="163"/>
      <c r="L1019" s="24"/>
      <c r="M1019" s="164"/>
      <c r="N1019" s="165"/>
      <c r="O1019" s="188"/>
      <c r="P1019" s="160"/>
      <c r="Q1019" s="161"/>
      <c r="X1019"/>
    </row>
    <row r="1020" spans="1:24">
      <c r="A1020" s="122"/>
      <c r="B1020" s="122"/>
      <c r="C1020" s="122"/>
      <c r="D1020" s="122"/>
      <c r="E1020" s="122"/>
      <c r="F1020" s="122"/>
      <c r="G1020" s="285"/>
      <c r="H1020" s="285"/>
      <c r="I1020" s="286"/>
      <c r="J1020" s="162"/>
      <c r="K1020" s="163"/>
      <c r="L1020" s="24"/>
      <c r="M1020" s="164"/>
      <c r="N1020" s="165"/>
      <c r="O1020" s="188"/>
      <c r="P1020" s="160"/>
      <c r="Q1020" s="161"/>
      <c r="X1020"/>
    </row>
    <row r="1021" spans="1:24">
      <c r="A1021" s="122"/>
      <c r="B1021" s="122"/>
      <c r="C1021" s="122"/>
      <c r="D1021" s="122"/>
      <c r="E1021" s="122"/>
      <c r="F1021" s="122"/>
      <c r="G1021" s="285"/>
      <c r="H1021" s="285"/>
      <c r="I1021" s="286"/>
      <c r="J1021" s="162"/>
      <c r="K1021" s="163"/>
      <c r="L1021" s="24"/>
      <c r="M1021" s="164"/>
      <c r="N1021" s="165"/>
      <c r="O1021" s="188"/>
      <c r="P1021" s="160"/>
      <c r="Q1021" s="161"/>
      <c r="X1021"/>
    </row>
    <row r="1022" spans="1:24">
      <c r="A1022" s="122"/>
      <c r="B1022" s="122"/>
      <c r="C1022" s="122"/>
      <c r="D1022" s="122"/>
      <c r="E1022" s="122"/>
      <c r="F1022" s="122"/>
      <c r="G1022" s="285"/>
      <c r="H1022" s="285"/>
      <c r="I1022" s="286"/>
      <c r="J1022" s="162"/>
      <c r="K1022" s="163"/>
      <c r="L1022" s="24"/>
      <c r="M1022" s="164"/>
      <c r="N1022" s="165"/>
      <c r="O1022" s="188"/>
      <c r="P1022" s="160"/>
      <c r="Q1022" s="161"/>
      <c r="X1022"/>
    </row>
    <row r="1023" spans="1:24">
      <c r="A1023" s="122"/>
      <c r="B1023" s="122"/>
      <c r="C1023" s="122"/>
      <c r="D1023" s="122"/>
      <c r="E1023" s="122"/>
      <c r="F1023" s="122"/>
      <c r="G1023" s="285"/>
      <c r="H1023" s="285"/>
      <c r="I1023" s="286"/>
      <c r="J1023" s="162"/>
      <c r="K1023" s="163"/>
      <c r="L1023" s="24"/>
      <c r="M1023" s="164"/>
      <c r="N1023" s="165"/>
      <c r="O1023" s="188"/>
      <c r="P1023" s="160"/>
      <c r="Q1023" s="161"/>
      <c r="X1023"/>
    </row>
    <row r="1024" spans="1:24">
      <c r="A1024" s="122"/>
      <c r="B1024" s="122"/>
      <c r="C1024" s="122"/>
      <c r="D1024" s="122"/>
      <c r="E1024" s="122"/>
      <c r="F1024" s="122"/>
      <c r="G1024" s="285"/>
      <c r="H1024" s="285"/>
      <c r="I1024" s="286"/>
      <c r="J1024" s="162"/>
      <c r="K1024" s="163"/>
      <c r="L1024" s="24"/>
      <c r="M1024" s="164"/>
      <c r="N1024" s="165"/>
      <c r="O1024" s="188"/>
      <c r="P1024" s="160"/>
      <c r="Q1024" s="161"/>
      <c r="X1024"/>
    </row>
    <row r="1025" spans="1:24">
      <c r="A1025" s="122"/>
      <c r="B1025" s="122"/>
      <c r="C1025" s="122"/>
      <c r="D1025" s="122"/>
      <c r="E1025" s="122"/>
      <c r="F1025" s="122"/>
      <c r="G1025" s="285"/>
      <c r="H1025" s="285"/>
      <c r="I1025" s="286"/>
      <c r="J1025" s="162"/>
      <c r="K1025" s="163"/>
      <c r="L1025" s="24"/>
      <c r="M1025" s="164"/>
      <c r="N1025" s="165"/>
      <c r="O1025" s="188"/>
      <c r="P1025" s="160"/>
      <c r="Q1025" s="161"/>
      <c r="X1025"/>
    </row>
    <row r="1026" spans="1:24">
      <c r="A1026" s="122"/>
      <c r="B1026" s="122"/>
      <c r="C1026" s="122"/>
      <c r="D1026" s="122"/>
      <c r="E1026" s="122"/>
      <c r="F1026" s="122"/>
      <c r="G1026" s="285"/>
      <c r="H1026" s="285"/>
      <c r="I1026" s="286"/>
      <c r="J1026" s="162"/>
      <c r="K1026" s="163"/>
      <c r="L1026" s="24"/>
      <c r="M1026" s="164"/>
      <c r="N1026" s="165"/>
      <c r="O1026" s="188"/>
      <c r="P1026" s="160"/>
      <c r="Q1026" s="161"/>
      <c r="X1026"/>
    </row>
    <row r="1027" spans="1:24">
      <c r="A1027" s="122"/>
      <c r="B1027" s="122"/>
      <c r="C1027" s="122"/>
      <c r="D1027" s="122"/>
      <c r="E1027" s="122"/>
      <c r="F1027" s="122"/>
      <c r="G1027" s="285"/>
      <c r="H1027" s="285"/>
      <c r="I1027" s="286"/>
      <c r="J1027" s="162"/>
      <c r="K1027" s="163"/>
      <c r="L1027" s="24"/>
      <c r="M1027" s="164"/>
      <c r="N1027" s="165"/>
      <c r="O1027" s="188"/>
      <c r="P1027" s="160"/>
      <c r="Q1027" s="161"/>
      <c r="X1027"/>
    </row>
    <row r="1028" spans="1:24">
      <c r="A1028" s="122"/>
      <c r="B1028" s="122"/>
      <c r="C1028" s="122"/>
      <c r="D1028" s="122"/>
      <c r="E1028" s="122"/>
      <c r="F1028" s="122"/>
      <c r="G1028" s="285"/>
      <c r="H1028" s="285"/>
      <c r="I1028" s="286"/>
      <c r="J1028" s="162"/>
      <c r="K1028" s="163"/>
      <c r="L1028" s="24"/>
      <c r="M1028" s="164"/>
      <c r="N1028" s="165"/>
      <c r="O1028" s="188"/>
      <c r="P1028" s="160"/>
      <c r="Q1028" s="161"/>
      <c r="X1028"/>
    </row>
    <row r="1029" spans="1:24">
      <c r="A1029" s="122"/>
      <c r="B1029" s="122"/>
      <c r="C1029" s="122"/>
      <c r="D1029" s="122"/>
      <c r="E1029" s="122"/>
      <c r="F1029" s="122"/>
      <c r="G1029" s="285"/>
      <c r="H1029" s="285"/>
      <c r="I1029" s="286"/>
      <c r="J1029" s="162"/>
      <c r="K1029" s="163"/>
      <c r="L1029" s="24"/>
      <c r="M1029" s="164"/>
      <c r="N1029" s="165"/>
      <c r="O1029" s="188"/>
      <c r="P1029" s="160"/>
      <c r="Q1029" s="161"/>
      <c r="X1029"/>
    </row>
    <row r="1030" spans="1:24">
      <c r="A1030" s="122"/>
      <c r="B1030" s="122"/>
      <c r="C1030" s="122"/>
      <c r="D1030" s="122"/>
      <c r="E1030" s="122"/>
      <c r="F1030" s="122"/>
      <c r="G1030" s="285"/>
      <c r="H1030" s="285"/>
      <c r="I1030" s="286"/>
      <c r="J1030" s="162"/>
      <c r="K1030" s="163"/>
      <c r="L1030" s="24"/>
      <c r="M1030" s="164"/>
      <c r="N1030" s="165"/>
      <c r="O1030" s="188"/>
      <c r="P1030" s="160"/>
      <c r="Q1030" s="161"/>
      <c r="X1030"/>
    </row>
    <row r="1031" spans="1:24">
      <c r="A1031" s="122"/>
      <c r="B1031" s="122"/>
      <c r="C1031" s="122"/>
      <c r="D1031" s="122"/>
      <c r="E1031" s="122"/>
      <c r="F1031" s="122"/>
      <c r="G1031" s="285"/>
      <c r="H1031" s="285"/>
      <c r="I1031" s="286"/>
      <c r="J1031" s="162"/>
      <c r="K1031" s="163"/>
      <c r="L1031" s="24"/>
      <c r="M1031" s="164"/>
      <c r="N1031" s="165"/>
      <c r="O1031" s="188"/>
      <c r="P1031" s="160"/>
      <c r="Q1031" s="161"/>
      <c r="X1031"/>
    </row>
    <row r="1032" spans="1:24">
      <c r="A1032" s="122"/>
      <c r="B1032" s="122"/>
      <c r="C1032" s="122"/>
      <c r="D1032" s="122"/>
      <c r="E1032" s="122"/>
      <c r="F1032" s="122"/>
      <c r="G1032" s="285"/>
      <c r="H1032" s="285"/>
      <c r="I1032" s="286"/>
      <c r="J1032" s="162"/>
      <c r="K1032" s="163"/>
      <c r="L1032" s="24"/>
      <c r="M1032" s="164"/>
      <c r="N1032" s="165"/>
      <c r="O1032" s="188"/>
      <c r="P1032" s="160"/>
      <c r="Q1032" s="161"/>
      <c r="X1032"/>
    </row>
    <row r="1033" spans="1:24">
      <c r="A1033" s="122"/>
      <c r="B1033" s="122"/>
      <c r="C1033" s="122"/>
      <c r="D1033" s="122"/>
      <c r="E1033" s="122"/>
      <c r="F1033" s="122"/>
      <c r="G1033" s="285"/>
      <c r="H1033" s="285"/>
      <c r="I1033" s="286"/>
      <c r="J1033" s="162"/>
      <c r="K1033" s="163"/>
      <c r="L1033" s="24"/>
      <c r="M1033" s="164"/>
      <c r="N1033" s="165"/>
      <c r="O1033" s="188"/>
      <c r="P1033" s="160"/>
      <c r="Q1033" s="161"/>
      <c r="X1033"/>
    </row>
    <row r="1034" spans="1:24">
      <c r="A1034" s="122"/>
      <c r="B1034" s="122"/>
      <c r="C1034" s="122"/>
      <c r="D1034" s="122"/>
      <c r="E1034" s="122"/>
      <c r="F1034" s="122"/>
      <c r="G1034" s="285"/>
      <c r="H1034" s="285"/>
      <c r="I1034" s="286"/>
      <c r="J1034" s="162"/>
      <c r="K1034" s="163"/>
      <c r="L1034" s="24"/>
      <c r="M1034" s="164"/>
      <c r="N1034" s="165"/>
      <c r="O1034" s="188"/>
      <c r="P1034" s="160"/>
      <c r="Q1034" s="161"/>
      <c r="X1034"/>
    </row>
    <row r="1035" spans="1:24">
      <c r="A1035" s="122"/>
      <c r="B1035" s="122"/>
      <c r="C1035" s="122"/>
      <c r="D1035" s="122"/>
      <c r="E1035" s="122"/>
      <c r="F1035" s="122"/>
      <c r="G1035" s="285"/>
      <c r="H1035" s="285"/>
      <c r="I1035" s="286"/>
      <c r="J1035" s="162"/>
      <c r="K1035" s="163"/>
      <c r="L1035" s="24"/>
      <c r="M1035" s="164"/>
      <c r="N1035" s="165"/>
      <c r="O1035" s="188"/>
      <c r="P1035" s="160"/>
      <c r="Q1035" s="161"/>
      <c r="X1035"/>
    </row>
    <row r="1036" spans="1:24">
      <c r="A1036" s="122"/>
      <c r="B1036" s="122"/>
      <c r="C1036" s="122"/>
      <c r="D1036" s="122"/>
      <c r="E1036" s="122"/>
      <c r="F1036" s="122"/>
      <c r="G1036" s="285"/>
      <c r="H1036" s="285"/>
      <c r="I1036" s="286"/>
      <c r="J1036" s="162"/>
      <c r="K1036" s="163"/>
      <c r="L1036" s="24"/>
      <c r="M1036" s="164"/>
      <c r="N1036" s="165"/>
      <c r="O1036" s="188"/>
      <c r="P1036" s="160"/>
      <c r="Q1036" s="161"/>
      <c r="X1036"/>
    </row>
    <row r="1037" spans="1:24">
      <c r="A1037" s="122"/>
      <c r="B1037" s="122"/>
      <c r="C1037" s="122"/>
      <c r="D1037" s="122"/>
      <c r="E1037" s="122"/>
      <c r="F1037" s="122"/>
      <c r="G1037" s="285"/>
      <c r="H1037" s="285"/>
      <c r="I1037" s="286"/>
      <c r="J1037" s="162"/>
      <c r="K1037" s="163"/>
      <c r="L1037" s="24"/>
      <c r="M1037" s="164"/>
      <c r="N1037" s="165"/>
      <c r="O1037" s="188"/>
      <c r="P1037" s="160"/>
      <c r="Q1037" s="161"/>
      <c r="X1037"/>
    </row>
    <row r="1038" spans="1:24">
      <c r="A1038" s="122"/>
      <c r="B1038" s="122"/>
      <c r="C1038" s="122"/>
      <c r="D1038" s="122"/>
      <c r="E1038" s="122"/>
      <c r="F1038" s="122"/>
      <c r="G1038" s="285"/>
      <c r="H1038" s="285"/>
      <c r="I1038" s="286"/>
      <c r="J1038" s="162"/>
      <c r="K1038" s="163"/>
      <c r="L1038" s="24"/>
      <c r="M1038" s="164"/>
      <c r="N1038" s="165"/>
      <c r="O1038" s="188"/>
      <c r="P1038" s="160"/>
      <c r="Q1038" s="161"/>
      <c r="X1038"/>
    </row>
    <row r="1039" spans="1:24">
      <c r="A1039" s="122"/>
      <c r="B1039" s="122"/>
      <c r="C1039" s="122"/>
      <c r="D1039" s="122"/>
      <c r="E1039" s="122"/>
      <c r="F1039" s="122"/>
      <c r="G1039" s="285"/>
      <c r="H1039" s="285"/>
      <c r="I1039" s="286"/>
      <c r="J1039" s="162"/>
      <c r="K1039" s="163"/>
      <c r="L1039" s="24"/>
      <c r="M1039" s="164"/>
      <c r="N1039" s="165"/>
      <c r="O1039" s="188"/>
      <c r="P1039" s="160"/>
      <c r="Q1039" s="161"/>
      <c r="X1039"/>
    </row>
    <row r="1040" spans="1:24">
      <c r="A1040" s="122"/>
      <c r="B1040" s="122"/>
      <c r="C1040" s="122"/>
      <c r="D1040" s="122"/>
      <c r="E1040" s="122"/>
      <c r="F1040" s="122"/>
      <c r="G1040" s="285"/>
      <c r="H1040" s="285"/>
      <c r="I1040" s="286"/>
      <c r="J1040" s="162"/>
      <c r="K1040" s="163"/>
      <c r="L1040" s="24"/>
      <c r="M1040" s="164"/>
      <c r="N1040" s="165"/>
      <c r="O1040" s="188"/>
      <c r="P1040" s="160"/>
      <c r="Q1040" s="161"/>
      <c r="X1040"/>
    </row>
    <row r="1041" spans="1:24">
      <c r="A1041" s="122"/>
      <c r="B1041" s="122"/>
      <c r="C1041" s="122"/>
      <c r="D1041" s="122"/>
      <c r="E1041" s="122"/>
      <c r="F1041" s="122"/>
      <c r="G1041" s="285"/>
      <c r="H1041" s="285"/>
      <c r="I1041" s="286"/>
      <c r="J1041" s="162"/>
      <c r="K1041" s="163"/>
      <c r="L1041" s="24"/>
      <c r="M1041" s="164"/>
      <c r="N1041" s="165"/>
      <c r="O1041" s="188"/>
      <c r="P1041" s="160"/>
      <c r="Q1041" s="161"/>
      <c r="X1041"/>
    </row>
    <row r="1042" spans="1:24">
      <c r="A1042" s="122"/>
      <c r="B1042" s="122"/>
      <c r="C1042" s="122"/>
      <c r="D1042" s="122"/>
      <c r="E1042" s="122"/>
      <c r="F1042" s="122"/>
      <c r="G1042" s="285"/>
      <c r="H1042" s="285"/>
      <c r="I1042" s="286"/>
      <c r="J1042" s="162"/>
      <c r="K1042" s="163"/>
      <c r="L1042" s="24"/>
      <c r="M1042" s="164"/>
      <c r="N1042" s="165"/>
      <c r="O1042" s="188"/>
      <c r="P1042" s="160"/>
      <c r="Q1042" s="161"/>
      <c r="X1042"/>
    </row>
    <row r="1043" spans="1:24">
      <c r="A1043" s="122"/>
      <c r="B1043" s="122"/>
      <c r="C1043" s="122"/>
      <c r="D1043" s="122"/>
      <c r="E1043" s="122"/>
      <c r="F1043" s="122"/>
      <c r="G1043" s="285"/>
      <c r="H1043" s="285"/>
      <c r="I1043" s="286"/>
      <c r="J1043" s="162"/>
      <c r="K1043" s="163"/>
      <c r="L1043" s="24"/>
      <c r="M1043" s="164"/>
      <c r="N1043" s="165"/>
      <c r="O1043" s="188"/>
      <c r="P1043" s="160"/>
      <c r="Q1043" s="161"/>
      <c r="X1043"/>
    </row>
    <row r="1044" spans="1:24">
      <c r="A1044" s="122"/>
      <c r="B1044" s="122"/>
      <c r="C1044" s="122"/>
      <c r="D1044" s="122"/>
      <c r="E1044" s="122"/>
      <c r="F1044" s="122"/>
      <c r="G1044" s="285"/>
      <c r="H1044" s="285"/>
      <c r="I1044" s="286"/>
      <c r="J1044" s="162"/>
      <c r="K1044" s="163"/>
      <c r="L1044" s="24"/>
      <c r="M1044" s="164"/>
      <c r="N1044" s="165"/>
      <c r="O1044" s="188"/>
      <c r="P1044" s="160"/>
      <c r="Q1044" s="161"/>
      <c r="X1044"/>
    </row>
    <row r="1045" spans="1:24">
      <c r="A1045" s="122"/>
      <c r="B1045" s="122"/>
      <c r="C1045" s="122"/>
      <c r="D1045" s="122"/>
      <c r="E1045" s="122"/>
      <c r="F1045" s="122"/>
      <c r="G1045" s="285"/>
      <c r="H1045" s="285"/>
      <c r="I1045" s="286"/>
      <c r="J1045" s="162"/>
      <c r="K1045" s="163"/>
      <c r="L1045" s="24"/>
      <c r="M1045" s="164"/>
      <c r="N1045" s="165"/>
      <c r="O1045" s="188"/>
      <c r="P1045" s="160"/>
      <c r="Q1045" s="161"/>
      <c r="X1045"/>
    </row>
    <row r="1046" spans="1:24">
      <c r="A1046" s="122"/>
      <c r="B1046" s="122"/>
      <c r="C1046" s="122"/>
      <c r="D1046" s="122"/>
      <c r="E1046" s="122"/>
      <c r="F1046" s="122"/>
      <c r="G1046" s="285"/>
      <c r="H1046" s="285"/>
      <c r="I1046" s="286"/>
      <c r="J1046" s="162"/>
      <c r="K1046" s="163"/>
      <c r="L1046" s="24"/>
      <c r="M1046" s="164"/>
      <c r="N1046" s="165"/>
      <c r="O1046" s="188"/>
      <c r="P1046" s="160"/>
      <c r="Q1046" s="161"/>
      <c r="X1046"/>
    </row>
    <row r="1047" spans="1:24">
      <c r="A1047" s="122"/>
      <c r="B1047" s="122"/>
      <c r="C1047" s="122"/>
      <c r="D1047" s="122"/>
      <c r="E1047" s="122"/>
      <c r="F1047" s="122"/>
      <c r="G1047" s="285"/>
      <c r="H1047" s="285"/>
      <c r="I1047" s="286"/>
      <c r="J1047" s="162"/>
      <c r="K1047" s="163"/>
      <c r="L1047" s="24"/>
      <c r="M1047" s="164"/>
      <c r="N1047" s="165"/>
      <c r="O1047" s="188"/>
      <c r="P1047" s="160"/>
      <c r="Q1047" s="161"/>
      <c r="X1047"/>
    </row>
    <row r="1048" spans="1:24">
      <c r="A1048" s="122"/>
      <c r="B1048" s="122"/>
      <c r="C1048" s="122"/>
      <c r="D1048" s="122"/>
      <c r="E1048" s="122"/>
      <c r="F1048" s="122"/>
      <c r="G1048" s="285"/>
      <c r="H1048" s="285"/>
      <c r="I1048" s="286"/>
      <c r="J1048" s="162"/>
      <c r="K1048" s="163"/>
      <c r="L1048" s="24"/>
      <c r="M1048" s="164"/>
      <c r="N1048" s="165"/>
      <c r="O1048" s="188"/>
      <c r="P1048" s="160"/>
      <c r="Q1048" s="161"/>
      <c r="X1048"/>
    </row>
    <row r="1049" spans="1:24">
      <c r="A1049" s="122"/>
      <c r="B1049" s="122"/>
      <c r="C1049" s="122"/>
      <c r="D1049" s="122"/>
      <c r="E1049" s="122"/>
      <c r="F1049" s="122"/>
      <c r="G1049" s="285"/>
      <c r="H1049" s="285"/>
      <c r="I1049" s="286"/>
      <c r="J1049" s="162"/>
      <c r="K1049" s="163"/>
      <c r="L1049" s="24"/>
      <c r="M1049" s="164"/>
      <c r="N1049" s="165"/>
      <c r="O1049" s="188"/>
      <c r="P1049" s="160"/>
      <c r="Q1049" s="161"/>
      <c r="X1049"/>
    </row>
    <row r="1050" spans="1:24">
      <c r="A1050" s="122"/>
      <c r="B1050" s="122"/>
      <c r="C1050" s="122"/>
      <c r="D1050" s="122"/>
      <c r="E1050" s="122"/>
      <c r="F1050" s="122"/>
      <c r="G1050" s="285"/>
      <c r="H1050" s="285"/>
      <c r="I1050" s="286"/>
      <c r="J1050" s="162"/>
      <c r="K1050" s="163"/>
      <c r="L1050" s="24"/>
      <c r="M1050" s="164"/>
      <c r="N1050" s="165"/>
      <c r="O1050" s="188"/>
      <c r="P1050" s="160"/>
      <c r="Q1050" s="161"/>
      <c r="X1050"/>
    </row>
    <row r="1051" spans="1:24">
      <c r="A1051" s="122"/>
      <c r="B1051" s="122"/>
      <c r="C1051" s="122"/>
      <c r="D1051" s="122"/>
      <c r="E1051" s="122"/>
      <c r="F1051" s="122"/>
      <c r="G1051" s="285"/>
      <c r="H1051" s="285"/>
      <c r="I1051" s="286"/>
      <c r="J1051" s="162"/>
      <c r="K1051" s="163"/>
      <c r="L1051" s="24"/>
      <c r="M1051" s="164"/>
      <c r="N1051" s="165"/>
      <c r="O1051" s="188"/>
      <c r="P1051" s="160"/>
      <c r="Q1051" s="161"/>
      <c r="X1051"/>
    </row>
    <row r="1052" spans="1:24">
      <c r="A1052" s="122"/>
      <c r="B1052" s="122"/>
      <c r="C1052" s="122"/>
      <c r="D1052" s="122"/>
      <c r="E1052" s="122"/>
      <c r="F1052" s="122"/>
      <c r="G1052" s="285"/>
      <c r="H1052" s="285"/>
      <c r="I1052" s="286"/>
      <c r="J1052" s="162"/>
      <c r="K1052" s="163"/>
      <c r="L1052" s="24"/>
      <c r="M1052" s="164"/>
      <c r="N1052" s="165"/>
      <c r="O1052" s="188"/>
      <c r="P1052" s="160"/>
      <c r="Q1052" s="161"/>
      <c r="X1052"/>
    </row>
    <row r="1053" spans="1:24">
      <c r="A1053" s="122"/>
      <c r="B1053" s="122"/>
      <c r="C1053" s="122"/>
      <c r="D1053" s="122"/>
      <c r="E1053" s="122"/>
      <c r="F1053" s="122"/>
      <c r="G1053" s="285"/>
      <c r="H1053" s="285"/>
      <c r="I1053" s="286"/>
      <c r="J1053" s="162"/>
      <c r="K1053" s="163"/>
      <c r="L1053" s="24"/>
      <c r="M1053" s="164"/>
      <c r="N1053" s="165"/>
      <c r="O1053" s="188"/>
      <c r="P1053" s="160"/>
      <c r="Q1053" s="161"/>
      <c r="X1053"/>
    </row>
    <row r="1054" spans="1:24">
      <c r="A1054" s="122"/>
      <c r="B1054" s="122"/>
      <c r="C1054" s="122"/>
      <c r="D1054" s="122"/>
      <c r="E1054" s="122"/>
      <c r="F1054" s="122"/>
      <c r="G1054" s="285"/>
      <c r="H1054" s="285"/>
      <c r="I1054" s="286"/>
      <c r="J1054" s="162"/>
      <c r="K1054" s="163"/>
      <c r="L1054" s="24"/>
      <c r="M1054" s="164"/>
      <c r="N1054" s="165"/>
      <c r="O1054" s="188"/>
      <c r="P1054" s="160"/>
      <c r="Q1054" s="161"/>
      <c r="X1054"/>
    </row>
    <row r="1055" spans="1:24">
      <c r="A1055" s="122"/>
      <c r="B1055" s="122"/>
      <c r="C1055" s="122"/>
      <c r="D1055" s="122"/>
      <c r="E1055" s="122"/>
      <c r="F1055" s="122"/>
      <c r="G1055" s="285"/>
      <c r="H1055" s="285"/>
      <c r="I1055" s="286"/>
      <c r="J1055" s="162"/>
      <c r="K1055" s="163"/>
      <c r="L1055" s="24"/>
      <c r="M1055" s="164"/>
      <c r="N1055" s="165"/>
      <c r="O1055" s="188"/>
      <c r="P1055" s="160"/>
      <c r="Q1055" s="161"/>
      <c r="X1055"/>
    </row>
    <row r="1056" spans="1:24">
      <c r="A1056" s="122"/>
      <c r="B1056" s="122"/>
      <c r="C1056" s="122"/>
      <c r="D1056" s="122"/>
      <c r="E1056" s="122"/>
      <c r="F1056" s="122"/>
      <c r="G1056" s="285"/>
      <c r="H1056" s="285"/>
      <c r="I1056" s="286"/>
      <c r="J1056" s="162"/>
      <c r="K1056" s="163"/>
      <c r="L1056" s="24"/>
      <c r="M1056" s="164"/>
      <c r="N1056" s="165"/>
      <c r="O1056" s="188"/>
      <c r="P1056" s="160"/>
      <c r="Q1056" s="161"/>
      <c r="X1056"/>
    </row>
    <row r="1057" spans="1:26">
      <c r="A1057" s="122"/>
      <c r="B1057" s="122"/>
      <c r="C1057" s="122"/>
      <c r="D1057" s="122"/>
      <c r="E1057" s="122"/>
      <c r="F1057" s="122"/>
      <c r="G1057" s="285"/>
      <c r="H1057" s="285"/>
      <c r="I1057" s="286"/>
      <c r="J1057" s="162"/>
      <c r="K1057" s="163"/>
      <c r="L1057" s="24"/>
      <c r="M1057" s="164"/>
      <c r="N1057" s="165"/>
      <c r="O1057" s="188"/>
      <c r="P1057" s="160"/>
      <c r="Q1057" s="161"/>
      <c r="X1057"/>
    </row>
    <row r="1058" spans="1:26">
      <c r="A1058" s="122"/>
      <c r="B1058" s="122"/>
      <c r="C1058" s="122"/>
      <c r="D1058" s="122"/>
      <c r="E1058" s="122"/>
      <c r="F1058" s="122"/>
      <c r="G1058" s="285"/>
      <c r="H1058" s="285"/>
      <c r="I1058" s="286"/>
      <c r="J1058" s="162"/>
      <c r="K1058" s="163"/>
      <c r="L1058" s="24"/>
      <c r="M1058" s="164"/>
      <c r="N1058" s="165"/>
      <c r="O1058" s="188"/>
      <c r="P1058" s="160"/>
      <c r="Q1058" s="161"/>
      <c r="X1058"/>
    </row>
    <row r="1059" spans="1:26">
      <c r="A1059" s="122"/>
      <c r="B1059" s="122"/>
      <c r="C1059" s="122"/>
      <c r="D1059" s="122"/>
      <c r="E1059" s="122"/>
      <c r="F1059" s="122"/>
      <c r="G1059" s="285"/>
      <c r="H1059" s="285"/>
      <c r="I1059" s="286"/>
      <c r="J1059" s="162"/>
      <c r="K1059" s="163"/>
      <c r="L1059" s="24"/>
      <c r="M1059" s="164"/>
      <c r="N1059" s="165"/>
      <c r="O1059" s="188"/>
      <c r="P1059" s="160"/>
      <c r="Q1059" s="161"/>
      <c r="X1059"/>
    </row>
    <row r="1060" spans="1:26">
      <c r="A1060" s="122"/>
      <c r="B1060" s="122"/>
      <c r="C1060" s="122"/>
      <c r="D1060" s="122"/>
      <c r="E1060" s="122"/>
      <c r="F1060" s="122"/>
      <c r="G1060" s="285"/>
      <c r="H1060" s="285"/>
      <c r="I1060" s="286"/>
      <c r="J1060" s="162"/>
      <c r="K1060" s="163"/>
      <c r="L1060" s="24"/>
      <c r="M1060" s="164"/>
      <c r="N1060" s="165"/>
      <c r="O1060" s="188"/>
      <c r="P1060" s="160"/>
      <c r="Q1060" s="161"/>
      <c r="X1060"/>
    </row>
    <row r="1061" spans="1:26">
      <c r="A1061" s="122"/>
      <c r="B1061" s="122"/>
      <c r="C1061" s="122"/>
      <c r="D1061" s="122"/>
      <c r="E1061" s="122"/>
      <c r="F1061" s="122"/>
      <c r="G1061" s="285"/>
      <c r="H1061" s="285"/>
      <c r="I1061" s="286"/>
      <c r="J1061" s="162"/>
      <c r="K1061" s="163"/>
      <c r="L1061" s="24"/>
      <c r="M1061" s="164"/>
      <c r="N1061" s="165"/>
      <c r="O1061" s="188"/>
      <c r="P1061" s="160"/>
      <c r="Q1061" s="161"/>
      <c r="X1061"/>
    </row>
    <row r="1062" spans="1:26">
      <c r="A1062" s="122"/>
      <c r="B1062" s="122"/>
      <c r="C1062" s="122"/>
      <c r="D1062" s="122"/>
      <c r="E1062" s="122"/>
      <c r="F1062" s="122"/>
      <c r="G1062" s="285"/>
      <c r="H1062" s="285"/>
      <c r="I1062" s="286"/>
      <c r="J1062" s="162"/>
      <c r="K1062" s="163"/>
      <c r="L1062" s="24"/>
      <c r="M1062" s="164"/>
      <c r="N1062" s="165"/>
      <c r="O1062" s="188"/>
      <c r="P1062" s="160"/>
      <c r="Q1062" s="161"/>
      <c r="X1062"/>
    </row>
    <row r="1063" spans="1:26">
      <c r="A1063" s="122"/>
      <c r="B1063" s="122"/>
      <c r="C1063" s="122"/>
      <c r="D1063" s="122"/>
      <c r="E1063" s="122"/>
      <c r="F1063" s="122"/>
      <c r="G1063" s="285"/>
      <c r="H1063" s="285"/>
      <c r="I1063" s="286"/>
      <c r="J1063" s="162"/>
      <c r="K1063" s="163"/>
      <c r="L1063" s="24"/>
      <c r="M1063" s="164"/>
      <c r="N1063" s="165"/>
      <c r="O1063" s="188"/>
      <c r="P1063" s="160"/>
      <c r="Q1063" s="161"/>
      <c r="X1063"/>
    </row>
    <row r="1064" spans="1:26">
      <c r="A1064" s="122"/>
      <c r="B1064" s="122"/>
      <c r="C1064" s="122"/>
      <c r="D1064" s="122"/>
      <c r="E1064" s="122"/>
      <c r="F1064" s="122"/>
      <c r="G1064" s="285"/>
      <c r="H1064" s="285"/>
      <c r="I1064" s="286"/>
      <c r="J1064" s="162"/>
      <c r="K1064" s="163"/>
      <c r="L1064" s="24"/>
      <c r="M1064" s="164"/>
      <c r="N1064" s="165"/>
      <c r="O1064" s="188"/>
      <c r="P1064" s="160"/>
      <c r="Q1064" s="161"/>
      <c r="X1064"/>
    </row>
    <row r="1065" spans="1:26">
      <c r="A1065" s="122"/>
      <c r="B1065" s="122"/>
      <c r="C1065" s="122"/>
      <c r="D1065" s="122"/>
      <c r="E1065" s="122"/>
      <c r="F1065" s="122"/>
      <c r="G1065" s="285"/>
      <c r="H1065" s="285"/>
      <c r="I1065" s="286"/>
      <c r="J1065" s="162"/>
      <c r="K1065" s="163"/>
      <c r="L1065" s="24"/>
      <c r="M1065" s="164"/>
      <c r="N1065" s="165"/>
      <c r="O1065" s="188"/>
      <c r="P1065" s="160"/>
      <c r="Q1065" s="161"/>
      <c r="X1065"/>
    </row>
    <row r="1066" spans="1:26">
      <c r="A1066" s="122"/>
      <c r="B1066" s="122"/>
      <c r="C1066" s="122"/>
      <c r="D1066" s="122"/>
      <c r="E1066" s="122"/>
      <c r="F1066" s="122"/>
      <c r="G1066" s="285"/>
      <c r="H1066" s="285"/>
      <c r="I1066" s="286"/>
      <c r="J1066" s="162"/>
      <c r="K1066" s="163"/>
      <c r="L1066" s="24"/>
      <c r="M1066" s="164"/>
      <c r="N1066" s="165"/>
      <c r="O1066" s="188"/>
      <c r="P1066" s="160"/>
      <c r="Q1066" s="161"/>
      <c r="X1066"/>
    </row>
    <row r="1067" spans="1:26">
      <c r="A1067" s="122"/>
      <c r="B1067" s="122"/>
      <c r="C1067" s="122"/>
      <c r="D1067" s="122"/>
      <c r="E1067" s="122"/>
      <c r="F1067" s="122"/>
      <c r="G1067" s="285"/>
      <c r="H1067" s="285"/>
      <c r="I1067" s="286"/>
      <c r="J1067" s="162"/>
      <c r="K1067" s="163"/>
      <c r="L1067" s="24"/>
      <c r="M1067" s="164"/>
      <c r="N1067" s="165"/>
      <c r="O1067" s="188"/>
      <c r="P1067" s="160"/>
      <c r="Q1067" s="161"/>
      <c r="X1067"/>
    </row>
    <row r="1068" spans="1:26">
      <c r="A1068" s="122"/>
      <c r="B1068" s="122"/>
      <c r="C1068" s="122"/>
      <c r="D1068" s="122"/>
      <c r="E1068" s="122"/>
      <c r="F1068" s="122"/>
      <c r="G1068" s="285"/>
      <c r="H1068" s="285"/>
      <c r="I1068" s="286"/>
      <c r="J1068" s="162"/>
      <c r="K1068" s="163"/>
      <c r="L1068" s="24"/>
      <c r="M1068" s="164"/>
      <c r="N1068" s="165"/>
      <c r="O1068" s="188"/>
      <c r="P1068" s="160"/>
      <c r="Q1068" s="161"/>
      <c r="X1068"/>
    </row>
    <row r="1069" spans="1:26">
      <c r="A1069" s="122"/>
      <c r="B1069" s="122"/>
      <c r="C1069" s="122"/>
      <c r="D1069" s="122"/>
      <c r="E1069" s="122"/>
      <c r="F1069" s="122"/>
      <c r="G1069" s="285"/>
      <c r="H1069" s="285"/>
      <c r="I1069" s="286"/>
      <c r="J1069" s="162"/>
      <c r="K1069" s="163"/>
      <c r="L1069" s="24"/>
      <c r="M1069" s="164"/>
      <c r="N1069" s="165"/>
      <c r="O1069" s="188"/>
      <c r="P1069" s="160"/>
      <c r="Q1069" s="161"/>
      <c r="X1069"/>
    </row>
    <row r="1070" spans="1:26">
      <c r="A1070" s="122"/>
      <c r="B1070" s="122"/>
      <c r="C1070" s="122"/>
      <c r="D1070" s="122"/>
      <c r="E1070" s="122"/>
      <c r="F1070" s="122"/>
      <c r="G1070" s="285"/>
      <c r="H1070" s="285"/>
      <c r="I1070" s="286"/>
      <c r="J1070" s="162"/>
      <c r="K1070" s="163"/>
      <c r="L1070" s="24"/>
      <c r="M1070" s="164"/>
      <c r="N1070" s="165"/>
      <c r="O1070" s="188"/>
      <c r="P1070" s="160"/>
      <c r="Q1070" s="161"/>
      <c r="X1070"/>
    </row>
    <row r="1071" spans="1:26">
      <c r="A1071" s="171"/>
      <c r="B1071" s="171"/>
      <c r="C1071" s="122"/>
      <c r="D1071" s="122"/>
      <c r="E1071" s="122"/>
      <c r="F1071" s="122"/>
      <c r="G1071" s="285"/>
      <c r="H1071" s="285"/>
      <c r="I1071" s="286"/>
      <c r="J1071" s="162"/>
      <c r="K1071" s="163"/>
      <c r="L1071" s="24"/>
      <c r="M1071" s="164"/>
      <c r="N1071" s="172"/>
      <c r="O1071" s="188"/>
      <c r="P1071" s="171"/>
      <c r="Q1071" s="171"/>
      <c r="V1071" s="1"/>
      <c r="X1071"/>
      <c r="Z1071" s="25"/>
    </row>
    <row r="1072" spans="1:26">
      <c r="A1072" s="171"/>
      <c r="B1072" s="171"/>
      <c r="C1072" s="122"/>
      <c r="D1072" s="122"/>
      <c r="E1072" s="122"/>
      <c r="F1072" s="122"/>
      <c r="G1072" s="285"/>
      <c r="H1072" s="285"/>
      <c r="I1072" s="286"/>
      <c r="J1072" s="162"/>
      <c r="K1072" s="163"/>
      <c r="L1072" s="24"/>
      <c r="M1072" s="164"/>
      <c r="N1072" s="172"/>
      <c r="O1072" s="188"/>
      <c r="P1072" s="171"/>
      <c r="Q1072" s="171"/>
      <c r="X1072"/>
    </row>
    <row r="1073" spans="1:24">
      <c r="A1073" s="171"/>
      <c r="B1073" s="171"/>
      <c r="C1073" s="122"/>
      <c r="D1073" s="122"/>
      <c r="E1073" s="122"/>
      <c r="F1073" s="122"/>
      <c r="G1073" s="285"/>
      <c r="H1073" s="285"/>
      <c r="I1073" s="286"/>
      <c r="J1073" s="162"/>
      <c r="K1073" s="163"/>
      <c r="L1073" s="24"/>
      <c r="M1073" s="164"/>
      <c r="N1073" s="172"/>
      <c r="O1073" s="188"/>
      <c r="P1073" s="171"/>
      <c r="Q1073" s="171"/>
      <c r="X1073"/>
    </row>
    <row r="1074" spans="1:24">
      <c r="A1074" s="171"/>
      <c r="B1074" s="171"/>
      <c r="C1074" s="122"/>
      <c r="D1074" s="122"/>
      <c r="E1074" s="122"/>
      <c r="F1074" s="122"/>
      <c r="G1074" s="285"/>
      <c r="H1074" s="285"/>
      <c r="I1074" s="286"/>
      <c r="J1074" s="162"/>
      <c r="K1074" s="163"/>
      <c r="L1074" s="24"/>
      <c r="M1074" s="164"/>
      <c r="N1074" s="172"/>
      <c r="O1074" s="188"/>
      <c r="P1074" s="171"/>
      <c r="Q1074" s="171"/>
      <c r="X1074"/>
    </row>
    <row r="1075" spans="1:24">
      <c r="A1075" s="171"/>
      <c r="B1075" s="171"/>
      <c r="C1075" s="122"/>
      <c r="D1075" s="122"/>
      <c r="E1075" s="122"/>
      <c r="F1075" s="122"/>
      <c r="G1075" s="285"/>
      <c r="H1075" s="285"/>
      <c r="I1075" s="286"/>
      <c r="J1075" s="162"/>
      <c r="K1075" s="163"/>
      <c r="L1075" s="24"/>
      <c r="M1075" s="164"/>
      <c r="N1075" s="172"/>
      <c r="O1075" s="188"/>
      <c r="P1075" s="171"/>
      <c r="Q1075" s="171"/>
      <c r="R1075" s="7"/>
      <c r="X1075"/>
    </row>
    <row r="1076" spans="1:24">
      <c r="A1076" s="171"/>
      <c r="B1076" s="171"/>
      <c r="C1076" s="122"/>
      <c r="D1076" s="122"/>
      <c r="E1076" s="122"/>
      <c r="F1076" s="122"/>
      <c r="G1076" s="287"/>
      <c r="H1076" s="287"/>
      <c r="I1076" s="288"/>
      <c r="J1076" s="166"/>
      <c r="K1076" s="167"/>
      <c r="L1076" s="168"/>
      <c r="M1076" s="169"/>
      <c r="N1076" s="173"/>
      <c r="O1076" s="189"/>
      <c r="P1076" s="171"/>
      <c r="Q1076" s="171"/>
      <c r="R1076" s="7"/>
      <c r="X1076"/>
    </row>
    <row r="1077" spans="1:24">
      <c r="C1077" s="25"/>
      <c r="J1077"/>
      <c r="K1077"/>
      <c r="O1077" s="2"/>
      <c r="P1077" s="171"/>
      <c r="Q1077" s="171"/>
      <c r="R1077" s="8"/>
      <c r="X1077"/>
    </row>
    <row r="1078" spans="1:24">
      <c r="A1078" s="155"/>
      <c r="B1078" s="155"/>
      <c r="C1078" s="157"/>
      <c r="D1078" s="157"/>
      <c r="E1078" s="157"/>
      <c r="F1078" s="157"/>
      <c r="G1078" s="157"/>
      <c r="H1078" s="157"/>
      <c r="I1078" s="157"/>
      <c r="J1078" s="158"/>
      <c r="K1078" s="157"/>
      <c r="L1078" s="158"/>
      <c r="M1078" s="159"/>
      <c r="N1078" s="158"/>
      <c r="O1078" s="155"/>
      <c r="P1078" s="155"/>
      <c r="X1078"/>
    </row>
    <row r="1079" spans="1:24" ht="21">
      <c r="C1079" s="280" t="s">
        <v>8299</v>
      </c>
      <c r="D1079" s="281"/>
      <c r="K1079" s="123" t="s">
        <v>16</v>
      </c>
      <c r="L1079" s="108"/>
      <c r="M1079" s="108"/>
      <c r="O1079" s="25"/>
      <c r="P1079" s="25"/>
      <c r="X1079"/>
    </row>
    <row r="1080" spans="1:24">
      <c r="K1080" s="123" t="s">
        <v>1</v>
      </c>
      <c r="L1080" s="5"/>
      <c r="M1080" s="13">
        <f>SUBTOTAL(9,O2:O1076)</f>
        <v>10</v>
      </c>
      <c r="O1080" s="25"/>
      <c r="P1080" s="25"/>
      <c r="X1080"/>
    </row>
    <row r="1081" spans="1:24">
      <c r="C1081" s="123" t="s">
        <v>12</v>
      </c>
      <c r="D1081" s="123" t="s">
        <v>8297</v>
      </c>
      <c r="E1081" t="str">
        <f>"PO "&amp;C1081&amp;" LINE "&amp;D1081&amp;" "</f>
        <v xml:space="preserve">PO PO LINE LINE </v>
      </c>
      <c r="H1081" s="10" t="s">
        <v>33</v>
      </c>
      <c r="I1081" s="10" t="s">
        <v>0</v>
      </c>
      <c r="K1081" s="183"/>
      <c r="L1081" s="5"/>
      <c r="M1081" s="108"/>
      <c r="O1081" s="25"/>
      <c r="P1081" s="25"/>
      <c r="X1081"/>
    </row>
    <row r="1082" spans="1:24">
      <c r="C1082" s="36" t="s">
        <v>8438</v>
      </c>
      <c r="D1082" s="36" t="s">
        <v>8369</v>
      </c>
      <c r="E1082" t="str">
        <f t="shared" ref="E1082:E1087" si="0">"PO "&amp;C1082&amp;" LINE "&amp;D1082&amp;" "</f>
        <v xml:space="preserve">PO 6211HG3360340-2227 LINE 3 </v>
      </c>
      <c r="F1082" s="277"/>
      <c r="H1082" s="36" t="s">
        <v>1624</v>
      </c>
      <c r="I1082" s="36" t="s">
        <v>1954</v>
      </c>
      <c r="K1082" s="25" t="s">
        <v>18</v>
      </c>
      <c r="L1082" s="23" t="s">
        <v>3573</v>
      </c>
      <c r="M1082" s="108"/>
      <c r="O1082" s="26"/>
      <c r="P1082" s="26"/>
      <c r="X1082"/>
    </row>
    <row r="1083" spans="1:24">
      <c r="C1083" s="36" t="s">
        <v>8438</v>
      </c>
      <c r="D1083" s="36" t="s">
        <v>8370</v>
      </c>
      <c r="E1083" t="str">
        <f t="shared" si="0"/>
        <v xml:space="preserve">PO 6211HG3360340-2227 LINE 4 </v>
      </c>
      <c r="F1083" s="277"/>
      <c r="H1083" s="255"/>
      <c r="K1083" s="25" t="s">
        <v>19</v>
      </c>
      <c r="L1083" s="20">
        <v>0</v>
      </c>
      <c r="M1083" s="373" t="s">
        <v>22</v>
      </c>
      <c r="N1083" s="373"/>
      <c r="O1083" s="25"/>
      <c r="P1083" s="25"/>
      <c r="X1083"/>
    </row>
    <row r="1084" spans="1:24">
      <c r="C1084" s="36" t="s">
        <v>8438</v>
      </c>
      <c r="D1084" s="36" t="s">
        <v>8371</v>
      </c>
      <c r="E1084" t="str">
        <f t="shared" si="0"/>
        <v xml:space="preserve">PO 6211HG3360340-2227 LINE 6 </v>
      </c>
      <c r="F1084" s="277"/>
      <c r="G1084" s="255"/>
      <c r="H1084" s="255"/>
      <c r="K1084" s="25" t="s">
        <v>2</v>
      </c>
      <c r="L1084" s="17">
        <f>L1083</f>
        <v>0</v>
      </c>
      <c r="M1084" s="110" t="str">
        <f>IF(L1084=R1075,"0", ROUND(L1084*M1080,2))</f>
        <v>0</v>
      </c>
      <c r="O1084" s="25"/>
      <c r="P1084" s="25"/>
      <c r="X1084"/>
    </row>
    <row r="1085" spans="1:24">
      <c r="C1085" s="36" t="s">
        <v>8438</v>
      </c>
      <c r="D1085" s="36" t="s">
        <v>8296</v>
      </c>
      <c r="E1085" t="str">
        <f t="shared" si="0"/>
        <v xml:space="preserve">PO 6211HG3360340-2227 LINE 1 </v>
      </c>
      <c r="F1085" s="277"/>
      <c r="H1085" s="255"/>
      <c r="K1085" s="25" t="s">
        <v>3</v>
      </c>
      <c r="L1085" s="17">
        <f>IF(L1084="0%",100%,100%-L1084)</f>
        <v>1</v>
      </c>
      <c r="M1085" s="110">
        <f>ROUND(L1085*M1080,2)</f>
        <v>10</v>
      </c>
      <c r="O1085" s="25"/>
      <c r="P1085" s="25" t="s">
        <v>8376</v>
      </c>
      <c r="X1085"/>
    </row>
    <row r="1086" spans="1:24">
      <c r="C1086" s="36" t="s">
        <v>8438</v>
      </c>
      <c r="D1086" s="36" t="s">
        <v>8357</v>
      </c>
      <c r="E1086" t="str">
        <f t="shared" si="0"/>
        <v xml:space="preserve">PO 6211HG3360340-2227 LINE 2 </v>
      </c>
      <c r="F1086" s="277"/>
      <c r="G1086" s="255"/>
      <c r="M1086" s="108"/>
      <c r="O1086" s="25"/>
      <c r="P1086" s="25"/>
    </row>
    <row r="1087" spans="1:24">
      <c r="C1087" s="36" t="s">
        <v>8438</v>
      </c>
      <c r="D1087" s="36" t="s">
        <v>8373</v>
      </c>
      <c r="E1087" t="str">
        <f t="shared" si="0"/>
        <v xml:space="preserve">PO 6211HG3360340-2227 LINE 5 </v>
      </c>
      <c r="F1087" s="277"/>
      <c r="G1087" s="122"/>
      <c r="K1087" s="25" t="s">
        <v>5</v>
      </c>
      <c r="L1087" s="18">
        <f>IF(L1083="Não",100%,100%-L1083)</f>
        <v>1</v>
      </c>
      <c r="M1087" s="16">
        <f>ROUND(L1087*M1080,2)</f>
        <v>10</v>
      </c>
      <c r="O1087" s="25"/>
      <c r="P1087" s="25"/>
      <c r="U1087" s="25"/>
      <c r="X1087"/>
    </row>
    <row r="1088" spans="1:24">
      <c r="C1088" s="36"/>
      <c r="D1088" s="36"/>
      <c r="F1088" s="277"/>
      <c r="K1088" s="25" t="s">
        <v>4</v>
      </c>
      <c r="L1088" s="18">
        <v>1</v>
      </c>
      <c r="M1088" s="16">
        <f>ROUND(L1088*M1080,2)</f>
        <v>10</v>
      </c>
      <c r="O1088" s="25"/>
      <c r="P1088" s="25"/>
      <c r="U1088" s="25"/>
      <c r="X1088"/>
    </row>
    <row r="1089" spans="3:24">
      <c r="C1089" s="36"/>
      <c r="D1089" s="36"/>
      <c r="F1089" s="277"/>
      <c r="K1089" s="183"/>
      <c r="L1089" s="5"/>
      <c r="M1089" s="108"/>
      <c r="O1089" s="25"/>
      <c r="P1089" s="25"/>
      <c r="U1089" s="25"/>
      <c r="X1089"/>
    </row>
    <row r="1090" spans="3:24">
      <c r="C1090" s="36"/>
      <c r="D1090" s="36"/>
      <c r="F1090" s="277"/>
      <c r="K1090" s="25" t="s">
        <v>23</v>
      </c>
      <c r="L1090" s="21">
        <v>0.05</v>
      </c>
      <c r="M1090" s="16">
        <f>ROUND(L1090*M1087,2)</f>
        <v>0.5</v>
      </c>
      <c r="O1090" s="25"/>
      <c r="P1090" s="25"/>
      <c r="U1090" s="25"/>
      <c r="X1090"/>
    </row>
    <row r="1091" spans="3:24">
      <c r="C1091" s="36"/>
      <c r="D1091" s="113"/>
      <c r="F1091" s="277"/>
      <c r="G1091" s="171"/>
      <c r="K1091" s="25" t="s">
        <v>20</v>
      </c>
      <c r="L1091" s="19">
        <v>3.5000000000000003E-2</v>
      </c>
      <c r="M1091" s="16">
        <f>ROUND(L1091*M1088,2)</f>
        <v>0.35</v>
      </c>
      <c r="O1091" s="25"/>
      <c r="P1091" s="25"/>
      <c r="U1091" s="25"/>
      <c r="X1091"/>
    </row>
    <row r="1092" spans="3:24">
      <c r="C1092" s="36"/>
      <c r="D1092" s="113"/>
      <c r="F1092" s="277"/>
      <c r="K1092" s="183"/>
      <c r="L1092" s="5"/>
      <c r="M1092" s="108"/>
      <c r="O1092" s="25"/>
      <c r="P1092" s="25"/>
      <c r="U1092" s="25"/>
      <c r="X1092"/>
    </row>
    <row r="1093" spans="3:24">
      <c r="C1093" s="36"/>
      <c r="D1093" s="113"/>
      <c r="F1093" s="277"/>
      <c r="K1093" s="123" t="s">
        <v>21</v>
      </c>
      <c r="L1093" s="4"/>
      <c r="M1093" s="6">
        <f>M1080-M1090-M1091</f>
        <v>9.15</v>
      </c>
      <c r="O1093" s="25"/>
      <c r="P1093" s="25"/>
      <c r="U1093" s="25"/>
      <c r="X1093"/>
    </row>
    <row r="1094" spans="3:24">
      <c r="C1094" s="36"/>
      <c r="D1094" s="113"/>
      <c r="F1094" s="277"/>
      <c r="J1094" s="295"/>
      <c r="K1094" s="183"/>
      <c r="L1094" s="5"/>
      <c r="M1094" s="108"/>
      <c r="O1094" s="25"/>
      <c r="P1094" s="25"/>
      <c r="U1094" s="25"/>
      <c r="X1094"/>
    </row>
    <row r="1095" spans="3:24">
      <c r="C1095" s="36"/>
      <c r="D1095" s="113"/>
      <c r="F1095" s="277"/>
      <c r="H1095" t="s">
        <v>8303</v>
      </c>
      <c r="K1095" s="193" t="s">
        <v>3452</v>
      </c>
      <c r="L1095" s="11"/>
      <c r="M1095" s="11"/>
      <c r="N1095" s="11"/>
      <c r="O1095" s="11"/>
      <c r="P1095" s="11"/>
      <c r="Q1095" s="27"/>
      <c r="R1095" s="11"/>
      <c r="S1095" s="11"/>
      <c r="T1095" s="11"/>
      <c r="U1095" s="11"/>
      <c r="V1095" s="11"/>
      <c r="W1095" s="11"/>
      <c r="X1095" s="11"/>
    </row>
    <row r="1096" spans="3:24">
      <c r="C1096" s="117"/>
      <c r="D1096" s="117"/>
      <c r="F1096" s="277"/>
      <c r="H1096" s="255"/>
      <c r="K1096" s="276" t="str">
        <f>E1082&amp;E1083&amp;E1084&amp;E1085&amp;E1086&amp;E1087&amp;E1088&amp;E1089&amp;E1090&amp;E1091&amp;E1092&amp;E1093&amp;E1094&amp;E1095&amp;E1096&amp;E1097&amp;E1098&amp;E1099&amp;E1100&amp;E1101&amp;E1102&amp;E1103&amp;E1104&amp;E1105&amp;E1106&amp;E1127</f>
        <v xml:space="preserve">PO 6211HG3360340-2227 LINE 3 PO 6211HG3360340-2227 LINE 4 PO 6211HG3360340-2227 LINE 6 PO 6211HG3360340-2227 LINE 1 PO 6211HG3360340-2227 LINE 2 PO 6211HG3360340-2227 LINE 5 </v>
      </c>
      <c r="L1096" s="11"/>
      <c r="M1096" s="14"/>
      <c r="N1096" s="11"/>
      <c r="O1096" s="27"/>
      <c r="P1096" s="27"/>
      <c r="U1096" s="25"/>
      <c r="X1096"/>
    </row>
    <row r="1097" spans="3:24">
      <c r="C1097" s="117"/>
      <c r="D1097" s="117"/>
      <c r="F1097" s="277"/>
      <c r="H1097" s="255"/>
      <c r="K1097" s="192" t="str">
        <f>CONCATENATE("Município: "&amp;H1082&amp;" /"&amp;I1082)</f>
        <v>Município: SANTA CRUZ /RN</v>
      </c>
      <c r="L1097" s="11"/>
      <c r="M1097" s="14"/>
      <c r="N1097" s="11"/>
      <c r="O1097" s="27"/>
      <c r="P1097" s="27"/>
      <c r="U1097" s="25"/>
      <c r="X1097"/>
    </row>
    <row r="1098" spans="3:24">
      <c r="C1098" s="117"/>
      <c r="D1098" s="117"/>
      <c r="F1098" s="277"/>
      <c r="K1098" s="192" t="str">
        <f>CONCATENATE("Material "&amp;L1084*100&amp;"% - R$ "&amp;M1084&amp;"       "&amp;"Serviço "&amp;L1085*100&amp;"% - R$ "&amp;M1085)</f>
        <v>Material 0% - R$ 0       Serviço 100% - R$ 10</v>
      </c>
      <c r="L1098" s="11"/>
      <c r="M1098" s="14"/>
      <c r="N1098" s="11"/>
      <c r="O1098" s="27"/>
      <c r="P1098" s="27"/>
      <c r="U1098" s="25"/>
      <c r="X1098"/>
    </row>
    <row r="1099" spans="3:24">
      <c r="C1099" s="117"/>
      <c r="D1099" s="117"/>
      <c r="F1099" s="277"/>
      <c r="H1099" s="255"/>
      <c r="K1099" s="192" t="str">
        <f>CONCATENATE("Base de Cálculo ISS - R$ "&amp;M1087&amp;"      "&amp;"Base de Cálculo INSS - R$ "&amp;M1088)</f>
        <v>Base de Cálculo ISS - R$ 10      Base de Cálculo INSS - R$ 10</v>
      </c>
      <c r="L1099" s="11"/>
      <c r="M1099" s="14"/>
      <c r="N1099" s="11"/>
      <c r="O1099" s="27"/>
      <c r="P1099" s="27"/>
      <c r="U1099" s="25"/>
      <c r="X1099"/>
    </row>
    <row r="1100" spans="3:24">
      <c r="C1100" s="117"/>
      <c r="D1100" s="117"/>
      <c r="F1100" s="277"/>
      <c r="H1100" s="255"/>
      <c r="K1100" s="192" t="str">
        <f>CONCATENATE("Retenções ISS "&amp;L1090*100&amp;"%"&amp;"   Município:  "&amp;H1082&amp;" /"&amp;I1082&amp;"      "&amp;" Retenções INSS "&amp;L1091*100&amp;"% ")</f>
        <v xml:space="preserve">Retenções ISS 5%   Município:  SANTA CRUZ /RN       Retenções INSS 3,5% </v>
      </c>
      <c r="L1100" s="11"/>
      <c r="M1100" s="14"/>
      <c r="N1100" s="11"/>
      <c r="O1100" s="27"/>
      <c r="P1100" s="27"/>
      <c r="U1100" s="25"/>
      <c r="X1100"/>
    </row>
    <row r="1101" spans="3:24">
      <c r="C1101" s="117"/>
      <c r="D1101" s="117"/>
      <c r="F1101" s="277"/>
      <c r="H1101" s="255"/>
      <c r="K1101" s="192" t="s">
        <v>15</v>
      </c>
      <c r="L1101" s="11"/>
      <c r="M1101" s="14"/>
      <c r="N1101" s="11"/>
      <c r="O1101" s="27"/>
      <c r="P1101" s="27"/>
      <c r="U1101" s="25"/>
      <c r="X1101"/>
    </row>
    <row r="1102" spans="3:24">
      <c r="C1102" s="117"/>
      <c r="D1102" s="117"/>
      <c r="F1102" s="277"/>
      <c r="H1102" s="255"/>
      <c r="J1102" s="35" t="s">
        <v>25</v>
      </c>
      <c r="K1102" s="184" t="str">
        <f>IFERROR(IF(H1082="","",VLOOKUP(H1082&amp;" / "&amp;I1082,#REF!,2,FALSE)),"")</f>
        <v/>
      </c>
      <c r="L1102" s="28"/>
      <c r="M1102" s="111"/>
      <c r="N1102" s="28"/>
      <c r="O1102" s="28"/>
      <c r="P1102" s="28"/>
      <c r="U1102" s="25"/>
      <c r="X1102"/>
    </row>
    <row r="1103" spans="3:24">
      <c r="C1103" s="117"/>
      <c r="D1103" s="117"/>
      <c r="F1103" s="277"/>
      <c r="H1103" s="255"/>
      <c r="U1103" s="25"/>
      <c r="X1103"/>
    </row>
    <row r="1104" spans="3:24">
      <c r="C1104" s="117"/>
      <c r="D1104" s="117"/>
      <c r="F1104" s="277"/>
      <c r="H1104" s="255"/>
      <c r="U1104" s="25"/>
      <c r="X1104"/>
    </row>
    <row r="1105" spans="3:24">
      <c r="C1105" s="117"/>
      <c r="D1105" s="117"/>
      <c r="F1105" s="277"/>
      <c r="G1105" s="255"/>
      <c r="H1105" s="255"/>
      <c r="U1105" s="25"/>
      <c r="X1105"/>
    </row>
    <row r="1106" spans="3:24">
      <c r="C1106" s="117"/>
      <c r="D1106" s="117"/>
      <c r="F1106" s="277"/>
      <c r="G1106" s="255"/>
      <c r="H1106" s="255"/>
      <c r="U1106" s="25"/>
      <c r="X1106"/>
    </row>
    <row r="1107" spans="3:24">
      <c r="F1107" s="277"/>
      <c r="G1107" s="255"/>
      <c r="H1107" s="255"/>
      <c r="U1107" s="25"/>
      <c r="X1107"/>
    </row>
    <row r="1108" spans="3:24">
      <c r="F1108" s="277"/>
      <c r="G1108" s="255"/>
      <c r="H1108" s="255"/>
      <c r="U1108" s="25"/>
      <c r="X1108"/>
    </row>
    <row r="1109" spans="3:24">
      <c r="F1109" s="277"/>
      <c r="G1109" s="255"/>
      <c r="H1109" s="255"/>
      <c r="U1109" s="25"/>
      <c r="X1109"/>
    </row>
    <row r="1110" spans="3:24">
      <c r="F1110" s="277"/>
      <c r="G1110" s="255"/>
      <c r="H1110" s="255"/>
      <c r="U1110" s="25"/>
      <c r="X1110"/>
    </row>
    <row r="1111" spans="3:24">
      <c r="F1111" s="277"/>
      <c r="G1111" s="255"/>
      <c r="H1111" s="255"/>
      <c r="U1111" s="25"/>
      <c r="X1111"/>
    </row>
    <row r="1112" spans="3:24">
      <c r="F1112" s="277"/>
      <c r="G1112" s="255"/>
      <c r="H1112" s="255"/>
      <c r="U1112" s="25"/>
      <c r="X1112"/>
    </row>
    <row r="1113" spans="3:24">
      <c r="F1113" s="277"/>
      <c r="G1113" s="255"/>
      <c r="H1113" s="255"/>
      <c r="U1113" s="25"/>
      <c r="X1113"/>
    </row>
    <row r="1114" spans="3:24">
      <c r="F1114" s="277"/>
      <c r="G1114" s="255"/>
      <c r="H1114" s="255"/>
      <c r="U1114" s="25"/>
      <c r="X1114"/>
    </row>
    <row r="1115" spans="3:24">
      <c r="F1115" s="277"/>
      <c r="G1115" s="255"/>
      <c r="H1115" s="255"/>
      <c r="U1115" s="25"/>
      <c r="X1115"/>
    </row>
    <row r="1116" spans="3:24">
      <c r="F1116" s="277"/>
      <c r="G1116" s="255"/>
      <c r="H1116" s="255"/>
      <c r="U1116" s="25"/>
      <c r="X1116"/>
    </row>
    <row r="1117" spans="3:24">
      <c r="F1117" s="277"/>
      <c r="G1117" s="255"/>
      <c r="H1117" s="255"/>
      <c r="W1117" s="25"/>
      <c r="X1117"/>
    </row>
    <row r="1118" spans="3:24">
      <c r="F1118" s="277"/>
      <c r="G1118" s="255"/>
      <c r="H1118" s="255"/>
      <c r="W1118" s="25"/>
      <c r="X1118"/>
    </row>
    <row r="1119" spans="3:24">
      <c r="F1119" s="277"/>
      <c r="G1119" s="255"/>
      <c r="H1119" s="255"/>
      <c r="W1119" s="25"/>
      <c r="X1119"/>
    </row>
    <row r="1120" spans="3:24">
      <c r="F1120" s="277"/>
      <c r="G1120" s="255"/>
      <c r="H1120" s="255"/>
      <c r="W1120" s="25"/>
      <c r="X1120"/>
    </row>
    <row r="1121" spans="6:24">
      <c r="F1121" s="277"/>
      <c r="G1121" s="255"/>
      <c r="H1121" s="255"/>
      <c r="W1121" s="25"/>
      <c r="X1121"/>
    </row>
    <row r="1122" spans="6:24">
      <c r="G1122" s="255"/>
      <c r="H1122" s="255"/>
      <c r="W1122" s="25"/>
      <c r="X1122"/>
    </row>
    <row r="1123" spans="6:24">
      <c r="G1123" s="255"/>
      <c r="H1123" s="255"/>
      <c r="W1123" s="25"/>
      <c r="X1123"/>
    </row>
    <row r="1124" spans="6:24">
      <c r="G1124" s="255"/>
      <c r="H1124" s="255"/>
      <c r="W1124" s="25"/>
      <c r="X1124"/>
    </row>
    <row r="1125" spans="6:24">
      <c r="G1125" s="255"/>
      <c r="H1125" s="255"/>
      <c r="W1125" s="25"/>
      <c r="X1125"/>
    </row>
    <row r="1126" spans="6:24">
      <c r="G1126" s="255"/>
      <c r="H1126" s="255"/>
      <c r="W1126" s="25"/>
      <c r="X1126"/>
    </row>
    <row r="1127" spans="6:24">
      <c r="H1127" s="255"/>
      <c r="W1127" s="25"/>
      <c r="X1127"/>
    </row>
    <row r="1128" spans="6:24">
      <c r="G1128" s="255"/>
      <c r="H1128" s="255"/>
      <c r="W1128" s="25"/>
      <c r="X1128"/>
    </row>
    <row r="1129" spans="6:24">
      <c r="G1129" s="255"/>
      <c r="H1129" s="255"/>
      <c r="W1129" s="25"/>
      <c r="X1129"/>
    </row>
    <row r="1130" spans="6:24">
      <c r="G1130" s="255"/>
      <c r="H1130" s="255"/>
      <c r="W1130" s="25"/>
      <c r="X1130"/>
    </row>
    <row r="1131" spans="6:24">
      <c r="G1131" s="255"/>
      <c r="H1131" s="255"/>
      <c r="W1131" s="25"/>
      <c r="X1131"/>
    </row>
    <row r="1132" spans="6:24">
      <c r="G1132" s="255"/>
      <c r="H1132" s="255"/>
      <c r="W1132" s="25"/>
      <c r="X1132"/>
    </row>
    <row r="1133" spans="6:24">
      <c r="G1133" s="255"/>
      <c r="H1133" s="255"/>
      <c r="W1133" s="25"/>
      <c r="X1133"/>
    </row>
    <row r="1134" spans="6:24">
      <c r="W1134" s="25"/>
      <c r="X1134"/>
    </row>
    <row r="1135" spans="6:24">
      <c r="W1135" s="25"/>
      <c r="X1135"/>
    </row>
    <row r="1136" spans="6:24">
      <c r="W1136" s="25"/>
      <c r="X1136"/>
    </row>
    <row r="1137" spans="23:24">
      <c r="W1137" s="25"/>
      <c r="X1137"/>
    </row>
    <row r="1138" spans="23:24">
      <c r="W1138" s="25"/>
      <c r="X1138"/>
    </row>
    <row r="1139" spans="23:24">
      <c r="W1139" s="25"/>
      <c r="X1139"/>
    </row>
    <row r="1140" spans="23:24">
      <c r="W1140" s="25"/>
      <c r="X1140"/>
    </row>
    <row r="1141" spans="23:24">
      <c r="W1141" s="25"/>
      <c r="X1141"/>
    </row>
    <row r="1142" spans="23:24">
      <c r="W1142" s="25"/>
      <c r="X1142"/>
    </row>
    <row r="1143" spans="23:24">
      <c r="W1143" s="25"/>
      <c r="X1143"/>
    </row>
    <row r="1144" spans="23:24">
      <c r="W1144" s="25"/>
      <c r="X1144"/>
    </row>
    <row r="1145" spans="23:24">
      <c r="W1145" s="25"/>
      <c r="X1145"/>
    </row>
    <row r="1146" spans="23:24">
      <c r="W1146" s="25"/>
      <c r="X1146"/>
    </row>
    <row r="1147" spans="23:24">
      <c r="W1147" s="25"/>
      <c r="X1147"/>
    </row>
    <row r="1148" spans="23:24">
      <c r="W1148" s="25"/>
      <c r="X1148"/>
    </row>
    <row r="1149" spans="23:24">
      <c r="W1149" s="25"/>
      <c r="X1149"/>
    </row>
    <row r="1150" spans="23:24">
      <c r="W1150" s="25"/>
      <c r="X1150"/>
    </row>
    <row r="1151" spans="23:24">
      <c r="W1151" s="25"/>
      <c r="X1151"/>
    </row>
    <row r="1152" spans="23:24">
      <c r="W1152" s="25"/>
      <c r="X1152"/>
    </row>
    <row r="1153" spans="23:24">
      <c r="W1153" s="25"/>
      <c r="X1153"/>
    </row>
    <row r="1154" spans="23:24">
      <c r="W1154" s="25"/>
      <c r="X1154"/>
    </row>
    <row r="1155" spans="23:24">
      <c r="W1155" s="25"/>
      <c r="X1155"/>
    </row>
    <row r="1156" spans="23:24">
      <c r="W1156" s="25"/>
      <c r="X1156"/>
    </row>
    <row r="1157" spans="23:24">
      <c r="W1157" s="25"/>
      <c r="X1157"/>
    </row>
    <row r="1158" spans="23:24">
      <c r="W1158" s="25"/>
      <c r="X1158"/>
    </row>
    <row r="1159" spans="23:24">
      <c r="W1159" s="25"/>
      <c r="X1159"/>
    </row>
    <row r="1160" spans="23:24">
      <c r="W1160" s="25"/>
      <c r="X1160"/>
    </row>
    <row r="1161" spans="23:24">
      <c r="W1161" s="25"/>
      <c r="X1161"/>
    </row>
    <row r="1162" spans="23:24">
      <c r="W1162" s="25"/>
      <c r="X1162"/>
    </row>
    <row r="1163" spans="23:24">
      <c r="W1163" s="25"/>
      <c r="X1163"/>
    </row>
    <row r="1164" spans="23:24">
      <c r="W1164" s="25"/>
      <c r="X1164"/>
    </row>
    <row r="1165" spans="23:24">
      <c r="W1165" s="25"/>
      <c r="X1165"/>
    </row>
    <row r="1166" spans="23:24">
      <c r="W1166" s="25"/>
      <c r="X1166"/>
    </row>
    <row r="1167" spans="23:24">
      <c r="W1167" s="25"/>
      <c r="X1167"/>
    </row>
    <row r="1168" spans="23:24">
      <c r="W1168" s="25"/>
      <c r="X1168"/>
    </row>
    <row r="1169" spans="23:24">
      <c r="W1169" s="25"/>
      <c r="X1169"/>
    </row>
    <row r="1170" spans="23:24">
      <c r="W1170" s="25"/>
      <c r="X1170"/>
    </row>
    <row r="1171" spans="23:24">
      <c r="W1171" s="25"/>
      <c r="X1171"/>
    </row>
    <row r="1172" spans="23:24">
      <c r="W1172" s="25"/>
      <c r="X1172"/>
    </row>
    <row r="1173" spans="23:24">
      <c r="W1173" s="25"/>
      <c r="X1173"/>
    </row>
    <row r="1174" spans="23:24">
      <c r="W1174" s="25"/>
      <c r="X1174"/>
    </row>
    <row r="1175" spans="23:24">
      <c r="W1175" s="25"/>
      <c r="X1175"/>
    </row>
    <row r="1176" spans="23:24">
      <c r="W1176" s="25"/>
      <c r="X1176"/>
    </row>
    <row r="1177" spans="23:24">
      <c r="W1177" s="25"/>
      <c r="X1177"/>
    </row>
    <row r="1178" spans="23:24">
      <c r="W1178" s="25"/>
      <c r="X1178"/>
    </row>
    <row r="1179" spans="23:24">
      <c r="W1179" s="25"/>
      <c r="X1179"/>
    </row>
    <row r="1180" spans="23:24">
      <c r="W1180" s="25"/>
      <c r="X1180"/>
    </row>
    <row r="1181" spans="23:24">
      <c r="W1181" s="25"/>
      <c r="X1181"/>
    </row>
    <row r="1182" spans="23:24">
      <c r="W1182" s="25"/>
      <c r="X1182"/>
    </row>
    <row r="1183" spans="23:24">
      <c r="W1183" s="25"/>
      <c r="X1183"/>
    </row>
    <row r="1184" spans="23:24">
      <c r="W1184" s="25"/>
      <c r="X1184"/>
    </row>
    <row r="1185" spans="23:24">
      <c r="W1185" s="25"/>
      <c r="X1185"/>
    </row>
    <row r="1186" spans="23:24">
      <c r="W1186" s="25"/>
      <c r="X1186"/>
    </row>
    <row r="1187" spans="23:24">
      <c r="W1187" s="25"/>
      <c r="X1187"/>
    </row>
    <row r="1188" spans="23:24">
      <c r="W1188" s="25"/>
      <c r="X1188"/>
    </row>
    <row r="1189" spans="23:24">
      <c r="W1189" s="25"/>
      <c r="X1189"/>
    </row>
    <row r="1190" spans="23:24">
      <c r="W1190" s="25"/>
      <c r="X1190"/>
    </row>
    <row r="1191" spans="23:24">
      <c r="W1191" s="25"/>
      <c r="X1191"/>
    </row>
    <row r="1192" spans="23:24">
      <c r="W1192" s="25"/>
      <c r="X1192"/>
    </row>
    <row r="1193" spans="23:24">
      <c r="W1193" s="25"/>
      <c r="X1193"/>
    </row>
    <row r="1194" spans="23:24">
      <c r="W1194" s="25"/>
      <c r="X1194"/>
    </row>
    <row r="1195" spans="23:24">
      <c r="W1195" s="25"/>
      <c r="X1195"/>
    </row>
    <row r="1196" spans="23:24">
      <c r="W1196" s="25"/>
      <c r="X1196"/>
    </row>
    <row r="1197" spans="23:24">
      <c r="W1197" s="25"/>
      <c r="X1197"/>
    </row>
    <row r="1198" spans="23:24">
      <c r="W1198" s="25"/>
      <c r="X1198"/>
    </row>
    <row r="1199" spans="23:24">
      <c r="W1199" s="25"/>
      <c r="X1199"/>
    </row>
    <row r="1200" spans="23:24">
      <c r="W1200" s="25"/>
      <c r="X1200"/>
    </row>
    <row r="1201" spans="23:24">
      <c r="W1201" s="25"/>
      <c r="X1201"/>
    </row>
    <row r="1202" spans="23:24">
      <c r="W1202" s="25"/>
      <c r="X1202"/>
    </row>
    <row r="1203" spans="23:24">
      <c r="W1203" s="25"/>
      <c r="X1203"/>
    </row>
    <row r="1204" spans="23:24">
      <c r="W1204" s="25"/>
      <c r="X1204"/>
    </row>
    <row r="1205" spans="23:24">
      <c r="W1205" s="25"/>
      <c r="X1205"/>
    </row>
    <row r="1206" spans="23:24">
      <c r="W1206" s="25"/>
      <c r="X1206"/>
    </row>
    <row r="1207" spans="23:24">
      <c r="W1207" s="25"/>
      <c r="X1207"/>
    </row>
    <row r="1208" spans="23:24">
      <c r="W1208" s="25"/>
      <c r="X1208"/>
    </row>
    <row r="1209" spans="23:24">
      <c r="W1209" s="25"/>
      <c r="X1209"/>
    </row>
    <row r="1210" spans="23:24">
      <c r="W1210" s="25"/>
      <c r="X1210"/>
    </row>
    <row r="1211" spans="23:24">
      <c r="W1211" s="25"/>
      <c r="X1211"/>
    </row>
    <row r="1212" spans="23:24">
      <c r="W1212" s="25"/>
      <c r="X1212"/>
    </row>
  </sheetData>
  <autoFilter ref="C1081:D1098" xr:uid="{00000000-0009-0000-0000-000003000000}"/>
  <sortState xmlns:xlrd2="http://schemas.microsoft.com/office/spreadsheetml/2017/richdata2" ref="C1082:D1098">
    <sortCondition ref="C1082:C1098"/>
  </sortState>
  <mergeCells count="2">
    <mergeCell ref="M1083:N1083"/>
    <mergeCell ref="C1:G1"/>
  </mergeCells>
  <phoneticPr fontId="10" type="noConversion"/>
  <conditionalFormatting sqref="C1082:D1106">
    <cfRule type="cellIs" dxfId="519" priority="1" operator="equal">
      <formula>"PENDENTE"</formula>
    </cfRule>
  </conditionalFormatting>
  <conditionalFormatting sqref="C1127:G1127">
    <cfRule type="cellIs" dxfId="518" priority="34" operator="equal">
      <formula>"PENDENTE"</formula>
    </cfRule>
  </conditionalFormatting>
  <conditionalFormatting sqref="G2:H1076 C1128:D1240">
    <cfRule type="cellIs" dxfId="517" priority="44" operator="equal">
      <formula>"PENDENTE"</formula>
    </cfRule>
  </conditionalFormatting>
  <dataValidations count="1">
    <dataValidation type="list" allowBlank="1" showInputMessage="1" showErrorMessage="1" sqref="L1082" xr:uid="{00000000-0002-0000-0300-000000000000}">
      <formula1>"Sim, Não"</formula1>
    </dataValidation>
  </dataValidations>
  <pageMargins left="0.511811024" right="0.511811024" top="0.78740157499999996" bottom="0.78740157499999996" header="0.31496062000000002" footer="0.31496062000000002"/>
  <pageSetup paperSize="9" orientation="portrait" horizontalDpi="360" verticalDpi="36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119"/>
  <sheetViews>
    <sheetView zoomScaleNormal="100" workbookViewId="0">
      <selection activeCell="O4" sqref="A4:O4"/>
    </sheetView>
  </sheetViews>
  <sheetFormatPr defaultRowHeight="14.4"/>
  <cols>
    <col min="1" max="1" width="13.109375" customWidth="1"/>
    <col min="2" max="2" width="21" customWidth="1"/>
    <col min="3" max="3" width="26.33203125" style="25" customWidth="1"/>
    <col min="4" max="4" width="11.44140625" customWidth="1"/>
    <col min="5" max="5" width="18.5546875" style="9" customWidth="1"/>
    <col min="6" max="6" width="13.5546875" style="9" customWidth="1"/>
    <col min="7" max="7" width="20.88671875" style="9" customWidth="1"/>
    <col min="8" max="8" width="13.109375" style="9" customWidth="1"/>
    <col min="9" max="9" width="13.88671875" style="107" customWidth="1"/>
    <col min="10" max="10" width="19" style="25" customWidth="1"/>
    <col min="11" max="11" width="16.44140625" style="25" customWidth="1"/>
    <col min="12" max="12" width="17.5546875" customWidth="1"/>
    <col min="13" max="13" width="18.6640625" bestFit="1" customWidth="1"/>
    <col min="14" max="14" width="11.109375" style="9" customWidth="1"/>
    <col min="15" max="15" width="18.6640625" bestFit="1" customWidth="1"/>
    <col min="16" max="16" width="9.109375" style="59"/>
    <col min="17" max="17" width="9.109375" style="1"/>
  </cols>
  <sheetData>
    <row r="1" spans="1:17">
      <c r="K1" s="25" t="s">
        <v>8287</v>
      </c>
      <c r="L1" s="2">
        <f>M1-RESUMO!C5</f>
        <v>1259.028</v>
      </c>
      <c r="M1" s="219">
        <f>SUM(Tabela6[Valor da Parcela])</f>
        <v>1279.028</v>
      </c>
      <c r="P1" s="220"/>
      <c r="Q1" s="221"/>
    </row>
    <row r="2" spans="1:17">
      <c r="M2" s="222"/>
      <c r="P2" s="220"/>
      <c r="Q2" s="221"/>
    </row>
    <row r="3" spans="1:17" ht="29.4" customHeight="1">
      <c r="A3" s="223" t="s">
        <v>133</v>
      </c>
      <c r="B3" s="223" t="s">
        <v>39</v>
      </c>
      <c r="C3" s="224" t="s">
        <v>33</v>
      </c>
      <c r="D3" s="224" t="s">
        <v>0</v>
      </c>
      <c r="E3" s="224" t="s">
        <v>34</v>
      </c>
      <c r="F3" s="298" t="s">
        <v>2452</v>
      </c>
      <c r="G3" s="224" t="s">
        <v>12</v>
      </c>
      <c r="H3" s="224" t="s">
        <v>8297</v>
      </c>
      <c r="I3" s="224" t="s">
        <v>2456</v>
      </c>
      <c r="J3" s="224" t="s">
        <v>35</v>
      </c>
      <c r="K3" s="225" t="s">
        <v>36</v>
      </c>
      <c r="L3" s="224" t="s">
        <v>37</v>
      </c>
      <c r="M3" s="226" t="s">
        <v>38</v>
      </c>
      <c r="N3" s="227" t="s">
        <v>46</v>
      </c>
      <c r="O3" s="228" t="s">
        <v>47</v>
      </c>
      <c r="P3"/>
      <c r="Q3"/>
    </row>
    <row r="4" spans="1:17">
      <c r="A4" s="122" t="str">
        <f>IF(VLOOKUP(Tabela6[[#This Row],[UF]],'BASE CC'!B:C,2,0)="SP",IF(Tabela6[[#This Row],[OPERADORA]]="TIM","SP TIM","SPI"),VLOOKUP(Tabela6[[#This Row],[UF]],'BASE CC'!B:C,2,0))</f>
        <v>NE2</v>
      </c>
      <c r="B4" s="36">
        <f>VLOOKUP(Tabela_Base_Financeiro[[#This Row],[Item code]],'COD.FAT'!B:C,2,0)</f>
        <v>7.03</v>
      </c>
      <c r="C4" s="292" t="str">
        <f>Tabela_Base_Financeiro[[#This Row],[PO Ship TO]]</f>
        <v>BR_CE_AQUIRAZ_Tax</v>
      </c>
      <c r="D4" s="36" t="str">
        <f>RIGHT(Tabela_Base_Financeiro[[#This Row],[Manufacturer]],2)</f>
        <v>CE</v>
      </c>
      <c r="E4" s="122" t="str">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CEAQU07</v>
      </c>
      <c r="F4" s="122" t="str">
        <f>VLOOKUP(Tabela_Base_Financeiro[[#This Row],[Project Code]],'COD. PROJETOS'!B:D,3,0)</f>
        <v>CLARO</v>
      </c>
      <c r="G4" s="36" t="str">
        <f>IFERROR(Tabela_Base_Financeiro[[#This Row],[PO No,]],0)</f>
        <v>6211HG3360340-1482</v>
      </c>
      <c r="H4" s="36" t="str">
        <f>IFERROR(Tabela_Base_Financeiro[[#This Row],[Line No,]],0)</f>
        <v>1</v>
      </c>
      <c r="I4" s="36" t="str">
        <f>IFERROR(MID(Tabela_Base_Financeiro[[#This Row],[Manufacturer]],19,14),"")</f>
        <v>20250326476411</v>
      </c>
      <c r="J4" s="113">
        <f>IFERROR(Tabela_Base_Financeiro[[#This Row],[Item code]],0)</f>
        <v>8812441617</v>
      </c>
      <c r="K4" s="293" t="str">
        <f>IFERROR(Tabela_Base_Financeiro[[#This Row],[Unit Price]],0)</f>
        <v>1240,5</v>
      </c>
      <c r="L4" s="36" t="str">
        <f>IFERROR(Tabela_Base_Financeiro[[#This Row],[AC Qty,]],0)</f>
        <v>1,0000000000</v>
      </c>
      <c r="M4" s="60">
        <f>Tabela6[[#This Row],[Qty]]*Tabela6[[#This Row],[Preço]]</f>
        <v>1240.5</v>
      </c>
      <c r="N4" s="37" t="str">
        <f>IFERROR(Tabela_Base_Financeiro[[#This Row],[Proportion]],0)</f>
        <v>1</v>
      </c>
      <c r="O4" s="60">
        <f>Tabela6[[#This Row],[Proporção]]*Tabela6[[#This Row],[Total]]</f>
        <v>1240.5</v>
      </c>
      <c r="P4"/>
      <c r="Q4"/>
    </row>
    <row r="5" spans="1:17">
      <c r="A5" s="122" t="str">
        <f>IF(VLOOKUP(Tabela6[[#This Row],[UF]],'BASE CC'!B:C,2,0)="SP",IF(Tabela6[[#This Row],[OPERADORA]]="TIM","SP TIM","SPI"),VLOOKUP(Tabela6[[#This Row],[UF]],'BASE CC'!B:C,2,0))</f>
        <v>NE1</v>
      </c>
      <c r="B5" s="36">
        <f>VLOOKUP(Tabela_Base_Financeiro[[#This Row],[Item code]],'COD.FAT'!B:C,2,0)</f>
        <v>7.02</v>
      </c>
      <c r="C5" s="292" t="str">
        <f>Tabela_Base_Financeiro[[#This Row],[PO Ship TO]]</f>
        <v>BR_AL_MACEIO_Tax</v>
      </c>
      <c r="D5" s="36" t="str">
        <f>RIGHT(Tabela_Base_Financeiro[[#This Row],[Manufacturer]],2)</f>
        <v>AL</v>
      </c>
      <c r="E5" s="122" t="str">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LOT_AL</v>
      </c>
      <c r="F5" s="122" t="str">
        <f>VLOOKUP(Tabela_Base_Financeiro[[#This Row],[Project Code]],'COD. PROJETOS'!B:D,3,0)</f>
        <v>VIVO</v>
      </c>
      <c r="G5" s="36" t="str">
        <f>IFERROR(Tabela_Base_Financeiro[[#This Row],[PO No,]],0)</f>
        <v>6211HG3360340-3062</v>
      </c>
      <c r="H5" s="36" t="str">
        <f>IFERROR(Tabela_Base_Financeiro[[#This Row],[Line No,]],0)</f>
        <v>5</v>
      </c>
      <c r="I5" s="36" t="str">
        <f>IFERROR(MID(Tabela_Base_Financeiro[[#This Row],[Manufacturer]],19,14),"")</f>
        <v>20250708589335</v>
      </c>
      <c r="J5" s="113">
        <f>IFERROR(Tabela_Base_Financeiro[[#This Row],[Item code]],0)</f>
        <v>8812441757</v>
      </c>
      <c r="K5" s="293" t="str">
        <f>IFERROR(Tabela_Base_Financeiro[[#This Row],[Unit Price]],0)</f>
        <v>38,528</v>
      </c>
      <c r="L5" s="36" t="str">
        <f>IFERROR(Tabela_Base_Financeiro[[#This Row],[AC Qty,]],0)</f>
        <v>1,0000000000</v>
      </c>
      <c r="M5" s="60">
        <f>Tabela6[[#This Row],[Qty]]*Tabela6[[#This Row],[Preço]]</f>
        <v>38.527999999999999</v>
      </c>
      <c r="N5" s="37" t="str">
        <f>IFERROR(Tabela_Base_Financeiro[[#This Row],[Proportion]],0)</f>
        <v>1</v>
      </c>
      <c r="O5" s="60">
        <f>Tabela6[[#This Row],[Proporção]]*Tabela6[[#This Row],[Total]]</f>
        <v>38.527999999999999</v>
      </c>
      <c r="P5"/>
      <c r="Q5"/>
    </row>
    <row r="6" spans="1:17">
      <c r="A6" s="122" t="e">
        <f>IF(VLOOKUP(Tabela6[[#This Row],[UF]],'BASE CC'!B:C,2,0)="SP",IF(Tabela6[[#This Row],[OPERADORA]]="TIM","SP TIM","SPI"),VLOOKUP(Tabela6[[#This Row],[UF]],'BASE CC'!B:C,2,0))</f>
        <v>#N/A</v>
      </c>
      <c r="B6" s="36" t="e">
        <f>VLOOKUP(Tabela_Base_Financeiro[[#This Row],[Item code]],'COD.FAT'!B:C,2,0)</f>
        <v>#N/A</v>
      </c>
      <c r="C6" s="292">
        <f>Tabela_Base_Financeiro[[#This Row],[PO Ship TO]]</f>
        <v>0</v>
      </c>
      <c r="D6" s="36" t="str">
        <f>RIGHT(Tabela_Base_Financeiro[[#This Row],[Manufacturer]],2)</f>
        <v/>
      </c>
      <c r="E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 s="122" t="e">
        <f>VLOOKUP(Tabela_Base_Financeiro[[#This Row],[Project Code]],'COD. PROJETOS'!B:D,3,0)</f>
        <v>#N/A</v>
      </c>
      <c r="G6" s="36">
        <f>IFERROR(Tabela_Base_Financeiro[[#This Row],[PO No,]],0)</f>
        <v>0</v>
      </c>
      <c r="H6" s="36">
        <f>IFERROR(Tabela_Base_Financeiro[[#This Row],[Line No,]],0)</f>
        <v>0</v>
      </c>
      <c r="I6" s="36" t="str">
        <f>IFERROR(MID(Tabela_Base_Financeiro[[#This Row],[Manufacturer]],19,14),"")</f>
        <v/>
      </c>
      <c r="J6" s="113">
        <f>IFERROR(Tabela_Base_Financeiro[[#This Row],[Item code]],0)</f>
        <v>0</v>
      </c>
      <c r="K6" s="293">
        <f>IFERROR(Tabela_Base_Financeiro[[#This Row],[Unit Price]],0)</f>
        <v>0</v>
      </c>
      <c r="L6" s="36">
        <f>IFERROR(Tabela_Base_Financeiro[[#This Row],[AC Qty,]],0)</f>
        <v>0</v>
      </c>
      <c r="M6" s="60">
        <f>Tabela6[[#This Row],[Qty]]*Tabela6[[#This Row],[Preço]]</f>
        <v>0</v>
      </c>
      <c r="N6" s="37">
        <f>IFERROR(Tabela_Base_Financeiro[[#This Row],[Proportion]],0)</f>
        <v>0</v>
      </c>
      <c r="O6" s="60">
        <f>Tabela6[[#This Row],[Proporção]]*Tabela6[[#This Row],[Total]]</f>
        <v>0</v>
      </c>
      <c r="P6"/>
      <c r="Q6"/>
    </row>
    <row r="7" spans="1:17">
      <c r="A7" s="122" t="e">
        <f>IF(VLOOKUP(Tabela6[[#This Row],[UF]],'BASE CC'!B:C,2,0)="SP",IF(Tabela6[[#This Row],[OPERADORA]]="TIM","SP TIM","SPI"),VLOOKUP(Tabela6[[#This Row],[UF]],'BASE CC'!B:C,2,0))</f>
        <v>#N/A</v>
      </c>
      <c r="B7" s="36" t="e">
        <f>VLOOKUP(Tabela_Base_Financeiro[[#This Row],[Item code]],'COD.FAT'!B:C,2,0)</f>
        <v>#N/A</v>
      </c>
      <c r="C7" s="292">
        <f>Tabela_Base_Financeiro[[#This Row],[PO Ship TO]]</f>
        <v>0</v>
      </c>
      <c r="D7" s="36" t="str">
        <f>RIGHT(Tabela_Base_Financeiro[[#This Row],[Manufacturer]],2)</f>
        <v/>
      </c>
      <c r="E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 s="122" t="e">
        <f>VLOOKUP(Tabela_Base_Financeiro[[#This Row],[Project Code]],'COD. PROJETOS'!B:D,3,0)</f>
        <v>#N/A</v>
      </c>
      <c r="G7" s="36">
        <f>IFERROR(Tabela_Base_Financeiro[[#This Row],[PO No,]],0)</f>
        <v>0</v>
      </c>
      <c r="H7" s="36">
        <f>IFERROR(Tabela_Base_Financeiro[[#This Row],[Line No,]],0)</f>
        <v>0</v>
      </c>
      <c r="I7" s="36" t="str">
        <f>IFERROR(MID(Tabela_Base_Financeiro[[#This Row],[Manufacturer]],19,14),"")</f>
        <v/>
      </c>
      <c r="J7" s="113">
        <f>IFERROR(Tabela_Base_Financeiro[[#This Row],[Item code]],0)</f>
        <v>0</v>
      </c>
      <c r="K7" s="293">
        <f>IFERROR(Tabela_Base_Financeiro[[#This Row],[Unit Price]],0)</f>
        <v>0</v>
      </c>
      <c r="L7" s="36">
        <f>IFERROR(Tabela_Base_Financeiro[[#This Row],[AC Qty,]],0)</f>
        <v>0</v>
      </c>
      <c r="M7" s="60">
        <f>Tabela6[[#This Row],[Qty]]*Tabela6[[#This Row],[Preço]]</f>
        <v>0</v>
      </c>
      <c r="N7" s="37">
        <f>IFERROR(Tabela_Base_Financeiro[[#This Row],[Proportion]],0)</f>
        <v>0</v>
      </c>
      <c r="O7" s="60">
        <f>Tabela6[[#This Row],[Proporção]]*Tabela6[[#This Row],[Total]]</f>
        <v>0</v>
      </c>
      <c r="P7"/>
      <c r="Q7"/>
    </row>
    <row r="8" spans="1:17">
      <c r="A8" s="122" t="e">
        <f>IF(VLOOKUP(Tabela6[[#This Row],[UF]],'BASE CC'!B:C,2,0)="SP",IF(Tabela6[[#This Row],[OPERADORA]]="TIM","SP TIM","SPI"),VLOOKUP(Tabela6[[#This Row],[UF]],'BASE CC'!B:C,2,0))</f>
        <v>#N/A</v>
      </c>
      <c r="B8" s="36" t="e">
        <f>VLOOKUP(Tabela_Base_Financeiro[[#This Row],[Item code]],'COD.FAT'!B:C,2,0)</f>
        <v>#N/A</v>
      </c>
      <c r="C8" s="292">
        <f>Tabela_Base_Financeiro[[#This Row],[PO Ship TO]]</f>
        <v>0</v>
      </c>
      <c r="D8" s="36" t="str">
        <f>RIGHT(Tabela_Base_Financeiro[[#This Row],[Manufacturer]],2)</f>
        <v/>
      </c>
      <c r="E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 s="122" t="e">
        <f>VLOOKUP(Tabela_Base_Financeiro[[#This Row],[Project Code]],'COD. PROJETOS'!B:D,3,0)</f>
        <v>#N/A</v>
      </c>
      <c r="G8" s="36">
        <f>IFERROR(Tabela_Base_Financeiro[[#This Row],[PO No,]],0)</f>
        <v>0</v>
      </c>
      <c r="H8" s="36">
        <f>IFERROR(Tabela_Base_Financeiro[[#This Row],[Line No,]],0)</f>
        <v>0</v>
      </c>
      <c r="I8" s="36" t="str">
        <f>IFERROR(MID(Tabela_Base_Financeiro[[#This Row],[Manufacturer]],19,14),"")</f>
        <v/>
      </c>
      <c r="J8" s="113">
        <f>IFERROR(Tabela_Base_Financeiro[[#This Row],[Item code]],0)</f>
        <v>0</v>
      </c>
      <c r="K8" s="293">
        <f>IFERROR(Tabela_Base_Financeiro[[#This Row],[Unit Price]],0)</f>
        <v>0</v>
      </c>
      <c r="L8" s="36">
        <f>IFERROR(Tabela_Base_Financeiro[[#This Row],[AC Qty,]],0)</f>
        <v>0</v>
      </c>
      <c r="M8" s="60">
        <f>Tabela6[[#This Row],[Qty]]*Tabela6[[#This Row],[Preço]]</f>
        <v>0</v>
      </c>
      <c r="N8" s="37">
        <f>IFERROR(Tabela_Base_Financeiro[[#This Row],[Proportion]],0)</f>
        <v>0</v>
      </c>
      <c r="O8" s="60">
        <f>Tabela6[[#This Row],[Proporção]]*Tabela6[[#This Row],[Total]]</f>
        <v>0</v>
      </c>
      <c r="P8"/>
      <c r="Q8"/>
    </row>
    <row r="9" spans="1:17">
      <c r="A9" s="122" t="e">
        <f>IF(VLOOKUP(Tabela6[[#This Row],[UF]],'BASE CC'!B:C,2,0)="SP",IF(Tabela6[[#This Row],[OPERADORA]]="TIM","SP TIM","SPI"),VLOOKUP(Tabela6[[#This Row],[UF]],'BASE CC'!B:C,2,0))</f>
        <v>#N/A</v>
      </c>
      <c r="B9" s="36" t="e">
        <f>VLOOKUP(Tabela_Base_Financeiro[[#This Row],[Item code]],'COD.FAT'!B:C,2,0)</f>
        <v>#N/A</v>
      </c>
      <c r="C9" s="292">
        <f>Tabela_Base_Financeiro[[#This Row],[PO Ship TO]]</f>
        <v>0</v>
      </c>
      <c r="D9" s="36" t="str">
        <f>RIGHT(Tabela_Base_Financeiro[[#This Row],[Manufacturer]],2)</f>
        <v/>
      </c>
      <c r="E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 s="122" t="e">
        <f>VLOOKUP(Tabela_Base_Financeiro[[#This Row],[Project Code]],'COD. PROJETOS'!B:D,3,0)</f>
        <v>#N/A</v>
      </c>
      <c r="G9" s="36">
        <f>IFERROR(Tabela_Base_Financeiro[[#This Row],[PO No,]],0)</f>
        <v>0</v>
      </c>
      <c r="H9" s="36">
        <f>IFERROR(Tabela_Base_Financeiro[[#This Row],[Line No,]],0)</f>
        <v>0</v>
      </c>
      <c r="I9" s="36" t="str">
        <f>IFERROR(MID(Tabela_Base_Financeiro[[#This Row],[Manufacturer]],19,14),"")</f>
        <v/>
      </c>
      <c r="J9" s="113">
        <f>IFERROR(Tabela_Base_Financeiro[[#This Row],[Item code]],0)</f>
        <v>0</v>
      </c>
      <c r="K9" s="293">
        <f>IFERROR(Tabela_Base_Financeiro[[#This Row],[Unit Price]],0)</f>
        <v>0</v>
      </c>
      <c r="L9" s="36">
        <f>IFERROR(Tabela_Base_Financeiro[[#This Row],[AC Qty,]],0)</f>
        <v>0</v>
      </c>
      <c r="M9" s="60">
        <f>Tabela6[[#This Row],[Qty]]*Tabela6[[#This Row],[Preço]]</f>
        <v>0</v>
      </c>
      <c r="N9" s="37">
        <f>IFERROR(Tabela_Base_Financeiro[[#This Row],[Proportion]],0)</f>
        <v>0</v>
      </c>
      <c r="O9" s="60">
        <f>Tabela6[[#This Row],[Proporção]]*Tabela6[[#This Row],[Total]]</f>
        <v>0</v>
      </c>
      <c r="P9"/>
      <c r="Q9"/>
    </row>
    <row r="10" spans="1:17">
      <c r="A10" s="122" t="e">
        <f>IF(VLOOKUP(Tabela6[[#This Row],[UF]],'BASE CC'!B:C,2,0)="SP",IF(Tabela6[[#This Row],[OPERADORA]]="TIM","SP TIM","SPI"),VLOOKUP(Tabela6[[#This Row],[UF]],'BASE CC'!B:C,2,0))</f>
        <v>#N/A</v>
      </c>
      <c r="B10" s="36" t="e">
        <f>VLOOKUP(Tabela_Base_Financeiro[[#This Row],[Item code]],'COD.FAT'!B:C,2,0)</f>
        <v>#N/A</v>
      </c>
      <c r="C10" s="292">
        <f>Tabela_Base_Financeiro[[#This Row],[PO Ship TO]]</f>
        <v>0</v>
      </c>
      <c r="D10" s="36" t="str">
        <f>RIGHT(Tabela_Base_Financeiro[[#This Row],[Manufacturer]],2)</f>
        <v/>
      </c>
      <c r="E1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 s="122" t="e">
        <f>VLOOKUP(Tabela_Base_Financeiro[[#This Row],[Project Code]],'COD. PROJETOS'!B:D,3,0)</f>
        <v>#N/A</v>
      </c>
      <c r="G10" s="36">
        <f>IFERROR(Tabela_Base_Financeiro[[#This Row],[PO No,]],0)</f>
        <v>0</v>
      </c>
      <c r="H10" s="36">
        <f>IFERROR(Tabela_Base_Financeiro[[#This Row],[Line No,]],0)</f>
        <v>0</v>
      </c>
      <c r="I10" s="36" t="str">
        <f>IFERROR(MID(Tabela_Base_Financeiro[[#This Row],[Manufacturer]],19,14),"")</f>
        <v/>
      </c>
      <c r="J10" s="113">
        <f>IFERROR(Tabela_Base_Financeiro[[#This Row],[Item code]],0)</f>
        <v>0</v>
      </c>
      <c r="K10" s="293">
        <f>IFERROR(Tabela_Base_Financeiro[[#This Row],[Unit Price]],0)</f>
        <v>0</v>
      </c>
      <c r="L10" s="36">
        <f>IFERROR(Tabela_Base_Financeiro[[#This Row],[AC Qty,]],0)</f>
        <v>0</v>
      </c>
      <c r="M10" s="60">
        <f>Tabela6[[#This Row],[Qty]]*Tabela6[[#This Row],[Preço]]</f>
        <v>0</v>
      </c>
      <c r="N10" s="37">
        <f>IFERROR(Tabela_Base_Financeiro[[#This Row],[Proportion]],0)</f>
        <v>0</v>
      </c>
      <c r="O10" s="60">
        <f>Tabela6[[#This Row],[Proporção]]*Tabela6[[#This Row],[Total]]</f>
        <v>0</v>
      </c>
      <c r="P10"/>
      <c r="Q10"/>
    </row>
    <row r="11" spans="1:17" ht="13.5" customHeight="1">
      <c r="A11" s="122" t="e">
        <f>IF(VLOOKUP(Tabela6[[#This Row],[UF]],'BASE CC'!B:C,2,0)="SP",IF(Tabela6[[#This Row],[OPERADORA]]="TIM","SP TIM","SPI"),VLOOKUP(Tabela6[[#This Row],[UF]],'BASE CC'!B:C,2,0))</f>
        <v>#N/A</v>
      </c>
      <c r="B11" s="36" t="e">
        <f>VLOOKUP(Tabela_Base_Financeiro[[#This Row],[Item code]],'COD.FAT'!B:C,2,0)</f>
        <v>#N/A</v>
      </c>
      <c r="C11" s="292">
        <f>Tabela_Base_Financeiro[[#This Row],[PO Ship TO]]</f>
        <v>0</v>
      </c>
      <c r="D11" s="36" t="str">
        <f>RIGHT(Tabela_Base_Financeiro[[#This Row],[Manufacturer]],2)</f>
        <v/>
      </c>
      <c r="E1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1" s="122" t="e">
        <f>VLOOKUP(Tabela_Base_Financeiro[[#This Row],[Project Code]],'COD. PROJETOS'!B:D,3,0)</f>
        <v>#N/A</v>
      </c>
      <c r="G11" s="36">
        <f>IFERROR(Tabela_Base_Financeiro[[#This Row],[PO No,]],0)</f>
        <v>0</v>
      </c>
      <c r="H11" s="36">
        <f>IFERROR(Tabela_Base_Financeiro[[#This Row],[Line No,]],0)</f>
        <v>0</v>
      </c>
      <c r="I11" s="36" t="str">
        <f>IFERROR(MID(Tabela_Base_Financeiro[[#This Row],[Manufacturer]],19,14),"")</f>
        <v/>
      </c>
      <c r="J11" s="113">
        <f>IFERROR(Tabela_Base_Financeiro[[#This Row],[Item code]],0)</f>
        <v>0</v>
      </c>
      <c r="K11" s="293">
        <f>IFERROR(Tabela_Base_Financeiro[[#This Row],[Unit Price]],0)</f>
        <v>0</v>
      </c>
      <c r="L11" s="36">
        <f>IFERROR(Tabela_Base_Financeiro[[#This Row],[AC Qty,]],0)</f>
        <v>0</v>
      </c>
      <c r="M11" s="60">
        <f>Tabela6[[#This Row],[Qty]]*Tabela6[[#This Row],[Preço]]</f>
        <v>0</v>
      </c>
      <c r="N11" s="37">
        <f>IFERROR(Tabela_Base_Financeiro[[#This Row],[Proportion]],0)</f>
        <v>0</v>
      </c>
      <c r="O11" s="60">
        <f>Tabela6[[#This Row],[Proporção]]*Tabela6[[#This Row],[Total]]</f>
        <v>0</v>
      </c>
      <c r="P11"/>
      <c r="Q11"/>
    </row>
    <row r="12" spans="1:17">
      <c r="A12" s="122" t="e">
        <f>IF(VLOOKUP(Tabela6[[#This Row],[UF]],'BASE CC'!B:C,2,0)="SP",IF(Tabela6[[#This Row],[OPERADORA]]="TIM","SP TIM","SPI"),VLOOKUP(Tabela6[[#This Row],[UF]],'BASE CC'!B:C,2,0))</f>
        <v>#N/A</v>
      </c>
      <c r="B12" s="36" t="e">
        <f>VLOOKUP(Tabela_Base_Financeiro[[#This Row],[Item code]],'COD.FAT'!B:C,2,0)</f>
        <v>#N/A</v>
      </c>
      <c r="C12" s="292">
        <f>Tabela_Base_Financeiro[[#This Row],[PO Ship TO]]</f>
        <v>0</v>
      </c>
      <c r="D12" s="36" t="str">
        <f>RIGHT(Tabela_Base_Financeiro[[#This Row],[Manufacturer]],2)</f>
        <v/>
      </c>
      <c r="E1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2" s="122" t="e">
        <f>VLOOKUP(Tabela_Base_Financeiro[[#This Row],[Project Code]],'COD. PROJETOS'!B:D,3,0)</f>
        <v>#N/A</v>
      </c>
      <c r="G12" s="36">
        <f>IFERROR(Tabela_Base_Financeiro[[#This Row],[PO No,]],0)</f>
        <v>0</v>
      </c>
      <c r="H12" s="36">
        <f>IFERROR(Tabela_Base_Financeiro[[#This Row],[Line No,]],0)</f>
        <v>0</v>
      </c>
      <c r="I12" s="36" t="str">
        <f>IFERROR(MID(Tabela_Base_Financeiro[[#This Row],[Manufacturer]],19,14),"")</f>
        <v/>
      </c>
      <c r="J12" s="113">
        <f>IFERROR(Tabela_Base_Financeiro[[#This Row],[Item code]],0)</f>
        <v>0</v>
      </c>
      <c r="K12" s="293">
        <f>IFERROR(Tabela_Base_Financeiro[[#This Row],[Unit Price]],0)</f>
        <v>0</v>
      </c>
      <c r="L12" s="36">
        <f>IFERROR(Tabela_Base_Financeiro[[#This Row],[AC Qty,]],0)</f>
        <v>0</v>
      </c>
      <c r="M12" s="60">
        <f>Tabela6[[#This Row],[Qty]]*Tabela6[[#This Row],[Preço]]</f>
        <v>0</v>
      </c>
      <c r="N12" s="37">
        <f>IFERROR(Tabela_Base_Financeiro[[#This Row],[Proportion]],0)</f>
        <v>0</v>
      </c>
      <c r="O12" s="60">
        <f>Tabela6[[#This Row],[Proporção]]*Tabela6[[#This Row],[Total]]</f>
        <v>0</v>
      </c>
      <c r="P12"/>
      <c r="Q12"/>
    </row>
    <row r="13" spans="1:17">
      <c r="A13" s="122" t="e">
        <f>IF(VLOOKUP(Tabela6[[#This Row],[UF]],'BASE CC'!B:C,2,0)="SP",IF(Tabela6[[#This Row],[OPERADORA]]="TIM","SP TIM","SPI"),VLOOKUP(Tabela6[[#This Row],[UF]],'BASE CC'!B:C,2,0))</f>
        <v>#N/A</v>
      </c>
      <c r="B13" s="36" t="e">
        <f>VLOOKUP(Tabela_Base_Financeiro[[#This Row],[Item code]],'COD.FAT'!B:C,2,0)</f>
        <v>#N/A</v>
      </c>
      <c r="C13" s="292">
        <f>Tabela_Base_Financeiro[[#This Row],[PO Ship TO]]</f>
        <v>0</v>
      </c>
      <c r="D13" s="36" t="str">
        <f>RIGHT(Tabela_Base_Financeiro[[#This Row],[Manufacturer]],2)</f>
        <v/>
      </c>
      <c r="E1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3" s="122" t="e">
        <f>VLOOKUP(Tabela_Base_Financeiro[[#This Row],[Project Code]],'COD. PROJETOS'!B:D,3,0)</f>
        <v>#N/A</v>
      </c>
      <c r="G13" s="36">
        <f>IFERROR(Tabela_Base_Financeiro[[#This Row],[PO No,]],0)</f>
        <v>0</v>
      </c>
      <c r="H13" s="36">
        <f>IFERROR(Tabela_Base_Financeiro[[#This Row],[Line No,]],0)</f>
        <v>0</v>
      </c>
      <c r="I13" s="36" t="str">
        <f>IFERROR(MID(Tabela_Base_Financeiro[[#This Row],[Manufacturer]],19,14),"")</f>
        <v/>
      </c>
      <c r="J13" s="113">
        <f>IFERROR(Tabela_Base_Financeiro[[#This Row],[Item code]],0)</f>
        <v>0</v>
      </c>
      <c r="K13" s="293">
        <f>IFERROR(Tabela_Base_Financeiro[[#This Row],[Unit Price]],0)</f>
        <v>0</v>
      </c>
      <c r="L13" s="36">
        <f>IFERROR(Tabela_Base_Financeiro[[#This Row],[AC Qty,]],0)</f>
        <v>0</v>
      </c>
      <c r="M13" s="60">
        <f>Tabela6[[#This Row],[Qty]]*Tabela6[[#This Row],[Preço]]</f>
        <v>0</v>
      </c>
      <c r="N13" s="37">
        <f>IFERROR(Tabela_Base_Financeiro[[#This Row],[Proportion]],0)</f>
        <v>0</v>
      </c>
      <c r="O13" s="60">
        <f>Tabela6[[#This Row],[Proporção]]*Tabela6[[#This Row],[Total]]</f>
        <v>0</v>
      </c>
      <c r="P13"/>
      <c r="Q13"/>
    </row>
    <row r="14" spans="1:17">
      <c r="A14" s="122" t="e">
        <f>IF(VLOOKUP(Tabela6[[#This Row],[UF]],'BASE CC'!B:C,2,0)="SP",IF(Tabela6[[#This Row],[OPERADORA]]="TIM","SP TIM","SPI"),VLOOKUP(Tabela6[[#This Row],[UF]],'BASE CC'!B:C,2,0))</f>
        <v>#N/A</v>
      </c>
      <c r="B14" s="36" t="e">
        <f>VLOOKUP(Tabela_Base_Financeiro[[#This Row],[Item code]],'COD.FAT'!B:C,2,0)</f>
        <v>#N/A</v>
      </c>
      <c r="C14" s="292">
        <f>Tabela_Base_Financeiro[[#This Row],[PO Ship TO]]</f>
        <v>0</v>
      </c>
      <c r="D14" s="36" t="str">
        <f>RIGHT(Tabela_Base_Financeiro[[#This Row],[Manufacturer]],2)</f>
        <v/>
      </c>
      <c r="E1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4" s="122" t="e">
        <f>VLOOKUP(Tabela_Base_Financeiro[[#This Row],[Project Code]],'COD. PROJETOS'!B:D,3,0)</f>
        <v>#N/A</v>
      </c>
      <c r="G14" s="36">
        <f>IFERROR(Tabela_Base_Financeiro[[#This Row],[PO No,]],0)</f>
        <v>0</v>
      </c>
      <c r="H14" s="36">
        <f>IFERROR(Tabela_Base_Financeiro[[#This Row],[Line No,]],0)</f>
        <v>0</v>
      </c>
      <c r="I14" s="36" t="str">
        <f>IFERROR(MID(Tabela_Base_Financeiro[[#This Row],[Manufacturer]],19,14),"")</f>
        <v/>
      </c>
      <c r="J14" s="113">
        <f>IFERROR(Tabela_Base_Financeiro[[#This Row],[Item code]],0)</f>
        <v>0</v>
      </c>
      <c r="K14" s="293">
        <f>IFERROR(Tabela_Base_Financeiro[[#This Row],[Unit Price]],0)</f>
        <v>0</v>
      </c>
      <c r="L14" s="36">
        <f>IFERROR(Tabela_Base_Financeiro[[#This Row],[AC Qty,]],0)</f>
        <v>0</v>
      </c>
      <c r="M14" s="60">
        <f>Tabela6[[#This Row],[Qty]]*Tabela6[[#This Row],[Preço]]</f>
        <v>0</v>
      </c>
      <c r="N14" s="37">
        <f>IFERROR(Tabela_Base_Financeiro[[#This Row],[Proportion]],0)</f>
        <v>0</v>
      </c>
      <c r="O14" s="60">
        <f>Tabela6[[#This Row],[Proporção]]*Tabela6[[#This Row],[Total]]</f>
        <v>0</v>
      </c>
      <c r="P14"/>
      <c r="Q14"/>
    </row>
    <row r="15" spans="1:17">
      <c r="A15" s="122" t="e">
        <f>IF(VLOOKUP(Tabela6[[#This Row],[UF]],'BASE CC'!B:C,2,0)="SP",IF(Tabela6[[#This Row],[OPERADORA]]="TIM","SP TIM","SPI"),VLOOKUP(Tabela6[[#This Row],[UF]],'BASE CC'!B:C,2,0))</f>
        <v>#N/A</v>
      </c>
      <c r="B15" s="36" t="e">
        <f>VLOOKUP(Tabela_Base_Financeiro[[#This Row],[Item code]],'COD.FAT'!B:C,2,0)</f>
        <v>#N/A</v>
      </c>
      <c r="C15" s="292">
        <f>Tabela_Base_Financeiro[[#This Row],[PO Ship TO]]</f>
        <v>0</v>
      </c>
      <c r="D15" s="36" t="str">
        <f>RIGHT(Tabela_Base_Financeiro[[#This Row],[Manufacturer]],2)</f>
        <v/>
      </c>
      <c r="E1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5" s="122" t="e">
        <f>VLOOKUP(Tabela_Base_Financeiro[[#This Row],[Project Code]],'COD. PROJETOS'!B:D,3,0)</f>
        <v>#N/A</v>
      </c>
      <c r="G15" s="36">
        <f>IFERROR(Tabela_Base_Financeiro[[#This Row],[PO No,]],0)</f>
        <v>0</v>
      </c>
      <c r="H15" s="36">
        <f>IFERROR(Tabela_Base_Financeiro[[#This Row],[Line No,]],0)</f>
        <v>0</v>
      </c>
      <c r="I15" s="36" t="str">
        <f>IFERROR(MID(Tabela_Base_Financeiro[[#This Row],[Manufacturer]],19,14),"")</f>
        <v/>
      </c>
      <c r="J15" s="113">
        <f>IFERROR(Tabela_Base_Financeiro[[#This Row],[Item code]],0)</f>
        <v>0</v>
      </c>
      <c r="K15" s="293">
        <f>IFERROR(Tabela_Base_Financeiro[[#This Row],[Unit Price]],0)</f>
        <v>0</v>
      </c>
      <c r="L15" s="36">
        <f>IFERROR(Tabela_Base_Financeiro[[#This Row],[AC Qty,]],0)</f>
        <v>0</v>
      </c>
      <c r="M15" s="60">
        <f>Tabela6[[#This Row],[Qty]]*Tabela6[[#This Row],[Preço]]</f>
        <v>0</v>
      </c>
      <c r="N15" s="37">
        <f>IFERROR(Tabela_Base_Financeiro[[#This Row],[Proportion]],0)</f>
        <v>0</v>
      </c>
      <c r="O15" s="60">
        <f>Tabela6[[#This Row],[Proporção]]*Tabela6[[#This Row],[Total]]</f>
        <v>0</v>
      </c>
      <c r="P15"/>
      <c r="Q15"/>
    </row>
    <row r="16" spans="1:17" ht="13.2" customHeight="1">
      <c r="A16" s="122" t="e">
        <f>IF(VLOOKUP(Tabela6[[#This Row],[UF]],'BASE CC'!B:C,2,0)="SP",IF(Tabela6[[#This Row],[OPERADORA]]="TIM","SP TIM","SPI"),VLOOKUP(Tabela6[[#This Row],[UF]],'BASE CC'!B:C,2,0))</f>
        <v>#N/A</v>
      </c>
      <c r="B16" s="36" t="e">
        <f>VLOOKUP(Tabela_Base_Financeiro[[#This Row],[Item code]],'COD.FAT'!B:C,2,0)</f>
        <v>#N/A</v>
      </c>
      <c r="C16" s="292">
        <f>Tabela_Base_Financeiro[[#This Row],[PO Ship TO]]</f>
        <v>0</v>
      </c>
      <c r="D16" s="36" t="str">
        <f>RIGHT(Tabela_Base_Financeiro[[#This Row],[Manufacturer]],2)</f>
        <v/>
      </c>
      <c r="E1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6" s="122" t="e">
        <f>VLOOKUP(Tabela_Base_Financeiro[[#This Row],[Project Code]],'COD. PROJETOS'!B:D,3,0)</f>
        <v>#N/A</v>
      </c>
      <c r="G16" s="36">
        <f>IFERROR(Tabela_Base_Financeiro[[#This Row],[PO No,]],0)</f>
        <v>0</v>
      </c>
      <c r="H16" s="36">
        <f>IFERROR(Tabela_Base_Financeiro[[#This Row],[Line No,]],0)</f>
        <v>0</v>
      </c>
      <c r="I16" s="36" t="str">
        <f>IFERROR(MID(Tabela_Base_Financeiro[[#This Row],[Manufacturer]],19,14),"")</f>
        <v/>
      </c>
      <c r="J16" s="113">
        <f>IFERROR(Tabela_Base_Financeiro[[#This Row],[Item code]],0)</f>
        <v>0</v>
      </c>
      <c r="K16" s="293">
        <f>IFERROR(Tabela_Base_Financeiro[[#This Row],[Unit Price]],0)</f>
        <v>0</v>
      </c>
      <c r="L16" s="36">
        <f>IFERROR(Tabela_Base_Financeiro[[#This Row],[AC Qty,]],0)</f>
        <v>0</v>
      </c>
      <c r="M16" s="60">
        <f>Tabela6[[#This Row],[Qty]]*Tabela6[[#This Row],[Preço]]</f>
        <v>0</v>
      </c>
      <c r="N16" s="37">
        <f>IFERROR(Tabela_Base_Financeiro[[#This Row],[Proportion]],0)</f>
        <v>0</v>
      </c>
      <c r="O16" s="60">
        <f>Tabela6[[#This Row],[Proporção]]*Tabela6[[#This Row],[Total]]</f>
        <v>0</v>
      </c>
      <c r="P16"/>
      <c r="Q16"/>
    </row>
    <row r="17" spans="1:17">
      <c r="A17" s="122" t="e">
        <f>IF(VLOOKUP(Tabela6[[#This Row],[UF]],'BASE CC'!B:C,2,0)="SP",IF(Tabela6[[#This Row],[OPERADORA]]="TIM","SP TIM","SPI"),VLOOKUP(Tabela6[[#This Row],[UF]],'BASE CC'!B:C,2,0))</f>
        <v>#N/A</v>
      </c>
      <c r="B17" s="36" t="e">
        <f>VLOOKUP(Tabela_Base_Financeiro[[#This Row],[Item code]],'COD.FAT'!B:C,2,0)</f>
        <v>#N/A</v>
      </c>
      <c r="C17" s="292">
        <f>Tabela_Base_Financeiro[[#This Row],[PO Ship TO]]</f>
        <v>0</v>
      </c>
      <c r="D17" s="36" t="str">
        <f>RIGHT(Tabela_Base_Financeiro[[#This Row],[Manufacturer]],2)</f>
        <v/>
      </c>
      <c r="E1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7" s="122" t="e">
        <f>VLOOKUP(Tabela_Base_Financeiro[[#This Row],[Project Code]],'COD. PROJETOS'!B:D,3,0)</f>
        <v>#N/A</v>
      </c>
      <c r="G17" s="36">
        <f>IFERROR(Tabela_Base_Financeiro[[#This Row],[PO No,]],0)</f>
        <v>0</v>
      </c>
      <c r="H17" s="36">
        <f>IFERROR(Tabela_Base_Financeiro[[#This Row],[Line No,]],0)</f>
        <v>0</v>
      </c>
      <c r="I17" s="36" t="str">
        <f>IFERROR(MID(Tabela_Base_Financeiro[[#This Row],[Manufacturer]],19,14),"")</f>
        <v/>
      </c>
      <c r="J17" s="113">
        <f>IFERROR(Tabela_Base_Financeiro[[#This Row],[Item code]],0)</f>
        <v>0</v>
      </c>
      <c r="K17" s="293">
        <f>IFERROR(Tabela_Base_Financeiro[[#This Row],[Unit Price]],0)</f>
        <v>0</v>
      </c>
      <c r="L17" s="36">
        <f>IFERROR(Tabela_Base_Financeiro[[#This Row],[AC Qty,]],0)</f>
        <v>0</v>
      </c>
      <c r="M17" s="60">
        <f>Tabela6[[#This Row],[Qty]]*Tabela6[[#This Row],[Preço]]</f>
        <v>0</v>
      </c>
      <c r="N17" s="37">
        <f>IFERROR(Tabela_Base_Financeiro[[#This Row],[Proportion]],0)</f>
        <v>0</v>
      </c>
      <c r="O17" s="60">
        <f>Tabela6[[#This Row],[Proporção]]*Tabela6[[#This Row],[Total]]</f>
        <v>0</v>
      </c>
      <c r="P17"/>
      <c r="Q17"/>
    </row>
    <row r="18" spans="1:17">
      <c r="A18" s="122" t="e">
        <f>IF(VLOOKUP(Tabela6[[#This Row],[UF]],'BASE CC'!B:C,2,0)="SP",IF(Tabela6[[#This Row],[OPERADORA]]="TIM","SP TIM","SPI"),VLOOKUP(Tabela6[[#This Row],[UF]],'BASE CC'!B:C,2,0))</f>
        <v>#N/A</v>
      </c>
      <c r="B18" s="36" t="e">
        <f>VLOOKUP(Tabela_Base_Financeiro[[#This Row],[Item code]],'COD.FAT'!B:C,2,0)</f>
        <v>#N/A</v>
      </c>
      <c r="C18" s="292">
        <f>Tabela_Base_Financeiro[[#This Row],[PO Ship TO]]</f>
        <v>0</v>
      </c>
      <c r="D18" s="36" t="str">
        <f>RIGHT(Tabela_Base_Financeiro[[#This Row],[Manufacturer]],2)</f>
        <v/>
      </c>
      <c r="E1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8" s="122" t="e">
        <f>VLOOKUP(Tabela_Base_Financeiro[[#This Row],[Project Code]],'COD. PROJETOS'!B:D,3,0)</f>
        <v>#N/A</v>
      </c>
      <c r="G18" s="36">
        <f>IFERROR(Tabela_Base_Financeiro[[#This Row],[PO No,]],0)</f>
        <v>0</v>
      </c>
      <c r="H18" s="36">
        <f>IFERROR(Tabela_Base_Financeiro[[#This Row],[Line No,]],0)</f>
        <v>0</v>
      </c>
      <c r="I18" s="36" t="str">
        <f>IFERROR(MID(Tabela_Base_Financeiro[[#This Row],[Manufacturer]],19,14),"")</f>
        <v/>
      </c>
      <c r="J18" s="113">
        <f>IFERROR(Tabela_Base_Financeiro[[#This Row],[Item code]],0)</f>
        <v>0</v>
      </c>
      <c r="K18" s="293">
        <f>IFERROR(Tabela_Base_Financeiro[[#This Row],[Unit Price]],0)</f>
        <v>0</v>
      </c>
      <c r="L18" s="36">
        <f>IFERROR(Tabela_Base_Financeiro[[#This Row],[AC Qty,]],0)</f>
        <v>0</v>
      </c>
      <c r="M18" s="60">
        <f>Tabela6[[#This Row],[Qty]]*Tabela6[[#This Row],[Preço]]</f>
        <v>0</v>
      </c>
      <c r="N18" s="37">
        <f>IFERROR(Tabela_Base_Financeiro[[#This Row],[Proportion]],0)</f>
        <v>0</v>
      </c>
      <c r="O18" s="60">
        <f>Tabela6[[#This Row],[Proporção]]*Tabela6[[#This Row],[Total]]</f>
        <v>0</v>
      </c>
      <c r="P18"/>
      <c r="Q18"/>
    </row>
    <row r="19" spans="1:17">
      <c r="A19" s="122" t="e">
        <f>IF(VLOOKUP(Tabela6[[#This Row],[UF]],'BASE CC'!B:C,2,0)="SP",IF(Tabela6[[#This Row],[OPERADORA]]="TIM","SP TIM","SPI"),VLOOKUP(Tabela6[[#This Row],[UF]],'BASE CC'!B:C,2,0))</f>
        <v>#N/A</v>
      </c>
      <c r="B19" s="36" t="e">
        <f>VLOOKUP(Tabela_Base_Financeiro[[#This Row],[Item code]],'COD.FAT'!B:C,2,0)</f>
        <v>#N/A</v>
      </c>
      <c r="C19" s="292">
        <f>Tabela_Base_Financeiro[[#This Row],[PO Ship TO]]</f>
        <v>0</v>
      </c>
      <c r="D19" s="36" t="str">
        <f>RIGHT(Tabela_Base_Financeiro[[#This Row],[Manufacturer]],2)</f>
        <v/>
      </c>
      <c r="E1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9" s="122" t="e">
        <f>VLOOKUP(Tabela_Base_Financeiro[[#This Row],[Project Code]],'COD. PROJETOS'!B:D,3,0)</f>
        <v>#N/A</v>
      </c>
      <c r="G19" s="36">
        <f>IFERROR(Tabela_Base_Financeiro[[#This Row],[PO No,]],0)</f>
        <v>0</v>
      </c>
      <c r="H19" s="36">
        <f>IFERROR(Tabela_Base_Financeiro[[#This Row],[Line No,]],0)</f>
        <v>0</v>
      </c>
      <c r="I19" s="36" t="str">
        <f>IFERROR(MID(Tabela_Base_Financeiro[[#This Row],[Manufacturer]],19,14),"")</f>
        <v/>
      </c>
      <c r="J19" s="113">
        <f>IFERROR(Tabela_Base_Financeiro[[#This Row],[Item code]],0)</f>
        <v>0</v>
      </c>
      <c r="K19" s="293">
        <f>IFERROR(Tabela_Base_Financeiro[[#This Row],[Unit Price]],0)</f>
        <v>0</v>
      </c>
      <c r="L19" s="36">
        <f>IFERROR(Tabela_Base_Financeiro[[#This Row],[AC Qty,]],0)</f>
        <v>0</v>
      </c>
      <c r="M19" s="60">
        <f>Tabela6[[#This Row],[Qty]]*Tabela6[[#This Row],[Preço]]</f>
        <v>0</v>
      </c>
      <c r="N19" s="37">
        <f>IFERROR(Tabela_Base_Financeiro[[#This Row],[Proportion]],0)</f>
        <v>0</v>
      </c>
      <c r="O19" s="60">
        <f>Tabela6[[#This Row],[Proporção]]*Tabela6[[#This Row],[Total]]</f>
        <v>0</v>
      </c>
      <c r="P19"/>
      <c r="Q19"/>
    </row>
    <row r="20" spans="1:17">
      <c r="A20" s="122" t="e">
        <f>IF(VLOOKUP(Tabela6[[#This Row],[UF]],'BASE CC'!B:C,2,0)="SP",IF(Tabela6[[#This Row],[OPERADORA]]="TIM","SP TIM","SPI"),VLOOKUP(Tabela6[[#This Row],[UF]],'BASE CC'!B:C,2,0))</f>
        <v>#N/A</v>
      </c>
      <c r="B20" s="36" t="e">
        <f>VLOOKUP(Tabela_Base_Financeiro[[#This Row],[Item code]],'COD.FAT'!B:C,2,0)</f>
        <v>#N/A</v>
      </c>
      <c r="C20" s="292">
        <f>Tabela_Base_Financeiro[[#This Row],[PO Ship TO]]</f>
        <v>0</v>
      </c>
      <c r="D20" s="36" t="str">
        <f>RIGHT(Tabela_Base_Financeiro[[#This Row],[Manufacturer]],2)</f>
        <v/>
      </c>
      <c r="E2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0" s="122" t="e">
        <f>VLOOKUP(Tabela_Base_Financeiro[[#This Row],[Project Code]],'COD. PROJETOS'!B:D,3,0)</f>
        <v>#N/A</v>
      </c>
      <c r="G20" s="36">
        <f>IFERROR(Tabela_Base_Financeiro[[#This Row],[PO No,]],0)</f>
        <v>0</v>
      </c>
      <c r="H20" s="36">
        <f>IFERROR(Tabela_Base_Financeiro[[#This Row],[Line No,]],0)</f>
        <v>0</v>
      </c>
      <c r="I20" s="36" t="str">
        <f>IFERROR(MID(Tabela_Base_Financeiro[[#This Row],[Manufacturer]],19,14),"")</f>
        <v/>
      </c>
      <c r="J20" s="113">
        <f>IFERROR(Tabela_Base_Financeiro[[#This Row],[Item code]],0)</f>
        <v>0</v>
      </c>
      <c r="K20" s="293">
        <f>IFERROR(Tabela_Base_Financeiro[[#This Row],[Unit Price]],0)</f>
        <v>0</v>
      </c>
      <c r="L20" s="36">
        <f>IFERROR(Tabela_Base_Financeiro[[#This Row],[AC Qty,]],0)</f>
        <v>0</v>
      </c>
      <c r="M20" s="60">
        <f>Tabela6[[#This Row],[Qty]]*Tabela6[[#This Row],[Preço]]</f>
        <v>0</v>
      </c>
      <c r="N20" s="37">
        <f>IFERROR(Tabela_Base_Financeiro[[#This Row],[Proportion]],0)</f>
        <v>0</v>
      </c>
      <c r="O20" s="60">
        <f>Tabela6[[#This Row],[Proporção]]*Tabela6[[#This Row],[Total]]</f>
        <v>0</v>
      </c>
      <c r="P20"/>
      <c r="Q20"/>
    </row>
    <row r="21" spans="1:17">
      <c r="A21" s="122" t="e">
        <f>IF(VLOOKUP(Tabela6[[#This Row],[UF]],'BASE CC'!B:C,2,0)="SP",IF(Tabela6[[#This Row],[OPERADORA]]="TIM","SP TIM","SPI"),VLOOKUP(Tabela6[[#This Row],[UF]],'BASE CC'!B:C,2,0))</f>
        <v>#N/A</v>
      </c>
      <c r="B21" s="36" t="e">
        <f>VLOOKUP(Tabela_Base_Financeiro[[#This Row],[Item code]],'COD.FAT'!B:C,2,0)</f>
        <v>#N/A</v>
      </c>
      <c r="C21" s="292">
        <f>Tabela_Base_Financeiro[[#This Row],[PO Ship TO]]</f>
        <v>0</v>
      </c>
      <c r="D21" s="36" t="str">
        <f>RIGHT(Tabela_Base_Financeiro[[#This Row],[Manufacturer]],2)</f>
        <v/>
      </c>
      <c r="E2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1" s="122" t="e">
        <f>VLOOKUP(Tabela_Base_Financeiro[[#This Row],[Project Code]],'COD. PROJETOS'!B:D,3,0)</f>
        <v>#N/A</v>
      </c>
      <c r="G21" s="36">
        <f>IFERROR(Tabela_Base_Financeiro[[#This Row],[PO No,]],0)</f>
        <v>0</v>
      </c>
      <c r="H21" s="36">
        <f>IFERROR(Tabela_Base_Financeiro[[#This Row],[Line No,]],0)</f>
        <v>0</v>
      </c>
      <c r="I21" s="36" t="str">
        <f>IFERROR(MID(Tabela_Base_Financeiro[[#This Row],[Manufacturer]],19,14),"")</f>
        <v/>
      </c>
      <c r="J21" s="113">
        <f>IFERROR(Tabela_Base_Financeiro[[#This Row],[Item code]],0)</f>
        <v>0</v>
      </c>
      <c r="K21" s="293">
        <f>IFERROR(Tabela_Base_Financeiro[[#This Row],[Unit Price]],0)</f>
        <v>0</v>
      </c>
      <c r="L21" s="36">
        <f>IFERROR(Tabela_Base_Financeiro[[#This Row],[AC Qty,]],0)</f>
        <v>0</v>
      </c>
      <c r="M21" s="60">
        <f>Tabela6[[#This Row],[Qty]]*Tabela6[[#This Row],[Preço]]</f>
        <v>0</v>
      </c>
      <c r="N21" s="37">
        <f>IFERROR(Tabela_Base_Financeiro[[#This Row],[Proportion]],0)</f>
        <v>0</v>
      </c>
      <c r="O21" s="60">
        <f>Tabela6[[#This Row],[Proporção]]*Tabela6[[#This Row],[Total]]</f>
        <v>0</v>
      </c>
      <c r="P21"/>
      <c r="Q21"/>
    </row>
    <row r="22" spans="1:17">
      <c r="A22" s="122" t="e">
        <f>IF(VLOOKUP(Tabela6[[#This Row],[UF]],'BASE CC'!B:C,2,0)="SP",IF(Tabela6[[#This Row],[OPERADORA]]="TIM","SP TIM","SPI"),VLOOKUP(Tabela6[[#This Row],[UF]],'BASE CC'!B:C,2,0))</f>
        <v>#N/A</v>
      </c>
      <c r="B22" s="36" t="e">
        <f>VLOOKUP(Tabela_Base_Financeiro[[#This Row],[Item code]],'COD.FAT'!B:C,2,0)</f>
        <v>#N/A</v>
      </c>
      <c r="C22" s="292">
        <f>Tabela_Base_Financeiro[[#This Row],[PO Ship TO]]</f>
        <v>0</v>
      </c>
      <c r="D22" s="36" t="str">
        <f>RIGHT(Tabela_Base_Financeiro[[#This Row],[Manufacturer]],2)</f>
        <v/>
      </c>
      <c r="E2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2" s="122" t="e">
        <f>VLOOKUP(Tabela_Base_Financeiro[[#This Row],[Project Code]],'COD. PROJETOS'!B:D,3,0)</f>
        <v>#N/A</v>
      </c>
      <c r="G22" s="36">
        <f>IFERROR(Tabela_Base_Financeiro[[#This Row],[PO No,]],0)</f>
        <v>0</v>
      </c>
      <c r="H22" s="36">
        <f>IFERROR(Tabela_Base_Financeiro[[#This Row],[Line No,]],0)</f>
        <v>0</v>
      </c>
      <c r="I22" s="36" t="str">
        <f>IFERROR(MID(Tabela_Base_Financeiro[[#This Row],[Manufacturer]],19,14),"")</f>
        <v/>
      </c>
      <c r="J22" s="113">
        <f>IFERROR(Tabela_Base_Financeiro[[#This Row],[Item code]],0)</f>
        <v>0</v>
      </c>
      <c r="K22" s="293">
        <f>IFERROR(Tabela_Base_Financeiro[[#This Row],[Unit Price]],0)</f>
        <v>0</v>
      </c>
      <c r="L22" s="36">
        <f>IFERROR(Tabela_Base_Financeiro[[#This Row],[AC Qty,]],0)</f>
        <v>0</v>
      </c>
      <c r="M22" s="60">
        <f>Tabela6[[#This Row],[Qty]]*Tabela6[[#This Row],[Preço]]</f>
        <v>0</v>
      </c>
      <c r="N22" s="37">
        <f>IFERROR(Tabela_Base_Financeiro[[#This Row],[Proportion]],0)</f>
        <v>0</v>
      </c>
      <c r="O22" s="60">
        <f>Tabela6[[#This Row],[Proporção]]*Tabela6[[#This Row],[Total]]</f>
        <v>0</v>
      </c>
      <c r="P22"/>
      <c r="Q22"/>
    </row>
    <row r="23" spans="1:17">
      <c r="A23" s="122" t="e">
        <f>IF(VLOOKUP(Tabela6[[#This Row],[UF]],'BASE CC'!B:C,2,0)="SP",IF(Tabela6[[#This Row],[OPERADORA]]="TIM","SP TIM","SPI"),VLOOKUP(Tabela6[[#This Row],[UF]],'BASE CC'!B:C,2,0))</f>
        <v>#N/A</v>
      </c>
      <c r="B23" s="36" t="e">
        <f>VLOOKUP(Tabela_Base_Financeiro[[#This Row],[Item code]],'COD.FAT'!B:C,2,0)</f>
        <v>#N/A</v>
      </c>
      <c r="C23" s="292">
        <f>Tabela_Base_Financeiro[[#This Row],[PO Ship TO]]</f>
        <v>0</v>
      </c>
      <c r="D23" s="36" t="str">
        <f>RIGHT(Tabela_Base_Financeiro[[#This Row],[Manufacturer]],2)</f>
        <v/>
      </c>
      <c r="E2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3" s="122" t="e">
        <f>VLOOKUP(Tabela_Base_Financeiro[[#This Row],[Project Code]],'COD. PROJETOS'!B:D,3,0)</f>
        <v>#N/A</v>
      </c>
      <c r="G23" s="36">
        <f>IFERROR(Tabela_Base_Financeiro[[#This Row],[PO No,]],0)</f>
        <v>0</v>
      </c>
      <c r="H23" s="36">
        <f>IFERROR(Tabela_Base_Financeiro[[#This Row],[Line No,]],0)</f>
        <v>0</v>
      </c>
      <c r="I23" s="36" t="str">
        <f>IFERROR(MID(Tabela_Base_Financeiro[[#This Row],[Manufacturer]],19,14),"")</f>
        <v/>
      </c>
      <c r="J23" s="113">
        <f>IFERROR(Tabela_Base_Financeiro[[#This Row],[Item code]],0)</f>
        <v>0</v>
      </c>
      <c r="K23" s="293">
        <f>IFERROR(Tabela_Base_Financeiro[[#This Row],[Unit Price]],0)</f>
        <v>0</v>
      </c>
      <c r="L23" s="36">
        <f>IFERROR(Tabela_Base_Financeiro[[#This Row],[AC Qty,]],0)</f>
        <v>0</v>
      </c>
      <c r="M23" s="60">
        <f>Tabela6[[#This Row],[Qty]]*Tabela6[[#This Row],[Preço]]</f>
        <v>0</v>
      </c>
      <c r="N23" s="37">
        <f>IFERROR(Tabela_Base_Financeiro[[#This Row],[Proportion]],0)</f>
        <v>0</v>
      </c>
      <c r="O23" s="60">
        <f>Tabela6[[#This Row],[Proporção]]*Tabela6[[#This Row],[Total]]</f>
        <v>0</v>
      </c>
      <c r="P23"/>
      <c r="Q23"/>
    </row>
    <row r="24" spans="1:17">
      <c r="A24" s="122" t="e">
        <f>IF(VLOOKUP(Tabela6[[#This Row],[UF]],'BASE CC'!B:C,2,0)="SP",IF(Tabela6[[#This Row],[OPERADORA]]="TIM","SP TIM","SPI"),VLOOKUP(Tabela6[[#This Row],[UF]],'BASE CC'!B:C,2,0))</f>
        <v>#N/A</v>
      </c>
      <c r="B24" s="36" t="e">
        <f>VLOOKUP(Tabela_Base_Financeiro[[#This Row],[Item code]],'COD.FAT'!B:C,2,0)</f>
        <v>#N/A</v>
      </c>
      <c r="C24" s="292">
        <f>Tabela_Base_Financeiro[[#This Row],[PO Ship TO]]</f>
        <v>0</v>
      </c>
      <c r="D24" s="36" t="str">
        <f>RIGHT(Tabela_Base_Financeiro[[#This Row],[Manufacturer]],2)</f>
        <v/>
      </c>
      <c r="E2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4" s="122" t="e">
        <f>VLOOKUP(Tabela_Base_Financeiro[[#This Row],[Project Code]],'COD. PROJETOS'!B:D,3,0)</f>
        <v>#N/A</v>
      </c>
      <c r="G24" s="36">
        <f>IFERROR(Tabela_Base_Financeiro[[#This Row],[PO No,]],0)</f>
        <v>0</v>
      </c>
      <c r="H24" s="36">
        <f>IFERROR(Tabela_Base_Financeiro[[#This Row],[Line No,]],0)</f>
        <v>0</v>
      </c>
      <c r="I24" s="36" t="str">
        <f>IFERROR(MID(Tabela_Base_Financeiro[[#This Row],[Manufacturer]],19,14),"")</f>
        <v/>
      </c>
      <c r="J24" s="113">
        <f>IFERROR(Tabela_Base_Financeiro[[#This Row],[Item code]],0)</f>
        <v>0</v>
      </c>
      <c r="K24" s="293">
        <f>IFERROR(Tabela_Base_Financeiro[[#This Row],[Unit Price]],0)</f>
        <v>0</v>
      </c>
      <c r="L24" s="36">
        <f>IFERROR(Tabela_Base_Financeiro[[#This Row],[AC Qty,]],0)</f>
        <v>0</v>
      </c>
      <c r="M24" s="60">
        <f>Tabela6[[#This Row],[Qty]]*Tabela6[[#This Row],[Preço]]</f>
        <v>0</v>
      </c>
      <c r="N24" s="37">
        <f>IFERROR(Tabela_Base_Financeiro[[#This Row],[Proportion]],0)</f>
        <v>0</v>
      </c>
      <c r="O24" s="60">
        <f>Tabela6[[#This Row],[Proporção]]*Tabela6[[#This Row],[Total]]</f>
        <v>0</v>
      </c>
      <c r="P24"/>
      <c r="Q24"/>
    </row>
    <row r="25" spans="1:17" ht="13.8" customHeight="1">
      <c r="A25" s="122" t="e">
        <f>IF(VLOOKUP(Tabela6[[#This Row],[UF]],'BASE CC'!B:C,2,0)="SP",IF(Tabela6[[#This Row],[OPERADORA]]="TIM","SP TIM","SPI"),VLOOKUP(Tabela6[[#This Row],[UF]],'BASE CC'!B:C,2,0))</f>
        <v>#N/A</v>
      </c>
      <c r="B25" s="36" t="e">
        <f>VLOOKUP(Tabela_Base_Financeiro[[#This Row],[Item code]],'COD.FAT'!B:C,2,0)</f>
        <v>#N/A</v>
      </c>
      <c r="C25" s="292">
        <f>Tabela_Base_Financeiro[[#This Row],[PO Ship TO]]</f>
        <v>0</v>
      </c>
      <c r="D25" s="36" t="str">
        <f>RIGHT(Tabela_Base_Financeiro[[#This Row],[Manufacturer]],2)</f>
        <v/>
      </c>
      <c r="E2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5" s="122" t="e">
        <f>VLOOKUP(Tabela_Base_Financeiro[[#This Row],[Project Code]],'COD. PROJETOS'!B:D,3,0)</f>
        <v>#N/A</v>
      </c>
      <c r="G25" s="36">
        <f>IFERROR(Tabela_Base_Financeiro[[#This Row],[PO No,]],0)</f>
        <v>0</v>
      </c>
      <c r="H25" s="36">
        <f>IFERROR(Tabela_Base_Financeiro[[#This Row],[Line No,]],0)</f>
        <v>0</v>
      </c>
      <c r="I25" s="36" t="str">
        <f>IFERROR(MID(Tabela_Base_Financeiro[[#This Row],[Manufacturer]],19,14),"")</f>
        <v/>
      </c>
      <c r="J25" s="113">
        <f>IFERROR(Tabela_Base_Financeiro[[#This Row],[Item code]],0)</f>
        <v>0</v>
      </c>
      <c r="K25" s="293">
        <f>IFERROR(Tabela_Base_Financeiro[[#This Row],[Unit Price]],0)</f>
        <v>0</v>
      </c>
      <c r="L25" s="36">
        <f>IFERROR(Tabela_Base_Financeiro[[#This Row],[AC Qty,]],0)</f>
        <v>0</v>
      </c>
      <c r="M25" s="60">
        <f>Tabela6[[#This Row],[Qty]]*Tabela6[[#This Row],[Preço]]</f>
        <v>0</v>
      </c>
      <c r="N25" s="37">
        <f>IFERROR(Tabela_Base_Financeiro[[#This Row],[Proportion]],0)</f>
        <v>0</v>
      </c>
      <c r="O25" s="60">
        <f>Tabela6[[#This Row],[Proporção]]*Tabela6[[#This Row],[Total]]</f>
        <v>0</v>
      </c>
      <c r="P25"/>
      <c r="Q25"/>
    </row>
    <row r="26" spans="1:17">
      <c r="A26" s="122" t="e">
        <f>IF(VLOOKUP(Tabela6[[#This Row],[UF]],'BASE CC'!B:C,2,0)="SP",IF(Tabela6[[#This Row],[OPERADORA]]="TIM","SP TIM","SPI"),VLOOKUP(Tabela6[[#This Row],[UF]],'BASE CC'!B:C,2,0))</f>
        <v>#N/A</v>
      </c>
      <c r="B26" s="36" t="e">
        <f>VLOOKUP(Tabela_Base_Financeiro[[#This Row],[Item code]],'COD.FAT'!B:C,2,0)</f>
        <v>#N/A</v>
      </c>
      <c r="C26" s="292">
        <f>Tabela_Base_Financeiro[[#This Row],[PO Ship TO]]</f>
        <v>0</v>
      </c>
      <c r="D26" s="36" t="str">
        <f>RIGHT(Tabela_Base_Financeiro[[#This Row],[Manufacturer]],2)</f>
        <v/>
      </c>
      <c r="E2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6" s="122" t="e">
        <f>VLOOKUP(Tabela_Base_Financeiro[[#This Row],[Project Code]],'COD. PROJETOS'!B:D,3,0)</f>
        <v>#N/A</v>
      </c>
      <c r="G26" s="36">
        <f>IFERROR(Tabela_Base_Financeiro[[#This Row],[PO No,]],0)</f>
        <v>0</v>
      </c>
      <c r="H26" s="36">
        <f>IFERROR(Tabela_Base_Financeiro[[#This Row],[Line No,]],0)</f>
        <v>0</v>
      </c>
      <c r="I26" s="36" t="str">
        <f>IFERROR(MID(Tabela_Base_Financeiro[[#This Row],[Manufacturer]],19,14),"")</f>
        <v/>
      </c>
      <c r="J26" s="113">
        <f>IFERROR(Tabela_Base_Financeiro[[#This Row],[Item code]],0)</f>
        <v>0</v>
      </c>
      <c r="K26" s="293">
        <f>IFERROR(Tabela_Base_Financeiro[[#This Row],[Unit Price]],0)</f>
        <v>0</v>
      </c>
      <c r="L26" s="36">
        <f>IFERROR(Tabela_Base_Financeiro[[#This Row],[AC Qty,]],0)</f>
        <v>0</v>
      </c>
      <c r="M26" s="60">
        <f>Tabela6[[#This Row],[Qty]]*Tabela6[[#This Row],[Preço]]</f>
        <v>0</v>
      </c>
      <c r="N26" s="37">
        <f>IFERROR(Tabela_Base_Financeiro[[#This Row],[Proportion]],0)</f>
        <v>0</v>
      </c>
      <c r="O26" s="60">
        <f>Tabela6[[#This Row],[Proporção]]*Tabela6[[#This Row],[Total]]</f>
        <v>0</v>
      </c>
      <c r="P26"/>
      <c r="Q26"/>
    </row>
    <row r="27" spans="1:17">
      <c r="A27" s="122" t="e">
        <f>IF(VLOOKUP(Tabela6[[#This Row],[UF]],'BASE CC'!B:C,2,0)="SP",IF(Tabela6[[#This Row],[OPERADORA]]="TIM","SP TIM","SPI"),VLOOKUP(Tabela6[[#This Row],[UF]],'BASE CC'!B:C,2,0))</f>
        <v>#N/A</v>
      </c>
      <c r="B27" s="36" t="e">
        <f>VLOOKUP(Tabela_Base_Financeiro[[#This Row],[Item code]],'COD.FAT'!B:C,2,0)</f>
        <v>#N/A</v>
      </c>
      <c r="C27" s="292">
        <f>Tabela_Base_Financeiro[[#This Row],[PO Ship TO]]</f>
        <v>0</v>
      </c>
      <c r="D27" s="36" t="str">
        <f>RIGHT(Tabela_Base_Financeiro[[#This Row],[Manufacturer]],2)</f>
        <v/>
      </c>
      <c r="E2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7" s="122" t="e">
        <f>VLOOKUP(Tabela_Base_Financeiro[[#This Row],[Project Code]],'COD. PROJETOS'!B:D,3,0)</f>
        <v>#N/A</v>
      </c>
      <c r="G27" s="36">
        <f>IFERROR(Tabela_Base_Financeiro[[#This Row],[PO No,]],0)</f>
        <v>0</v>
      </c>
      <c r="H27" s="36">
        <f>IFERROR(Tabela_Base_Financeiro[[#This Row],[Line No,]],0)</f>
        <v>0</v>
      </c>
      <c r="I27" s="36" t="str">
        <f>IFERROR(MID(Tabela_Base_Financeiro[[#This Row],[Manufacturer]],19,14),"")</f>
        <v/>
      </c>
      <c r="J27" s="113">
        <f>IFERROR(Tabela_Base_Financeiro[[#This Row],[Item code]],0)</f>
        <v>0</v>
      </c>
      <c r="K27" s="293">
        <f>IFERROR(Tabela_Base_Financeiro[[#This Row],[Unit Price]],0)</f>
        <v>0</v>
      </c>
      <c r="L27" s="36">
        <f>IFERROR(Tabela_Base_Financeiro[[#This Row],[AC Qty,]],0)</f>
        <v>0</v>
      </c>
      <c r="M27" s="60">
        <f>Tabela6[[#This Row],[Qty]]*Tabela6[[#This Row],[Preço]]</f>
        <v>0</v>
      </c>
      <c r="N27" s="37">
        <f>IFERROR(Tabela_Base_Financeiro[[#This Row],[Proportion]],0)</f>
        <v>0</v>
      </c>
      <c r="O27" s="60">
        <f>Tabela6[[#This Row],[Proporção]]*Tabela6[[#This Row],[Total]]</f>
        <v>0</v>
      </c>
      <c r="P27"/>
      <c r="Q27"/>
    </row>
    <row r="28" spans="1:17">
      <c r="A28" s="122" t="e">
        <f>IF(VLOOKUP(Tabela6[[#This Row],[UF]],'BASE CC'!B:C,2,0)="SP",IF(Tabela6[[#This Row],[OPERADORA]]="TIM","SP TIM","SPI"),VLOOKUP(Tabela6[[#This Row],[UF]],'BASE CC'!B:C,2,0))</f>
        <v>#N/A</v>
      </c>
      <c r="B28" s="36" t="e">
        <f>VLOOKUP(Tabela_Base_Financeiro[[#This Row],[Item code]],'COD.FAT'!B:C,2,0)</f>
        <v>#N/A</v>
      </c>
      <c r="C28" s="292">
        <f>Tabela_Base_Financeiro[[#This Row],[PO Ship TO]]</f>
        <v>0</v>
      </c>
      <c r="D28" s="36" t="str">
        <f>RIGHT(Tabela_Base_Financeiro[[#This Row],[Manufacturer]],2)</f>
        <v/>
      </c>
      <c r="E2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8" s="122" t="e">
        <f>VLOOKUP(Tabela_Base_Financeiro[[#This Row],[Project Code]],'COD. PROJETOS'!B:D,3,0)</f>
        <v>#N/A</v>
      </c>
      <c r="G28" s="36">
        <f>IFERROR(Tabela_Base_Financeiro[[#This Row],[PO No,]],0)</f>
        <v>0</v>
      </c>
      <c r="H28" s="36">
        <f>IFERROR(Tabela_Base_Financeiro[[#This Row],[Line No,]],0)</f>
        <v>0</v>
      </c>
      <c r="I28" s="36" t="str">
        <f>IFERROR(MID(Tabela_Base_Financeiro[[#This Row],[Manufacturer]],19,14),"")</f>
        <v/>
      </c>
      <c r="J28" s="113">
        <f>IFERROR(Tabela_Base_Financeiro[[#This Row],[Item code]],0)</f>
        <v>0</v>
      </c>
      <c r="K28" s="293">
        <f>IFERROR(Tabela_Base_Financeiro[[#This Row],[Unit Price]],0)</f>
        <v>0</v>
      </c>
      <c r="L28" s="36">
        <f>IFERROR(Tabela_Base_Financeiro[[#This Row],[AC Qty,]],0)</f>
        <v>0</v>
      </c>
      <c r="M28" s="60">
        <f>Tabela6[[#This Row],[Qty]]*Tabela6[[#This Row],[Preço]]</f>
        <v>0</v>
      </c>
      <c r="N28" s="37">
        <f>IFERROR(Tabela_Base_Financeiro[[#This Row],[Proportion]],0)</f>
        <v>0</v>
      </c>
      <c r="O28" s="60">
        <f>Tabela6[[#This Row],[Proporção]]*Tabela6[[#This Row],[Total]]</f>
        <v>0</v>
      </c>
      <c r="P28"/>
      <c r="Q28"/>
    </row>
    <row r="29" spans="1:17">
      <c r="A29" s="122" t="e">
        <f>IF(VLOOKUP(Tabela6[[#This Row],[UF]],'BASE CC'!B:C,2,0)="SP",IF(Tabela6[[#This Row],[OPERADORA]]="TIM","SP TIM","SPI"),VLOOKUP(Tabela6[[#This Row],[UF]],'BASE CC'!B:C,2,0))</f>
        <v>#N/A</v>
      </c>
      <c r="B29" s="36" t="e">
        <f>VLOOKUP(Tabela_Base_Financeiro[[#This Row],[Item code]],'COD.FAT'!B:C,2,0)</f>
        <v>#N/A</v>
      </c>
      <c r="C29" s="292">
        <f>Tabela_Base_Financeiro[[#This Row],[PO Ship TO]]</f>
        <v>0</v>
      </c>
      <c r="D29" s="36" t="str">
        <f>RIGHT(Tabela_Base_Financeiro[[#This Row],[Manufacturer]],2)</f>
        <v/>
      </c>
      <c r="E2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9" s="122" t="e">
        <f>VLOOKUP(Tabela_Base_Financeiro[[#This Row],[Project Code]],'COD. PROJETOS'!B:D,3,0)</f>
        <v>#N/A</v>
      </c>
      <c r="G29" s="36">
        <f>IFERROR(Tabela_Base_Financeiro[[#This Row],[PO No,]],0)</f>
        <v>0</v>
      </c>
      <c r="H29" s="36">
        <f>IFERROR(Tabela_Base_Financeiro[[#This Row],[Line No,]],0)</f>
        <v>0</v>
      </c>
      <c r="I29" s="36" t="str">
        <f>IFERROR(MID(Tabela_Base_Financeiro[[#This Row],[Manufacturer]],19,14),"")</f>
        <v/>
      </c>
      <c r="J29" s="113">
        <f>IFERROR(Tabela_Base_Financeiro[[#This Row],[Item code]],0)</f>
        <v>0</v>
      </c>
      <c r="K29" s="293">
        <f>IFERROR(Tabela_Base_Financeiro[[#This Row],[Unit Price]],0)</f>
        <v>0</v>
      </c>
      <c r="L29" s="36">
        <f>IFERROR(Tabela_Base_Financeiro[[#This Row],[AC Qty,]],0)</f>
        <v>0</v>
      </c>
      <c r="M29" s="60">
        <f>Tabela6[[#This Row],[Qty]]*Tabela6[[#This Row],[Preço]]</f>
        <v>0</v>
      </c>
      <c r="N29" s="37">
        <f>IFERROR(Tabela_Base_Financeiro[[#This Row],[Proportion]],0)</f>
        <v>0</v>
      </c>
      <c r="O29" s="60">
        <f>Tabela6[[#This Row],[Proporção]]*Tabela6[[#This Row],[Total]]</f>
        <v>0</v>
      </c>
      <c r="P29"/>
      <c r="Q29"/>
    </row>
    <row r="30" spans="1:17">
      <c r="A30" s="122" t="e">
        <f>IF(VLOOKUP(Tabela6[[#This Row],[UF]],'BASE CC'!B:C,2,0)="SP",IF(Tabela6[[#This Row],[OPERADORA]]="TIM","SP TIM","SPI"),VLOOKUP(Tabela6[[#This Row],[UF]],'BASE CC'!B:C,2,0))</f>
        <v>#N/A</v>
      </c>
      <c r="B30" s="36" t="e">
        <f>VLOOKUP(Tabela_Base_Financeiro[[#This Row],[Item code]],'COD.FAT'!B:C,2,0)</f>
        <v>#N/A</v>
      </c>
      <c r="C30" s="292">
        <f>Tabela_Base_Financeiro[[#This Row],[PO Ship TO]]</f>
        <v>0</v>
      </c>
      <c r="D30" s="36" t="str">
        <f>RIGHT(Tabela_Base_Financeiro[[#This Row],[Manufacturer]],2)</f>
        <v/>
      </c>
      <c r="E3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0" s="122" t="e">
        <f>VLOOKUP(Tabela_Base_Financeiro[[#This Row],[Project Code]],'COD. PROJETOS'!B:D,3,0)</f>
        <v>#N/A</v>
      </c>
      <c r="G30" s="36">
        <f>IFERROR(Tabela_Base_Financeiro[[#This Row],[PO No,]],0)</f>
        <v>0</v>
      </c>
      <c r="H30" s="36">
        <f>IFERROR(Tabela_Base_Financeiro[[#This Row],[Line No,]],0)</f>
        <v>0</v>
      </c>
      <c r="I30" s="36" t="str">
        <f>IFERROR(MID(Tabela_Base_Financeiro[[#This Row],[Manufacturer]],19,14),"")</f>
        <v/>
      </c>
      <c r="J30" s="113">
        <f>IFERROR(Tabela_Base_Financeiro[[#This Row],[Item code]],0)</f>
        <v>0</v>
      </c>
      <c r="K30" s="293">
        <f>IFERROR(Tabela_Base_Financeiro[[#This Row],[Unit Price]],0)</f>
        <v>0</v>
      </c>
      <c r="L30" s="36">
        <f>IFERROR(Tabela_Base_Financeiro[[#This Row],[AC Qty,]],0)</f>
        <v>0</v>
      </c>
      <c r="M30" s="60">
        <f>Tabela6[[#This Row],[Qty]]*Tabela6[[#This Row],[Preço]]</f>
        <v>0</v>
      </c>
      <c r="N30" s="37">
        <f>IFERROR(Tabela_Base_Financeiro[[#This Row],[Proportion]],0)</f>
        <v>0</v>
      </c>
      <c r="O30" s="60">
        <f>Tabela6[[#This Row],[Proporção]]*Tabela6[[#This Row],[Total]]</f>
        <v>0</v>
      </c>
      <c r="P30"/>
      <c r="Q30"/>
    </row>
    <row r="31" spans="1:17">
      <c r="A31" s="122" t="e">
        <f>IF(VLOOKUP(Tabela6[[#This Row],[UF]],'BASE CC'!B:C,2,0)="SP",IF(Tabela6[[#This Row],[OPERADORA]]="TIM","SP TIM","SPI"),VLOOKUP(Tabela6[[#This Row],[UF]],'BASE CC'!B:C,2,0))</f>
        <v>#N/A</v>
      </c>
      <c r="B31" s="36" t="e">
        <f>VLOOKUP(Tabela_Base_Financeiro[[#This Row],[Item code]],'COD.FAT'!B:C,2,0)</f>
        <v>#N/A</v>
      </c>
      <c r="C31" s="292">
        <f>Tabela_Base_Financeiro[[#This Row],[PO Ship TO]]</f>
        <v>0</v>
      </c>
      <c r="D31" s="36" t="str">
        <f>RIGHT(Tabela_Base_Financeiro[[#This Row],[Manufacturer]],2)</f>
        <v/>
      </c>
      <c r="E3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1" s="122" t="e">
        <f>VLOOKUP(Tabela_Base_Financeiro[[#This Row],[Project Code]],'COD. PROJETOS'!B:D,3,0)</f>
        <v>#N/A</v>
      </c>
      <c r="G31" s="36">
        <f>IFERROR(Tabela_Base_Financeiro[[#This Row],[PO No,]],0)</f>
        <v>0</v>
      </c>
      <c r="H31" s="36">
        <f>IFERROR(Tabela_Base_Financeiro[[#This Row],[Line No,]],0)</f>
        <v>0</v>
      </c>
      <c r="I31" s="36" t="str">
        <f>IFERROR(MID(Tabela_Base_Financeiro[[#This Row],[Manufacturer]],19,14),"")</f>
        <v/>
      </c>
      <c r="J31" s="113">
        <f>IFERROR(Tabela_Base_Financeiro[[#This Row],[Item code]],0)</f>
        <v>0</v>
      </c>
      <c r="K31" s="293">
        <f>IFERROR(Tabela_Base_Financeiro[[#This Row],[Unit Price]],0)</f>
        <v>0</v>
      </c>
      <c r="L31" s="36">
        <f>IFERROR(Tabela_Base_Financeiro[[#This Row],[AC Qty,]],0)</f>
        <v>0</v>
      </c>
      <c r="M31" s="60">
        <f>Tabela6[[#This Row],[Qty]]*Tabela6[[#This Row],[Preço]]</f>
        <v>0</v>
      </c>
      <c r="N31" s="37">
        <f>IFERROR(Tabela_Base_Financeiro[[#This Row],[Proportion]],0)</f>
        <v>0</v>
      </c>
      <c r="O31" s="60">
        <f>Tabela6[[#This Row],[Proporção]]*Tabela6[[#This Row],[Total]]</f>
        <v>0</v>
      </c>
      <c r="P31"/>
      <c r="Q31"/>
    </row>
    <row r="32" spans="1:17">
      <c r="A32" s="122" t="e">
        <f>IF(VLOOKUP(Tabela6[[#This Row],[UF]],'BASE CC'!B:C,2,0)="SP",IF(Tabela6[[#This Row],[OPERADORA]]="TIM","SP TIM","SPI"),VLOOKUP(Tabela6[[#This Row],[UF]],'BASE CC'!B:C,2,0))</f>
        <v>#N/A</v>
      </c>
      <c r="B32" s="36" t="e">
        <f>VLOOKUP(Tabela_Base_Financeiro[[#This Row],[Item code]],'COD.FAT'!B:C,2,0)</f>
        <v>#N/A</v>
      </c>
      <c r="C32" s="292">
        <f>Tabela_Base_Financeiro[[#This Row],[PO Ship TO]]</f>
        <v>0</v>
      </c>
      <c r="D32" s="36" t="str">
        <f>RIGHT(Tabela_Base_Financeiro[[#This Row],[Manufacturer]],2)</f>
        <v/>
      </c>
      <c r="E3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2" s="122" t="e">
        <f>VLOOKUP(Tabela_Base_Financeiro[[#This Row],[Project Code]],'COD. PROJETOS'!B:D,3,0)</f>
        <v>#N/A</v>
      </c>
      <c r="G32" s="36">
        <f>IFERROR(Tabela_Base_Financeiro[[#This Row],[PO No,]],0)</f>
        <v>0</v>
      </c>
      <c r="H32" s="36">
        <f>IFERROR(Tabela_Base_Financeiro[[#This Row],[Line No,]],0)</f>
        <v>0</v>
      </c>
      <c r="I32" s="36" t="str">
        <f>IFERROR(MID(Tabela_Base_Financeiro[[#This Row],[Manufacturer]],19,14),"")</f>
        <v/>
      </c>
      <c r="J32" s="113">
        <f>IFERROR(Tabela_Base_Financeiro[[#This Row],[Item code]],0)</f>
        <v>0</v>
      </c>
      <c r="K32" s="293">
        <f>IFERROR(Tabela_Base_Financeiro[[#This Row],[Unit Price]],0)</f>
        <v>0</v>
      </c>
      <c r="L32" s="36">
        <f>IFERROR(Tabela_Base_Financeiro[[#This Row],[AC Qty,]],0)</f>
        <v>0</v>
      </c>
      <c r="M32" s="60">
        <f>Tabela6[[#This Row],[Qty]]*Tabela6[[#This Row],[Preço]]</f>
        <v>0</v>
      </c>
      <c r="N32" s="37">
        <f>IFERROR(Tabela_Base_Financeiro[[#This Row],[Proportion]],0)</f>
        <v>0</v>
      </c>
      <c r="O32" s="60">
        <f>Tabela6[[#This Row],[Proporção]]*Tabela6[[#This Row],[Total]]</f>
        <v>0</v>
      </c>
      <c r="P32"/>
      <c r="Q32"/>
    </row>
    <row r="33" spans="1:17">
      <c r="A33" s="122" t="e">
        <f>IF(VLOOKUP(Tabela6[[#This Row],[UF]],'BASE CC'!B:C,2,0)="SP",IF(Tabela6[[#This Row],[OPERADORA]]="TIM","SP TIM","SPI"),VLOOKUP(Tabela6[[#This Row],[UF]],'BASE CC'!B:C,2,0))</f>
        <v>#N/A</v>
      </c>
      <c r="B33" s="36" t="e">
        <f>VLOOKUP(Tabela_Base_Financeiro[[#This Row],[Item code]],'COD.FAT'!B:C,2,0)</f>
        <v>#N/A</v>
      </c>
      <c r="C33" s="292">
        <f>Tabela_Base_Financeiro[[#This Row],[PO Ship TO]]</f>
        <v>0</v>
      </c>
      <c r="D33" s="36" t="str">
        <f>RIGHT(Tabela_Base_Financeiro[[#This Row],[Manufacturer]],2)</f>
        <v/>
      </c>
      <c r="E3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3" s="122" t="e">
        <f>VLOOKUP(Tabela_Base_Financeiro[[#This Row],[Project Code]],'COD. PROJETOS'!B:D,3,0)</f>
        <v>#N/A</v>
      </c>
      <c r="G33" s="36">
        <f>IFERROR(Tabela_Base_Financeiro[[#This Row],[PO No,]],0)</f>
        <v>0</v>
      </c>
      <c r="H33" s="36">
        <f>IFERROR(Tabela_Base_Financeiro[[#This Row],[Line No,]],0)</f>
        <v>0</v>
      </c>
      <c r="I33" s="36" t="str">
        <f>IFERROR(MID(Tabela_Base_Financeiro[[#This Row],[Manufacturer]],19,14),"")</f>
        <v/>
      </c>
      <c r="J33" s="113">
        <f>IFERROR(Tabela_Base_Financeiro[[#This Row],[Item code]],0)</f>
        <v>0</v>
      </c>
      <c r="K33" s="293">
        <f>IFERROR(Tabela_Base_Financeiro[[#This Row],[Unit Price]],0)</f>
        <v>0</v>
      </c>
      <c r="L33" s="36">
        <f>IFERROR(Tabela_Base_Financeiro[[#This Row],[AC Qty,]],0)</f>
        <v>0</v>
      </c>
      <c r="M33" s="60">
        <f>Tabela6[[#This Row],[Qty]]*Tabela6[[#This Row],[Preço]]</f>
        <v>0</v>
      </c>
      <c r="N33" s="37">
        <f>IFERROR(Tabela_Base_Financeiro[[#This Row],[Proportion]],0)</f>
        <v>0</v>
      </c>
      <c r="O33" s="60">
        <f>Tabela6[[#This Row],[Proporção]]*Tabela6[[#This Row],[Total]]</f>
        <v>0</v>
      </c>
      <c r="P33"/>
      <c r="Q33"/>
    </row>
    <row r="34" spans="1:17">
      <c r="A34" s="122" t="e">
        <f>IF(VLOOKUP(Tabela6[[#This Row],[UF]],'BASE CC'!B:C,2,0)="SP",IF(Tabela6[[#This Row],[OPERADORA]]="TIM","SP TIM","SPI"),VLOOKUP(Tabela6[[#This Row],[UF]],'BASE CC'!B:C,2,0))</f>
        <v>#N/A</v>
      </c>
      <c r="B34" s="36" t="e">
        <f>VLOOKUP(Tabela_Base_Financeiro[[#This Row],[Item code]],'COD.FAT'!B:C,2,0)</f>
        <v>#N/A</v>
      </c>
      <c r="C34" s="292">
        <f>Tabela_Base_Financeiro[[#This Row],[PO Ship TO]]</f>
        <v>0</v>
      </c>
      <c r="D34" s="36" t="str">
        <f>RIGHT(Tabela_Base_Financeiro[[#This Row],[Manufacturer]],2)</f>
        <v/>
      </c>
      <c r="E3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4" s="122" t="e">
        <f>VLOOKUP(Tabela_Base_Financeiro[[#This Row],[Project Code]],'COD. PROJETOS'!B:D,3,0)</f>
        <v>#N/A</v>
      </c>
      <c r="G34" s="36">
        <f>IFERROR(Tabela_Base_Financeiro[[#This Row],[PO No,]],0)</f>
        <v>0</v>
      </c>
      <c r="H34" s="36">
        <f>IFERROR(Tabela_Base_Financeiro[[#This Row],[Line No,]],0)</f>
        <v>0</v>
      </c>
      <c r="I34" s="36" t="str">
        <f>IFERROR(MID(Tabela_Base_Financeiro[[#This Row],[Manufacturer]],19,14),"")</f>
        <v/>
      </c>
      <c r="J34" s="113">
        <f>IFERROR(Tabela_Base_Financeiro[[#This Row],[Item code]],0)</f>
        <v>0</v>
      </c>
      <c r="K34" s="293">
        <f>IFERROR(Tabela_Base_Financeiro[[#This Row],[Unit Price]],0)</f>
        <v>0</v>
      </c>
      <c r="L34" s="36">
        <f>IFERROR(Tabela_Base_Financeiro[[#This Row],[AC Qty,]],0)</f>
        <v>0</v>
      </c>
      <c r="M34" s="60">
        <f>Tabela6[[#This Row],[Qty]]*Tabela6[[#This Row],[Preço]]</f>
        <v>0</v>
      </c>
      <c r="N34" s="37">
        <f>IFERROR(Tabela_Base_Financeiro[[#This Row],[Proportion]],0)</f>
        <v>0</v>
      </c>
      <c r="O34" s="60">
        <f>Tabela6[[#This Row],[Proporção]]*Tabela6[[#This Row],[Total]]</f>
        <v>0</v>
      </c>
      <c r="P34"/>
      <c r="Q34"/>
    </row>
    <row r="35" spans="1:17">
      <c r="A35" s="122" t="e">
        <f>IF(VLOOKUP(Tabela6[[#This Row],[UF]],'BASE CC'!B:C,2,0)="SP",IF(Tabela6[[#This Row],[OPERADORA]]="TIM","SP TIM","SPI"),VLOOKUP(Tabela6[[#This Row],[UF]],'BASE CC'!B:C,2,0))</f>
        <v>#N/A</v>
      </c>
      <c r="B35" s="36" t="e">
        <f>VLOOKUP(Tabela_Base_Financeiro[[#This Row],[Item code]],'COD.FAT'!B:C,2,0)</f>
        <v>#N/A</v>
      </c>
      <c r="C35" s="292">
        <f>Tabela_Base_Financeiro[[#This Row],[PO Ship TO]]</f>
        <v>0</v>
      </c>
      <c r="D35" s="36" t="str">
        <f>RIGHT(Tabela_Base_Financeiro[[#This Row],[Manufacturer]],2)</f>
        <v/>
      </c>
      <c r="E3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5" s="122" t="e">
        <f>VLOOKUP(Tabela_Base_Financeiro[[#This Row],[Project Code]],'COD. PROJETOS'!B:D,3,0)</f>
        <v>#N/A</v>
      </c>
      <c r="G35" s="36">
        <f>IFERROR(Tabela_Base_Financeiro[[#This Row],[PO No,]],0)</f>
        <v>0</v>
      </c>
      <c r="H35" s="36">
        <f>IFERROR(Tabela_Base_Financeiro[[#This Row],[Line No,]],0)</f>
        <v>0</v>
      </c>
      <c r="I35" s="36" t="str">
        <f>IFERROR(MID(Tabela_Base_Financeiro[[#This Row],[Manufacturer]],19,14),"")</f>
        <v/>
      </c>
      <c r="J35" s="113">
        <f>IFERROR(Tabela_Base_Financeiro[[#This Row],[Item code]],0)</f>
        <v>0</v>
      </c>
      <c r="K35" s="293">
        <f>IFERROR(Tabela_Base_Financeiro[[#This Row],[Unit Price]],0)</f>
        <v>0</v>
      </c>
      <c r="L35" s="36">
        <f>IFERROR(Tabela_Base_Financeiro[[#This Row],[AC Qty,]],0)</f>
        <v>0</v>
      </c>
      <c r="M35" s="60">
        <f>Tabela6[[#This Row],[Qty]]*Tabela6[[#This Row],[Preço]]</f>
        <v>0</v>
      </c>
      <c r="N35" s="37">
        <f>IFERROR(Tabela_Base_Financeiro[[#This Row],[Proportion]],0)</f>
        <v>0</v>
      </c>
      <c r="O35" s="60">
        <f>Tabela6[[#This Row],[Proporção]]*Tabela6[[#This Row],[Total]]</f>
        <v>0</v>
      </c>
      <c r="P35"/>
      <c r="Q35"/>
    </row>
    <row r="36" spans="1:17">
      <c r="A36" s="122" t="e">
        <f>IF(VLOOKUP(Tabela6[[#This Row],[UF]],'BASE CC'!B:C,2,0)="SP",IF(Tabela6[[#This Row],[OPERADORA]]="TIM","SP TIM","SPI"),VLOOKUP(Tabela6[[#This Row],[UF]],'BASE CC'!B:C,2,0))</f>
        <v>#N/A</v>
      </c>
      <c r="B36" s="36" t="e">
        <f>VLOOKUP(Tabela_Base_Financeiro[[#This Row],[Item code]],'COD.FAT'!B:C,2,0)</f>
        <v>#N/A</v>
      </c>
      <c r="C36" s="292">
        <f>Tabela_Base_Financeiro[[#This Row],[PO Ship TO]]</f>
        <v>0</v>
      </c>
      <c r="D36" s="36" t="str">
        <f>RIGHT(Tabela_Base_Financeiro[[#This Row],[Manufacturer]],2)</f>
        <v/>
      </c>
      <c r="E3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6" s="122" t="e">
        <f>VLOOKUP(Tabela_Base_Financeiro[[#This Row],[Project Code]],'COD. PROJETOS'!B:D,3,0)</f>
        <v>#N/A</v>
      </c>
      <c r="G36" s="36">
        <f>IFERROR(Tabela_Base_Financeiro[[#This Row],[PO No,]],0)</f>
        <v>0</v>
      </c>
      <c r="H36" s="36">
        <f>IFERROR(Tabela_Base_Financeiro[[#This Row],[Line No,]],0)</f>
        <v>0</v>
      </c>
      <c r="I36" s="36" t="str">
        <f>IFERROR(MID(Tabela_Base_Financeiro[[#This Row],[Manufacturer]],19,14),"")</f>
        <v/>
      </c>
      <c r="J36" s="113">
        <f>IFERROR(Tabela_Base_Financeiro[[#This Row],[Item code]],0)</f>
        <v>0</v>
      </c>
      <c r="K36" s="293">
        <f>IFERROR(Tabela_Base_Financeiro[[#This Row],[Unit Price]],0)</f>
        <v>0</v>
      </c>
      <c r="L36" s="36">
        <f>IFERROR(Tabela_Base_Financeiro[[#This Row],[AC Qty,]],0)</f>
        <v>0</v>
      </c>
      <c r="M36" s="60">
        <f>Tabela6[[#This Row],[Qty]]*Tabela6[[#This Row],[Preço]]</f>
        <v>0</v>
      </c>
      <c r="N36" s="37">
        <f>IFERROR(Tabela_Base_Financeiro[[#This Row],[Proportion]],0)</f>
        <v>0</v>
      </c>
      <c r="O36" s="60">
        <f>Tabela6[[#This Row],[Proporção]]*Tabela6[[#This Row],[Total]]</f>
        <v>0</v>
      </c>
      <c r="P36"/>
      <c r="Q36"/>
    </row>
    <row r="37" spans="1:17">
      <c r="A37" s="122" t="e">
        <f>IF(VLOOKUP(Tabela6[[#This Row],[UF]],'BASE CC'!B:C,2,0)="SP",IF(Tabela6[[#This Row],[OPERADORA]]="TIM","SP TIM","SPI"),VLOOKUP(Tabela6[[#This Row],[UF]],'BASE CC'!B:C,2,0))</f>
        <v>#N/A</v>
      </c>
      <c r="B37" s="36" t="e">
        <f>VLOOKUP(Tabela_Base_Financeiro[[#This Row],[Item code]],'COD.FAT'!B:C,2,0)</f>
        <v>#N/A</v>
      </c>
      <c r="C37" s="292">
        <f>Tabela_Base_Financeiro[[#This Row],[PO Ship TO]]</f>
        <v>0</v>
      </c>
      <c r="D37" s="36" t="str">
        <f>RIGHT(Tabela_Base_Financeiro[[#This Row],[Manufacturer]],2)</f>
        <v/>
      </c>
      <c r="E3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7" s="122" t="e">
        <f>VLOOKUP(Tabela_Base_Financeiro[[#This Row],[Project Code]],'COD. PROJETOS'!B:D,3,0)</f>
        <v>#N/A</v>
      </c>
      <c r="G37" s="36">
        <f>IFERROR(Tabela_Base_Financeiro[[#This Row],[PO No,]],0)</f>
        <v>0</v>
      </c>
      <c r="H37" s="36">
        <f>IFERROR(Tabela_Base_Financeiro[[#This Row],[Line No,]],0)</f>
        <v>0</v>
      </c>
      <c r="I37" s="36" t="str">
        <f>IFERROR(MID(Tabela_Base_Financeiro[[#This Row],[Manufacturer]],19,14),"")</f>
        <v/>
      </c>
      <c r="J37" s="113">
        <f>IFERROR(Tabela_Base_Financeiro[[#This Row],[Item code]],0)</f>
        <v>0</v>
      </c>
      <c r="K37" s="293">
        <f>IFERROR(Tabela_Base_Financeiro[[#This Row],[Unit Price]],0)</f>
        <v>0</v>
      </c>
      <c r="L37" s="36">
        <f>IFERROR(Tabela_Base_Financeiro[[#This Row],[AC Qty,]],0)</f>
        <v>0</v>
      </c>
      <c r="M37" s="60">
        <f>Tabela6[[#This Row],[Qty]]*Tabela6[[#This Row],[Preço]]</f>
        <v>0</v>
      </c>
      <c r="N37" s="37">
        <f>IFERROR(Tabela_Base_Financeiro[[#This Row],[Proportion]],0)</f>
        <v>0</v>
      </c>
      <c r="O37" s="60">
        <f>Tabela6[[#This Row],[Proporção]]*Tabela6[[#This Row],[Total]]</f>
        <v>0</v>
      </c>
      <c r="P37"/>
      <c r="Q37"/>
    </row>
    <row r="38" spans="1:17">
      <c r="A38" s="122" t="e">
        <f>IF(VLOOKUP(Tabela6[[#This Row],[UF]],'BASE CC'!B:C,2,0)="SP",IF(Tabela6[[#This Row],[OPERADORA]]="TIM","SP TIM","SPI"),VLOOKUP(Tabela6[[#This Row],[UF]],'BASE CC'!B:C,2,0))</f>
        <v>#N/A</v>
      </c>
      <c r="B38" s="36" t="e">
        <f>VLOOKUP(Tabela_Base_Financeiro[[#This Row],[Item code]],'COD.FAT'!B:C,2,0)</f>
        <v>#N/A</v>
      </c>
      <c r="C38" s="292">
        <f>Tabela_Base_Financeiro[[#This Row],[PO Ship TO]]</f>
        <v>0</v>
      </c>
      <c r="D38" s="36" t="str">
        <f>RIGHT(Tabela_Base_Financeiro[[#This Row],[Manufacturer]],2)</f>
        <v/>
      </c>
      <c r="E3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8" s="122" t="e">
        <f>VLOOKUP(Tabela_Base_Financeiro[[#This Row],[Project Code]],'COD. PROJETOS'!B:D,3,0)</f>
        <v>#N/A</v>
      </c>
      <c r="G38" s="36">
        <f>IFERROR(Tabela_Base_Financeiro[[#This Row],[PO No,]],0)</f>
        <v>0</v>
      </c>
      <c r="H38" s="36">
        <f>IFERROR(Tabela_Base_Financeiro[[#This Row],[Line No,]],0)</f>
        <v>0</v>
      </c>
      <c r="I38" s="36" t="str">
        <f>IFERROR(MID(Tabela_Base_Financeiro[[#This Row],[Manufacturer]],19,14),"")</f>
        <v/>
      </c>
      <c r="J38" s="113">
        <f>IFERROR(Tabela_Base_Financeiro[[#This Row],[Item code]],0)</f>
        <v>0</v>
      </c>
      <c r="K38" s="293">
        <f>IFERROR(Tabela_Base_Financeiro[[#This Row],[Unit Price]],0)</f>
        <v>0</v>
      </c>
      <c r="L38" s="36">
        <f>IFERROR(Tabela_Base_Financeiro[[#This Row],[AC Qty,]],0)</f>
        <v>0</v>
      </c>
      <c r="M38" s="60">
        <f>Tabela6[[#This Row],[Qty]]*Tabela6[[#This Row],[Preço]]</f>
        <v>0</v>
      </c>
      <c r="N38" s="37">
        <f>IFERROR(Tabela_Base_Financeiro[[#This Row],[Proportion]],0)</f>
        <v>0</v>
      </c>
      <c r="O38" s="60">
        <f>Tabela6[[#This Row],[Proporção]]*Tabela6[[#This Row],[Total]]</f>
        <v>0</v>
      </c>
      <c r="P38"/>
      <c r="Q38"/>
    </row>
    <row r="39" spans="1:17">
      <c r="A39" s="122" t="e">
        <f>IF(VLOOKUP(Tabela6[[#This Row],[UF]],'BASE CC'!B:C,2,0)="SP",IF(Tabela6[[#This Row],[OPERADORA]]="TIM","SP TIM","SPI"),VLOOKUP(Tabela6[[#This Row],[UF]],'BASE CC'!B:C,2,0))</f>
        <v>#N/A</v>
      </c>
      <c r="B39" s="36" t="e">
        <f>VLOOKUP(Tabela_Base_Financeiro[[#This Row],[Item code]],'COD.FAT'!B:C,2,0)</f>
        <v>#N/A</v>
      </c>
      <c r="C39" s="292">
        <f>Tabela_Base_Financeiro[[#This Row],[PO Ship TO]]</f>
        <v>0</v>
      </c>
      <c r="D39" s="36" t="str">
        <f>RIGHT(Tabela_Base_Financeiro[[#This Row],[Manufacturer]],2)</f>
        <v/>
      </c>
      <c r="E3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9" s="122" t="e">
        <f>VLOOKUP(Tabela_Base_Financeiro[[#This Row],[Project Code]],'COD. PROJETOS'!B:D,3,0)</f>
        <v>#N/A</v>
      </c>
      <c r="G39" s="36">
        <f>IFERROR(Tabela_Base_Financeiro[[#This Row],[PO No,]],0)</f>
        <v>0</v>
      </c>
      <c r="H39" s="36">
        <f>IFERROR(Tabela_Base_Financeiro[[#This Row],[Line No,]],0)</f>
        <v>0</v>
      </c>
      <c r="I39" s="36" t="str">
        <f>IFERROR(MID(Tabela_Base_Financeiro[[#This Row],[Manufacturer]],19,14),"")</f>
        <v/>
      </c>
      <c r="J39" s="113">
        <f>IFERROR(Tabela_Base_Financeiro[[#This Row],[Item code]],0)</f>
        <v>0</v>
      </c>
      <c r="K39" s="293">
        <f>IFERROR(Tabela_Base_Financeiro[[#This Row],[Unit Price]],0)</f>
        <v>0</v>
      </c>
      <c r="L39" s="36">
        <f>IFERROR(Tabela_Base_Financeiro[[#This Row],[AC Qty,]],0)</f>
        <v>0</v>
      </c>
      <c r="M39" s="60">
        <f>Tabela6[[#This Row],[Qty]]*Tabela6[[#This Row],[Preço]]</f>
        <v>0</v>
      </c>
      <c r="N39" s="37">
        <f>IFERROR(Tabela_Base_Financeiro[[#This Row],[Proportion]],0)</f>
        <v>0</v>
      </c>
      <c r="O39" s="60">
        <f>Tabela6[[#This Row],[Proporção]]*Tabela6[[#This Row],[Total]]</f>
        <v>0</v>
      </c>
      <c r="P39"/>
      <c r="Q39"/>
    </row>
    <row r="40" spans="1:17">
      <c r="A40" s="122" t="e">
        <f>IF(VLOOKUP(Tabela6[[#This Row],[UF]],'BASE CC'!B:C,2,0)="SP",IF(Tabela6[[#This Row],[OPERADORA]]="TIM","SP TIM","SPI"),VLOOKUP(Tabela6[[#This Row],[UF]],'BASE CC'!B:C,2,0))</f>
        <v>#N/A</v>
      </c>
      <c r="B40" s="36" t="e">
        <f>VLOOKUP(Tabela_Base_Financeiro[[#This Row],[Item code]],'COD.FAT'!B:C,2,0)</f>
        <v>#N/A</v>
      </c>
      <c r="C40" s="292">
        <f>Tabela_Base_Financeiro[[#This Row],[PO Ship TO]]</f>
        <v>0</v>
      </c>
      <c r="D40" s="36" t="str">
        <f>RIGHT(Tabela_Base_Financeiro[[#This Row],[Manufacturer]],2)</f>
        <v/>
      </c>
      <c r="E4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0" s="122" t="e">
        <f>VLOOKUP(Tabela_Base_Financeiro[[#This Row],[Project Code]],'COD. PROJETOS'!B:D,3,0)</f>
        <v>#N/A</v>
      </c>
      <c r="G40" s="36">
        <f>IFERROR(Tabela_Base_Financeiro[[#This Row],[PO No,]],0)</f>
        <v>0</v>
      </c>
      <c r="H40" s="36">
        <f>IFERROR(Tabela_Base_Financeiro[[#This Row],[Line No,]],0)</f>
        <v>0</v>
      </c>
      <c r="I40" s="36" t="str">
        <f>IFERROR(MID(Tabela_Base_Financeiro[[#This Row],[Manufacturer]],19,14),"")</f>
        <v/>
      </c>
      <c r="J40" s="113">
        <f>IFERROR(Tabela_Base_Financeiro[[#This Row],[Item code]],0)</f>
        <v>0</v>
      </c>
      <c r="K40" s="293">
        <f>IFERROR(Tabela_Base_Financeiro[[#This Row],[Unit Price]],0)</f>
        <v>0</v>
      </c>
      <c r="L40" s="36">
        <f>IFERROR(Tabela_Base_Financeiro[[#This Row],[AC Qty,]],0)</f>
        <v>0</v>
      </c>
      <c r="M40" s="60">
        <f>Tabela6[[#This Row],[Qty]]*Tabela6[[#This Row],[Preço]]</f>
        <v>0</v>
      </c>
      <c r="N40" s="37">
        <f>IFERROR(Tabela_Base_Financeiro[[#This Row],[Proportion]],0)</f>
        <v>0</v>
      </c>
      <c r="O40" s="60">
        <f>Tabela6[[#This Row],[Proporção]]*Tabela6[[#This Row],[Total]]</f>
        <v>0</v>
      </c>
      <c r="P40"/>
      <c r="Q40"/>
    </row>
    <row r="41" spans="1:17">
      <c r="A41" s="122" t="e">
        <f>IF(VLOOKUP(Tabela6[[#This Row],[UF]],'BASE CC'!B:C,2,0)="SP",IF(Tabela6[[#This Row],[OPERADORA]]="TIM","SP TIM","SPI"),VLOOKUP(Tabela6[[#This Row],[UF]],'BASE CC'!B:C,2,0))</f>
        <v>#N/A</v>
      </c>
      <c r="B41" s="36" t="e">
        <f>VLOOKUP(Tabela_Base_Financeiro[[#This Row],[Item code]],'COD.FAT'!B:C,2,0)</f>
        <v>#N/A</v>
      </c>
      <c r="C41" s="292">
        <f>Tabela_Base_Financeiro[[#This Row],[PO Ship TO]]</f>
        <v>0</v>
      </c>
      <c r="D41" s="36" t="str">
        <f>RIGHT(Tabela_Base_Financeiro[[#This Row],[Manufacturer]],2)</f>
        <v/>
      </c>
      <c r="E4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1" s="122" t="e">
        <f>VLOOKUP(Tabela_Base_Financeiro[[#This Row],[Project Code]],'COD. PROJETOS'!B:D,3,0)</f>
        <v>#N/A</v>
      </c>
      <c r="G41" s="36">
        <f>IFERROR(Tabela_Base_Financeiro[[#This Row],[PO No,]],0)</f>
        <v>0</v>
      </c>
      <c r="H41" s="36">
        <f>IFERROR(Tabela_Base_Financeiro[[#This Row],[Line No,]],0)</f>
        <v>0</v>
      </c>
      <c r="I41" s="36" t="str">
        <f>IFERROR(MID(Tabela_Base_Financeiro[[#This Row],[Manufacturer]],19,14),"")</f>
        <v/>
      </c>
      <c r="J41" s="113">
        <f>IFERROR(Tabela_Base_Financeiro[[#This Row],[Item code]],0)</f>
        <v>0</v>
      </c>
      <c r="K41" s="293">
        <f>IFERROR(Tabela_Base_Financeiro[[#This Row],[Unit Price]],0)</f>
        <v>0</v>
      </c>
      <c r="L41" s="36">
        <f>IFERROR(Tabela_Base_Financeiro[[#This Row],[AC Qty,]],0)</f>
        <v>0</v>
      </c>
      <c r="M41" s="60">
        <f>Tabela6[[#This Row],[Qty]]*Tabela6[[#This Row],[Preço]]</f>
        <v>0</v>
      </c>
      <c r="N41" s="37">
        <f>IFERROR(Tabela_Base_Financeiro[[#This Row],[Proportion]],0)</f>
        <v>0</v>
      </c>
      <c r="O41" s="60">
        <f>Tabela6[[#This Row],[Proporção]]*Tabela6[[#This Row],[Total]]</f>
        <v>0</v>
      </c>
      <c r="P41"/>
      <c r="Q41"/>
    </row>
    <row r="42" spans="1:17">
      <c r="A42" s="122" t="e">
        <f>IF(VLOOKUP(Tabela6[[#This Row],[UF]],'BASE CC'!B:C,2,0)="SP",IF(Tabela6[[#This Row],[OPERADORA]]="TIM","SP TIM","SPI"),VLOOKUP(Tabela6[[#This Row],[UF]],'BASE CC'!B:C,2,0))</f>
        <v>#N/A</v>
      </c>
      <c r="B42" s="36" t="e">
        <f>VLOOKUP(Tabela_Base_Financeiro[[#This Row],[Item code]],'COD.FAT'!B:C,2,0)</f>
        <v>#N/A</v>
      </c>
      <c r="C42" s="292">
        <f>Tabela_Base_Financeiro[[#This Row],[PO Ship TO]]</f>
        <v>0</v>
      </c>
      <c r="D42" s="36" t="str">
        <f>RIGHT(Tabela_Base_Financeiro[[#This Row],[Manufacturer]],2)</f>
        <v/>
      </c>
      <c r="E4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2" s="122" t="e">
        <f>VLOOKUP(Tabela_Base_Financeiro[[#This Row],[Project Code]],'COD. PROJETOS'!B:D,3,0)</f>
        <v>#N/A</v>
      </c>
      <c r="G42" s="36">
        <f>IFERROR(Tabela_Base_Financeiro[[#This Row],[PO No,]],0)</f>
        <v>0</v>
      </c>
      <c r="H42" s="36">
        <f>IFERROR(Tabela_Base_Financeiro[[#This Row],[Line No,]],0)</f>
        <v>0</v>
      </c>
      <c r="I42" s="36" t="str">
        <f>IFERROR(MID(Tabela_Base_Financeiro[[#This Row],[Manufacturer]],19,14),"")</f>
        <v/>
      </c>
      <c r="J42" s="113">
        <f>IFERROR(Tabela_Base_Financeiro[[#This Row],[Item code]],0)</f>
        <v>0</v>
      </c>
      <c r="K42" s="293">
        <f>IFERROR(Tabela_Base_Financeiro[[#This Row],[Unit Price]],0)</f>
        <v>0</v>
      </c>
      <c r="L42" s="36">
        <f>IFERROR(Tabela_Base_Financeiro[[#This Row],[AC Qty,]],0)</f>
        <v>0</v>
      </c>
      <c r="M42" s="60">
        <f>Tabela6[[#This Row],[Qty]]*Tabela6[[#This Row],[Preço]]</f>
        <v>0</v>
      </c>
      <c r="N42" s="37">
        <f>IFERROR(Tabela_Base_Financeiro[[#This Row],[Proportion]],0)</f>
        <v>0</v>
      </c>
      <c r="O42" s="60">
        <f>Tabela6[[#This Row],[Proporção]]*Tabela6[[#This Row],[Total]]</f>
        <v>0</v>
      </c>
      <c r="P42"/>
      <c r="Q42"/>
    </row>
    <row r="43" spans="1:17">
      <c r="A43" s="122" t="e">
        <f>IF(VLOOKUP(Tabela6[[#This Row],[UF]],'BASE CC'!B:C,2,0)="SP",IF(Tabela6[[#This Row],[OPERADORA]]="TIM","SP TIM","SPI"),VLOOKUP(Tabela6[[#This Row],[UF]],'BASE CC'!B:C,2,0))</f>
        <v>#N/A</v>
      </c>
      <c r="B43" s="36" t="e">
        <f>VLOOKUP(Tabela_Base_Financeiro[[#This Row],[Item code]],'COD.FAT'!B:C,2,0)</f>
        <v>#N/A</v>
      </c>
      <c r="C43" s="292">
        <f>Tabela_Base_Financeiro[[#This Row],[PO Ship TO]]</f>
        <v>0</v>
      </c>
      <c r="D43" s="36" t="str">
        <f>RIGHT(Tabela_Base_Financeiro[[#This Row],[Manufacturer]],2)</f>
        <v/>
      </c>
      <c r="E4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3" s="122" t="e">
        <f>VLOOKUP(Tabela_Base_Financeiro[[#This Row],[Project Code]],'COD. PROJETOS'!B:D,3,0)</f>
        <v>#N/A</v>
      </c>
      <c r="G43" s="36">
        <f>IFERROR(Tabela_Base_Financeiro[[#This Row],[PO No,]],0)</f>
        <v>0</v>
      </c>
      <c r="H43" s="36">
        <f>IFERROR(Tabela_Base_Financeiro[[#This Row],[Line No,]],0)</f>
        <v>0</v>
      </c>
      <c r="I43" s="36" t="str">
        <f>IFERROR(MID(Tabela_Base_Financeiro[[#This Row],[Manufacturer]],19,14),"")</f>
        <v/>
      </c>
      <c r="J43" s="113">
        <f>IFERROR(Tabela_Base_Financeiro[[#This Row],[Item code]],0)</f>
        <v>0</v>
      </c>
      <c r="K43" s="293">
        <f>IFERROR(Tabela_Base_Financeiro[[#This Row],[Unit Price]],0)</f>
        <v>0</v>
      </c>
      <c r="L43" s="36">
        <f>IFERROR(Tabela_Base_Financeiro[[#This Row],[AC Qty,]],0)</f>
        <v>0</v>
      </c>
      <c r="M43" s="60">
        <f>Tabela6[[#This Row],[Qty]]*Tabela6[[#This Row],[Preço]]</f>
        <v>0</v>
      </c>
      <c r="N43" s="37">
        <f>IFERROR(Tabela_Base_Financeiro[[#This Row],[Proportion]],0)</f>
        <v>0</v>
      </c>
      <c r="O43" s="60">
        <f>Tabela6[[#This Row],[Proporção]]*Tabela6[[#This Row],[Total]]</f>
        <v>0</v>
      </c>
      <c r="P43"/>
      <c r="Q43"/>
    </row>
    <row r="44" spans="1:17">
      <c r="A44" s="122" t="e">
        <f>IF(VLOOKUP(Tabela6[[#This Row],[UF]],'BASE CC'!B:C,2,0)="SP",IF(Tabela6[[#This Row],[OPERADORA]]="TIM","SP TIM","SPI"),VLOOKUP(Tabela6[[#This Row],[UF]],'BASE CC'!B:C,2,0))</f>
        <v>#N/A</v>
      </c>
      <c r="B44" s="36" t="e">
        <f>VLOOKUP(Tabela_Base_Financeiro[[#This Row],[Item code]],'COD.FAT'!B:C,2,0)</f>
        <v>#N/A</v>
      </c>
      <c r="C44" s="292">
        <f>Tabela_Base_Financeiro[[#This Row],[PO Ship TO]]</f>
        <v>0</v>
      </c>
      <c r="D44" s="36" t="str">
        <f>RIGHT(Tabela_Base_Financeiro[[#This Row],[Manufacturer]],2)</f>
        <v/>
      </c>
      <c r="E4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4" s="122" t="e">
        <f>VLOOKUP(Tabela_Base_Financeiro[[#This Row],[Project Code]],'COD. PROJETOS'!B:D,3,0)</f>
        <v>#N/A</v>
      </c>
      <c r="G44" s="36">
        <f>IFERROR(Tabela_Base_Financeiro[[#This Row],[PO No,]],0)</f>
        <v>0</v>
      </c>
      <c r="H44" s="36">
        <f>IFERROR(Tabela_Base_Financeiro[[#This Row],[Line No,]],0)</f>
        <v>0</v>
      </c>
      <c r="I44" s="36" t="str">
        <f>IFERROR(MID(Tabela_Base_Financeiro[[#This Row],[Manufacturer]],19,14),"")</f>
        <v/>
      </c>
      <c r="J44" s="113">
        <f>IFERROR(Tabela_Base_Financeiro[[#This Row],[Item code]],0)</f>
        <v>0</v>
      </c>
      <c r="K44" s="293">
        <f>IFERROR(Tabela_Base_Financeiro[[#This Row],[Unit Price]],0)</f>
        <v>0</v>
      </c>
      <c r="L44" s="36">
        <f>IFERROR(Tabela_Base_Financeiro[[#This Row],[AC Qty,]],0)</f>
        <v>0</v>
      </c>
      <c r="M44" s="60">
        <f>Tabela6[[#This Row],[Qty]]*Tabela6[[#This Row],[Preço]]</f>
        <v>0</v>
      </c>
      <c r="N44" s="37">
        <f>IFERROR(Tabela_Base_Financeiro[[#This Row],[Proportion]],0)</f>
        <v>0</v>
      </c>
      <c r="O44" s="60">
        <f>Tabela6[[#This Row],[Proporção]]*Tabela6[[#This Row],[Total]]</f>
        <v>0</v>
      </c>
      <c r="P44"/>
      <c r="Q44"/>
    </row>
    <row r="45" spans="1:17">
      <c r="A45" s="122" t="e">
        <f>IF(VLOOKUP(Tabela6[[#This Row],[UF]],'BASE CC'!B:C,2,0)="SP",IF(Tabela6[[#This Row],[OPERADORA]]="TIM","SP TIM","SPI"),VLOOKUP(Tabela6[[#This Row],[UF]],'BASE CC'!B:C,2,0))</f>
        <v>#N/A</v>
      </c>
      <c r="B45" s="36" t="e">
        <f>VLOOKUP(Tabela_Base_Financeiro[[#This Row],[Item code]],'COD.FAT'!B:C,2,0)</f>
        <v>#N/A</v>
      </c>
      <c r="C45" s="292">
        <f>Tabela_Base_Financeiro[[#This Row],[PO Ship TO]]</f>
        <v>0</v>
      </c>
      <c r="D45" s="36" t="str">
        <f>RIGHT(Tabela_Base_Financeiro[[#This Row],[Manufacturer]],2)</f>
        <v/>
      </c>
      <c r="E4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5" s="122" t="e">
        <f>VLOOKUP(Tabela_Base_Financeiro[[#This Row],[Project Code]],'COD. PROJETOS'!B:D,3,0)</f>
        <v>#N/A</v>
      </c>
      <c r="G45" s="36">
        <f>IFERROR(Tabela_Base_Financeiro[[#This Row],[PO No,]],0)</f>
        <v>0</v>
      </c>
      <c r="H45" s="36">
        <f>IFERROR(Tabela_Base_Financeiro[[#This Row],[Line No,]],0)</f>
        <v>0</v>
      </c>
      <c r="I45" s="36" t="str">
        <f>IFERROR(MID(Tabela_Base_Financeiro[[#This Row],[Manufacturer]],19,14),"")</f>
        <v/>
      </c>
      <c r="J45" s="113">
        <f>IFERROR(Tabela_Base_Financeiro[[#This Row],[Item code]],0)</f>
        <v>0</v>
      </c>
      <c r="K45" s="293">
        <f>IFERROR(Tabela_Base_Financeiro[[#This Row],[Unit Price]],0)</f>
        <v>0</v>
      </c>
      <c r="L45" s="36">
        <f>IFERROR(Tabela_Base_Financeiro[[#This Row],[AC Qty,]],0)</f>
        <v>0</v>
      </c>
      <c r="M45" s="60">
        <f>Tabela6[[#This Row],[Qty]]*Tabela6[[#This Row],[Preço]]</f>
        <v>0</v>
      </c>
      <c r="N45" s="37">
        <f>IFERROR(Tabela_Base_Financeiro[[#This Row],[Proportion]],0)</f>
        <v>0</v>
      </c>
      <c r="O45" s="60">
        <f>Tabela6[[#This Row],[Proporção]]*Tabela6[[#This Row],[Total]]</f>
        <v>0</v>
      </c>
      <c r="P45"/>
      <c r="Q45"/>
    </row>
    <row r="46" spans="1:17">
      <c r="A46" s="122" t="e">
        <f>IF(VLOOKUP(Tabela6[[#This Row],[UF]],'BASE CC'!B:C,2,0)="SP",IF(Tabela6[[#This Row],[OPERADORA]]="TIM","SP TIM","SPI"),VLOOKUP(Tabela6[[#This Row],[UF]],'BASE CC'!B:C,2,0))</f>
        <v>#N/A</v>
      </c>
      <c r="B46" s="36" t="e">
        <f>VLOOKUP(Tabela_Base_Financeiro[[#This Row],[Item code]],'COD.FAT'!B:C,2,0)</f>
        <v>#N/A</v>
      </c>
      <c r="C46" s="292">
        <f>Tabela_Base_Financeiro[[#This Row],[PO Ship TO]]</f>
        <v>0</v>
      </c>
      <c r="D46" s="36" t="str">
        <f>RIGHT(Tabela_Base_Financeiro[[#This Row],[Manufacturer]],2)</f>
        <v/>
      </c>
      <c r="E4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6" s="122" t="e">
        <f>VLOOKUP(Tabela_Base_Financeiro[[#This Row],[Project Code]],'COD. PROJETOS'!B:D,3,0)</f>
        <v>#N/A</v>
      </c>
      <c r="G46" s="36">
        <f>IFERROR(Tabela_Base_Financeiro[[#This Row],[PO No,]],0)</f>
        <v>0</v>
      </c>
      <c r="H46" s="36">
        <f>IFERROR(Tabela_Base_Financeiro[[#This Row],[Line No,]],0)</f>
        <v>0</v>
      </c>
      <c r="I46" s="36" t="str">
        <f>IFERROR(MID(Tabela_Base_Financeiro[[#This Row],[Manufacturer]],19,14),"")</f>
        <v/>
      </c>
      <c r="J46" s="113">
        <f>IFERROR(Tabela_Base_Financeiro[[#This Row],[Item code]],0)</f>
        <v>0</v>
      </c>
      <c r="K46" s="293">
        <f>IFERROR(Tabela_Base_Financeiro[[#This Row],[Unit Price]],0)</f>
        <v>0</v>
      </c>
      <c r="L46" s="36">
        <f>IFERROR(Tabela_Base_Financeiro[[#This Row],[AC Qty,]],0)</f>
        <v>0</v>
      </c>
      <c r="M46" s="60">
        <f>Tabela6[[#This Row],[Qty]]*Tabela6[[#This Row],[Preço]]</f>
        <v>0</v>
      </c>
      <c r="N46" s="37">
        <f>IFERROR(Tabela_Base_Financeiro[[#This Row],[Proportion]],0)</f>
        <v>0</v>
      </c>
      <c r="O46" s="60">
        <f>Tabela6[[#This Row],[Proporção]]*Tabela6[[#This Row],[Total]]</f>
        <v>0</v>
      </c>
      <c r="P46"/>
      <c r="Q46"/>
    </row>
    <row r="47" spans="1:17">
      <c r="A47" s="122" t="e">
        <f>IF(VLOOKUP(Tabela6[[#This Row],[UF]],'BASE CC'!B:C,2,0)="SP",IF(Tabela6[[#This Row],[OPERADORA]]="TIM","SP TIM","SPI"),VLOOKUP(Tabela6[[#This Row],[UF]],'BASE CC'!B:C,2,0))</f>
        <v>#N/A</v>
      </c>
      <c r="B47" s="36" t="e">
        <f>VLOOKUP(Tabela_Base_Financeiro[[#This Row],[Item code]],'COD.FAT'!B:C,2,0)</f>
        <v>#N/A</v>
      </c>
      <c r="C47" s="292">
        <f>Tabela_Base_Financeiro[[#This Row],[PO Ship TO]]</f>
        <v>0</v>
      </c>
      <c r="D47" s="36" t="str">
        <f>RIGHT(Tabela_Base_Financeiro[[#This Row],[Manufacturer]],2)</f>
        <v/>
      </c>
      <c r="E4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7" s="122" t="e">
        <f>VLOOKUP(Tabela_Base_Financeiro[[#This Row],[Project Code]],'COD. PROJETOS'!B:D,3,0)</f>
        <v>#N/A</v>
      </c>
      <c r="G47" s="36">
        <f>IFERROR(Tabela_Base_Financeiro[[#This Row],[PO No,]],0)</f>
        <v>0</v>
      </c>
      <c r="H47" s="36">
        <f>IFERROR(Tabela_Base_Financeiro[[#This Row],[Line No,]],0)</f>
        <v>0</v>
      </c>
      <c r="I47" s="36" t="str">
        <f>IFERROR(MID(Tabela_Base_Financeiro[[#This Row],[Manufacturer]],19,14),"")</f>
        <v/>
      </c>
      <c r="J47" s="113">
        <f>IFERROR(Tabela_Base_Financeiro[[#This Row],[Item code]],0)</f>
        <v>0</v>
      </c>
      <c r="K47" s="293">
        <f>IFERROR(Tabela_Base_Financeiro[[#This Row],[Unit Price]],0)</f>
        <v>0</v>
      </c>
      <c r="L47" s="36">
        <f>IFERROR(Tabela_Base_Financeiro[[#This Row],[AC Qty,]],0)</f>
        <v>0</v>
      </c>
      <c r="M47" s="60">
        <f>Tabela6[[#This Row],[Qty]]*Tabela6[[#This Row],[Preço]]</f>
        <v>0</v>
      </c>
      <c r="N47" s="37">
        <f>IFERROR(Tabela_Base_Financeiro[[#This Row],[Proportion]],0)</f>
        <v>0</v>
      </c>
      <c r="O47" s="60">
        <f>Tabela6[[#This Row],[Proporção]]*Tabela6[[#This Row],[Total]]</f>
        <v>0</v>
      </c>
      <c r="P47"/>
      <c r="Q47"/>
    </row>
    <row r="48" spans="1:17">
      <c r="A48" s="122" t="e">
        <f>IF(VLOOKUP(Tabela6[[#This Row],[UF]],'BASE CC'!B:C,2,0)="SP",IF(Tabela6[[#This Row],[OPERADORA]]="TIM","SP TIM","SPI"),VLOOKUP(Tabela6[[#This Row],[UF]],'BASE CC'!B:C,2,0))</f>
        <v>#N/A</v>
      </c>
      <c r="B48" s="36" t="e">
        <f>VLOOKUP(Tabela_Base_Financeiro[[#This Row],[Item code]],'COD.FAT'!B:C,2,0)</f>
        <v>#N/A</v>
      </c>
      <c r="C48" s="292">
        <f>Tabela_Base_Financeiro[[#This Row],[PO Ship TO]]</f>
        <v>0</v>
      </c>
      <c r="D48" s="36" t="str">
        <f>RIGHT(Tabela_Base_Financeiro[[#This Row],[Manufacturer]],2)</f>
        <v/>
      </c>
      <c r="E4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8" s="122" t="e">
        <f>VLOOKUP(Tabela_Base_Financeiro[[#This Row],[Project Code]],'COD. PROJETOS'!B:D,3,0)</f>
        <v>#N/A</v>
      </c>
      <c r="G48" s="36">
        <f>IFERROR(Tabela_Base_Financeiro[[#This Row],[PO No,]],0)</f>
        <v>0</v>
      </c>
      <c r="H48" s="36">
        <f>IFERROR(Tabela_Base_Financeiro[[#This Row],[Line No,]],0)</f>
        <v>0</v>
      </c>
      <c r="I48" s="36" t="str">
        <f>IFERROR(MID(Tabela_Base_Financeiro[[#This Row],[Manufacturer]],19,14),"")</f>
        <v/>
      </c>
      <c r="J48" s="113">
        <f>IFERROR(Tabela_Base_Financeiro[[#This Row],[Item code]],0)</f>
        <v>0</v>
      </c>
      <c r="K48" s="293">
        <f>IFERROR(Tabela_Base_Financeiro[[#This Row],[Unit Price]],0)</f>
        <v>0</v>
      </c>
      <c r="L48" s="36">
        <f>IFERROR(Tabela_Base_Financeiro[[#This Row],[AC Qty,]],0)</f>
        <v>0</v>
      </c>
      <c r="M48" s="60">
        <f>Tabela6[[#This Row],[Qty]]*Tabela6[[#This Row],[Preço]]</f>
        <v>0</v>
      </c>
      <c r="N48" s="37">
        <f>IFERROR(Tabela_Base_Financeiro[[#This Row],[Proportion]],0)</f>
        <v>0</v>
      </c>
      <c r="O48" s="60">
        <f>Tabela6[[#This Row],[Proporção]]*Tabela6[[#This Row],[Total]]</f>
        <v>0</v>
      </c>
      <c r="P48"/>
      <c r="Q48"/>
    </row>
    <row r="49" spans="1:19">
      <c r="A49" s="122" t="e">
        <f>IF(VLOOKUP(Tabela6[[#This Row],[UF]],'BASE CC'!B:C,2,0)="SP",IF(Tabela6[[#This Row],[OPERADORA]]="TIM","SP TIM","SPI"),VLOOKUP(Tabela6[[#This Row],[UF]],'BASE CC'!B:C,2,0))</f>
        <v>#N/A</v>
      </c>
      <c r="B49" s="36" t="e">
        <f>VLOOKUP(Tabela_Base_Financeiro[[#This Row],[Item code]],'COD.FAT'!B:C,2,0)</f>
        <v>#N/A</v>
      </c>
      <c r="C49" s="292">
        <f>Tabela_Base_Financeiro[[#This Row],[PO Ship TO]]</f>
        <v>0</v>
      </c>
      <c r="D49" s="36" t="str">
        <f>RIGHT(Tabela_Base_Financeiro[[#This Row],[Manufacturer]],2)</f>
        <v/>
      </c>
      <c r="E4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9" s="122" t="e">
        <f>VLOOKUP(Tabela_Base_Financeiro[[#This Row],[Project Code]],'COD. PROJETOS'!B:D,3,0)</f>
        <v>#N/A</v>
      </c>
      <c r="G49" s="36">
        <f>IFERROR(Tabela_Base_Financeiro[[#This Row],[PO No,]],0)</f>
        <v>0</v>
      </c>
      <c r="H49" s="36">
        <f>IFERROR(Tabela_Base_Financeiro[[#This Row],[Line No,]],0)</f>
        <v>0</v>
      </c>
      <c r="I49" s="36" t="str">
        <f>IFERROR(MID(Tabela_Base_Financeiro[[#This Row],[Manufacturer]],19,14),"")</f>
        <v/>
      </c>
      <c r="J49" s="113">
        <f>IFERROR(Tabela_Base_Financeiro[[#This Row],[Item code]],0)</f>
        <v>0</v>
      </c>
      <c r="K49" s="293">
        <f>IFERROR(Tabela_Base_Financeiro[[#This Row],[Unit Price]],0)</f>
        <v>0</v>
      </c>
      <c r="L49" s="36">
        <f>IFERROR(Tabela_Base_Financeiro[[#This Row],[AC Qty,]],0)</f>
        <v>0</v>
      </c>
      <c r="M49" s="60">
        <f>Tabela6[[#This Row],[Qty]]*Tabela6[[#This Row],[Preço]]</f>
        <v>0</v>
      </c>
      <c r="N49" s="37">
        <f>IFERROR(Tabela_Base_Financeiro[[#This Row],[Proportion]],0)</f>
        <v>0</v>
      </c>
      <c r="O49" s="60">
        <f>Tabela6[[#This Row],[Proporção]]*Tabela6[[#This Row],[Total]]</f>
        <v>0</v>
      </c>
      <c r="P49"/>
      <c r="Q49"/>
    </row>
    <row r="50" spans="1:19">
      <c r="A50" s="122" t="e">
        <f>IF(VLOOKUP(Tabela6[[#This Row],[UF]],'BASE CC'!B:C,2,0)="SP",IF(Tabela6[[#This Row],[OPERADORA]]="TIM","SP TIM","SPI"),VLOOKUP(Tabela6[[#This Row],[UF]],'BASE CC'!B:C,2,0))</f>
        <v>#N/A</v>
      </c>
      <c r="B50" s="36" t="e">
        <f>VLOOKUP(Tabela_Base_Financeiro[[#This Row],[Item code]],'COD.FAT'!B:C,2,0)</f>
        <v>#N/A</v>
      </c>
      <c r="C50" s="292">
        <f>Tabela_Base_Financeiro[[#This Row],[PO Ship TO]]</f>
        <v>0</v>
      </c>
      <c r="D50" s="36" t="str">
        <f>RIGHT(Tabela_Base_Financeiro[[#This Row],[Manufacturer]],2)</f>
        <v/>
      </c>
      <c r="E5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0" s="122" t="e">
        <f>VLOOKUP(Tabela_Base_Financeiro[[#This Row],[Project Code]],'COD. PROJETOS'!B:D,3,0)</f>
        <v>#N/A</v>
      </c>
      <c r="G50" s="36">
        <f>IFERROR(Tabela_Base_Financeiro[[#This Row],[PO No,]],0)</f>
        <v>0</v>
      </c>
      <c r="H50" s="36">
        <f>IFERROR(Tabela_Base_Financeiro[[#This Row],[Line No,]],0)</f>
        <v>0</v>
      </c>
      <c r="I50" s="36" t="str">
        <f>IFERROR(MID(Tabela_Base_Financeiro[[#This Row],[Manufacturer]],19,14),"")</f>
        <v/>
      </c>
      <c r="J50" s="113">
        <f>IFERROR(Tabela_Base_Financeiro[[#This Row],[Item code]],0)</f>
        <v>0</v>
      </c>
      <c r="K50" s="293">
        <f>IFERROR(Tabela_Base_Financeiro[[#This Row],[Unit Price]],0)</f>
        <v>0</v>
      </c>
      <c r="L50" s="36">
        <f>IFERROR(Tabela_Base_Financeiro[[#This Row],[AC Qty,]],0)</f>
        <v>0</v>
      </c>
      <c r="M50" s="60">
        <f>Tabela6[[#This Row],[Qty]]*Tabela6[[#This Row],[Preço]]</f>
        <v>0</v>
      </c>
      <c r="N50" s="37">
        <f>IFERROR(Tabela_Base_Financeiro[[#This Row],[Proportion]],0)</f>
        <v>0</v>
      </c>
      <c r="O50" s="60">
        <f>Tabela6[[#This Row],[Proporção]]*Tabela6[[#This Row],[Total]]</f>
        <v>0</v>
      </c>
      <c r="P50"/>
      <c r="Q50"/>
    </row>
    <row r="51" spans="1:19">
      <c r="A51" s="122" t="e">
        <f>IF(VLOOKUP(Tabela6[[#This Row],[UF]],'BASE CC'!B:C,2,0)="SP",IF(Tabela6[[#This Row],[OPERADORA]]="TIM","SP TIM","SPI"),VLOOKUP(Tabela6[[#This Row],[UF]],'BASE CC'!B:C,2,0))</f>
        <v>#N/A</v>
      </c>
      <c r="B51" s="36" t="e">
        <f>VLOOKUP(Tabela_Base_Financeiro[[#This Row],[Item code]],'COD.FAT'!B:C,2,0)</f>
        <v>#N/A</v>
      </c>
      <c r="C51" s="292">
        <f>Tabela_Base_Financeiro[[#This Row],[PO Ship TO]]</f>
        <v>0</v>
      </c>
      <c r="D51" s="36" t="str">
        <f>RIGHT(Tabela_Base_Financeiro[[#This Row],[Manufacturer]],2)</f>
        <v/>
      </c>
      <c r="E5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1" s="122" t="e">
        <f>VLOOKUP(Tabela_Base_Financeiro[[#This Row],[Project Code]],'COD. PROJETOS'!B:D,3,0)</f>
        <v>#N/A</v>
      </c>
      <c r="G51" s="36">
        <f>IFERROR(Tabela_Base_Financeiro[[#This Row],[PO No,]],0)</f>
        <v>0</v>
      </c>
      <c r="H51" s="36">
        <f>IFERROR(Tabela_Base_Financeiro[[#This Row],[Line No,]],0)</f>
        <v>0</v>
      </c>
      <c r="I51" s="36" t="str">
        <f>IFERROR(MID(Tabela_Base_Financeiro[[#This Row],[Manufacturer]],19,14),"")</f>
        <v/>
      </c>
      <c r="J51" s="113">
        <f>IFERROR(Tabela_Base_Financeiro[[#This Row],[Item code]],0)</f>
        <v>0</v>
      </c>
      <c r="K51" s="293">
        <f>IFERROR(Tabela_Base_Financeiro[[#This Row],[Unit Price]],0)</f>
        <v>0</v>
      </c>
      <c r="L51" s="36">
        <f>IFERROR(Tabela_Base_Financeiro[[#This Row],[AC Qty,]],0)</f>
        <v>0</v>
      </c>
      <c r="M51" s="60">
        <f>Tabela6[[#This Row],[Qty]]*Tabela6[[#This Row],[Preço]]</f>
        <v>0</v>
      </c>
      <c r="N51" s="37">
        <f>IFERROR(Tabela_Base_Financeiro[[#This Row],[Proportion]],0)</f>
        <v>0</v>
      </c>
      <c r="O51" s="60">
        <f>Tabela6[[#This Row],[Proporção]]*Tabela6[[#This Row],[Total]]</f>
        <v>0</v>
      </c>
      <c r="P51"/>
      <c r="Q51" s="230"/>
    </row>
    <row r="52" spans="1:19">
      <c r="A52" s="122" t="e">
        <f>IF(VLOOKUP(Tabela6[[#This Row],[UF]],'BASE CC'!B:C,2,0)="SP",IF(Tabela6[[#This Row],[OPERADORA]]="TIM","SP TIM","SPI"),VLOOKUP(Tabela6[[#This Row],[UF]],'BASE CC'!B:C,2,0))</f>
        <v>#N/A</v>
      </c>
      <c r="B52" s="36" t="e">
        <f>VLOOKUP(Tabela_Base_Financeiro[[#This Row],[Item code]],'COD.FAT'!B:C,2,0)</f>
        <v>#N/A</v>
      </c>
      <c r="C52" s="292">
        <f>Tabela_Base_Financeiro[[#This Row],[PO Ship TO]]</f>
        <v>0</v>
      </c>
      <c r="D52" s="36" t="str">
        <f>RIGHT(Tabela_Base_Financeiro[[#This Row],[Manufacturer]],2)</f>
        <v/>
      </c>
      <c r="E5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2" s="122" t="e">
        <f>VLOOKUP(Tabela_Base_Financeiro[[#This Row],[Project Code]],'COD. PROJETOS'!B:D,3,0)</f>
        <v>#N/A</v>
      </c>
      <c r="G52" s="36">
        <f>IFERROR(Tabela_Base_Financeiro[[#This Row],[PO No,]],0)</f>
        <v>0</v>
      </c>
      <c r="H52" s="36">
        <f>IFERROR(Tabela_Base_Financeiro[[#This Row],[Line No,]],0)</f>
        <v>0</v>
      </c>
      <c r="I52" s="36" t="str">
        <f>IFERROR(MID(Tabela_Base_Financeiro[[#This Row],[Manufacturer]],19,14),"")</f>
        <v/>
      </c>
      <c r="J52" s="113">
        <f>IFERROR(Tabela_Base_Financeiro[[#This Row],[Item code]],0)</f>
        <v>0</v>
      </c>
      <c r="K52" s="293">
        <f>IFERROR(Tabela_Base_Financeiro[[#This Row],[Unit Price]],0)</f>
        <v>0</v>
      </c>
      <c r="L52" s="36">
        <f>IFERROR(Tabela_Base_Financeiro[[#This Row],[AC Qty,]],0)</f>
        <v>0</v>
      </c>
      <c r="M52" s="60">
        <f>Tabela6[[#This Row],[Qty]]*Tabela6[[#This Row],[Preço]]</f>
        <v>0</v>
      </c>
      <c r="N52" s="37">
        <f>IFERROR(Tabela_Base_Financeiro[[#This Row],[Proportion]],0)</f>
        <v>0</v>
      </c>
      <c r="O52" s="60">
        <f>Tabela6[[#This Row],[Proporção]]*Tabela6[[#This Row],[Total]]</f>
        <v>0</v>
      </c>
      <c r="P52"/>
      <c r="Q52"/>
    </row>
    <row r="53" spans="1:19">
      <c r="A53" s="122" t="e">
        <f>IF(VLOOKUP(Tabela6[[#This Row],[UF]],'BASE CC'!B:C,2,0)="SP",IF(Tabela6[[#This Row],[OPERADORA]]="TIM","SP TIM","SPI"),VLOOKUP(Tabela6[[#This Row],[UF]],'BASE CC'!B:C,2,0))</f>
        <v>#N/A</v>
      </c>
      <c r="B53" s="36" t="e">
        <f>VLOOKUP(Tabela_Base_Financeiro[[#This Row],[Item code]],'COD.FAT'!B:C,2,0)</f>
        <v>#N/A</v>
      </c>
      <c r="C53" s="292">
        <f>Tabela_Base_Financeiro[[#This Row],[PO Ship TO]]</f>
        <v>0</v>
      </c>
      <c r="D53" s="36" t="str">
        <f>RIGHT(Tabela_Base_Financeiro[[#This Row],[Manufacturer]],2)</f>
        <v/>
      </c>
      <c r="E5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3" s="122" t="e">
        <f>VLOOKUP(Tabela_Base_Financeiro[[#This Row],[Project Code]],'COD. PROJETOS'!B:D,3,0)</f>
        <v>#N/A</v>
      </c>
      <c r="G53" s="36">
        <f>IFERROR(Tabela_Base_Financeiro[[#This Row],[PO No,]],0)</f>
        <v>0</v>
      </c>
      <c r="H53" s="36">
        <f>IFERROR(Tabela_Base_Financeiro[[#This Row],[Line No,]],0)</f>
        <v>0</v>
      </c>
      <c r="I53" s="36" t="str">
        <f>IFERROR(MID(Tabela_Base_Financeiro[[#This Row],[Manufacturer]],19,14),"")</f>
        <v/>
      </c>
      <c r="J53" s="113">
        <f>IFERROR(Tabela_Base_Financeiro[[#This Row],[Item code]],0)</f>
        <v>0</v>
      </c>
      <c r="K53" s="293">
        <f>IFERROR(Tabela_Base_Financeiro[[#This Row],[Unit Price]],0)</f>
        <v>0</v>
      </c>
      <c r="L53" s="36">
        <f>IFERROR(Tabela_Base_Financeiro[[#This Row],[AC Qty,]],0)</f>
        <v>0</v>
      </c>
      <c r="M53" s="60">
        <f>Tabela6[[#This Row],[Qty]]*Tabela6[[#This Row],[Preço]]</f>
        <v>0</v>
      </c>
      <c r="N53" s="37">
        <f>IFERROR(Tabela_Base_Financeiro[[#This Row],[Proportion]],0)</f>
        <v>0</v>
      </c>
      <c r="O53" s="60">
        <f>Tabela6[[#This Row],[Proporção]]*Tabela6[[#This Row],[Total]]</f>
        <v>0</v>
      </c>
      <c r="P53"/>
      <c r="Q53"/>
    </row>
    <row r="54" spans="1:19">
      <c r="A54" s="122" t="e">
        <f>IF(VLOOKUP(Tabela6[[#This Row],[UF]],'BASE CC'!B:C,2,0)="SP",IF(Tabela6[[#This Row],[OPERADORA]]="TIM","SP TIM","SPI"),VLOOKUP(Tabela6[[#This Row],[UF]],'BASE CC'!B:C,2,0))</f>
        <v>#N/A</v>
      </c>
      <c r="B54" s="36" t="e">
        <f>VLOOKUP(Tabela_Base_Financeiro[[#This Row],[Item code]],'COD.FAT'!B:C,2,0)</f>
        <v>#N/A</v>
      </c>
      <c r="C54" s="292">
        <f>Tabela_Base_Financeiro[[#This Row],[PO Ship TO]]</f>
        <v>0</v>
      </c>
      <c r="D54" s="36" t="str">
        <f>RIGHT(Tabela_Base_Financeiro[[#This Row],[Manufacturer]],2)</f>
        <v/>
      </c>
      <c r="E5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4" s="122" t="e">
        <f>VLOOKUP(Tabela_Base_Financeiro[[#This Row],[Project Code]],'COD. PROJETOS'!B:D,3,0)</f>
        <v>#N/A</v>
      </c>
      <c r="G54" s="36">
        <f>IFERROR(Tabela_Base_Financeiro[[#This Row],[PO No,]],0)</f>
        <v>0</v>
      </c>
      <c r="H54" s="36">
        <f>IFERROR(Tabela_Base_Financeiro[[#This Row],[Line No,]],0)</f>
        <v>0</v>
      </c>
      <c r="I54" s="36" t="str">
        <f>IFERROR(MID(Tabela_Base_Financeiro[[#This Row],[Manufacturer]],19,14),"")</f>
        <v/>
      </c>
      <c r="J54" s="113">
        <f>IFERROR(Tabela_Base_Financeiro[[#This Row],[Item code]],0)</f>
        <v>0</v>
      </c>
      <c r="K54" s="293">
        <f>IFERROR(Tabela_Base_Financeiro[[#This Row],[Unit Price]],0)</f>
        <v>0</v>
      </c>
      <c r="L54" s="36">
        <f>IFERROR(Tabela_Base_Financeiro[[#This Row],[AC Qty,]],0)</f>
        <v>0</v>
      </c>
      <c r="M54" s="60">
        <f>Tabela6[[#This Row],[Qty]]*Tabela6[[#This Row],[Preço]]</f>
        <v>0</v>
      </c>
      <c r="N54" s="37">
        <f>IFERROR(Tabela_Base_Financeiro[[#This Row],[Proportion]],0)</f>
        <v>0</v>
      </c>
      <c r="O54" s="60">
        <f>Tabela6[[#This Row],[Proporção]]*Tabela6[[#This Row],[Total]]</f>
        <v>0</v>
      </c>
      <c r="P54"/>
      <c r="Q54"/>
    </row>
    <row r="55" spans="1:19">
      <c r="A55" s="122" t="e">
        <f>IF(VLOOKUP(Tabela6[[#This Row],[UF]],'BASE CC'!B:C,2,0)="SP",IF(Tabela6[[#This Row],[OPERADORA]]="TIM","SP TIM","SPI"),VLOOKUP(Tabela6[[#This Row],[UF]],'BASE CC'!B:C,2,0))</f>
        <v>#N/A</v>
      </c>
      <c r="B55" s="36" t="e">
        <f>VLOOKUP(Tabela_Base_Financeiro[[#This Row],[Item code]],'COD.FAT'!B:C,2,0)</f>
        <v>#N/A</v>
      </c>
      <c r="C55" s="292">
        <f>Tabela_Base_Financeiro[[#This Row],[PO Ship TO]]</f>
        <v>0</v>
      </c>
      <c r="D55" s="36" t="str">
        <f>RIGHT(Tabela_Base_Financeiro[[#This Row],[Manufacturer]],2)</f>
        <v/>
      </c>
      <c r="E5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5" s="122" t="e">
        <f>VLOOKUP(Tabela_Base_Financeiro[[#This Row],[Project Code]],'COD. PROJETOS'!B:D,3,0)</f>
        <v>#N/A</v>
      </c>
      <c r="G55" s="36">
        <f>IFERROR(Tabela_Base_Financeiro[[#This Row],[PO No,]],0)</f>
        <v>0</v>
      </c>
      <c r="H55" s="36">
        <f>IFERROR(Tabela_Base_Financeiro[[#This Row],[Line No,]],0)</f>
        <v>0</v>
      </c>
      <c r="I55" s="36" t="str">
        <f>IFERROR(MID(Tabela_Base_Financeiro[[#This Row],[Manufacturer]],19,14),"")</f>
        <v/>
      </c>
      <c r="J55" s="113">
        <f>IFERROR(Tabela_Base_Financeiro[[#This Row],[Item code]],0)</f>
        <v>0</v>
      </c>
      <c r="K55" s="293">
        <f>IFERROR(Tabela_Base_Financeiro[[#This Row],[Unit Price]],0)</f>
        <v>0</v>
      </c>
      <c r="L55" s="36">
        <f>IFERROR(Tabela_Base_Financeiro[[#This Row],[AC Qty,]],0)</f>
        <v>0</v>
      </c>
      <c r="M55" s="60">
        <f>Tabela6[[#This Row],[Qty]]*Tabela6[[#This Row],[Preço]]</f>
        <v>0</v>
      </c>
      <c r="N55" s="37">
        <f>IFERROR(Tabela_Base_Financeiro[[#This Row],[Proportion]],0)</f>
        <v>0</v>
      </c>
      <c r="O55" s="60">
        <f>Tabela6[[#This Row],[Proporção]]*Tabela6[[#This Row],[Total]]</f>
        <v>0</v>
      </c>
      <c r="P55" s="57"/>
      <c r="Q55" s="55"/>
      <c r="R55" s="58"/>
      <c r="S55" s="61"/>
    </row>
    <row r="56" spans="1:19">
      <c r="A56" s="122" t="e">
        <f>IF(VLOOKUP(Tabela6[[#This Row],[UF]],'BASE CC'!B:C,2,0)="SP",IF(Tabela6[[#This Row],[OPERADORA]]="TIM","SP TIM","SPI"),VLOOKUP(Tabela6[[#This Row],[UF]],'BASE CC'!B:C,2,0))</f>
        <v>#N/A</v>
      </c>
      <c r="B56" s="36" t="e">
        <f>VLOOKUP(Tabela_Base_Financeiro[[#This Row],[Item code]],'COD.FAT'!B:C,2,0)</f>
        <v>#N/A</v>
      </c>
      <c r="C56" s="292">
        <f>Tabela_Base_Financeiro[[#This Row],[PO Ship TO]]</f>
        <v>0</v>
      </c>
      <c r="D56" s="36" t="str">
        <f>RIGHT(Tabela_Base_Financeiro[[#This Row],[Manufacturer]],2)</f>
        <v/>
      </c>
      <c r="E5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6" s="122" t="e">
        <f>VLOOKUP(Tabela_Base_Financeiro[[#This Row],[Project Code]],'COD. PROJETOS'!B:D,3,0)</f>
        <v>#N/A</v>
      </c>
      <c r="G56" s="36">
        <f>IFERROR(Tabela_Base_Financeiro[[#This Row],[PO No,]],0)</f>
        <v>0</v>
      </c>
      <c r="H56" s="36">
        <f>IFERROR(Tabela_Base_Financeiro[[#This Row],[Line No,]],0)</f>
        <v>0</v>
      </c>
      <c r="I56" s="36" t="str">
        <f>IFERROR(MID(Tabela_Base_Financeiro[[#This Row],[Manufacturer]],19,14),"")</f>
        <v/>
      </c>
      <c r="J56" s="113">
        <f>IFERROR(Tabela_Base_Financeiro[[#This Row],[Item code]],0)</f>
        <v>0</v>
      </c>
      <c r="K56" s="293">
        <f>IFERROR(Tabela_Base_Financeiro[[#This Row],[Unit Price]],0)</f>
        <v>0</v>
      </c>
      <c r="L56" s="36">
        <f>IFERROR(Tabela_Base_Financeiro[[#This Row],[AC Qty,]],0)</f>
        <v>0</v>
      </c>
      <c r="M56" s="60">
        <f>Tabela6[[#This Row],[Qty]]*Tabela6[[#This Row],[Preço]]</f>
        <v>0</v>
      </c>
      <c r="N56" s="37">
        <f>IFERROR(Tabela_Base_Financeiro[[#This Row],[Proportion]],0)</f>
        <v>0</v>
      </c>
      <c r="O56" s="60">
        <f>Tabela6[[#This Row],[Proporção]]*Tabela6[[#This Row],[Total]]</f>
        <v>0</v>
      </c>
      <c r="P56" s="57"/>
      <c r="Q56" s="55"/>
      <c r="R56" s="58"/>
      <c r="S56" s="61"/>
    </row>
    <row r="57" spans="1:19">
      <c r="A57" s="122" t="e">
        <f>IF(VLOOKUP(Tabela6[[#This Row],[UF]],'BASE CC'!B:C,2,0)="SP",IF(Tabela6[[#This Row],[OPERADORA]]="TIM","SP TIM","SPI"),VLOOKUP(Tabela6[[#This Row],[UF]],'BASE CC'!B:C,2,0))</f>
        <v>#N/A</v>
      </c>
      <c r="B57" s="36" t="e">
        <f>VLOOKUP(Tabela_Base_Financeiro[[#This Row],[Item code]],'COD.FAT'!B:C,2,0)</f>
        <v>#N/A</v>
      </c>
      <c r="C57" s="292">
        <f>Tabela_Base_Financeiro[[#This Row],[PO Ship TO]]</f>
        <v>0</v>
      </c>
      <c r="D57" s="36" t="str">
        <f>RIGHT(Tabela_Base_Financeiro[[#This Row],[Manufacturer]],2)</f>
        <v/>
      </c>
      <c r="E5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7" s="122" t="e">
        <f>VLOOKUP(Tabela_Base_Financeiro[[#This Row],[Project Code]],'COD. PROJETOS'!B:D,3,0)</f>
        <v>#N/A</v>
      </c>
      <c r="G57" s="36">
        <f>IFERROR(Tabela_Base_Financeiro[[#This Row],[PO No,]],0)</f>
        <v>0</v>
      </c>
      <c r="H57" s="36">
        <f>IFERROR(Tabela_Base_Financeiro[[#This Row],[Line No,]],0)</f>
        <v>0</v>
      </c>
      <c r="I57" s="36" t="str">
        <f>IFERROR(MID(Tabela_Base_Financeiro[[#This Row],[Manufacturer]],19,14),"")</f>
        <v/>
      </c>
      <c r="J57" s="113">
        <f>IFERROR(Tabela_Base_Financeiro[[#This Row],[Item code]],0)</f>
        <v>0</v>
      </c>
      <c r="K57" s="293">
        <f>IFERROR(Tabela_Base_Financeiro[[#This Row],[Unit Price]],0)</f>
        <v>0</v>
      </c>
      <c r="L57" s="36">
        <f>IFERROR(Tabela_Base_Financeiro[[#This Row],[AC Qty,]],0)</f>
        <v>0</v>
      </c>
      <c r="M57" s="60">
        <f>Tabela6[[#This Row],[Qty]]*Tabela6[[#This Row],[Preço]]</f>
        <v>0</v>
      </c>
      <c r="N57" s="37">
        <f>IFERROR(Tabela_Base_Financeiro[[#This Row],[Proportion]],0)</f>
        <v>0</v>
      </c>
      <c r="O57" s="60">
        <f>Tabela6[[#This Row],[Proporção]]*Tabela6[[#This Row],[Total]]</f>
        <v>0</v>
      </c>
      <c r="P57" s="57"/>
      <c r="Q57" s="55"/>
      <c r="R57" s="58"/>
      <c r="S57" s="61"/>
    </row>
    <row r="58" spans="1:19">
      <c r="A58" s="122" t="e">
        <f>IF(VLOOKUP(Tabela6[[#This Row],[UF]],'BASE CC'!B:C,2,0)="SP",IF(Tabela6[[#This Row],[OPERADORA]]="TIM","SP TIM","SPI"),VLOOKUP(Tabela6[[#This Row],[UF]],'BASE CC'!B:C,2,0))</f>
        <v>#N/A</v>
      </c>
      <c r="B58" s="36" t="e">
        <f>VLOOKUP(Tabela_Base_Financeiro[[#This Row],[Item code]],'COD.FAT'!B:C,2,0)</f>
        <v>#N/A</v>
      </c>
      <c r="C58" s="292">
        <f>Tabela_Base_Financeiro[[#This Row],[PO Ship TO]]</f>
        <v>0</v>
      </c>
      <c r="D58" s="36" t="str">
        <f>RIGHT(Tabela_Base_Financeiro[[#This Row],[Manufacturer]],2)</f>
        <v/>
      </c>
      <c r="E5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8" s="122" t="e">
        <f>VLOOKUP(Tabela_Base_Financeiro[[#This Row],[Project Code]],'COD. PROJETOS'!B:D,3,0)</f>
        <v>#N/A</v>
      </c>
      <c r="G58" s="36">
        <f>IFERROR(Tabela_Base_Financeiro[[#This Row],[PO No,]],0)</f>
        <v>0</v>
      </c>
      <c r="H58" s="36">
        <f>IFERROR(Tabela_Base_Financeiro[[#This Row],[Line No,]],0)</f>
        <v>0</v>
      </c>
      <c r="I58" s="36" t="str">
        <f>IFERROR(MID(Tabela_Base_Financeiro[[#This Row],[Manufacturer]],19,14),"")</f>
        <v/>
      </c>
      <c r="J58" s="113">
        <f>IFERROR(Tabela_Base_Financeiro[[#This Row],[Item code]],0)</f>
        <v>0</v>
      </c>
      <c r="K58" s="293">
        <f>IFERROR(Tabela_Base_Financeiro[[#This Row],[Unit Price]],0)</f>
        <v>0</v>
      </c>
      <c r="L58" s="36">
        <f>IFERROR(Tabela_Base_Financeiro[[#This Row],[AC Qty,]],0)</f>
        <v>0</v>
      </c>
      <c r="M58" s="60">
        <f>Tabela6[[#This Row],[Qty]]*Tabela6[[#This Row],[Preço]]</f>
        <v>0</v>
      </c>
      <c r="N58" s="37">
        <f>IFERROR(Tabela_Base_Financeiro[[#This Row],[Proportion]],0)</f>
        <v>0</v>
      </c>
      <c r="O58" s="60">
        <f>Tabela6[[#This Row],[Proporção]]*Tabela6[[#This Row],[Total]]</f>
        <v>0</v>
      </c>
      <c r="P58" s="57"/>
      <c r="Q58" s="55"/>
      <c r="R58" s="58"/>
      <c r="S58" s="61"/>
    </row>
    <row r="59" spans="1:19">
      <c r="A59" s="122" t="e">
        <f>IF(VLOOKUP(Tabela6[[#This Row],[UF]],'BASE CC'!B:C,2,0)="SP",IF(Tabela6[[#This Row],[OPERADORA]]="TIM","SP TIM","SPI"),VLOOKUP(Tabela6[[#This Row],[UF]],'BASE CC'!B:C,2,0))</f>
        <v>#N/A</v>
      </c>
      <c r="B59" s="36" t="e">
        <f>VLOOKUP(Tabela_Base_Financeiro[[#This Row],[Item code]],'COD.FAT'!B:C,2,0)</f>
        <v>#N/A</v>
      </c>
      <c r="C59" s="292">
        <f>Tabela_Base_Financeiro[[#This Row],[PO Ship TO]]</f>
        <v>0</v>
      </c>
      <c r="D59" s="36" t="str">
        <f>RIGHT(Tabela_Base_Financeiro[[#This Row],[Manufacturer]],2)</f>
        <v/>
      </c>
      <c r="E5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9" s="122" t="e">
        <f>VLOOKUP(Tabela_Base_Financeiro[[#This Row],[Project Code]],'COD. PROJETOS'!B:D,3,0)</f>
        <v>#N/A</v>
      </c>
      <c r="G59" s="36">
        <f>IFERROR(Tabela_Base_Financeiro[[#This Row],[PO No,]],0)</f>
        <v>0</v>
      </c>
      <c r="H59" s="36">
        <f>IFERROR(Tabela_Base_Financeiro[[#This Row],[Line No,]],0)</f>
        <v>0</v>
      </c>
      <c r="I59" s="36" t="str">
        <f>IFERROR(MID(Tabela_Base_Financeiro[[#This Row],[Manufacturer]],19,14),"")</f>
        <v/>
      </c>
      <c r="J59" s="113">
        <f>IFERROR(Tabela_Base_Financeiro[[#This Row],[Item code]],0)</f>
        <v>0</v>
      </c>
      <c r="K59" s="293">
        <f>IFERROR(Tabela_Base_Financeiro[[#This Row],[Unit Price]],0)</f>
        <v>0</v>
      </c>
      <c r="L59" s="36">
        <f>IFERROR(Tabela_Base_Financeiro[[#This Row],[AC Qty,]],0)</f>
        <v>0</v>
      </c>
      <c r="M59" s="60">
        <f>Tabela6[[#This Row],[Qty]]*Tabela6[[#This Row],[Preço]]</f>
        <v>0</v>
      </c>
      <c r="N59" s="37">
        <f>IFERROR(Tabela_Base_Financeiro[[#This Row],[Proportion]],0)</f>
        <v>0</v>
      </c>
      <c r="O59" s="60">
        <f>Tabela6[[#This Row],[Proporção]]*Tabela6[[#This Row],[Total]]</f>
        <v>0</v>
      </c>
      <c r="P59" s="57"/>
      <c r="Q59" s="55"/>
      <c r="R59" s="58"/>
      <c r="S59" s="61"/>
    </row>
    <row r="60" spans="1:19">
      <c r="A60" s="122" t="e">
        <f>IF(VLOOKUP(Tabela6[[#This Row],[UF]],'BASE CC'!B:C,2,0)="SP",IF(Tabela6[[#This Row],[OPERADORA]]="TIM","SP TIM","SPI"),VLOOKUP(Tabela6[[#This Row],[UF]],'BASE CC'!B:C,2,0))</f>
        <v>#N/A</v>
      </c>
      <c r="B60" s="36" t="e">
        <f>VLOOKUP(Tabela_Base_Financeiro[[#This Row],[Item code]],'COD.FAT'!B:C,2,0)</f>
        <v>#N/A</v>
      </c>
      <c r="C60" s="292">
        <f>Tabela_Base_Financeiro[[#This Row],[PO Ship TO]]</f>
        <v>0</v>
      </c>
      <c r="D60" s="36" t="str">
        <f>RIGHT(Tabela_Base_Financeiro[[#This Row],[Manufacturer]],2)</f>
        <v/>
      </c>
      <c r="E6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0" s="122" t="e">
        <f>VLOOKUP(Tabela_Base_Financeiro[[#This Row],[Project Code]],'COD. PROJETOS'!B:D,3,0)</f>
        <v>#N/A</v>
      </c>
      <c r="G60" s="36">
        <f>IFERROR(Tabela_Base_Financeiro[[#This Row],[PO No,]],0)</f>
        <v>0</v>
      </c>
      <c r="H60" s="36">
        <f>IFERROR(Tabela_Base_Financeiro[[#This Row],[Line No,]],0)</f>
        <v>0</v>
      </c>
      <c r="I60" s="36" t="str">
        <f>IFERROR(MID(Tabela_Base_Financeiro[[#This Row],[Manufacturer]],19,14),"")</f>
        <v/>
      </c>
      <c r="J60" s="113">
        <f>IFERROR(Tabela_Base_Financeiro[[#This Row],[Item code]],0)</f>
        <v>0</v>
      </c>
      <c r="K60" s="293">
        <f>IFERROR(Tabela_Base_Financeiro[[#This Row],[Unit Price]],0)</f>
        <v>0</v>
      </c>
      <c r="L60" s="36">
        <f>IFERROR(Tabela_Base_Financeiro[[#This Row],[AC Qty,]],0)</f>
        <v>0</v>
      </c>
      <c r="M60" s="60">
        <f>Tabela6[[#This Row],[Qty]]*Tabela6[[#This Row],[Preço]]</f>
        <v>0</v>
      </c>
      <c r="N60" s="37">
        <f>IFERROR(Tabela_Base_Financeiro[[#This Row],[Proportion]],0)</f>
        <v>0</v>
      </c>
      <c r="O60" s="60">
        <f>Tabela6[[#This Row],[Proporção]]*Tabela6[[#This Row],[Total]]</f>
        <v>0</v>
      </c>
      <c r="P60" s="57"/>
      <c r="Q60" s="55"/>
      <c r="R60" s="58"/>
      <c r="S60" s="61"/>
    </row>
    <row r="61" spans="1:19">
      <c r="A61" s="122" t="e">
        <f>IF(VLOOKUP(Tabela6[[#This Row],[UF]],'BASE CC'!B:C,2,0)="SP",IF(Tabela6[[#This Row],[OPERADORA]]="TIM","SP TIM","SPI"),VLOOKUP(Tabela6[[#This Row],[UF]],'BASE CC'!B:C,2,0))</f>
        <v>#N/A</v>
      </c>
      <c r="B61" s="36" t="e">
        <f>VLOOKUP(Tabela_Base_Financeiro[[#This Row],[Item code]],'COD.FAT'!B:C,2,0)</f>
        <v>#N/A</v>
      </c>
      <c r="C61" s="292">
        <f>Tabela_Base_Financeiro[[#This Row],[PO Ship TO]]</f>
        <v>0</v>
      </c>
      <c r="D61" s="36" t="str">
        <f>RIGHT(Tabela_Base_Financeiro[[#This Row],[Manufacturer]],2)</f>
        <v/>
      </c>
      <c r="E6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1" s="122" t="e">
        <f>VLOOKUP(Tabela_Base_Financeiro[[#This Row],[Project Code]],'COD. PROJETOS'!B:D,3,0)</f>
        <v>#N/A</v>
      </c>
      <c r="G61" s="36">
        <f>IFERROR(Tabela_Base_Financeiro[[#This Row],[PO No,]],0)</f>
        <v>0</v>
      </c>
      <c r="H61" s="36">
        <f>IFERROR(Tabela_Base_Financeiro[[#This Row],[Line No,]],0)</f>
        <v>0</v>
      </c>
      <c r="I61" s="36" t="str">
        <f>IFERROR(MID(Tabela_Base_Financeiro[[#This Row],[Manufacturer]],19,14),"")</f>
        <v/>
      </c>
      <c r="J61" s="113">
        <f>IFERROR(Tabela_Base_Financeiro[[#This Row],[Item code]],0)</f>
        <v>0</v>
      </c>
      <c r="K61" s="293">
        <f>IFERROR(Tabela_Base_Financeiro[[#This Row],[Unit Price]],0)</f>
        <v>0</v>
      </c>
      <c r="L61" s="36">
        <f>IFERROR(Tabela_Base_Financeiro[[#This Row],[AC Qty,]],0)</f>
        <v>0</v>
      </c>
      <c r="M61" s="60">
        <f>Tabela6[[#This Row],[Qty]]*Tabela6[[#This Row],[Preço]]</f>
        <v>0</v>
      </c>
      <c r="N61" s="37">
        <f>IFERROR(Tabela_Base_Financeiro[[#This Row],[Proportion]],0)</f>
        <v>0</v>
      </c>
      <c r="O61" s="60">
        <f>Tabela6[[#This Row],[Proporção]]*Tabela6[[#This Row],[Total]]</f>
        <v>0</v>
      </c>
      <c r="P61" s="57"/>
      <c r="Q61" s="55"/>
      <c r="R61" s="58"/>
      <c r="S61" s="61"/>
    </row>
    <row r="62" spans="1:19">
      <c r="A62" s="122" t="e">
        <f>IF(VLOOKUP(Tabela6[[#This Row],[UF]],'BASE CC'!B:C,2,0)="SP",IF(Tabela6[[#This Row],[OPERADORA]]="TIM","SP TIM","SPI"),VLOOKUP(Tabela6[[#This Row],[UF]],'BASE CC'!B:C,2,0))</f>
        <v>#N/A</v>
      </c>
      <c r="B62" s="36" t="e">
        <f>VLOOKUP(Tabela_Base_Financeiro[[#This Row],[Item code]],'COD.FAT'!B:C,2,0)</f>
        <v>#N/A</v>
      </c>
      <c r="C62" s="292">
        <f>Tabela_Base_Financeiro[[#This Row],[PO Ship TO]]</f>
        <v>0</v>
      </c>
      <c r="D62" s="36" t="str">
        <f>RIGHT(Tabela_Base_Financeiro[[#This Row],[Manufacturer]],2)</f>
        <v/>
      </c>
      <c r="E6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2" s="122" t="e">
        <f>VLOOKUP(Tabela_Base_Financeiro[[#This Row],[Project Code]],'COD. PROJETOS'!B:D,3,0)</f>
        <v>#N/A</v>
      </c>
      <c r="G62" s="36">
        <f>IFERROR(Tabela_Base_Financeiro[[#This Row],[PO No,]],0)</f>
        <v>0</v>
      </c>
      <c r="H62" s="36">
        <f>IFERROR(Tabela_Base_Financeiro[[#This Row],[Line No,]],0)</f>
        <v>0</v>
      </c>
      <c r="I62" s="36" t="str">
        <f>IFERROR(MID(Tabela_Base_Financeiro[[#This Row],[Manufacturer]],19,14),"")</f>
        <v/>
      </c>
      <c r="J62" s="113">
        <f>IFERROR(Tabela_Base_Financeiro[[#This Row],[Item code]],0)</f>
        <v>0</v>
      </c>
      <c r="K62" s="293">
        <f>IFERROR(Tabela_Base_Financeiro[[#This Row],[Unit Price]],0)</f>
        <v>0</v>
      </c>
      <c r="L62" s="36">
        <f>IFERROR(Tabela_Base_Financeiro[[#This Row],[AC Qty,]],0)</f>
        <v>0</v>
      </c>
      <c r="M62" s="60">
        <f>Tabela6[[#This Row],[Qty]]*Tabela6[[#This Row],[Preço]]</f>
        <v>0</v>
      </c>
      <c r="N62" s="37">
        <f>IFERROR(Tabela_Base_Financeiro[[#This Row],[Proportion]],0)</f>
        <v>0</v>
      </c>
      <c r="O62" s="60">
        <f>Tabela6[[#This Row],[Proporção]]*Tabela6[[#This Row],[Total]]</f>
        <v>0</v>
      </c>
      <c r="P62" s="57"/>
      <c r="Q62" s="55"/>
      <c r="R62" s="58"/>
      <c r="S62" s="61"/>
    </row>
    <row r="63" spans="1:19">
      <c r="A63" s="122" t="e">
        <f>IF(VLOOKUP(Tabela6[[#This Row],[UF]],'BASE CC'!B:C,2,0)="SP",IF(Tabela6[[#This Row],[OPERADORA]]="TIM","SP TIM","SPI"),VLOOKUP(Tabela6[[#This Row],[UF]],'BASE CC'!B:C,2,0))</f>
        <v>#N/A</v>
      </c>
      <c r="B63" s="36" t="e">
        <f>VLOOKUP(Tabela_Base_Financeiro[[#This Row],[Item code]],'COD.FAT'!B:C,2,0)</f>
        <v>#N/A</v>
      </c>
      <c r="C63" s="292">
        <f>Tabela_Base_Financeiro[[#This Row],[PO Ship TO]]</f>
        <v>0</v>
      </c>
      <c r="D63" s="36" t="str">
        <f>RIGHT(Tabela_Base_Financeiro[[#This Row],[Manufacturer]],2)</f>
        <v/>
      </c>
      <c r="E6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3" s="122" t="e">
        <f>VLOOKUP(Tabela_Base_Financeiro[[#This Row],[Project Code]],'COD. PROJETOS'!B:D,3,0)</f>
        <v>#N/A</v>
      </c>
      <c r="G63" s="36">
        <f>IFERROR(Tabela_Base_Financeiro[[#This Row],[PO No,]],0)</f>
        <v>0</v>
      </c>
      <c r="H63" s="36">
        <f>IFERROR(Tabela_Base_Financeiro[[#This Row],[Line No,]],0)</f>
        <v>0</v>
      </c>
      <c r="I63" s="36" t="str">
        <f>IFERROR(MID(Tabela_Base_Financeiro[[#This Row],[Manufacturer]],19,14),"")</f>
        <v/>
      </c>
      <c r="J63" s="113">
        <f>IFERROR(Tabela_Base_Financeiro[[#This Row],[Item code]],0)</f>
        <v>0</v>
      </c>
      <c r="K63" s="293">
        <f>IFERROR(Tabela_Base_Financeiro[[#This Row],[Unit Price]],0)</f>
        <v>0</v>
      </c>
      <c r="L63" s="36">
        <f>IFERROR(Tabela_Base_Financeiro[[#This Row],[AC Qty,]],0)</f>
        <v>0</v>
      </c>
      <c r="M63" s="60">
        <f>Tabela6[[#This Row],[Qty]]*Tabela6[[#This Row],[Preço]]</f>
        <v>0</v>
      </c>
      <c r="N63" s="37">
        <f>IFERROR(Tabela_Base_Financeiro[[#This Row],[Proportion]],0)</f>
        <v>0</v>
      </c>
      <c r="O63" s="60">
        <f>Tabela6[[#This Row],[Proporção]]*Tabela6[[#This Row],[Total]]</f>
        <v>0</v>
      </c>
      <c r="P63" s="57"/>
      <c r="Q63" s="55"/>
      <c r="R63" s="58"/>
      <c r="S63" s="61"/>
    </row>
    <row r="64" spans="1:19">
      <c r="A64" s="122" t="e">
        <f>IF(VLOOKUP(Tabela6[[#This Row],[UF]],'BASE CC'!B:C,2,0)="SP",IF(Tabela6[[#This Row],[OPERADORA]]="TIM","SP TIM","SPI"),VLOOKUP(Tabela6[[#This Row],[UF]],'BASE CC'!B:C,2,0))</f>
        <v>#N/A</v>
      </c>
      <c r="B64" s="36" t="e">
        <f>VLOOKUP(Tabela_Base_Financeiro[[#This Row],[Item code]],'COD.FAT'!B:C,2,0)</f>
        <v>#N/A</v>
      </c>
      <c r="C64" s="292">
        <f>Tabela_Base_Financeiro[[#This Row],[PO Ship TO]]</f>
        <v>0</v>
      </c>
      <c r="D64" s="36" t="str">
        <f>RIGHT(Tabela_Base_Financeiro[[#This Row],[Manufacturer]],2)</f>
        <v/>
      </c>
      <c r="E6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4" s="122" t="e">
        <f>VLOOKUP(Tabela_Base_Financeiro[[#This Row],[Project Code]],'COD. PROJETOS'!B:D,3,0)</f>
        <v>#N/A</v>
      </c>
      <c r="G64" s="36">
        <f>IFERROR(Tabela_Base_Financeiro[[#This Row],[PO No,]],0)</f>
        <v>0</v>
      </c>
      <c r="H64" s="36">
        <f>IFERROR(Tabela_Base_Financeiro[[#This Row],[Line No,]],0)</f>
        <v>0</v>
      </c>
      <c r="I64" s="36" t="str">
        <f>IFERROR(MID(Tabela_Base_Financeiro[[#This Row],[Manufacturer]],19,14),"")</f>
        <v/>
      </c>
      <c r="J64" s="113">
        <f>IFERROR(Tabela_Base_Financeiro[[#This Row],[Item code]],0)</f>
        <v>0</v>
      </c>
      <c r="K64" s="293">
        <f>IFERROR(Tabela_Base_Financeiro[[#This Row],[Unit Price]],0)</f>
        <v>0</v>
      </c>
      <c r="L64" s="36">
        <f>IFERROR(Tabela_Base_Financeiro[[#This Row],[AC Qty,]],0)</f>
        <v>0</v>
      </c>
      <c r="M64" s="60">
        <f>Tabela6[[#This Row],[Qty]]*Tabela6[[#This Row],[Preço]]</f>
        <v>0</v>
      </c>
      <c r="N64" s="37">
        <f>IFERROR(Tabela_Base_Financeiro[[#This Row],[Proportion]],0)</f>
        <v>0</v>
      </c>
      <c r="O64" s="60">
        <f>Tabela6[[#This Row],[Proporção]]*Tabela6[[#This Row],[Total]]</f>
        <v>0</v>
      </c>
      <c r="P64" s="57"/>
      <c r="Q64" s="55"/>
      <c r="R64" s="58"/>
      <c r="S64" s="61"/>
    </row>
    <row r="65" spans="1:19">
      <c r="A65" s="122" t="e">
        <f>IF(VLOOKUP(Tabela6[[#This Row],[UF]],'BASE CC'!B:C,2,0)="SP",IF(Tabela6[[#This Row],[OPERADORA]]="TIM","SP TIM","SPI"),VLOOKUP(Tabela6[[#This Row],[UF]],'BASE CC'!B:C,2,0))</f>
        <v>#N/A</v>
      </c>
      <c r="B65" s="36" t="e">
        <f>VLOOKUP(Tabela_Base_Financeiro[[#This Row],[Item code]],'COD.FAT'!B:C,2,0)</f>
        <v>#N/A</v>
      </c>
      <c r="C65" s="292">
        <f>Tabela_Base_Financeiro[[#This Row],[PO Ship TO]]</f>
        <v>0</v>
      </c>
      <c r="D65" s="36" t="str">
        <f>RIGHT(Tabela_Base_Financeiro[[#This Row],[Manufacturer]],2)</f>
        <v/>
      </c>
      <c r="E6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5" s="122" t="e">
        <f>VLOOKUP(Tabela_Base_Financeiro[[#This Row],[Project Code]],'COD. PROJETOS'!B:D,3,0)</f>
        <v>#N/A</v>
      </c>
      <c r="G65" s="36">
        <f>IFERROR(Tabela_Base_Financeiro[[#This Row],[PO No,]],0)</f>
        <v>0</v>
      </c>
      <c r="H65" s="36">
        <f>IFERROR(Tabela_Base_Financeiro[[#This Row],[Line No,]],0)</f>
        <v>0</v>
      </c>
      <c r="I65" s="36" t="str">
        <f>IFERROR(MID(Tabela_Base_Financeiro[[#This Row],[Manufacturer]],19,14),"")</f>
        <v/>
      </c>
      <c r="J65" s="113">
        <f>IFERROR(Tabela_Base_Financeiro[[#This Row],[Item code]],0)</f>
        <v>0</v>
      </c>
      <c r="K65" s="293">
        <f>IFERROR(Tabela_Base_Financeiro[[#This Row],[Unit Price]],0)</f>
        <v>0</v>
      </c>
      <c r="L65" s="36">
        <f>IFERROR(Tabela_Base_Financeiro[[#This Row],[AC Qty,]],0)</f>
        <v>0</v>
      </c>
      <c r="M65" s="60">
        <f>Tabela6[[#This Row],[Qty]]*Tabela6[[#This Row],[Preço]]</f>
        <v>0</v>
      </c>
      <c r="N65" s="37">
        <f>IFERROR(Tabela_Base_Financeiro[[#This Row],[Proportion]],0)</f>
        <v>0</v>
      </c>
      <c r="O65" s="60">
        <f>Tabela6[[#This Row],[Proporção]]*Tabela6[[#This Row],[Total]]</f>
        <v>0</v>
      </c>
      <c r="P65" s="57"/>
      <c r="Q65" s="55"/>
      <c r="R65" s="58"/>
      <c r="S65" s="61"/>
    </row>
    <row r="66" spans="1:19">
      <c r="A66" s="122" t="e">
        <f>IF(VLOOKUP(Tabela6[[#This Row],[UF]],'BASE CC'!B:C,2,0)="SP",IF(Tabela6[[#This Row],[OPERADORA]]="TIM","SP TIM","SPI"),VLOOKUP(Tabela6[[#This Row],[UF]],'BASE CC'!B:C,2,0))</f>
        <v>#N/A</v>
      </c>
      <c r="B66" s="36" t="e">
        <f>VLOOKUP(Tabela_Base_Financeiro[[#This Row],[Item code]],'COD.FAT'!B:C,2,0)</f>
        <v>#N/A</v>
      </c>
      <c r="C66" s="292">
        <f>Tabela_Base_Financeiro[[#This Row],[PO Ship TO]]</f>
        <v>0</v>
      </c>
      <c r="D66" s="36" t="str">
        <f>RIGHT(Tabela_Base_Financeiro[[#This Row],[Manufacturer]],2)</f>
        <v/>
      </c>
      <c r="E6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6" s="122" t="e">
        <f>VLOOKUP(Tabela_Base_Financeiro[[#This Row],[Project Code]],'COD. PROJETOS'!B:D,3,0)</f>
        <v>#N/A</v>
      </c>
      <c r="G66" s="36">
        <f>IFERROR(Tabela_Base_Financeiro[[#This Row],[PO No,]],0)</f>
        <v>0</v>
      </c>
      <c r="H66" s="36">
        <f>IFERROR(Tabela_Base_Financeiro[[#This Row],[Line No,]],0)</f>
        <v>0</v>
      </c>
      <c r="I66" s="36" t="str">
        <f>IFERROR(MID(Tabela_Base_Financeiro[[#This Row],[Manufacturer]],19,14),"")</f>
        <v/>
      </c>
      <c r="J66" s="113">
        <f>IFERROR(Tabela_Base_Financeiro[[#This Row],[Item code]],0)</f>
        <v>0</v>
      </c>
      <c r="K66" s="293">
        <f>IFERROR(Tabela_Base_Financeiro[[#This Row],[Unit Price]],0)</f>
        <v>0</v>
      </c>
      <c r="L66" s="36">
        <f>IFERROR(Tabela_Base_Financeiro[[#This Row],[AC Qty,]],0)</f>
        <v>0</v>
      </c>
      <c r="M66" s="60">
        <f>Tabela6[[#This Row],[Qty]]*Tabela6[[#This Row],[Preço]]</f>
        <v>0</v>
      </c>
      <c r="N66" s="37">
        <f>IFERROR(Tabela_Base_Financeiro[[#This Row],[Proportion]],0)</f>
        <v>0</v>
      </c>
      <c r="O66" s="60">
        <f>Tabela6[[#This Row],[Proporção]]*Tabela6[[#This Row],[Total]]</f>
        <v>0</v>
      </c>
      <c r="P66" s="57"/>
      <c r="Q66" s="55"/>
      <c r="R66" s="58"/>
      <c r="S66" s="61"/>
    </row>
    <row r="67" spans="1:19">
      <c r="A67" s="122" t="e">
        <f>IF(VLOOKUP(Tabela6[[#This Row],[UF]],'BASE CC'!B:C,2,0)="SP",IF(Tabela6[[#This Row],[OPERADORA]]="TIM","SP TIM","SPI"),VLOOKUP(Tabela6[[#This Row],[UF]],'BASE CC'!B:C,2,0))</f>
        <v>#N/A</v>
      </c>
      <c r="B67" s="36" t="e">
        <f>VLOOKUP(Tabela_Base_Financeiro[[#This Row],[Item code]],'COD.FAT'!B:C,2,0)</f>
        <v>#N/A</v>
      </c>
      <c r="C67" s="292">
        <f>Tabela_Base_Financeiro[[#This Row],[PO Ship TO]]</f>
        <v>0</v>
      </c>
      <c r="D67" s="36" t="str">
        <f>RIGHT(Tabela_Base_Financeiro[[#This Row],[Manufacturer]],2)</f>
        <v/>
      </c>
      <c r="E6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7" s="122" t="e">
        <f>VLOOKUP(Tabela_Base_Financeiro[[#This Row],[Project Code]],'COD. PROJETOS'!B:D,3,0)</f>
        <v>#N/A</v>
      </c>
      <c r="G67" s="36">
        <f>IFERROR(Tabela_Base_Financeiro[[#This Row],[PO No,]],0)</f>
        <v>0</v>
      </c>
      <c r="H67" s="36">
        <f>IFERROR(Tabela_Base_Financeiro[[#This Row],[Line No,]],0)</f>
        <v>0</v>
      </c>
      <c r="I67" s="36" t="str">
        <f>IFERROR(MID(Tabela_Base_Financeiro[[#This Row],[Manufacturer]],19,14),"")</f>
        <v/>
      </c>
      <c r="J67" s="113">
        <f>IFERROR(Tabela_Base_Financeiro[[#This Row],[Item code]],0)</f>
        <v>0</v>
      </c>
      <c r="K67" s="293">
        <f>IFERROR(Tabela_Base_Financeiro[[#This Row],[Unit Price]],0)</f>
        <v>0</v>
      </c>
      <c r="L67" s="36">
        <f>IFERROR(Tabela_Base_Financeiro[[#This Row],[AC Qty,]],0)</f>
        <v>0</v>
      </c>
      <c r="M67" s="60">
        <f>Tabela6[[#This Row],[Qty]]*Tabela6[[#This Row],[Preço]]</f>
        <v>0</v>
      </c>
      <c r="N67" s="37">
        <f>IFERROR(Tabela_Base_Financeiro[[#This Row],[Proportion]],0)</f>
        <v>0</v>
      </c>
      <c r="O67" s="60">
        <f>Tabela6[[#This Row],[Proporção]]*Tabela6[[#This Row],[Total]]</f>
        <v>0</v>
      </c>
      <c r="P67" s="57"/>
      <c r="Q67" s="55"/>
      <c r="R67" s="58"/>
      <c r="S67" s="61"/>
    </row>
    <row r="68" spans="1:19">
      <c r="A68" s="122" t="e">
        <f>IF(VLOOKUP(Tabela6[[#This Row],[UF]],'BASE CC'!B:C,2,0)="SP",IF(Tabela6[[#This Row],[OPERADORA]]="TIM","SP TIM","SPI"),VLOOKUP(Tabela6[[#This Row],[UF]],'BASE CC'!B:C,2,0))</f>
        <v>#N/A</v>
      </c>
      <c r="B68" s="36" t="e">
        <f>VLOOKUP(Tabela_Base_Financeiro[[#This Row],[Item code]],'COD.FAT'!B:C,2,0)</f>
        <v>#N/A</v>
      </c>
      <c r="C68" s="292">
        <f>Tabela_Base_Financeiro[[#This Row],[PO Ship TO]]</f>
        <v>0</v>
      </c>
      <c r="D68" s="36" t="str">
        <f>RIGHT(Tabela_Base_Financeiro[[#This Row],[Manufacturer]],2)</f>
        <v/>
      </c>
      <c r="E6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8" s="122" t="e">
        <f>VLOOKUP(Tabela_Base_Financeiro[[#This Row],[Project Code]],'COD. PROJETOS'!B:D,3,0)</f>
        <v>#N/A</v>
      </c>
      <c r="G68" s="36">
        <f>IFERROR(Tabela_Base_Financeiro[[#This Row],[PO No,]],0)</f>
        <v>0</v>
      </c>
      <c r="H68" s="36">
        <f>IFERROR(Tabela_Base_Financeiro[[#This Row],[Line No,]],0)</f>
        <v>0</v>
      </c>
      <c r="I68" s="36" t="str">
        <f>IFERROR(MID(Tabela_Base_Financeiro[[#This Row],[Manufacturer]],19,14),"")</f>
        <v/>
      </c>
      <c r="J68" s="113">
        <f>IFERROR(Tabela_Base_Financeiro[[#This Row],[Item code]],0)</f>
        <v>0</v>
      </c>
      <c r="K68" s="293">
        <f>IFERROR(Tabela_Base_Financeiro[[#This Row],[Unit Price]],0)</f>
        <v>0</v>
      </c>
      <c r="L68" s="36">
        <f>IFERROR(Tabela_Base_Financeiro[[#This Row],[AC Qty,]],0)</f>
        <v>0</v>
      </c>
      <c r="M68" s="60">
        <f>Tabela6[[#This Row],[Qty]]*Tabela6[[#This Row],[Preço]]</f>
        <v>0</v>
      </c>
      <c r="N68" s="37">
        <f>IFERROR(Tabela_Base_Financeiro[[#This Row],[Proportion]],0)</f>
        <v>0</v>
      </c>
      <c r="O68" s="60">
        <f>Tabela6[[#This Row],[Proporção]]*Tabela6[[#This Row],[Total]]</f>
        <v>0</v>
      </c>
      <c r="P68" s="57"/>
      <c r="Q68" s="55"/>
      <c r="R68" s="58"/>
      <c r="S68" s="61"/>
    </row>
    <row r="69" spans="1:19">
      <c r="A69" s="122" t="e">
        <f>IF(VLOOKUP(Tabela6[[#This Row],[UF]],'BASE CC'!B:C,2,0)="SP",IF(Tabela6[[#This Row],[OPERADORA]]="TIM","SP TIM","SPI"),VLOOKUP(Tabela6[[#This Row],[UF]],'BASE CC'!B:C,2,0))</f>
        <v>#N/A</v>
      </c>
      <c r="B69" s="36" t="e">
        <f>VLOOKUP(Tabela_Base_Financeiro[[#This Row],[Item code]],'COD.FAT'!B:C,2,0)</f>
        <v>#N/A</v>
      </c>
      <c r="C69" s="292">
        <f>Tabela_Base_Financeiro[[#This Row],[PO Ship TO]]</f>
        <v>0</v>
      </c>
      <c r="D69" s="36" t="str">
        <f>RIGHT(Tabela_Base_Financeiro[[#This Row],[Manufacturer]],2)</f>
        <v/>
      </c>
      <c r="E6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9" s="122" t="e">
        <f>VLOOKUP(Tabela_Base_Financeiro[[#This Row],[Project Code]],'COD. PROJETOS'!B:D,3,0)</f>
        <v>#N/A</v>
      </c>
      <c r="G69" s="36">
        <f>IFERROR(Tabela_Base_Financeiro[[#This Row],[PO No,]],0)</f>
        <v>0</v>
      </c>
      <c r="H69" s="36">
        <f>IFERROR(Tabela_Base_Financeiro[[#This Row],[Line No,]],0)</f>
        <v>0</v>
      </c>
      <c r="I69" s="36" t="str">
        <f>IFERROR(MID(Tabela_Base_Financeiro[[#This Row],[Manufacturer]],19,14),"")</f>
        <v/>
      </c>
      <c r="J69" s="113">
        <f>IFERROR(Tabela_Base_Financeiro[[#This Row],[Item code]],0)</f>
        <v>0</v>
      </c>
      <c r="K69" s="293">
        <f>IFERROR(Tabela_Base_Financeiro[[#This Row],[Unit Price]],0)</f>
        <v>0</v>
      </c>
      <c r="L69" s="36">
        <f>IFERROR(Tabela_Base_Financeiro[[#This Row],[AC Qty,]],0)</f>
        <v>0</v>
      </c>
      <c r="M69" s="60">
        <f>Tabela6[[#This Row],[Qty]]*Tabela6[[#This Row],[Preço]]</f>
        <v>0</v>
      </c>
      <c r="N69" s="37">
        <f>IFERROR(Tabela_Base_Financeiro[[#This Row],[Proportion]],0)</f>
        <v>0</v>
      </c>
      <c r="O69" s="60">
        <f>Tabela6[[#This Row],[Proporção]]*Tabela6[[#This Row],[Total]]</f>
        <v>0</v>
      </c>
      <c r="P69" s="57"/>
      <c r="Q69" s="55"/>
      <c r="R69" s="58"/>
      <c r="S69" s="61"/>
    </row>
    <row r="70" spans="1:19">
      <c r="A70" s="122" t="e">
        <f>IF(VLOOKUP(Tabela6[[#This Row],[UF]],'BASE CC'!B:C,2,0)="SP",IF(Tabela6[[#This Row],[OPERADORA]]="TIM","SP TIM","SPI"),VLOOKUP(Tabela6[[#This Row],[UF]],'BASE CC'!B:C,2,0))</f>
        <v>#N/A</v>
      </c>
      <c r="B70" s="36" t="e">
        <f>VLOOKUP(Tabela_Base_Financeiro[[#This Row],[Item code]],'COD.FAT'!B:C,2,0)</f>
        <v>#N/A</v>
      </c>
      <c r="C70" s="292">
        <f>Tabela_Base_Financeiro[[#This Row],[PO Ship TO]]</f>
        <v>0</v>
      </c>
      <c r="D70" s="36" t="str">
        <f>RIGHT(Tabela_Base_Financeiro[[#This Row],[Manufacturer]],2)</f>
        <v/>
      </c>
      <c r="E7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0" s="122" t="e">
        <f>VLOOKUP(Tabela_Base_Financeiro[[#This Row],[Project Code]],'COD. PROJETOS'!B:D,3,0)</f>
        <v>#N/A</v>
      </c>
      <c r="G70" s="36">
        <f>IFERROR(Tabela_Base_Financeiro[[#This Row],[PO No,]],0)</f>
        <v>0</v>
      </c>
      <c r="H70" s="36">
        <f>IFERROR(Tabela_Base_Financeiro[[#This Row],[Line No,]],0)</f>
        <v>0</v>
      </c>
      <c r="I70" s="36" t="str">
        <f>IFERROR(MID(Tabela_Base_Financeiro[[#This Row],[Manufacturer]],19,14),"")</f>
        <v/>
      </c>
      <c r="J70" s="113">
        <f>IFERROR(Tabela_Base_Financeiro[[#This Row],[Item code]],0)</f>
        <v>0</v>
      </c>
      <c r="K70" s="293">
        <f>IFERROR(Tabela_Base_Financeiro[[#This Row],[Unit Price]],0)</f>
        <v>0</v>
      </c>
      <c r="L70" s="36">
        <f>IFERROR(Tabela_Base_Financeiro[[#This Row],[AC Qty,]],0)</f>
        <v>0</v>
      </c>
      <c r="M70" s="60">
        <f>Tabela6[[#This Row],[Qty]]*Tabela6[[#This Row],[Preço]]</f>
        <v>0</v>
      </c>
      <c r="N70" s="37">
        <f>IFERROR(Tabela_Base_Financeiro[[#This Row],[Proportion]],0)</f>
        <v>0</v>
      </c>
      <c r="O70" s="60">
        <f>Tabela6[[#This Row],[Proporção]]*Tabela6[[#This Row],[Total]]</f>
        <v>0</v>
      </c>
      <c r="P70" s="57"/>
      <c r="Q70" s="55"/>
      <c r="R70" s="58"/>
      <c r="S70" s="61"/>
    </row>
    <row r="71" spans="1:19">
      <c r="A71" s="122" t="e">
        <f>IF(VLOOKUP(Tabela6[[#This Row],[UF]],'BASE CC'!B:C,2,0)="SP",IF(Tabela6[[#This Row],[OPERADORA]]="TIM","SP TIM","SPI"),VLOOKUP(Tabela6[[#This Row],[UF]],'BASE CC'!B:C,2,0))</f>
        <v>#N/A</v>
      </c>
      <c r="B71" s="36" t="e">
        <f>VLOOKUP(Tabela_Base_Financeiro[[#This Row],[Item code]],'COD.FAT'!B:C,2,0)</f>
        <v>#N/A</v>
      </c>
      <c r="C71" s="292">
        <f>Tabela_Base_Financeiro[[#This Row],[PO Ship TO]]</f>
        <v>0</v>
      </c>
      <c r="D71" s="36" t="str">
        <f>RIGHT(Tabela_Base_Financeiro[[#This Row],[Manufacturer]],2)</f>
        <v/>
      </c>
      <c r="E7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1" s="122" t="e">
        <f>VLOOKUP(Tabela_Base_Financeiro[[#This Row],[Project Code]],'COD. PROJETOS'!B:D,3,0)</f>
        <v>#N/A</v>
      </c>
      <c r="G71" s="36">
        <f>IFERROR(Tabela_Base_Financeiro[[#This Row],[PO No,]],0)</f>
        <v>0</v>
      </c>
      <c r="H71" s="36">
        <f>IFERROR(Tabela_Base_Financeiro[[#This Row],[Line No,]],0)</f>
        <v>0</v>
      </c>
      <c r="I71" s="36" t="str">
        <f>IFERROR(MID(Tabela_Base_Financeiro[[#This Row],[Manufacturer]],19,14),"")</f>
        <v/>
      </c>
      <c r="J71" s="113">
        <f>IFERROR(Tabela_Base_Financeiro[[#This Row],[Item code]],0)</f>
        <v>0</v>
      </c>
      <c r="K71" s="293">
        <f>IFERROR(Tabela_Base_Financeiro[[#This Row],[Unit Price]],0)</f>
        <v>0</v>
      </c>
      <c r="L71" s="36">
        <f>IFERROR(Tabela_Base_Financeiro[[#This Row],[AC Qty,]],0)</f>
        <v>0</v>
      </c>
      <c r="M71" s="60">
        <f>Tabela6[[#This Row],[Qty]]*Tabela6[[#This Row],[Preço]]</f>
        <v>0</v>
      </c>
      <c r="N71" s="37">
        <f>IFERROR(Tabela_Base_Financeiro[[#This Row],[Proportion]],0)</f>
        <v>0</v>
      </c>
      <c r="O71" s="60">
        <f>Tabela6[[#This Row],[Proporção]]*Tabela6[[#This Row],[Total]]</f>
        <v>0</v>
      </c>
      <c r="P71" s="57"/>
      <c r="Q71" s="55"/>
      <c r="R71" s="58"/>
      <c r="S71" s="61"/>
    </row>
    <row r="72" spans="1:19">
      <c r="A72" s="122" t="e">
        <f>IF(VLOOKUP(Tabela6[[#This Row],[UF]],'BASE CC'!B:C,2,0)="SP",IF(Tabela6[[#This Row],[OPERADORA]]="TIM","SP TIM","SPI"),VLOOKUP(Tabela6[[#This Row],[UF]],'BASE CC'!B:C,2,0))</f>
        <v>#N/A</v>
      </c>
      <c r="B72" s="36" t="e">
        <f>VLOOKUP(Tabela_Base_Financeiro[[#This Row],[Item code]],'COD.FAT'!B:C,2,0)</f>
        <v>#N/A</v>
      </c>
      <c r="C72" s="292">
        <f>Tabela_Base_Financeiro[[#This Row],[PO Ship TO]]</f>
        <v>0</v>
      </c>
      <c r="D72" s="36" t="str">
        <f>RIGHT(Tabela_Base_Financeiro[[#This Row],[Manufacturer]],2)</f>
        <v/>
      </c>
      <c r="E7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2" s="122" t="e">
        <f>VLOOKUP(Tabela_Base_Financeiro[[#This Row],[Project Code]],'COD. PROJETOS'!B:D,3,0)</f>
        <v>#N/A</v>
      </c>
      <c r="G72" s="36">
        <f>IFERROR(Tabela_Base_Financeiro[[#This Row],[PO No,]],0)</f>
        <v>0</v>
      </c>
      <c r="H72" s="36">
        <f>IFERROR(Tabela_Base_Financeiro[[#This Row],[Line No,]],0)</f>
        <v>0</v>
      </c>
      <c r="I72" s="36" t="str">
        <f>IFERROR(MID(Tabela_Base_Financeiro[[#This Row],[Manufacturer]],19,14),"")</f>
        <v/>
      </c>
      <c r="J72" s="113">
        <f>IFERROR(Tabela_Base_Financeiro[[#This Row],[Item code]],0)</f>
        <v>0</v>
      </c>
      <c r="K72" s="293">
        <f>IFERROR(Tabela_Base_Financeiro[[#This Row],[Unit Price]],0)</f>
        <v>0</v>
      </c>
      <c r="L72" s="36">
        <f>IFERROR(Tabela_Base_Financeiro[[#This Row],[AC Qty,]],0)</f>
        <v>0</v>
      </c>
      <c r="M72" s="60">
        <f>Tabela6[[#This Row],[Qty]]*Tabela6[[#This Row],[Preço]]</f>
        <v>0</v>
      </c>
      <c r="N72" s="37">
        <f>IFERROR(Tabela_Base_Financeiro[[#This Row],[Proportion]],0)</f>
        <v>0</v>
      </c>
      <c r="O72" s="60">
        <f>Tabela6[[#This Row],[Proporção]]*Tabela6[[#This Row],[Total]]</f>
        <v>0</v>
      </c>
      <c r="P72" s="57"/>
      <c r="Q72" s="55"/>
      <c r="R72" s="58"/>
      <c r="S72" s="61"/>
    </row>
    <row r="73" spans="1:19">
      <c r="A73" s="122" t="e">
        <f>IF(VLOOKUP(Tabela6[[#This Row],[UF]],'BASE CC'!B:C,2,0)="SP",IF(Tabela6[[#This Row],[OPERADORA]]="TIM","SP TIM","SPI"),VLOOKUP(Tabela6[[#This Row],[UF]],'BASE CC'!B:C,2,0))</f>
        <v>#N/A</v>
      </c>
      <c r="B73" s="36" t="e">
        <f>VLOOKUP(Tabela_Base_Financeiro[[#This Row],[Item code]],'COD.FAT'!B:C,2,0)</f>
        <v>#N/A</v>
      </c>
      <c r="C73" s="292">
        <f>Tabela_Base_Financeiro[[#This Row],[PO Ship TO]]</f>
        <v>0</v>
      </c>
      <c r="D73" s="36" t="str">
        <f>RIGHT(Tabela_Base_Financeiro[[#This Row],[Manufacturer]],2)</f>
        <v/>
      </c>
      <c r="E7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3" s="122" t="e">
        <f>VLOOKUP(Tabela_Base_Financeiro[[#This Row],[Project Code]],'COD. PROJETOS'!B:D,3,0)</f>
        <v>#N/A</v>
      </c>
      <c r="G73" s="36">
        <f>IFERROR(Tabela_Base_Financeiro[[#This Row],[PO No,]],0)</f>
        <v>0</v>
      </c>
      <c r="H73" s="36">
        <f>IFERROR(Tabela_Base_Financeiro[[#This Row],[Line No,]],0)</f>
        <v>0</v>
      </c>
      <c r="I73" s="36" t="str">
        <f>IFERROR(MID(Tabela_Base_Financeiro[[#This Row],[Manufacturer]],19,14),"")</f>
        <v/>
      </c>
      <c r="J73" s="113">
        <f>IFERROR(Tabela_Base_Financeiro[[#This Row],[Item code]],0)</f>
        <v>0</v>
      </c>
      <c r="K73" s="293">
        <f>IFERROR(Tabela_Base_Financeiro[[#This Row],[Unit Price]],0)</f>
        <v>0</v>
      </c>
      <c r="L73" s="36">
        <f>IFERROR(Tabela_Base_Financeiro[[#This Row],[AC Qty,]],0)</f>
        <v>0</v>
      </c>
      <c r="M73" s="60">
        <f>Tabela6[[#This Row],[Qty]]*Tabela6[[#This Row],[Preço]]</f>
        <v>0</v>
      </c>
      <c r="N73" s="37">
        <f>IFERROR(Tabela_Base_Financeiro[[#This Row],[Proportion]],0)</f>
        <v>0</v>
      </c>
      <c r="O73" s="60">
        <f>Tabela6[[#This Row],[Proporção]]*Tabela6[[#This Row],[Total]]</f>
        <v>0</v>
      </c>
      <c r="P73" s="57"/>
      <c r="Q73" s="55"/>
      <c r="R73" s="58"/>
      <c r="S73" s="61"/>
    </row>
    <row r="74" spans="1:19">
      <c r="A74" s="122" t="e">
        <f>IF(VLOOKUP(Tabela6[[#This Row],[UF]],'BASE CC'!B:C,2,0)="SP",IF(Tabela6[[#This Row],[OPERADORA]]="TIM","SP TIM","SPI"),VLOOKUP(Tabela6[[#This Row],[UF]],'BASE CC'!B:C,2,0))</f>
        <v>#N/A</v>
      </c>
      <c r="B74" s="36" t="e">
        <f>VLOOKUP(Tabela_Base_Financeiro[[#This Row],[Item code]],'COD.FAT'!B:C,2,0)</f>
        <v>#N/A</v>
      </c>
      <c r="C74" s="292">
        <f>Tabela_Base_Financeiro[[#This Row],[PO Ship TO]]</f>
        <v>0</v>
      </c>
      <c r="D74" s="36" t="str">
        <f>RIGHT(Tabela_Base_Financeiro[[#This Row],[Manufacturer]],2)</f>
        <v/>
      </c>
      <c r="E7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4" s="122" t="e">
        <f>VLOOKUP(Tabela_Base_Financeiro[[#This Row],[Project Code]],'COD. PROJETOS'!B:D,3,0)</f>
        <v>#N/A</v>
      </c>
      <c r="G74" s="36">
        <f>IFERROR(Tabela_Base_Financeiro[[#This Row],[PO No,]],0)</f>
        <v>0</v>
      </c>
      <c r="H74" s="36">
        <f>IFERROR(Tabela_Base_Financeiro[[#This Row],[Line No,]],0)</f>
        <v>0</v>
      </c>
      <c r="I74" s="36" t="str">
        <f>IFERROR(MID(Tabela_Base_Financeiro[[#This Row],[Manufacturer]],19,14),"")</f>
        <v/>
      </c>
      <c r="J74" s="113">
        <f>IFERROR(Tabela_Base_Financeiro[[#This Row],[Item code]],0)</f>
        <v>0</v>
      </c>
      <c r="K74" s="293">
        <f>IFERROR(Tabela_Base_Financeiro[[#This Row],[Unit Price]],0)</f>
        <v>0</v>
      </c>
      <c r="L74" s="36">
        <f>IFERROR(Tabela_Base_Financeiro[[#This Row],[AC Qty,]],0)</f>
        <v>0</v>
      </c>
      <c r="M74" s="60">
        <f>Tabela6[[#This Row],[Qty]]*Tabela6[[#This Row],[Preço]]</f>
        <v>0</v>
      </c>
      <c r="N74" s="37">
        <f>IFERROR(Tabela_Base_Financeiro[[#This Row],[Proportion]],0)</f>
        <v>0</v>
      </c>
      <c r="O74" s="60">
        <f>Tabela6[[#This Row],[Proporção]]*Tabela6[[#This Row],[Total]]</f>
        <v>0</v>
      </c>
      <c r="P74" s="57"/>
      <c r="Q74" s="55"/>
      <c r="R74" s="58"/>
      <c r="S74" s="61"/>
    </row>
    <row r="75" spans="1:19">
      <c r="A75" s="122" t="e">
        <f>IF(VLOOKUP(Tabela6[[#This Row],[UF]],'BASE CC'!B:C,2,0)="SP",IF(Tabela6[[#This Row],[OPERADORA]]="TIM","SP TIM","SPI"),VLOOKUP(Tabela6[[#This Row],[UF]],'BASE CC'!B:C,2,0))</f>
        <v>#N/A</v>
      </c>
      <c r="B75" s="36" t="e">
        <f>VLOOKUP(Tabela_Base_Financeiro[[#This Row],[Item code]],'COD.FAT'!B:C,2,0)</f>
        <v>#N/A</v>
      </c>
      <c r="C75" s="292">
        <f>Tabela_Base_Financeiro[[#This Row],[PO Ship TO]]</f>
        <v>0</v>
      </c>
      <c r="D75" s="36" t="str">
        <f>RIGHT(Tabela_Base_Financeiro[[#This Row],[Manufacturer]],2)</f>
        <v/>
      </c>
      <c r="E7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5" s="122" t="e">
        <f>VLOOKUP(Tabela_Base_Financeiro[[#This Row],[Project Code]],'COD. PROJETOS'!B:D,3,0)</f>
        <v>#N/A</v>
      </c>
      <c r="G75" s="36">
        <f>IFERROR(Tabela_Base_Financeiro[[#This Row],[PO No,]],0)</f>
        <v>0</v>
      </c>
      <c r="H75" s="36">
        <f>IFERROR(Tabela_Base_Financeiro[[#This Row],[Line No,]],0)</f>
        <v>0</v>
      </c>
      <c r="I75" s="36" t="str">
        <f>IFERROR(MID(Tabela_Base_Financeiro[[#This Row],[Manufacturer]],19,14),"")</f>
        <v/>
      </c>
      <c r="J75" s="113">
        <f>IFERROR(Tabela_Base_Financeiro[[#This Row],[Item code]],0)</f>
        <v>0</v>
      </c>
      <c r="K75" s="293">
        <f>IFERROR(Tabela_Base_Financeiro[[#This Row],[Unit Price]],0)</f>
        <v>0</v>
      </c>
      <c r="L75" s="36">
        <f>IFERROR(Tabela_Base_Financeiro[[#This Row],[AC Qty,]],0)</f>
        <v>0</v>
      </c>
      <c r="M75" s="60">
        <f>Tabela6[[#This Row],[Qty]]*Tabela6[[#This Row],[Preço]]</f>
        <v>0</v>
      </c>
      <c r="N75" s="37">
        <f>IFERROR(Tabela_Base_Financeiro[[#This Row],[Proportion]],0)</f>
        <v>0</v>
      </c>
      <c r="O75" s="60">
        <f>Tabela6[[#This Row],[Proporção]]*Tabela6[[#This Row],[Total]]</f>
        <v>0</v>
      </c>
      <c r="P75" s="57"/>
      <c r="Q75" s="55"/>
      <c r="R75" s="58"/>
      <c r="S75" s="61"/>
    </row>
    <row r="76" spans="1:19">
      <c r="A76" s="122" t="e">
        <f>IF(VLOOKUP(Tabela6[[#This Row],[UF]],'BASE CC'!B:C,2,0)="SP",IF(Tabela6[[#This Row],[OPERADORA]]="TIM","SP TIM","SPI"),VLOOKUP(Tabela6[[#This Row],[UF]],'BASE CC'!B:C,2,0))</f>
        <v>#N/A</v>
      </c>
      <c r="B76" s="36" t="e">
        <f>VLOOKUP(Tabela_Base_Financeiro[[#This Row],[Item code]],'COD.FAT'!B:C,2,0)</f>
        <v>#N/A</v>
      </c>
      <c r="C76" s="292">
        <f>Tabela_Base_Financeiro[[#This Row],[PO Ship TO]]</f>
        <v>0</v>
      </c>
      <c r="D76" s="36" t="str">
        <f>RIGHT(Tabela_Base_Financeiro[[#This Row],[Manufacturer]],2)</f>
        <v/>
      </c>
      <c r="E7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6" s="122" t="e">
        <f>VLOOKUP(Tabela_Base_Financeiro[[#This Row],[Project Code]],'COD. PROJETOS'!B:D,3,0)</f>
        <v>#N/A</v>
      </c>
      <c r="G76" s="36">
        <f>IFERROR(Tabela_Base_Financeiro[[#This Row],[PO No,]],0)</f>
        <v>0</v>
      </c>
      <c r="H76" s="36">
        <f>IFERROR(Tabela_Base_Financeiro[[#This Row],[Line No,]],0)</f>
        <v>0</v>
      </c>
      <c r="I76" s="36" t="str">
        <f>IFERROR(MID(Tabela_Base_Financeiro[[#This Row],[Manufacturer]],19,14),"")</f>
        <v/>
      </c>
      <c r="J76" s="113">
        <f>IFERROR(Tabela_Base_Financeiro[[#This Row],[Item code]],0)</f>
        <v>0</v>
      </c>
      <c r="K76" s="293">
        <f>IFERROR(Tabela_Base_Financeiro[[#This Row],[Unit Price]],0)</f>
        <v>0</v>
      </c>
      <c r="L76" s="36">
        <f>IFERROR(Tabela_Base_Financeiro[[#This Row],[AC Qty,]],0)</f>
        <v>0</v>
      </c>
      <c r="M76" s="60">
        <f>Tabela6[[#This Row],[Qty]]*Tabela6[[#This Row],[Preço]]</f>
        <v>0</v>
      </c>
      <c r="N76" s="37">
        <f>IFERROR(Tabela_Base_Financeiro[[#This Row],[Proportion]],0)</f>
        <v>0</v>
      </c>
      <c r="O76" s="60">
        <f>Tabela6[[#This Row],[Proporção]]*Tabela6[[#This Row],[Total]]</f>
        <v>0</v>
      </c>
      <c r="P76" s="57"/>
      <c r="Q76" s="55"/>
      <c r="R76" s="58"/>
      <c r="S76" s="61"/>
    </row>
    <row r="77" spans="1:19">
      <c r="A77" s="122" t="e">
        <f>IF(VLOOKUP(Tabela6[[#This Row],[UF]],'BASE CC'!B:C,2,0)="SP",IF(Tabela6[[#This Row],[OPERADORA]]="TIM","SP TIM","SPI"),VLOOKUP(Tabela6[[#This Row],[UF]],'BASE CC'!B:C,2,0))</f>
        <v>#N/A</v>
      </c>
      <c r="B77" s="36" t="e">
        <f>VLOOKUP(Tabela_Base_Financeiro[[#This Row],[Item code]],'COD.FAT'!B:C,2,0)</f>
        <v>#N/A</v>
      </c>
      <c r="C77" s="292">
        <f>Tabela_Base_Financeiro[[#This Row],[PO Ship TO]]</f>
        <v>0</v>
      </c>
      <c r="D77" s="36" t="str">
        <f>RIGHT(Tabela_Base_Financeiro[[#This Row],[Manufacturer]],2)</f>
        <v/>
      </c>
      <c r="E7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7" s="122" t="e">
        <f>VLOOKUP(Tabela_Base_Financeiro[[#This Row],[Project Code]],'COD. PROJETOS'!B:D,3,0)</f>
        <v>#N/A</v>
      </c>
      <c r="G77" s="36">
        <f>IFERROR(Tabela_Base_Financeiro[[#This Row],[PO No,]],0)</f>
        <v>0</v>
      </c>
      <c r="H77" s="36">
        <f>IFERROR(Tabela_Base_Financeiro[[#This Row],[Line No,]],0)</f>
        <v>0</v>
      </c>
      <c r="I77" s="36" t="str">
        <f>IFERROR(MID(Tabela_Base_Financeiro[[#This Row],[Manufacturer]],19,14),"")</f>
        <v/>
      </c>
      <c r="J77" s="113">
        <f>IFERROR(Tabela_Base_Financeiro[[#This Row],[Item code]],0)</f>
        <v>0</v>
      </c>
      <c r="K77" s="293">
        <f>IFERROR(Tabela_Base_Financeiro[[#This Row],[Unit Price]],0)</f>
        <v>0</v>
      </c>
      <c r="L77" s="36">
        <f>IFERROR(Tabela_Base_Financeiro[[#This Row],[AC Qty,]],0)</f>
        <v>0</v>
      </c>
      <c r="M77" s="60">
        <f>Tabela6[[#This Row],[Qty]]*Tabela6[[#This Row],[Preço]]</f>
        <v>0</v>
      </c>
      <c r="N77" s="37">
        <f>IFERROR(Tabela_Base_Financeiro[[#This Row],[Proportion]],0)</f>
        <v>0</v>
      </c>
      <c r="O77" s="60">
        <f>Tabela6[[#This Row],[Proporção]]*Tabela6[[#This Row],[Total]]</f>
        <v>0</v>
      </c>
      <c r="P77" s="57"/>
      <c r="Q77" s="55"/>
      <c r="R77" s="58"/>
      <c r="S77" s="61"/>
    </row>
    <row r="78" spans="1:19">
      <c r="A78" s="122" t="e">
        <f>IF(VLOOKUP(Tabela6[[#This Row],[UF]],'BASE CC'!B:C,2,0)="SP",IF(Tabela6[[#This Row],[OPERADORA]]="TIM","SP TIM","SPI"),VLOOKUP(Tabela6[[#This Row],[UF]],'BASE CC'!B:C,2,0))</f>
        <v>#N/A</v>
      </c>
      <c r="B78" s="36" t="e">
        <f>VLOOKUP(Tabela_Base_Financeiro[[#This Row],[Item code]],'COD.FAT'!B:C,2,0)</f>
        <v>#N/A</v>
      </c>
      <c r="C78" s="292">
        <f>Tabela_Base_Financeiro[[#This Row],[PO Ship TO]]</f>
        <v>0</v>
      </c>
      <c r="D78" s="36" t="str">
        <f>RIGHT(Tabela_Base_Financeiro[[#This Row],[Manufacturer]],2)</f>
        <v/>
      </c>
      <c r="E7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8" s="122" t="e">
        <f>VLOOKUP(Tabela_Base_Financeiro[[#This Row],[Project Code]],'COD. PROJETOS'!B:D,3,0)</f>
        <v>#N/A</v>
      </c>
      <c r="G78" s="36">
        <f>IFERROR(Tabela_Base_Financeiro[[#This Row],[PO No,]],0)</f>
        <v>0</v>
      </c>
      <c r="H78" s="36">
        <f>IFERROR(Tabela_Base_Financeiro[[#This Row],[Line No,]],0)</f>
        <v>0</v>
      </c>
      <c r="I78" s="36" t="str">
        <f>IFERROR(MID(Tabela_Base_Financeiro[[#This Row],[Manufacturer]],19,14),"")</f>
        <v/>
      </c>
      <c r="J78" s="113">
        <f>IFERROR(Tabela_Base_Financeiro[[#This Row],[Item code]],0)</f>
        <v>0</v>
      </c>
      <c r="K78" s="293">
        <f>IFERROR(Tabela_Base_Financeiro[[#This Row],[Unit Price]],0)</f>
        <v>0</v>
      </c>
      <c r="L78" s="36">
        <f>IFERROR(Tabela_Base_Financeiro[[#This Row],[AC Qty,]],0)</f>
        <v>0</v>
      </c>
      <c r="M78" s="60">
        <f>Tabela6[[#This Row],[Qty]]*Tabela6[[#This Row],[Preço]]</f>
        <v>0</v>
      </c>
      <c r="N78" s="37">
        <f>IFERROR(Tabela_Base_Financeiro[[#This Row],[Proportion]],0)</f>
        <v>0</v>
      </c>
      <c r="O78" s="60">
        <f>Tabela6[[#This Row],[Proporção]]*Tabela6[[#This Row],[Total]]</f>
        <v>0</v>
      </c>
      <c r="P78" s="57"/>
      <c r="Q78" s="55"/>
      <c r="R78" s="58"/>
      <c r="S78" s="61"/>
    </row>
    <row r="79" spans="1:19">
      <c r="A79" s="122" t="e">
        <f>IF(VLOOKUP(Tabela6[[#This Row],[UF]],'BASE CC'!B:C,2,0)="SP",IF(Tabela6[[#This Row],[OPERADORA]]="TIM","SP TIM","SPI"),VLOOKUP(Tabela6[[#This Row],[UF]],'BASE CC'!B:C,2,0))</f>
        <v>#N/A</v>
      </c>
      <c r="B79" s="36" t="e">
        <f>VLOOKUP(Tabela_Base_Financeiro[[#This Row],[Item code]],'COD.FAT'!B:C,2,0)</f>
        <v>#N/A</v>
      </c>
      <c r="C79" s="292">
        <f>Tabela_Base_Financeiro[[#This Row],[PO Ship TO]]</f>
        <v>0</v>
      </c>
      <c r="D79" s="36" t="str">
        <f>RIGHT(Tabela_Base_Financeiro[[#This Row],[Manufacturer]],2)</f>
        <v/>
      </c>
      <c r="E7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9" s="122" t="e">
        <f>VLOOKUP(Tabela_Base_Financeiro[[#This Row],[Project Code]],'COD. PROJETOS'!B:D,3,0)</f>
        <v>#N/A</v>
      </c>
      <c r="G79" s="36">
        <f>IFERROR(Tabela_Base_Financeiro[[#This Row],[PO No,]],0)</f>
        <v>0</v>
      </c>
      <c r="H79" s="36">
        <f>IFERROR(Tabela_Base_Financeiro[[#This Row],[Line No,]],0)</f>
        <v>0</v>
      </c>
      <c r="I79" s="36" t="str">
        <f>IFERROR(MID(Tabela_Base_Financeiro[[#This Row],[Manufacturer]],19,14),"")</f>
        <v/>
      </c>
      <c r="J79" s="113">
        <f>IFERROR(Tabela_Base_Financeiro[[#This Row],[Item code]],0)</f>
        <v>0</v>
      </c>
      <c r="K79" s="293">
        <f>IFERROR(Tabela_Base_Financeiro[[#This Row],[Unit Price]],0)</f>
        <v>0</v>
      </c>
      <c r="L79" s="36">
        <f>IFERROR(Tabela_Base_Financeiro[[#This Row],[AC Qty,]],0)</f>
        <v>0</v>
      </c>
      <c r="M79" s="60">
        <f>Tabela6[[#This Row],[Qty]]*Tabela6[[#This Row],[Preço]]</f>
        <v>0</v>
      </c>
      <c r="N79" s="37">
        <f>IFERROR(Tabela_Base_Financeiro[[#This Row],[Proportion]],0)</f>
        <v>0</v>
      </c>
      <c r="O79" s="60">
        <f>Tabela6[[#This Row],[Proporção]]*Tabela6[[#This Row],[Total]]</f>
        <v>0</v>
      </c>
      <c r="P79" s="57"/>
      <c r="Q79" s="55"/>
      <c r="R79" s="58"/>
      <c r="S79" s="61"/>
    </row>
    <row r="80" spans="1:19">
      <c r="A80" s="122" t="e">
        <f>IF(VLOOKUP(Tabela6[[#This Row],[UF]],'BASE CC'!B:C,2,0)="SP",IF(Tabela6[[#This Row],[OPERADORA]]="TIM","SP TIM","SPI"),VLOOKUP(Tabela6[[#This Row],[UF]],'BASE CC'!B:C,2,0))</f>
        <v>#N/A</v>
      </c>
      <c r="B80" s="36" t="e">
        <f>VLOOKUP(Tabela_Base_Financeiro[[#This Row],[Item code]],'COD.FAT'!B:C,2,0)</f>
        <v>#N/A</v>
      </c>
      <c r="C80" s="292">
        <f>Tabela_Base_Financeiro[[#This Row],[PO Ship TO]]</f>
        <v>0</v>
      </c>
      <c r="D80" s="36" t="str">
        <f>RIGHT(Tabela_Base_Financeiro[[#This Row],[Manufacturer]],2)</f>
        <v/>
      </c>
      <c r="E8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0" s="122" t="e">
        <f>VLOOKUP(Tabela_Base_Financeiro[[#This Row],[Project Code]],'COD. PROJETOS'!B:D,3,0)</f>
        <v>#N/A</v>
      </c>
      <c r="G80" s="36">
        <f>IFERROR(Tabela_Base_Financeiro[[#This Row],[PO No,]],0)</f>
        <v>0</v>
      </c>
      <c r="H80" s="36">
        <f>IFERROR(Tabela_Base_Financeiro[[#This Row],[Line No,]],0)</f>
        <v>0</v>
      </c>
      <c r="I80" s="36" t="str">
        <f>IFERROR(MID(Tabela_Base_Financeiro[[#This Row],[Manufacturer]],19,14),"")</f>
        <v/>
      </c>
      <c r="J80" s="113">
        <f>IFERROR(Tabela_Base_Financeiro[[#This Row],[Item code]],0)</f>
        <v>0</v>
      </c>
      <c r="K80" s="293">
        <f>IFERROR(Tabela_Base_Financeiro[[#This Row],[Unit Price]],0)</f>
        <v>0</v>
      </c>
      <c r="L80" s="36">
        <f>IFERROR(Tabela_Base_Financeiro[[#This Row],[AC Qty,]],0)</f>
        <v>0</v>
      </c>
      <c r="M80" s="60">
        <f>Tabela6[[#This Row],[Qty]]*Tabela6[[#This Row],[Preço]]</f>
        <v>0</v>
      </c>
      <c r="N80" s="37">
        <f>IFERROR(Tabela_Base_Financeiro[[#This Row],[Proportion]],0)</f>
        <v>0</v>
      </c>
      <c r="O80" s="60">
        <f>Tabela6[[#This Row],[Proporção]]*Tabela6[[#This Row],[Total]]</f>
        <v>0</v>
      </c>
      <c r="P80" s="57"/>
      <c r="Q80" s="55"/>
      <c r="R80" s="58"/>
      <c r="S80" s="61"/>
    </row>
    <row r="81" spans="1:19">
      <c r="A81" s="122" t="e">
        <f>IF(VLOOKUP(Tabela6[[#This Row],[UF]],'BASE CC'!B:C,2,0)="SP",IF(Tabela6[[#This Row],[OPERADORA]]="TIM","SP TIM","SPI"),VLOOKUP(Tabela6[[#This Row],[UF]],'BASE CC'!B:C,2,0))</f>
        <v>#N/A</v>
      </c>
      <c r="B81" s="36" t="e">
        <f>VLOOKUP(Tabela_Base_Financeiro[[#This Row],[Item code]],'COD.FAT'!B:C,2,0)</f>
        <v>#N/A</v>
      </c>
      <c r="C81" s="292">
        <f>Tabela_Base_Financeiro[[#This Row],[PO Ship TO]]</f>
        <v>0</v>
      </c>
      <c r="D81" s="36" t="str">
        <f>RIGHT(Tabela_Base_Financeiro[[#This Row],[Manufacturer]],2)</f>
        <v/>
      </c>
      <c r="E8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1" s="122" t="e">
        <f>VLOOKUP(Tabela_Base_Financeiro[[#This Row],[Project Code]],'COD. PROJETOS'!B:D,3,0)</f>
        <v>#N/A</v>
      </c>
      <c r="G81" s="36">
        <f>IFERROR(Tabela_Base_Financeiro[[#This Row],[PO No,]],0)</f>
        <v>0</v>
      </c>
      <c r="H81" s="36">
        <f>IFERROR(Tabela_Base_Financeiro[[#This Row],[Line No,]],0)</f>
        <v>0</v>
      </c>
      <c r="I81" s="36" t="str">
        <f>IFERROR(MID(Tabela_Base_Financeiro[[#This Row],[Manufacturer]],19,14),"")</f>
        <v/>
      </c>
      <c r="J81" s="113">
        <f>IFERROR(Tabela_Base_Financeiro[[#This Row],[Item code]],0)</f>
        <v>0</v>
      </c>
      <c r="K81" s="293">
        <f>IFERROR(Tabela_Base_Financeiro[[#This Row],[Unit Price]],0)</f>
        <v>0</v>
      </c>
      <c r="L81" s="36">
        <f>IFERROR(Tabela_Base_Financeiro[[#This Row],[AC Qty,]],0)</f>
        <v>0</v>
      </c>
      <c r="M81" s="60">
        <f>Tabela6[[#This Row],[Qty]]*Tabela6[[#This Row],[Preço]]</f>
        <v>0</v>
      </c>
      <c r="N81" s="37">
        <f>IFERROR(Tabela_Base_Financeiro[[#This Row],[Proportion]],0)</f>
        <v>0</v>
      </c>
      <c r="O81" s="60">
        <f>Tabela6[[#This Row],[Proporção]]*Tabela6[[#This Row],[Total]]</f>
        <v>0</v>
      </c>
      <c r="P81" s="57"/>
      <c r="Q81" s="55"/>
      <c r="R81" s="58"/>
      <c r="S81" s="61"/>
    </row>
    <row r="82" spans="1:19">
      <c r="A82" s="122" t="e">
        <f>IF(VLOOKUP(Tabela6[[#This Row],[UF]],'BASE CC'!B:C,2,0)="SP",IF(Tabela6[[#This Row],[OPERADORA]]="TIM","SP TIM","SPI"),VLOOKUP(Tabela6[[#This Row],[UF]],'BASE CC'!B:C,2,0))</f>
        <v>#N/A</v>
      </c>
      <c r="B82" s="36" t="e">
        <f>VLOOKUP(Tabela_Base_Financeiro[[#This Row],[Item code]],'COD.FAT'!B:C,2,0)</f>
        <v>#N/A</v>
      </c>
      <c r="C82" s="292">
        <f>Tabela_Base_Financeiro[[#This Row],[PO Ship TO]]</f>
        <v>0</v>
      </c>
      <c r="D82" s="36" t="str">
        <f>RIGHT(Tabela_Base_Financeiro[[#This Row],[Manufacturer]],2)</f>
        <v/>
      </c>
      <c r="E8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2" s="122" t="e">
        <f>VLOOKUP(Tabela_Base_Financeiro[[#This Row],[Project Code]],'COD. PROJETOS'!B:D,3,0)</f>
        <v>#N/A</v>
      </c>
      <c r="G82" s="36">
        <f>IFERROR(Tabela_Base_Financeiro[[#This Row],[PO No,]],0)</f>
        <v>0</v>
      </c>
      <c r="H82" s="36">
        <f>IFERROR(Tabela_Base_Financeiro[[#This Row],[Line No,]],0)</f>
        <v>0</v>
      </c>
      <c r="I82" s="36" t="str">
        <f>IFERROR(MID(Tabela_Base_Financeiro[[#This Row],[Manufacturer]],19,14),"")</f>
        <v/>
      </c>
      <c r="J82" s="113">
        <f>IFERROR(Tabela_Base_Financeiro[[#This Row],[Item code]],0)</f>
        <v>0</v>
      </c>
      <c r="K82" s="293">
        <f>IFERROR(Tabela_Base_Financeiro[[#This Row],[Unit Price]],0)</f>
        <v>0</v>
      </c>
      <c r="L82" s="36">
        <f>IFERROR(Tabela_Base_Financeiro[[#This Row],[AC Qty,]],0)</f>
        <v>0</v>
      </c>
      <c r="M82" s="60">
        <f>Tabela6[[#This Row],[Qty]]*Tabela6[[#This Row],[Preço]]</f>
        <v>0</v>
      </c>
      <c r="N82" s="37">
        <f>IFERROR(Tabela_Base_Financeiro[[#This Row],[Proportion]],0)</f>
        <v>0</v>
      </c>
      <c r="O82" s="60">
        <f>Tabela6[[#This Row],[Proporção]]*Tabela6[[#This Row],[Total]]</f>
        <v>0</v>
      </c>
      <c r="P82" s="57"/>
      <c r="Q82" s="55"/>
      <c r="R82" s="58"/>
      <c r="S82" s="61"/>
    </row>
    <row r="83" spans="1:19">
      <c r="A83" s="122" t="e">
        <f>IF(VLOOKUP(Tabela6[[#This Row],[UF]],'BASE CC'!B:C,2,0)="SP",IF(Tabela6[[#This Row],[OPERADORA]]="TIM","SP TIM","SPI"),VLOOKUP(Tabela6[[#This Row],[UF]],'BASE CC'!B:C,2,0))</f>
        <v>#N/A</v>
      </c>
      <c r="B83" s="36" t="e">
        <f>VLOOKUP(Tabela_Base_Financeiro[[#This Row],[Item code]],'COD.FAT'!B:C,2,0)</f>
        <v>#N/A</v>
      </c>
      <c r="C83" s="292">
        <f>Tabela_Base_Financeiro[[#This Row],[PO Ship TO]]</f>
        <v>0</v>
      </c>
      <c r="D83" s="36" t="str">
        <f>RIGHT(Tabela_Base_Financeiro[[#This Row],[Manufacturer]],2)</f>
        <v/>
      </c>
      <c r="E8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3" s="122" t="e">
        <f>VLOOKUP(Tabela_Base_Financeiro[[#This Row],[Project Code]],'COD. PROJETOS'!B:D,3,0)</f>
        <v>#N/A</v>
      </c>
      <c r="G83" s="36">
        <f>IFERROR(Tabela_Base_Financeiro[[#This Row],[PO No,]],0)</f>
        <v>0</v>
      </c>
      <c r="H83" s="36">
        <f>IFERROR(Tabela_Base_Financeiro[[#This Row],[Line No,]],0)</f>
        <v>0</v>
      </c>
      <c r="I83" s="36" t="str">
        <f>IFERROR(MID(Tabela_Base_Financeiro[[#This Row],[Manufacturer]],19,14),"")</f>
        <v/>
      </c>
      <c r="J83" s="113">
        <f>IFERROR(Tabela_Base_Financeiro[[#This Row],[Item code]],0)</f>
        <v>0</v>
      </c>
      <c r="K83" s="293">
        <f>IFERROR(Tabela_Base_Financeiro[[#This Row],[Unit Price]],0)</f>
        <v>0</v>
      </c>
      <c r="L83" s="36">
        <f>IFERROR(Tabela_Base_Financeiro[[#This Row],[AC Qty,]],0)</f>
        <v>0</v>
      </c>
      <c r="M83" s="60">
        <f>Tabela6[[#This Row],[Qty]]*Tabela6[[#This Row],[Preço]]</f>
        <v>0</v>
      </c>
      <c r="N83" s="37">
        <f>IFERROR(Tabela_Base_Financeiro[[#This Row],[Proportion]],0)</f>
        <v>0</v>
      </c>
      <c r="O83" s="60">
        <f>Tabela6[[#This Row],[Proporção]]*Tabela6[[#This Row],[Total]]</f>
        <v>0</v>
      </c>
      <c r="P83" s="57"/>
      <c r="Q83" s="55"/>
      <c r="R83" s="58"/>
      <c r="S83" s="61"/>
    </row>
    <row r="84" spans="1:19">
      <c r="A84" s="122" t="e">
        <f>IF(VLOOKUP(Tabela6[[#This Row],[UF]],'BASE CC'!B:C,2,0)="SP",IF(Tabela6[[#This Row],[OPERADORA]]="TIM","SP TIM","SPI"),VLOOKUP(Tabela6[[#This Row],[UF]],'BASE CC'!B:C,2,0))</f>
        <v>#N/A</v>
      </c>
      <c r="B84" s="36" t="e">
        <f>VLOOKUP(Tabela_Base_Financeiro[[#This Row],[Item code]],'COD.FAT'!B:C,2,0)</f>
        <v>#N/A</v>
      </c>
      <c r="C84" s="292">
        <f>Tabela_Base_Financeiro[[#This Row],[PO Ship TO]]</f>
        <v>0</v>
      </c>
      <c r="D84" s="36" t="str">
        <f>RIGHT(Tabela_Base_Financeiro[[#This Row],[Manufacturer]],2)</f>
        <v/>
      </c>
      <c r="E8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4" s="122" t="e">
        <f>VLOOKUP(Tabela_Base_Financeiro[[#This Row],[Project Code]],'COD. PROJETOS'!B:D,3,0)</f>
        <v>#N/A</v>
      </c>
      <c r="G84" s="36">
        <f>IFERROR(Tabela_Base_Financeiro[[#This Row],[PO No,]],0)</f>
        <v>0</v>
      </c>
      <c r="H84" s="36">
        <f>IFERROR(Tabela_Base_Financeiro[[#This Row],[Line No,]],0)</f>
        <v>0</v>
      </c>
      <c r="I84" s="36" t="str">
        <f>IFERROR(MID(Tabela_Base_Financeiro[[#This Row],[Manufacturer]],19,14),"")</f>
        <v/>
      </c>
      <c r="J84" s="113">
        <f>IFERROR(Tabela_Base_Financeiro[[#This Row],[Item code]],0)</f>
        <v>0</v>
      </c>
      <c r="K84" s="293">
        <f>IFERROR(Tabela_Base_Financeiro[[#This Row],[Unit Price]],0)</f>
        <v>0</v>
      </c>
      <c r="L84" s="36">
        <f>IFERROR(Tabela_Base_Financeiro[[#This Row],[AC Qty,]],0)</f>
        <v>0</v>
      </c>
      <c r="M84" s="60">
        <f>Tabela6[[#This Row],[Qty]]*Tabela6[[#This Row],[Preço]]</f>
        <v>0</v>
      </c>
      <c r="N84" s="37">
        <f>IFERROR(Tabela_Base_Financeiro[[#This Row],[Proportion]],0)</f>
        <v>0</v>
      </c>
      <c r="O84" s="60">
        <f>Tabela6[[#This Row],[Proporção]]*Tabela6[[#This Row],[Total]]</f>
        <v>0</v>
      </c>
      <c r="P84" s="57"/>
      <c r="Q84" s="55"/>
      <c r="R84" s="58"/>
      <c r="S84" s="61"/>
    </row>
    <row r="85" spans="1:19">
      <c r="A85" s="122" t="e">
        <f>IF(VLOOKUP(Tabela6[[#This Row],[UF]],'BASE CC'!B:C,2,0)="SP",IF(Tabela6[[#This Row],[OPERADORA]]="TIM","SP TIM","SPI"),VLOOKUP(Tabela6[[#This Row],[UF]],'BASE CC'!B:C,2,0))</f>
        <v>#N/A</v>
      </c>
      <c r="B85" s="36" t="e">
        <f>VLOOKUP(Tabela_Base_Financeiro[[#This Row],[Item code]],'COD.FAT'!B:C,2,0)</f>
        <v>#N/A</v>
      </c>
      <c r="C85" s="292">
        <f>Tabela_Base_Financeiro[[#This Row],[PO Ship TO]]</f>
        <v>0</v>
      </c>
      <c r="D85" s="36" t="str">
        <f>RIGHT(Tabela_Base_Financeiro[[#This Row],[Manufacturer]],2)</f>
        <v/>
      </c>
      <c r="E8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5" s="122" t="e">
        <f>VLOOKUP(Tabela_Base_Financeiro[[#This Row],[Project Code]],'COD. PROJETOS'!B:D,3,0)</f>
        <v>#N/A</v>
      </c>
      <c r="G85" s="36">
        <f>IFERROR(Tabela_Base_Financeiro[[#This Row],[PO No,]],0)</f>
        <v>0</v>
      </c>
      <c r="H85" s="36">
        <f>IFERROR(Tabela_Base_Financeiro[[#This Row],[Line No,]],0)</f>
        <v>0</v>
      </c>
      <c r="I85" s="36" t="str">
        <f>IFERROR(MID(Tabela_Base_Financeiro[[#This Row],[Manufacturer]],19,14),"")</f>
        <v/>
      </c>
      <c r="J85" s="113">
        <f>IFERROR(Tabela_Base_Financeiro[[#This Row],[Item code]],0)</f>
        <v>0</v>
      </c>
      <c r="K85" s="293">
        <f>IFERROR(Tabela_Base_Financeiro[[#This Row],[Unit Price]],0)</f>
        <v>0</v>
      </c>
      <c r="L85" s="36">
        <f>IFERROR(Tabela_Base_Financeiro[[#This Row],[AC Qty,]],0)</f>
        <v>0</v>
      </c>
      <c r="M85" s="60">
        <f>Tabela6[[#This Row],[Qty]]*Tabela6[[#This Row],[Preço]]</f>
        <v>0</v>
      </c>
      <c r="N85" s="37">
        <f>IFERROR(Tabela_Base_Financeiro[[#This Row],[Proportion]],0)</f>
        <v>0</v>
      </c>
      <c r="O85" s="60">
        <f>Tabela6[[#This Row],[Proporção]]*Tabela6[[#This Row],[Total]]</f>
        <v>0</v>
      </c>
      <c r="P85" s="57"/>
      <c r="Q85" s="55"/>
      <c r="R85" s="58"/>
      <c r="S85" s="61"/>
    </row>
    <row r="86" spans="1:19">
      <c r="A86" s="122" t="e">
        <f>IF(VLOOKUP(Tabela6[[#This Row],[UF]],'BASE CC'!B:C,2,0)="SP",IF(Tabela6[[#This Row],[OPERADORA]]="TIM","SP TIM","SPI"),VLOOKUP(Tabela6[[#This Row],[UF]],'BASE CC'!B:C,2,0))</f>
        <v>#N/A</v>
      </c>
      <c r="B86" s="36" t="e">
        <f>VLOOKUP(Tabela_Base_Financeiro[[#This Row],[Item code]],'COD.FAT'!B:C,2,0)</f>
        <v>#N/A</v>
      </c>
      <c r="C86" s="292">
        <f>Tabela_Base_Financeiro[[#This Row],[PO Ship TO]]</f>
        <v>0</v>
      </c>
      <c r="D86" s="36" t="str">
        <f>RIGHT(Tabela_Base_Financeiro[[#This Row],[Manufacturer]],2)</f>
        <v/>
      </c>
      <c r="E8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6" s="122" t="e">
        <f>VLOOKUP(Tabela_Base_Financeiro[[#This Row],[Project Code]],'COD. PROJETOS'!B:D,3,0)</f>
        <v>#N/A</v>
      </c>
      <c r="G86" s="36">
        <f>IFERROR(Tabela_Base_Financeiro[[#This Row],[PO No,]],0)</f>
        <v>0</v>
      </c>
      <c r="H86" s="36">
        <f>IFERROR(Tabela_Base_Financeiro[[#This Row],[Line No,]],0)</f>
        <v>0</v>
      </c>
      <c r="I86" s="36" t="str">
        <f>IFERROR(MID(Tabela_Base_Financeiro[[#This Row],[Manufacturer]],19,14),"")</f>
        <v/>
      </c>
      <c r="J86" s="113">
        <f>IFERROR(Tabela_Base_Financeiro[[#This Row],[Item code]],0)</f>
        <v>0</v>
      </c>
      <c r="K86" s="293">
        <f>IFERROR(Tabela_Base_Financeiro[[#This Row],[Unit Price]],0)</f>
        <v>0</v>
      </c>
      <c r="L86" s="36">
        <f>IFERROR(Tabela_Base_Financeiro[[#This Row],[AC Qty,]],0)</f>
        <v>0</v>
      </c>
      <c r="M86" s="60">
        <f>Tabela6[[#This Row],[Qty]]*Tabela6[[#This Row],[Preço]]</f>
        <v>0</v>
      </c>
      <c r="N86" s="37">
        <f>IFERROR(Tabela_Base_Financeiro[[#This Row],[Proportion]],0)</f>
        <v>0</v>
      </c>
      <c r="O86" s="60">
        <f>Tabela6[[#This Row],[Proporção]]*Tabela6[[#This Row],[Total]]</f>
        <v>0</v>
      </c>
      <c r="P86" s="57"/>
      <c r="Q86" s="55"/>
      <c r="R86" s="58"/>
      <c r="S86" s="61"/>
    </row>
    <row r="87" spans="1:19">
      <c r="A87" s="122" t="e">
        <f>IF(VLOOKUP(Tabela6[[#This Row],[UF]],'BASE CC'!B:C,2,0)="SP",IF(Tabela6[[#This Row],[OPERADORA]]="TIM","SP TIM","SPI"),VLOOKUP(Tabela6[[#This Row],[UF]],'BASE CC'!B:C,2,0))</f>
        <v>#N/A</v>
      </c>
      <c r="B87" s="36" t="e">
        <f>VLOOKUP(Tabela_Base_Financeiro[[#This Row],[Item code]],'COD.FAT'!B:C,2,0)</f>
        <v>#N/A</v>
      </c>
      <c r="C87" s="292">
        <f>Tabela_Base_Financeiro[[#This Row],[PO Ship TO]]</f>
        <v>0</v>
      </c>
      <c r="D87" s="36" t="str">
        <f>RIGHT(Tabela_Base_Financeiro[[#This Row],[Manufacturer]],2)</f>
        <v/>
      </c>
      <c r="E8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7" s="122" t="e">
        <f>VLOOKUP(Tabela_Base_Financeiro[[#This Row],[Project Code]],'COD. PROJETOS'!B:D,3,0)</f>
        <v>#N/A</v>
      </c>
      <c r="G87" s="36">
        <f>IFERROR(Tabela_Base_Financeiro[[#This Row],[PO No,]],0)</f>
        <v>0</v>
      </c>
      <c r="H87" s="36">
        <f>IFERROR(Tabela_Base_Financeiro[[#This Row],[Line No,]],0)</f>
        <v>0</v>
      </c>
      <c r="I87" s="36" t="str">
        <f>IFERROR(MID(Tabela_Base_Financeiro[[#This Row],[Manufacturer]],19,14),"")</f>
        <v/>
      </c>
      <c r="J87" s="113">
        <f>IFERROR(Tabela_Base_Financeiro[[#This Row],[Item code]],0)</f>
        <v>0</v>
      </c>
      <c r="K87" s="293">
        <f>IFERROR(Tabela_Base_Financeiro[[#This Row],[Unit Price]],0)</f>
        <v>0</v>
      </c>
      <c r="L87" s="36">
        <f>IFERROR(Tabela_Base_Financeiro[[#This Row],[AC Qty,]],0)</f>
        <v>0</v>
      </c>
      <c r="M87" s="60">
        <f>Tabela6[[#This Row],[Qty]]*Tabela6[[#This Row],[Preço]]</f>
        <v>0</v>
      </c>
      <c r="N87" s="37">
        <f>IFERROR(Tabela_Base_Financeiro[[#This Row],[Proportion]],0)</f>
        <v>0</v>
      </c>
      <c r="O87" s="60">
        <f>Tabela6[[#This Row],[Proporção]]*Tabela6[[#This Row],[Total]]</f>
        <v>0</v>
      </c>
      <c r="P87" s="57"/>
      <c r="Q87" s="55"/>
      <c r="R87" s="58"/>
      <c r="S87" s="61"/>
    </row>
    <row r="88" spans="1:19">
      <c r="A88" s="122" t="e">
        <f>IF(VLOOKUP(Tabela6[[#This Row],[UF]],'BASE CC'!B:C,2,0)="SP",IF(Tabela6[[#This Row],[OPERADORA]]="TIM","SP TIM","SPI"),VLOOKUP(Tabela6[[#This Row],[UF]],'BASE CC'!B:C,2,0))</f>
        <v>#N/A</v>
      </c>
      <c r="B88" s="36" t="e">
        <f>VLOOKUP(Tabela_Base_Financeiro[[#This Row],[Item code]],'COD.FAT'!B:C,2,0)</f>
        <v>#N/A</v>
      </c>
      <c r="C88" s="292">
        <f>Tabela_Base_Financeiro[[#This Row],[PO Ship TO]]</f>
        <v>0</v>
      </c>
      <c r="D88" s="36" t="str">
        <f>RIGHT(Tabela_Base_Financeiro[[#This Row],[Manufacturer]],2)</f>
        <v/>
      </c>
      <c r="E8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8" s="122" t="e">
        <f>VLOOKUP(Tabela_Base_Financeiro[[#This Row],[Project Code]],'COD. PROJETOS'!B:D,3,0)</f>
        <v>#N/A</v>
      </c>
      <c r="G88" s="36">
        <f>IFERROR(Tabela_Base_Financeiro[[#This Row],[PO No,]],0)</f>
        <v>0</v>
      </c>
      <c r="H88" s="36">
        <f>IFERROR(Tabela_Base_Financeiro[[#This Row],[Line No,]],0)</f>
        <v>0</v>
      </c>
      <c r="I88" s="36" t="str">
        <f>IFERROR(MID(Tabela_Base_Financeiro[[#This Row],[Manufacturer]],19,14),"")</f>
        <v/>
      </c>
      <c r="J88" s="113">
        <f>IFERROR(Tabela_Base_Financeiro[[#This Row],[Item code]],0)</f>
        <v>0</v>
      </c>
      <c r="K88" s="293">
        <f>IFERROR(Tabela_Base_Financeiro[[#This Row],[Unit Price]],0)</f>
        <v>0</v>
      </c>
      <c r="L88" s="36">
        <f>IFERROR(Tabela_Base_Financeiro[[#This Row],[AC Qty,]],0)</f>
        <v>0</v>
      </c>
      <c r="M88" s="60">
        <f>Tabela6[[#This Row],[Qty]]*Tabela6[[#This Row],[Preço]]</f>
        <v>0</v>
      </c>
      <c r="N88" s="37">
        <f>IFERROR(Tabela_Base_Financeiro[[#This Row],[Proportion]],0)</f>
        <v>0</v>
      </c>
      <c r="O88" s="60">
        <f>Tabela6[[#This Row],[Proporção]]*Tabela6[[#This Row],[Total]]</f>
        <v>0</v>
      </c>
      <c r="P88" s="57"/>
      <c r="Q88" s="55"/>
      <c r="R88" s="58"/>
      <c r="S88" s="61"/>
    </row>
    <row r="89" spans="1:19">
      <c r="A89" s="122" t="e">
        <f>IF(VLOOKUP(Tabela6[[#This Row],[UF]],'BASE CC'!B:C,2,0)="SP",IF(Tabela6[[#This Row],[OPERADORA]]="TIM","SP TIM","SPI"),VLOOKUP(Tabela6[[#This Row],[UF]],'BASE CC'!B:C,2,0))</f>
        <v>#N/A</v>
      </c>
      <c r="B89" s="36" t="e">
        <f>VLOOKUP(Tabela_Base_Financeiro[[#This Row],[Item code]],'COD.FAT'!B:C,2,0)</f>
        <v>#N/A</v>
      </c>
      <c r="C89" s="292">
        <f>Tabela_Base_Financeiro[[#This Row],[PO Ship TO]]</f>
        <v>0</v>
      </c>
      <c r="D89" s="36" t="str">
        <f>RIGHT(Tabela_Base_Financeiro[[#This Row],[Manufacturer]],2)</f>
        <v/>
      </c>
      <c r="E8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9" s="122" t="e">
        <f>VLOOKUP(Tabela_Base_Financeiro[[#This Row],[Project Code]],'COD. PROJETOS'!B:D,3,0)</f>
        <v>#N/A</v>
      </c>
      <c r="G89" s="36">
        <f>IFERROR(Tabela_Base_Financeiro[[#This Row],[PO No,]],0)</f>
        <v>0</v>
      </c>
      <c r="H89" s="36">
        <f>IFERROR(Tabela_Base_Financeiro[[#This Row],[Line No,]],0)</f>
        <v>0</v>
      </c>
      <c r="I89" s="36" t="str">
        <f>IFERROR(MID(Tabela_Base_Financeiro[[#This Row],[Manufacturer]],19,14),"")</f>
        <v/>
      </c>
      <c r="J89" s="113">
        <f>IFERROR(Tabela_Base_Financeiro[[#This Row],[Item code]],0)</f>
        <v>0</v>
      </c>
      <c r="K89" s="293">
        <f>IFERROR(Tabela_Base_Financeiro[[#This Row],[Unit Price]],0)</f>
        <v>0</v>
      </c>
      <c r="L89" s="36">
        <f>IFERROR(Tabela_Base_Financeiro[[#This Row],[AC Qty,]],0)</f>
        <v>0</v>
      </c>
      <c r="M89" s="60">
        <f>Tabela6[[#This Row],[Qty]]*Tabela6[[#This Row],[Preço]]</f>
        <v>0</v>
      </c>
      <c r="N89" s="37">
        <f>IFERROR(Tabela_Base_Financeiro[[#This Row],[Proportion]],0)</f>
        <v>0</v>
      </c>
      <c r="O89" s="60">
        <f>Tabela6[[#This Row],[Proporção]]*Tabela6[[#This Row],[Total]]</f>
        <v>0</v>
      </c>
      <c r="P89" s="57"/>
      <c r="Q89" s="55"/>
      <c r="R89" s="58"/>
      <c r="S89" s="61"/>
    </row>
    <row r="90" spans="1:19">
      <c r="A90" s="122" t="e">
        <f>IF(VLOOKUP(Tabela6[[#This Row],[UF]],'BASE CC'!B:C,2,0)="SP",IF(Tabela6[[#This Row],[OPERADORA]]="TIM","SP TIM","SPI"),VLOOKUP(Tabela6[[#This Row],[UF]],'BASE CC'!B:C,2,0))</f>
        <v>#N/A</v>
      </c>
      <c r="B90" s="36" t="e">
        <f>VLOOKUP(Tabela_Base_Financeiro[[#This Row],[Item code]],'COD.FAT'!B:C,2,0)</f>
        <v>#N/A</v>
      </c>
      <c r="C90" s="292">
        <f>Tabela_Base_Financeiro[[#This Row],[PO Ship TO]]</f>
        <v>0</v>
      </c>
      <c r="D90" s="36" t="str">
        <f>RIGHT(Tabela_Base_Financeiro[[#This Row],[Manufacturer]],2)</f>
        <v/>
      </c>
      <c r="E9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0" s="122" t="e">
        <f>VLOOKUP(Tabela_Base_Financeiro[[#This Row],[Project Code]],'COD. PROJETOS'!B:D,3,0)</f>
        <v>#N/A</v>
      </c>
      <c r="G90" s="36">
        <f>IFERROR(Tabela_Base_Financeiro[[#This Row],[PO No,]],0)</f>
        <v>0</v>
      </c>
      <c r="H90" s="36">
        <f>IFERROR(Tabela_Base_Financeiro[[#This Row],[Line No,]],0)</f>
        <v>0</v>
      </c>
      <c r="I90" s="36" t="str">
        <f>IFERROR(MID(Tabela_Base_Financeiro[[#This Row],[Manufacturer]],19,14),"")</f>
        <v/>
      </c>
      <c r="J90" s="113">
        <f>IFERROR(Tabela_Base_Financeiro[[#This Row],[Item code]],0)</f>
        <v>0</v>
      </c>
      <c r="K90" s="293">
        <f>IFERROR(Tabela_Base_Financeiro[[#This Row],[Unit Price]],0)</f>
        <v>0</v>
      </c>
      <c r="L90" s="36">
        <f>IFERROR(Tabela_Base_Financeiro[[#This Row],[AC Qty,]],0)</f>
        <v>0</v>
      </c>
      <c r="M90" s="60">
        <f>Tabela6[[#This Row],[Qty]]*Tabela6[[#This Row],[Preço]]</f>
        <v>0</v>
      </c>
      <c r="N90" s="37">
        <f>IFERROR(Tabela_Base_Financeiro[[#This Row],[Proportion]],0)</f>
        <v>0</v>
      </c>
      <c r="O90" s="60">
        <f>Tabela6[[#This Row],[Proporção]]*Tabela6[[#This Row],[Total]]</f>
        <v>0</v>
      </c>
      <c r="P90" s="57"/>
      <c r="Q90" s="55"/>
      <c r="R90" s="58"/>
      <c r="S90" s="61"/>
    </row>
    <row r="91" spans="1:19">
      <c r="A91" s="122" t="e">
        <f>IF(VLOOKUP(Tabela6[[#This Row],[UF]],'BASE CC'!B:C,2,0)="SP",IF(Tabela6[[#This Row],[OPERADORA]]="TIM","SP TIM","SPI"),VLOOKUP(Tabela6[[#This Row],[UF]],'BASE CC'!B:C,2,0))</f>
        <v>#N/A</v>
      </c>
      <c r="B91" s="36" t="e">
        <f>VLOOKUP(Tabela_Base_Financeiro[[#This Row],[Item code]],'COD.FAT'!B:C,2,0)</f>
        <v>#N/A</v>
      </c>
      <c r="C91" s="292">
        <f>Tabela_Base_Financeiro[[#This Row],[PO Ship TO]]</f>
        <v>0</v>
      </c>
      <c r="D91" s="36" t="str">
        <f>RIGHT(Tabela_Base_Financeiro[[#This Row],[Manufacturer]],2)</f>
        <v/>
      </c>
      <c r="E9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1" s="122" t="e">
        <f>VLOOKUP(Tabela_Base_Financeiro[[#This Row],[Project Code]],'COD. PROJETOS'!B:D,3,0)</f>
        <v>#N/A</v>
      </c>
      <c r="G91" s="36">
        <f>IFERROR(Tabela_Base_Financeiro[[#This Row],[PO No,]],0)</f>
        <v>0</v>
      </c>
      <c r="H91" s="36">
        <f>IFERROR(Tabela_Base_Financeiro[[#This Row],[Line No,]],0)</f>
        <v>0</v>
      </c>
      <c r="I91" s="36" t="str">
        <f>IFERROR(MID(Tabela_Base_Financeiro[[#This Row],[Manufacturer]],19,14),"")</f>
        <v/>
      </c>
      <c r="J91" s="113">
        <f>IFERROR(Tabela_Base_Financeiro[[#This Row],[Item code]],0)</f>
        <v>0</v>
      </c>
      <c r="K91" s="293">
        <f>IFERROR(Tabela_Base_Financeiro[[#This Row],[Unit Price]],0)</f>
        <v>0</v>
      </c>
      <c r="L91" s="36">
        <f>IFERROR(Tabela_Base_Financeiro[[#This Row],[AC Qty,]],0)</f>
        <v>0</v>
      </c>
      <c r="M91" s="60">
        <f>Tabela6[[#This Row],[Qty]]*Tabela6[[#This Row],[Preço]]</f>
        <v>0</v>
      </c>
      <c r="N91" s="37">
        <f>IFERROR(Tabela_Base_Financeiro[[#This Row],[Proportion]],0)</f>
        <v>0</v>
      </c>
      <c r="O91" s="60">
        <f>Tabela6[[#This Row],[Proporção]]*Tabela6[[#This Row],[Total]]</f>
        <v>0</v>
      </c>
      <c r="P91" s="57"/>
      <c r="Q91" s="55"/>
      <c r="R91" s="58"/>
      <c r="S91" s="61"/>
    </row>
    <row r="92" spans="1:19">
      <c r="A92" s="122" t="e">
        <f>IF(VLOOKUP(Tabela6[[#This Row],[UF]],'BASE CC'!B:C,2,0)="SP",IF(Tabela6[[#This Row],[OPERADORA]]="TIM","SP TIM","SPI"),VLOOKUP(Tabela6[[#This Row],[UF]],'BASE CC'!B:C,2,0))</f>
        <v>#N/A</v>
      </c>
      <c r="B92" s="36" t="e">
        <f>VLOOKUP(Tabela_Base_Financeiro[[#This Row],[Item code]],'COD.FAT'!B:C,2,0)</f>
        <v>#N/A</v>
      </c>
      <c r="C92" s="292">
        <f>Tabela_Base_Financeiro[[#This Row],[PO Ship TO]]</f>
        <v>0</v>
      </c>
      <c r="D92" s="36" t="str">
        <f>RIGHT(Tabela_Base_Financeiro[[#This Row],[Manufacturer]],2)</f>
        <v/>
      </c>
      <c r="E9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2" s="122" t="e">
        <f>VLOOKUP(Tabela_Base_Financeiro[[#This Row],[Project Code]],'COD. PROJETOS'!B:D,3,0)</f>
        <v>#N/A</v>
      </c>
      <c r="G92" s="36">
        <f>IFERROR(Tabela_Base_Financeiro[[#This Row],[PO No,]],0)</f>
        <v>0</v>
      </c>
      <c r="H92" s="36">
        <f>IFERROR(Tabela_Base_Financeiro[[#This Row],[Line No,]],0)</f>
        <v>0</v>
      </c>
      <c r="I92" s="36" t="str">
        <f>IFERROR(MID(Tabela_Base_Financeiro[[#This Row],[Manufacturer]],19,14),"")</f>
        <v/>
      </c>
      <c r="J92" s="113">
        <f>IFERROR(Tabela_Base_Financeiro[[#This Row],[Item code]],0)</f>
        <v>0</v>
      </c>
      <c r="K92" s="293">
        <f>IFERROR(Tabela_Base_Financeiro[[#This Row],[Unit Price]],0)</f>
        <v>0</v>
      </c>
      <c r="L92" s="36">
        <f>IFERROR(Tabela_Base_Financeiro[[#This Row],[AC Qty,]],0)</f>
        <v>0</v>
      </c>
      <c r="M92" s="60">
        <f>Tabela6[[#This Row],[Qty]]*Tabela6[[#This Row],[Preço]]</f>
        <v>0</v>
      </c>
      <c r="N92" s="37">
        <f>IFERROR(Tabela_Base_Financeiro[[#This Row],[Proportion]],0)</f>
        <v>0</v>
      </c>
      <c r="O92" s="60">
        <f>Tabela6[[#This Row],[Proporção]]*Tabela6[[#This Row],[Total]]</f>
        <v>0</v>
      </c>
      <c r="P92" s="57"/>
      <c r="Q92" s="55"/>
      <c r="R92" s="58"/>
      <c r="S92" s="61"/>
    </row>
    <row r="93" spans="1:19">
      <c r="A93" s="122" t="e">
        <f>IF(VLOOKUP(Tabela6[[#This Row],[UF]],'BASE CC'!B:C,2,0)="SP",IF(Tabela6[[#This Row],[OPERADORA]]="TIM","SP TIM","SPI"),VLOOKUP(Tabela6[[#This Row],[UF]],'BASE CC'!B:C,2,0))</f>
        <v>#N/A</v>
      </c>
      <c r="B93" s="36" t="e">
        <f>VLOOKUP(Tabela_Base_Financeiro[[#This Row],[Item code]],'COD.FAT'!B:C,2,0)</f>
        <v>#N/A</v>
      </c>
      <c r="C93" s="292">
        <f>Tabela_Base_Financeiro[[#This Row],[PO Ship TO]]</f>
        <v>0</v>
      </c>
      <c r="D93" s="36" t="str">
        <f>RIGHT(Tabela_Base_Financeiro[[#This Row],[Manufacturer]],2)</f>
        <v/>
      </c>
      <c r="E9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3" s="122" t="e">
        <f>VLOOKUP(Tabela_Base_Financeiro[[#This Row],[Project Code]],'COD. PROJETOS'!B:D,3,0)</f>
        <v>#N/A</v>
      </c>
      <c r="G93" s="36">
        <f>IFERROR(Tabela_Base_Financeiro[[#This Row],[PO No,]],0)</f>
        <v>0</v>
      </c>
      <c r="H93" s="36">
        <f>IFERROR(Tabela_Base_Financeiro[[#This Row],[Line No,]],0)</f>
        <v>0</v>
      </c>
      <c r="I93" s="36" t="str">
        <f>IFERROR(MID(Tabela_Base_Financeiro[[#This Row],[Manufacturer]],19,14),"")</f>
        <v/>
      </c>
      <c r="J93" s="113">
        <f>IFERROR(Tabela_Base_Financeiro[[#This Row],[Item code]],0)</f>
        <v>0</v>
      </c>
      <c r="K93" s="293">
        <f>IFERROR(Tabela_Base_Financeiro[[#This Row],[Unit Price]],0)</f>
        <v>0</v>
      </c>
      <c r="L93" s="36">
        <f>IFERROR(Tabela_Base_Financeiro[[#This Row],[AC Qty,]],0)</f>
        <v>0</v>
      </c>
      <c r="M93" s="60">
        <f>Tabela6[[#This Row],[Qty]]*Tabela6[[#This Row],[Preço]]</f>
        <v>0</v>
      </c>
      <c r="N93" s="37">
        <f>IFERROR(Tabela_Base_Financeiro[[#This Row],[Proportion]],0)</f>
        <v>0</v>
      </c>
      <c r="O93" s="60">
        <f>Tabela6[[#This Row],[Proporção]]*Tabela6[[#This Row],[Total]]</f>
        <v>0</v>
      </c>
      <c r="P93" s="57"/>
      <c r="Q93" s="55"/>
      <c r="R93" s="58"/>
      <c r="S93" s="61"/>
    </row>
    <row r="94" spans="1:19">
      <c r="A94" s="122" t="e">
        <f>IF(VLOOKUP(Tabela6[[#This Row],[UF]],'BASE CC'!B:C,2,0)="SP",IF(Tabela6[[#This Row],[OPERADORA]]="TIM","SP TIM","SPI"),VLOOKUP(Tabela6[[#This Row],[UF]],'BASE CC'!B:C,2,0))</f>
        <v>#N/A</v>
      </c>
      <c r="B94" s="36" t="e">
        <f>VLOOKUP(Tabela_Base_Financeiro[[#This Row],[Item code]],'COD.FAT'!B:C,2,0)</f>
        <v>#N/A</v>
      </c>
      <c r="C94" s="292">
        <f>Tabela_Base_Financeiro[[#This Row],[PO Ship TO]]</f>
        <v>0</v>
      </c>
      <c r="D94" s="36" t="str">
        <f>RIGHT(Tabela_Base_Financeiro[[#This Row],[Manufacturer]],2)</f>
        <v/>
      </c>
      <c r="E9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4" s="122" t="e">
        <f>VLOOKUP(Tabela_Base_Financeiro[[#This Row],[Project Code]],'COD. PROJETOS'!B:D,3,0)</f>
        <v>#N/A</v>
      </c>
      <c r="G94" s="36">
        <f>IFERROR(Tabela_Base_Financeiro[[#This Row],[PO No,]],0)</f>
        <v>0</v>
      </c>
      <c r="H94" s="36">
        <f>IFERROR(Tabela_Base_Financeiro[[#This Row],[Line No,]],0)</f>
        <v>0</v>
      </c>
      <c r="I94" s="36" t="str">
        <f>IFERROR(MID(Tabela_Base_Financeiro[[#This Row],[Manufacturer]],19,14),"")</f>
        <v/>
      </c>
      <c r="J94" s="113">
        <f>IFERROR(Tabela_Base_Financeiro[[#This Row],[Item code]],0)</f>
        <v>0</v>
      </c>
      <c r="K94" s="293">
        <f>IFERROR(Tabela_Base_Financeiro[[#This Row],[Unit Price]],0)</f>
        <v>0</v>
      </c>
      <c r="L94" s="36">
        <f>IFERROR(Tabela_Base_Financeiro[[#This Row],[AC Qty,]],0)</f>
        <v>0</v>
      </c>
      <c r="M94" s="60">
        <f>Tabela6[[#This Row],[Qty]]*Tabela6[[#This Row],[Preço]]</f>
        <v>0</v>
      </c>
      <c r="N94" s="37">
        <f>IFERROR(Tabela_Base_Financeiro[[#This Row],[Proportion]],0)</f>
        <v>0</v>
      </c>
      <c r="O94" s="60">
        <f>Tabela6[[#This Row],[Proporção]]*Tabela6[[#This Row],[Total]]</f>
        <v>0</v>
      </c>
      <c r="P94" s="57"/>
      <c r="Q94" s="55"/>
      <c r="R94" s="58"/>
      <c r="S94" s="61"/>
    </row>
    <row r="95" spans="1:19">
      <c r="A95" s="122" t="e">
        <f>IF(VLOOKUP(Tabela6[[#This Row],[UF]],'BASE CC'!B:C,2,0)="SP",IF(Tabela6[[#This Row],[OPERADORA]]="TIM","SP TIM","SPI"),VLOOKUP(Tabela6[[#This Row],[UF]],'BASE CC'!B:C,2,0))</f>
        <v>#N/A</v>
      </c>
      <c r="B95" s="36" t="e">
        <f>VLOOKUP(Tabela_Base_Financeiro[[#This Row],[Item code]],'COD.FAT'!B:C,2,0)</f>
        <v>#N/A</v>
      </c>
      <c r="C95" s="292">
        <f>Tabela_Base_Financeiro[[#This Row],[PO Ship TO]]</f>
        <v>0</v>
      </c>
      <c r="D95" s="36" t="str">
        <f>RIGHT(Tabela_Base_Financeiro[[#This Row],[Manufacturer]],2)</f>
        <v/>
      </c>
      <c r="E9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5" s="122" t="e">
        <f>VLOOKUP(Tabela_Base_Financeiro[[#This Row],[Project Code]],'COD. PROJETOS'!B:D,3,0)</f>
        <v>#N/A</v>
      </c>
      <c r="G95" s="36">
        <f>IFERROR(Tabela_Base_Financeiro[[#This Row],[PO No,]],0)</f>
        <v>0</v>
      </c>
      <c r="H95" s="36">
        <f>IFERROR(Tabela_Base_Financeiro[[#This Row],[Line No,]],0)</f>
        <v>0</v>
      </c>
      <c r="I95" s="36" t="str">
        <f>IFERROR(MID(Tabela_Base_Financeiro[[#This Row],[Manufacturer]],19,14),"")</f>
        <v/>
      </c>
      <c r="J95" s="113">
        <f>IFERROR(Tabela_Base_Financeiro[[#This Row],[Item code]],0)</f>
        <v>0</v>
      </c>
      <c r="K95" s="293">
        <f>IFERROR(Tabela_Base_Financeiro[[#This Row],[Unit Price]],0)</f>
        <v>0</v>
      </c>
      <c r="L95" s="36">
        <f>IFERROR(Tabela_Base_Financeiro[[#This Row],[AC Qty,]],0)</f>
        <v>0</v>
      </c>
      <c r="M95" s="60">
        <f>Tabela6[[#This Row],[Qty]]*Tabela6[[#This Row],[Preço]]</f>
        <v>0</v>
      </c>
      <c r="N95" s="37">
        <f>IFERROR(Tabela_Base_Financeiro[[#This Row],[Proportion]],0)</f>
        <v>0</v>
      </c>
      <c r="O95" s="60">
        <f>Tabela6[[#This Row],[Proporção]]*Tabela6[[#This Row],[Total]]</f>
        <v>0</v>
      </c>
      <c r="P95" s="57"/>
      <c r="Q95" s="55"/>
      <c r="R95" s="58"/>
      <c r="S95" s="61"/>
    </row>
    <row r="96" spans="1:19">
      <c r="A96" s="122" t="e">
        <f>IF(VLOOKUP(Tabela6[[#This Row],[UF]],'BASE CC'!B:C,2,0)="SP",IF(Tabela6[[#This Row],[OPERADORA]]="TIM","SP TIM","SPI"),VLOOKUP(Tabela6[[#This Row],[UF]],'BASE CC'!B:C,2,0))</f>
        <v>#N/A</v>
      </c>
      <c r="B96" s="36" t="e">
        <f>VLOOKUP(Tabela_Base_Financeiro[[#This Row],[Item code]],'COD.FAT'!B:C,2,0)</f>
        <v>#N/A</v>
      </c>
      <c r="C96" s="292">
        <f>Tabela_Base_Financeiro[[#This Row],[PO Ship TO]]</f>
        <v>0</v>
      </c>
      <c r="D96" s="36" t="str">
        <f>RIGHT(Tabela_Base_Financeiro[[#This Row],[Manufacturer]],2)</f>
        <v/>
      </c>
      <c r="E9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6" s="122" t="e">
        <f>VLOOKUP(Tabela_Base_Financeiro[[#This Row],[Project Code]],'COD. PROJETOS'!B:D,3,0)</f>
        <v>#N/A</v>
      </c>
      <c r="G96" s="36">
        <f>IFERROR(Tabela_Base_Financeiro[[#This Row],[PO No,]],0)</f>
        <v>0</v>
      </c>
      <c r="H96" s="36">
        <f>IFERROR(Tabela_Base_Financeiro[[#This Row],[Line No,]],0)</f>
        <v>0</v>
      </c>
      <c r="I96" s="36" t="str">
        <f>IFERROR(MID(Tabela_Base_Financeiro[[#This Row],[Manufacturer]],19,14),"")</f>
        <v/>
      </c>
      <c r="J96" s="113">
        <f>IFERROR(Tabela_Base_Financeiro[[#This Row],[Item code]],0)</f>
        <v>0</v>
      </c>
      <c r="K96" s="293">
        <f>IFERROR(Tabela_Base_Financeiro[[#This Row],[Unit Price]],0)</f>
        <v>0</v>
      </c>
      <c r="L96" s="36">
        <f>IFERROR(Tabela_Base_Financeiro[[#This Row],[AC Qty,]],0)</f>
        <v>0</v>
      </c>
      <c r="M96" s="60">
        <f>Tabela6[[#This Row],[Qty]]*Tabela6[[#This Row],[Preço]]</f>
        <v>0</v>
      </c>
      <c r="N96" s="37">
        <f>IFERROR(Tabela_Base_Financeiro[[#This Row],[Proportion]],0)</f>
        <v>0</v>
      </c>
      <c r="O96" s="60">
        <f>Tabela6[[#This Row],[Proporção]]*Tabela6[[#This Row],[Total]]</f>
        <v>0</v>
      </c>
      <c r="P96" s="57"/>
      <c r="Q96" s="55"/>
      <c r="R96" s="58"/>
      <c r="S96" s="61"/>
    </row>
    <row r="97" spans="1:19">
      <c r="A97" s="122" t="e">
        <f>IF(VLOOKUP(Tabela6[[#This Row],[UF]],'BASE CC'!B:C,2,0)="SP",IF(Tabela6[[#This Row],[OPERADORA]]="TIM","SP TIM","SPI"),VLOOKUP(Tabela6[[#This Row],[UF]],'BASE CC'!B:C,2,0))</f>
        <v>#N/A</v>
      </c>
      <c r="B97" s="36" t="e">
        <f>VLOOKUP(Tabela_Base_Financeiro[[#This Row],[Item code]],'COD.FAT'!B:C,2,0)</f>
        <v>#N/A</v>
      </c>
      <c r="C97" s="292">
        <f>Tabela_Base_Financeiro[[#This Row],[PO Ship TO]]</f>
        <v>0</v>
      </c>
      <c r="D97" s="36" t="str">
        <f>RIGHT(Tabela_Base_Financeiro[[#This Row],[Manufacturer]],2)</f>
        <v/>
      </c>
      <c r="E9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7" s="122" t="e">
        <f>VLOOKUP(Tabela_Base_Financeiro[[#This Row],[Project Code]],'COD. PROJETOS'!B:D,3,0)</f>
        <v>#N/A</v>
      </c>
      <c r="G97" s="296">
        <f>IFERROR(Tabela_Base_Financeiro[[#This Row],[PO No,]],0)</f>
        <v>0</v>
      </c>
      <c r="H97" s="36">
        <f>IFERROR(Tabela_Base_Financeiro[[#This Row],[Line No,]],0)</f>
        <v>0</v>
      </c>
      <c r="I97" s="36" t="str">
        <f>IFERROR(MID(Tabela_Base_Financeiro[[#This Row],[Manufacturer]],19,14),"")</f>
        <v/>
      </c>
      <c r="J97" s="113">
        <f>IFERROR(Tabela_Base_Financeiro[[#This Row],[Item code]],0)</f>
        <v>0</v>
      </c>
      <c r="K97" s="293">
        <f>IFERROR(Tabela_Base_Financeiro[[#This Row],[Unit Price]],0)</f>
        <v>0</v>
      </c>
      <c r="L97" s="36">
        <f>IFERROR(Tabela_Base_Financeiro[[#This Row],[AC Qty,]],0)</f>
        <v>0</v>
      </c>
      <c r="M97" s="60">
        <f>Tabela6[[#This Row],[Qty]]*Tabela6[[#This Row],[Preço]]</f>
        <v>0</v>
      </c>
      <c r="N97" s="37">
        <f>IFERROR(Tabela_Base_Financeiro[[#This Row],[Proportion]],0)</f>
        <v>0</v>
      </c>
      <c r="O97" s="60">
        <f>Tabela6[[#This Row],[Proporção]]*Tabela6[[#This Row],[Total]]</f>
        <v>0</v>
      </c>
      <c r="P97" s="57"/>
      <c r="Q97" s="55"/>
      <c r="R97" s="58"/>
      <c r="S97" s="61"/>
    </row>
    <row r="98" spans="1:19">
      <c r="A98" s="122" t="e">
        <f>IF(VLOOKUP(Tabela6[[#This Row],[UF]],'BASE CC'!B:C,2,0)="SP",IF(Tabela6[[#This Row],[OPERADORA]]="TIM","SP TIM","SPI"),VLOOKUP(Tabela6[[#This Row],[UF]],'BASE CC'!B:C,2,0))</f>
        <v>#N/A</v>
      </c>
      <c r="B98" s="36" t="e">
        <f>VLOOKUP(Tabela_Base_Financeiro[[#This Row],[Item code]],'COD.FAT'!B:C,2,0)</f>
        <v>#N/A</v>
      </c>
      <c r="C98" s="292">
        <f>Tabela_Base_Financeiro[[#This Row],[PO Ship TO]]</f>
        <v>0</v>
      </c>
      <c r="D98" s="36" t="str">
        <f>RIGHT(Tabela_Base_Financeiro[[#This Row],[Manufacturer]],2)</f>
        <v/>
      </c>
      <c r="E9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8" s="122" t="e">
        <f>VLOOKUP(Tabela_Base_Financeiro[[#This Row],[Project Code]],'COD. PROJETOS'!B:D,3,0)</f>
        <v>#N/A</v>
      </c>
      <c r="G98" s="36">
        <f>IFERROR(Tabela_Base_Financeiro[[#This Row],[PO No,]],0)</f>
        <v>0</v>
      </c>
      <c r="H98" s="36">
        <f>IFERROR(Tabela_Base_Financeiro[[#This Row],[Line No,]],0)</f>
        <v>0</v>
      </c>
      <c r="I98" s="36" t="str">
        <f>IFERROR(MID(Tabela_Base_Financeiro[[#This Row],[Manufacturer]],19,14),"")</f>
        <v/>
      </c>
      <c r="J98" s="113">
        <f>IFERROR(Tabela_Base_Financeiro[[#This Row],[Item code]],0)</f>
        <v>0</v>
      </c>
      <c r="K98" s="293">
        <f>IFERROR(Tabela_Base_Financeiro[[#This Row],[Unit Price]],0)</f>
        <v>0</v>
      </c>
      <c r="L98" s="36">
        <f>IFERROR(Tabela_Base_Financeiro[[#This Row],[AC Qty,]],0)</f>
        <v>0</v>
      </c>
      <c r="M98" s="60">
        <f>Tabela6[[#This Row],[Qty]]*Tabela6[[#This Row],[Preço]]</f>
        <v>0</v>
      </c>
      <c r="N98" s="37">
        <f>IFERROR(Tabela_Base_Financeiro[[#This Row],[Proportion]],0)</f>
        <v>0</v>
      </c>
      <c r="O98" s="60">
        <f>Tabela6[[#This Row],[Proporção]]*Tabela6[[#This Row],[Total]]</f>
        <v>0</v>
      </c>
      <c r="P98" s="57"/>
      <c r="Q98" s="55"/>
      <c r="R98" s="58"/>
      <c r="S98" s="61"/>
    </row>
    <row r="99" spans="1:19">
      <c r="A99" s="122" t="e">
        <f>IF(VLOOKUP(Tabela6[[#This Row],[UF]],'BASE CC'!B:C,2,0)="SP",IF(Tabela6[[#This Row],[OPERADORA]]="TIM","SP TIM","SPI"),VLOOKUP(Tabela6[[#This Row],[UF]],'BASE CC'!B:C,2,0))</f>
        <v>#N/A</v>
      </c>
      <c r="B99" s="36" t="e">
        <f>VLOOKUP(Tabela_Base_Financeiro[[#This Row],[Item code]],'COD.FAT'!B:C,2,0)</f>
        <v>#N/A</v>
      </c>
      <c r="C99" s="292">
        <f>Tabela_Base_Financeiro[[#This Row],[PO Ship TO]]</f>
        <v>0</v>
      </c>
      <c r="D99" s="36" t="str">
        <f>RIGHT(Tabela_Base_Financeiro[[#This Row],[Manufacturer]],2)</f>
        <v/>
      </c>
      <c r="E9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9" s="122" t="e">
        <f>VLOOKUP(Tabela_Base_Financeiro[[#This Row],[Project Code]],'COD. PROJETOS'!B:D,3,0)</f>
        <v>#N/A</v>
      </c>
      <c r="G99" s="36">
        <f>IFERROR(Tabela_Base_Financeiro[[#This Row],[PO No,]],0)</f>
        <v>0</v>
      </c>
      <c r="H99" s="36">
        <f>IFERROR(Tabela_Base_Financeiro[[#This Row],[Line No,]],0)</f>
        <v>0</v>
      </c>
      <c r="I99" s="36" t="str">
        <f>IFERROR(MID(Tabela_Base_Financeiro[[#This Row],[Manufacturer]],19,14),"")</f>
        <v/>
      </c>
      <c r="J99" s="113">
        <f>IFERROR(Tabela_Base_Financeiro[[#This Row],[Item code]],0)</f>
        <v>0</v>
      </c>
      <c r="K99" s="293">
        <f>IFERROR(Tabela_Base_Financeiro[[#This Row],[Unit Price]],0)</f>
        <v>0</v>
      </c>
      <c r="L99" s="36">
        <f>IFERROR(Tabela_Base_Financeiro[[#This Row],[AC Qty,]],0)</f>
        <v>0</v>
      </c>
      <c r="M99" s="60">
        <f>Tabela6[[#This Row],[Qty]]*Tabela6[[#This Row],[Preço]]</f>
        <v>0</v>
      </c>
      <c r="N99" s="37">
        <f>IFERROR(Tabela_Base_Financeiro[[#This Row],[Proportion]],0)</f>
        <v>0</v>
      </c>
      <c r="O99" s="60">
        <f>Tabela6[[#This Row],[Proporção]]*Tabela6[[#This Row],[Total]]</f>
        <v>0</v>
      </c>
      <c r="P99" s="57"/>
      <c r="Q99" s="55"/>
      <c r="R99" s="58"/>
      <c r="S99" s="61"/>
    </row>
    <row r="100" spans="1:19">
      <c r="A100" s="122" t="e">
        <f>IF(VLOOKUP(Tabela6[[#This Row],[UF]],'BASE CC'!B:C,2,0)="SP",IF(Tabela6[[#This Row],[OPERADORA]]="TIM","SP TIM","SPI"),VLOOKUP(Tabela6[[#This Row],[UF]],'BASE CC'!B:C,2,0))</f>
        <v>#N/A</v>
      </c>
      <c r="B100" s="36" t="e">
        <f>VLOOKUP(Tabela_Base_Financeiro[[#This Row],[Item code]],'COD.FAT'!B:C,2,0)</f>
        <v>#N/A</v>
      </c>
      <c r="C100" s="292">
        <f>Tabela_Base_Financeiro[[#This Row],[PO Ship TO]]</f>
        <v>0</v>
      </c>
      <c r="D100" s="36" t="str">
        <f>RIGHT(Tabela_Base_Financeiro[[#This Row],[Manufacturer]],2)</f>
        <v/>
      </c>
      <c r="E10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0" s="122" t="e">
        <f>VLOOKUP(Tabela_Base_Financeiro[[#This Row],[Project Code]],'COD. PROJETOS'!B:D,3,0)</f>
        <v>#N/A</v>
      </c>
      <c r="G100" s="36">
        <f>IFERROR(Tabela_Base_Financeiro[[#This Row],[PO No,]],0)</f>
        <v>0</v>
      </c>
      <c r="H100" s="36">
        <f>IFERROR(Tabela_Base_Financeiro[[#This Row],[Line No,]],0)</f>
        <v>0</v>
      </c>
      <c r="I100" s="36" t="str">
        <f>IFERROR(MID(Tabela_Base_Financeiro[[#This Row],[Manufacturer]],19,14),"")</f>
        <v/>
      </c>
      <c r="J100" s="113">
        <f>IFERROR(Tabela_Base_Financeiro[[#This Row],[Item code]],0)</f>
        <v>0</v>
      </c>
      <c r="K100" s="293">
        <f>IFERROR(Tabela_Base_Financeiro[[#This Row],[Unit Price]],0)</f>
        <v>0</v>
      </c>
      <c r="L100" s="36">
        <f>IFERROR(Tabela_Base_Financeiro[[#This Row],[AC Qty,]],0)</f>
        <v>0</v>
      </c>
      <c r="M100" s="60">
        <f>Tabela6[[#This Row],[Qty]]*Tabela6[[#This Row],[Preço]]</f>
        <v>0</v>
      </c>
      <c r="N100" s="37">
        <f>IFERROR(Tabela_Base_Financeiro[[#This Row],[Proportion]],0)</f>
        <v>0</v>
      </c>
      <c r="O100" s="60">
        <f>Tabela6[[#This Row],[Proporção]]*Tabela6[[#This Row],[Total]]</f>
        <v>0</v>
      </c>
      <c r="P100" s="57"/>
      <c r="Q100" s="55"/>
      <c r="R100" s="58"/>
      <c r="S100" s="61"/>
    </row>
    <row r="101" spans="1:19">
      <c r="A101" s="122" t="e">
        <f>IF(VLOOKUP(Tabela6[[#This Row],[UF]],'BASE CC'!B:C,2,0)="SP",IF(Tabela6[[#This Row],[OPERADORA]]="TIM","SP TIM","SPI"),VLOOKUP(Tabela6[[#This Row],[UF]],'BASE CC'!B:C,2,0))</f>
        <v>#N/A</v>
      </c>
      <c r="B101" s="36" t="e">
        <f>VLOOKUP(Tabela_Base_Financeiro[[#This Row],[Item code]],'COD.FAT'!B:C,2,0)</f>
        <v>#N/A</v>
      </c>
      <c r="C101" s="292">
        <f>Tabela_Base_Financeiro[[#This Row],[PO Ship TO]]</f>
        <v>0</v>
      </c>
      <c r="D101" s="36" t="str">
        <f>RIGHT(Tabela_Base_Financeiro[[#This Row],[Manufacturer]],2)</f>
        <v/>
      </c>
      <c r="E10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1" s="122" t="e">
        <f>VLOOKUP(Tabela_Base_Financeiro[[#This Row],[Project Code]],'COD. PROJETOS'!B:D,3,0)</f>
        <v>#N/A</v>
      </c>
      <c r="G101" s="36">
        <f>IFERROR(Tabela_Base_Financeiro[[#This Row],[PO No,]],0)</f>
        <v>0</v>
      </c>
      <c r="H101" s="36">
        <f>IFERROR(Tabela_Base_Financeiro[[#This Row],[Line No,]],0)</f>
        <v>0</v>
      </c>
      <c r="I101" s="36" t="str">
        <f>IFERROR(MID(Tabela_Base_Financeiro[[#This Row],[Manufacturer]],19,14),"")</f>
        <v/>
      </c>
      <c r="J101" s="113">
        <f>IFERROR(Tabela_Base_Financeiro[[#This Row],[Item code]],0)</f>
        <v>0</v>
      </c>
      <c r="K101" s="293">
        <f>IFERROR(Tabela_Base_Financeiro[[#This Row],[Unit Price]],0)</f>
        <v>0</v>
      </c>
      <c r="L101" s="36">
        <f>IFERROR(Tabela_Base_Financeiro[[#This Row],[AC Qty,]],0)</f>
        <v>0</v>
      </c>
      <c r="M101" s="60">
        <f>Tabela6[[#This Row],[Qty]]*Tabela6[[#This Row],[Preço]]</f>
        <v>0</v>
      </c>
      <c r="N101" s="37">
        <f>IFERROR(Tabela_Base_Financeiro[[#This Row],[Proportion]],0)</f>
        <v>0</v>
      </c>
      <c r="O101" s="60">
        <f>Tabela6[[#This Row],[Proporção]]*Tabela6[[#This Row],[Total]]</f>
        <v>0</v>
      </c>
      <c r="P101" s="57"/>
      <c r="Q101" s="55"/>
      <c r="R101" s="58"/>
      <c r="S101" s="61"/>
    </row>
    <row r="102" spans="1:19">
      <c r="A102" s="122" t="e">
        <f>IF(VLOOKUP(Tabela6[[#This Row],[UF]],'BASE CC'!B:C,2,0)="SP",IF(Tabela6[[#This Row],[OPERADORA]]="TIM","SP TIM","SPI"),VLOOKUP(Tabela6[[#This Row],[UF]],'BASE CC'!B:C,2,0))</f>
        <v>#N/A</v>
      </c>
      <c r="B102" s="36" t="e">
        <f>VLOOKUP(Tabela_Base_Financeiro[[#This Row],[Item code]],'COD.FAT'!B:C,2,0)</f>
        <v>#N/A</v>
      </c>
      <c r="C102" s="292">
        <f>Tabela_Base_Financeiro[[#This Row],[PO Ship TO]]</f>
        <v>0</v>
      </c>
      <c r="D102" s="36" t="str">
        <f>RIGHT(Tabela_Base_Financeiro[[#This Row],[Manufacturer]],2)</f>
        <v/>
      </c>
      <c r="E10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2" s="122" t="e">
        <f>VLOOKUP(Tabela_Base_Financeiro[[#This Row],[Project Code]],'COD. PROJETOS'!B:D,3,0)</f>
        <v>#N/A</v>
      </c>
      <c r="G102" s="36">
        <f>IFERROR(Tabela_Base_Financeiro[[#This Row],[PO No,]],0)</f>
        <v>0</v>
      </c>
      <c r="H102" s="36">
        <f>IFERROR(Tabela_Base_Financeiro[[#This Row],[Line No,]],0)</f>
        <v>0</v>
      </c>
      <c r="I102" s="36" t="str">
        <f>IFERROR(MID(Tabela_Base_Financeiro[[#This Row],[Manufacturer]],19,14),"")</f>
        <v/>
      </c>
      <c r="J102" s="113">
        <f>IFERROR(Tabela_Base_Financeiro[[#This Row],[Item code]],0)</f>
        <v>0</v>
      </c>
      <c r="K102" s="293">
        <f>IFERROR(Tabela_Base_Financeiro[[#This Row],[Unit Price]],0)</f>
        <v>0</v>
      </c>
      <c r="L102" s="36">
        <f>IFERROR(Tabela_Base_Financeiro[[#This Row],[AC Qty,]],0)</f>
        <v>0</v>
      </c>
      <c r="M102" s="60">
        <f>Tabela6[[#This Row],[Qty]]*Tabela6[[#This Row],[Preço]]</f>
        <v>0</v>
      </c>
      <c r="N102" s="37">
        <f>IFERROR(Tabela_Base_Financeiro[[#This Row],[Proportion]],0)</f>
        <v>0</v>
      </c>
      <c r="O102" s="60">
        <f>Tabela6[[#This Row],[Proporção]]*Tabela6[[#This Row],[Total]]</f>
        <v>0</v>
      </c>
      <c r="P102" s="57"/>
      <c r="Q102" s="55"/>
      <c r="R102" s="58"/>
      <c r="S102" s="61"/>
    </row>
    <row r="103" spans="1:19">
      <c r="A103" s="122" t="e">
        <f>IF(VLOOKUP(Tabela6[[#This Row],[UF]],'BASE CC'!B:C,2,0)="SP",IF(Tabela6[[#This Row],[OPERADORA]]="TIM","SP TIM","SPI"),VLOOKUP(Tabela6[[#This Row],[UF]],'BASE CC'!B:C,2,0))</f>
        <v>#N/A</v>
      </c>
      <c r="B103" s="36" t="e">
        <f>VLOOKUP(Tabela_Base_Financeiro[[#This Row],[Item code]],'COD.FAT'!B:C,2,0)</f>
        <v>#N/A</v>
      </c>
      <c r="C103" s="292">
        <f>Tabela_Base_Financeiro[[#This Row],[PO Ship TO]]</f>
        <v>0</v>
      </c>
      <c r="D103" s="36" t="str">
        <f>RIGHT(Tabela_Base_Financeiro[[#This Row],[Manufacturer]],2)</f>
        <v/>
      </c>
      <c r="E10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3" s="122" t="e">
        <f>VLOOKUP(Tabela_Base_Financeiro[[#This Row],[Project Code]],'COD. PROJETOS'!B:D,3,0)</f>
        <v>#N/A</v>
      </c>
      <c r="G103" s="36">
        <f>IFERROR(Tabela_Base_Financeiro[[#This Row],[PO No,]],0)</f>
        <v>0</v>
      </c>
      <c r="H103" s="36">
        <f>IFERROR(Tabela_Base_Financeiro[[#This Row],[Line No,]],0)</f>
        <v>0</v>
      </c>
      <c r="I103" s="36" t="str">
        <f>IFERROR(MID(Tabela_Base_Financeiro[[#This Row],[Manufacturer]],19,14),"")</f>
        <v/>
      </c>
      <c r="J103" s="113">
        <f>IFERROR(Tabela_Base_Financeiro[[#This Row],[Item code]],0)</f>
        <v>0</v>
      </c>
      <c r="K103" s="293">
        <f>IFERROR(Tabela_Base_Financeiro[[#This Row],[Unit Price]],0)</f>
        <v>0</v>
      </c>
      <c r="L103" s="36">
        <f>IFERROR(Tabela_Base_Financeiro[[#This Row],[AC Qty,]],0)</f>
        <v>0</v>
      </c>
      <c r="M103" s="60">
        <f>Tabela6[[#This Row],[Qty]]*Tabela6[[#This Row],[Preço]]</f>
        <v>0</v>
      </c>
      <c r="N103" s="37">
        <f>IFERROR(Tabela_Base_Financeiro[[#This Row],[Proportion]],0)</f>
        <v>0</v>
      </c>
      <c r="O103" s="60">
        <f>Tabela6[[#This Row],[Proporção]]*Tabela6[[#This Row],[Total]]</f>
        <v>0</v>
      </c>
      <c r="P103" s="57"/>
      <c r="Q103" s="55"/>
      <c r="R103" s="58"/>
      <c r="S103" s="61"/>
    </row>
    <row r="104" spans="1:19">
      <c r="A104" s="122" t="e">
        <f>IF(VLOOKUP(Tabela6[[#This Row],[UF]],'BASE CC'!B:C,2,0)="SP",IF(Tabela6[[#This Row],[OPERADORA]]="TIM","SP TIM","SPI"),VLOOKUP(Tabela6[[#This Row],[UF]],'BASE CC'!B:C,2,0))</f>
        <v>#N/A</v>
      </c>
      <c r="B104" s="36" t="e">
        <f>VLOOKUP(Tabela_Base_Financeiro[[#This Row],[Item code]],'COD.FAT'!B:C,2,0)</f>
        <v>#N/A</v>
      </c>
      <c r="C104" s="292">
        <f>Tabela_Base_Financeiro[[#This Row],[PO Ship TO]]</f>
        <v>0</v>
      </c>
      <c r="D104" s="36" t="str">
        <f>RIGHT(Tabela_Base_Financeiro[[#This Row],[Manufacturer]],2)</f>
        <v/>
      </c>
      <c r="E10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4" s="122" t="e">
        <f>VLOOKUP(Tabela_Base_Financeiro[[#This Row],[Project Code]],'COD. PROJETOS'!B:D,3,0)</f>
        <v>#N/A</v>
      </c>
      <c r="G104" s="36">
        <f>IFERROR(Tabela_Base_Financeiro[[#This Row],[PO No,]],0)</f>
        <v>0</v>
      </c>
      <c r="H104" s="36">
        <f>IFERROR(Tabela_Base_Financeiro[[#This Row],[Line No,]],0)</f>
        <v>0</v>
      </c>
      <c r="I104" s="36" t="str">
        <f>IFERROR(MID(Tabela_Base_Financeiro[[#This Row],[Manufacturer]],19,14),"")</f>
        <v/>
      </c>
      <c r="J104" s="113">
        <f>IFERROR(Tabela_Base_Financeiro[[#This Row],[Item code]],0)</f>
        <v>0</v>
      </c>
      <c r="K104" s="293">
        <f>IFERROR(Tabela_Base_Financeiro[[#This Row],[Unit Price]],0)</f>
        <v>0</v>
      </c>
      <c r="L104" s="36">
        <f>IFERROR(Tabela_Base_Financeiro[[#This Row],[AC Qty,]],0)</f>
        <v>0</v>
      </c>
      <c r="M104" s="60">
        <f>Tabela6[[#This Row],[Qty]]*Tabela6[[#This Row],[Preço]]</f>
        <v>0</v>
      </c>
      <c r="N104" s="37">
        <f>IFERROR(Tabela_Base_Financeiro[[#This Row],[Proportion]],0)</f>
        <v>0</v>
      </c>
      <c r="O104" s="60">
        <f>Tabela6[[#This Row],[Proporção]]*Tabela6[[#This Row],[Total]]</f>
        <v>0</v>
      </c>
      <c r="P104" s="57"/>
      <c r="Q104" s="55"/>
      <c r="R104" s="58"/>
      <c r="S104" s="61"/>
    </row>
    <row r="105" spans="1:19">
      <c r="A105" s="122" t="e">
        <f>IF(VLOOKUP(Tabela6[[#This Row],[UF]],'BASE CC'!B:C,2,0)="SP",IF(Tabela6[[#This Row],[OPERADORA]]="TIM","SP TIM","SPI"),VLOOKUP(Tabela6[[#This Row],[UF]],'BASE CC'!B:C,2,0))</f>
        <v>#N/A</v>
      </c>
      <c r="B105" s="36" t="e">
        <f>VLOOKUP(Tabela_Base_Financeiro[[#This Row],[Item code]],'COD.FAT'!B:C,2,0)</f>
        <v>#N/A</v>
      </c>
      <c r="C105" s="292">
        <f>Tabela_Base_Financeiro[[#This Row],[PO Ship TO]]</f>
        <v>0</v>
      </c>
      <c r="D105" s="36" t="str">
        <f>RIGHT(Tabela_Base_Financeiro[[#This Row],[Manufacturer]],2)</f>
        <v/>
      </c>
      <c r="E10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5" s="122" t="e">
        <f>VLOOKUP(Tabela_Base_Financeiro[[#This Row],[Project Code]],'COD. PROJETOS'!B:D,3,0)</f>
        <v>#N/A</v>
      </c>
      <c r="G105" s="36">
        <f>IFERROR(Tabela_Base_Financeiro[[#This Row],[PO No,]],0)</f>
        <v>0</v>
      </c>
      <c r="H105" s="36">
        <f>IFERROR(Tabela_Base_Financeiro[[#This Row],[Line No,]],0)</f>
        <v>0</v>
      </c>
      <c r="I105" s="36" t="str">
        <f>IFERROR(MID(Tabela_Base_Financeiro[[#This Row],[Manufacturer]],19,14),"")</f>
        <v/>
      </c>
      <c r="J105" s="113">
        <f>IFERROR(Tabela_Base_Financeiro[[#This Row],[Item code]],0)</f>
        <v>0</v>
      </c>
      <c r="K105" s="293">
        <f>IFERROR(Tabela_Base_Financeiro[[#This Row],[Unit Price]],0)</f>
        <v>0</v>
      </c>
      <c r="L105" s="36">
        <f>IFERROR(Tabela_Base_Financeiro[[#This Row],[AC Qty,]],0)</f>
        <v>0</v>
      </c>
      <c r="M105" s="60">
        <f>Tabela6[[#This Row],[Qty]]*Tabela6[[#This Row],[Preço]]</f>
        <v>0</v>
      </c>
      <c r="N105" s="37">
        <f>IFERROR(Tabela_Base_Financeiro[[#This Row],[Proportion]],0)</f>
        <v>0</v>
      </c>
      <c r="O105" s="60">
        <f>Tabela6[[#This Row],[Proporção]]*Tabela6[[#This Row],[Total]]</f>
        <v>0</v>
      </c>
      <c r="P105" s="57"/>
      <c r="Q105" s="55"/>
      <c r="R105" s="58"/>
      <c r="S105" s="61"/>
    </row>
    <row r="106" spans="1:19">
      <c r="A106" s="122" t="e">
        <f>IF(VLOOKUP(Tabela6[[#This Row],[UF]],'BASE CC'!B:C,2,0)="SP",IF(Tabela6[[#This Row],[OPERADORA]]="TIM","SP TIM","SPI"),VLOOKUP(Tabela6[[#This Row],[UF]],'BASE CC'!B:C,2,0))</f>
        <v>#N/A</v>
      </c>
      <c r="B106" s="36" t="e">
        <f>VLOOKUP(Tabela_Base_Financeiro[[#This Row],[Item code]],'COD.FAT'!B:C,2,0)</f>
        <v>#N/A</v>
      </c>
      <c r="C106" s="292">
        <f>Tabela_Base_Financeiro[[#This Row],[PO Ship TO]]</f>
        <v>0</v>
      </c>
      <c r="D106" s="36" t="str">
        <f>RIGHT(Tabela_Base_Financeiro[[#This Row],[Manufacturer]],2)</f>
        <v/>
      </c>
      <c r="E10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6" s="122" t="e">
        <f>VLOOKUP(Tabela_Base_Financeiro[[#This Row],[Project Code]],'COD. PROJETOS'!B:D,3,0)</f>
        <v>#N/A</v>
      </c>
      <c r="G106" s="36">
        <f>IFERROR(Tabela_Base_Financeiro[[#This Row],[PO No,]],0)</f>
        <v>0</v>
      </c>
      <c r="H106" s="36">
        <f>IFERROR(Tabela_Base_Financeiro[[#This Row],[Line No,]],0)</f>
        <v>0</v>
      </c>
      <c r="I106" s="36" t="str">
        <f>IFERROR(MID(Tabela_Base_Financeiro[[#This Row],[Manufacturer]],19,14),"")</f>
        <v/>
      </c>
      <c r="J106" s="113">
        <f>IFERROR(Tabela_Base_Financeiro[[#This Row],[Item code]],0)</f>
        <v>0</v>
      </c>
      <c r="K106" s="293">
        <f>IFERROR(Tabela_Base_Financeiro[[#This Row],[Unit Price]],0)</f>
        <v>0</v>
      </c>
      <c r="L106" s="36">
        <f>IFERROR(Tabela_Base_Financeiro[[#This Row],[AC Qty,]],0)</f>
        <v>0</v>
      </c>
      <c r="M106" s="60">
        <f>Tabela6[[#This Row],[Qty]]*Tabela6[[#This Row],[Preço]]</f>
        <v>0</v>
      </c>
      <c r="N106" s="37">
        <f>IFERROR(Tabela_Base_Financeiro[[#This Row],[Proportion]],0)</f>
        <v>0</v>
      </c>
      <c r="O106" s="60">
        <f>Tabela6[[#This Row],[Proporção]]*Tabela6[[#This Row],[Total]]</f>
        <v>0</v>
      </c>
      <c r="P106" s="57"/>
      <c r="Q106" s="55"/>
      <c r="R106" s="58"/>
      <c r="S106" s="61"/>
    </row>
    <row r="107" spans="1:19" ht="15.75" customHeight="1">
      <c r="A107" s="122" t="e">
        <f>IF(VLOOKUP(Tabela6[[#This Row],[UF]],'BASE CC'!B:C,2,0)="SP",IF(Tabela6[[#This Row],[OPERADORA]]="TIM","SP TIM","SPI"),VLOOKUP(Tabela6[[#This Row],[UF]],'BASE CC'!B:C,2,0))</f>
        <v>#N/A</v>
      </c>
      <c r="B107" s="36" t="e">
        <f>VLOOKUP(Tabela_Base_Financeiro[[#This Row],[Item code]],'COD.FAT'!B:C,2,0)</f>
        <v>#N/A</v>
      </c>
      <c r="C107" s="292">
        <f>Tabela_Base_Financeiro[[#This Row],[PO Ship TO]]</f>
        <v>0</v>
      </c>
      <c r="D107" s="36" t="str">
        <f>RIGHT(Tabela_Base_Financeiro[[#This Row],[Manufacturer]],2)</f>
        <v/>
      </c>
      <c r="E10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7" s="122" t="e">
        <f>VLOOKUP(Tabela_Base_Financeiro[[#This Row],[Project Code]],'COD. PROJETOS'!B:D,3,0)</f>
        <v>#N/A</v>
      </c>
      <c r="G107" s="36">
        <f>IFERROR(Tabela_Base_Financeiro[[#This Row],[PO No,]],0)</f>
        <v>0</v>
      </c>
      <c r="H107" s="36">
        <f>IFERROR(Tabela_Base_Financeiro[[#This Row],[Line No,]],0)</f>
        <v>0</v>
      </c>
      <c r="I107" s="36" t="str">
        <f>IFERROR(MID(Tabela_Base_Financeiro[[#This Row],[Manufacturer]],19,14),"")</f>
        <v/>
      </c>
      <c r="J107" s="113">
        <f>IFERROR(Tabela_Base_Financeiro[[#This Row],[Item code]],0)</f>
        <v>0</v>
      </c>
      <c r="K107" s="293">
        <f>IFERROR(Tabela_Base_Financeiro[[#This Row],[Unit Price]],0)</f>
        <v>0</v>
      </c>
      <c r="L107" s="36">
        <f>IFERROR(Tabela_Base_Financeiro[[#This Row],[AC Qty,]],0)</f>
        <v>0</v>
      </c>
      <c r="M107" s="60">
        <f>Tabela6[[#This Row],[Qty]]*Tabela6[[#This Row],[Preço]]</f>
        <v>0</v>
      </c>
      <c r="N107" s="37">
        <f>IFERROR(Tabela_Base_Financeiro[[#This Row],[Proportion]],0)</f>
        <v>0</v>
      </c>
      <c r="O107" s="60">
        <f>Tabela6[[#This Row],[Proporção]]*Tabela6[[#This Row],[Total]]</f>
        <v>0</v>
      </c>
      <c r="P107" s="57"/>
      <c r="Q107" s="55"/>
      <c r="R107" s="58"/>
      <c r="S107" s="61"/>
    </row>
    <row r="108" spans="1:19">
      <c r="A108" s="122" t="e">
        <f>IF(VLOOKUP(Tabela6[[#This Row],[UF]],'BASE CC'!B:C,2,0)="SP",IF(Tabela6[[#This Row],[OPERADORA]]="TIM","SP TIM","SPI"),VLOOKUP(Tabela6[[#This Row],[UF]],'BASE CC'!B:C,2,0))</f>
        <v>#N/A</v>
      </c>
      <c r="B108" s="36" t="e">
        <f>VLOOKUP(Tabela_Base_Financeiro[[#This Row],[Item code]],'COD.FAT'!B:C,2,0)</f>
        <v>#N/A</v>
      </c>
      <c r="C108" s="292">
        <f>Tabela_Base_Financeiro[[#This Row],[PO Ship TO]]</f>
        <v>0</v>
      </c>
      <c r="D108" s="36" t="str">
        <f>RIGHT(Tabela_Base_Financeiro[[#This Row],[Manufacturer]],2)</f>
        <v/>
      </c>
      <c r="E10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8" s="122" t="e">
        <f>VLOOKUP(Tabela_Base_Financeiro[[#This Row],[Project Code]],'COD. PROJETOS'!B:D,3,0)</f>
        <v>#N/A</v>
      </c>
      <c r="G108" s="36">
        <f>IFERROR(Tabela_Base_Financeiro[[#This Row],[PO No,]],0)</f>
        <v>0</v>
      </c>
      <c r="H108" s="36">
        <f>IFERROR(Tabela_Base_Financeiro[[#This Row],[Line No,]],0)</f>
        <v>0</v>
      </c>
      <c r="I108" s="36" t="str">
        <f>IFERROR(MID(Tabela_Base_Financeiro[[#This Row],[Manufacturer]],19,14),"")</f>
        <v/>
      </c>
      <c r="J108" s="113">
        <f>IFERROR(Tabela_Base_Financeiro[[#This Row],[Item code]],0)</f>
        <v>0</v>
      </c>
      <c r="K108" s="293">
        <f>IFERROR(Tabela_Base_Financeiro[[#This Row],[Unit Price]],0)</f>
        <v>0</v>
      </c>
      <c r="L108" s="36">
        <f>IFERROR(Tabela_Base_Financeiro[[#This Row],[AC Qty,]],0)</f>
        <v>0</v>
      </c>
      <c r="M108" s="60">
        <f>Tabela6[[#This Row],[Qty]]*Tabela6[[#This Row],[Preço]]</f>
        <v>0</v>
      </c>
      <c r="N108" s="37">
        <f>IFERROR(Tabela_Base_Financeiro[[#This Row],[Proportion]],0)</f>
        <v>0</v>
      </c>
      <c r="O108" s="60">
        <f>Tabela6[[#This Row],[Proporção]]*Tabela6[[#This Row],[Total]]</f>
        <v>0</v>
      </c>
      <c r="P108" s="57"/>
      <c r="Q108" s="55"/>
      <c r="R108" s="58"/>
      <c r="S108" s="61"/>
    </row>
    <row r="109" spans="1:19">
      <c r="A109" s="122" t="e">
        <f>IF(VLOOKUP(Tabela6[[#This Row],[UF]],'BASE CC'!B:C,2,0)="SP",IF(Tabela6[[#This Row],[OPERADORA]]="TIM","SP TIM","SPI"),VLOOKUP(Tabela6[[#This Row],[UF]],'BASE CC'!B:C,2,0))</f>
        <v>#N/A</v>
      </c>
      <c r="B109" s="36" t="e">
        <f>VLOOKUP(Tabela_Base_Financeiro[[#This Row],[Item code]],'COD.FAT'!B:C,2,0)</f>
        <v>#N/A</v>
      </c>
      <c r="C109" s="292">
        <f>Tabela_Base_Financeiro[[#This Row],[PO Ship TO]]</f>
        <v>0</v>
      </c>
      <c r="D109" s="36" t="str">
        <f>RIGHT(Tabela_Base_Financeiro[[#This Row],[Manufacturer]],2)</f>
        <v/>
      </c>
      <c r="E10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9" s="122" t="e">
        <f>VLOOKUP(Tabela_Base_Financeiro[[#This Row],[Project Code]],'COD. PROJETOS'!B:D,3,0)</f>
        <v>#N/A</v>
      </c>
      <c r="G109" s="36">
        <f>IFERROR(Tabela_Base_Financeiro[[#This Row],[PO No,]],0)</f>
        <v>0</v>
      </c>
      <c r="H109" s="36">
        <f>IFERROR(Tabela_Base_Financeiro[[#This Row],[Line No,]],0)</f>
        <v>0</v>
      </c>
      <c r="I109" s="36" t="str">
        <f>IFERROR(MID(Tabela_Base_Financeiro[[#This Row],[Manufacturer]],19,14),"")</f>
        <v/>
      </c>
      <c r="J109" s="113">
        <f>IFERROR(Tabela_Base_Financeiro[[#This Row],[Item code]],0)</f>
        <v>0</v>
      </c>
      <c r="K109" s="293">
        <f>IFERROR(Tabela_Base_Financeiro[[#This Row],[Unit Price]],0)</f>
        <v>0</v>
      </c>
      <c r="L109" s="36">
        <f>IFERROR(Tabela_Base_Financeiro[[#This Row],[AC Qty,]],0)</f>
        <v>0</v>
      </c>
      <c r="M109" s="60">
        <f>Tabela6[[#This Row],[Qty]]*Tabela6[[#This Row],[Preço]]</f>
        <v>0</v>
      </c>
      <c r="N109" s="37">
        <f>IFERROR(Tabela_Base_Financeiro[[#This Row],[Proportion]],0)</f>
        <v>0</v>
      </c>
      <c r="O109" s="60">
        <f>Tabela6[[#This Row],[Proporção]]*Tabela6[[#This Row],[Total]]</f>
        <v>0</v>
      </c>
      <c r="P109" s="57"/>
      <c r="Q109" s="55"/>
      <c r="R109" s="58"/>
      <c r="S109" s="61"/>
    </row>
    <row r="110" spans="1:19">
      <c r="A110" s="122" t="e">
        <f>IF(VLOOKUP(Tabela6[[#This Row],[UF]],'BASE CC'!B:C,2,0)="SP",IF(Tabela6[[#This Row],[OPERADORA]]="TIM","SP TIM","SPI"),VLOOKUP(Tabela6[[#This Row],[UF]],'BASE CC'!B:C,2,0))</f>
        <v>#N/A</v>
      </c>
      <c r="B110" s="36" t="e">
        <f>VLOOKUP(Tabela_Base_Financeiro[[#This Row],[Item code]],'COD.FAT'!B:C,2,0)</f>
        <v>#N/A</v>
      </c>
      <c r="C110" s="292">
        <f>Tabela_Base_Financeiro[[#This Row],[PO Ship TO]]</f>
        <v>0</v>
      </c>
      <c r="D110" s="36" t="str">
        <f>RIGHT(Tabela_Base_Financeiro[[#This Row],[Manufacturer]],2)</f>
        <v/>
      </c>
      <c r="E11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10" s="122" t="e">
        <f>VLOOKUP(Tabela_Base_Financeiro[[#This Row],[Project Code]],'COD. PROJETOS'!B:D,3,0)</f>
        <v>#N/A</v>
      </c>
      <c r="G110" s="36">
        <f>IFERROR(Tabela_Base_Financeiro[[#This Row],[PO No,]],0)</f>
        <v>0</v>
      </c>
      <c r="H110" s="36">
        <f>IFERROR(Tabela_Base_Financeiro[[#This Row],[Line No,]],0)</f>
        <v>0</v>
      </c>
      <c r="I110" s="36" t="str">
        <f>IFERROR(MID(Tabela_Base_Financeiro[[#This Row],[Manufacturer]],19,14),"")</f>
        <v/>
      </c>
      <c r="J110" s="113">
        <f>IFERROR(Tabela_Base_Financeiro[[#This Row],[Item code]],0)</f>
        <v>0</v>
      </c>
      <c r="K110" s="293">
        <f>IFERROR(Tabela_Base_Financeiro[[#This Row],[Unit Price]],0)</f>
        <v>0</v>
      </c>
      <c r="L110" s="36">
        <f>IFERROR(Tabela_Base_Financeiro[[#This Row],[AC Qty,]],0)</f>
        <v>0</v>
      </c>
      <c r="M110" s="60">
        <f>Tabela6[[#This Row],[Qty]]*Tabela6[[#This Row],[Preço]]</f>
        <v>0</v>
      </c>
      <c r="N110" s="37">
        <f>IFERROR(Tabela_Base_Financeiro[[#This Row],[Proportion]],0)</f>
        <v>0</v>
      </c>
      <c r="O110" s="60">
        <f>Tabela6[[#This Row],[Proporção]]*Tabela6[[#This Row],[Total]]</f>
        <v>0</v>
      </c>
      <c r="P110" s="57"/>
      <c r="Q110" s="55"/>
      <c r="R110" s="58"/>
      <c r="S110" s="61"/>
    </row>
    <row r="111" spans="1:19">
      <c r="A111" s="122" t="e">
        <f>IF(VLOOKUP(Tabela6[[#This Row],[UF]],'BASE CC'!B:C,2,0)="SP",IF(Tabela6[[#This Row],[OPERADORA]]="TIM","SP TIM","SPI"),VLOOKUP(Tabela6[[#This Row],[UF]],'BASE CC'!B:C,2,0))</f>
        <v>#N/A</v>
      </c>
      <c r="B111" s="36" t="e">
        <f>VLOOKUP(Tabela_Base_Financeiro[[#This Row],[Item code]],'COD.FAT'!B:C,2,0)</f>
        <v>#N/A</v>
      </c>
      <c r="C111" s="292">
        <f>Tabela_Base_Financeiro[[#This Row],[PO Ship TO]]</f>
        <v>0</v>
      </c>
      <c r="D111" s="36" t="str">
        <f>RIGHT(Tabela_Base_Financeiro[[#This Row],[Manufacturer]],2)</f>
        <v/>
      </c>
      <c r="E11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11" s="122" t="e">
        <f>VLOOKUP(Tabela_Base_Financeiro[[#This Row],[Project Code]],'COD. PROJETOS'!B:D,3,0)</f>
        <v>#N/A</v>
      </c>
      <c r="G111" s="36">
        <f>IFERROR(Tabela_Base_Financeiro[[#This Row],[PO No,]],0)</f>
        <v>0</v>
      </c>
      <c r="H111" s="36">
        <f>IFERROR(Tabela_Base_Financeiro[[#This Row],[Line No,]],0)</f>
        <v>0</v>
      </c>
      <c r="I111" s="36" t="str">
        <f>IFERROR(MID(Tabela_Base_Financeiro[[#This Row],[Manufacturer]],19,14),"")</f>
        <v/>
      </c>
      <c r="J111" s="113">
        <f>IFERROR(Tabela_Base_Financeiro[[#This Row],[Item code]],0)</f>
        <v>0</v>
      </c>
      <c r="K111" s="293">
        <f>IFERROR(Tabela_Base_Financeiro[[#This Row],[Unit Price]],0)</f>
        <v>0</v>
      </c>
      <c r="L111" s="36">
        <f>IFERROR(Tabela_Base_Financeiro[[#This Row],[AC Qty,]],0)</f>
        <v>0</v>
      </c>
      <c r="M111" s="60">
        <f>Tabela6[[#This Row],[Qty]]*Tabela6[[#This Row],[Preço]]</f>
        <v>0</v>
      </c>
      <c r="N111" s="37">
        <f>IFERROR(Tabela_Base_Financeiro[[#This Row],[Proportion]],0)</f>
        <v>0</v>
      </c>
      <c r="O111" s="60">
        <f>Tabela6[[#This Row],[Proporção]]*Tabela6[[#This Row],[Total]]</f>
        <v>0</v>
      </c>
      <c r="P111" s="57"/>
      <c r="Q111" s="55"/>
      <c r="R111" s="58"/>
      <c r="S111" s="61"/>
    </row>
    <row r="112" spans="1:19">
      <c r="A112" s="122" t="e">
        <f>IF(VLOOKUP(Tabela6[[#This Row],[UF]],'BASE CC'!B:C,2,0)="SP",IF(Tabela6[[#This Row],[OPERADORA]]="TIM","SP TIM","SPI"),VLOOKUP(Tabela6[[#This Row],[UF]],'BASE CC'!B:C,2,0))</f>
        <v>#N/A</v>
      </c>
      <c r="B112" s="36" t="e">
        <f>VLOOKUP(Tabela_Base_Financeiro[[#This Row],[Item code]],'COD.FAT'!B:C,2,0)</f>
        <v>#N/A</v>
      </c>
      <c r="C112" s="292">
        <f>Tabela_Base_Financeiro[[#This Row],[PO Ship TO]]</f>
        <v>0</v>
      </c>
      <c r="D112" s="36" t="str">
        <f>RIGHT(Tabela_Base_Financeiro[[#This Row],[Manufacturer]],2)</f>
        <v/>
      </c>
      <c r="E11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12" s="122" t="e">
        <f>VLOOKUP(Tabela_Base_Financeiro[[#This Row],[Project Code]],'COD. PROJETOS'!B:D,3,0)</f>
        <v>#N/A</v>
      </c>
      <c r="G112" s="36">
        <f>IFERROR(Tabela_Base_Financeiro[[#This Row],[PO No,]],0)</f>
        <v>0</v>
      </c>
      <c r="H112" s="36">
        <f>IFERROR(Tabela_Base_Financeiro[[#This Row],[Line No,]],0)</f>
        <v>0</v>
      </c>
      <c r="I112" s="36" t="str">
        <f>IFERROR(MID(Tabela_Base_Financeiro[[#This Row],[Manufacturer]],19,14),"")</f>
        <v/>
      </c>
      <c r="J112" s="113">
        <f>IFERROR(Tabela_Base_Financeiro[[#This Row],[Item code]],0)</f>
        <v>0</v>
      </c>
      <c r="K112" s="293">
        <f>IFERROR(Tabela_Base_Financeiro[[#This Row],[Unit Price]],0)</f>
        <v>0</v>
      </c>
      <c r="L112" s="36">
        <f>IFERROR(Tabela_Base_Financeiro[[#This Row],[AC Qty,]],0)</f>
        <v>0</v>
      </c>
      <c r="M112" s="60">
        <f>Tabela6[[#This Row],[Qty]]*Tabela6[[#This Row],[Preço]]</f>
        <v>0</v>
      </c>
      <c r="N112" s="37">
        <f>IFERROR(Tabela_Base_Financeiro[[#This Row],[Proportion]],0)</f>
        <v>0</v>
      </c>
      <c r="O112" s="60">
        <f>Tabela6[[#This Row],[Proporção]]*Tabela6[[#This Row],[Total]]</f>
        <v>0</v>
      </c>
      <c r="P112" s="57"/>
      <c r="Q112" s="55"/>
      <c r="R112" s="58"/>
      <c r="S112" s="61"/>
    </row>
    <row r="113" spans="1:19">
      <c r="A113" s="122" t="e">
        <f>IF(VLOOKUP(Tabela6[[#This Row],[UF]],'BASE CC'!B:C,2,0)="SP",IF(Tabela6[[#This Row],[OPERADORA]]="TIM","SP TIM","SPI"),VLOOKUP(Tabela6[[#This Row],[UF]],'BASE CC'!B:C,2,0))</f>
        <v>#N/A</v>
      </c>
      <c r="B113" s="36" t="e">
        <f>VLOOKUP(Tabela_Base_Financeiro[[#This Row],[Item code]],'COD.FAT'!B:C,2,0)</f>
        <v>#N/A</v>
      </c>
      <c r="C113" s="292">
        <f>Tabela_Base_Financeiro[[#This Row],[PO Ship TO]]</f>
        <v>0</v>
      </c>
      <c r="D113" s="36" t="str">
        <f>RIGHT(Tabela_Base_Financeiro[[#This Row],[Manufacturer]],2)</f>
        <v/>
      </c>
      <c r="E11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13" s="122" t="e">
        <f>VLOOKUP(Tabela_Base_Financeiro[[#This Row],[Project Code]],'COD. PROJETOS'!B:D,3,0)</f>
        <v>#N/A</v>
      </c>
      <c r="G113" s="36">
        <f>IFERROR(Tabela_Base_Financeiro[[#This Row],[PO No,]],0)</f>
        <v>0</v>
      </c>
      <c r="H113" s="36">
        <f>IFERROR(Tabela_Base_Financeiro[[#This Row],[Line No,]],0)</f>
        <v>0</v>
      </c>
      <c r="I113" s="36" t="str">
        <f>IFERROR(MID(Tabela_Base_Financeiro[[#This Row],[Manufacturer]],19,14),"")</f>
        <v/>
      </c>
      <c r="J113" s="113">
        <f>IFERROR(Tabela_Base_Financeiro[[#This Row],[Item code]],0)</f>
        <v>0</v>
      </c>
      <c r="K113" s="293">
        <f>IFERROR(Tabela_Base_Financeiro[[#This Row],[Unit Price]],0)</f>
        <v>0</v>
      </c>
      <c r="L113" s="36">
        <f>IFERROR(Tabela_Base_Financeiro[[#This Row],[AC Qty,]],0)</f>
        <v>0</v>
      </c>
      <c r="M113" s="60">
        <f>Tabela6[[#This Row],[Qty]]*Tabela6[[#This Row],[Preço]]</f>
        <v>0</v>
      </c>
      <c r="N113" s="37">
        <f>IFERROR(Tabela_Base_Financeiro[[#This Row],[Proportion]],0)</f>
        <v>0</v>
      </c>
      <c r="O113" s="60">
        <f>Tabela6[[#This Row],[Proporção]]*Tabela6[[#This Row],[Total]]</f>
        <v>0</v>
      </c>
      <c r="P113" s="57"/>
      <c r="Q113" s="55"/>
      <c r="R113" s="58"/>
      <c r="S113" s="61"/>
    </row>
    <row r="114" spans="1:19">
      <c r="A114" s="122" t="e">
        <f>IF(VLOOKUP(Tabela6[[#This Row],[UF]],'BASE CC'!B:C,2,0)="SP",IF(Tabela6[[#This Row],[OPERADORA]]="TIM","SP TIM","SPI"),VLOOKUP(Tabela6[[#This Row],[UF]],'BASE CC'!B:C,2,0))</f>
        <v>#N/A</v>
      </c>
      <c r="B114" s="36" t="e">
        <f>VLOOKUP(Tabela_Base_Financeiro[[#This Row],[Item code]],'COD.FAT'!B:C,2,0)</f>
        <v>#N/A</v>
      </c>
      <c r="C114" s="292">
        <f>Tabela_Base_Financeiro[[#This Row],[PO Ship TO]]</f>
        <v>0</v>
      </c>
      <c r="D114" s="36" t="str">
        <f>RIGHT(Tabela_Base_Financeiro[[#This Row],[Manufacturer]],2)</f>
        <v/>
      </c>
      <c r="E11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14" s="122" t="e">
        <f>VLOOKUP(Tabela_Base_Financeiro[[#This Row],[Project Code]],'COD. PROJETOS'!B:D,3,0)</f>
        <v>#N/A</v>
      </c>
      <c r="G114" s="36">
        <f>IFERROR(Tabela_Base_Financeiro[[#This Row],[PO No,]],0)</f>
        <v>0</v>
      </c>
      <c r="H114" s="36">
        <f>IFERROR(Tabela_Base_Financeiro[[#This Row],[Line No,]],0)</f>
        <v>0</v>
      </c>
      <c r="I114" s="36" t="str">
        <f>IFERROR(MID(Tabela_Base_Financeiro[[#This Row],[Manufacturer]],19,14),"")</f>
        <v/>
      </c>
      <c r="J114" s="113">
        <f>IFERROR(Tabela_Base_Financeiro[[#This Row],[Item code]],0)</f>
        <v>0</v>
      </c>
      <c r="K114" s="293">
        <f>IFERROR(Tabela_Base_Financeiro[[#This Row],[Unit Price]],0)</f>
        <v>0</v>
      </c>
      <c r="L114" s="36">
        <f>IFERROR(Tabela_Base_Financeiro[[#This Row],[AC Qty,]],0)</f>
        <v>0</v>
      </c>
      <c r="M114" s="60">
        <f>Tabela6[[#This Row],[Qty]]*Tabela6[[#This Row],[Preço]]</f>
        <v>0</v>
      </c>
      <c r="N114" s="37">
        <f>IFERROR(Tabela_Base_Financeiro[[#This Row],[Proportion]],0)</f>
        <v>0</v>
      </c>
      <c r="O114" s="60">
        <f>Tabela6[[#This Row],[Proporção]]*Tabela6[[#This Row],[Total]]</f>
        <v>0</v>
      </c>
      <c r="P114" s="57"/>
      <c r="Q114" s="55"/>
      <c r="R114" s="58"/>
      <c r="S114" s="61"/>
    </row>
    <row r="115" spans="1:19">
      <c r="A115" s="122" t="e">
        <f>IF(VLOOKUP(Tabela6[[#This Row],[UF]],'BASE CC'!B:C,2,0)="SP",IF(Tabela6[[#This Row],[OPERADORA]]="TIM","SP TIM","SPI"),VLOOKUP(Tabela6[[#This Row],[UF]],'BASE CC'!B:C,2,0))</f>
        <v>#N/A</v>
      </c>
      <c r="B115" s="36" t="e">
        <f>VLOOKUP(Tabela_Base_Financeiro[[#This Row],[Item code]],'COD.FAT'!B:C,2,0)</f>
        <v>#N/A</v>
      </c>
      <c r="C115" s="292">
        <f>Tabela_Base_Financeiro[[#This Row],[PO Ship TO]]</f>
        <v>0</v>
      </c>
      <c r="D115" s="36" t="str">
        <f>RIGHT(Tabela_Base_Financeiro[[#This Row],[Manufacturer]],2)</f>
        <v/>
      </c>
      <c r="E11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15" s="122" t="e">
        <f>VLOOKUP(Tabela_Base_Financeiro[[#This Row],[Project Code]],'COD. PROJETOS'!B:D,3,0)</f>
        <v>#N/A</v>
      </c>
      <c r="G115" s="36">
        <f>IFERROR(Tabela_Base_Financeiro[[#This Row],[PO No,]],0)</f>
        <v>0</v>
      </c>
      <c r="H115" s="36">
        <f>IFERROR(Tabela_Base_Financeiro[[#This Row],[Line No,]],0)</f>
        <v>0</v>
      </c>
      <c r="I115" s="36" t="str">
        <f>IFERROR(MID(Tabela_Base_Financeiro[[#This Row],[Manufacturer]],19,14),"")</f>
        <v/>
      </c>
      <c r="J115" s="113">
        <f>IFERROR(Tabela_Base_Financeiro[[#This Row],[Item code]],0)</f>
        <v>0</v>
      </c>
      <c r="K115" s="293">
        <f>IFERROR(Tabela_Base_Financeiro[[#This Row],[Unit Price]],0)</f>
        <v>0</v>
      </c>
      <c r="L115" s="36">
        <f>IFERROR(Tabela_Base_Financeiro[[#This Row],[AC Qty,]],0)</f>
        <v>0</v>
      </c>
      <c r="M115" s="60">
        <f>Tabela6[[#This Row],[Qty]]*Tabela6[[#This Row],[Preço]]</f>
        <v>0</v>
      </c>
      <c r="N115" s="37">
        <f>IFERROR(Tabela_Base_Financeiro[[#This Row],[Proportion]],0)</f>
        <v>0</v>
      </c>
      <c r="O115" s="60">
        <f>Tabela6[[#This Row],[Proporção]]*Tabela6[[#This Row],[Total]]</f>
        <v>0</v>
      </c>
      <c r="P115" s="57"/>
      <c r="Q115" s="55"/>
      <c r="R115" s="58"/>
      <c r="S115" s="61"/>
    </row>
    <row r="116" spans="1:19">
      <c r="A116" s="122" t="e">
        <f>IF(VLOOKUP(Tabela6[[#This Row],[UF]],'BASE CC'!B:C,2,0)="SP",IF(Tabela6[[#This Row],[OPERADORA]]="TIM","SP TIM","SPI"),VLOOKUP(Tabela6[[#This Row],[UF]],'BASE CC'!B:C,2,0))</f>
        <v>#N/A</v>
      </c>
      <c r="B116" s="36" t="e">
        <f>VLOOKUP(Tabela_Base_Financeiro[[#This Row],[Item code]],'COD.FAT'!B:C,2,0)</f>
        <v>#N/A</v>
      </c>
      <c r="C116" s="292">
        <f>Tabela_Base_Financeiro[[#This Row],[PO Ship TO]]</f>
        <v>0</v>
      </c>
      <c r="D116" s="36" t="str">
        <f>RIGHT(Tabela_Base_Financeiro[[#This Row],[Manufacturer]],2)</f>
        <v/>
      </c>
      <c r="E11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16" s="122" t="e">
        <f>VLOOKUP(Tabela_Base_Financeiro[[#This Row],[Project Code]],'COD. PROJETOS'!B:D,3,0)</f>
        <v>#N/A</v>
      </c>
      <c r="G116" s="36">
        <f>IFERROR(Tabela_Base_Financeiro[[#This Row],[PO No,]],0)</f>
        <v>0</v>
      </c>
      <c r="H116" s="36">
        <f>IFERROR(Tabela_Base_Financeiro[[#This Row],[Line No,]],0)</f>
        <v>0</v>
      </c>
      <c r="I116" s="36" t="str">
        <f>IFERROR(MID(Tabela_Base_Financeiro[[#This Row],[Manufacturer]],19,14),"")</f>
        <v/>
      </c>
      <c r="J116" s="113">
        <f>IFERROR(Tabela_Base_Financeiro[[#This Row],[Item code]],0)</f>
        <v>0</v>
      </c>
      <c r="K116" s="293">
        <f>IFERROR(Tabela_Base_Financeiro[[#This Row],[Unit Price]],0)</f>
        <v>0</v>
      </c>
      <c r="L116" s="36">
        <f>IFERROR(Tabela_Base_Financeiro[[#This Row],[AC Qty,]],0)</f>
        <v>0</v>
      </c>
      <c r="M116" s="60">
        <f>Tabela6[[#This Row],[Qty]]*Tabela6[[#This Row],[Preço]]</f>
        <v>0</v>
      </c>
      <c r="N116" s="37">
        <f>IFERROR(Tabela_Base_Financeiro[[#This Row],[Proportion]],0)</f>
        <v>0</v>
      </c>
      <c r="O116" s="60">
        <f>Tabela6[[#This Row],[Proporção]]*Tabela6[[#This Row],[Total]]</f>
        <v>0</v>
      </c>
      <c r="P116" s="57"/>
      <c r="Q116" s="55"/>
      <c r="R116" s="58"/>
      <c r="S116" s="61"/>
    </row>
    <row r="117" spans="1:19">
      <c r="A117" s="122" t="e">
        <f>IF(VLOOKUP(Tabela6[[#This Row],[UF]],'BASE CC'!B:C,2,0)="SP",IF(Tabela6[[#This Row],[OPERADORA]]="TIM","SP TIM","SPI"),VLOOKUP(Tabela6[[#This Row],[UF]],'BASE CC'!B:C,2,0))</f>
        <v>#N/A</v>
      </c>
      <c r="B117" s="36" t="e">
        <f>VLOOKUP(Tabela_Base_Financeiro[[#This Row],[Item code]],'COD.FAT'!B:C,2,0)</f>
        <v>#N/A</v>
      </c>
      <c r="C117" s="292">
        <f>Tabela_Base_Financeiro[[#This Row],[PO Ship TO]]</f>
        <v>0</v>
      </c>
      <c r="D117" s="36" t="str">
        <f>RIGHT(Tabela_Base_Financeiro[[#This Row],[Manufacturer]],2)</f>
        <v/>
      </c>
      <c r="E11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17" s="122" t="e">
        <f>VLOOKUP(Tabela_Base_Financeiro[[#This Row],[Project Code]],'COD. PROJETOS'!B:D,3,0)</f>
        <v>#N/A</v>
      </c>
      <c r="G117" s="36">
        <f>IFERROR(Tabela_Base_Financeiro[[#This Row],[PO No,]],0)</f>
        <v>0</v>
      </c>
      <c r="H117" s="36">
        <f>IFERROR(Tabela_Base_Financeiro[[#This Row],[Line No,]],0)</f>
        <v>0</v>
      </c>
      <c r="I117" s="36" t="str">
        <f>IFERROR(MID(Tabela_Base_Financeiro[[#This Row],[Manufacturer]],19,14),"")</f>
        <v/>
      </c>
      <c r="J117" s="113">
        <f>IFERROR(Tabela_Base_Financeiro[[#This Row],[Item code]],0)</f>
        <v>0</v>
      </c>
      <c r="K117" s="293">
        <f>IFERROR(Tabela_Base_Financeiro[[#This Row],[Unit Price]],0)</f>
        <v>0</v>
      </c>
      <c r="L117" s="36">
        <f>IFERROR(Tabela_Base_Financeiro[[#This Row],[AC Qty,]],0)</f>
        <v>0</v>
      </c>
      <c r="M117" s="60">
        <f>Tabela6[[#This Row],[Qty]]*Tabela6[[#This Row],[Preço]]</f>
        <v>0</v>
      </c>
      <c r="N117" s="37">
        <f>IFERROR(Tabela_Base_Financeiro[[#This Row],[Proportion]],0)</f>
        <v>0</v>
      </c>
      <c r="O117" s="60">
        <f>Tabela6[[#This Row],[Proporção]]*Tabela6[[#This Row],[Total]]</f>
        <v>0</v>
      </c>
      <c r="P117" s="57"/>
      <c r="Q117" s="55"/>
      <c r="R117" s="58"/>
      <c r="S117" s="61"/>
    </row>
    <row r="118" spans="1:19">
      <c r="A118" s="122" t="e">
        <f>IF(VLOOKUP(Tabela6[[#This Row],[UF]],'BASE CC'!B:C,2,0)="SP",IF(Tabela6[[#This Row],[OPERADORA]]="TIM","SP TIM","SPI"),VLOOKUP(Tabela6[[#This Row],[UF]],'BASE CC'!B:C,2,0))</f>
        <v>#N/A</v>
      </c>
      <c r="B118" s="36" t="e">
        <f>VLOOKUP(Tabela_Base_Financeiro[[#This Row],[Item code]],'COD.FAT'!B:C,2,0)</f>
        <v>#N/A</v>
      </c>
      <c r="C118" s="292">
        <f>Tabela_Base_Financeiro[[#This Row],[PO Ship TO]]</f>
        <v>0</v>
      </c>
      <c r="D118" s="36" t="str">
        <f>RIGHT(Tabela_Base_Financeiro[[#This Row],[Manufacturer]],2)</f>
        <v/>
      </c>
      <c r="E11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18" s="122" t="e">
        <f>VLOOKUP(Tabela_Base_Financeiro[[#This Row],[Project Code]],'COD. PROJETOS'!B:D,3,0)</f>
        <v>#N/A</v>
      </c>
      <c r="G118" s="36">
        <f>IFERROR(Tabela_Base_Financeiro[[#This Row],[PO No,]],0)</f>
        <v>0</v>
      </c>
      <c r="H118" s="36">
        <f>IFERROR(Tabela_Base_Financeiro[[#This Row],[Line No,]],0)</f>
        <v>0</v>
      </c>
      <c r="I118" s="36" t="str">
        <f>IFERROR(MID(Tabela_Base_Financeiro[[#This Row],[Manufacturer]],19,14),"")</f>
        <v/>
      </c>
      <c r="J118" s="113">
        <f>IFERROR(Tabela_Base_Financeiro[[#This Row],[Item code]],0)</f>
        <v>0</v>
      </c>
      <c r="K118" s="293">
        <f>IFERROR(Tabela_Base_Financeiro[[#This Row],[Unit Price]],0)</f>
        <v>0</v>
      </c>
      <c r="L118" s="36">
        <f>IFERROR(Tabela_Base_Financeiro[[#This Row],[AC Qty,]],0)</f>
        <v>0</v>
      </c>
      <c r="M118" s="60">
        <f>Tabela6[[#This Row],[Qty]]*Tabela6[[#This Row],[Preço]]</f>
        <v>0</v>
      </c>
      <c r="N118" s="37">
        <f>IFERROR(Tabela_Base_Financeiro[[#This Row],[Proportion]],0)</f>
        <v>0</v>
      </c>
      <c r="O118" s="60">
        <f>Tabela6[[#This Row],[Proporção]]*Tabela6[[#This Row],[Total]]</f>
        <v>0</v>
      </c>
      <c r="P118" s="57"/>
      <c r="Q118" s="55"/>
      <c r="R118" s="58"/>
      <c r="S118" s="61"/>
    </row>
    <row r="119" spans="1:19">
      <c r="A119" s="122" t="e">
        <f>IF(VLOOKUP(Tabela6[[#This Row],[UF]],'BASE CC'!B:C,2,0)="SP",IF(Tabela6[[#This Row],[OPERADORA]]="TIM","SP TIM","SPI"),VLOOKUP(Tabela6[[#This Row],[UF]],'BASE CC'!B:C,2,0))</f>
        <v>#N/A</v>
      </c>
      <c r="B119" s="36" t="e">
        <f>VLOOKUP(Tabela_Base_Financeiro[[#This Row],[Item code]],'COD.FAT'!B:C,2,0)</f>
        <v>#N/A</v>
      </c>
      <c r="C119" s="292">
        <f>Tabela_Base_Financeiro[[#This Row],[PO Ship TO]]</f>
        <v>0</v>
      </c>
      <c r="D119" s="36" t="str">
        <f>RIGHT(Tabela_Base_Financeiro[[#This Row],[Manufacturer]],2)</f>
        <v/>
      </c>
      <c r="E11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19" s="122" t="e">
        <f>VLOOKUP(Tabela_Base_Financeiro[[#This Row],[Project Code]],'COD. PROJETOS'!B:D,3,0)</f>
        <v>#N/A</v>
      </c>
      <c r="G119" s="36">
        <f>IFERROR(Tabela_Base_Financeiro[[#This Row],[PO No,]],0)</f>
        <v>0</v>
      </c>
      <c r="H119" s="36">
        <f>IFERROR(Tabela_Base_Financeiro[[#This Row],[Line No,]],0)</f>
        <v>0</v>
      </c>
      <c r="I119" s="36" t="str">
        <f>IFERROR(MID(Tabela_Base_Financeiro[[#This Row],[Manufacturer]],19,14),"")</f>
        <v/>
      </c>
      <c r="J119" s="113">
        <f>IFERROR(Tabela_Base_Financeiro[[#This Row],[Item code]],0)</f>
        <v>0</v>
      </c>
      <c r="K119" s="293">
        <f>IFERROR(Tabela_Base_Financeiro[[#This Row],[Unit Price]],0)</f>
        <v>0</v>
      </c>
      <c r="L119" s="36">
        <f>IFERROR(Tabela_Base_Financeiro[[#This Row],[AC Qty,]],0)</f>
        <v>0</v>
      </c>
      <c r="M119" s="60">
        <f>Tabela6[[#This Row],[Qty]]*Tabela6[[#This Row],[Preço]]</f>
        <v>0</v>
      </c>
      <c r="N119" s="37">
        <f>IFERROR(Tabela_Base_Financeiro[[#This Row],[Proportion]],0)</f>
        <v>0</v>
      </c>
      <c r="O119" s="60">
        <f>Tabela6[[#This Row],[Proporção]]*Tabela6[[#This Row],[Total]]</f>
        <v>0</v>
      </c>
      <c r="P119" s="57"/>
      <c r="Q119" s="55"/>
      <c r="R119" s="58"/>
      <c r="S119" s="61"/>
    </row>
    <row r="120" spans="1:19">
      <c r="A120" s="122" t="e">
        <f>IF(VLOOKUP(Tabela6[[#This Row],[UF]],'BASE CC'!B:C,2,0)="SP",IF(Tabela6[[#This Row],[OPERADORA]]="TIM","SP TIM","SPI"),VLOOKUP(Tabela6[[#This Row],[UF]],'BASE CC'!B:C,2,0))</f>
        <v>#N/A</v>
      </c>
      <c r="B120" s="36" t="e">
        <f>VLOOKUP(Tabela_Base_Financeiro[[#This Row],[Item code]],'COD.FAT'!B:C,2,0)</f>
        <v>#N/A</v>
      </c>
      <c r="C120" s="292">
        <f>Tabela_Base_Financeiro[[#This Row],[PO Ship TO]]</f>
        <v>0</v>
      </c>
      <c r="D120" s="36" t="str">
        <f>RIGHT(Tabela_Base_Financeiro[[#This Row],[Manufacturer]],2)</f>
        <v/>
      </c>
      <c r="E12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20" s="122" t="e">
        <f>VLOOKUP(Tabela_Base_Financeiro[[#This Row],[Project Code]],'COD. PROJETOS'!B:D,3,0)</f>
        <v>#N/A</v>
      </c>
      <c r="G120" s="36">
        <f>IFERROR(Tabela_Base_Financeiro[[#This Row],[PO No,]],0)</f>
        <v>0</v>
      </c>
      <c r="H120" s="36">
        <f>IFERROR(Tabela_Base_Financeiro[[#This Row],[Line No,]],0)</f>
        <v>0</v>
      </c>
      <c r="I120" s="36" t="str">
        <f>IFERROR(MID(Tabela_Base_Financeiro[[#This Row],[Manufacturer]],19,14),"")</f>
        <v/>
      </c>
      <c r="J120" s="113">
        <f>IFERROR(Tabela_Base_Financeiro[[#This Row],[Item code]],0)</f>
        <v>0</v>
      </c>
      <c r="K120" s="293">
        <f>IFERROR(Tabela_Base_Financeiro[[#This Row],[Unit Price]],0)</f>
        <v>0</v>
      </c>
      <c r="L120" s="36">
        <f>IFERROR(Tabela_Base_Financeiro[[#This Row],[AC Qty,]],0)</f>
        <v>0</v>
      </c>
      <c r="M120" s="60">
        <f>Tabela6[[#This Row],[Qty]]*Tabela6[[#This Row],[Preço]]</f>
        <v>0</v>
      </c>
      <c r="N120" s="37">
        <f>IFERROR(Tabela_Base_Financeiro[[#This Row],[Proportion]],0)</f>
        <v>0</v>
      </c>
      <c r="O120" s="60">
        <f>Tabela6[[#This Row],[Proporção]]*Tabela6[[#This Row],[Total]]</f>
        <v>0</v>
      </c>
      <c r="P120" s="57"/>
      <c r="Q120" s="55"/>
      <c r="R120" s="58"/>
      <c r="S120" s="61"/>
    </row>
    <row r="121" spans="1:19">
      <c r="A121" s="122" t="e">
        <f>IF(VLOOKUP(Tabela6[[#This Row],[UF]],'BASE CC'!B:C,2,0)="SP",IF(Tabela6[[#This Row],[OPERADORA]]="TIM","SP TIM","SPI"),VLOOKUP(Tabela6[[#This Row],[UF]],'BASE CC'!B:C,2,0))</f>
        <v>#N/A</v>
      </c>
      <c r="B121" s="36" t="e">
        <f>VLOOKUP(Tabela_Base_Financeiro[[#This Row],[Item code]],'COD.FAT'!B:C,2,0)</f>
        <v>#N/A</v>
      </c>
      <c r="C121" s="292">
        <f>Tabela_Base_Financeiro[[#This Row],[PO Ship TO]]</f>
        <v>0</v>
      </c>
      <c r="D121" s="36" t="str">
        <f>RIGHT(Tabela_Base_Financeiro[[#This Row],[Manufacturer]],2)</f>
        <v/>
      </c>
      <c r="E12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21" s="122" t="e">
        <f>VLOOKUP(Tabela_Base_Financeiro[[#This Row],[Project Code]],'COD. PROJETOS'!B:D,3,0)</f>
        <v>#N/A</v>
      </c>
      <c r="G121" s="36">
        <f>IFERROR(Tabela_Base_Financeiro[[#This Row],[PO No,]],0)</f>
        <v>0</v>
      </c>
      <c r="H121" s="36">
        <f>IFERROR(Tabela_Base_Financeiro[[#This Row],[Line No,]],0)</f>
        <v>0</v>
      </c>
      <c r="I121" s="36" t="str">
        <f>IFERROR(MID(Tabela_Base_Financeiro[[#This Row],[Manufacturer]],19,14),"")</f>
        <v/>
      </c>
      <c r="J121" s="113">
        <f>IFERROR(Tabela_Base_Financeiro[[#This Row],[Item code]],0)</f>
        <v>0</v>
      </c>
      <c r="K121" s="293">
        <f>IFERROR(Tabela_Base_Financeiro[[#This Row],[Unit Price]],0)</f>
        <v>0</v>
      </c>
      <c r="L121" s="36">
        <f>IFERROR(Tabela_Base_Financeiro[[#This Row],[AC Qty,]],0)</f>
        <v>0</v>
      </c>
      <c r="M121" s="60">
        <f>Tabela6[[#This Row],[Qty]]*Tabela6[[#This Row],[Preço]]</f>
        <v>0</v>
      </c>
      <c r="N121" s="37">
        <f>IFERROR(Tabela_Base_Financeiro[[#This Row],[Proportion]],0)</f>
        <v>0</v>
      </c>
      <c r="O121" s="60">
        <f>Tabela6[[#This Row],[Proporção]]*Tabela6[[#This Row],[Total]]</f>
        <v>0</v>
      </c>
      <c r="P121" s="57"/>
      <c r="Q121" s="55"/>
      <c r="R121" s="58"/>
      <c r="S121" s="61"/>
    </row>
    <row r="122" spans="1:19">
      <c r="A122" s="122" t="e">
        <f>IF(VLOOKUP(Tabela6[[#This Row],[UF]],'BASE CC'!B:C,2,0)="SP",IF(Tabela6[[#This Row],[OPERADORA]]="TIM","SP TIM","SPI"),VLOOKUP(Tabela6[[#This Row],[UF]],'BASE CC'!B:C,2,0))</f>
        <v>#N/A</v>
      </c>
      <c r="B122" s="36" t="e">
        <f>VLOOKUP(Tabela_Base_Financeiro[[#This Row],[Item code]],'COD.FAT'!B:C,2,0)</f>
        <v>#N/A</v>
      </c>
      <c r="C122" s="292">
        <f>Tabela_Base_Financeiro[[#This Row],[PO Ship TO]]</f>
        <v>0</v>
      </c>
      <c r="D122" s="36" t="str">
        <f>RIGHT(Tabela_Base_Financeiro[[#This Row],[Manufacturer]],2)</f>
        <v/>
      </c>
      <c r="E12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22" s="122" t="e">
        <f>VLOOKUP(Tabela_Base_Financeiro[[#This Row],[Project Code]],'COD. PROJETOS'!B:D,3,0)</f>
        <v>#N/A</v>
      </c>
      <c r="G122" s="36">
        <f>IFERROR(Tabela_Base_Financeiro[[#This Row],[PO No,]],0)</f>
        <v>0</v>
      </c>
      <c r="H122" s="36">
        <f>IFERROR(Tabela_Base_Financeiro[[#This Row],[Line No,]],0)</f>
        <v>0</v>
      </c>
      <c r="I122" s="36" t="str">
        <f>IFERROR(MID(Tabela_Base_Financeiro[[#This Row],[Manufacturer]],19,14),"")</f>
        <v/>
      </c>
      <c r="J122" s="113">
        <f>IFERROR(Tabela_Base_Financeiro[[#This Row],[Item code]],0)</f>
        <v>0</v>
      </c>
      <c r="K122" s="293">
        <f>IFERROR(Tabela_Base_Financeiro[[#This Row],[Unit Price]],0)</f>
        <v>0</v>
      </c>
      <c r="L122" s="36">
        <f>IFERROR(Tabela_Base_Financeiro[[#This Row],[AC Qty,]],0)</f>
        <v>0</v>
      </c>
      <c r="M122" s="60">
        <f>Tabela6[[#This Row],[Qty]]*Tabela6[[#This Row],[Preço]]</f>
        <v>0</v>
      </c>
      <c r="N122" s="37">
        <f>IFERROR(Tabela_Base_Financeiro[[#This Row],[Proportion]],0)</f>
        <v>0</v>
      </c>
      <c r="O122" s="60">
        <f>Tabela6[[#This Row],[Proporção]]*Tabela6[[#This Row],[Total]]</f>
        <v>0</v>
      </c>
      <c r="P122" s="57"/>
      <c r="Q122" s="55"/>
      <c r="R122" s="58"/>
      <c r="S122" s="61"/>
    </row>
    <row r="123" spans="1:19">
      <c r="A123" s="122" t="e">
        <f>IF(VLOOKUP(Tabela6[[#This Row],[UF]],'BASE CC'!B:C,2,0)="SP",IF(Tabela6[[#This Row],[OPERADORA]]="TIM","SP TIM","SPI"),VLOOKUP(Tabela6[[#This Row],[UF]],'BASE CC'!B:C,2,0))</f>
        <v>#N/A</v>
      </c>
      <c r="B123" s="36" t="e">
        <f>VLOOKUP(Tabela_Base_Financeiro[[#This Row],[Item code]],'COD.FAT'!B:C,2,0)</f>
        <v>#N/A</v>
      </c>
      <c r="C123" s="292">
        <f>Tabela_Base_Financeiro[[#This Row],[PO Ship TO]]</f>
        <v>0</v>
      </c>
      <c r="D123" s="36" t="str">
        <f>RIGHT(Tabela_Base_Financeiro[[#This Row],[Manufacturer]],2)</f>
        <v/>
      </c>
      <c r="E12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23" s="122" t="e">
        <f>VLOOKUP(Tabela_Base_Financeiro[[#This Row],[Project Code]],'COD. PROJETOS'!B:D,3,0)</f>
        <v>#N/A</v>
      </c>
      <c r="G123" s="36">
        <f>IFERROR(Tabela_Base_Financeiro[[#This Row],[PO No,]],0)</f>
        <v>0</v>
      </c>
      <c r="H123" s="36">
        <f>IFERROR(Tabela_Base_Financeiro[[#This Row],[Line No,]],0)</f>
        <v>0</v>
      </c>
      <c r="I123" s="36" t="str">
        <f>IFERROR(MID(Tabela_Base_Financeiro[[#This Row],[Manufacturer]],19,14),"")</f>
        <v/>
      </c>
      <c r="J123" s="113">
        <f>IFERROR(Tabela_Base_Financeiro[[#This Row],[Item code]],0)</f>
        <v>0</v>
      </c>
      <c r="K123" s="293">
        <f>IFERROR(Tabela_Base_Financeiro[[#This Row],[Unit Price]],0)</f>
        <v>0</v>
      </c>
      <c r="L123" s="36">
        <f>IFERROR(Tabela_Base_Financeiro[[#This Row],[AC Qty,]],0)</f>
        <v>0</v>
      </c>
      <c r="M123" s="60">
        <f>Tabela6[[#This Row],[Qty]]*Tabela6[[#This Row],[Preço]]</f>
        <v>0</v>
      </c>
      <c r="N123" s="37">
        <f>IFERROR(Tabela_Base_Financeiro[[#This Row],[Proportion]],0)</f>
        <v>0</v>
      </c>
      <c r="O123" s="60">
        <f>Tabela6[[#This Row],[Proporção]]*Tabela6[[#This Row],[Total]]</f>
        <v>0</v>
      </c>
      <c r="P123" s="57"/>
      <c r="Q123" s="55"/>
      <c r="R123" s="58"/>
      <c r="S123" s="61"/>
    </row>
    <row r="124" spans="1:19">
      <c r="A124" s="122" t="e">
        <f>IF(VLOOKUP(Tabela6[[#This Row],[UF]],'BASE CC'!B:C,2,0)="SP",IF(Tabela6[[#This Row],[OPERADORA]]="TIM","SP TIM","SPI"),VLOOKUP(Tabela6[[#This Row],[UF]],'BASE CC'!B:C,2,0))</f>
        <v>#N/A</v>
      </c>
      <c r="B124" s="36" t="e">
        <f>VLOOKUP(Tabela_Base_Financeiro[[#This Row],[Item code]],'COD.FAT'!B:C,2,0)</f>
        <v>#N/A</v>
      </c>
      <c r="C124" s="292">
        <f>Tabela_Base_Financeiro[[#This Row],[PO Ship TO]]</f>
        <v>0</v>
      </c>
      <c r="D124" s="36" t="str">
        <f>RIGHT(Tabela_Base_Financeiro[[#This Row],[Manufacturer]],2)</f>
        <v/>
      </c>
      <c r="E12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24" s="122" t="e">
        <f>VLOOKUP(Tabela_Base_Financeiro[[#This Row],[Project Code]],'COD. PROJETOS'!B:D,3,0)</f>
        <v>#N/A</v>
      </c>
      <c r="G124" s="36">
        <f>IFERROR(Tabela_Base_Financeiro[[#This Row],[PO No,]],0)</f>
        <v>0</v>
      </c>
      <c r="H124" s="36">
        <f>IFERROR(Tabela_Base_Financeiro[[#This Row],[Line No,]],0)</f>
        <v>0</v>
      </c>
      <c r="I124" s="36" t="str">
        <f>IFERROR(MID(Tabela_Base_Financeiro[[#This Row],[Manufacturer]],19,14),"")</f>
        <v/>
      </c>
      <c r="J124" s="113">
        <f>IFERROR(Tabela_Base_Financeiro[[#This Row],[Item code]],0)</f>
        <v>0</v>
      </c>
      <c r="K124" s="293">
        <f>IFERROR(Tabela_Base_Financeiro[[#This Row],[Unit Price]],0)</f>
        <v>0</v>
      </c>
      <c r="L124" s="36">
        <f>IFERROR(Tabela_Base_Financeiro[[#This Row],[AC Qty,]],0)</f>
        <v>0</v>
      </c>
      <c r="M124" s="60">
        <f>Tabela6[[#This Row],[Qty]]*Tabela6[[#This Row],[Preço]]</f>
        <v>0</v>
      </c>
      <c r="N124" s="37">
        <f>IFERROR(Tabela_Base_Financeiro[[#This Row],[Proportion]],0)</f>
        <v>0</v>
      </c>
      <c r="O124" s="60">
        <f>Tabela6[[#This Row],[Proporção]]*Tabela6[[#This Row],[Total]]</f>
        <v>0</v>
      </c>
      <c r="P124" s="57"/>
      <c r="Q124" s="55"/>
      <c r="R124" s="58"/>
      <c r="S124" s="61"/>
    </row>
    <row r="125" spans="1:19">
      <c r="A125" s="122" t="e">
        <f>IF(VLOOKUP(Tabela6[[#This Row],[UF]],'BASE CC'!B:C,2,0)="SP",IF(Tabela6[[#This Row],[OPERADORA]]="TIM","SP TIM","SPI"),VLOOKUP(Tabela6[[#This Row],[UF]],'BASE CC'!B:C,2,0))</f>
        <v>#N/A</v>
      </c>
      <c r="B125" s="36" t="e">
        <f>VLOOKUP(Tabela_Base_Financeiro[[#This Row],[Item code]],'COD.FAT'!B:C,2,0)</f>
        <v>#N/A</v>
      </c>
      <c r="C125" s="292">
        <f>Tabela_Base_Financeiro[[#This Row],[PO Ship TO]]</f>
        <v>0</v>
      </c>
      <c r="D125" s="36" t="str">
        <f>RIGHT(Tabela_Base_Financeiro[[#This Row],[Manufacturer]],2)</f>
        <v/>
      </c>
      <c r="E12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25" s="122" t="e">
        <f>VLOOKUP(Tabela_Base_Financeiro[[#This Row],[Project Code]],'COD. PROJETOS'!B:D,3,0)</f>
        <v>#N/A</v>
      </c>
      <c r="G125" s="36">
        <f>IFERROR(Tabela_Base_Financeiro[[#This Row],[PO No,]],0)</f>
        <v>0</v>
      </c>
      <c r="H125" s="36">
        <f>IFERROR(Tabela_Base_Financeiro[[#This Row],[Line No,]],0)</f>
        <v>0</v>
      </c>
      <c r="I125" s="36" t="str">
        <f>IFERROR(MID(Tabela_Base_Financeiro[[#This Row],[Manufacturer]],19,14),"")</f>
        <v/>
      </c>
      <c r="J125" s="113">
        <f>IFERROR(Tabela_Base_Financeiro[[#This Row],[Item code]],0)</f>
        <v>0</v>
      </c>
      <c r="K125" s="293">
        <f>IFERROR(Tabela_Base_Financeiro[[#This Row],[Unit Price]],0)</f>
        <v>0</v>
      </c>
      <c r="L125" s="36">
        <f>IFERROR(Tabela_Base_Financeiro[[#This Row],[AC Qty,]],0)</f>
        <v>0</v>
      </c>
      <c r="M125" s="60">
        <f>Tabela6[[#This Row],[Qty]]*Tabela6[[#This Row],[Preço]]</f>
        <v>0</v>
      </c>
      <c r="N125" s="37">
        <f>IFERROR(Tabela_Base_Financeiro[[#This Row],[Proportion]],0)</f>
        <v>0</v>
      </c>
      <c r="O125" s="60">
        <f>Tabela6[[#This Row],[Proporção]]*Tabela6[[#This Row],[Total]]</f>
        <v>0</v>
      </c>
      <c r="P125" s="57"/>
      <c r="Q125" s="55"/>
      <c r="R125" s="58"/>
      <c r="S125" s="61"/>
    </row>
    <row r="126" spans="1:19">
      <c r="A126" s="122" t="e">
        <f>IF(VLOOKUP(Tabela6[[#This Row],[UF]],'BASE CC'!B:C,2,0)="SP",IF(Tabela6[[#This Row],[OPERADORA]]="TIM","SP TIM","SPI"),VLOOKUP(Tabela6[[#This Row],[UF]],'BASE CC'!B:C,2,0))</f>
        <v>#N/A</v>
      </c>
      <c r="B126" s="36" t="e">
        <f>VLOOKUP(Tabela_Base_Financeiro[[#This Row],[Item code]],'COD.FAT'!B:C,2,0)</f>
        <v>#N/A</v>
      </c>
      <c r="C126" s="292">
        <f>Tabela_Base_Financeiro[[#This Row],[PO Ship TO]]</f>
        <v>0</v>
      </c>
      <c r="D126" s="36" t="str">
        <f>RIGHT(Tabela_Base_Financeiro[[#This Row],[Manufacturer]],2)</f>
        <v/>
      </c>
      <c r="E12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26" s="122" t="e">
        <f>VLOOKUP(Tabela_Base_Financeiro[[#This Row],[Project Code]],'COD. PROJETOS'!B:D,3,0)</f>
        <v>#N/A</v>
      </c>
      <c r="G126" s="36">
        <f>IFERROR(Tabela_Base_Financeiro[[#This Row],[PO No,]],0)</f>
        <v>0</v>
      </c>
      <c r="H126" s="36">
        <f>IFERROR(Tabela_Base_Financeiro[[#This Row],[Line No,]],0)</f>
        <v>0</v>
      </c>
      <c r="I126" s="36" t="str">
        <f>IFERROR(MID(Tabela_Base_Financeiro[[#This Row],[Manufacturer]],19,14),"")</f>
        <v/>
      </c>
      <c r="J126" s="113">
        <f>IFERROR(Tabela_Base_Financeiro[[#This Row],[Item code]],0)</f>
        <v>0</v>
      </c>
      <c r="K126" s="293">
        <f>IFERROR(Tabela_Base_Financeiro[[#This Row],[Unit Price]],0)</f>
        <v>0</v>
      </c>
      <c r="L126" s="36">
        <f>IFERROR(Tabela_Base_Financeiro[[#This Row],[AC Qty,]],0)</f>
        <v>0</v>
      </c>
      <c r="M126" s="60">
        <f>Tabela6[[#This Row],[Qty]]*Tabela6[[#This Row],[Preço]]</f>
        <v>0</v>
      </c>
      <c r="N126" s="37">
        <f>IFERROR(Tabela_Base_Financeiro[[#This Row],[Proportion]],0)</f>
        <v>0</v>
      </c>
      <c r="O126" s="60">
        <f>Tabela6[[#This Row],[Proporção]]*Tabela6[[#This Row],[Total]]</f>
        <v>0</v>
      </c>
      <c r="P126" s="57"/>
      <c r="Q126" s="55"/>
      <c r="R126" s="58"/>
      <c r="S126" s="61"/>
    </row>
    <row r="127" spans="1:19">
      <c r="A127" s="122" t="e">
        <f>IF(VLOOKUP(Tabela6[[#This Row],[UF]],'BASE CC'!B:C,2,0)="SP",IF(Tabela6[[#This Row],[OPERADORA]]="TIM","SP TIM","SPI"),VLOOKUP(Tabela6[[#This Row],[UF]],'BASE CC'!B:C,2,0))</f>
        <v>#N/A</v>
      </c>
      <c r="B127" s="36" t="e">
        <f>VLOOKUP(Tabela_Base_Financeiro[[#This Row],[Item code]],'COD.FAT'!B:C,2,0)</f>
        <v>#N/A</v>
      </c>
      <c r="C127" s="292">
        <f>Tabela_Base_Financeiro[[#This Row],[PO Ship TO]]</f>
        <v>0</v>
      </c>
      <c r="D127" s="36" t="str">
        <f>RIGHT(Tabela_Base_Financeiro[[#This Row],[Manufacturer]],2)</f>
        <v/>
      </c>
      <c r="E12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27" s="122" t="e">
        <f>VLOOKUP(Tabela_Base_Financeiro[[#This Row],[Project Code]],'COD. PROJETOS'!B:D,3,0)</f>
        <v>#N/A</v>
      </c>
      <c r="G127" s="36">
        <f>IFERROR(Tabela_Base_Financeiro[[#This Row],[PO No,]],0)</f>
        <v>0</v>
      </c>
      <c r="H127" s="36">
        <f>IFERROR(Tabela_Base_Financeiro[[#This Row],[Line No,]],0)</f>
        <v>0</v>
      </c>
      <c r="I127" s="36" t="str">
        <f>IFERROR(MID(Tabela_Base_Financeiro[[#This Row],[Manufacturer]],19,14),"")</f>
        <v/>
      </c>
      <c r="J127" s="113">
        <f>IFERROR(Tabela_Base_Financeiro[[#This Row],[Item code]],0)</f>
        <v>0</v>
      </c>
      <c r="K127" s="293">
        <f>IFERROR(Tabela_Base_Financeiro[[#This Row],[Unit Price]],0)</f>
        <v>0</v>
      </c>
      <c r="L127" s="36">
        <f>IFERROR(Tabela_Base_Financeiro[[#This Row],[AC Qty,]],0)</f>
        <v>0</v>
      </c>
      <c r="M127" s="60">
        <f>Tabela6[[#This Row],[Qty]]*Tabela6[[#This Row],[Preço]]</f>
        <v>0</v>
      </c>
      <c r="N127" s="37">
        <f>IFERROR(Tabela_Base_Financeiro[[#This Row],[Proportion]],0)</f>
        <v>0</v>
      </c>
      <c r="O127" s="60">
        <f>Tabela6[[#This Row],[Proporção]]*Tabela6[[#This Row],[Total]]</f>
        <v>0</v>
      </c>
      <c r="P127" s="57"/>
      <c r="Q127" s="55"/>
      <c r="R127" s="58"/>
      <c r="S127" s="61"/>
    </row>
    <row r="128" spans="1:19">
      <c r="A128" s="122" t="e">
        <f>IF(VLOOKUP(Tabela6[[#This Row],[UF]],'BASE CC'!B:C,2,0)="SP",IF(Tabela6[[#This Row],[OPERADORA]]="TIM","SP TIM","SPI"),VLOOKUP(Tabela6[[#This Row],[UF]],'BASE CC'!B:C,2,0))</f>
        <v>#N/A</v>
      </c>
      <c r="B128" s="36" t="e">
        <f>VLOOKUP(Tabela_Base_Financeiro[[#This Row],[Item code]],'COD.FAT'!B:C,2,0)</f>
        <v>#N/A</v>
      </c>
      <c r="C128" s="292">
        <f>Tabela_Base_Financeiro[[#This Row],[PO Ship TO]]</f>
        <v>0</v>
      </c>
      <c r="D128" s="36" t="str">
        <f>RIGHT(Tabela_Base_Financeiro[[#This Row],[Manufacturer]],2)</f>
        <v/>
      </c>
      <c r="E12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28" s="122" t="e">
        <f>VLOOKUP(Tabela_Base_Financeiro[[#This Row],[Project Code]],'COD. PROJETOS'!B:D,3,0)</f>
        <v>#N/A</v>
      </c>
      <c r="G128" s="36">
        <f>IFERROR(Tabela_Base_Financeiro[[#This Row],[PO No,]],0)</f>
        <v>0</v>
      </c>
      <c r="H128" s="36">
        <f>IFERROR(Tabela_Base_Financeiro[[#This Row],[Line No,]],0)</f>
        <v>0</v>
      </c>
      <c r="I128" s="36" t="str">
        <f>IFERROR(MID(Tabela_Base_Financeiro[[#This Row],[Manufacturer]],19,14),"")</f>
        <v/>
      </c>
      <c r="J128" s="113">
        <f>IFERROR(Tabela_Base_Financeiro[[#This Row],[Item code]],0)</f>
        <v>0</v>
      </c>
      <c r="K128" s="293">
        <f>IFERROR(Tabela_Base_Financeiro[[#This Row],[Unit Price]],0)</f>
        <v>0</v>
      </c>
      <c r="L128" s="36">
        <f>IFERROR(Tabela_Base_Financeiro[[#This Row],[AC Qty,]],0)</f>
        <v>0</v>
      </c>
      <c r="M128" s="60">
        <f>Tabela6[[#This Row],[Qty]]*Tabela6[[#This Row],[Preço]]</f>
        <v>0</v>
      </c>
      <c r="N128" s="37">
        <f>IFERROR(Tabela_Base_Financeiro[[#This Row],[Proportion]],0)</f>
        <v>0</v>
      </c>
      <c r="O128" s="60">
        <f>Tabela6[[#This Row],[Proporção]]*Tabela6[[#This Row],[Total]]</f>
        <v>0</v>
      </c>
      <c r="P128" s="57"/>
      <c r="Q128" s="55"/>
      <c r="R128" s="58"/>
      <c r="S128" s="61"/>
    </row>
    <row r="129" spans="1:19">
      <c r="A129" s="122" t="e">
        <f>IF(VLOOKUP(Tabela6[[#This Row],[UF]],'BASE CC'!B:C,2,0)="SP",IF(Tabela6[[#This Row],[OPERADORA]]="TIM","SP TIM","SPI"),VLOOKUP(Tabela6[[#This Row],[UF]],'BASE CC'!B:C,2,0))</f>
        <v>#N/A</v>
      </c>
      <c r="B129" s="36" t="e">
        <f>VLOOKUP(Tabela_Base_Financeiro[[#This Row],[Item code]],'COD.FAT'!B:C,2,0)</f>
        <v>#N/A</v>
      </c>
      <c r="C129" s="292">
        <f>Tabela_Base_Financeiro[[#This Row],[PO Ship TO]]</f>
        <v>0</v>
      </c>
      <c r="D129" s="36" t="str">
        <f>RIGHT(Tabela_Base_Financeiro[[#This Row],[Manufacturer]],2)</f>
        <v/>
      </c>
      <c r="E12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29" s="122" t="e">
        <f>VLOOKUP(Tabela_Base_Financeiro[[#This Row],[Project Code]],'COD. PROJETOS'!B:D,3,0)</f>
        <v>#N/A</v>
      </c>
      <c r="G129" s="36">
        <f>IFERROR(Tabela_Base_Financeiro[[#This Row],[PO No,]],0)</f>
        <v>0</v>
      </c>
      <c r="H129" s="36">
        <f>IFERROR(Tabela_Base_Financeiro[[#This Row],[Line No,]],0)</f>
        <v>0</v>
      </c>
      <c r="I129" s="36" t="str">
        <f>IFERROR(MID(Tabela_Base_Financeiro[[#This Row],[Manufacturer]],19,14),"")</f>
        <v/>
      </c>
      <c r="J129" s="113">
        <f>IFERROR(Tabela_Base_Financeiro[[#This Row],[Item code]],0)</f>
        <v>0</v>
      </c>
      <c r="K129" s="293">
        <f>IFERROR(Tabela_Base_Financeiro[[#This Row],[Unit Price]],0)</f>
        <v>0</v>
      </c>
      <c r="L129" s="36">
        <f>IFERROR(Tabela_Base_Financeiro[[#This Row],[AC Qty,]],0)</f>
        <v>0</v>
      </c>
      <c r="M129" s="60">
        <f>Tabela6[[#This Row],[Qty]]*Tabela6[[#This Row],[Preço]]</f>
        <v>0</v>
      </c>
      <c r="N129" s="37">
        <f>IFERROR(Tabela_Base_Financeiro[[#This Row],[Proportion]],0)</f>
        <v>0</v>
      </c>
      <c r="O129" s="60">
        <f>Tabela6[[#This Row],[Proporção]]*Tabela6[[#This Row],[Total]]</f>
        <v>0</v>
      </c>
      <c r="P129" s="57"/>
      <c r="Q129" s="55"/>
      <c r="R129" s="58"/>
      <c r="S129" s="61"/>
    </row>
    <row r="130" spans="1:19">
      <c r="A130" s="122" t="e">
        <f>IF(VLOOKUP(Tabela6[[#This Row],[UF]],'BASE CC'!B:C,2,0)="SP",IF(Tabela6[[#This Row],[OPERADORA]]="TIM","SP TIM","SPI"),VLOOKUP(Tabela6[[#This Row],[UF]],'BASE CC'!B:C,2,0))</f>
        <v>#N/A</v>
      </c>
      <c r="B130" s="36" t="e">
        <f>VLOOKUP(Tabela_Base_Financeiro[[#This Row],[Item code]],'COD.FAT'!B:C,2,0)</f>
        <v>#N/A</v>
      </c>
      <c r="C130" s="292">
        <f>Tabela_Base_Financeiro[[#This Row],[PO Ship TO]]</f>
        <v>0</v>
      </c>
      <c r="D130" s="36" t="str">
        <f>RIGHT(Tabela_Base_Financeiro[[#This Row],[Manufacturer]],2)</f>
        <v/>
      </c>
      <c r="E13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30" s="122" t="e">
        <f>VLOOKUP(Tabela_Base_Financeiro[[#This Row],[Project Code]],'COD. PROJETOS'!B:D,3,0)</f>
        <v>#N/A</v>
      </c>
      <c r="G130" s="36">
        <f>IFERROR(Tabela_Base_Financeiro[[#This Row],[PO No,]],0)</f>
        <v>0</v>
      </c>
      <c r="H130" s="36">
        <f>IFERROR(Tabela_Base_Financeiro[[#This Row],[Line No,]],0)</f>
        <v>0</v>
      </c>
      <c r="I130" s="36" t="str">
        <f>IFERROR(MID(Tabela_Base_Financeiro[[#This Row],[Manufacturer]],19,14),"")</f>
        <v/>
      </c>
      <c r="J130" s="113">
        <f>IFERROR(Tabela_Base_Financeiro[[#This Row],[Item code]],0)</f>
        <v>0</v>
      </c>
      <c r="K130" s="293">
        <f>IFERROR(Tabela_Base_Financeiro[[#This Row],[Unit Price]],0)</f>
        <v>0</v>
      </c>
      <c r="L130" s="36">
        <f>IFERROR(Tabela_Base_Financeiro[[#This Row],[AC Qty,]],0)</f>
        <v>0</v>
      </c>
      <c r="M130" s="60">
        <f>Tabela6[[#This Row],[Qty]]*Tabela6[[#This Row],[Preço]]</f>
        <v>0</v>
      </c>
      <c r="N130" s="37">
        <f>IFERROR(Tabela_Base_Financeiro[[#This Row],[Proportion]],0)</f>
        <v>0</v>
      </c>
      <c r="O130" s="60">
        <f>Tabela6[[#This Row],[Proporção]]*Tabela6[[#This Row],[Total]]</f>
        <v>0</v>
      </c>
      <c r="P130" s="57"/>
      <c r="Q130" s="55"/>
      <c r="R130" s="58"/>
      <c r="S130" s="61"/>
    </row>
    <row r="131" spans="1:19">
      <c r="A131" s="122" t="e">
        <f>IF(VLOOKUP(Tabela6[[#This Row],[UF]],'BASE CC'!B:C,2,0)="SP",IF(Tabela6[[#This Row],[OPERADORA]]="TIM","SP TIM","SPI"),VLOOKUP(Tabela6[[#This Row],[UF]],'BASE CC'!B:C,2,0))</f>
        <v>#N/A</v>
      </c>
      <c r="B131" s="36" t="e">
        <f>VLOOKUP(Tabela_Base_Financeiro[[#This Row],[Item code]],'COD.FAT'!B:C,2,0)</f>
        <v>#N/A</v>
      </c>
      <c r="C131" s="292">
        <f>Tabela_Base_Financeiro[[#This Row],[PO Ship TO]]</f>
        <v>0</v>
      </c>
      <c r="D131" s="36" t="str">
        <f>RIGHT(Tabela_Base_Financeiro[[#This Row],[Manufacturer]],2)</f>
        <v/>
      </c>
      <c r="E13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31" s="122" t="e">
        <f>VLOOKUP(Tabela_Base_Financeiro[[#This Row],[Project Code]],'COD. PROJETOS'!B:D,3,0)</f>
        <v>#N/A</v>
      </c>
      <c r="G131" s="36">
        <f>IFERROR(Tabela_Base_Financeiro[[#This Row],[PO No,]],0)</f>
        <v>0</v>
      </c>
      <c r="H131" s="36">
        <f>IFERROR(Tabela_Base_Financeiro[[#This Row],[Line No,]],0)</f>
        <v>0</v>
      </c>
      <c r="I131" s="36" t="str">
        <f>IFERROR(MID(Tabela_Base_Financeiro[[#This Row],[Manufacturer]],19,14),"")</f>
        <v/>
      </c>
      <c r="J131" s="113">
        <f>IFERROR(Tabela_Base_Financeiro[[#This Row],[Item code]],0)</f>
        <v>0</v>
      </c>
      <c r="K131" s="293">
        <f>IFERROR(Tabela_Base_Financeiro[[#This Row],[Unit Price]],0)</f>
        <v>0</v>
      </c>
      <c r="L131" s="36">
        <f>IFERROR(Tabela_Base_Financeiro[[#This Row],[AC Qty,]],0)</f>
        <v>0</v>
      </c>
      <c r="M131" s="60">
        <f>Tabela6[[#This Row],[Qty]]*Tabela6[[#This Row],[Preço]]</f>
        <v>0</v>
      </c>
      <c r="N131" s="37">
        <f>IFERROR(Tabela_Base_Financeiro[[#This Row],[Proportion]],0)</f>
        <v>0</v>
      </c>
      <c r="O131" s="60">
        <f>Tabela6[[#This Row],[Proporção]]*Tabela6[[#This Row],[Total]]</f>
        <v>0</v>
      </c>
      <c r="P131" s="57"/>
      <c r="Q131" s="55"/>
      <c r="R131" s="58"/>
      <c r="S131" s="61"/>
    </row>
    <row r="132" spans="1:19">
      <c r="A132" s="122" t="e">
        <f>IF(VLOOKUP(Tabela6[[#This Row],[UF]],'BASE CC'!B:C,2,0)="SP",IF(Tabela6[[#This Row],[OPERADORA]]="TIM","SP TIM","SPI"),VLOOKUP(Tabela6[[#This Row],[UF]],'BASE CC'!B:C,2,0))</f>
        <v>#N/A</v>
      </c>
      <c r="B132" s="36" t="e">
        <f>VLOOKUP(Tabela_Base_Financeiro[[#This Row],[Item code]],'COD.FAT'!B:C,2,0)</f>
        <v>#N/A</v>
      </c>
      <c r="C132" s="292">
        <f>Tabela_Base_Financeiro[[#This Row],[PO Ship TO]]</f>
        <v>0</v>
      </c>
      <c r="D132" s="36" t="str">
        <f>RIGHT(Tabela_Base_Financeiro[[#This Row],[Manufacturer]],2)</f>
        <v/>
      </c>
      <c r="E13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32" s="122" t="e">
        <f>VLOOKUP(Tabela_Base_Financeiro[[#This Row],[Project Code]],'COD. PROJETOS'!B:D,3,0)</f>
        <v>#N/A</v>
      </c>
      <c r="G132" s="36">
        <f>IFERROR(Tabela_Base_Financeiro[[#This Row],[PO No,]],0)</f>
        <v>0</v>
      </c>
      <c r="H132" s="36">
        <f>IFERROR(Tabela_Base_Financeiro[[#This Row],[Line No,]],0)</f>
        <v>0</v>
      </c>
      <c r="I132" s="36" t="str">
        <f>IFERROR(MID(Tabela_Base_Financeiro[[#This Row],[Manufacturer]],19,14),"")</f>
        <v/>
      </c>
      <c r="J132" s="113">
        <f>IFERROR(Tabela_Base_Financeiro[[#This Row],[Item code]],0)</f>
        <v>0</v>
      </c>
      <c r="K132" s="293">
        <f>IFERROR(Tabela_Base_Financeiro[[#This Row],[Unit Price]],0)</f>
        <v>0</v>
      </c>
      <c r="L132" s="36">
        <f>IFERROR(Tabela_Base_Financeiro[[#This Row],[AC Qty,]],0)</f>
        <v>0</v>
      </c>
      <c r="M132" s="60">
        <f>Tabela6[[#This Row],[Qty]]*Tabela6[[#This Row],[Preço]]</f>
        <v>0</v>
      </c>
      <c r="N132" s="37">
        <f>IFERROR(Tabela_Base_Financeiro[[#This Row],[Proportion]],0)</f>
        <v>0</v>
      </c>
      <c r="O132" s="60">
        <f>Tabela6[[#This Row],[Proporção]]*Tabela6[[#This Row],[Total]]</f>
        <v>0</v>
      </c>
      <c r="P132" s="57"/>
      <c r="Q132" s="55"/>
      <c r="R132" s="58"/>
      <c r="S132" s="61"/>
    </row>
    <row r="133" spans="1:19">
      <c r="A133" s="122" t="e">
        <f>IF(VLOOKUP(Tabela6[[#This Row],[UF]],'BASE CC'!B:C,2,0)="SP",IF(Tabela6[[#This Row],[OPERADORA]]="TIM","SP TIM","SPI"),VLOOKUP(Tabela6[[#This Row],[UF]],'BASE CC'!B:C,2,0))</f>
        <v>#N/A</v>
      </c>
      <c r="B133" s="36" t="e">
        <f>VLOOKUP(Tabela_Base_Financeiro[[#This Row],[Item code]],'COD.FAT'!B:C,2,0)</f>
        <v>#N/A</v>
      </c>
      <c r="C133" s="292">
        <f>Tabela_Base_Financeiro[[#This Row],[PO Ship TO]]</f>
        <v>0</v>
      </c>
      <c r="D133" s="36" t="str">
        <f>RIGHT(Tabela_Base_Financeiro[[#This Row],[Manufacturer]],2)</f>
        <v/>
      </c>
      <c r="E13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33" s="122" t="e">
        <f>VLOOKUP(Tabela_Base_Financeiro[[#This Row],[Project Code]],'COD. PROJETOS'!B:D,3,0)</f>
        <v>#N/A</v>
      </c>
      <c r="G133" s="36">
        <f>IFERROR(Tabela_Base_Financeiro[[#This Row],[PO No,]],0)</f>
        <v>0</v>
      </c>
      <c r="H133" s="36">
        <f>IFERROR(Tabela_Base_Financeiro[[#This Row],[Line No,]],0)</f>
        <v>0</v>
      </c>
      <c r="I133" s="36" t="str">
        <f>IFERROR(MID(Tabela_Base_Financeiro[[#This Row],[Manufacturer]],19,14),"")</f>
        <v/>
      </c>
      <c r="J133" s="113">
        <f>IFERROR(Tabela_Base_Financeiro[[#This Row],[Item code]],0)</f>
        <v>0</v>
      </c>
      <c r="K133" s="293">
        <f>IFERROR(Tabela_Base_Financeiro[[#This Row],[Unit Price]],0)</f>
        <v>0</v>
      </c>
      <c r="L133" s="36">
        <f>IFERROR(Tabela_Base_Financeiro[[#This Row],[AC Qty,]],0)</f>
        <v>0</v>
      </c>
      <c r="M133" s="60">
        <f>Tabela6[[#This Row],[Qty]]*Tabela6[[#This Row],[Preço]]</f>
        <v>0</v>
      </c>
      <c r="N133" s="37">
        <f>IFERROR(Tabela_Base_Financeiro[[#This Row],[Proportion]],0)</f>
        <v>0</v>
      </c>
      <c r="O133" s="60">
        <f>Tabela6[[#This Row],[Proporção]]*Tabela6[[#This Row],[Total]]</f>
        <v>0</v>
      </c>
      <c r="P133" s="57"/>
      <c r="Q133" s="55"/>
      <c r="R133" s="58"/>
      <c r="S133" s="61"/>
    </row>
    <row r="134" spans="1:19">
      <c r="A134" s="122" t="e">
        <f>IF(VLOOKUP(Tabela6[[#This Row],[UF]],'BASE CC'!B:C,2,0)="SP",IF(Tabela6[[#This Row],[OPERADORA]]="TIM","SP TIM","SPI"),VLOOKUP(Tabela6[[#This Row],[UF]],'BASE CC'!B:C,2,0))</f>
        <v>#N/A</v>
      </c>
      <c r="B134" s="36" t="e">
        <f>VLOOKUP(Tabela_Base_Financeiro[[#This Row],[Item code]],'COD.FAT'!B:C,2,0)</f>
        <v>#N/A</v>
      </c>
      <c r="C134" s="292">
        <f>Tabela_Base_Financeiro[[#This Row],[PO Ship TO]]</f>
        <v>0</v>
      </c>
      <c r="D134" s="36" t="str">
        <f>RIGHT(Tabela_Base_Financeiro[[#This Row],[Manufacturer]],2)</f>
        <v/>
      </c>
      <c r="E13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34" s="122" t="e">
        <f>VLOOKUP(Tabela_Base_Financeiro[[#This Row],[Project Code]],'COD. PROJETOS'!B:D,3,0)</f>
        <v>#N/A</v>
      </c>
      <c r="G134" s="36">
        <f>IFERROR(Tabela_Base_Financeiro[[#This Row],[PO No,]],0)</f>
        <v>0</v>
      </c>
      <c r="H134" s="36">
        <f>IFERROR(Tabela_Base_Financeiro[[#This Row],[Line No,]],0)</f>
        <v>0</v>
      </c>
      <c r="I134" s="36" t="str">
        <f>IFERROR(MID(Tabela_Base_Financeiro[[#This Row],[Manufacturer]],19,14),"")</f>
        <v/>
      </c>
      <c r="J134" s="113">
        <f>IFERROR(Tabela_Base_Financeiro[[#This Row],[Item code]],0)</f>
        <v>0</v>
      </c>
      <c r="K134" s="293">
        <f>IFERROR(Tabela_Base_Financeiro[[#This Row],[Unit Price]],0)</f>
        <v>0</v>
      </c>
      <c r="L134" s="36">
        <f>IFERROR(Tabela_Base_Financeiro[[#This Row],[AC Qty,]],0)</f>
        <v>0</v>
      </c>
      <c r="M134" s="60">
        <f>Tabela6[[#This Row],[Qty]]*Tabela6[[#This Row],[Preço]]</f>
        <v>0</v>
      </c>
      <c r="N134" s="37">
        <f>IFERROR(Tabela_Base_Financeiro[[#This Row],[Proportion]],0)</f>
        <v>0</v>
      </c>
      <c r="O134" s="60">
        <f>Tabela6[[#This Row],[Proporção]]*Tabela6[[#This Row],[Total]]</f>
        <v>0</v>
      </c>
      <c r="P134" s="57"/>
      <c r="Q134" s="55"/>
      <c r="R134" s="58"/>
      <c r="S134" s="61"/>
    </row>
    <row r="135" spans="1:19">
      <c r="A135" s="122" t="e">
        <f>IF(VLOOKUP(Tabela6[[#This Row],[UF]],'BASE CC'!B:C,2,0)="SP",IF(Tabela6[[#This Row],[OPERADORA]]="TIM","SP TIM","SPI"),VLOOKUP(Tabela6[[#This Row],[UF]],'BASE CC'!B:C,2,0))</f>
        <v>#N/A</v>
      </c>
      <c r="B135" s="36" t="e">
        <f>VLOOKUP(Tabela_Base_Financeiro[[#This Row],[Item code]],'COD.FAT'!B:C,2,0)</f>
        <v>#N/A</v>
      </c>
      <c r="C135" s="292">
        <f>Tabela_Base_Financeiro[[#This Row],[PO Ship TO]]</f>
        <v>0</v>
      </c>
      <c r="D135" s="36" t="str">
        <f>RIGHT(Tabela_Base_Financeiro[[#This Row],[Manufacturer]],2)</f>
        <v/>
      </c>
      <c r="E13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35" s="122" t="e">
        <f>VLOOKUP(Tabela_Base_Financeiro[[#This Row],[Project Code]],'COD. PROJETOS'!B:D,3,0)</f>
        <v>#N/A</v>
      </c>
      <c r="G135" s="36">
        <f>IFERROR(Tabela_Base_Financeiro[[#This Row],[PO No,]],0)</f>
        <v>0</v>
      </c>
      <c r="H135" s="36">
        <f>IFERROR(Tabela_Base_Financeiro[[#This Row],[Line No,]],0)</f>
        <v>0</v>
      </c>
      <c r="I135" s="36" t="str">
        <f>IFERROR(MID(Tabela_Base_Financeiro[[#This Row],[Manufacturer]],19,14),"")</f>
        <v/>
      </c>
      <c r="J135" s="113">
        <f>IFERROR(Tabela_Base_Financeiro[[#This Row],[Item code]],0)</f>
        <v>0</v>
      </c>
      <c r="K135" s="293">
        <f>IFERROR(Tabela_Base_Financeiro[[#This Row],[Unit Price]],0)</f>
        <v>0</v>
      </c>
      <c r="L135" s="36">
        <f>IFERROR(Tabela_Base_Financeiro[[#This Row],[AC Qty,]],0)</f>
        <v>0</v>
      </c>
      <c r="M135" s="60">
        <f>Tabela6[[#This Row],[Qty]]*Tabela6[[#This Row],[Preço]]</f>
        <v>0</v>
      </c>
      <c r="N135" s="37">
        <f>IFERROR(Tabela_Base_Financeiro[[#This Row],[Proportion]],0)</f>
        <v>0</v>
      </c>
      <c r="O135" s="60">
        <f>Tabela6[[#This Row],[Proporção]]*Tabela6[[#This Row],[Total]]</f>
        <v>0</v>
      </c>
      <c r="P135" s="57"/>
      <c r="Q135" s="55"/>
      <c r="R135" s="58"/>
      <c r="S135" s="61"/>
    </row>
    <row r="136" spans="1:19">
      <c r="A136" s="122" t="e">
        <f>IF(VLOOKUP(Tabela6[[#This Row],[UF]],'BASE CC'!B:C,2,0)="SP",IF(Tabela6[[#This Row],[OPERADORA]]="TIM","SP TIM","SPI"),VLOOKUP(Tabela6[[#This Row],[UF]],'BASE CC'!B:C,2,0))</f>
        <v>#N/A</v>
      </c>
      <c r="B136" s="36" t="e">
        <f>VLOOKUP(Tabela_Base_Financeiro[[#This Row],[Item code]],'COD.FAT'!B:C,2,0)</f>
        <v>#N/A</v>
      </c>
      <c r="C136" s="292">
        <f>Tabela_Base_Financeiro[[#This Row],[PO Ship TO]]</f>
        <v>0</v>
      </c>
      <c r="D136" s="36" t="str">
        <f>RIGHT(Tabela_Base_Financeiro[[#This Row],[Manufacturer]],2)</f>
        <v/>
      </c>
      <c r="E13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36" s="122" t="e">
        <f>VLOOKUP(Tabela_Base_Financeiro[[#This Row],[Project Code]],'COD. PROJETOS'!B:D,3,0)</f>
        <v>#N/A</v>
      </c>
      <c r="G136" s="36">
        <f>IFERROR(Tabela_Base_Financeiro[[#This Row],[PO No,]],0)</f>
        <v>0</v>
      </c>
      <c r="H136" s="36">
        <f>IFERROR(Tabela_Base_Financeiro[[#This Row],[Line No,]],0)</f>
        <v>0</v>
      </c>
      <c r="I136" s="36" t="str">
        <f>IFERROR(MID(Tabela_Base_Financeiro[[#This Row],[Manufacturer]],19,14),"")</f>
        <v/>
      </c>
      <c r="J136" s="113">
        <f>IFERROR(Tabela_Base_Financeiro[[#This Row],[Item code]],0)</f>
        <v>0</v>
      </c>
      <c r="K136" s="293">
        <f>IFERROR(Tabela_Base_Financeiro[[#This Row],[Unit Price]],0)</f>
        <v>0</v>
      </c>
      <c r="L136" s="36">
        <f>IFERROR(Tabela_Base_Financeiro[[#This Row],[AC Qty,]],0)</f>
        <v>0</v>
      </c>
      <c r="M136" s="60">
        <f>Tabela6[[#This Row],[Qty]]*Tabela6[[#This Row],[Preço]]</f>
        <v>0</v>
      </c>
      <c r="N136" s="37">
        <f>IFERROR(Tabela_Base_Financeiro[[#This Row],[Proportion]],0)</f>
        <v>0</v>
      </c>
      <c r="O136" s="60">
        <f>Tabela6[[#This Row],[Proporção]]*Tabela6[[#This Row],[Total]]</f>
        <v>0</v>
      </c>
      <c r="P136" s="57"/>
      <c r="Q136" s="55"/>
      <c r="R136" s="58"/>
      <c r="S136" s="61"/>
    </row>
    <row r="137" spans="1:19">
      <c r="A137" s="122" t="e">
        <f>IF(VLOOKUP(Tabela6[[#This Row],[UF]],'BASE CC'!B:C,2,0)="SP",IF(Tabela6[[#This Row],[OPERADORA]]="TIM","SP TIM","SPI"),VLOOKUP(Tabela6[[#This Row],[UF]],'BASE CC'!B:C,2,0))</f>
        <v>#N/A</v>
      </c>
      <c r="B137" s="36" t="e">
        <f>VLOOKUP(Tabela_Base_Financeiro[[#This Row],[Item code]],'COD.FAT'!B:C,2,0)</f>
        <v>#N/A</v>
      </c>
      <c r="C137" s="292">
        <f>Tabela_Base_Financeiro[[#This Row],[PO Ship TO]]</f>
        <v>0</v>
      </c>
      <c r="D137" s="36" t="str">
        <f>RIGHT(Tabela_Base_Financeiro[[#This Row],[Manufacturer]],2)</f>
        <v/>
      </c>
      <c r="E13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37" s="122" t="e">
        <f>VLOOKUP(Tabela_Base_Financeiro[[#This Row],[Project Code]],'COD. PROJETOS'!B:D,3,0)</f>
        <v>#N/A</v>
      </c>
      <c r="G137" s="36">
        <f>IFERROR(Tabela_Base_Financeiro[[#This Row],[PO No,]],0)</f>
        <v>0</v>
      </c>
      <c r="H137" s="36">
        <f>IFERROR(Tabela_Base_Financeiro[[#This Row],[Line No,]],0)</f>
        <v>0</v>
      </c>
      <c r="I137" s="36" t="str">
        <f>IFERROR(MID(Tabela_Base_Financeiro[[#This Row],[Manufacturer]],19,14),"")</f>
        <v/>
      </c>
      <c r="J137" s="113">
        <f>IFERROR(Tabela_Base_Financeiro[[#This Row],[Item code]],0)</f>
        <v>0</v>
      </c>
      <c r="K137" s="293">
        <f>IFERROR(Tabela_Base_Financeiro[[#This Row],[Unit Price]],0)</f>
        <v>0</v>
      </c>
      <c r="L137" s="36">
        <f>IFERROR(Tabela_Base_Financeiro[[#This Row],[AC Qty,]],0)</f>
        <v>0</v>
      </c>
      <c r="M137" s="60">
        <f>Tabela6[[#This Row],[Qty]]*Tabela6[[#This Row],[Preço]]</f>
        <v>0</v>
      </c>
      <c r="N137" s="37">
        <f>IFERROR(Tabela_Base_Financeiro[[#This Row],[Proportion]],0)</f>
        <v>0</v>
      </c>
      <c r="O137" s="60">
        <f>Tabela6[[#This Row],[Proporção]]*Tabela6[[#This Row],[Total]]</f>
        <v>0</v>
      </c>
      <c r="P137" s="57"/>
      <c r="Q137" s="55"/>
      <c r="R137" s="58"/>
      <c r="S137" s="61"/>
    </row>
    <row r="138" spans="1:19">
      <c r="A138" s="122" t="e">
        <f>IF(VLOOKUP(Tabela6[[#This Row],[UF]],'BASE CC'!B:C,2,0)="SP",IF(Tabela6[[#This Row],[OPERADORA]]="TIM","SP TIM","SPI"),VLOOKUP(Tabela6[[#This Row],[UF]],'BASE CC'!B:C,2,0))</f>
        <v>#N/A</v>
      </c>
      <c r="B138" s="36" t="e">
        <f>VLOOKUP(Tabela_Base_Financeiro[[#This Row],[Item code]],'COD.FAT'!B:C,2,0)</f>
        <v>#N/A</v>
      </c>
      <c r="C138" s="292">
        <f>Tabela_Base_Financeiro[[#This Row],[PO Ship TO]]</f>
        <v>0</v>
      </c>
      <c r="D138" s="36" t="str">
        <f>RIGHT(Tabela_Base_Financeiro[[#This Row],[Manufacturer]],2)</f>
        <v/>
      </c>
      <c r="E13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38" s="122" t="e">
        <f>VLOOKUP(Tabela_Base_Financeiro[[#This Row],[Project Code]],'COD. PROJETOS'!B:D,3,0)</f>
        <v>#N/A</v>
      </c>
      <c r="G138" s="36">
        <f>IFERROR(Tabela_Base_Financeiro[[#This Row],[PO No,]],0)</f>
        <v>0</v>
      </c>
      <c r="H138" s="36">
        <f>IFERROR(Tabela_Base_Financeiro[[#This Row],[Line No,]],0)</f>
        <v>0</v>
      </c>
      <c r="I138" s="36" t="str">
        <f>IFERROR(MID(Tabela_Base_Financeiro[[#This Row],[Manufacturer]],19,14),"")</f>
        <v/>
      </c>
      <c r="J138" s="113">
        <f>IFERROR(Tabela_Base_Financeiro[[#This Row],[Item code]],0)</f>
        <v>0</v>
      </c>
      <c r="K138" s="293">
        <f>IFERROR(Tabela_Base_Financeiro[[#This Row],[Unit Price]],0)</f>
        <v>0</v>
      </c>
      <c r="L138" s="36">
        <f>IFERROR(Tabela_Base_Financeiro[[#This Row],[AC Qty,]],0)</f>
        <v>0</v>
      </c>
      <c r="M138" s="60">
        <f>Tabela6[[#This Row],[Qty]]*Tabela6[[#This Row],[Preço]]</f>
        <v>0</v>
      </c>
      <c r="N138" s="37">
        <f>IFERROR(Tabela_Base_Financeiro[[#This Row],[Proportion]],0)</f>
        <v>0</v>
      </c>
      <c r="O138" s="60">
        <f>Tabela6[[#This Row],[Proporção]]*Tabela6[[#This Row],[Total]]</f>
        <v>0</v>
      </c>
      <c r="P138" s="57"/>
      <c r="Q138" s="55"/>
      <c r="R138" s="58"/>
      <c r="S138" s="61"/>
    </row>
    <row r="139" spans="1:19">
      <c r="A139" s="122" t="e">
        <f>IF(VLOOKUP(Tabela6[[#This Row],[UF]],'BASE CC'!B:C,2,0)="SP",IF(Tabela6[[#This Row],[OPERADORA]]="TIM","SP TIM","SPI"),VLOOKUP(Tabela6[[#This Row],[UF]],'BASE CC'!B:C,2,0))</f>
        <v>#N/A</v>
      </c>
      <c r="B139" s="36" t="e">
        <f>VLOOKUP(Tabela_Base_Financeiro[[#This Row],[Item code]],'COD.FAT'!B:C,2,0)</f>
        <v>#N/A</v>
      </c>
      <c r="C139" s="292">
        <f>Tabela_Base_Financeiro[[#This Row],[PO Ship TO]]</f>
        <v>0</v>
      </c>
      <c r="D139" s="36" t="str">
        <f>RIGHT(Tabela_Base_Financeiro[[#This Row],[Manufacturer]],2)</f>
        <v/>
      </c>
      <c r="E13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39" s="122" t="e">
        <f>VLOOKUP(Tabela_Base_Financeiro[[#This Row],[Project Code]],'COD. PROJETOS'!B:D,3,0)</f>
        <v>#N/A</v>
      </c>
      <c r="G139" s="36">
        <f>IFERROR(Tabela_Base_Financeiro[[#This Row],[PO No,]],0)</f>
        <v>0</v>
      </c>
      <c r="H139" s="36">
        <f>IFERROR(Tabela_Base_Financeiro[[#This Row],[Line No,]],0)</f>
        <v>0</v>
      </c>
      <c r="I139" s="36" t="str">
        <f>IFERROR(MID(Tabela_Base_Financeiro[[#This Row],[Manufacturer]],19,14),"")</f>
        <v/>
      </c>
      <c r="J139" s="113">
        <f>IFERROR(Tabela_Base_Financeiro[[#This Row],[Item code]],0)</f>
        <v>0</v>
      </c>
      <c r="K139" s="293">
        <f>IFERROR(Tabela_Base_Financeiro[[#This Row],[Unit Price]],0)</f>
        <v>0</v>
      </c>
      <c r="L139" s="36">
        <f>IFERROR(Tabela_Base_Financeiro[[#This Row],[AC Qty,]],0)</f>
        <v>0</v>
      </c>
      <c r="M139" s="60">
        <f>Tabela6[[#This Row],[Qty]]*Tabela6[[#This Row],[Preço]]</f>
        <v>0</v>
      </c>
      <c r="N139" s="37">
        <f>IFERROR(Tabela_Base_Financeiro[[#This Row],[Proportion]],0)</f>
        <v>0</v>
      </c>
      <c r="O139" s="60">
        <f>Tabela6[[#This Row],[Proporção]]*Tabela6[[#This Row],[Total]]</f>
        <v>0</v>
      </c>
      <c r="P139" s="57"/>
      <c r="Q139" s="55"/>
      <c r="R139" s="58"/>
      <c r="S139" s="61"/>
    </row>
    <row r="140" spans="1:19">
      <c r="A140" s="122" t="e">
        <f>IF(VLOOKUP(Tabela6[[#This Row],[UF]],'BASE CC'!B:C,2,0)="SP",IF(Tabela6[[#This Row],[OPERADORA]]="TIM","SP TIM","SPI"),VLOOKUP(Tabela6[[#This Row],[UF]],'BASE CC'!B:C,2,0))</f>
        <v>#N/A</v>
      </c>
      <c r="B140" s="36" t="e">
        <f>VLOOKUP(Tabela_Base_Financeiro[[#This Row],[Item code]],'COD.FAT'!B:C,2,0)</f>
        <v>#N/A</v>
      </c>
      <c r="C140" s="292">
        <f>Tabela_Base_Financeiro[[#This Row],[PO Ship TO]]</f>
        <v>0</v>
      </c>
      <c r="D140" s="36" t="str">
        <f>RIGHT(Tabela_Base_Financeiro[[#This Row],[Manufacturer]],2)</f>
        <v/>
      </c>
      <c r="E14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40" s="122" t="e">
        <f>VLOOKUP(Tabela_Base_Financeiro[[#This Row],[Project Code]],'COD. PROJETOS'!B:D,3,0)</f>
        <v>#N/A</v>
      </c>
      <c r="G140" s="36">
        <f>IFERROR(Tabela_Base_Financeiro[[#This Row],[PO No,]],0)</f>
        <v>0</v>
      </c>
      <c r="H140" s="36">
        <f>IFERROR(Tabela_Base_Financeiro[[#This Row],[Line No,]],0)</f>
        <v>0</v>
      </c>
      <c r="I140" s="36" t="str">
        <f>IFERROR(MID(Tabela_Base_Financeiro[[#This Row],[Manufacturer]],19,14),"")</f>
        <v/>
      </c>
      <c r="J140" s="113">
        <f>IFERROR(Tabela_Base_Financeiro[[#This Row],[Item code]],0)</f>
        <v>0</v>
      </c>
      <c r="K140" s="293">
        <f>IFERROR(Tabela_Base_Financeiro[[#This Row],[Unit Price]],0)</f>
        <v>0</v>
      </c>
      <c r="L140" s="36">
        <f>IFERROR(Tabela_Base_Financeiro[[#This Row],[AC Qty,]],0)</f>
        <v>0</v>
      </c>
      <c r="M140" s="60">
        <f>Tabela6[[#This Row],[Qty]]*Tabela6[[#This Row],[Preço]]</f>
        <v>0</v>
      </c>
      <c r="N140" s="37">
        <f>IFERROR(Tabela_Base_Financeiro[[#This Row],[Proportion]],0)</f>
        <v>0</v>
      </c>
      <c r="O140" s="60">
        <f>Tabela6[[#This Row],[Proporção]]*Tabela6[[#This Row],[Total]]</f>
        <v>0</v>
      </c>
      <c r="P140" s="57"/>
      <c r="Q140" s="55"/>
      <c r="R140" s="58"/>
      <c r="S140" s="61"/>
    </row>
    <row r="141" spans="1:19">
      <c r="A141" s="122" t="e">
        <f>IF(VLOOKUP(Tabela6[[#This Row],[UF]],'BASE CC'!B:C,2,0)="SP",IF(Tabela6[[#This Row],[OPERADORA]]="TIM","SP TIM","SPI"),VLOOKUP(Tabela6[[#This Row],[UF]],'BASE CC'!B:C,2,0))</f>
        <v>#N/A</v>
      </c>
      <c r="B141" s="36" t="e">
        <f>VLOOKUP(Tabela_Base_Financeiro[[#This Row],[Item code]],'COD.FAT'!B:C,2,0)</f>
        <v>#N/A</v>
      </c>
      <c r="C141" s="292">
        <f>Tabela_Base_Financeiro[[#This Row],[PO Ship TO]]</f>
        <v>0</v>
      </c>
      <c r="D141" s="36" t="str">
        <f>RIGHT(Tabela_Base_Financeiro[[#This Row],[Manufacturer]],2)</f>
        <v/>
      </c>
      <c r="E14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41" s="122" t="e">
        <f>VLOOKUP(Tabela_Base_Financeiro[[#This Row],[Project Code]],'COD. PROJETOS'!B:D,3,0)</f>
        <v>#N/A</v>
      </c>
      <c r="G141" s="36">
        <f>IFERROR(Tabela_Base_Financeiro[[#This Row],[PO No,]],0)</f>
        <v>0</v>
      </c>
      <c r="H141" s="36">
        <f>IFERROR(Tabela_Base_Financeiro[[#This Row],[Line No,]],0)</f>
        <v>0</v>
      </c>
      <c r="I141" s="36" t="str">
        <f>IFERROR(MID(Tabela_Base_Financeiro[[#This Row],[Manufacturer]],19,14),"")</f>
        <v/>
      </c>
      <c r="J141" s="113">
        <f>IFERROR(Tabela_Base_Financeiro[[#This Row],[Item code]],0)</f>
        <v>0</v>
      </c>
      <c r="K141" s="293">
        <f>IFERROR(Tabela_Base_Financeiro[[#This Row],[Unit Price]],0)</f>
        <v>0</v>
      </c>
      <c r="L141" s="36">
        <f>IFERROR(Tabela_Base_Financeiro[[#This Row],[AC Qty,]],0)</f>
        <v>0</v>
      </c>
      <c r="M141" s="60">
        <f>Tabela6[[#This Row],[Qty]]*Tabela6[[#This Row],[Preço]]</f>
        <v>0</v>
      </c>
      <c r="N141" s="37">
        <f>IFERROR(Tabela_Base_Financeiro[[#This Row],[Proportion]],0)</f>
        <v>0</v>
      </c>
      <c r="O141" s="60">
        <f>Tabela6[[#This Row],[Proporção]]*Tabela6[[#This Row],[Total]]</f>
        <v>0</v>
      </c>
      <c r="P141" s="57"/>
      <c r="Q141" s="55"/>
      <c r="R141" s="58"/>
      <c r="S141" s="61"/>
    </row>
    <row r="142" spans="1:19">
      <c r="A142" s="122" t="e">
        <f>IF(VLOOKUP(Tabela6[[#This Row],[UF]],'BASE CC'!B:C,2,0)="SP",IF(Tabela6[[#This Row],[OPERADORA]]="TIM","SP TIM","SPI"),VLOOKUP(Tabela6[[#This Row],[UF]],'BASE CC'!B:C,2,0))</f>
        <v>#N/A</v>
      </c>
      <c r="B142" s="36" t="e">
        <f>VLOOKUP(Tabela_Base_Financeiro[[#This Row],[Item code]],'COD.FAT'!B:C,2,0)</f>
        <v>#N/A</v>
      </c>
      <c r="C142" s="292">
        <f>Tabela_Base_Financeiro[[#This Row],[PO Ship TO]]</f>
        <v>0</v>
      </c>
      <c r="D142" s="36" t="str">
        <f>RIGHT(Tabela_Base_Financeiro[[#This Row],[Manufacturer]],2)</f>
        <v/>
      </c>
      <c r="E14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42" s="122" t="e">
        <f>VLOOKUP(Tabela_Base_Financeiro[[#This Row],[Project Code]],'COD. PROJETOS'!B:D,3,0)</f>
        <v>#N/A</v>
      </c>
      <c r="G142" s="36">
        <f>IFERROR(Tabela_Base_Financeiro[[#This Row],[PO No,]],0)</f>
        <v>0</v>
      </c>
      <c r="H142" s="36">
        <f>IFERROR(Tabela_Base_Financeiro[[#This Row],[Line No,]],0)</f>
        <v>0</v>
      </c>
      <c r="I142" s="36" t="str">
        <f>IFERROR(MID(Tabela_Base_Financeiro[[#This Row],[Manufacturer]],19,14),"")</f>
        <v/>
      </c>
      <c r="J142" s="113">
        <f>IFERROR(Tabela_Base_Financeiro[[#This Row],[Item code]],0)</f>
        <v>0</v>
      </c>
      <c r="K142" s="293">
        <f>IFERROR(Tabela_Base_Financeiro[[#This Row],[Unit Price]],0)</f>
        <v>0</v>
      </c>
      <c r="L142" s="36">
        <f>IFERROR(Tabela_Base_Financeiro[[#This Row],[AC Qty,]],0)</f>
        <v>0</v>
      </c>
      <c r="M142" s="60">
        <f>Tabela6[[#This Row],[Qty]]*Tabela6[[#This Row],[Preço]]</f>
        <v>0</v>
      </c>
      <c r="N142" s="37">
        <f>IFERROR(Tabela_Base_Financeiro[[#This Row],[Proportion]],0)</f>
        <v>0</v>
      </c>
      <c r="O142" s="60">
        <f>Tabela6[[#This Row],[Proporção]]*Tabela6[[#This Row],[Total]]</f>
        <v>0</v>
      </c>
      <c r="P142" s="57"/>
      <c r="Q142" s="55"/>
      <c r="R142" s="58"/>
      <c r="S142" s="61"/>
    </row>
    <row r="143" spans="1:19">
      <c r="A143" s="122" t="e">
        <f>IF(VLOOKUP(Tabela6[[#This Row],[UF]],'BASE CC'!B:C,2,0)="SP",IF(Tabela6[[#This Row],[OPERADORA]]="TIM","SP TIM","SPI"),VLOOKUP(Tabela6[[#This Row],[UF]],'BASE CC'!B:C,2,0))</f>
        <v>#N/A</v>
      </c>
      <c r="B143" s="36" t="e">
        <f>VLOOKUP(Tabela_Base_Financeiro[[#This Row],[Item code]],'COD.FAT'!B:C,2,0)</f>
        <v>#N/A</v>
      </c>
      <c r="C143" s="292">
        <f>Tabela_Base_Financeiro[[#This Row],[PO Ship TO]]</f>
        <v>0</v>
      </c>
      <c r="D143" s="36" t="str">
        <f>RIGHT(Tabela_Base_Financeiro[[#This Row],[Manufacturer]],2)</f>
        <v/>
      </c>
      <c r="E14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43" s="122" t="e">
        <f>VLOOKUP(Tabela_Base_Financeiro[[#This Row],[Project Code]],'COD. PROJETOS'!B:D,3,0)</f>
        <v>#N/A</v>
      </c>
      <c r="G143" s="36">
        <f>IFERROR(Tabela_Base_Financeiro[[#This Row],[PO No,]],0)</f>
        <v>0</v>
      </c>
      <c r="H143" s="36">
        <f>IFERROR(Tabela_Base_Financeiro[[#This Row],[Line No,]],0)</f>
        <v>0</v>
      </c>
      <c r="I143" s="36" t="str">
        <f>IFERROR(MID(Tabela_Base_Financeiro[[#This Row],[Manufacturer]],19,14),"")</f>
        <v/>
      </c>
      <c r="J143" s="113">
        <f>IFERROR(Tabela_Base_Financeiro[[#This Row],[Item code]],0)</f>
        <v>0</v>
      </c>
      <c r="K143" s="293">
        <f>IFERROR(Tabela_Base_Financeiro[[#This Row],[Unit Price]],0)</f>
        <v>0</v>
      </c>
      <c r="L143" s="36">
        <f>IFERROR(Tabela_Base_Financeiro[[#This Row],[AC Qty,]],0)</f>
        <v>0</v>
      </c>
      <c r="M143" s="60">
        <f>Tabela6[[#This Row],[Qty]]*Tabela6[[#This Row],[Preço]]</f>
        <v>0</v>
      </c>
      <c r="N143" s="37">
        <f>IFERROR(Tabela_Base_Financeiro[[#This Row],[Proportion]],0)</f>
        <v>0</v>
      </c>
      <c r="O143" s="60">
        <f>Tabela6[[#This Row],[Proporção]]*Tabela6[[#This Row],[Total]]</f>
        <v>0</v>
      </c>
      <c r="P143" s="57"/>
      <c r="Q143" s="55"/>
      <c r="R143" s="58"/>
      <c r="S143" s="61"/>
    </row>
    <row r="144" spans="1:19">
      <c r="A144" s="122" t="e">
        <f>IF(VLOOKUP(Tabela6[[#This Row],[UF]],'BASE CC'!B:C,2,0)="SP",IF(Tabela6[[#This Row],[OPERADORA]]="TIM","SP TIM","SPI"),VLOOKUP(Tabela6[[#This Row],[UF]],'BASE CC'!B:C,2,0))</f>
        <v>#N/A</v>
      </c>
      <c r="B144" s="36" t="e">
        <f>VLOOKUP(Tabela_Base_Financeiro[[#This Row],[Item code]],'COD.FAT'!B:C,2,0)</f>
        <v>#N/A</v>
      </c>
      <c r="C144" s="292">
        <f>Tabela_Base_Financeiro[[#This Row],[PO Ship TO]]</f>
        <v>0</v>
      </c>
      <c r="D144" s="36" t="str">
        <f>RIGHT(Tabela_Base_Financeiro[[#This Row],[Manufacturer]],2)</f>
        <v/>
      </c>
      <c r="E14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44" s="122" t="e">
        <f>VLOOKUP(Tabela_Base_Financeiro[[#This Row],[Project Code]],'COD. PROJETOS'!B:D,3,0)</f>
        <v>#N/A</v>
      </c>
      <c r="G144" s="36">
        <f>IFERROR(Tabela_Base_Financeiro[[#This Row],[PO No,]],0)</f>
        <v>0</v>
      </c>
      <c r="H144" s="36">
        <f>IFERROR(Tabela_Base_Financeiro[[#This Row],[Line No,]],0)</f>
        <v>0</v>
      </c>
      <c r="I144" s="36" t="str">
        <f>IFERROR(MID(Tabela_Base_Financeiro[[#This Row],[Manufacturer]],19,14),"")</f>
        <v/>
      </c>
      <c r="J144" s="113">
        <f>IFERROR(Tabela_Base_Financeiro[[#This Row],[Item code]],0)</f>
        <v>0</v>
      </c>
      <c r="K144" s="293">
        <f>IFERROR(Tabela_Base_Financeiro[[#This Row],[Unit Price]],0)</f>
        <v>0</v>
      </c>
      <c r="L144" s="36">
        <f>IFERROR(Tabela_Base_Financeiro[[#This Row],[AC Qty,]],0)</f>
        <v>0</v>
      </c>
      <c r="M144" s="60">
        <f>Tabela6[[#This Row],[Qty]]*Tabela6[[#This Row],[Preço]]</f>
        <v>0</v>
      </c>
      <c r="N144" s="37">
        <f>IFERROR(Tabela_Base_Financeiro[[#This Row],[Proportion]],0)</f>
        <v>0</v>
      </c>
      <c r="O144" s="60">
        <f>Tabela6[[#This Row],[Proporção]]*Tabela6[[#This Row],[Total]]</f>
        <v>0</v>
      </c>
      <c r="P144" s="57"/>
      <c r="Q144" s="55"/>
      <c r="R144" s="58"/>
      <c r="S144" s="61"/>
    </row>
    <row r="145" spans="1:19">
      <c r="A145" s="122" t="e">
        <f>IF(VLOOKUP(Tabela6[[#This Row],[UF]],'BASE CC'!B:C,2,0)="SP",IF(Tabela6[[#This Row],[OPERADORA]]="TIM","SP TIM","SPI"),VLOOKUP(Tabela6[[#This Row],[UF]],'BASE CC'!B:C,2,0))</f>
        <v>#N/A</v>
      </c>
      <c r="B145" s="36" t="e">
        <f>VLOOKUP(Tabela_Base_Financeiro[[#This Row],[Item code]],'COD.FAT'!B:C,2,0)</f>
        <v>#N/A</v>
      </c>
      <c r="C145" s="292">
        <f>Tabela_Base_Financeiro[[#This Row],[PO Ship TO]]</f>
        <v>0</v>
      </c>
      <c r="D145" s="36" t="str">
        <f>RIGHT(Tabela_Base_Financeiro[[#This Row],[Manufacturer]],2)</f>
        <v/>
      </c>
      <c r="E14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45" s="122" t="e">
        <f>VLOOKUP(Tabela_Base_Financeiro[[#This Row],[Project Code]],'COD. PROJETOS'!B:D,3,0)</f>
        <v>#N/A</v>
      </c>
      <c r="G145" s="36">
        <f>IFERROR(Tabela_Base_Financeiro[[#This Row],[PO No,]],0)</f>
        <v>0</v>
      </c>
      <c r="H145" s="36">
        <f>IFERROR(Tabela_Base_Financeiro[[#This Row],[Line No,]],0)</f>
        <v>0</v>
      </c>
      <c r="I145" s="36" t="str">
        <f>IFERROR(MID(Tabela_Base_Financeiro[[#This Row],[Manufacturer]],19,14),"")</f>
        <v/>
      </c>
      <c r="J145" s="113">
        <f>IFERROR(Tabela_Base_Financeiro[[#This Row],[Item code]],0)</f>
        <v>0</v>
      </c>
      <c r="K145" s="293">
        <f>IFERROR(Tabela_Base_Financeiro[[#This Row],[Unit Price]],0)</f>
        <v>0</v>
      </c>
      <c r="L145" s="36">
        <f>IFERROR(Tabela_Base_Financeiro[[#This Row],[AC Qty,]],0)</f>
        <v>0</v>
      </c>
      <c r="M145" s="60">
        <f>Tabela6[[#This Row],[Qty]]*Tabela6[[#This Row],[Preço]]</f>
        <v>0</v>
      </c>
      <c r="N145" s="37">
        <f>IFERROR(Tabela_Base_Financeiro[[#This Row],[Proportion]],0)</f>
        <v>0</v>
      </c>
      <c r="O145" s="60">
        <f>Tabela6[[#This Row],[Proporção]]*Tabela6[[#This Row],[Total]]</f>
        <v>0</v>
      </c>
      <c r="P145" s="57"/>
      <c r="Q145" s="55"/>
      <c r="R145" s="58"/>
      <c r="S145" s="61"/>
    </row>
    <row r="146" spans="1:19">
      <c r="A146" s="122" t="e">
        <f>IF(VLOOKUP(Tabela6[[#This Row],[UF]],'BASE CC'!B:C,2,0)="SP",IF(Tabela6[[#This Row],[OPERADORA]]="TIM","SP TIM","SPI"),VLOOKUP(Tabela6[[#This Row],[UF]],'BASE CC'!B:C,2,0))</f>
        <v>#N/A</v>
      </c>
      <c r="B146" s="36" t="e">
        <f>VLOOKUP(Tabela_Base_Financeiro[[#This Row],[Item code]],'COD.FAT'!B:C,2,0)</f>
        <v>#N/A</v>
      </c>
      <c r="C146" s="292">
        <f>Tabela_Base_Financeiro[[#This Row],[PO Ship TO]]</f>
        <v>0</v>
      </c>
      <c r="D146" s="36" t="str">
        <f>RIGHT(Tabela_Base_Financeiro[[#This Row],[Manufacturer]],2)</f>
        <v/>
      </c>
      <c r="E14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46" s="122" t="e">
        <f>VLOOKUP(Tabela_Base_Financeiro[[#This Row],[Project Code]],'COD. PROJETOS'!B:D,3,0)</f>
        <v>#N/A</v>
      </c>
      <c r="G146" s="36">
        <f>IFERROR(Tabela_Base_Financeiro[[#This Row],[PO No,]],0)</f>
        <v>0</v>
      </c>
      <c r="H146" s="36">
        <f>IFERROR(Tabela_Base_Financeiro[[#This Row],[Line No,]],0)</f>
        <v>0</v>
      </c>
      <c r="I146" s="36" t="str">
        <f>IFERROR(MID(Tabela_Base_Financeiro[[#This Row],[Manufacturer]],19,14),"")</f>
        <v/>
      </c>
      <c r="J146" s="113">
        <f>IFERROR(Tabela_Base_Financeiro[[#This Row],[Item code]],0)</f>
        <v>0</v>
      </c>
      <c r="K146" s="293">
        <f>IFERROR(Tabela_Base_Financeiro[[#This Row],[Unit Price]],0)</f>
        <v>0</v>
      </c>
      <c r="L146" s="36">
        <f>IFERROR(Tabela_Base_Financeiro[[#This Row],[AC Qty,]],0)</f>
        <v>0</v>
      </c>
      <c r="M146" s="60">
        <f>Tabela6[[#This Row],[Qty]]*Tabela6[[#This Row],[Preço]]</f>
        <v>0</v>
      </c>
      <c r="N146" s="37">
        <f>IFERROR(Tabela_Base_Financeiro[[#This Row],[Proportion]],0)</f>
        <v>0</v>
      </c>
      <c r="O146" s="60">
        <f>Tabela6[[#This Row],[Proporção]]*Tabela6[[#This Row],[Total]]</f>
        <v>0</v>
      </c>
      <c r="P146" s="57"/>
      <c r="Q146" s="55"/>
      <c r="R146" s="58"/>
      <c r="S146" s="61"/>
    </row>
    <row r="147" spans="1:19">
      <c r="A147" s="122" t="e">
        <f>IF(VLOOKUP(Tabela6[[#This Row],[UF]],'BASE CC'!B:C,2,0)="SP",IF(Tabela6[[#This Row],[OPERADORA]]="TIM","SP TIM","SPI"),VLOOKUP(Tabela6[[#This Row],[UF]],'BASE CC'!B:C,2,0))</f>
        <v>#N/A</v>
      </c>
      <c r="B147" s="36" t="e">
        <f>VLOOKUP(Tabela_Base_Financeiro[[#This Row],[Item code]],'COD.FAT'!B:C,2,0)</f>
        <v>#N/A</v>
      </c>
      <c r="C147" s="292">
        <f>Tabela_Base_Financeiro[[#This Row],[PO Ship TO]]</f>
        <v>0</v>
      </c>
      <c r="D147" s="36" t="str">
        <f>RIGHT(Tabela_Base_Financeiro[[#This Row],[Manufacturer]],2)</f>
        <v/>
      </c>
      <c r="E14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47" s="122" t="e">
        <f>VLOOKUP(Tabela_Base_Financeiro[[#This Row],[Project Code]],'COD. PROJETOS'!B:D,3,0)</f>
        <v>#N/A</v>
      </c>
      <c r="G147" s="36">
        <f>IFERROR(Tabela_Base_Financeiro[[#This Row],[PO No,]],0)</f>
        <v>0</v>
      </c>
      <c r="H147" s="36">
        <f>IFERROR(Tabela_Base_Financeiro[[#This Row],[Line No,]],0)</f>
        <v>0</v>
      </c>
      <c r="I147" s="36" t="str">
        <f>IFERROR(MID(Tabela_Base_Financeiro[[#This Row],[Manufacturer]],19,14),"")</f>
        <v/>
      </c>
      <c r="J147" s="113">
        <f>IFERROR(Tabela_Base_Financeiro[[#This Row],[Item code]],0)</f>
        <v>0</v>
      </c>
      <c r="K147" s="293">
        <f>IFERROR(Tabela_Base_Financeiro[[#This Row],[Unit Price]],0)</f>
        <v>0</v>
      </c>
      <c r="L147" s="36">
        <f>IFERROR(Tabela_Base_Financeiro[[#This Row],[AC Qty,]],0)</f>
        <v>0</v>
      </c>
      <c r="M147" s="60">
        <f>Tabela6[[#This Row],[Qty]]*Tabela6[[#This Row],[Preço]]</f>
        <v>0</v>
      </c>
      <c r="N147" s="37">
        <f>IFERROR(Tabela_Base_Financeiro[[#This Row],[Proportion]],0)</f>
        <v>0</v>
      </c>
      <c r="O147" s="60">
        <f>Tabela6[[#This Row],[Proporção]]*Tabela6[[#This Row],[Total]]</f>
        <v>0</v>
      </c>
      <c r="P147" s="57"/>
      <c r="Q147" s="55"/>
      <c r="R147" s="58"/>
      <c r="S147" s="61"/>
    </row>
    <row r="148" spans="1:19">
      <c r="A148" s="122" t="e">
        <f>IF(VLOOKUP(Tabela6[[#This Row],[UF]],'BASE CC'!B:C,2,0)="SP",IF(Tabela6[[#This Row],[OPERADORA]]="TIM","SP TIM","SPI"),VLOOKUP(Tabela6[[#This Row],[UF]],'BASE CC'!B:C,2,0))</f>
        <v>#N/A</v>
      </c>
      <c r="B148" s="36" t="e">
        <f>VLOOKUP(Tabela_Base_Financeiro[[#This Row],[Item code]],'COD.FAT'!B:C,2,0)</f>
        <v>#N/A</v>
      </c>
      <c r="C148" s="292">
        <f>Tabela_Base_Financeiro[[#This Row],[PO Ship TO]]</f>
        <v>0</v>
      </c>
      <c r="D148" s="36" t="str">
        <f>RIGHT(Tabela_Base_Financeiro[[#This Row],[Manufacturer]],2)</f>
        <v/>
      </c>
      <c r="E14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48" s="122" t="e">
        <f>VLOOKUP(Tabela_Base_Financeiro[[#This Row],[Project Code]],'COD. PROJETOS'!B:D,3,0)</f>
        <v>#N/A</v>
      </c>
      <c r="G148" s="36">
        <f>IFERROR(Tabela_Base_Financeiro[[#This Row],[PO No,]],0)</f>
        <v>0</v>
      </c>
      <c r="H148" s="36">
        <f>IFERROR(Tabela_Base_Financeiro[[#This Row],[Line No,]],0)</f>
        <v>0</v>
      </c>
      <c r="I148" s="36" t="str">
        <f>IFERROR(MID(Tabela_Base_Financeiro[[#This Row],[Manufacturer]],19,14),"")</f>
        <v/>
      </c>
      <c r="J148" s="113">
        <f>IFERROR(Tabela_Base_Financeiro[[#This Row],[Item code]],0)</f>
        <v>0</v>
      </c>
      <c r="K148" s="293">
        <f>IFERROR(Tabela_Base_Financeiro[[#This Row],[Unit Price]],0)</f>
        <v>0</v>
      </c>
      <c r="L148" s="36">
        <f>IFERROR(Tabela_Base_Financeiro[[#This Row],[AC Qty,]],0)</f>
        <v>0</v>
      </c>
      <c r="M148" s="60">
        <f>Tabela6[[#This Row],[Qty]]*Tabela6[[#This Row],[Preço]]</f>
        <v>0</v>
      </c>
      <c r="N148" s="37">
        <f>IFERROR(Tabela_Base_Financeiro[[#This Row],[Proportion]],0)</f>
        <v>0</v>
      </c>
      <c r="O148" s="60">
        <f>Tabela6[[#This Row],[Proporção]]*Tabela6[[#This Row],[Total]]</f>
        <v>0</v>
      </c>
      <c r="P148" s="57"/>
      <c r="Q148" s="55"/>
      <c r="R148" s="58"/>
      <c r="S148" s="61"/>
    </row>
    <row r="149" spans="1:19">
      <c r="A149" s="122" t="e">
        <f>IF(VLOOKUP(Tabela6[[#This Row],[UF]],'BASE CC'!B:C,2,0)="SP",IF(Tabela6[[#This Row],[OPERADORA]]="TIM","SP TIM","SPI"),VLOOKUP(Tabela6[[#This Row],[UF]],'BASE CC'!B:C,2,0))</f>
        <v>#N/A</v>
      </c>
      <c r="B149" s="36" t="e">
        <f>VLOOKUP(Tabela_Base_Financeiro[[#This Row],[Item code]],'COD.FAT'!B:C,2,0)</f>
        <v>#N/A</v>
      </c>
      <c r="C149" s="292">
        <f>Tabela_Base_Financeiro[[#This Row],[PO Ship TO]]</f>
        <v>0</v>
      </c>
      <c r="D149" s="36" t="str">
        <f>RIGHT(Tabela_Base_Financeiro[[#This Row],[Manufacturer]],2)</f>
        <v/>
      </c>
      <c r="E14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49" s="122" t="e">
        <f>VLOOKUP(Tabela_Base_Financeiro[[#This Row],[Project Code]],'COD. PROJETOS'!B:D,3,0)</f>
        <v>#N/A</v>
      </c>
      <c r="G149" s="36">
        <f>IFERROR(Tabela_Base_Financeiro[[#This Row],[PO No,]],0)</f>
        <v>0</v>
      </c>
      <c r="H149" s="36">
        <f>IFERROR(Tabela_Base_Financeiro[[#This Row],[Line No,]],0)</f>
        <v>0</v>
      </c>
      <c r="I149" s="36" t="str">
        <f>IFERROR(MID(Tabela_Base_Financeiro[[#This Row],[Manufacturer]],19,14),"")</f>
        <v/>
      </c>
      <c r="J149" s="113">
        <f>IFERROR(Tabela_Base_Financeiro[[#This Row],[Item code]],0)</f>
        <v>0</v>
      </c>
      <c r="K149" s="293">
        <f>IFERROR(Tabela_Base_Financeiro[[#This Row],[Unit Price]],0)</f>
        <v>0</v>
      </c>
      <c r="L149" s="36">
        <f>IFERROR(Tabela_Base_Financeiro[[#This Row],[AC Qty,]],0)</f>
        <v>0</v>
      </c>
      <c r="M149" s="60">
        <f>Tabela6[[#This Row],[Qty]]*Tabela6[[#This Row],[Preço]]</f>
        <v>0</v>
      </c>
      <c r="N149" s="37">
        <f>IFERROR(Tabela_Base_Financeiro[[#This Row],[Proportion]],0)</f>
        <v>0</v>
      </c>
      <c r="O149" s="60">
        <f>Tabela6[[#This Row],[Proporção]]*Tabela6[[#This Row],[Total]]</f>
        <v>0</v>
      </c>
      <c r="P149" s="57"/>
      <c r="Q149" s="55"/>
      <c r="R149" s="58"/>
      <c r="S149" s="61"/>
    </row>
    <row r="150" spans="1:19">
      <c r="A150" s="122" t="e">
        <f>IF(VLOOKUP(Tabela6[[#This Row],[UF]],'BASE CC'!B:C,2,0)="SP",IF(Tabela6[[#This Row],[OPERADORA]]="TIM","SP TIM","SPI"),VLOOKUP(Tabela6[[#This Row],[UF]],'BASE CC'!B:C,2,0))</f>
        <v>#N/A</v>
      </c>
      <c r="B150" s="36" t="e">
        <f>VLOOKUP(Tabela_Base_Financeiro[[#This Row],[Item code]],'COD.FAT'!B:C,2,0)</f>
        <v>#N/A</v>
      </c>
      <c r="C150" s="292">
        <f>Tabela_Base_Financeiro[[#This Row],[PO Ship TO]]</f>
        <v>0</v>
      </c>
      <c r="D150" s="36" t="str">
        <f>RIGHT(Tabela_Base_Financeiro[[#This Row],[Manufacturer]],2)</f>
        <v/>
      </c>
      <c r="E15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50" s="122" t="e">
        <f>VLOOKUP(Tabela_Base_Financeiro[[#This Row],[Project Code]],'COD. PROJETOS'!B:D,3,0)</f>
        <v>#N/A</v>
      </c>
      <c r="G150" s="36">
        <f>IFERROR(Tabela_Base_Financeiro[[#This Row],[PO No,]],0)</f>
        <v>0</v>
      </c>
      <c r="H150" s="36">
        <f>IFERROR(Tabela_Base_Financeiro[[#This Row],[Line No,]],0)</f>
        <v>0</v>
      </c>
      <c r="I150" s="36" t="str">
        <f>IFERROR(MID(Tabela_Base_Financeiro[[#This Row],[Manufacturer]],19,14),"")</f>
        <v/>
      </c>
      <c r="J150" s="113">
        <f>IFERROR(Tabela_Base_Financeiro[[#This Row],[Item code]],0)</f>
        <v>0</v>
      </c>
      <c r="K150" s="293">
        <f>IFERROR(Tabela_Base_Financeiro[[#This Row],[Unit Price]],0)</f>
        <v>0</v>
      </c>
      <c r="L150" s="36">
        <f>IFERROR(Tabela_Base_Financeiro[[#This Row],[AC Qty,]],0)</f>
        <v>0</v>
      </c>
      <c r="M150" s="60">
        <f>Tabela6[[#This Row],[Qty]]*Tabela6[[#This Row],[Preço]]</f>
        <v>0</v>
      </c>
      <c r="N150" s="37">
        <f>IFERROR(Tabela_Base_Financeiro[[#This Row],[Proportion]],0)</f>
        <v>0</v>
      </c>
      <c r="O150" s="60">
        <f>Tabela6[[#This Row],[Proporção]]*Tabela6[[#This Row],[Total]]</f>
        <v>0</v>
      </c>
      <c r="P150" s="57"/>
      <c r="Q150" s="55"/>
      <c r="R150" s="58"/>
      <c r="S150" s="61"/>
    </row>
    <row r="151" spans="1:19">
      <c r="A151" s="122" t="e">
        <f>IF(VLOOKUP(Tabela6[[#This Row],[UF]],'BASE CC'!B:C,2,0)="SP",IF(Tabela6[[#This Row],[OPERADORA]]="TIM","SP TIM","SPI"),VLOOKUP(Tabela6[[#This Row],[UF]],'BASE CC'!B:C,2,0))</f>
        <v>#N/A</v>
      </c>
      <c r="B151" s="36" t="e">
        <f>VLOOKUP(Tabela_Base_Financeiro[[#This Row],[Item code]],'COD.FAT'!B:C,2,0)</f>
        <v>#N/A</v>
      </c>
      <c r="C151" s="292">
        <f>Tabela_Base_Financeiro[[#This Row],[PO Ship TO]]</f>
        <v>0</v>
      </c>
      <c r="D151" s="36" t="str">
        <f>RIGHT(Tabela_Base_Financeiro[[#This Row],[Manufacturer]],2)</f>
        <v/>
      </c>
      <c r="E15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51" s="122" t="e">
        <f>VLOOKUP(Tabela_Base_Financeiro[[#This Row],[Project Code]],'COD. PROJETOS'!B:D,3,0)</f>
        <v>#N/A</v>
      </c>
      <c r="G151" s="36">
        <f>IFERROR(Tabela_Base_Financeiro[[#This Row],[PO No,]],0)</f>
        <v>0</v>
      </c>
      <c r="H151" s="36">
        <f>IFERROR(Tabela_Base_Financeiro[[#This Row],[Line No,]],0)</f>
        <v>0</v>
      </c>
      <c r="I151" s="36" t="str">
        <f>IFERROR(MID(Tabela_Base_Financeiro[[#This Row],[Manufacturer]],19,14),"")</f>
        <v/>
      </c>
      <c r="J151" s="113">
        <f>IFERROR(Tabela_Base_Financeiro[[#This Row],[Item code]],0)</f>
        <v>0</v>
      </c>
      <c r="K151" s="293">
        <f>IFERROR(Tabela_Base_Financeiro[[#This Row],[Unit Price]],0)</f>
        <v>0</v>
      </c>
      <c r="L151" s="36">
        <f>IFERROR(Tabela_Base_Financeiro[[#This Row],[AC Qty,]],0)</f>
        <v>0</v>
      </c>
      <c r="M151" s="60">
        <f>Tabela6[[#This Row],[Qty]]*Tabela6[[#This Row],[Preço]]</f>
        <v>0</v>
      </c>
      <c r="N151" s="37">
        <f>IFERROR(Tabela_Base_Financeiro[[#This Row],[Proportion]],0)</f>
        <v>0</v>
      </c>
      <c r="O151" s="60">
        <f>Tabela6[[#This Row],[Proporção]]*Tabela6[[#This Row],[Total]]</f>
        <v>0</v>
      </c>
      <c r="P151" s="57"/>
      <c r="Q151" s="55"/>
      <c r="R151" s="58"/>
      <c r="S151" s="61"/>
    </row>
    <row r="152" spans="1:19">
      <c r="A152" s="122" t="e">
        <f>IF(VLOOKUP(Tabela6[[#This Row],[UF]],'BASE CC'!B:C,2,0)="SP",IF(Tabela6[[#This Row],[OPERADORA]]="TIM","SP TIM","SPI"),VLOOKUP(Tabela6[[#This Row],[UF]],'BASE CC'!B:C,2,0))</f>
        <v>#N/A</v>
      </c>
      <c r="B152" s="36" t="e">
        <f>VLOOKUP(Tabela_Base_Financeiro[[#This Row],[Item code]],'COD.FAT'!B:C,2,0)</f>
        <v>#N/A</v>
      </c>
      <c r="C152" s="292">
        <f>Tabela_Base_Financeiro[[#This Row],[PO Ship TO]]</f>
        <v>0</v>
      </c>
      <c r="D152" s="36" t="str">
        <f>RIGHT(Tabela_Base_Financeiro[[#This Row],[Manufacturer]],2)</f>
        <v/>
      </c>
      <c r="E15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52" s="122" t="e">
        <f>VLOOKUP(Tabela_Base_Financeiro[[#This Row],[Project Code]],'COD. PROJETOS'!B:D,3,0)</f>
        <v>#N/A</v>
      </c>
      <c r="G152" s="36">
        <f>IFERROR(Tabela_Base_Financeiro[[#This Row],[PO No,]],0)</f>
        <v>0</v>
      </c>
      <c r="H152" s="36">
        <f>IFERROR(Tabela_Base_Financeiro[[#This Row],[Line No,]],0)</f>
        <v>0</v>
      </c>
      <c r="I152" s="36" t="str">
        <f>IFERROR(MID(Tabela_Base_Financeiro[[#This Row],[Manufacturer]],19,14),"")</f>
        <v/>
      </c>
      <c r="J152" s="113">
        <f>IFERROR(Tabela_Base_Financeiro[[#This Row],[Item code]],0)</f>
        <v>0</v>
      </c>
      <c r="K152" s="293">
        <f>IFERROR(Tabela_Base_Financeiro[[#This Row],[Unit Price]],0)</f>
        <v>0</v>
      </c>
      <c r="L152" s="36">
        <f>IFERROR(Tabela_Base_Financeiro[[#This Row],[AC Qty,]],0)</f>
        <v>0</v>
      </c>
      <c r="M152" s="60">
        <f>Tabela6[[#This Row],[Qty]]*Tabela6[[#This Row],[Preço]]</f>
        <v>0</v>
      </c>
      <c r="N152" s="37">
        <f>IFERROR(Tabela_Base_Financeiro[[#This Row],[Proportion]],0)</f>
        <v>0</v>
      </c>
      <c r="O152" s="60">
        <f>Tabela6[[#This Row],[Proporção]]*Tabela6[[#This Row],[Total]]</f>
        <v>0</v>
      </c>
      <c r="P152" s="57"/>
      <c r="Q152" s="55"/>
      <c r="R152" s="58"/>
      <c r="S152" s="61"/>
    </row>
    <row r="153" spans="1:19">
      <c r="A153" s="122" t="e">
        <f>IF(VLOOKUP(Tabela6[[#This Row],[UF]],'BASE CC'!B:C,2,0)="SP",IF(Tabela6[[#This Row],[OPERADORA]]="TIM","SP TIM","SPI"),VLOOKUP(Tabela6[[#This Row],[UF]],'BASE CC'!B:C,2,0))</f>
        <v>#N/A</v>
      </c>
      <c r="B153" s="36" t="e">
        <f>VLOOKUP(Tabela_Base_Financeiro[[#This Row],[Item code]],'COD.FAT'!B:C,2,0)</f>
        <v>#N/A</v>
      </c>
      <c r="C153" s="292">
        <f>Tabela_Base_Financeiro[[#This Row],[PO Ship TO]]</f>
        <v>0</v>
      </c>
      <c r="D153" s="36" t="str">
        <f>RIGHT(Tabela_Base_Financeiro[[#This Row],[Manufacturer]],2)</f>
        <v/>
      </c>
      <c r="E15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53" s="122" t="e">
        <f>VLOOKUP(Tabela_Base_Financeiro[[#This Row],[Project Code]],'COD. PROJETOS'!B:D,3,0)</f>
        <v>#N/A</v>
      </c>
      <c r="G153" s="36">
        <f>IFERROR(Tabela_Base_Financeiro[[#This Row],[PO No,]],0)</f>
        <v>0</v>
      </c>
      <c r="H153" s="36">
        <f>IFERROR(Tabela_Base_Financeiro[[#This Row],[Line No,]],0)</f>
        <v>0</v>
      </c>
      <c r="I153" s="36" t="str">
        <f>IFERROR(MID(Tabela_Base_Financeiro[[#This Row],[Manufacturer]],19,14),"")</f>
        <v/>
      </c>
      <c r="J153" s="113">
        <f>IFERROR(Tabela_Base_Financeiro[[#This Row],[Item code]],0)</f>
        <v>0</v>
      </c>
      <c r="K153" s="293">
        <f>IFERROR(Tabela_Base_Financeiro[[#This Row],[Unit Price]],0)</f>
        <v>0</v>
      </c>
      <c r="L153" s="36">
        <f>IFERROR(Tabela_Base_Financeiro[[#This Row],[AC Qty,]],0)</f>
        <v>0</v>
      </c>
      <c r="M153" s="60">
        <f>Tabela6[[#This Row],[Qty]]*Tabela6[[#This Row],[Preço]]</f>
        <v>0</v>
      </c>
      <c r="N153" s="37">
        <f>IFERROR(Tabela_Base_Financeiro[[#This Row],[Proportion]],0)</f>
        <v>0</v>
      </c>
      <c r="O153" s="60">
        <f>Tabela6[[#This Row],[Proporção]]*Tabela6[[#This Row],[Total]]</f>
        <v>0</v>
      </c>
      <c r="P153" s="57"/>
      <c r="Q153" s="55"/>
      <c r="R153" s="58"/>
      <c r="S153" s="61"/>
    </row>
    <row r="154" spans="1:19">
      <c r="A154" s="122" t="e">
        <f>IF(VLOOKUP(Tabela6[[#This Row],[UF]],'BASE CC'!B:C,2,0)="SP",IF(Tabela6[[#This Row],[OPERADORA]]="TIM","SP TIM","SPI"),VLOOKUP(Tabela6[[#This Row],[UF]],'BASE CC'!B:C,2,0))</f>
        <v>#N/A</v>
      </c>
      <c r="B154" s="36" t="e">
        <f>VLOOKUP(Tabela_Base_Financeiro[[#This Row],[Item code]],'COD.FAT'!B:C,2,0)</f>
        <v>#N/A</v>
      </c>
      <c r="C154" s="292">
        <f>Tabela_Base_Financeiro[[#This Row],[PO Ship TO]]</f>
        <v>0</v>
      </c>
      <c r="D154" s="36" t="str">
        <f>RIGHT(Tabela_Base_Financeiro[[#This Row],[Manufacturer]],2)</f>
        <v/>
      </c>
      <c r="E15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54" s="122" t="e">
        <f>VLOOKUP(Tabela_Base_Financeiro[[#This Row],[Project Code]],'COD. PROJETOS'!B:D,3,0)</f>
        <v>#N/A</v>
      </c>
      <c r="G154" s="36">
        <f>IFERROR(Tabela_Base_Financeiro[[#This Row],[PO No,]],0)</f>
        <v>0</v>
      </c>
      <c r="H154" s="36">
        <f>IFERROR(Tabela_Base_Financeiro[[#This Row],[Line No,]],0)</f>
        <v>0</v>
      </c>
      <c r="I154" s="36" t="str">
        <f>IFERROR(MID(Tabela_Base_Financeiro[[#This Row],[Manufacturer]],19,14),"")</f>
        <v/>
      </c>
      <c r="J154" s="113">
        <f>IFERROR(Tabela_Base_Financeiro[[#This Row],[Item code]],0)</f>
        <v>0</v>
      </c>
      <c r="K154" s="293">
        <f>IFERROR(Tabela_Base_Financeiro[[#This Row],[Unit Price]],0)</f>
        <v>0</v>
      </c>
      <c r="L154" s="36">
        <f>IFERROR(Tabela_Base_Financeiro[[#This Row],[AC Qty,]],0)</f>
        <v>0</v>
      </c>
      <c r="M154" s="60">
        <f>Tabela6[[#This Row],[Qty]]*Tabela6[[#This Row],[Preço]]</f>
        <v>0</v>
      </c>
      <c r="N154" s="37">
        <f>IFERROR(Tabela_Base_Financeiro[[#This Row],[Proportion]],0)</f>
        <v>0</v>
      </c>
      <c r="O154" s="60">
        <f>Tabela6[[#This Row],[Proporção]]*Tabela6[[#This Row],[Total]]</f>
        <v>0</v>
      </c>
      <c r="P154" s="57"/>
      <c r="Q154" s="55"/>
      <c r="R154" s="58"/>
      <c r="S154" s="61"/>
    </row>
    <row r="155" spans="1:19">
      <c r="A155" s="122" t="e">
        <f>IF(VLOOKUP(Tabela6[[#This Row],[UF]],'BASE CC'!B:C,2,0)="SP",IF(Tabela6[[#This Row],[OPERADORA]]="TIM","SP TIM","SPI"),VLOOKUP(Tabela6[[#This Row],[UF]],'BASE CC'!B:C,2,0))</f>
        <v>#N/A</v>
      </c>
      <c r="B155" s="36" t="e">
        <f>VLOOKUP(Tabela_Base_Financeiro[[#This Row],[Item code]],'COD.FAT'!B:C,2,0)</f>
        <v>#N/A</v>
      </c>
      <c r="C155" s="292">
        <f>Tabela_Base_Financeiro[[#This Row],[PO Ship TO]]</f>
        <v>0</v>
      </c>
      <c r="D155" s="36" t="str">
        <f>RIGHT(Tabela_Base_Financeiro[[#This Row],[Manufacturer]],2)</f>
        <v/>
      </c>
      <c r="E15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55" s="122" t="e">
        <f>VLOOKUP(Tabela_Base_Financeiro[[#This Row],[Project Code]],'COD. PROJETOS'!B:D,3,0)</f>
        <v>#N/A</v>
      </c>
      <c r="G155" s="36">
        <f>IFERROR(Tabela_Base_Financeiro[[#This Row],[PO No,]],0)</f>
        <v>0</v>
      </c>
      <c r="H155" s="36">
        <f>IFERROR(Tabela_Base_Financeiro[[#This Row],[Line No,]],0)</f>
        <v>0</v>
      </c>
      <c r="I155" s="36" t="str">
        <f>IFERROR(MID(Tabela_Base_Financeiro[[#This Row],[Manufacturer]],19,14),"")</f>
        <v/>
      </c>
      <c r="J155" s="113">
        <f>IFERROR(Tabela_Base_Financeiro[[#This Row],[Item code]],0)</f>
        <v>0</v>
      </c>
      <c r="K155" s="293">
        <f>IFERROR(Tabela_Base_Financeiro[[#This Row],[Unit Price]],0)</f>
        <v>0</v>
      </c>
      <c r="L155" s="36">
        <f>IFERROR(Tabela_Base_Financeiro[[#This Row],[AC Qty,]],0)</f>
        <v>0</v>
      </c>
      <c r="M155" s="60">
        <f>Tabela6[[#This Row],[Qty]]*Tabela6[[#This Row],[Preço]]</f>
        <v>0</v>
      </c>
      <c r="N155" s="37">
        <f>IFERROR(Tabela_Base_Financeiro[[#This Row],[Proportion]],0)</f>
        <v>0</v>
      </c>
      <c r="O155" s="60">
        <f>Tabela6[[#This Row],[Proporção]]*Tabela6[[#This Row],[Total]]</f>
        <v>0</v>
      </c>
      <c r="P155" s="57"/>
      <c r="Q155" s="55"/>
      <c r="R155" s="58"/>
      <c r="S155" s="61"/>
    </row>
    <row r="156" spans="1:19">
      <c r="A156" s="122" t="e">
        <f>IF(VLOOKUP(Tabela6[[#This Row],[UF]],'BASE CC'!B:C,2,0)="SP",IF(Tabela6[[#This Row],[OPERADORA]]="TIM","SP TIM","SPI"),VLOOKUP(Tabela6[[#This Row],[UF]],'BASE CC'!B:C,2,0))</f>
        <v>#N/A</v>
      </c>
      <c r="B156" s="36" t="e">
        <f>VLOOKUP(Tabela_Base_Financeiro[[#This Row],[Item code]],'COD.FAT'!B:C,2,0)</f>
        <v>#N/A</v>
      </c>
      <c r="C156" s="292">
        <f>Tabela_Base_Financeiro[[#This Row],[PO Ship TO]]</f>
        <v>0</v>
      </c>
      <c r="D156" s="36" t="str">
        <f>RIGHT(Tabela_Base_Financeiro[[#This Row],[Manufacturer]],2)</f>
        <v/>
      </c>
      <c r="E15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56" s="122" t="e">
        <f>VLOOKUP(Tabela_Base_Financeiro[[#This Row],[Project Code]],'COD. PROJETOS'!B:D,3,0)</f>
        <v>#N/A</v>
      </c>
      <c r="G156" s="36">
        <f>IFERROR(Tabela_Base_Financeiro[[#This Row],[PO No,]],0)</f>
        <v>0</v>
      </c>
      <c r="H156" s="36">
        <f>IFERROR(Tabela_Base_Financeiro[[#This Row],[Line No,]],0)</f>
        <v>0</v>
      </c>
      <c r="I156" s="36" t="str">
        <f>IFERROR(MID(Tabela_Base_Financeiro[[#This Row],[Manufacturer]],19,14),"")</f>
        <v/>
      </c>
      <c r="J156" s="113">
        <f>IFERROR(Tabela_Base_Financeiro[[#This Row],[Item code]],0)</f>
        <v>0</v>
      </c>
      <c r="K156" s="293">
        <f>IFERROR(Tabela_Base_Financeiro[[#This Row],[Unit Price]],0)</f>
        <v>0</v>
      </c>
      <c r="L156" s="36">
        <f>IFERROR(Tabela_Base_Financeiro[[#This Row],[AC Qty,]],0)</f>
        <v>0</v>
      </c>
      <c r="M156" s="60">
        <f>Tabela6[[#This Row],[Qty]]*Tabela6[[#This Row],[Preço]]</f>
        <v>0</v>
      </c>
      <c r="N156" s="37">
        <f>IFERROR(Tabela_Base_Financeiro[[#This Row],[Proportion]],0)</f>
        <v>0</v>
      </c>
      <c r="O156" s="60">
        <f>Tabela6[[#This Row],[Proporção]]*Tabela6[[#This Row],[Total]]</f>
        <v>0</v>
      </c>
      <c r="P156" s="57"/>
      <c r="Q156" s="55"/>
      <c r="R156" s="58"/>
      <c r="S156" s="61"/>
    </row>
    <row r="157" spans="1:19">
      <c r="A157" s="122" t="e">
        <f>IF(VLOOKUP(Tabela6[[#This Row],[UF]],'BASE CC'!B:C,2,0)="SP",IF(Tabela6[[#This Row],[OPERADORA]]="TIM","SP TIM","SPI"),VLOOKUP(Tabela6[[#This Row],[UF]],'BASE CC'!B:C,2,0))</f>
        <v>#N/A</v>
      </c>
      <c r="B157" s="36" t="e">
        <f>VLOOKUP(Tabela_Base_Financeiro[[#This Row],[Item code]],'COD.FAT'!B:C,2,0)</f>
        <v>#N/A</v>
      </c>
      <c r="C157" s="292">
        <f>Tabela_Base_Financeiro[[#This Row],[PO Ship TO]]</f>
        <v>0</v>
      </c>
      <c r="D157" s="36" t="str">
        <f>RIGHT(Tabela_Base_Financeiro[[#This Row],[Manufacturer]],2)</f>
        <v/>
      </c>
      <c r="E15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57" s="122" t="e">
        <f>VLOOKUP(Tabela_Base_Financeiro[[#This Row],[Project Code]],'COD. PROJETOS'!B:D,3,0)</f>
        <v>#N/A</v>
      </c>
      <c r="G157" s="36">
        <f>IFERROR(Tabela_Base_Financeiro[[#This Row],[PO No,]],0)</f>
        <v>0</v>
      </c>
      <c r="H157" s="36">
        <f>IFERROR(Tabela_Base_Financeiro[[#This Row],[Line No,]],0)</f>
        <v>0</v>
      </c>
      <c r="I157" s="36" t="str">
        <f>IFERROR(MID(Tabela_Base_Financeiro[[#This Row],[Manufacturer]],19,14),"")</f>
        <v/>
      </c>
      <c r="J157" s="113">
        <f>IFERROR(Tabela_Base_Financeiro[[#This Row],[Item code]],0)</f>
        <v>0</v>
      </c>
      <c r="K157" s="293">
        <f>IFERROR(Tabela_Base_Financeiro[[#This Row],[Unit Price]],0)</f>
        <v>0</v>
      </c>
      <c r="L157" s="36">
        <f>IFERROR(Tabela_Base_Financeiro[[#This Row],[AC Qty,]],0)</f>
        <v>0</v>
      </c>
      <c r="M157" s="60">
        <f>Tabela6[[#This Row],[Qty]]*Tabela6[[#This Row],[Preço]]</f>
        <v>0</v>
      </c>
      <c r="N157" s="37">
        <f>IFERROR(Tabela_Base_Financeiro[[#This Row],[Proportion]],0)</f>
        <v>0</v>
      </c>
      <c r="O157" s="60">
        <f>Tabela6[[#This Row],[Proporção]]*Tabela6[[#This Row],[Total]]</f>
        <v>0</v>
      </c>
      <c r="P157" s="57"/>
      <c r="Q157" s="55"/>
      <c r="R157" s="58"/>
      <c r="S157" s="61"/>
    </row>
    <row r="158" spans="1:19">
      <c r="A158" s="122" t="e">
        <f>IF(VLOOKUP(Tabela6[[#This Row],[UF]],'BASE CC'!B:C,2,0)="SP",IF(Tabela6[[#This Row],[OPERADORA]]="TIM","SP TIM","SPI"),VLOOKUP(Tabela6[[#This Row],[UF]],'BASE CC'!B:C,2,0))</f>
        <v>#N/A</v>
      </c>
      <c r="B158" s="36" t="e">
        <f>VLOOKUP(Tabela_Base_Financeiro[[#This Row],[Item code]],'COD.FAT'!B:C,2,0)</f>
        <v>#N/A</v>
      </c>
      <c r="C158" s="292">
        <f>Tabela_Base_Financeiro[[#This Row],[PO Ship TO]]</f>
        <v>0</v>
      </c>
      <c r="D158" s="36" t="str">
        <f>RIGHT(Tabela_Base_Financeiro[[#This Row],[Manufacturer]],2)</f>
        <v/>
      </c>
      <c r="E15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58" s="122" t="e">
        <f>VLOOKUP(Tabela_Base_Financeiro[[#This Row],[Project Code]],'COD. PROJETOS'!B:D,3,0)</f>
        <v>#N/A</v>
      </c>
      <c r="G158" s="36">
        <f>IFERROR(Tabela_Base_Financeiro[[#This Row],[PO No,]],0)</f>
        <v>0</v>
      </c>
      <c r="H158" s="36">
        <f>IFERROR(Tabela_Base_Financeiro[[#This Row],[Line No,]],0)</f>
        <v>0</v>
      </c>
      <c r="I158" s="36" t="str">
        <f>IFERROR(MID(Tabela_Base_Financeiro[[#This Row],[Manufacturer]],19,14),"")</f>
        <v/>
      </c>
      <c r="J158" s="113">
        <f>IFERROR(Tabela_Base_Financeiro[[#This Row],[Item code]],0)</f>
        <v>0</v>
      </c>
      <c r="K158" s="293">
        <f>IFERROR(Tabela_Base_Financeiro[[#This Row],[Unit Price]],0)</f>
        <v>0</v>
      </c>
      <c r="L158" s="36">
        <f>IFERROR(Tabela_Base_Financeiro[[#This Row],[AC Qty,]],0)</f>
        <v>0</v>
      </c>
      <c r="M158" s="60">
        <f>Tabela6[[#This Row],[Qty]]*Tabela6[[#This Row],[Preço]]</f>
        <v>0</v>
      </c>
      <c r="N158" s="37">
        <f>IFERROR(Tabela_Base_Financeiro[[#This Row],[Proportion]],0)</f>
        <v>0</v>
      </c>
      <c r="O158" s="60">
        <f>Tabela6[[#This Row],[Proporção]]*Tabela6[[#This Row],[Total]]</f>
        <v>0</v>
      </c>
      <c r="P158" s="57"/>
      <c r="Q158" s="55"/>
      <c r="R158" s="58"/>
      <c r="S158" s="61"/>
    </row>
    <row r="159" spans="1:19">
      <c r="A159" s="122" t="e">
        <f>IF(VLOOKUP(Tabela6[[#This Row],[UF]],'BASE CC'!B:C,2,0)="SP",IF(Tabela6[[#This Row],[OPERADORA]]="TIM","SP TIM","SPI"),VLOOKUP(Tabela6[[#This Row],[UF]],'BASE CC'!B:C,2,0))</f>
        <v>#N/A</v>
      </c>
      <c r="B159" s="36" t="e">
        <f>VLOOKUP(Tabela_Base_Financeiro[[#This Row],[Item code]],'COD.FAT'!B:C,2,0)</f>
        <v>#N/A</v>
      </c>
      <c r="C159" s="292">
        <f>Tabela_Base_Financeiro[[#This Row],[PO Ship TO]]</f>
        <v>0</v>
      </c>
      <c r="D159" s="36" t="str">
        <f>RIGHT(Tabela_Base_Financeiro[[#This Row],[Manufacturer]],2)</f>
        <v/>
      </c>
      <c r="E15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59" s="122" t="e">
        <f>VLOOKUP(Tabela_Base_Financeiro[[#This Row],[Project Code]],'COD. PROJETOS'!B:D,3,0)</f>
        <v>#N/A</v>
      </c>
      <c r="G159" s="36">
        <f>IFERROR(Tabela_Base_Financeiro[[#This Row],[PO No,]],0)</f>
        <v>0</v>
      </c>
      <c r="H159" s="36">
        <f>IFERROR(Tabela_Base_Financeiro[[#This Row],[Line No,]],0)</f>
        <v>0</v>
      </c>
      <c r="I159" s="36" t="str">
        <f>IFERROR(MID(Tabela_Base_Financeiro[[#This Row],[Manufacturer]],19,14),"")</f>
        <v/>
      </c>
      <c r="J159" s="113">
        <f>IFERROR(Tabela_Base_Financeiro[[#This Row],[Item code]],0)</f>
        <v>0</v>
      </c>
      <c r="K159" s="293">
        <f>IFERROR(Tabela_Base_Financeiro[[#This Row],[Unit Price]],0)</f>
        <v>0</v>
      </c>
      <c r="L159" s="36">
        <f>IFERROR(Tabela_Base_Financeiro[[#This Row],[AC Qty,]],0)</f>
        <v>0</v>
      </c>
      <c r="M159" s="60">
        <f>Tabela6[[#This Row],[Qty]]*Tabela6[[#This Row],[Preço]]</f>
        <v>0</v>
      </c>
      <c r="N159" s="37">
        <f>IFERROR(Tabela_Base_Financeiro[[#This Row],[Proportion]],0)</f>
        <v>0</v>
      </c>
      <c r="O159" s="60">
        <f>Tabela6[[#This Row],[Proporção]]*Tabela6[[#This Row],[Total]]</f>
        <v>0</v>
      </c>
      <c r="P159" s="57"/>
      <c r="Q159" s="55"/>
      <c r="R159" s="58"/>
      <c r="S159" s="61"/>
    </row>
    <row r="160" spans="1:19">
      <c r="A160" s="122" t="e">
        <f>IF(VLOOKUP(Tabela6[[#This Row],[UF]],'BASE CC'!B:C,2,0)="SP",IF(Tabela6[[#This Row],[OPERADORA]]="TIM","SP TIM","SPI"),VLOOKUP(Tabela6[[#This Row],[UF]],'BASE CC'!B:C,2,0))</f>
        <v>#N/A</v>
      </c>
      <c r="B160" s="36" t="e">
        <f>VLOOKUP(Tabela_Base_Financeiro[[#This Row],[Item code]],'COD.FAT'!B:C,2,0)</f>
        <v>#N/A</v>
      </c>
      <c r="C160" s="292">
        <f>Tabela_Base_Financeiro[[#This Row],[PO Ship TO]]</f>
        <v>0</v>
      </c>
      <c r="D160" s="36" t="str">
        <f>RIGHT(Tabela_Base_Financeiro[[#This Row],[Manufacturer]],2)</f>
        <v/>
      </c>
      <c r="E16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60" s="122" t="e">
        <f>VLOOKUP(Tabela_Base_Financeiro[[#This Row],[Project Code]],'COD. PROJETOS'!B:D,3,0)</f>
        <v>#N/A</v>
      </c>
      <c r="G160" s="36">
        <f>IFERROR(Tabela_Base_Financeiro[[#This Row],[PO No,]],0)</f>
        <v>0</v>
      </c>
      <c r="H160" s="36">
        <f>IFERROR(Tabela_Base_Financeiro[[#This Row],[Line No,]],0)</f>
        <v>0</v>
      </c>
      <c r="I160" s="36" t="str">
        <f>IFERROR(MID(Tabela_Base_Financeiro[[#This Row],[Manufacturer]],19,14),"")</f>
        <v/>
      </c>
      <c r="J160" s="113">
        <f>IFERROR(Tabela_Base_Financeiro[[#This Row],[Item code]],0)</f>
        <v>0</v>
      </c>
      <c r="K160" s="293">
        <f>IFERROR(Tabela_Base_Financeiro[[#This Row],[Unit Price]],0)</f>
        <v>0</v>
      </c>
      <c r="L160" s="36">
        <f>IFERROR(Tabela_Base_Financeiro[[#This Row],[AC Qty,]],0)</f>
        <v>0</v>
      </c>
      <c r="M160" s="60">
        <f>Tabela6[[#This Row],[Qty]]*Tabela6[[#This Row],[Preço]]</f>
        <v>0</v>
      </c>
      <c r="N160" s="37">
        <f>IFERROR(Tabela_Base_Financeiro[[#This Row],[Proportion]],0)</f>
        <v>0</v>
      </c>
      <c r="O160" s="60">
        <f>Tabela6[[#This Row],[Proporção]]*Tabela6[[#This Row],[Total]]</f>
        <v>0</v>
      </c>
      <c r="P160" s="57"/>
      <c r="Q160" s="55"/>
      <c r="R160" s="58"/>
      <c r="S160" s="61"/>
    </row>
    <row r="161" spans="1:19">
      <c r="A161" s="122" t="e">
        <f>IF(VLOOKUP(Tabela6[[#This Row],[UF]],'BASE CC'!B:C,2,0)="SP",IF(Tabela6[[#This Row],[OPERADORA]]="TIM","SP TIM","SPI"),VLOOKUP(Tabela6[[#This Row],[UF]],'BASE CC'!B:C,2,0))</f>
        <v>#N/A</v>
      </c>
      <c r="B161" s="36" t="e">
        <f>VLOOKUP(Tabela_Base_Financeiro[[#This Row],[Item code]],'COD.FAT'!B:C,2,0)</f>
        <v>#N/A</v>
      </c>
      <c r="C161" s="292">
        <f>Tabela_Base_Financeiro[[#This Row],[PO Ship TO]]</f>
        <v>0</v>
      </c>
      <c r="D161" s="36" t="str">
        <f>RIGHT(Tabela_Base_Financeiro[[#This Row],[Manufacturer]],2)</f>
        <v/>
      </c>
      <c r="E16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61" s="122" t="e">
        <f>VLOOKUP(Tabela_Base_Financeiro[[#This Row],[Project Code]],'COD. PROJETOS'!B:D,3,0)</f>
        <v>#N/A</v>
      </c>
      <c r="G161" s="36">
        <f>IFERROR(Tabela_Base_Financeiro[[#This Row],[PO No,]],0)</f>
        <v>0</v>
      </c>
      <c r="H161" s="36">
        <f>IFERROR(Tabela_Base_Financeiro[[#This Row],[Line No,]],0)</f>
        <v>0</v>
      </c>
      <c r="I161" s="36" t="str">
        <f>IFERROR(MID(Tabela_Base_Financeiro[[#This Row],[Manufacturer]],19,14),"")</f>
        <v/>
      </c>
      <c r="J161" s="113">
        <f>IFERROR(Tabela_Base_Financeiro[[#This Row],[Item code]],0)</f>
        <v>0</v>
      </c>
      <c r="K161" s="293">
        <f>IFERROR(Tabela_Base_Financeiro[[#This Row],[Unit Price]],0)</f>
        <v>0</v>
      </c>
      <c r="L161" s="36">
        <f>IFERROR(Tabela_Base_Financeiro[[#This Row],[AC Qty,]],0)</f>
        <v>0</v>
      </c>
      <c r="M161" s="60">
        <f>Tabela6[[#This Row],[Qty]]*Tabela6[[#This Row],[Preço]]</f>
        <v>0</v>
      </c>
      <c r="N161" s="37">
        <f>IFERROR(Tabela_Base_Financeiro[[#This Row],[Proportion]],0)</f>
        <v>0</v>
      </c>
      <c r="O161" s="60">
        <f>Tabela6[[#This Row],[Proporção]]*Tabela6[[#This Row],[Total]]</f>
        <v>0</v>
      </c>
      <c r="P161" s="57"/>
      <c r="Q161" s="55"/>
      <c r="R161" s="58"/>
      <c r="S161" s="61"/>
    </row>
    <row r="162" spans="1:19">
      <c r="A162" s="122" t="e">
        <f>IF(VLOOKUP(Tabela6[[#This Row],[UF]],'BASE CC'!B:C,2,0)="SP",IF(Tabela6[[#This Row],[OPERADORA]]="TIM","SP TIM","SPI"),VLOOKUP(Tabela6[[#This Row],[UF]],'BASE CC'!B:C,2,0))</f>
        <v>#N/A</v>
      </c>
      <c r="B162" s="36" t="e">
        <f>VLOOKUP(Tabela_Base_Financeiro[[#This Row],[Item code]],'COD.FAT'!B:C,2,0)</f>
        <v>#N/A</v>
      </c>
      <c r="C162" s="292">
        <f>Tabela_Base_Financeiro[[#This Row],[PO Ship TO]]</f>
        <v>0</v>
      </c>
      <c r="D162" s="36" t="str">
        <f>RIGHT(Tabela_Base_Financeiro[[#This Row],[Manufacturer]],2)</f>
        <v/>
      </c>
      <c r="E16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62" s="122" t="e">
        <f>VLOOKUP(Tabela_Base_Financeiro[[#This Row],[Project Code]],'COD. PROJETOS'!B:D,3,0)</f>
        <v>#N/A</v>
      </c>
      <c r="G162" s="36">
        <f>IFERROR(Tabela_Base_Financeiro[[#This Row],[PO No,]],0)</f>
        <v>0</v>
      </c>
      <c r="H162" s="36">
        <f>IFERROR(Tabela_Base_Financeiro[[#This Row],[Line No,]],0)</f>
        <v>0</v>
      </c>
      <c r="I162" s="36" t="str">
        <f>IFERROR(MID(Tabela_Base_Financeiro[[#This Row],[Manufacturer]],19,14),"")</f>
        <v/>
      </c>
      <c r="J162" s="113">
        <f>IFERROR(Tabela_Base_Financeiro[[#This Row],[Item code]],0)</f>
        <v>0</v>
      </c>
      <c r="K162" s="293">
        <f>IFERROR(Tabela_Base_Financeiro[[#This Row],[Unit Price]],0)</f>
        <v>0</v>
      </c>
      <c r="L162" s="36">
        <f>IFERROR(Tabela_Base_Financeiro[[#This Row],[AC Qty,]],0)</f>
        <v>0</v>
      </c>
      <c r="M162" s="60">
        <f>Tabela6[[#This Row],[Qty]]*Tabela6[[#This Row],[Preço]]</f>
        <v>0</v>
      </c>
      <c r="N162" s="37">
        <f>IFERROR(Tabela_Base_Financeiro[[#This Row],[Proportion]],0)</f>
        <v>0</v>
      </c>
      <c r="O162" s="60">
        <f>Tabela6[[#This Row],[Proporção]]*Tabela6[[#This Row],[Total]]</f>
        <v>0</v>
      </c>
      <c r="P162" s="57"/>
      <c r="Q162" s="55"/>
      <c r="R162" s="58"/>
      <c r="S162" s="61"/>
    </row>
    <row r="163" spans="1:19">
      <c r="A163" s="122" t="e">
        <f>IF(VLOOKUP(Tabela6[[#This Row],[UF]],'BASE CC'!B:C,2,0)="SP",IF(Tabela6[[#This Row],[OPERADORA]]="TIM","SP TIM","SPI"),VLOOKUP(Tabela6[[#This Row],[UF]],'BASE CC'!B:C,2,0))</f>
        <v>#N/A</v>
      </c>
      <c r="B163" s="36" t="e">
        <f>VLOOKUP(Tabela_Base_Financeiro[[#This Row],[Item code]],'COD.FAT'!B:C,2,0)</f>
        <v>#N/A</v>
      </c>
      <c r="C163" s="292">
        <f>Tabela_Base_Financeiro[[#This Row],[PO Ship TO]]</f>
        <v>0</v>
      </c>
      <c r="D163" s="36" t="str">
        <f>RIGHT(Tabela_Base_Financeiro[[#This Row],[Manufacturer]],2)</f>
        <v/>
      </c>
      <c r="E16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63" s="122" t="e">
        <f>VLOOKUP(Tabela_Base_Financeiro[[#This Row],[Project Code]],'COD. PROJETOS'!B:D,3,0)</f>
        <v>#N/A</v>
      </c>
      <c r="G163" s="36">
        <f>IFERROR(Tabela_Base_Financeiro[[#This Row],[PO No,]],0)</f>
        <v>0</v>
      </c>
      <c r="H163" s="36">
        <f>IFERROR(Tabela_Base_Financeiro[[#This Row],[Line No,]],0)</f>
        <v>0</v>
      </c>
      <c r="I163" s="36" t="str">
        <f>IFERROR(MID(Tabela_Base_Financeiro[[#This Row],[Manufacturer]],19,14),"")</f>
        <v/>
      </c>
      <c r="J163" s="113">
        <f>IFERROR(Tabela_Base_Financeiro[[#This Row],[Item code]],0)</f>
        <v>0</v>
      </c>
      <c r="K163" s="293">
        <f>IFERROR(Tabela_Base_Financeiro[[#This Row],[Unit Price]],0)</f>
        <v>0</v>
      </c>
      <c r="L163" s="36">
        <f>IFERROR(Tabela_Base_Financeiro[[#This Row],[AC Qty,]],0)</f>
        <v>0</v>
      </c>
      <c r="M163" s="60">
        <f>Tabela6[[#This Row],[Qty]]*Tabela6[[#This Row],[Preço]]</f>
        <v>0</v>
      </c>
      <c r="N163" s="37">
        <f>IFERROR(Tabela_Base_Financeiro[[#This Row],[Proportion]],0)</f>
        <v>0</v>
      </c>
      <c r="O163" s="60">
        <f>Tabela6[[#This Row],[Proporção]]*Tabela6[[#This Row],[Total]]</f>
        <v>0</v>
      </c>
      <c r="P163" s="57"/>
      <c r="Q163" s="55"/>
      <c r="R163" s="58"/>
      <c r="S163" s="61"/>
    </row>
    <row r="164" spans="1:19">
      <c r="A164" s="122" t="e">
        <f>IF(VLOOKUP(Tabela6[[#This Row],[UF]],'BASE CC'!B:C,2,0)="SP",IF(Tabela6[[#This Row],[OPERADORA]]="TIM","SP TIM","SPI"),VLOOKUP(Tabela6[[#This Row],[UF]],'BASE CC'!B:C,2,0))</f>
        <v>#N/A</v>
      </c>
      <c r="B164" s="36" t="e">
        <f>VLOOKUP(Tabela_Base_Financeiro[[#This Row],[Item code]],'COD.FAT'!B:C,2,0)</f>
        <v>#N/A</v>
      </c>
      <c r="C164" s="292">
        <f>Tabela_Base_Financeiro[[#This Row],[PO Ship TO]]</f>
        <v>0</v>
      </c>
      <c r="D164" s="36" t="str">
        <f>RIGHT(Tabela_Base_Financeiro[[#This Row],[Manufacturer]],2)</f>
        <v/>
      </c>
      <c r="E16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64" s="122" t="e">
        <f>VLOOKUP(Tabela_Base_Financeiro[[#This Row],[Project Code]],'COD. PROJETOS'!B:D,3,0)</f>
        <v>#N/A</v>
      </c>
      <c r="G164" s="36">
        <f>IFERROR(Tabela_Base_Financeiro[[#This Row],[PO No,]],0)</f>
        <v>0</v>
      </c>
      <c r="H164" s="36">
        <f>IFERROR(Tabela_Base_Financeiro[[#This Row],[Line No,]],0)</f>
        <v>0</v>
      </c>
      <c r="I164" s="36" t="str">
        <f>IFERROR(MID(Tabela_Base_Financeiro[[#This Row],[Manufacturer]],19,14),"")</f>
        <v/>
      </c>
      <c r="J164" s="113">
        <f>IFERROR(Tabela_Base_Financeiro[[#This Row],[Item code]],0)</f>
        <v>0</v>
      </c>
      <c r="K164" s="293">
        <f>IFERROR(Tabela_Base_Financeiro[[#This Row],[Unit Price]],0)</f>
        <v>0</v>
      </c>
      <c r="L164" s="36">
        <f>IFERROR(Tabela_Base_Financeiro[[#This Row],[AC Qty,]],0)</f>
        <v>0</v>
      </c>
      <c r="M164" s="60">
        <f>Tabela6[[#This Row],[Qty]]*Tabela6[[#This Row],[Preço]]</f>
        <v>0</v>
      </c>
      <c r="N164" s="37">
        <f>IFERROR(Tabela_Base_Financeiro[[#This Row],[Proportion]],0)</f>
        <v>0</v>
      </c>
      <c r="O164" s="60">
        <f>Tabela6[[#This Row],[Proporção]]*Tabela6[[#This Row],[Total]]</f>
        <v>0</v>
      </c>
      <c r="P164" s="57"/>
      <c r="Q164" s="55"/>
      <c r="R164" s="58"/>
      <c r="S164" s="61"/>
    </row>
    <row r="165" spans="1:19">
      <c r="A165" s="122" t="e">
        <f>IF(VLOOKUP(Tabela6[[#This Row],[UF]],'BASE CC'!B:C,2,0)="SP",IF(Tabela6[[#This Row],[OPERADORA]]="TIM","SP TIM","SPI"),VLOOKUP(Tabela6[[#This Row],[UF]],'BASE CC'!B:C,2,0))</f>
        <v>#N/A</v>
      </c>
      <c r="B165" s="36" t="e">
        <f>VLOOKUP(Tabela_Base_Financeiro[[#This Row],[Item code]],'COD.FAT'!B:C,2,0)</f>
        <v>#N/A</v>
      </c>
      <c r="C165" s="292">
        <f>Tabela_Base_Financeiro[[#This Row],[PO Ship TO]]</f>
        <v>0</v>
      </c>
      <c r="D165" s="36" t="str">
        <f>RIGHT(Tabela_Base_Financeiro[[#This Row],[Manufacturer]],2)</f>
        <v/>
      </c>
      <c r="E16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65" s="122" t="e">
        <f>VLOOKUP(Tabela_Base_Financeiro[[#This Row],[Project Code]],'COD. PROJETOS'!B:D,3,0)</f>
        <v>#N/A</v>
      </c>
      <c r="G165" s="36">
        <f>IFERROR(Tabela_Base_Financeiro[[#This Row],[PO No,]],0)</f>
        <v>0</v>
      </c>
      <c r="H165" s="36">
        <f>IFERROR(Tabela_Base_Financeiro[[#This Row],[Line No,]],0)</f>
        <v>0</v>
      </c>
      <c r="I165" s="36" t="str">
        <f>IFERROR(MID(Tabela_Base_Financeiro[[#This Row],[Manufacturer]],19,14),"")</f>
        <v/>
      </c>
      <c r="J165" s="113">
        <f>IFERROR(Tabela_Base_Financeiro[[#This Row],[Item code]],0)</f>
        <v>0</v>
      </c>
      <c r="K165" s="293">
        <f>IFERROR(Tabela_Base_Financeiro[[#This Row],[Unit Price]],0)</f>
        <v>0</v>
      </c>
      <c r="L165" s="36">
        <f>IFERROR(Tabela_Base_Financeiro[[#This Row],[AC Qty,]],0)</f>
        <v>0</v>
      </c>
      <c r="M165" s="60">
        <f>Tabela6[[#This Row],[Qty]]*Tabela6[[#This Row],[Preço]]</f>
        <v>0</v>
      </c>
      <c r="N165" s="37">
        <f>IFERROR(Tabela_Base_Financeiro[[#This Row],[Proportion]],0)</f>
        <v>0</v>
      </c>
      <c r="O165" s="60">
        <f>Tabela6[[#This Row],[Proporção]]*Tabela6[[#This Row],[Total]]</f>
        <v>0</v>
      </c>
      <c r="P165" s="57"/>
      <c r="Q165" s="55"/>
      <c r="R165" s="58"/>
      <c r="S165" s="61"/>
    </row>
    <row r="166" spans="1:19">
      <c r="A166" s="122" t="e">
        <f>IF(VLOOKUP(Tabela6[[#This Row],[UF]],'BASE CC'!B:C,2,0)="SP",IF(Tabela6[[#This Row],[OPERADORA]]="TIM","SP TIM","SPI"),VLOOKUP(Tabela6[[#This Row],[UF]],'BASE CC'!B:C,2,0))</f>
        <v>#N/A</v>
      </c>
      <c r="B166" s="36" t="e">
        <f>VLOOKUP(Tabela_Base_Financeiro[[#This Row],[Item code]],'COD.FAT'!B:C,2,0)</f>
        <v>#N/A</v>
      </c>
      <c r="C166" s="292">
        <f>Tabela_Base_Financeiro[[#This Row],[PO Ship TO]]</f>
        <v>0</v>
      </c>
      <c r="D166" s="36" t="str">
        <f>RIGHT(Tabela_Base_Financeiro[[#This Row],[Manufacturer]],2)</f>
        <v/>
      </c>
      <c r="E16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66" s="122" t="e">
        <f>VLOOKUP(Tabela_Base_Financeiro[[#This Row],[Project Code]],'COD. PROJETOS'!B:D,3,0)</f>
        <v>#N/A</v>
      </c>
      <c r="G166" s="36">
        <f>IFERROR(Tabela_Base_Financeiro[[#This Row],[PO No,]],0)</f>
        <v>0</v>
      </c>
      <c r="H166" s="36">
        <f>IFERROR(Tabela_Base_Financeiro[[#This Row],[Line No,]],0)</f>
        <v>0</v>
      </c>
      <c r="I166" s="36" t="str">
        <f>IFERROR(MID(Tabela_Base_Financeiro[[#This Row],[Manufacturer]],19,14),"")</f>
        <v/>
      </c>
      <c r="J166" s="113">
        <f>IFERROR(Tabela_Base_Financeiro[[#This Row],[Item code]],0)</f>
        <v>0</v>
      </c>
      <c r="K166" s="293">
        <f>IFERROR(Tabela_Base_Financeiro[[#This Row],[Unit Price]],0)</f>
        <v>0</v>
      </c>
      <c r="L166" s="36">
        <f>IFERROR(Tabela_Base_Financeiro[[#This Row],[AC Qty,]],0)</f>
        <v>0</v>
      </c>
      <c r="M166" s="60">
        <f>Tabela6[[#This Row],[Qty]]*Tabela6[[#This Row],[Preço]]</f>
        <v>0</v>
      </c>
      <c r="N166" s="37">
        <f>IFERROR(Tabela_Base_Financeiro[[#This Row],[Proportion]],0)</f>
        <v>0</v>
      </c>
      <c r="O166" s="60">
        <f>Tabela6[[#This Row],[Proporção]]*Tabela6[[#This Row],[Total]]</f>
        <v>0</v>
      </c>
      <c r="P166" s="57"/>
      <c r="Q166" s="55"/>
      <c r="R166" s="58"/>
      <c r="S166" s="61"/>
    </row>
    <row r="167" spans="1:19">
      <c r="A167" s="122" t="e">
        <f>IF(VLOOKUP(Tabela6[[#This Row],[UF]],'BASE CC'!B:C,2,0)="SP",IF(Tabela6[[#This Row],[OPERADORA]]="TIM","SP TIM","SPI"),VLOOKUP(Tabela6[[#This Row],[UF]],'BASE CC'!B:C,2,0))</f>
        <v>#N/A</v>
      </c>
      <c r="B167" s="36" t="e">
        <f>VLOOKUP(Tabela_Base_Financeiro[[#This Row],[Item code]],'COD.FAT'!B:C,2,0)</f>
        <v>#N/A</v>
      </c>
      <c r="C167" s="292">
        <f>Tabela_Base_Financeiro[[#This Row],[PO Ship TO]]</f>
        <v>0</v>
      </c>
      <c r="D167" s="36" t="str">
        <f>RIGHT(Tabela_Base_Financeiro[[#This Row],[Manufacturer]],2)</f>
        <v/>
      </c>
      <c r="E16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67" s="122" t="e">
        <f>VLOOKUP(Tabela_Base_Financeiro[[#This Row],[Project Code]],'COD. PROJETOS'!B:D,3,0)</f>
        <v>#N/A</v>
      </c>
      <c r="G167" s="36">
        <f>IFERROR(Tabela_Base_Financeiro[[#This Row],[PO No,]],0)</f>
        <v>0</v>
      </c>
      <c r="H167" s="36">
        <f>IFERROR(Tabela_Base_Financeiro[[#This Row],[Line No,]],0)</f>
        <v>0</v>
      </c>
      <c r="I167" s="36" t="str">
        <f>IFERROR(MID(Tabela_Base_Financeiro[[#This Row],[Manufacturer]],19,14),"")</f>
        <v/>
      </c>
      <c r="J167" s="113">
        <f>IFERROR(Tabela_Base_Financeiro[[#This Row],[Item code]],0)</f>
        <v>0</v>
      </c>
      <c r="K167" s="293">
        <f>IFERROR(Tabela_Base_Financeiro[[#This Row],[Unit Price]],0)</f>
        <v>0</v>
      </c>
      <c r="L167" s="36">
        <f>IFERROR(Tabela_Base_Financeiro[[#This Row],[AC Qty,]],0)</f>
        <v>0</v>
      </c>
      <c r="M167" s="60">
        <f>Tabela6[[#This Row],[Qty]]*Tabela6[[#This Row],[Preço]]</f>
        <v>0</v>
      </c>
      <c r="N167" s="37">
        <f>IFERROR(Tabela_Base_Financeiro[[#This Row],[Proportion]],0)</f>
        <v>0</v>
      </c>
      <c r="O167" s="60">
        <f>Tabela6[[#This Row],[Proporção]]*Tabela6[[#This Row],[Total]]</f>
        <v>0</v>
      </c>
      <c r="P167" s="57"/>
      <c r="Q167" s="55"/>
      <c r="R167" s="58"/>
      <c r="S167" s="61"/>
    </row>
    <row r="168" spans="1:19">
      <c r="A168" s="122" t="e">
        <f>IF(VLOOKUP(Tabela6[[#This Row],[UF]],'BASE CC'!B:C,2,0)="SP",IF(Tabela6[[#This Row],[OPERADORA]]="TIM","SP TIM","SPI"),VLOOKUP(Tabela6[[#This Row],[UF]],'BASE CC'!B:C,2,0))</f>
        <v>#N/A</v>
      </c>
      <c r="B168" s="36" t="e">
        <f>VLOOKUP(Tabela_Base_Financeiro[[#This Row],[Item code]],'COD.FAT'!B:C,2,0)</f>
        <v>#N/A</v>
      </c>
      <c r="C168" s="292">
        <f>Tabela_Base_Financeiro[[#This Row],[PO Ship TO]]</f>
        <v>0</v>
      </c>
      <c r="D168" s="36" t="str">
        <f>RIGHT(Tabela_Base_Financeiro[[#This Row],[Manufacturer]],2)</f>
        <v/>
      </c>
      <c r="E16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68" s="122" t="e">
        <f>VLOOKUP(Tabela_Base_Financeiro[[#This Row],[Project Code]],'COD. PROJETOS'!B:D,3,0)</f>
        <v>#N/A</v>
      </c>
      <c r="G168" s="36">
        <f>IFERROR(Tabela_Base_Financeiro[[#This Row],[PO No,]],0)</f>
        <v>0</v>
      </c>
      <c r="H168" s="36">
        <f>IFERROR(Tabela_Base_Financeiro[[#This Row],[Line No,]],0)</f>
        <v>0</v>
      </c>
      <c r="I168" s="36" t="str">
        <f>IFERROR(MID(Tabela_Base_Financeiro[[#This Row],[Manufacturer]],19,14),"")</f>
        <v/>
      </c>
      <c r="J168" s="113">
        <f>IFERROR(Tabela_Base_Financeiro[[#This Row],[Item code]],0)</f>
        <v>0</v>
      </c>
      <c r="K168" s="293">
        <f>IFERROR(Tabela_Base_Financeiro[[#This Row],[Unit Price]],0)</f>
        <v>0</v>
      </c>
      <c r="L168" s="36">
        <f>IFERROR(Tabela_Base_Financeiro[[#This Row],[AC Qty,]],0)</f>
        <v>0</v>
      </c>
      <c r="M168" s="60">
        <f>Tabela6[[#This Row],[Qty]]*Tabela6[[#This Row],[Preço]]</f>
        <v>0</v>
      </c>
      <c r="N168" s="37">
        <f>IFERROR(Tabela_Base_Financeiro[[#This Row],[Proportion]],0)</f>
        <v>0</v>
      </c>
      <c r="O168" s="60">
        <f>Tabela6[[#This Row],[Proporção]]*Tabela6[[#This Row],[Total]]</f>
        <v>0</v>
      </c>
      <c r="P168" s="57"/>
      <c r="Q168" s="55"/>
      <c r="R168" s="58"/>
      <c r="S168" s="61"/>
    </row>
    <row r="169" spans="1:19">
      <c r="A169" s="122" t="e">
        <f>IF(VLOOKUP(Tabela6[[#This Row],[UF]],'BASE CC'!B:C,2,0)="SP",IF(Tabela6[[#This Row],[OPERADORA]]="TIM","SP TIM","SPI"),VLOOKUP(Tabela6[[#This Row],[UF]],'BASE CC'!B:C,2,0))</f>
        <v>#N/A</v>
      </c>
      <c r="B169" s="36" t="e">
        <f>VLOOKUP(Tabela_Base_Financeiro[[#This Row],[Item code]],'COD.FAT'!B:C,2,0)</f>
        <v>#N/A</v>
      </c>
      <c r="C169" s="292">
        <f>Tabela_Base_Financeiro[[#This Row],[PO Ship TO]]</f>
        <v>0</v>
      </c>
      <c r="D169" s="36" t="str">
        <f>RIGHT(Tabela_Base_Financeiro[[#This Row],[Manufacturer]],2)</f>
        <v/>
      </c>
      <c r="E16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69" s="122" t="e">
        <f>VLOOKUP(Tabela_Base_Financeiro[[#This Row],[Project Code]],'COD. PROJETOS'!B:D,3,0)</f>
        <v>#N/A</v>
      </c>
      <c r="G169" s="36">
        <f>IFERROR(Tabela_Base_Financeiro[[#This Row],[PO No,]],0)</f>
        <v>0</v>
      </c>
      <c r="H169" s="36">
        <f>IFERROR(Tabela_Base_Financeiro[[#This Row],[Line No,]],0)</f>
        <v>0</v>
      </c>
      <c r="I169" s="36" t="str">
        <f>IFERROR(MID(Tabela_Base_Financeiro[[#This Row],[Manufacturer]],19,14),"")</f>
        <v/>
      </c>
      <c r="J169" s="113">
        <f>IFERROR(Tabela_Base_Financeiro[[#This Row],[Item code]],0)</f>
        <v>0</v>
      </c>
      <c r="K169" s="293">
        <f>IFERROR(Tabela_Base_Financeiro[[#This Row],[Unit Price]],0)</f>
        <v>0</v>
      </c>
      <c r="L169" s="36">
        <f>IFERROR(Tabela_Base_Financeiro[[#This Row],[AC Qty,]],0)</f>
        <v>0</v>
      </c>
      <c r="M169" s="60">
        <f>Tabela6[[#This Row],[Qty]]*Tabela6[[#This Row],[Preço]]</f>
        <v>0</v>
      </c>
      <c r="N169" s="37">
        <f>IFERROR(Tabela_Base_Financeiro[[#This Row],[Proportion]],0)</f>
        <v>0</v>
      </c>
      <c r="O169" s="60">
        <f>Tabela6[[#This Row],[Proporção]]*Tabela6[[#This Row],[Total]]</f>
        <v>0</v>
      </c>
      <c r="P169" s="57"/>
      <c r="Q169" s="55"/>
      <c r="R169" s="58"/>
      <c r="S169" s="61"/>
    </row>
    <row r="170" spans="1:19">
      <c r="A170" s="122" t="e">
        <f>IF(VLOOKUP(Tabela6[[#This Row],[UF]],'BASE CC'!B:C,2,0)="SP",IF(Tabela6[[#This Row],[OPERADORA]]="TIM","SP TIM","SPI"),VLOOKUP(Tabela6[[#This Row],[UF]],'BASE CC'!B:C,2,0))</f>
        <v>#N/A</v>
      </c>
      <c r="B170" s="36" t="e">
        <f>VLOOKUP(Tabela_Base_Financeiro[[#This Row],[Item code]],'COD.FAT'!B:C,2,0)</f>
        <v>#N/A</v>
      </c>
      <c r="C170" s="292">
        <f>Tabela_Base_Financeiro[[#This Row],[PO Ship TO]]</f>
        <v>0</v>
      </c>
      <c r="D170" s="36" t="str">
        <f>RIGHT(Tabela_Base_Financeiro[[#This Row],[Manufacturer]],2)</f>
        <v/>
      </c>
      <c r="E17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70" s="122" t="e">
        <f>VLOOKUP(Tabela_Base_Financeiro[[#This Row],[Project Code]],'COD. PROJETOS'!B:D,3,0)</f>
        <v>#N/A</v>
      </c>
      <c r="G170" s="36">
        <f>IFERROR(Tabela_Base_Financeiro[[#This Row],[PO No,]],0)</f>
        <v>0</v>
      </c>
      <c r="H170" s="36">
        <f>IFERROR(Tabela_Base_Financeiro[[#This Row],[Line No,]],0)</f>
        <v>0</v>
      </c>
      <c r="I170" s="36" t="str">
        <f>IFERROR(MID(Tabela_Base_Financeiro[[#This Row],[Manufacturer]],19,14),"")</f>
        <v/>
      </c>
      <c r="J170" s="113">
        <f>IFERROR(Tabela_Base_Financeiro[[#This Row],[Item code]],0)</f>
        <v>0</v>
      </c>
      <c r="K170" s="293">
        <f>IFERROR(Tabela_Base_Financeiro[[#This Row],[Unit Price]],0)</f>
        <v>0</v>
      </c>
      <c r="L170" s="36">
        <f>IFERROR(Tabela_Base_Financeiro[[#This Row],[AC Qty,]],0)</f>
        <v>0</v>
      </c>
      <c r="M170" s="60">
        <f>Tabela6[[#This Row],[Qty]]*Tabela6[[#This Row],[Preço]]</f>
        <v>0</v>
      </c>
      <c r="N170" s="37">
        <f>IFERROR(Tabela_Base_Financeiro[[#This Row],[Proportion]],0)</f>
        <v>0</v>
      </c>
      <c r="O170" s="60">
        <f>Tabela6[[#This Row],[Proporção]]*Tabela6[[#This Row],[Total]]</f>
        <v>0</v>
      </c>
      <c r="P170" s="57"/>
      <c r="Q170" s="55"/>
      <c r="R170" s="58"/>
      <c r="S170" s="61"/>
    </row>
    <row r="171" spans="1:19">
      <c r="A171" s="122" t="e">
        <f>IF(VLOOKUP(Tabela6[[#This Row],[UF]],'BASE CC'!B:C,2,0)="SP",IF(Tabela6[[#This Row],[OPERADORA]]="TIM","SP TIM","SPI"),VLOOKUP(Tabela6[[#This Row],[UF]],'BASE CC'!B:C,2,0))</f>
        <v>#N/A</v>
      </c>
      <c r="B171" s="36" t="e">
        <f>VLOOKUP(Tabela_Base_Financeiro[[#This Row],[Item code]],'COD.FAT'!B:C,2,0)</f>
        <v>#N/A</v>
      </c>
      <c r="C171" s="292">
        <f>Tabela_Base_Financeiro[[#This Row],[PO Ship TO]]</f>
        <v>0</v>
      </c>
      <c r="D171" s="36" t="str">
        <f>RIGHT(Tabela_Base_Financeiro[[#This Row],[Manufacturer]],2)</f>
        <v/>
      </c>
      <c r="E17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71" s="122" t="e">
        <f>VLOOKUP(Tabela_Base_Financeiro[[#This Row],[Project Code]],'COD. PROJETOS'!B:D,3,0)</f>
        <v>#N/A</v>
      </c>
      <c r="G171" s="36">
        <f>IFERROR(Tabela_Base_Financeiro[[#This Row],[PO No,]],0)</f>
        <v>0</v>
      </c>
      <c r="H171" s="36">
        <f>IFERROR(Tabela_Base_Financeiro[[#This Row],[Line No,]],0)</f>
        <v>0</v>
      </c>
      <c r="I171" s="36" t="str">
        <f>IFERROR(MID(Tabela_Base_Financeiro[[#This Row],[Manufacturer]],19,14),"")</f>
        <v/>
      </c>
      <c r="J171" s="113">
        <f>IFERROR(Tabela_Base_Financeiro[[#This Row],[Item code]],0)</f>
        <v>0</v>
      </c>
      <c r="K171" s="293">
        <f>IFERROR(Tabela_Base_Financeiro[[#This Row],[Unit Price]],0)</f>
        <v>0</v>
      </c>
      <c r="L171" s="36">
        <f>IFERROR(Tabela_Base_Financeiro[[#This Row],[AC Qty,]],0)</f>
        <v>0</v>
      </c>
      <c r="M171" s="60">
        <f>Tabela6[[#This Row],[Qty]]*Tabela6[[#This Row],[Preço]]</f>
        <v>0</v>
      </c>
      <c r="N171" s="37">
        <f>IFERROR(Tabela_Base_Financeiro[[#This Row],[Proportion]],0)</f>
        <v>0</v>
      </c>
      <c r="O171" s="60">
        <f>Tabela6[[#This Row],[Proporção]]*Tabela6[[#This Row],[Total]]</f>
        <v>0</v>
      </c>
      <c r="P171" s="57"/>
      <c r="Q171" s="55"/>
      <c r="R171" s="58"/>
      <c r="S171" s="61"/>
    </row>
    <row r="172" spans="1:19">
      <c r="A172" s="122" t="e">
        <f>IF(VLOOKUP(Tabela6[[#This Row],[UF]],'BASE CC'!B:C,2,0)="SP",IF(Tabela6[[#This Row],[OPERADORA]]="TIM","SP TIM","SPI"),VLOOKUP(Tabela6[[#This Row],[UF]],'BASE CC'!B:C,2,0))</f>
        <v>#N/A</v>
      </c>
      <c r="B172" s="36" t="e">
        <f>VLOOKUP(Tabela_Base_Financeiro[[#This Row],[Item code]],'COD.FAT'!B:C,2,0)</f>
        <v>#N/A</v>
      </c>
      <c r="C172" s="292">
        <f>Tabela_Base_Financeiro[[#This Row],[PO Ship TO]]</f>
        <v>0</v>
      </c>
      <c r="D172" s="36" t="str">
        <f>RIGHT(Tabela_Base_Financeiro[[#This Row],[Manufacturer]],2)</f>
        <v/>
      </c>
      <c r="E17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72" s="122" t="e">
        <f>VLOOKUP(Tabela_Base_Financeiro[[#This Row],[Project Code]],'COD. PROJETOS'!B:D,3,0)</f>
        <v>#N/A</v>
      </c>
      <c r="G172" s="36">
        <f>IFERROR(Tabela_Base_Financeiro[[#This Row],[PO No,]],0)</f>
        <v>0</v>
      </c>
      <c r="H172" s="36">
        <f>IFERROR(Tabela_Base_Financeiro[[#This Row],[Line No,]],0)</f>
        <v>0</v>
      </c>
      <c r="I172" s="36" t="str">
        <f>IFERROR(MID(Tabela_Base_Financeiro[[#This Row],[Manufacturer]],19,14),"")</f>
        <v/>
      </c>
      <c r="J172" s="113">
        <f>IFERROR(Tabela_Base_Financeiro[[#This Row],[Item code]],0)</f>
        <v>0</v>
      </c>
      <c r="K172" s="293">
        <f>IFERROR(Tabela_Base_Financeiro[[#This Row],[Unit Price]],0)</f>
        <v>0</v>
      </c>
      <c r="L172" s="36">
        <f>IFERROR(Tabela_Base_Financeiro[[#This Row],[AC Qty,]],0)</f>
        <v>0</v>
      </c>
      <c r="M172" s="60">
        <f>Tabela6[[#This Row],[Qty]]*Tabela6[[#This Row],[Preço]]</f>
        <v>0</v>
      </c>
      <c r="N172" s="37">
        <f>IFERROR(Tabela_Base_Financeiro[[#This Row],[Proportion]],0)</f>
        <v>0</v>
      </c>
      <c r="O172" s="60">
        <f>Tabela6[[#This Row],[Proporção]]*Tabela6[[#This Row],[Total]]</f>
        <v>0</v>
      </c>
      <c r="P172" s="57"/>
      <c r="Q172" s="55"/>
      <c r="R172" s="58"/>
      <c r="S172" s="61"/>
    </row>
    <row r="173" spans="1:19">
      <c r="A173" s="122" t="e">
        <f>IF(VLOOKUP(Tabela6[[#This Row],[UF]],'BASE CC'!B:C,2,0)="SP",IF(Tabela6[[#This Row],[OPERADORA]]="TIM","SP TIM","SPI"),VLOOKUP(Tabela6[[#This Row],[UF]],'BASE CC'!B:C,2,0))</f>
        <v>#N/A</v>
      </c>
      <c r="B173" s="36" t="e">
        <f>VLOOKUP(Tabela_Base_Financeiro[[#This Row],[Item code]],'COD.FAT'!B:C,2,0)</f>
        <v>#N/A</v>
      </c>
      <c r="C173" s="292">
        <f>Tabela_Base_Financeiro[[#This Row],[PO Ship TO]]</f>
        <v>0</v>
      </c>
      <c r="D173" s="36" t="str">
        <f>RIGHT(Tabela_Base_Financeiro[[#This Row],[Manufacturer]],2)</f>
        <v/>
      </c>
      <c r="E17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73" s="122" t="e">
        <f>VLOOKUP(Tabela_Base_Financeiro[[#This Row],[Project Code]],'COD. PROJETOS'!B:D,3,0)</f>
        <v>#N/A</v>
      </c>
      <c r="G173" s="36">
        <f>IFERROR(Tabela_Base_Financeiro[[#This Row],[PO No,]],0)</f>
        <v>0</v>
      </c>
      <c r="H173" s="36">
        <f>IFERROR(Tabela_Base_Financeiro[[#This Row],[Line No,]],0)</f>
        <v>0</v>
      </c>
      <c r="I173" s="36" t="str">
        <f>IFERROR(MID(Tabela_Base_Financeiro[[#This Row],[Manufacturer]],19,14),"")</f>
        <v/>
      </c>
      <c r="J173" s="113">
        <f>IFERROR(Tabela_Base_Financeiro[[#This Row],[Item code]],0)</f>
        <v>0</v>
      </c>
      <c r="K173" s="293">
        <f>IFERROR(Tabela_Base_Financeiro[[#This Row],[Unit Price]],0)</f>
        <v>0</v>
      </c>
      <c r="L173" s="36">
        <f>IFERROR(Tabela_Base_Financeiro[[#This Row],[AC Qty,]],0)</f>
        <v>0</v>
      </c>
      <c r="M173" s="60">
        <f>Tabela6[[#This Row],[Qty]]*Tabela6[[#This Row],[Preço]]</f>
        <v>0</v>
      </c>
      <c r="N173" s="37">
        <f>IFERROR(Tabela_Base_Financeiro[[#This Row],[Proportion]],0)</f>
        <v>0</v>
      </c>
      <c r="O173" s="60">
        <f>Tabela6[[#This Row],[Proporção]]*Tabela6[[#This Row],[Total]]</f>
        <v>0</v>
      </c>
      <c r="P173" s="57"/>
      <c r="Q173" s="55"/>
      <c r="R173" s="58"/>
      <c r="S173" s="61"/>
    </row>
    <row r="174" spans="1:19">
      <c r="A174" s="122" t="e">
        <f>IF(VLOOKUP(Tabela6[[#This Row],[UF]],'BASE CC'!B:C,2,0)="SP",IF(Tabela6[[#This Row],[OPERADORA]]="TIM","SP TIM","SPI"),VLOOKUP(Tabela6[[#This Row],[UF]],'BASE CC'!B:C,2,0))</f>
        <v>#N/A</v>
      </c>
      <c r="B174" s="36" t="e">
        <f>VLOOKUP(Tabela_Base_Financeiro[[#This Row],[Item code]],'COD.FAT'!B:C,2,0)</f>
        <v>#N/A</v>
      </c>
      <c r="C174" s="292">
        <f>Tabela_Base_Financeiro[[#This Row],[PO Ship TO]]</f>
        <v>0</v>
      </c>
      <c r="D174" s="36" t="str">
        <f>RIGHT(Tabela_Base_Financeiro[[#This Row],[Manufacturer]],2)</f>
        <v/>
      </c>
      <c r="E17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74" s="122" t="e">
        <f>VLOOKUP(Tabela_Base_Financeiro[[#This Row],[Project Code]],'COD. PROJETOS'!B:D,3,0)</f>
        <v>#N/A</v>
      </c>
      <c r="G174" s="36">
        <f>IFERROR(Tabela_Base_Financeiro[[#This Row],[PO No,]],0)</f>
        <v>0</v>
      </c>
      <c r="H174" s="36">
        <f>IFERROR(Tabela_Base_Financeiro[[#This Row],[Line No,]],0)</f>
        <v>0</v>
      </c>
      <c r="I174" s="36" t="str">
        <f>IFERROR(MID(Tabela_Base_Financeiro[[#This Row],[Manufacturer]],19,14),"")</f>
        <v/>
      </c>
      <c r="J174" s="113">
        <f>IFERROR(Tabela_Base_Financeiro[[#This Row],[Item code]],0)</f>
        <v>0</v>
      </c>
      <c r="K174" s="293">
        <f>IFERROR(Tabela_Base_Financeiro[[#This Row],[Unit Price]],0)</f>
        <v>0</v>
      </c>
      <c r="L174" s="36">
        <f>IFERROR(Tabela_Base_Financeiro[[#This Row],[AC Qty,]],0)</f>
        <v>0</v>
      </c>
      <c r="M174" s="60">
        <f>Tabela6[[#This Row],[Qty]]*Tabela6[[#This Row],[Preço]]</f>
        <v>0</v>
      </c>
      <c r="N174" s="37">
        <f>IFERROR(Tabela_Base_Financeiro[[#This Row],[Proportion]],0)</f>
        <v>0</v>
      </c>
      <c r="O174" s="60">
        <f>Tabela6[[#This Row],[Proporção]]*Tabela6[[#This Row],[Total]]</f>
        <v>0</v>
      </c>
      <c r="P174" s="57"/>
      <c r="Q174" s="55"/>
      <c r="R174" s="58"/>
      <c r="S174" s="61"/>
    </row>
    <row r="175" spans="1:19">
      <c r="A175" s="122" t="e">
        <f>IF(VLOOKUP(Tabela6[[#This Row],[UF]],'BASE CC'!B:C,2,0)="SP",IF(Tabela6[[#This Row],[OPERADORA]]="TIM","SP TIM","SPI"),VLOOKUP(Tabela6[[#This Row],[UF]],'BASE CC'!B:C,2,0))</f>
        <v>#N/A</v>
      </c>
      <c r="B175" s="36" t="e">
        <f>VLOOKUP(Tabela_Base_Financeiro[[#This Row],[Item code]],'COD.FAT'!B:C,2,0)</f>
        <v>#N/A</v>
      </c>
      <c r="C175" s="292">
        <f>Tabela_Base_Financeiro[[#This Row],[PO Ship TO]]</f>
        <v>0</v>
      </c>
      <c r="D175" s="36" t="str">
        <f>RIGHT(Tabela_Base_Financeiro[[#This Row],[Manufacturer]],2)</f>
        <v/>
      </c>
      <c r="E17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75" s="122" t="e">
        <f>VLOOKUP(Tabela_Base_Financeiro[[#This Row],[Project Code]],'COD. PROJETOS'!B:D,3,0)</f>
        <v>#N/A</v>
      </c>
      <c r="G175" s="36">
        <f>IFERROR(Tabela_Base_Financeiro[[#This Row],[PO No,]],0)</f>
        <v>0</v>
      </c>
      <c r="H175" s="36">
        <f>IFERROR(Tabela_Base_Financeiro[[#This Row],[Line No,]],0)</f>
        <v>0</v>
      </c>
      <c r="I175" s="36" t="str">
        <f>IFERROR(MID(Tabela_Base_Financeiro[[#This Row],[Manufacturer]],19,14),"")</f>
        <v/>
      </c>
      <c r="J175" s="113">
        <f>IFERROR(Tabela_Base_Financeiro[[#This Row],[Item code]],0)</f>
        <v>0</v>
      </c>
      <c r="K175" s="293">
        <f>IFERROR(Tabela_Base_Financeiro[[#This Row],[Unit Price]],0)</f>
        <v>0</v>
      </c>
      <c r="L175" s="36">
        <f>IFERROR(Tabela_Base_Financeiro[[#This Row],[AC Qty,]],0)</f>
        <v>0</v>
      </c>
      <c r="M175" s="60">
        <f>Tabela6[[#This Row],[Qty]]*Tabela6[[#This Row],[Preço]]</f>
        <v>0</v>
      </c>
      <c r="N175" s="37">
        <f>IFERROR(Tabela_Base_Financeiro[[#This Row],[Proportion]],0)</f>
        <v>0</v>
      </c>
      <c r="O175" s="60">
        <f>Tabela6[[#This Row],[Proporção]]*Tabela6[[#This Row],[Total]]</f>
        <v>0</v>
      </c>
      <c r="P175" s="57"/>
      <c r="Q175" s="55"/>
      <c r="R175" s="58"/>
      <c r="S175" s="61"/>
    </row>
    <row r="176" spans="1:19">
      <c r="A176" s="122" t="e">
        <f>IF(VLOOKUP(Tabela6[[#This Row],[UF]],'BASE CC'!B:C,2,0)="SP",IF(Tabela6[[#This Row],[OPERADORA]]="TIM","SP TIM","SPI"),VLOOKUP(Tabela6[[#This Row],[UF]],'BASE CC'!B:C,2,0))</f>
        <v>#N/A</v>
      </c>
      <c r="B176" s="36" t="e">
        <f>VLOOKUP(Tabela_Base_Financeiro[[#This Row],[Item code]],'COD.FAT'!B:C,2,0)</f>
        <v>#N/A</v>
      </c>
      <c r="C176" s="292">
        <f>Tabela_Base_Financeiro[[#This Row],[PO Ship TO]]</f>
        <v>0</v>
      </c>
      <c r="D176" s="36" t="str">
        <f>RIGHT(Tabela_Base_Financeiro[[#This Row],[Manufacturer]],2)</f>
        <v/>
      </c>
      <c r="E17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76" s="122" t="e">
        <f>VLOOKUP(Tabela_Base_Financeiro[[#This Row],[Project Code]],'COD. PROJETOS'!B:D,3,0)</f>
        <v>#N/A</v>
      </c>
      <c r="G176" s="36">
        <f>IFERROR(Tabela_Base_Financeiro[[#This Row],[PO No,]],0)</f>
        <v>0</v>
      </c>
      <c r="H176" s="36">
        <f>IFERROR(Tabela_Base_Financeiro[[#This Row],[Line No,]],0)</f>
        <v>0</v>
      </c>
      <c r="I176" s="36" t="str">
        <f>IFERROR(MID(Tabela_Base_Financeiro[[#This Row],[Manufacturer]],19,14),"")</f>
        <v/>
      </c>
      <c r="J176" s="113">
        <f>IFERROR(Tabela_Base_Financeiro[[#This Row],[Item code]],0)</f>
        <v>0</v>
      </c>
      <c r="K176" s="293">
        <f>IFERROR(Tabela_Base_Financeiro[[#This Row],[Unit Price]],0)</f>
        <v>0</v>
      </c>
      <c r="L176" s="36">
        <f>IFERROR(Tabela_Base_Financeiro[[#This Row],[AC Qty,]],0)</f>
        <v>0</v>
      </c>
      <c r="M176" s="60">
        <f>Tabela6[[#This Row],[Qty]]*Tabela6[[#This Row],[Preço]]</f>
        <v>0</v>
      </c>
      <c r="N176" s="37">
        <f>IFERROR(Tabela_Base_Financeiro[[#This Row],[Proportion]],0)</f>
        <v>0</v>
      </c>
      <c r="O176" s="60">
        <f>Tabela6[[#This Row],[Proporção]]*Tabela6[[#This Row],[Total]]</f>
        <v>0</v>
      </c>
      <c r="P176" s="57"/>
      <c r="Q176" s="55"/>
      <c r="R176" s="58"/>
      <c r="S176" s="61"/>
    </row>
    <row r="177" spans="1:19">
      <c r="A177" s="122" t="e">
        <f>IF(VLOOKUP(Tabela6[[#This Row],[UF]],'BASE CC'!B:C,2,0)="SP",IF(Tabela6[[#This Row],[OPERADORA]]="TIM","SP TIM","SPI"),VLOOKUP(Tabela6[[#This Row],[UF]],'BASE CC'!B:C,2,0))</f>
        <v>#N/A</v>
      </c>
      <c r="B177" s="36" t="e">
        <f>VLOOKUP(Tabela_Base_Financeiro[[#This Row],[Item code]],'COD.FAT'!B:C,2,0)</f>
        <v>#N/A</v>
      </c>
      <c r="C177" s="292">
        <f>Tabela_Base_Financeiro[[#This Row],[PO Ship TO]]</f>
        <v>0</v>
      </c>
      <c r="D177" s="36" t="str">
        <f>RIGHT(Tabela_Base_Financeiro[[#This Row],[Manufacturer]],2)</f>
        <v/>
      </c>
      <c r="E17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77" s="122" t="e">
        <f>VLOOKUP(Tabela_Base_Financeiro[[#This Row],[Project Code]],'COD. PROJETOS'!B:D,3,0)</f>
        <v>#N/A</v>
      </c>
      <c r="G177" s="36">
        <f>IFERROR(Tabela_Base_Financeiro[[#This Row],[PO No,]],0)</f>
        <v>0</v>
      </c>
      <c r="H177" s="36">
        <f>IFERROR(Tabela_Base_Financeiro[[#This Row],[Line No,]],0)</f>
        <v>0</v>
      </c>
      <c r="I177" s="36" t="str">
        <f>IFERROR(MID(Tabela_Base_Financeiro[[#This Row],[Manufacturer]],19,14),"")</f>
        <v/>
      </c>
      <c r="J177" s="113">
        <f>IFERROR(Tabela_Base_Financeiro[[#This Row],[Item code]],0)</f>
        <v>0</v>
      </c>
      <c r="K177" s="293">
        <f>IFERROR(Tabela_Base_Financeiro[[#This Row],[Unit Price]],0)</f>
        <v>0</v>
      </c>
      <c r="L177" s="36">
        <f>IFERROR(Tabela_Base_Financeiro[[#This Row],[AC Qty,]],0)</f>
        <v>0</v>
      </c>
      <c r="M177" s="60">
        <f>Tabela6[[#This Row],[Qty]]*Tabela6[[#This Row],[Preço]]</f>
        <v>0</v>
      </c>
      <c r="N177" s="37">
        <f>IFERROR(Tabela_Base_Financeiro[[#This Row],[Proportion]],0)</f>
        <v>0</v>
      </c>
      <c r="O177" s="60">
        <f>Tabela6[[#This Row],[Proporção]]*Tabela6[[#This Row],[Total]]</f>
        <v>0</v>
      </c>
      <c r="P177" s="57"/>
      <c r="Q177" s="55"/>
      <c r="R177" s="58"/>
      <c r="S177" s="61"/>
    </row>
    <row r="178" spans="1:19">
      <c r="A178" s="122" t="e">
        <f>IF(VLOOKUP(Tabela6[[#This Row],[UF]],'BASE CC'!B:C,2,0)="SP",IF(Tabela6[[#This Row],[OPERADORA]]="TIM","SP TIM","SPI"),VLOOKUP(Tabela6[[#This Row],[UF]],'BASE CC'!B:C,2,0))</f>
        <v>#N/A</v>
      </c>
      <c r="B178" s="36" t="e">
        <f>VLOOKUP(Tabela_Base_Financeiro[[#This Row],[Item code]],'COD.FAT'!B:C,2,0)</f>
        <v>#N/A</v>
      </c>
      <c r="C178" s="292">
        <f>Tabela_Base_Financeiro[[#This Row],[PO Ship TO]]</f>
        <v>0</v>
      </c>
      <c r="D178" s="36" t="str">
        <f>RIGHT(Tabela_Base_Financeiro[[#This Row],[Manufacturer]],2)</f>
        <v/>
      </c>
      <c r="E17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78" s="122" t="e">
        <f>VLOOKUP(Tabela_Base_Financeiro[[#This Row],[Project Code]],'COD. PROJETOS'!B:D,3,0)</f>
        <v>#N/A</v>
      </c>
      <c r="G178" s="36">
        <f>IFERROR(Tabela_Base_Financeiro[[#This Row],[PO No,]],0)</f>
        <v>0</v>
      </c>
      <c r="H178" s="36">
        <f>IFERROR(Tabela_Base_Financeiro[[#This Row],[Line No,]],0)</f>
        <v>0</v>
      </c>
      <c r="I178" s="36" t="str">
        <f>IFERROR(MID(Tabela_Base_Financeiro[[#This Row],[Manufacturer]],19,14),"")</f>
        <v/>
      </c>
      <c r="J178" s="113">
        <f>IFERROR(Tabela_Base_Financeiro[[#This Row],[Item code]],0)</f>
        <v>0</v>
      </c>
      <c r="K178" s="293">
        <f>IFERROR(Tabela_Base_Financeiro[[#This Row],[Unit Price]],0)</f>
        <v>0</v>
      </c>
      <c r="L178" s="36">
        <f>IFERROR(Tabela_Base_Financeiro[[#This Row],[AC Qty,]],0)</f>
        <v>0</v>
      </c>
      <c r="M178" s="60">
        <f>Tabela6[[#This Row],[Qty]]*Tabela6[[#This Row],[Preço]]</f>
        <v>0</v>
      </c>
      <c r="N178" s="37">
        <f>IFERROR(Tabela_Base_Financeiro[[#This Row],[Proportion]],0)</f>
        <v>0</v>
      </c>
      <c r="O178" s="60">
        <f>Tabela6[[#This Row],[Proporção]]*Tabela6[[#This Row],[Total]]</f>
        <v>0</v>
      </c>
      <c r="P178" s="57"/>
      <c r="Q178" s="55"/>
      <c r="R178" s="58"/>
      <c r="S178" s="61"/>
    </row>
    <row r="179" spans="1:19">
      <c r="A179" s="122" t="e">
        <f>IF(VLOOKUP(Tabela6[[#This Row],[UF]],'BASE CC'!B:C,2,0)="SP",IF(Tabela6[[#This Row],[OPERADORA]]="TIM","SP TIM","SPI"),VLOOKUP(Tabela6[[#This Row],[UF]],'BASE CC'!B:C,2,0))</f>
        <v>#N/A</v>
      </c>
      <c r="B179" s="36" t="e">
        <f>VLOOKUP(Tabela_Base_Financeiro[[#This Row],[Item code]],'COD.FAT'!B:C,2,0)</f>
        <v>#N/A</v>
      </c>
      <c r="C179" s="292">
        <f>Tabela_Base_Financeiro[[#This Row],[PO Ship TO]]</f>
        <v>0</v>
      </c>
      <c r="D179" s="36" t="str">
        <f>RIGHT(Tabela_Base_Financeiro[[#This Row],[Manufacturer]],2)</f>
        <v/>
      </c>
      <c r="E17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79" s="122" t="e">
        <f>VLOOKUP(Tabela_Base_Financeiro[[#This Row],[Project Code]],'COD. PROJETOS'!B:D,3,0)</f>
        <v>#N/A</v>
      </c>
      <c r="G179" s="36">
        <f>IFERROR(Tabela_Base_Financeiro[[#This Row],[PO No,]],0)</f>
        <v>0</v>
      </c>
      <c r="H179" s="36">
        <f>IFERROR(Tabela_Base_Financeiro[[#This Row],[Line No,]],0)</f>
        <v>0</v>
      </c>
      <c r="I179" s="36" t="str">
        <f>IFERROR(MID(Tabela_Base_Financeiro[[#This Row],[Manufacturer]],19,14),"")</f>
        <v/>
      </c>
      <c r="J179" s="113">
        <f>IFERROR(Tabela_Base_Financeiro[[#This Row],[Item code]],0)</f>
        <v>0</v>
      </c>
      <c r="K179" s="293">
        <f>IFERROR(Tabela_Base_Financeiro[[#This Row],[Unit Price]],0)</f>
        <v>0</v>
      </c>
      <c r="L179" s="36">
        <f>IFERROR(Tabela_Base_Financeiro[[#This Row],[AC Qty,]],0)</f>
        <v>0</v>
      </c>
      <c r="M179" s="60">
        <f>Tabela6[[#This Row],[Qty]]*Tabela6[[#This Row],[Preço]]</f>
        <v>0</v>
      </c>
      <c r="N179" s="37">
        <f>IFERROR(Tabela_Base_Financeiro[[#This Row],[Proportion]],0)</f>
        <v>0</v>
      </c>
      <c r="O179" s="60">
        <f>Tabela6[[#This Row],[Proporção]]*Tabela6[[#This Row],[Total]]</f>
        <v>0</v>
      </c>
      <c r="P179" s="57"/>
      <c r="Q179" s="55"/>
      <c r="R179" s="58"/>
      <c r="S179" s="61"/>
    </row>
    <row r="180" spans="1:19">
      <c r="A180" s="122" t="e">
        <f>IF(VLOOKUP(Tabela6[[#This Row],[UF]],'BASE CC'!B:C,2,0)="SP",IF(Tabela6[[#This Row],[OPERADORA]]="TIM","SP TIM","SPI"),VLOOKUP(Tabela6[[#This Row],[UF]],'BASE CC'!B:C,2,0))</f>
        <v>#N/A</v>
      </c>
      <c r="B180" s="36" t="e">
        <f>VLOOKUP(Tabela_Base_Financeiro[[#This Row],[Item code]],'COD.FAT'!B:C,2,0)</f>
        <v>#N/A</v>
      </c>
      <c r="C180" s="292">
        <f>Tabela_Base_Financeiro[[#This Row],[PO Ship TO]]</f>
        <v>0</v>
      </c>
      <c r="D180" s="36" t="str">
        <f>RIGHT(Tabela_Base_Financeiro[[#This Row],[Manufacturer]],2)</f>
        <v/>
      </c>
      <c r="E18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80" s="122" t="e">
        <f>VLOOKUP(Tabela_Base_Financeiro[[#This Row],[Project Code]],'COD. PROJETOS'!B:D,3,0)</f>
        <v>#N/A</v>
      </c>
      <c r="G180" s="36">
        <f>IFERROR(Tabela_Base_Financeiro[[#This Row],[PO No,]],0)</f>
        <v>0</v>
      </c>
      <c r="H180" s="36">
        <f>IFERROR(Tabela_Base_Financeiro[[#This Row],[Line No,]],0)</f>
        <v>0</v>
      </c>
      <c r="I180" s="36" t="str">
        <f>IFERROR(MID(Tabela_Base_Financeiro[[#This Row],[Manufacturer]],19,14),"")</f>
        <v/>
      </c>
      <c r="J180" s="113">
        <f>IFERROR(Tabela_Base_Financeiro[[#This Row],[Item code]],0)</f>
        <v>0</v>
      </c>
      <c r="K180" s="293">
        <f>IFERROR(Tabela_Base_Financeiro[[#This Row],[Unit Price]],0)</f>
        <v>0</v>
      </c>
      <c r="L180" s="36">
        <f>IFERROR(Tabela_Base_Financeiro[[#This Row],[AC Qty,]],0)</f>
        <v>0</v>
      </c>
      <c r="M180" s="60">
        <f>Tabela6[[#This Row],[Qty]]*Tabela6[[#This Row],[Preço]]</f>
        <v>0</v>
      </c>
      <c r="N180" s="37">
        <f>IFERROR(Tabela_Base_Financeiro[[#This Row],[Proportion]],0)</f>
        <v>0</v>
      </c>
      <c r="O180" s="60">
        <f>Tabela6[[#This Row],[Proporção]]*Tabela6[[#This Row],[Total]]</f>
        <v>0</v>
      </c>
      <c r="P180" s="57"/>
      <c r="Q180" s="55"/>
      <c r="R180" s="58"/>
      <c r="S180" s="61"/>
    </row>
    <row r="181" spans="1:19">
      <c r="A181" s="122" t="e">
        <f>IF(VLOOKUP(Tabela6[[#This Row],[UF]],'BASE CC'!B:C,2,0)="SP",IF(Tabela6[[#This Row],[OPERADORA]]="TIM","SP TIM","SPI"),VLOOKUP(Tabela6[[#This Row],[UF]],'BASE CC'!B:C,2,0))</f>
        <v>#N/A</v>
      </c>
      <c r="B181" s="36" t="e">
        <f>VLOOKUP(Tabela_Base_Financeiro[[#This Row],[Item code]],'COD.FAT'!B:C,2,0)</f>
        <v>#N/A</v>
      </c>
      <c r="C181" s="292">
        <f>Tabela_Base_Financeiro[[#This Row],[PO Ship TO]]</f>
        <v>0</v>
      </c>
      <c r="D181" s="36" t="str">
        <f>RIGHT(Tabela_Base_Financeiro[[#This Row],[Manufacturer]],2)</f>
        <v/>
      </c>
      <c r="E18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81" s="122" t="e">
        <f>VLOOKUP(Tabela_Base_Financeiro[[#This Row],[Project Code]],'COD. PROJETOS'!B:D,3,0)</f>
        <v>#N/A</v>
      </c>
      <c r="G181" s="36">
        <f>IFERROR(Tabela_Base_Financeiro[[#This Row],[PO No,]],0)</f>
        <v>0</v>
      </c>
      <c r="H181" s="36">
        <f>IFERROR(Tabela_Base_Financeiro[[#This Row],[Line No,]],0)</f>
        <v>0</v>
      </c>
      <c r="I181" s="36" t="str">
        <f>IFERROR(MID(Tabela_Base_Financeiro[[#This Row],[Manufacturer]],19,14),"")</f>
        <v/>
      </c>
      <c r="J181" s="113">
        <f>IFERROR(Tabela_Base_Financeiro[[#This Row],[Item code]],0)</f>
        <v>0</v>
      </c>
      <c r="K181" s="293">
        <f>IFERROR(Tabela_Base_Financeiro[[#This Row],[Unit Price]],0)</f>
        <v>0</v>
      </c>
      <c r="L181" s="36">
        <f>IFERROR(Tabela_Base_Financeiro[[#This Row],[AC Qty,]],0)</f>
        <v>0</v>
      </c>
      <c r="M181" s="60">
        <f>Tabela6[[#This Row],[Qty]]*Tabela6[[#This Row],[Preço]]</f>
        <v>0</v>
      </c>
      <c r="N181" s="37">
        <f>IFERROR(Tabela_Base_Financeiro[[#This Row],[Proportion]],0)</f>
        <v>0</v>
      </c>
      <c r="O181" s="60">
        <f>Tabela6[[#This Row],[Proporção]]*Tabela6[[#This Row],[Total]]</f>
        <v>0</v>
      </c>
      <c r="P181" s="57"/>
      <c r="Q181" s="55"/>
      <c r="R181" s="58"/>
      <c r="S181" s="61"/>
    </row>
    <row r="182" spans="1:19">
      <c r="A182" s="122" t="e">
        <f>IF(VLOOKUP(Tabela6[[#This Row],[UF]],'BASE CC'!B:C,2,0)="SP",IF(Tabela6[[#This Row],[OPERADORA]]="TIM","SP TIM","SPI"),VLOOKUP(Tabela6[[#This Row],[UF]],'BASE CC'!B:C,2,0))</f>
        <v>#N/A</v>
      </c>
      <c r="B182" s="36" t="e">
        <f>VLOOKUP(Tabela_Base_Financeiro[[#This Row],[Item code]],'COD.FAT'!B:C,2,0)</f>
        <v>#N/A</v>
      </c>
      <c r="C182" s="292">
        <f>Tabela_Base_Financeiro[[#This Row],[PO Ship TO]]</f>
        <v>0</v>
      </c>
      <c r="D182" s="36" t="str">
        <f>RIGHT(Tabela_Base_Financeiro[[#This Row],[Manufacturer]],2)</f>
        <v/>
      </c>
      <c r="E18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82" s="122" t="e">
        <f>VLOOKUP(Tabela_Base_Financeiro[[#This Row],[Project Code]],'COD. PROJETOS'!B:D,3,0)</f>
        <v>#N/A</v>
      </c>
      <c r="G182" s="36">
        <f>IFERROR(Tabela_Base_Financeiro[[#This Row],[PO No,]],0)</f>
        <v>0</v>
      </c>
      <c r="H182" s="36">
        <f>IFERROR(Tabela_Base_Financeiro[[#This Row],[Line No,]],0)</f>
        <v>0</v>
      </c>
      <c r="I182" s="36" t="str">
        <f>IFERROR(MID(Tabela_Base_Financeiro[[#This Row],[Manufacturer]],19,14),"")</f>
        <v/>
      </c>
      <c r="J182" s="113">
        <f>IFERROR(Tabela_Base_Financeiro[[#This Row],[Item code]],0)</f>
        <v>0</v>
      </c>
      <c r="K182" s="293">
        <f>IFERROR(Tabela_Base_Financeiro[[#This Row],[Unit Price]],0)</f>
        <v>0</v>
      </c>
      <c r="L182" s="36">
        <f>IFERROR(Tabela_Base_Financeiro[[#This Row],[AC Qty,]],0)</f>
        <v>0</v>
      </c>
      <c r="M182" s="60">
        <f>Tabela6[[#This Row],[Qty]]*Tabela6[[#This Row],[Preço]]</f>
        <v>0</v>
      </c>
      <c r="N182" s="37">
        <f>IFERROR(Tabela_Base_Financeiro[[#This Row],[Proportion]],0)</f>
        <v>0</v>
      </c>
      <c r="O182" s="60">
        <f>Tabela6[[#This Row],[Proporção]]*Tabela6[[#This Row],[Total]]</f>
        <v>0</v>
      </c>
      <c r="P182" s="57"/>
      <c r="Q182" s="55"/>
      <c r="R182" s="58"/>
      <c r="S182" s="61"/>
    </row>
    <row r="183" spans="1:19">
      <c r="A183" s="122" t="e">
        <f>IF(VLOOKUP(Tabela6[[#This Row],[UF]],'BASE CC'!B:C,2,0)="SP",IF(Tabela6[[#This Row],[OPERADORA]]="TIM","SP TIM","SPI"),VLOOKUP(Tabela6[[#This Row],[UF]],'BASE CC'!B:C,2,0))</f>
        <v>#N/A</v>
      </c>
      <c r="B183" s="36" t="e">
        <f>VLOOKUP(Tabela_Base_Financeiro[[#This Row],[Item code]],'COD.FAT'!B:C,2,0)</f>
        <v>#N/A</v>
      </c>
      <c r="C183" s="292">
        <f>Tabela_Base_Financeiro[[#This Row],[PO Ship TO]]</f>
        <v>0</v>
      </c>
      <c r="D183" s="36" t="str">
        <f>RIGHT(Tabela_Base_Financeiro[[#This Row],[Manufacturer]],2)</f>
        <v/>
      </c>
      <c r="E18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83" s="122" t="e">
        <f>VLOOKUP(Tabela_Base_Financeiro[[#This Row],[Project Code]],'COD. PROJETOS'!B:D,3,0)</f>
        <v>#N/A</v>
      </c>
      <c r="G183" s="36">
        <f>IFERROR(Tabela_Base_Financeiro[[#This Row],[PO No,]],0)</f>
        <v>0</v>
      </c>
      <c r="H183" s="36">
        <f>IFERROR(Tabela_Base_Financeiro[[#This Row],[Line No,]],0)</f>
        <v>0</v>
      </c>
      <c r="I183" s="36" t="str">
        <f>IFERROR(MID(Tabela_Base_Financeiro[[#This Row],[Manufacturer]],19,14),"")</f>
        <v/>
      </c>
      <c r="J183" s="113">
        <f>IFERROR(Tabela_Base_Financeiro[[#This Row],[Item code]],0)</f>
        <v>0</v>
      </c>
      <c r="K183" s="293">
        <f>IFERROR(Tabela_Base_Financeiro[[#This Row],[Unit Price]],0)</f>
        <v>0</v>
      </c>
      <c r="L183" s="36">
        <f>IFERROR(Tabela_Base_Financeiro[[#This Row],[AC Qty,]],0)</f>
        <v>0</v>
      </c>
      <c r="M183" s="60">
        <f>Tabela6[[#This Row],[Qty]]*Tabela6[[#This Row],[Preço]]</f>
        <v>0</v>
      </c>
      <c r="N183" s="37">
        <f>IFERROR(Tabela_Base_Financeiro[[#This Row],[Proportion]],0)</f>
        <v>0</v>
      </c>
      <c r="O183" s="60">
        <f>Tabela6[[#This Row],[Proporção]]*Tabela6[[#This Row],[Total]]</f>
        <v>0</v>
      </c>
      <c r="P183" s="57"/>
      <c r="Q183" s="55"/>
      <c r="R183" s="58"/>
      <c r="S183" s="61"/>
    </row>
    <row r="184" spans="1:19">
      <c r="A184" s="122" t="e">
        <f>IF(VLOOKUP(Tabela6[[#This Row],[UF]],'BASE CC'!B:C,2,0)="SP",IF(Tabela6[[#This Row],[OPERADORA]]="TIM","SP TIM","SPI"),VLOOKUP(Tabela6[[#This Row],[UF]],'BASE CC'!B:C,2,0))</f>
        <v>#N/A</v>
      </c>
      <c r="B184" s="36" t="e">
        <f>VLOOKUP(Tabela_Base_Financeiro[[#This Row],[Item code]],'COD.FAT'!B:C,2,0)</f>
        <v>#N/A</v>
      </c>
      <c r="C184" s="292">
        <f>Tabela_Base_Financeiro[[#This Row],[PO Ship TO]]</f>
        <v>0</v>
      </c>
      <c r="D184" s="36" t="str">
        <f>RIGHT(Tabela_Base_Financeiro[[#This Row],[Manufacturer]],2)</f>
        <v/>
      </c>
      <c r="E18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84" s="122" t="e">
        <f>VLOOKUP(Tabela_Base_Financeiro[[#This Row],[Project Code]],'COD. PROJETOS'!B:D,3,0)</f>
        <v>#N/A</v>
      </c>
      <c r="G184" s="36">
        <f>IFERROR(Tabela_Base_Financeiro[[#This Row],[PO No,]],0)</f>
        <v>0</v>
      </c>
      <c r="H184" s="36">
        <f>IFERROR(Tabela_Base_Financeiro[[#This Row],[Line No,]],0)</f>
        <v>0</v>
      </c>
      <c r="I184" s="36" t="str">
        <f>IFERROR(MID(Tabela_Base_Financeiro[[#This Row],[Manufacturer]],19,14),"")</f>
        <v/>
      </c>
      <c r="J184" s="113">
        <f>IFERROR(Tabela_Base_Financeiro[[#This Row],[Item code]],0)</f>
        <v>0</v>
      </c>
      <c r="K184" s="293">
        <f>IFERROR(Tabela_Base_Financeiro[[#This Row],[Unit Price]],0)</f>
        <v>0</v>
      </c>
      <c r="L184" s="36">
        <f>IFERROR(Tabela_Base_Financeiro[[#This Row],[AC Qty,]],0)</f>
        <v>0</v>
      </c>
      <c r="M184" s="60">
        <f>Tabela6[[#This Row],[Qty]]*Tabela6[[#This Row],[Preço]]</f>
        <v>0</v>
      </c>
      <c r="N184" s="37">
        <f>IFERROR(Tabela_Base_Financeiro[[#This Row],[Proportion]],0)</f>
        <v>0</v>
      </c>
      <c r="O184" s="60">
        <f>Tabela6[[#This Row],[Proporção]]*Tabela6[[#This Row],[Total]]</f>
        <v>0</v>
      </c>
      <c r="P184" s="57"/>
      <c r="Q184" s="55"/>
      <c r="R184" s="58"/>
      <c r="S184" s="61"/>
    </row>
    <row r="185" spans="1:19">
      <c r="A185" s="122" t="e">
        <f>IF(VLOOKUP(Tabela6[[#This Row],[UF]],'BASE CC'!B:C,2,0)="SP",IF(Tabela6[[#This Row],[OPERADORA]]="TIM","SP TIM","SPI"),VLOOKUP(Tabela6[[#This Row],[UF]],'BASE CC'!B:C,2,0))</f>
        <v>#N/A</v>
      </c>
      <c r="B185" s="36" t="e">
        <f>VLOOKUP(Tabela_Base_Financeiro[[#This Row],[Item code]],'COD.FAT'!B:C,2,0)</f>
        <v>#N/A</v>
      </c>
      <c r="C185" s="292">
        <f>Tabela_Base_Financeiro[[#This Row],[PO Ship TO]]</f>
        <v>0</v>
      </c>
      <c r="D185" s="36" t="str">
        <f>RIGHT(Tabela_Base_Financeiro[[#This Row],[Manufacturer]],2)</f>
        <v/>
      </c>
      <c r="E18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85" s="122" t="e">
        <f>VLOOKUP(Tabela_Base_Financeiro[[#This Row],[Project Code]],'COD. PROJETOS'!B:D,3,0)</f>
        <v>#N/A</v>
      </c>
      <c r="G185" s="36">
        <f>IFERROR(Tabela_Base_Financeiro[[#This Row],[PO No,]],0)</f>
        <v>0</v>
      </c>
      <c r="H185" s="36">
        <f>IFERROR(Tabela_Base_Financeiro[[#This Row],[Line No,]],0)</f>
        <v>0</v>
      </c>
      <c r="I185" s="36" t="str">
        <f>IFERROR(MID(Tabela_Base_Financeiro[[#This Row],[Manufacturer]],19,14),"")</f>
        <v/>
      </c>
      <c r="J185" s="113">
        <f>IFERROR(Tabela_Base_Financeiro[[#This Row],[Item code]],0)</f>
        <v>0</v>
      </c>
      <c r="K185" s="293">
        <f>IFERROR(Tabela_Base_Financeiro[[#This Row],[Unit Price]],0)</f>
        <v>0</v>
      </c>
      <c r="L185" s="36">
        <f>IFERROR(Tabela_Base_Financeiro[[#This Row],[AC Qty,]],0)</f>
        <v>0</v>
      </c>
      <c r="M185" s="60">
        <f>Tabela6[[#This Row],[Qty]]*Tabela6[[#This Row],[Preço]]</f>
        <v>0</v>
      </c>
      <c r="N185" s="37">
        <f>IFERROR(Tabela_Base_Financeiro[[#This Row],[Proportion]],0)</f>
        <v>0</v>
      </c>
      <c r="O185" s="60">
        <f>Tabela6[[#This Row],[Proporção]]*Tabela6[[#This Row],[Total]]</f>
        <v>0</v>
      </c>
      <c r="P185" s="57"/>
      <c r="Q185" s="55"/>
      <c r="R185" s="58"/>
      <c r="S185" s="61"/>
    </row>
    <row r="186" spans="1:19">
      <c r="A186" s="122" t="e">
        <f>IF(VLOOKUP(Tabela6[[#This Row],[UF]],'BASE CC'!B:C,2,0)="SP",IF(Tabela6[[#This Row],[OPERADORA]]="TIM","SP TIM","SPI"),VLOOKUP(Tabela6[[#This Row],[UF]],'BASE CC'!B:C,2,0))</f>
        <v>#N/A</v>
      </c>
      <c r="B186" s="36" t="e">
        <f>VLOOKUP(Tabela_Base_Financeiro[[#This Row],[Item code]],'COD.FAT'!B:C,2,0)</f>
        <v>#N/A</v>
      </c>
      <c r="C186" s="292">
        <f>Tabela_Base_Financeiro[[#This Row],[PO Ship TO]]</f>
        <v>0</v>
      </c>
      <c r="D186" s="36" t="str">
        <f>RIGHT(Tabela_Base_Financeiro[[#This Row],[Manufacturer]],2)</f>
        <v/>
      </c>
      <c r="E18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86" s="122" t="e">
        <f>VLOOKUP(Tabela_Base_Financeiro[[#This Row],[Project Code]],'COD. PROJETOS'!B:D,3,0)</f>
        <v>#N/A</v>
      </c>
      <c r="G186" s="36">
        <f>IFERROR(Tabela_Base_Financeiro[[#This Row],[PO No,]],0)</f>
        <v>0</v>
      </c>
      <c r="H186" s="36">
        <f>IFERROR(Tabela_Base_Financeiro[[#This Row],[Line No,]],0)</f>
        <v>0</v>
      </c>
      <c r="I186" s="36" t="str">
        <f>IFERROR(MID(Tabela_Base_Financeiro[[#This Row],[Manufacturer]],19,14),"")</f>
        <v/>
      </c>
      <c r="J186" s="113">
        <f>IFERROR(Tabela_Base_Financeiro[[#This Row],[Item code]],0)</f>
        <v>0</v>
      </c>
      <c r="K186" s="293">
        <f>IFERROR(Tabela_Base_Financeiro[[#This Row],[Unit Price]],0)</f>
        <v>0</v>
      </c>
      <c r="L186" s="36">
        <f>IFERROR(Tabela_Base_Financeiro[[#This Row],[AC Qty,]],0)</f>
        <v>0</v>
      </c>
      <c r="M186" s="60">
        <f>Tabela6[[#This Row],[Qty]]*Tabela6[[#This Row],[Preço]]</f>
        <v>0</v>
      </c>
      <c r="N186" s="37">
        <f>IFERROR(Tabela_Base_Financeiro[[#This Row],[Proportion]],0)</f>
        <v>0</v>
      </c>
      <c r="O186" s="60">
        <f>Tabela6[[#This Row],[Proporção]]*Tabela6[[#This Row],[Total]]</f>
        <v>0</v>
      </c>
      <c r="P186" s="57"/>
      <c r="Q186" s="55"/>
      <c r="R186" s="58"/>
      <c r="S186" s="61"/>
    </row>
    <row r="187" spans="1:19">
      <c r="A187" s="122" t="e">
        <f>IF(VLOOKUP(Tabela6[[#This Row],[UF]],'BASE CC'!B:C,2,0)="SP",IF(Tabela6[[#This Row],[OPERADORA]]="TIM","SP TIM","SPI"),VLOOKUP(Tabela6[[#This Row],[UF]],'BASE CC'!B:C,2,0))</f>
        <v>#N/A</v>
      </c>
      <c r="B187" s="36" t="e">
        <f>VLOOKUP(Tabela_Base_Financeiro[[#This Row],[Item code]],'COD.FAT'!B:C,2,0)</f>
        <v>#N/A</v>
      </c>
      <c r="C187" s="292">
        <f>Tabela_Base_Financeiro[[#This Row],[PO Ship TO]]</f>
        <v>0</v>
      </c>
      <c r="D187" s="36" t="str">
        <f>RIGHT(Tabela_Base_Financeiro[[#This Row],[Manufacturer]],2)</f>
        <v/>
      </c>
      <c r="E18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87" s="122" t="e">
        <f>VLOOKUP(Tabela_Base_Financeiro[[#This Row],[Project Code]],'COD. PROJETOS'!B:D,3,0)</f>
        <v>#N/A</v>
      </c>
      <c r="G187" s="36">
        <f>IFERROR(Tabela_Base_Financeiro[[#This Row],[PO No,]],0)</f>
        <v>0</v>
      </c>
      <c r="H187" s="36">
        <f>IFERROR(Tabela_Base_Financeiro[[#This Row],[Line No,]],0)</f>
        <v>0</v>
      </c>
      <c r="I187" s="36" t="str">
        <f>IFERROR(MID(Tabela_Base_Financeiro[[#This Row],[Manufacturer]],19,14),"")</f>
        <v/>
      </c>
      <c r="J187" s="113">
        <f>IFERROR(Tabela_Base_Financeiro[[#This Row],[Item code]],0)</f>
        <v>0</v>
      </c>
      <c r="K187" s="293">
        <f>IFERROR(Tabela_Base_Financeiro[[#This Row],[Unit Price]],0)</f>
        <v>0</v>
      </c>
      <c r="L187" s="36">
        <f>IFERROR(Tabela_Base_Financeiro[[#This Row],[AC Qty,]],0)</f>
        <v>0</v>
      </c>
      <c r="M187" s="60">
        <f>Tabela6[[#This Row],[Qty]]*Tabela6[[#This Row],[Preço]]</f>
        <v>0</v>
      </c>
      <c r="N187" s="37">
        <f>IFERROR(Tabela_Base_Financeiro[[#This Row],[Proportion]],0)</f>
        <v>0</v>
      </c>
      <c r="O187" s="60">
        <f>Tabela6[[#This Row],[Proporção]]*Tabela6[[#This Row],[Total]]</f>
        <v>0</v>
      </c>
      <c r="P187" s="57"/>
      <c r="Q187" s="55"/>
      <c r="R187" s="58"/>
      <c r="S187" s="61"/>
    </row>
    <row r="188" spans="1:19">
      <c r="A188" s="122" t="e">
        <f>IF(VLOOKUP(Tabela6[[#This Row],[UF]],'BASE CC'!B:C,2,0)="SP",IF(Tabela6[[#This Row],[OPERADORA]]="TIM","SP TIM","SPI"),VLOOKUP(Tabela6[[#This Row],[UF]],'BASE CC'!B:C,2,0))</f>
        <v>#N/A</v>
      </c>
      <c r="B188" s="36" t="e">
        <f>VLOOKUP(Tabela_Base_Financeiro[[#This Row],[Item code]],'COD.FAT'!B:C,2,0)</f>
        <v>#N/A</v>
      </c>
      <c r="C188" s="292">
        <f>Tabela_Base_Financeiro[[#This Row],[PO Ship TO]]</f>
        <v>0</v>
      </c>
      <c r="D188" s="36" t="str">
        <f>RIGHT(Tabela_Base_Financeiro[[#This Row],[Manufacturer]],2)</f>
        <v/>
      </c>
      <c r="E18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88" s="122" t="e">
        <f>VLOOKUP(Tabela_Base_Financeiro[[#This Row],[Project Code]],'COD. PROJETOS'!B:D,3,0)</f>
        <v>#N/A</v>
      </c>
      <c r="G188" s="36">
        <f>IFERROR(Tabela_Base_Financeiro[[#This Row],[PO No,]],0)</f>
        <v>0</v>
      </c>
      <c r="H188" s="36">
        <f>IFERROR(Tabela_Base_Financeiro[[#This Row],[Line No,]],0)</f>
        <v>0</v>
      </c>
      <c r="I188" s="36" t="str">
        <f>IFERROR(MID(Tabela_Base_Financeiro[[#This Row],[Manufacturer]],19,14),"")</f>
        <v/>
      </c>
      <c r="J188" s="113">
        <f>IFERROR(Tabela_Base_Financeiro[[#This Row],[Item code]],0)</f>
        <v>0</v>
      </c>
      <c r="K188" s="293">
        <f>IFERROR(Tabela_Base_Financeiro[[#This Row],[Unit Price]],0)</f>
        <v>0</v>
      </c>
      <c r="L188" s="36">
        <f>IFERROR(Tabela_Base_Financeiro[[#This Row],[AC Qty,]],0)</f>
        <v>0</v>
      </c>
      <c r="M188" s="60">
        <f>Tabela6[[#This Row],[Qty]]*Tabela6[[#This Row],[Preço]]</f>
        <v>0</v>
      </c>
      <c r="N188" s="37">
        <f>IFERROR(Tabela_Base_Financeiro[[#This Row],[Proportion]],0)</f>
        <v>0</v>
      </c>
      <c r="O188" s="60">
        <f>Tabela6[[#This Row],[Proporção]]*Tabela6[[#This Row],[Total]]</f>
        <v>0</v>
      </c>
      <c r="P188" s="57"/>
      <c r="Q188" s="55"/>
      <c r="R188" s="58"/>
      <c r="S188" s="61"/>
    </row>
    <row r="189" spans="1:19">
      <c r="A189" s="122" t="e">
        <f>IF(VLOOKUP(Tabela6[[#This Row],[UF]],'BASE CC'!B:C,2,0)="SP",IF(Tabela6[[#This Row],[OPERADORA]]="TIM","SP TIM","SPI"),VLOOKUP(Tabela6[[#This Row],[UF]],'BASE CC'!B:C,2,0))</f>
        <v>#N/A</v>
      </c>
      <c r="B189" s="36" t="e">
        <f>VLOOKUP(Tabela_Base_Financeiro[[#This Row],[Item code]],'COD.FAT'!B:C,2,0)</f>
        <v>#N/A</v>
      </c>
      <c r="C189" s="292">
        <f>Tabela_Base_Financeiro[[#This Row],[PO Ship TO]]</f>
        <v>0</v>
      </c>
      <c r="D189" s="36" t="str">
        <f>RIGHT(Tabela_Base_Financeiro[[#This Row],[Manufacturer]],2)</f>
        <v/>
      </c>
      <c r="E18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89" s="122" t="e">
        <f>VLOOKUP(Tabela_Base_Financeiro[[#This Row],[Project Code]],'COD. PROJETOS'!B:D,3,0)</f>
        <v>#N/A</v>
      </c>
      <c r="G189" s="36">
        <f>IFERROR(Tabela_Base_Financeiro[[#This Row],[PO No,]],0)</f>
        <v>0</v>
      </c>
      <c r="H189" s="36">
        <f>IFERROR(Tabela_Base_Financeiro[[#This Row],[Line No,]],0)</f>
        <v>0</v>
      </c>
      <c r="I189" s="36" t="str">
        <f>IFERROR(MID(Tabela_Base_Financeiro[[#This Row],[Manufacturer]],19,14),"")</f>
        <v/>
      </c>
      <c r="J189" s="113">
        <f>IFERROR(Tabela_Base_Financeiro[[#This Row],[Item code]],0)</f>
        <v>0</v>
      </c>
      <c r="K189" s="293">
        <f>IFERROR(Tabela_Base_Financeiro[[#This Row],[Unit Price]],0)</f>
        <v>0</v>
      </c>
      <c r="L189" s="36">
        <f>IFERROR(Tabela_Base_Financeiro[[#This Row],[AC Qty,]],0)</f>
        <v>0</v>
      </c>
      <c r="M189" s="60">
        <f>Tabela6[[#This Row],[Qty]]*Tabela6[[#This Row],[Preço]]</f>
        <v>0</v>
      </c>
      <c r="N189" s="37">
        <f>IFERROR(Tabela_Base_Financeiro[[#This Row],[Proportion]],0)</f>
        <v>0</v>
      </c>
      <c r="O189" s="60">
        <f>Tabela6[[#This Row],[Proporção]]*Tabela6[[#This Row],[Total]]</f>
        <v>0</v>
      </c>
      <c r="P189" s="57"/>
      <c r="Q189" s="55"/>
      <c r="R189" s="58"/>
      <c r="S189" s="61"/>
    </row>
    <row r="190" spans="1:19">
      <c r="A190" s="122" t="e">
        <f>IF(VLOOKUP(Tabela6[[#This Row],[UF]],'BASE CC'!B:C,2,0)="SP",IF(Tabela6[[#This Row],[OPERADORA]]="TIM","SP TIM","SPI"),VLOOKUP(Tabela6[[#This Row],[UF]],'BASE CC'!B:C,2,0))</f>
        <v>#N/A</v>
      </c>
      <c r="B190" s="36" t="e">
        <f>VLOOKUP(Tabela_Base_Financeiro[[#This Row],[Item code]],'COD.FAT'!B:C,2,0)</f>
        <v>#N/A</v>
      </c>
      <c r="C190" s="292">
        <f>Tabela_Base_Financeiro[[#This Row],[PO Ship TO]]</f>
        <v>0</v>
      </c>
      <c r="D190" s="36" t="str">
        <f>RIGHT(Tabela_Base_Financeiro[[#This Row],[Manufacturer]],2)</f>
        <v/>
      </c>
      <c r="E19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90" s="122" t="e">
        <f>VLOOKUP(Tabela_Base_Financeiro[[#This Row],[Project Code]],'COD. PROJETOS'!B:D,3,0)</f>
        <v>#N/A</v>
      </c>
      <c r="G190" s="36">
        <f>IFERROR(Tabela_Base_Financeiro[[#This Row],[PO No,]],0)</f>
        <v>0</v>
      </c>
      <c r="H190" s="36">
        <f>IFERROR(Tabela_Base_Financeiro[[#This Row],[Line No,]],0)</f>
        <v>0</v>
      </c>
      <c r="I190" s="36" t="str">
        <f>IFERROR(MID(Tabela_Base_Financeiro[[#This Row],[Manufacturer]],19,14),"")</f>
        <v/>
      </c>
      <c r="J190" s="113">
        <f>IFERROR(Tabela_Base_Financeiro[[#This Row],[Item code]],0)</f>
        <v>0</v>
      </c>
      <c r="K190" s="293">
        <f>IFERROR(Tabela_Base_Financeiro[[#This Row],[Unit Price]],0)</f>
        <v>0</v>
      </c>
      <c r="L190" s="36">
        <f>IFERROR(Tabela_Base_Financeiro[[#This Row],[AC Qty,]],0)</f>
        <v>0</v>
      </c>
      <c r="M190" s="60">
        <f>Tabela6[[#This Row],[Qty]]*Tabela6[[#This Row],[Preço]]</f>
        <v>0</v>
      </c>
      <c r="N190" s="37">
        <f>IFERROR(Tabela_Base_Financeiro[[#This Row],[Proportion]],0)</f>
        <v>0</v>
      </c>
      <c r="O190" s="60">
        <f>Tabela6[[#This Row],[Proporção]]*Tabela6[[#This Row],[Total]]</f>
        <v>0</v>
      </c>
      <c r="P190" s="57"/>
      <c r="Q190" s="55"/>
      <c r="R190" s="58"/>
      <c r="S190" s="61"/>
    </row>
    <row r="191" spans="1:19">
      <c r="A191" s="122" t="e">
        <f>IF(VLOOKUP(Tabela6[[#This Row],[UF]],'BASE CC'!B:C,2,0)="SP",IF(Tabela6[[#This Row],[OPERADORA]]="TIM","SP TIM","SPI"),VLOOKUP(Tabela6[[#This Row],[UF]],'BASE CC'!B:C,2,0))</f>
        <v>#N/A</v>
      </c>
      <c r="B191" s="36" t="e">
        <f>VLOOKUP(Tabela_Base_Financeiro[[#This Row],[Item code]],'COD.FAT'!B:C,2,0)</f>
        <v>#N/A</v>
      </c>
      <c r="C191" s="292">
        <f>Tabela_Base_Financeiro[[#This Row],[PO Ship TO]]</f>
        <v>0</v>
      </c>
      <c r="D191" s="36" t="str">
        <f>RIGHT(Tabela_Base_Financeiro[[#This Row],[Manufacturer]],2)</f>
        <v/>
      </c>
      <c r="E19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91" s="122" t="e">
        <f>VLOOKUP(Tabela_Base_Financeiro[[#This Row],[Project Code]],'COD. PROJETOS'!B:D,3,0)</f>
        <v>#N/A</v>
      </c>
      <c r="G191" s="36">
        <f>IFERROR(Tabela_Base_Financeiro[[#This Row],[PO No,]],0)</f>
        <v>0</v>
      </c>
      <c r="H191" s="36">
        <f>IFERROR(Tabela_Base_Financeiro[[#This Row],[Line No,]],0)</f>
        <v>0</v>
      </c>
      <c r="I191" s="36" t="str">
        <f>IFERROR(MID(Tabela_Base_Financeiro[[#This Row],[Manufacturer]],19,14),"")</f>
        <v/>
      </c>
      <c r="J191" s="113">
        <f>IFERROR(Tabela_Base_Financeiro[[#This Row],[Item code]],0)</f>
        <v>0</v>
      </c>
      <c r="K191" s="293">
        <f>IFERROR(Tabela_Base_Financeiro[[#This Row],[Unit Price]],0)</f>
        <v>0</v>
      </c>
      <c r="L191" s="36">
        <f>IFERROR(Tabela_Base_Financeiro[[#This Row],[AC Qty,]],0)</f>
        <v>0</v>
      </c>
      <c r="M191" s="60">
        <f>Tabela6[[#This Row],[Qty]]*Tabela6[[#This Row],[Preço]]</f>
        <v>0</v>
      </c>
      <c r="N191" s="37">
        <f>IFERROR(Tabela_Base_Financeiro[[#This Row],[Proportion]],0)</f>
        <v>0</v>
      </c>
      <c r="O191" s="60">
        <f>Tabela6[[#This Row],[Proporção]]*Tabela6[[#This Row],[Total]]</f>
        <v>0</v>
      </c>
      <c r="P191" s="57"/>
      <c r="Q191" s="55"/>
      <c r="R191" s="58"/>
      <c r="S191" s="61"/>
    </row>
    <row r="192" spans="1:19">
      <c r="A192" s="122" t="e">
        <f>IF(VLOOKUP(Tabela6[[#This Row],[UF]],'BASE CC'!B:C,2,0)="SP",IF(Tabela6[[#This Row],[OPERADORA]]="TIM","SP TIM","SPI"),VLOOKUP(Tabela6[[#This Row],[UF]],'BASE CC'!B:C,2,0))</f>
        <v>#N/A</v>
      </c>
      <c r="B192" s="36" t="e">
        <f>VLOOKUP(Tabela_Base_Financeiro[[#This Row],[Item code]],'COD.FAT'!B:C,2,0)</f>
        <v>#N/A</v>
      </c>
      <c r="C192" s="292">
        <f>Tabela_Base_Financeiro[[#This Row],[PO Ship TO]]</f>
        <v>0</v>
      </c>
      <c r="D192" s="36" t="str">
        <f>RIGHT(Tabela_Base_Financeiro[[#This Row],[Manufacturer]],2)</f>
        <v/>
      </c>
      <c r="E19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92" s="122" t="e">
        <f>VLOOKUP(Tabela_Base_Financeiro[[#This Row],[Project Code]],'COD. PROJETOS'!B:D,3,0)</f>
        <v>#N/A</v>
      </c>
      <c r="G192" s="36">
        <f>IFERROR(Tabela_Base_Financeiro[[#This Row],[PO No,]],0)</f>
        <v>0</v>
      </c>
      <c r="H192" s="36">
        <f>IFERROR(Tabela_Base_Financeiro[[#This Row],[Line No,]],0)</f>
        <v>0</v>
      </c>
      <c r="I192" s="36" t="str">
        <f>IFERROR(MID(Tabela_Base_Financeiro[[#This Row],[Manufacturer]],19,14),"")</f>
        <v/>
      </c>
      <c r="J192" s="113">
        <f>IFERROR(Tabela_Base_Financeiro[[#This Row],[Item code]],0)</f>
        <v>0</v>
      </c>
      <c r="K192" s="293">
        <f>IFERROR(Tabela_Base_Financeiro[[#This Row],[Unit Price]],0)</f>
        <v>0</v>
      </c>
      <c r="L192" s="36">
        <f>IFERROR(Tabela_Base_Financeiro[[#This Row],[AC Qty,]],0)</f>
        <v>0</v>
      </c>
      <c r="M192" s="60">
        <f>Tabela6[[#This Row],[Qty]]*Tabela6[[#This Row],[Preço]]</f>
        <v>0</v>
      </c>
      <c r="N192" s="37">
        <f>IFERROR(Tabela_Base_Financeiro[[#This Row],[Proportion]],0)</f>
        <v>0</v>
      </c>
      <c r="O192" s="60">
        <f>Tabela6[[#This Row],[Proporção]]*Tabela6[[#This Row],[Total]]</f>
        <v>0</v>
      </c>
      <c r="P192" s="57"/>
      <c r="Q192" s="55"/>
      <c r="R192" s="58"/>
      <c r="S192" s="61"/>
    </row>
    <row r="193" spans="1:19">
      <c r="A193" s="122" t="e">
        <f>IF(VLOOKUP(Tabela6[[#This Row],[UF]],'BASE CC'!B:C,2,0)="SP",IF(Tabela6[[#This Row],[OPERADORA]]="TIM","SP TIM","SPI"),VLOOKUP(Tabela6[[#This Row],[UF]],'BASE CC'!B:C,2,0))</f>
        <v>#N/A</v>
      </c>
      <c r="B193" s="36" t="e">
        <f>VLOOKUP(Tabela_Base_Financeiro[[#This Row],[Item code]],'COD.FAT'!B:C,2,0)</f>
        <v>#N/A</v>
      </c>
      <c r="C193" s="292">
        <f>Tabela_Base_Financeiro[[#This Row],[PO Ship TO]]</f>
        <v>0</v>
      </c>
      <c r="D193" s="36" t="str">
        <f>RIGHT(Tabela_Base_Financeiro[[#This Row],[Manufacturer]],2)</f>
        <v/>
      </c>
      <c r="E19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93" s="122" t="e">
        <f>VLOOKUP(Tabela_Base_Financeiro[[#This Row],[Project Code]],'COD. PROJETOS'!B:D,3,0)</f>
        <v>#N/A</v>
      </c>
      <c r="G193" s="36">
        <f>IFERROR(Tabela_Base_Financeiro[[#This Row],[PO No,]],0)</f>
        <v>0</v>
      </c>
      <c r="H193" s="36">
        <f>IFERROR(Tabela_Base_Financeiro[[#This Row],[Line No,]],0)</f>
        <v>0</v>
      </c>
      <c r="I193" s="36" t="str">
        <f>IFERROR(MID(Tabela_Base_Financeiro[[#This Row],[Manufacturer]],19,14),"")</f>
        <v/>
      </c>
      <c r="J193" s="113">
        <f>IFERROR(Tabela_Base_Financeiro[[#This Row],[Item code]],0)</f>
        <v>0</v>
      </c>
      <c r="K193" s="293">
        <f>IFERROR(Tabela_Base_Financeiro[[#This Row],[Unit Price]],0)</f>
        <v>0</v>
      </c>
      <c r="L193" s="36">
        <f>IFERROR(Tabela_Base_Financeiro[[#This Row],[AC Qty,]],0)</f>
        <v>0</v>
      </c>
      <c r="M193" s="60">
        <f>Tabela6[[#This Row],[Qty]]*Tabela6[[#This Row],[Preço]]</f>
        <v>0</v>
      </c>
      <c r="N193" s="37">
        <f>IFERROR(Tabela_Base_Financeiro[[#This Row],[Proportion]],0)</f>
        <v>0</v>
      </c>
      <c r="O193" s="60">
        <f>Tabela6[[#This Row],[Proporção]]*Tabela6[[#This Row],[Total]]</f>
        <v>0</v>
      </c>
      <c r="P193" s="57"/>
      <c r="Q193" s="55"/>
      <c r="R193" s="58"/>
      <c r="S193" s="61"/>
    </row>
    <row r="194" spans="1:19">
      <c r="A194" s="122" t="e">
        <f>IF(VLOOKUP(Tabela6[[#This Row],[UF]],'BASE CC'!B:C,2,0)="SP",IF(Tabela6[[#This Row],[OPERADORA]]="TIM","SP TIM","SPI"),VLOOKUP(Tabela6[[#This Row],[UF]],'BASE CC'!B:C,2,0))</f>
        <v>#N/A</v>
      </c>
      <c r="B194" s="36" t="e">
        <f>VLOOKUP(Tabela_Base_Financeiro[[#This Row],[Item code]],'COD.FAT'!B:C,2,0)</f>
        <v>#N/A</v>
      </c>
      <c r="C194" s="292">
        <f>Tabela_Base_Financeiro[[#This Row],[PO Ship TO]]</f>
        <v>0</v>
      </c>
      <c r="D194" s="36" t="str">
        <f>RIGHT(Tabela_Base_Financeiro[[#This Row],[Manufacturer]],2)</f>
        <v/>
      </c>
      <c r="E19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94" s="122" t="e">
        <f>VLOOKUP(Tabela_Base_Financeiro[[#This Row],[Project Code]],'COD. PROJETOS'!B:D,3,0)</f>
        <v>#N/A</v>
      </c>
      <c r="G194" s="36">
        <f>IFERROR(Tabela_Base_Financeiro[[#This Row],[PO No,]],0)</f>
        <v>0</v>
      </c>
      <c r="H194" s="36">
        <f>IFERROR(Tabela_Base_Financeiro[[#This Row],[Line No,]],0)</f>
        <v>0</v>
      </c>
      <c r="I194" s="36" t="str">
        <f>IFERROR(MID(Tabela_Base_Financeiro[[#This Row],[Manufacturer]],19,14),"")</f>
        <v/>
      </c>
      <c r="J194" s="113">
        <f>IFERROR(Tabela_Base_Financeiro[[#This Row],[Item code]],0)</f>
        <v>0</v>
      </c>
      <c r="K194" s="293">
        <f>IFERROR(Tabela_Base_Financeiro[[#This Row],[Unit Price]],0)</f>
        <v>0</v>
      </c>
      <c r="L194" s="36">
        <f>IFERROR(Tabela_Base_Financeiro[[#This Row],[AC Qty,]],0)</f>
        <v>0</v>
      </c>
      <c r="M194" s="60">
        <f>Tabela6[[#This Row],[Qty]]*Tabela6[[#This Row],[Preço]]</f>
        <v>0</v>
      </c>
      <c r="N194" s="37">
        <f>IFERROR(Tabela_Base_Financeiro[[#This Row],[Proportion]],0)</f>
        <v>0</v>
      </c>
      <c r="O194" s="60">
        <f>Tabela6[[#This Row],[Proporção]]*Tabela6[[#This Row],[Total]]</f>
        <v>0</v>
      </c>
      <c r="P194" s="57"/>
      <c r="Q194" s="55"/>
      <c r="R194" s="58"/>
      <c r="S194" s="61"/>
    </row>
    <row r="195" spans="1:19">
      <c r="A195" s="122" t="e">
        <f>IF(VLOOKUP(Tabela6[[#This Row],[UF]],'BASE CC'!B:C,2,0)="SP",IF(Tabela6[[#This Row],[OPERADORA]]="TIM","SP TIM","SPI"),VLOOKUP(Tabela6[[#This Row],[UF]],'BASE CC'!B:C,2,0))</f>
        <v>#N/A</v>
      </c>
      <c r="B195" s="36" t="e">
        <f>VLOOKUP(Tabela_Base_Financeiro[[#This Row],[Item code]],'COD.FAT'!B:C,2,0)</f>
        <v>#N/A</v>
      </c>
      <c r="C195" s="292">
        <f>Tabela_Base_Financeiro[[#This Row],[PO Ship TO]]</f>
        <v>0</v>
      </c>
      <c r="D195" s="36" t="str">
        <f>RIGHT(Tabela_Base_Financeiro[[#This Row],[Manufacturer]],2)</f>
        <v/>
      </c>
      <c r="E19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95" s="122" t="e">
        <f>VLOOKUP(Tabela_Base_Financeiro[[#This Row],[Project Code]],'COD. PROJETOS'!B:D,3,0)</f>
        <v>#N/A</v>
      </c>
      <c r="G195" s="36">
        <f>IFERROR(Tabela_Base_Financeiro[[#This Row],[PO No,]],0)</f>
        <v>0</v>
      </c>
      <c r="H195" s="36">
        <f>IFERROR(Tabela_Base_Financeiro[[#This Row],[Line No,]],0)</f>
        <v>0</v>
      </c>
      <c r="I195" s="36" t="str">
        <f>IFERROR(MID(Tabela_Base_Financeiro[[#This Row],[Manufacturer]],19,14),"")</f>
        <v/>
      </c>
      <c r="J195" s="113">
        <f>IFERROR(Tabela_Base_Financeiro[[#This Row],[Item code]],0)</f>
        <v>0</v>
      </c>
      <c r="K195" s="293">
        <f>IFERROR(Tabela_Base_Financeiro[[#This Row],[Unit Price]],0)</f>
        <v>0</v>
      </c>
      <c r="L195" s="36">
        <f>IFERROR(Tabela_Base_Financeiro[[#This Row],[AC Qty,]],0)</f>
        <v>0</v>
      </c>
      <c r="M195" s="60">
        <f>Tabela6[[#This Row],[Qty]]*Tabela6[[#This Row],[Preço]]</f>
        <v>0</v>
      </c>
      <c r="N195" s="37">
        <f>IFERROR(Tabela_Base_Financeiro[[#This Row],[Proportion]],0)</f>
        <v>0</v>
      </c>
      <c r="O195" s="60">
        <f>Tabela6[[#This Row],[Proporção]]*Tabela6[[#This Row],[Total]]</f>
        <v>0</v>
      </c>
      <c r="P195" s="57"/>
      <c r="Q195" s="55"/>
      <c r="R195" s="58"/>
      <c r="S195" s="61"/>
    </row>
    <row r="196" spans="1:19">
      <c r="A196" s="122" t="e">
        <f>IF(VLOOKUP(Tabela6[[#This Row],[UF]],'BASE CC'!B:C,2,0)="SP",IF(Tabela6[[#This Row],[OPERADORA]]="TIM","SP TIM","SPI"),VLOOKUP(Tabela6[[#This Row],[UF]],'BASE CC'!B:C,2,0))</f>
        <v>#N/A</v>
      </c>
      <c r="B196" s="36" t="e">
        <f>VLOOKUP(Tabela_Base_Financeiro[[#This Row],[Item code]],'COD.FAT'!B:C,2,0)</f>
        <v>#N/A</v>
      </c>
      <c r="C196" s="292">
        <f>Tabela_Base_Financeiro[[#This Row],[PO Ship TO]]</f>
        <v>0</v>
      </c>
      <c r="D196" s="36" t="str">
        <f>RIGHT(Tabela_Base_Financeiro[[#This Row],[Manufacturer]],2)</f>
        <v/>
      </c>
      <c r="E19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96" s="122" t="e">
        <f>VLOOKUP(Tabela_Base_Financeiro[[#This Row],[Project Code]],'COD. PROJETOS'!B:D,3,0)</f>
        <v>#N/A</v>
      </c>
      <c r="G196" s="36">
        <f>IFERROR(Tabela_Base_Financeiro[[#This Row],[PO No,]],0)</f>
        <v>0</v>
      </c>
      <c r="H196" s="36">
        <f>IFERROR(Tabela_Base_Financeiro[[#This Row],[Line No,]],0)</f>
        <v>0</v>
      </c>
      <c r="I196" s="36" t="str">
        <f>IFERROR(MID(Tabela_Base_Financeiro[[#This Row],[Manufacturer]],19,14),"")</f>
        <v/>
      </c>
      <c r="J196" s="113">
        <f>IFERROR(Tabela_Base_Financeiro[[#This Row],[Item code]],0)</f>
        <v>0</v>
      </c>
      <c r="K196" s="293">
        <f>IFERROR(Tabela_Base_Financeiro[[#This Row],[Unit Price]],0)</f>
        <v>0</v>
      </c>
      <c r="L196" s="36">
        <f>IFERROR(Tabela_Base_Financeiro[[#This Row],[AC Qty,]],0)</f>
        <v>0</v>
      </c>
      <c r="M196" s="60">
        <f>Tabela6[[#This Row],[Qty]]*Tabela6[[#This Row],[Preço]]</f>
        <v>0</v>
      </c>
      <c r="N196" s="37">
        <f>IFERROR(Tabela_Base_Financeiro[[#This Row],[Proportion]],0)</f>
        <v>0</v>
      </c>
      <c r="O196" s="60">
        <f>Tabela6[[#This Row],[Proporção]]*Tabela6[[#This Row],[Total]]</f>
        <v>0</v>
      </c>
      <c r="P196" s="57"/>
      <c r="Q196" s="55"/>
      <c r="R196" s="58"/>
      <c r="S196" s="61"/>
    </row>
    <row r="197" spans="1:19">
      <c r="A197" s="122" t="e">
        <f>IF(VLOOKUP(Tabela6[[#This Row],[UF]],'BASE CC'!B:C,2,0)="SP",IF(Tabela6[[#This Row],[OPERADORA]]="TIM","SP TIM","SPI"),VLOOKUP(Tabela6[[#This Row],[UF]],'BASE CC'!B:C,2,0))</f>
        <v>#N/A</v>
      </c>
      <c r="B197" s="36" t="e">
        <f>VLOOKUP(Tabela_Base_Financeiro[[#This Row],[Item code]],'COD.FAT'!B:C,2,0)</f>
        <v>#N/A</v>
      </c>
      <c r="C197" s="292">
        <f>Tabela_Base_Financeiro[[#This Row],[PO Ship TO]]</f>
        <v>0</v>
      </c>
      <c r="D197" s="36" t="str">
        <f>RIGHT(Tabela_Base_Financeiro[[#This Row],[Manufacturer]],2)</f>
        <v/>
      </c>
      <c r="E19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97" s="122" t="e">
        <f>VLOOKUP(Tabela_Base_Financeiro[[#This Row],[Project Code]],'COD. PROJETOS'!B:D,3,0)</f>
        <v>#N/A</v>
      </c>
      <c r="G197" s="36">
        <f>IFERROR(Tabela_Base_Financeiro[[#This Row],[PO No,]],0)</f>
        <v>0</v>
      </c>
      <c r="H197" s="36">
        <f>IFERROR(Tabela_Base_Financeiro[[#This Row],[Line No,]],0)</f>
        <v>0</v>
      </c>
      <c r="I197" s="36" t="str">
        <f>IFERROR(MID(Tabela_Base_Financeiro[[#This Row],[Manufacturer]],19,14),"")</f>
        <v/>
      </c>
      <c r="J197" s="113">
        <f>IFERROR(Tabela_Base_Financeiro[[#This Row],[Item code]],0)</f>
        <v>0</v>
      </c>
      <c r="K197" s="293">
        <f>IFERROR(Tabela_Base_Financeiro[[#This Row],[Unit Price]],0)</f>
        <v>0</v>
      </c>
      <c r="L197" s="36">
        <f>IFERROR(Tabela_Base_Financeiro[[#This Row],[AC Qty,]],0)</f>
        <v>0</v>
      </c>
      <c r="M197" s="60">
        <f>Tabela6[[#This Row],[Qty]]*Tabela6[[#This Row],[Preço]]</f>
        <v>0</v>
      </c>
      <c r="N197" s="37">
        <f>IFERROR(Tabela_Base_Financeiro[[#This Row],[Proportion]],0)</f>
        <v>0</v>
      </c>
      <c r="O197" s="60">
        <f>Tabela6[[#This Row],[Proporção]]*Tabela6[[#This Row],[Total]]</f>
        <v>0</v>
      </c>
      <c r="P197" s="57"/>
      <c r="Q197" s="55"/>
      <c r="R197" s="58"/>
      <c r="S197" s="61"/>
    </row>
    <row r="198" spans="1:19">
      <c r="A198" s="122" t="e">
        <f>IF(VLOOKUP(Tabela6[[#This Row],[UF]],'BASE CC'!B:C,2,0)="SP",IF(Tabela6[[#This Row],[OPERADORA]]="TIM","SP TIM","SPI"),VLOOKUP(Tabela6[[#This Row],[UF]],'BASE CC'!B:C,2,0))</f>
        <v>#N/A</v>
      </c>
      <c r="B198" s="36" t="e">
        <f>VLOOKUP(Tabela_Base_Financeiro[[#This Row],[Item code]],'COD.FAT'!B:C,2,0)</f>
        <v>#N/A</v>
      </c>
      <c r="C198" s="292">
        <f>Tabela_Base_Financeiro[[#This Row],[PO Ship TO]]</f>
        <v>0</v>
      </c>
      <c r="D198" s="36" t="str">
        <f>RIGHT(Tabela_Base_Financeiro[[#This Row],[Manufacturer]],2)</f>
        <v/>
      </c>
      <c r="E19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98" s="122" t="e">
        <f>VLOOKUP(Tabela_Base_Financeiro[[#This Row],[Project Code]],'COD. PROJETOS'!B:D,3,0)</f>
        <v>#N/A</v>
      </c>
      <c r="G198" s="36">
        <f>IFERROR(Tabela_Base_Financeiro[[#This Row],[PO No,]],0)</f>
        <v>0</v>
      </c>
      <c r="H198" s="36">
        <f>IFERROR(Tabela_Base_Financeiro[[#This Row],[Line No,]],0)</f>
        <v>0</v>
      </c>
      <c r="I198" s="36" t="str">
        <f>IFERROR(MID(Tabela_Base_Financeiro[[#This Row],[Manufacturer]],19,14),"")</f>
        <v/>
      </c>
      <c r="J198" s="113">
        <f>IFERROR(Tabela_Base_Financeiro[[#This Row],[Item code]],0)</f>
        <v>0</v>
      </c>
      <c r="K198" s="293">
        <f>IFERROR(Tabela_Base_Financeiro[[#This Row],[Unit Price]],0)</f>
        <v>0</v>
      </c>
      <c r="L198" s="36">
        <f>IFERROR(Tabela_Base_Financeiro[[#This Row],[AC Qty,]],0)</f>
        <v>0</v>
      </c>
      <c r="M198" s="60">
        <f>Tabela6[[#This Row],[Qty]]*Tabela6[[#This Row],[Preço]]</f>
        <v>0</v>
      </c>
      <c r="N198" s="37">
        <f>IFERROR(Tabela_Base_Financeiro[[#This Row],[Proportion]],0)</f>
        <v>0</v>
      </c>
      <c r="O198" s="60">
        <f>Tabela6[[#This Row],[Proporção]]*Tabela6[[#This Row],[Total]]</f>
        <v>0</v>
      </c>
      <c r="P198" s="57"/>
      <c r="Q198" s="55"/>
      <c r="R198" s="58"/>
      <c r="S198" s="61"/>
    </row>
    <row r="199" spans="1:19">
      <c r="A199" s="122" t="e">
        <f>IF(VLOOKUP(Tabela6[[#This Row],[UF]],'BASE CC'!B:C,2,0)="SP",IF(Tabela6[[#This Row],[OPERADORA]]="TIM","SP TIM","SPI"),VLOOKUP(Tabela6[[#This Row],[UF]],'BASE CC'!B:C,2,0))</f>
        <v>#N/A</v>
      </c>
      <c r="B199" s="36" t="e">
        <f>VLOOKUP(Tabela_Base_Financeiro[[#This Row],[Item code]],'COD.FAT'!B:C,2,0)</f>
        <v>#N/A</v>
      </c>
      <c r="C199" s="292">
        <f>Tabela_Base_Financeiro[[#This Row],[PO Ship TO]]</f>
        <v>0</v>
      </c>
      <c r="D199" s="36" t="str">
        <f>RIGHT(Tabela_Base_Financeiro[[#This Row],[Manufacturer]],2)</f>
        <v/>
      </c>
      <c r="E19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99" s="122" t="e">
        <f>VLOOKUP(Tabela_Base_Financeiro[[#This Row],[Project Code]],'COD. PROJETOS'!B:D,3,0)</f>
        <v>#N/A</v>
      </c>
      <c r="G199" s="36">
        <f>IFERROR(Tabela_Base_Financeiro[[#This Row],[PO No,]],0)</f>
        <v>0</v>
      </c>
      <c r="H199" s="36">
        <f>IFERROR(Tabela_Base_Financeiro[[#This Row],[Line No,]],0)</f>
        <v>0</v>
      </c>
      <c r="I199" s="36" t="str">
        <f>IFERROR(MID(Tabela_Base_Financeiro[[#This Row],[Manufacturer]],19,14),"")</f>
        <v/>
      </c>
      <c r="J199" s="113">
        <f>IFERROR(Tabela_Base_Financeiro[[#This Row],[Item code]],0)</f>
        <v>0</v>
      </c>
      <c r="K199" s="293">
        <f>IFERROR(Tabela_Base_Financeiro[[#This Row],[Unit Price]],0)</f>
        <v>0</v>
      </c>
      <c r="L199" s="36">
        <f>IFERROR(Tabela_Base_Financeiro[[#This Row],[AC Qty,]],0)</f>
        <v>0</v>
      </c>
      <c r="M199" s="60">
        <f>Tabela6[[#This Row],[Qty]]*Tabela6[[#This Row],[Preço]]</f>
        <v>0</v>
      </c>
      <c r="N199" s="37">
        <f>IFERROR(Tabela_Base_Financeiro[[#This Row],[Proportion]],0)</f>
        <v>0</v>
      </c>
      <c r="O199" s="60">
        <f>Tabela6[[#This Row],[Proporção]]*Tabela6[[#This Row],[Total]]</f>
        <v>0</v>
      </c>
      <c r="P199" s="57"/>
      <c r="Q199" s="55"/>
      <c r="R199" s="58"/>
      <c r="S199" s="61"/>
    </row>
    <row r="200" spans="1:19">
      <c r="A200" s="122" t="e">
        <f>IF(VLOOKUP(Tabela6[[#This Row],[UF]],'BASE CC'!B:C,2,0)="SP",IF(Tabela6[[#This Row],[OPERADORA]]="TIM","SP TIM","SPI"),VLOOKUP(Tabela6[[#This Row],[UF]],'BASE CC'!B:C,2,0))</f>
        <v>#N/A</v>
      </c>
      <c r="B200" s="36" t="e">
        <f>VLOOKUP(Tabela_Base_Financeiro[[#This Row],[Item code]],'COD.FAT'!B:C,2,0)</f>
        <v>#N/A</v>
      </c>
      <c r="C200" s="292">
        <f>Tabela_Base_Financeiro[[#This Row],[PO Ship TO]]</f>
        <v>0</v>
      </c>
      <c r="D200" s="36" t="str">
        <f>RIGHT(Tabela_Base_Financeiro[[#This Row],[Manufacturer]],2)</f>
        <v/>
      </c>
      <c r="E20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00" s="122" t="e">
        <f>VLOOKUP(Tabela_Base_Financeiro[[#This Row],[Project Code]],'COD. PROJETOS'!B:D,3,0)</f>
        <v>#N/A</v>
      </c>
      <c r="G200" s="36">
        <f>IFERROR(Tabela_Base_Financeiro[[#This Row],[PO No,]],0)</f>
        <v>0</v>
      </c>
      <c r="H200" s="36">
        <f>IFERROR(Tabela_Base_Financeiro[[#This Row],[Line No,]],0)</f>
        <v>0</v>
      </c>
      <c r="I200" s="36" t="str">
        <f>IFERROR(MID(Tabela_Base_Financeiro[[#This Row],[Manufacturer]],19,14),"")</f>
        <v/>
      </c>
      <c r="J200" s="113">
        <f>IFERROR(Tabela_Base_Financeiro[[#This Row],[Item code]],0)</f>
        <v>0</v>
      </c>
      <c r="K200" s="293">
        <f>IFERROR(Tabela_Base_Financeiro[[#This Row],[Unit Price]],0)</f>
        <v>0</v>
      </c>
      <c r="L200" s="36">
        <f>IFERROR(Tabela_Base_Financeiro[[#This Row],[AC Qty,]],0)</f>
        <v>0</v>
      </c>
      <c r="M200" s="60">
        <f>Tabela6[[#This Row],[Qty]]*Tabela6[[#This Row],[Preço]]</f>
        <v>0</v>
      </c>
      <c r="N200" s="37">
        <f>IFERROR(Tabela_Base_Financeiro[[#This Row],[Proportion]],0)</f>
        <v>0</v>
      </c>
      <c r="O200" s="60">
        <f>Tabela6[[#This Row],[Proporção]]*Tabela6[[#This Row],[Total]]</f>
        <v>0</v>
      </c>
      <c r="P200" s="57"/>
      <c r="Q200" s="55"/>
      <c r="R200" s="58"/>
      <c r="S200" s="61"/>
    </row>
    <row r="201" spans="1:19">
      <c r="A201" s="122" t="e">
        <f>IF(VLOOKUP(Tabela6[[#This Row],[UF]],'BASE CC'!B:C,2,0)="SP",IF(Tabela6[[#This Row],[OPERADORA]]="TIM","SP TIM","SPI"),VLOOKUP(Tabela6[[#This Row],[UF]],'BASE CC'!B:C,2,0))</f>
        <v>#N/A</v>
      </c>
      <c r="B201" s="36" t="e">
        <f>VLOOKUP(Tabela_Base_Financeiro[[#This Row],[Item code]],'COD.FAT'!B:C,2,0)</f>
        <v>#N/A</v>
      </c>
      <c r="C201" s="292">
        <f>Tabela_Base_Financeiro[[#This Row],[PO Ship TO]]</f>
        <v>0</v>
      </c>
      <c r="D201" s="36" t="str">
        <f>RIGHT(Tabela_Base_Financeiro[[#This Row],[Manufacturer]],2)</f>
        <v/>
      </c>
      <c r="E20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01" s="122" t="e">
        <f>VLOOKUP(Tabela_Base_Financeiro[[#This Row],[Project Code]],'COD. PROJETOS'!B:D,3,0)</f>
        <v>#N/A</v>
      </c>
      <c r="G201" s="36">
        <f>IFERROR(Tabela_Base_Financeiro[[#This Row],[PO No,]],0)</f>
        <v>0</v>
      </c>
      <c r="H201" s="36">
        <f>IFERROR(Tabela_Base_Financeiro[[#This Row],[Line No,]],0)</f>
        <v>0</v>
      </c>
      <c r="I201" s="36" t="str">
        <f>IFERROR(MID(Tabela_Base_Financeiro[[#This Row],[Manufacturer]],19,14),"")</f>
        <v/>
      </c>
      <c r="J201" s="113">
        <f>IFERROR(Tabela_Base_Financeiro[[#This Row],[Item code]],0)</f>
        <v>0</v>
      </c>
      <c r="K201" s="293">
        <f>IFERROR(Tabela_Base_Financeiro[[#This Row],[Unit Price]],0)</f>
        <v>0</v>
      </c>
      <c r="L201" s="36">
        <f>IFERROR(Tabela_Base_Financeiro[[#This Row],[AC Qty,]],0)</f>
        <v>0</v>
      </c>
      <c r="M201" s="60">
        <f>Tabela6[[#This Row],[Qty]]*Tabela6[[#This Row],[Preço]]</f>
        <v>0</v>
      </c>
      <c r="N201" s="37">
        <f>IFERROR(Tabela_Base_Financeiro[[#This Row],[Proportion]],0)</f>
        <v>0</v>
      </c>
      <c r="O201" s="60">
        <f>Tabela6[[#This Row],[Proporção]]*Tabela6[[#This Row],[Total]]</f>
        <v>0</v>
      </c>
      <c r="P201" s="57"/>
      <c r="Q201" s="55"/>
      <c r="R201" s="58"/>
      <c r="S201" s="61"/>
    </row>
    <row r="202" spans="1:19">
      <c r="A202" s="122" t="e">
        <f>IF(VLOOKUP(Tabela6[[#This Row],[UF]],'BASE CC'!B:C,2,0)="SP",IF(Tabela6[[#This Row],[OPERADORA]]="TIM","SP TIM","SPI"),VLOOKUP(Tabela6[[#This Row],[UF]],'BASE CC'!B:C,2,0))</f>
        <v>#N/A</v>
      </c>
      <c r="B202" s="36" t="e">
        <f>VLOOKUP(Tabela_Base_Financeiro[[#This Row],[Item code]],'COD.FAT'!B:C,2,0)</f>
        <v>#N/A</v>
      </c>
      <c r="C202" s="292">
        <f>Tabela_Base_Financeiro[[#This Row],[PO Ship TO]]</f>
        <v>0</v>
      </c>
      <c r="D202" s="36" t="str">
        <f>RIGHT(Tabela_Base_Financeiro[[#This Row],[Manufacturer]],2)</f>
        <v/>
      </c>
      <c r="E20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02" s="122" t="e">
        <f>VLOOKUP(Tabela_Base_Financeiro[[#This Row],[Project Code]],'COD. PROJETOS'!B:D,3,0)</f>
        <v>#N/A</v>
      </c>
      <c r="G202" s="36">
        <f>IFERROR(Tabela_Base_Financeiro[[#This Row],[PO No,]],0)</f>
        <v>0</v>
      </c>
      <c r="H202" s="36">
        <f>IFERROR(Tabela_Base_Financeiro[[#This Row],[Line No,]],0)</f>
        <v>0</v>
      </c>
      <c r="I202" s="36" t="str">
        <f>IFERROR(MID(Tabela_Base_Financeiro[[#This Row],[Manufacturer]],19,14),"")</f>
        <v/>
      </c>
      <c r="J202" s="113">
        <f>IFERROR(Tabela_Base_Financeiro[[#This Row],[Item code]],0)</f>
        <v>0</v>
      </c>
      <c r="K202" s="293">
        <f>IFERROR(Tabela_Base_Financeiro[[#This Row],[Unit Price]],0)</f>
        <v>0</v>
      </c>
      <c r="L202" s="36">
        <f>IFERROR(Tabela_Base_Financeiro[[#This Row],[AC Qty,]],0)</f>
        <v>0</v>
      </c>
      <c r="M202" s="60">
        <f>Tabela6[[#This Row],[Qty]]*Tabela6[[#This Row],[Preço]]</f>
        <v>0</v>
      </c>
      <c r="N202" s="37">
        <f>IFERROR(Tabela_Base_Financeiro[[#This Row],[Proportion]],0)</f>
        <v>0</v>
      </c>
      <c r="O202" s="60">
        <f>Tabela6[[#This Row],[Proporção]]*Tabela6[[#This Row],[Total]]</f>
        <v>0</v>
      </c>
      <c r="P202" s="57"/>
      <c r="Q202" s="55"/>
      <c r="R202" s="58"/>
      <c r="S202" s="61"/>
    </row>
    <row r="203" spans="1:19">
      <c r="A203" s="122" t="e">
        <f>IF(VLOOKUP(Tabela6[[#This Row],[UF]],'BASE CC'!B:C,2,0)="SP",IF(Tabela6[[#This Row],[OPERADORA]]="TIM","SP TIM","SPI"),VLOOKUP(Tabela6[[#This Row],[UF]],'BASE CC'!B:C,2,0))</f>
        <v>#N/A</v>
      </c>
      <c r="B203" s="36" t="e">
        <f>VLOOKUP(Tabela_Base_Financeiro[[#This Row],[Item code]],'COD.FAT'!B:C,2,0)</f>
        <v>#N/A</v>
      </c>
      <c r="C203" s="292">
        <f>Tabela_Base_Financeiro[[#This Row],[PO Ship TO]]</f>
        <v>0</v>
      </c>
      <c r="D203" s="36" t="str">
        <f>RIGHT(Tabela_Base_Financeiro[[#This Row],[Manufacturer]],2)</f>
        <v/>
      </c>
      <c r="E20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03" s="122" t="e">
        <f>VLOOKUP(Tabela_Base_Financeiro[[#This Row],[Project Code]],'COD. PROJETOS'!B:D,3,0)</f>
        <v>#N/A</v>
      </c>
      <c r="G203" s="36">
        <f>IFERROR(Tabela_Base_Financeiro[[#This Row],[PO No,]],0)</f>
        <v>0</v>
      </c>
      <c r="H203" s="36">
        <f>IFERROR(Tabela_Base_Financeiro[[#This Row],[Line No,]],0)</f>
        <v>0</v>
      </c>
      <c r="I203" s="36" t="str">
        <f>IFERROR(MID(Tabela_Base_Financeiro[[#This Row],[Manufacturer]],19,14),"")</f>
        <v/>
      </c>
      <c r="J203" s="113">
        <f>IFERROR(Tabela_Base_Financeiro[[#This Row],[Item code]],0)</f>
        <v>0</v>
      </c>
      <c r="K203" s="293">
        <f>IFERROR(Tabela_Base_Financeiro[[#This Row],[Unit Price]],0)</f>
        <v>0</v>
      </c>
      <c r="L203" s="36">
        <f>IFERROR(Tabela_Base_Financeiro[[#This Row],[AC Qty,]],0)</f>
        <v>0</v>
      </c>
      <c r="M203" s="60">
        <f>Tabela6[[#This Row],[Qty]]*Tabela6[[#This Row],[Preço]]</f>
        <v>0</v>
      </c>
      <c r="N203" s="37">
        <f>IFERROR(Tabela_Base_Financeiro[[#This Row],[Proportion]],0)</f>
        <v>0</v>
      </c>
      <c r="O203" s="60">
        <f>Tabela6[[#This Row],[Proporção]]*Tabela6[[#This Row],[Total]]</f>
        <v>0</v>
      </c>
      <c r="P203" s="57"/>
      <c r="Q203" s="55"/>
      <c r="R203" s="58"/>
      <c r="S203" s="61"/>
    </row>
    <row r="204" spans="1:19">
      <c r="A204" s="122" t="e">
        <f>IF(VLOOKUP(Tabela6[[#This Row],[UF]],'BASE CC'!B:C,2,0)="SP",IF(Tabela6[[#This Row],[OPERADORA]]="TIM","SP TIM","SPI"),VLOOKUP(Tabela6[[#This Row],[UF]],'BASE CC'!B:C,2,0))</f>
        <v>#N/A</v>
      </c>
      <c r="B204" s="36" t="e">
        <f>VLOOKUP(Tabela_Base_Financeiro[[#This Row],[Item code]],'COD.FAT'!B:C,2,0)</f>
        <v>#N/A</v>
      </c>
      <c r="C204" s="292">
        <f>Tabela_Base_Financeiro[[#This Row],[PO Ship TO]]</f>
        <v>0</v>
      </c>
      <c r="D204" s="36" t="str">
        <f>RIGHT(Tabela_Base_Financeiro[[#This Row],[Manufacturer]],2)</f>
        <v/>
      </c>
      <c r="E20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04" s="122" t="e">
        <f>VLOOKUP(Tabela_Base_Financeiro[[#This Row],[Project Code]],'COD. PROJETOS'!B:D,3,0)</f>
        <v>#N/A</v>
      </c>
      <c r="G204" s="296">
        <f>IFERROR(Tabela_Base_Financeiro[[#This Row],[PO No,]],0)</f>
        <v>0</v>
      </c>
      <c r="H204" s="36">
        <f>IFERROR(Tabela_Base_Financeiro[[#This Row],[Line No,]],0)</f>
        <v>0</v>
      </c>
      <c r="I204" s="36" t="str">
        <f>IFERROR(MID(Tabela_Base_Financeiro[[#This Row],[Manufacturer]],19,14),"")</f>
        <v/>
      </c>
      <c r="J204" s="113">
        <f>IFERROR(Tabela_Base_Financeiro[[#This Row],[Item code]],0)</f>
        <v>0</v>
      </c>
      <c r="K204" s="293">
        <f>IFERROR(Tabela_Base_Financeiro[[#This Row],[Unit Price]],0)</f>
        <v>0</v>
      </c>
      <c r="L204" s="36">
        <f>IFERROR(Tabela_Base_Financeiro[[#This Row],[AC Qty,]],0)</f>
        <v>0</v>
      </c>
      <c r="M204" s="60">
        <f>Tabela6[[#This Row],[Qty]]*Tabela6[[#This Row],[Preço]]</f>
        <v>0</v>
      </c>
      <c r="N204" s="37">
        <f>IFERROR(Tabela_Base_Financeiro[[#This Row],[Proportion]],0)</f>
        <v>0</v>
      </c>
      <c r="O204" s="60">
        <f>Tabela6[[#This Row],[Proporção]]*Tabela6[[#This Row],[Total]]</f>
        <v>0</v>
      </c>
      <c r="P204" s="57"/>
      <c r="Q204" s="55"/>
      <c r="R204" s="58"/>
      <c r="S204" s="61"/>
    </row>
    <row r="205" spans="1:19">
      <c r="A205" s="122" t="e">
        <f>IF(VLOOKUP(Tabela6[[#This Row],[UF]],'BASE CC'!B:C,2,0)="SP",IF(Tabela6[[#This Row],[OPERADORA]]="TIM","SP TIM","SPI"),VLOOKUP(Tabela6[[#This Row],[UF]],'BASE CC'!B:C,2,0))</f>
        <v>#N/A</v>
      </c>
      <c r="B205" s="36" t="e">
        <f>VLOOKUP(Tabela_Base_Financeiro[[#This Row],[Item code]],'COD.FAT'!B:C,2,0)</f>
        <v>#N/A</v>
      </c>
      <c r="C205" s="292">
        <f>Tabela_Base_Financeiro[[#This Row],[PO Ship TO]]</f>
        <v>0</v>
      </c>
      <c r="D205" s="36" t="str">
        <f>RIGHT(Tabela_Base_Financeiro[[#This Row],[Manufacturer]],2)</f>
        <v/>
      </c>
      <c r="E20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05" s="122" t="e">
        <f>VLOOKUP(Tabela_Base_Financeiro[[#This Row],[Project Code]],'COD. PROJETOS'!B:D,3,0)</f>
        <v>#N/A</v>
      </c>
      <c r="G205" s="36">
        <f>IFERROR(Tabela_Base_Financeiro[[#This Row],[PO No,]],0)</f>
        <v>0</v>
      </c>
      <c r="H205" s="36">
        <f>IFERROR(Tabela_Base_Financeiro[[#This Row],[Line No,]],0)</f>
        <v>0</v>
      </c>
      <c r="I205" s="36" t="str">
        <f>IFERROR(MID(Tabela_Base_Financeiro[[#This Row],[Manufacturer]],19,14),"")</f>
        <v/>
      </c>
      <c r="J205" s="113">
        <f>IFERROR(Tabela_Base_Financeiro[[#This Row],[Item code]],0)</f>
        <v>0</v>
      </c>
      <c r="K205" s="293">
        <f>IFERROR(Tabela_Base_Financeiro[[#This Row],[Unit Price]],0)</f>
        <v>0</v>
      </c>
      <c r="L205" s="36">
        <f>IFERROR(Tabela_Base_Financeiro[[#This Row],[AC Qty,]],0)</f>
        <v>0</v>
      </c>
      <c r="M205" s="60">
        <f>Tabela6[[#This Row],[Qty]]*Tabela6[[#This Row],[Preço]]</f>
        <v>0</v>
      </c>
      <c r="N205" s="37">
        <f>IFERROR(Tabela_Base_Financeiro[[#This Row],[Proportion]],0)</f>
        <v>0</v>
      </c>
      <c r="O205" s="60">
        <f>Tabela6[[#This Row],[Proporção]]*Tabela6[[#This Row],[Total]]</f>
        <v>0</v>
      </c>
      <c r="P205" s="57"/>
      <c r="Q205" s="55"/>
      <c r="R205" s="58"/>
      <c r="S205" s="61"/>
    </row>
    <row r="206" spans="1:19">
      <c r="A206" s="122" t="e">
        <f>IF(VLOOKUP(Tabela6[[#This Row],[UF]],'BASE CC'!B:C,2,0)="SP",IF(Tabela6[[#This Row],[OPERADORA]]="TIM","SP TIM","SPI"),VLOOKUP(Tabela6[[#This Row],[UF]],'BASE CC'!B:C,2,0))</f>
        <v>#N/A</v>
      </c>
      <c r="B206" s="36" t="e">
        <f>VLOOKUP(Tabela_Base_Financeiro[[#This Row],[Item code]],'COD.FAT'!B:C,2,0)</f>
        <v>#N/A</v>
      </c>
      <c r="C206" s="292">
        <f>Tabela_Base_Financeiro[[#This Row],[PO Ship TO]]</f>
        <v>0</v>
      </c>
      <c r="D206" s="36" t="str">
        <f>RIGHT(Tabela_Base_Financeiro[[#This Row],[Manufacturer]],2)</f>
        <v/>
      </c>
      <c r="E20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06" s="122" t="e">
        <f>VLOOKUP(Tabela_Base_Financeiro[[#This Row],[Project Code]],'COD. PROJETOS'!B:D,3,0)</f>
        <v>#N/A</v>
      </c>
      <c r="G206" s="36">
        <f>IFERROR(Tabela_Base_Financeiro[[#This Row],[PO No,]],0)</f>
        <v>0</v>
      </c>
      <c r="H206" s="36">
        <f>IFERROR(Tabela_Base_Financeiro[[#This Row],[Line No,]],0)</f>
        <v>0</v>
      </c>
      <c r="I206" s="36" t="str">
        <f>IFERROR(MID(Tabela_Base_Financeiro[[#This Row],[Manufacturer]],19,14),"")</f>
        <v/>
      </c>
      <c r="J206" s="113">
        <f>IFERROR(Tabela_Base_Financeiro[[#This Row],[Item code]],0)</f>
        <v>0</v>
      </c>
      <c r="K206" s="293">
        <f>IFERROR(Tabela_Base_Financeiro[[#This Row],[Unit Price]],0)</f>
        <v>0</v>
      </c>
      <c r="L206" s="36">
        <f>IFERROR(Tabela_Base_Financeiro[[#This Row],[AC Qty,]],0)</f>
        <v>0</v>
      </c>
      <c r="M206" s="60">
        <f>Tabela6[[#This Row],[Qty]]*Tabela6[[#This Row],[Preço]]</f>
        <v>0</v>
      </c>
      <c r="N206" s="37">
        <f>IFERROR(Tabela_Base_Financeiro[[#This Row],[Proportion]],0)</f>
        <v>0</v>
      </c>
      <c r="O206" s="60">
        <f>Tabela6[[#This Row],[Proporção]]*Tabela6[[#This Row],[Total]]</f>
        <v>0</v>
      </c>
      <c r="P206" s="57"/>
      <c r="Q206" s="55"/>
      <c r="R206" s="58"/>
      <c r="S206" s="61"/>
    </row>
    <row r="207" spans="1:19">
      <c r="A207" s="122" t="e">
        <f>IF(VLOOKUP(Tabela6[[#This Row],[UF]],'BASE CC'!B:C,2,0)="SP",IF(Tabela6[[#This Row],[OPERADORA]]="TIM","SP TIM","SPI"),VLOOKUP(Tabela6[[#This Row],[UF]],'BASE CC'!B:C,2,0))</f>
        <v>#N/A</v>
      </c>
      <c r="B207" s="36" t="e">
        <f>VLOOKUP(Tabela_Base_Financeiro[[#This Row],[Item code]],'COD.FAT'!B:C,2,0)</f>
        <v>#N/A</v>
      </c>
      <c r="C207" s="292">
        <f>Tabela_Base_Financeiro[[#This Row],[PO Ship TO]]</f>
        <v>0</v>
      </c>
      <c r="D207" s="36" t="str">
        <f>RIGHT(Tabela_Base_Financeiro[[#This Row],[Manufacturer]],2)</f>
        <v/>
      </c>
      <c r="E20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07" s="122" t="e">
        <f>VLOOKUP(Tabela_Base_Financeiro[[#This Row],[Project Code]],'COD. PROJETOS'!B:D,3,0)</f>
        <v>#N/A</v>
      </c>
      <c r="G207" s="36">
        <f>IFERROR(Tabela_Base_Financeiro[[#This Row],[PO No,]],0)</f>
        <v>0</v>
      </c>
      <c r="H207" s="36">
        <f>IFERROR(Tabela_Base_Financeiro[[#This Row],[Line No,]],0)</f>
        <v>0</v>
      </c>
      <c r="I207" s="36" t="str">
        <f>IFERROR(MID(Tabela_Base_Financeiro[[#This Row],[Manufacturer]],19,14),"")</f>
        <v/>
      </c>
      <c r="J207" s="113">
        <f>IFERROR(Tabela_Base_Financeiro[[#This Row],[Item code]],0)</f>
        <v>0</v>
      </c>
      <c r="K207" s="293">
        <f>IFERROR(Tabela_Base_Financeiro[[#This Row],[Unit Price]],0)</f>
        <v>0</v>
      </c>
      <c r="L207" s="36">
        <f>IFERROR(Tabela_Base_Financeiro[[#This Row],[AC Qty,]],0)</f>
        <v>0</v>
      </c>
      <c r="M207" s="60">
        <f>Tabela6[[#This Row],[Qty]]*Tabela6[[#This Row],[Preço]]</f>
        <v>0</v>
      </c>
      <c r="N207" s="37">
        <f>IFERROR(Tabela_Base_Financeiro[[#This Row],[Proportion]],0)</f>
        <v>0</v>
      </c>
      <c r="O207" s="60">
        <f>Tabela6[[#This Row],[Proporção]]*Tabela6[[#This Row],[Total]]</f>
        <v>0</v>
      </c>
      <c r="P207" s="57"/>
      <c r="Q207" s="55"/>
      <c r="R207" s="58"/>
      <c r="S207" s="61"/>
    </row>
    <row r="208" spans="1:19">
      <c r="A208" s="122" t="e">
        <f>IF(VLOOKUP(Tabela6[[#This Row],[UF]],'BASE CC'!B:C,2,0)="SP",IF(Tabela6[[#This Row],[OPERADORA]]="TIM","SP TIM","SPI"),VLOOKUP(Tabela6[[#This Row],[UF]],'BASE CC'!B:C,2,0))</f>
        <v>#N/A</v>
      </c>
      <c r="B208" s="36" t="e">
        <f>VLOOKUP(Tabela_Base_Financeiro[[#This Row],[Item code]],'COD.FAT'!B:C,2,0)</f>
        <v>#N/A</v>
      </c>
      <c r="C208" s="292">
        <f>Tabela_Base_Financeiro[[#This Row],[PO Ship TO]]</f>
        <v>0</v>
      </c>
      <c r="D208" s="36" t="str">
        <f>RIGHT(Tabela_Base_Financeiro[[#This Row],[Manufacturer]],2)</f>
        <v/>
      </c>
      <c r="E20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08" s="122" t="e">
        <f>VLOOKUP(Tabela_Base_Financeiro[[#This Row],[Project Code]],'COD. PROJETOS'!B:D,3,0)</f>
        <v>#N/A</v>
      </c>
      <c r="G208" s="36">
        <f>IFERROR(Tabela_Base_Financeiro[[#This Row],[PO No,]],0)</f>
        <v>0</v>
      </c>
      <c r="H208" s="36">
        <f>IFERROR(Tabela_Base_Financeiro[[#This Row],[Line No,]],0)</f>
        <v>0</v>
      </c>
      <c r="I208" s="36" t="str">
        <f>IFERROR(MID(Tabela_Base_Financeiro[[#This Row],[Manufacturer]],19,14),"")</f>
        <v/>
      </c>
      <c r="J208" s="113">
        <f>IFERROR(Tabela_Base_Financeiro[[#This Row],[Item code]],0)</f>
        <v>0</v>
      </c>
      <c r="K208" s="293">
        <f>IFERROR(Tabela_Base_Financeiro[[#This Row],[Unit Price]],0)</f>
        <v>0</v>
      </c>
      <c r="L208" s="36">
        <f>IFERROR(Tabela_Base_Financeiro[[#This Row],[AC Qty,]],0)</f>
        <v>0</v>
      </c>
      <c r="M208" s="60">
        <f>Tabela6[[#This Row],[Qty]]*Tabela6[[#This Row],[Preço]]</f>
        <v>0</v>
      </c>
      <c r="N208" s="37">
        <f>IFERROR(Tabela_Base_Financeiro[[#This Row],[Proportion]],0)</f>
        <v>0</v>
      </c>
      <c r="O208" s="60">
        <f>Tabela6[[#This Row],[Proporção]]*Tabela6[[#This Row],[Total]]</f>
        <v>0</v>
      </c>
      <c r="P208" s="57"/>
      <c r="Q208" s="55"/>
      <c r="R208" s="58"/>
      <c r="S208" s="61"/>
    </row>
    <row r="209" spans="1:19">
      <c r="A209" s="122" t="e">
        <f>IF(VLOOKUP(Tabela6[[#This Row],[UF]],'BASE CC'!B:C,2,0)="SP",IF(Tabela6[[#This Row],[OPERADORA]]="TIM","SP TIM","SPI"),VLOOKUP(Tabela6[[#This Row],[UF]],'BASE CC'!B:C,2,0))</f>
        <v>#N/A</v>
      </c>
      <c r="B209" s="36" t="e">
        <f>VLOOKUP(Tabela_Base_Financeiro[[#This Row],[Item code]],'COD.FAT'!B:C,2,0)</f>
        <v>#N/A</v>
      </c>
      <c r="C209" s="292">
        <f>Tabela_Base_Financeiro[[#This Row],[PO Ship TO]]</f>
        <v>0</v>
      </c>
      <c r="D209" s="36" t="str">
        <f>RIGHT(Tabela_Base_Financeiro[[#This Row],[Manufacturer]],2)</f>
        <v/>
      </c>
      <c r="E20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09" s="122" t="e">
        <f>VLOOKUP(Tabela_Base_Financeiro[[#This Row],[Project Code]],'COD. PROJETOS'!B:D,3,0)</f>
        <v>#N/A</v>
      </c>
      <c r="G209" s="36">
        <f>IFERROR(Tabela_Base_Financeiro[[#This Row],[PO No,]],0)</f>
        <v>0</v>
      </c>
      <c r="H209" s="36">
        <f>IFERROR(Tabela_Base_Financeiro[[#This Row],[Line No,]],0)</f>
        <v>0</v>
      </c>
      <c r="I209" s="36" t="str">
        <f>IFERROR(MID(Tabela_Base_Financeiro[[#This Row],[Manufacturer]],19,14),"")</f>
        <v/>
      </c>
      <c r="J209" s="113">
        <f>IFERROR(Tabela_Base_Financeiro[[#This Row],[Item code]],0)</f>
        <v>0</v>
      </c>
      <c r="K209" s="293">
        <f>IFERROR(Tabela_Base_Financeiro[[#This Row],[Unit Price]],0)</f>
        <v>0</v>
      </c>
      <c r="L209" s="36">
        <f>IFERROR(Tabela_Base_Financeiro[[#This Row],[AC Qty,]],0)</f>
        <v>0</v>
      </c>
      <c r="M209" s="60">
        <f>Tabela6[[#This Row],[Qty]]*Tabela6[[#This Row],[Preço]]</f>
        <v>0</v>
      </c>
      <c r="N209" s="37">
        <f>IFERROR(Tabela_Base_Financeiro[[#This Row],[Proportion]],0)</f>
        <v>0</v>
      </c>
      <c r="O209" s="60">
        <f>Tabela6[[#This Row],[Proporção]]*Tabela6[[#This Row],[Total]]</f>
        <v>0</v>
      </c>
      <c r="P209" s="57"/>
      <c r="Q209" s="55"/>
      <c r="R209" s="58"/>
      <c r="S209" s="61"/>
    </row>
    <row r="210" spans="1:19">
      <c r="A210" s="122" t="e">
        <f>IF(VLOOKUP(Tabela6[[#This Row],[UF]],'BASE CC'!B:C,2,0)="SP",IF(Tabela6[[#This Row],[OPERADORA]]="TIM","SP TIM","SPI"),VLOOKUP(Tabela6[[#This Row],[UF]],'BASE CC'!B:C,2,0))</f>
        <v>#N/A</v>
      </c>
      <c r="B210" s="36" t="e">
        <f>VLOOKUP(Tabela_Base_Financeiro[[#This Row],[Item code]],'COD.FAT'!B:C,2,0)</f>
        <v>#N/A</v>
      </c>
      <c r="C210" s="292">
        <f>Tabela_Base_Financeiro[[#This Row],[PO Ship TO]]</f>
        <v>0</v>
      </c>
      <c r="D210" s="36" t="str">
        <f>RIGHT(Tabela_Base_Financeiro[[#This Row],[Manufacturer]],2)</f>
        <v/>
      </c>
      <c r="E21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10" s="122" t="e">
        <f>VLOOKUP(Tabela_Base_Financeiro[[#This Row],[Project Code]],'COD. PROJETOS'!B:D,3,0)</f>
        <v>#N/A</v>
      </c>
      <c r="G210" s="36">
        <f>IFERROR(Tabela_Base_Financeiro[[#This Row],[PO No,]],0)</f>
        <v>0</v>
      </c>
      <c r="H210" s="36">
        <f>IFERROR(Tabela_Base_Financeiro[[#This Row],[Line No,]],0)</f>
        <v>0</v>
      </c>
      <c r="I210" s="36" t="str">
        <f>IFERROR(MID(Tabela_Base_Financeiro[[#This Row],[Manufacturer]],19,14),"")</f>
        <v/>
      </c>
      <c r="J210" s="113">
        <f>IFERROR(Tabela_Base_Financeiro[[#This Row],[Item code]],0)</f>
        <v>0</v>
      </c>
      <c r="K210" s="293">
        <f>IFERROR(Tabela_Base_Financeiro[[#This Row],[Unit Price]],0)</f>
        <v>0</v>
      </c>
      <c r="L210" s="36">
        <f>IFERROR(Tabela_Base_Financeiro[[#This Row],[AC Qty,]],0)</f>
        <v>0</v>
      </c>
      <c r="M210" s="60">
        <f>Tabela6[[#This Row],[Qty]]*Tabela6[[#This Row],[Preço]]</f>
        <v>0</v>
      </c>
      <c r="N210" s="37">
        <f>IFERROR(Tabela_Base_Financeiro[[#This Row],[Proportion]],0)</f>
        <v>0</v>
      </c>
      <c r="O210" s="60">
        <f>Tabela6[[#This Row],[Proporção]]*Tabela6[[#This Row],[Total]]</f>
        <v>0</v>
      </c>
      <c r="P210" s="57"/>
      <c r="Q210" s="55"/>
      <c r="R210" s="58"/>
      <c r="S210" s="61"/>
    </row>
    <row r="211" spans="1:19">
      <c r="A211" s="122" t="e">
        <f>IF(VLOOKUP(Tabela6[[#This Row],[UF]],'BASE CC'!B:C,2,0)="SP",IF(Tabela6[[#This Row],[OPERADORA]]="TIM","SP TIM","SPI"),VLOOKUP(Tabela6[[#This Row],[UF]],'BASE CC'!B:C,2,0))</f>
        <v>#N/A</v>
      </c>
      <c r="B211" s="36" t="e">
        <f>VLOOKUP(Tabela_Base_Financeiro[[#This Row],[Item code]],'COD.FAT'!B:C,2,0)</f>
        <v>#N/A</v>
      </c>
      <c r="C211" s="292">
        <f>Tabela_Base_Financeiro[[#This Row],[PO Ship TO]]</f>
        <v>0</v>
      </c>
      <c r="D211" s="36" t="str">
        <f>RIGHT(Tabela_Base_Financeiro[[#This Row],[Manufacturer]],2)</f>
        <v/>
      </c>
      <c r="E21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11" s="122" t="e">
        <f>VLOOKUP(Tabela_Base_Financeiro[[#This Row],[Project Code]],'COD. PROJETOS'!B:D,3,0)</f>
        <v>#N/A</v>
      </c>
      <c r="G211" s="36">
        <f>IFERROR(Tabela_Base_Financeiro[[#This Row],[PO No,]],0)</f>
        <v>0</v>
      </c>
      <c r="H211" s="36">
        <f>IFERROR(Tabela_Base_Financeiro[[#This Row],[Line No,]],0)</f>
        <v>0</v>
      </c>
      <c r="I211" s="36" t="str">
        <f>IFERROR(MID(Tabela_Base_Financeiro[[#This Row],[Manufacturer]],19,14),"")</f>
        <v/>
      </c>
      <c r="J211" s="113">
        <f>IFERROR(Tabela_Base_Financeiro[[#This Row],[Item code]],0)</f>
        <v>0</v>
      </c>
      <c r="K211" s="293">
        <f>IFERROR(Tabela_Base_Financeiro[[#This Row],[Unit Price]],0)</f>
        <v>0</v>
      </c>
      <c r="L211" s="36">
        <f>IFERROR(Tabela_Base_Financeiro[[#This Row],[AC Qty,]],0)</f>
        <v>0</v>
      </c>
      <c r="M211" s="60">
        <f>Tabela6[[#This Row],[Qty]]*Tabela6[[#This Row],[Preço]]</f>
        <v>0</v>
      </c>
      <c r="N211" s="37">
        <f>IFERROR(Tabela_Base_Financeiro[[#This Row],[Proportion]],0)</f>
        <v>0</v>
      </c>
      <c r="O211" s="60">
        <f>Tabela6[[#This Row],[Proporção]]*Tabela6[[#This Row],[Total]]</f>
        <v>0</v>
      </c>
      <c r="P211" s="57"/>
      <c r="Q211" s="55"/>
      <c r="R211" s="58"/>
      <c r="S211" s="61"/>
    </row>
    <row r="212" spans="1:19">
      <c r="A212" s="122" t="e">
        <f>IF(VLOOKUP(Tabela6[[#This Row],[UF]],'BASE CC'!B:C,2,0)="SP",IF(Tabela6[[#This Row],[OPERADORA]]="TIM","SP TIM","SPI"),VLOOKUP(Tabela6[[#This Row],[UF]],'BASE CC'!B:C,2,0))</f>
        <v>#N/A</v>
      </c>
      <c r="B212" s="36" t="e">
        <f>VLOOKUP(Tabela_Base_Financeiro[[#This Row],[Item code]],'COD.FAT'!B:C,2,0)</f>
        <v>#N/A</v>
      </c>
      <c r="C212" s="292">
        <f>Tabela_Base_Financeiro[[#This Row],[PO Ship TO]]</f>
        <v>0</v>
      </c>
      <c r="D212" s="36" t="str">
        <f>RIGHT(Tabela_Base_Financeiro[[#This Row],[Manufacturer]],2)</f>
        <v/>
      </c>
      <c r="E21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12" s="122" t="e">
        <f>VLOOKUP(Tabela_Base_Financeiro[[#This Row],[Project Code]],'COD. PROJETOS'!B:D,3,0)</f>
        <v>#N/A</v>
      </c>
      <c r="G212" s="36">
        <f>IFERROR(Tabela_Base_Financeiro[[#This Row],[PO No,]],0)</f>
        <v>0</v>
      </c>
      <c r="H212" s="36">
        <f>IFERROR(Tabela_Base_Financeiro[[#This Row],[Line No,]],0)</f>
        <v>0</v>
      </c>
      <c r="I212" s="36" t="str">
        <f>IFERROR(MID(Tabela_Base_Financeiro[[#This Row],[Manufacturer]],19,14),"")</f>
        <v/>
      </c>
      <c r="J212" s="113">
        <f>IFERROR(Tabela_Base_Financeiro[[#This Row],[Item code]],0)</f>
        <v>0</v>
      </c>
      <c r="K212" s="293">
        <f>IFERROR(Tabela_Base_Financeiro[[#This Row],[Unit Price]],0)</f>
        <v>0</v>
      </c>
      <c r="L212" s="36">
        <f>IFERROR(Tabela_Base_Financeiro[[#This Row],[AC Qty,]],0)</f>
        <v>0</v>
      </c>
      <c r="M212" s="60">
        <f>Tabela6[[#This Row],[Qty]]*Tabela6[[#This Row],[Preço]]</f>
        <v>0</v>
      </c>
      <c r="N212" s="37">
        <f>IFERROR(Tabela_Base_Financeiro[[#This Row],[Proportion]],0)</f>
        <v>0</v>
      </c>
      <c r="O212" s="60">
        <f>Tabela6[[#This Row],[Proporção]]*Tabela6[[#This Row],[Total]]</f>
        <v>0</v>
      </c>
      <c r="P212" s="57"/>
      <c r="Q212" s="55"/>
      <c r="R212" s="58"/>
      <c r="S212" s="61"/>
    </row>
    <row r="213" spans="1:19">
      <c r="A213" s="122" t="e">
        <f>IF(VLOOKUP(Tabela6[[#This Row],[UF]],'BASE CC'!B:C,2,0)="SP",IF(Tabela6[[#This Row],[OPERADORA]]="TIM","SP TIM","SPI"),VLOOKUP(Tabela6[[#This Row],[UF]],'BASE CC'!B:C,2,0))</f>
        <v>#N/A</v>
      </c>
      <c r="B213" s="36" t="e">
        <f>VLOOKUP(Tabela_Base_Financeiro[[#This Row],[Item code]],'COD.FAT'!B:C,2,0)</f>
        <v>#N/A</v>
      </c>
      <c r="C213" s="292">
        <f>Tabela_Base_Financeiro[[#This Row],[PO Ship TO]]</f>
        <v>0</v>
      </c>
      <c r="D213" s="36" t="str">
        <f>RIGHT(Tabela_Base_Financeiro[[#This Row],[Manufacturer]],2)</f>
        <v/>
      </c>
      <c r="E21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13" s="122" t="e">
        <f>VLOOKUP(Tabela_Base_Financeiro[[#This Row],[Project Code]],'COD. PROJETOS'!B:D,3,0)</f>
        <v>#N/A</v>
      </c>
      <c r="G213" s="36">
        <f>IFERROR(Tabela_Base_Financeiro[[#This Row],[PO No,]],0)</f>
        <v>0</v>
      </c>
      <c r="H213" s="36">
        <f>IFERROR(Tabela_Base_Financeiro[[#This Row],[Line No,]],0)</f>
        <v>0</v>
      </c>
      <c r="I213" s="36" t="str">
        <f>IFERROR(MID(Tabela_Base_Financeiro[[#This Row],[Manufacturer]],19,14),"")</f>
        <v/>
      </c>
      <c r="J213" s="113">
        <f>IFERROR(Tabela_Base_Financeiro[[#This Row],[Item code]],0)</f>
        <v>0</v>
      </c>
      <c r="K213" s="293">
        <f>IFERROR(Tabela_Base_Financeiro[[#This Row],[Unit Price]],0)</f>
        <v>0</v>
      </c>
      <c r="L213" s="36">
        <f>IFERROR(Tabela_Base_Financeiro[[#This Row],[AC Qty,]],0)</f>
        <v>0</v>
      </c>
      <c r="M213" s="60">
        <f>Tabela6[[#This Row],[Qty]]*Tabela6[[#This Row],[Preço]]</f>
        <v>0</v>
      </c>
      <c r="N213" s="37">
        <f>IFERROR(Tabela_Base_Financeiro[[#This Row],[Proportion]],0)</f>
        <v>0</v>
      </c>
      <c r="O213" s="60">
        <f>Tabela6[[#This Row],[Proporção]]*Tabela6[[#This Row],[Total]]</f>
        <v>0</v>
      </c>
      <c r="P213" s="57"/>
      <c r="Q213" s="55"/>
      <c r="R213" s="58"/>
      <c r="S213" s="61"/>
    </row>
    <row r="214" spans="1:19">
      <c r="A214" s="122" t="e">
        <f>IF(VLOOKUP(Tabela6[[#This Row],[UF]],'BASE CC'!B:C,2,0)="SP",IF(Tabela6[[#This Row],[OPERADORA]]="TIM","SP TIM","SPI"),VLOOKUP(Tabela6[[#This Row],[UF]],'BASE CC'!B:C,2,0))</f>
        <v>#N/A</v>
      </c>
      <c r="B214" s="36" t="e">
        <f>VLOOKUP(Tabela_Base_Financeiro[[#This Row],[Item code]],'COD.FAT'!B:C,2,0)</f>
        <v>#N/A</v>
      </c>
      <c r="C214" s="292">
        <f>Tabela_Base_Financeiro[[#This Row],[PO Ship TO]]</f>
        <v>0</v>
      </c>
      <c r="D214" s="36" t="str">
        <f>RIGHT(Tabela_Base_Financeiro[[#This Row],[Manufacturer]],2)</f>
        <v/>
      </c>
      <c r="E21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14" s="122" t="e">
        <f>VLOOKUP(Tabela_Base_Financeiro[[#This Row],[Project Code]],'COD. PROJETOS'!B:D,3,0)</f>
        <v>#N/A</v>
      </c>
      <c r="G214" s="36">
        <f>IFERROR(Tabela_Base_Financeiro[[#This Row],[PO No,]],0)</f>
        <v>0</v>
      </c>
      <c r="H214" s="36">
        <f>IFERROR(Tabela_Base_Financeiro[[#This Row],[Line No,]],0)</f>
        <v>0</v>
      </c>
      <c r="I214" s="36" t="str">
        <f>IFERROR(MID(Tabela_Base_Financeiro[[#This Row],[Manufacturer]],19,14),"")</f>
        <v/>
      </c>
      <c r="J214" s="113">
        <f>IFERROR(Tabela_Base_Financeiro[[#This Row],[Item code]],0)</f>
        <v>0</v>
      </c>
      <c r="K214" s="293">
        <f>IFERROR(Tabela_Base_Financeiro[[#This Row],[Unit Price]],0)</f>
        <v>0</v>
      </c>
      <c r="L214" s="36">
        <f>IFERROR(Tabela_Base_Financeiro[[#This Row],[AC Qty,]],0)</f>
        <v>0</v>
      </c>
      <c r="M214" s="60">
        <f>Tabela6[[#This Row],[Qty]]*Tabela6[[#This Row],[Preço]]</f>
        <v>0</v>
      </c>
      <c r="N214" s="37">
        <f>IFERROR(Tabela_Base_Financeiro[[#This Row],[Proportion]],0)</f>
        <v>0</v>
      </c>
      <c r="O214" s="60">
        <f>Tabela6[[#This Row],[Proporção]]*Tabela6[[#This Row],[Total]]</f>
        <v>0</v>
      </c>
      <c r="P214" s="57"/>
      <c r="Q214" s="55"/>
      <c r="R214" s="58"/>
      <c r="S214" s="61"/>
    </row>
    <row r="215" spans="1:19">
      <c r="A215" s="122" t="e">
        <f>IF(VLOOKUP(Tabela6[[#This Row],[UF]],'BASE CC'!B:C,2,0)="SP",IF(Tabela6[[#This Row],[OPERADORA]]="TIM","SP TIM","SPI"),VLOOKUP(Tabela6[[#This Row],[UF]],'BASE CC'!B:C,2,0))</f>
        <v>#N/A</v>
      </c>
      <c r="B215" s="36" t="e">
        <f>VLOOKUP(Tabela_Base_Financeiro[[#This Row],[Item code]],'COD.FAT'!B:C,2,0)</f>
        <v>#N/A</v>
      </c>
      <c r="C215" s="292">
        <f>Tabela_Base_Financeiro[[#This Row],[PO Ship TO]]</f>
        <v>0</v>
      </c>
      <c r="D215" s="36" t="str">
        <f>RIGHT(Tabela_Base_Financeiro[[#This Row],[Manufacturer]],2)</f>
        <v/>
      </c>
      <c r="E21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15" s="122" t="e">
        <f>VLOOKUP(Tabela_Base_Financeiro[[#This Row],[Project Code]],'COD. PROJETOS'!B:D,3,0)</f>
        <v>#N/A</v>
      </c>
      <c r="G215" s="36">
        <f>IFERROR(Tabela_Base_Financeiro[[#This Row],[PO No,]],0)</f>
        <v>0</v>
      </c>
      <c r="H215" s="36">
        <f>IFERROR(Tabela_Base_Financeiro[[#This Row],[Line No,]],0)</f>
        <v>0</v>
      </c>
      <c r="I215" s="36" t="str">
        <f>IFERROR(MID(Tabela_Base_Financeiro[[#This Row],[Manufacturer]],19,14),"")</f>
        <v/>
      </c>
      <c r="J215" s="113">
        <f>IFERROR(Tabela_Base_Financeiro[[#This Row],[Item code]],0)</f>
        <v>0</v>
      </c>
      <c r="K215" s="293">
        <f>IFERROR(Tabela_Base_Financeiro[[#This Row],[Unit Price]],0)</f>
        <v>0</v>
      </c>
      <c r="L215" s="36">
        <f>IFERROR(Tabela_Base_Financeiro[[#This Row],[AC Qty,]],0)</f>
        <v>0</v>
      </c>
      <c r="M215" s="60">
        <f>Tabela6[[#This Row],[Qty]]*Tabela6[[#This Row],[Preço]]</f>
        <v>0</v>
      </c>
      <c r="N215" s="37">
        <f>IFERROR(Tabela_Base_Financeiro[[#This Row],[Proportion]],0)</f>
        <v>0</v>
      </c>
      <c r="O215" s="60">
        <f>Tabela6[[#This Row],[Proporção]]*Tabela6[[#This Row],[Total]]</f>
        <v>0</v>
      </c>
      <c r="P215" s="57"/>
      <c r="Q215" s="55"/>
      <c r="R215" s="58"/>
      <c r="S215" s="61"/>
    </row>
    <row r="216" spans="1:19">
      <c r="A216" s="122" t="e">
        <f>IF(VLOOKUP(Tabela6[[#This Row],[UF]],'BASE CC'!B:C,2,0)="SP",IF(Tabela6[[#This Row],[OPERADORA]]="TIM","SP TIM","SPI"),VLOOKUP(Tabela6[[#This Row],[UF]],'BASE CC'!B:C,2,0))</f>
        <v>#N/A</v>
      </c>
      <c r="B216" s="36" t="e">
        <f>VLOOKUP(Tabela_Base_Financeiro[[#This Row],[Item code]],'COD.FAT'!B:C,2,0)</f>
        <v>#N/A</v>
      </c>
      <c r="C216" s="292">
        <f>Tabela_Base_Financeiro[[#This Row],[PO Ship TO]]</f>
        <v>0</v>
      </c>
      <c r="D216" s="36" t="str">
        <f>RIGHT(Tabela_Base_Financeiro[[#This Row],[Manufacturer]],2)</f>
        <v/>
      </c>
      <c r="E21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16" s="122" t="e">
        <f>VLOOKUP(Tabela_Base_Financeiro[[#This Row],[Project Code]],'COD. PROJETOS'!B:D,3,0)</f>
        <v>#N/A</v>
      </c>
      <c r="G216" s="36">
        <f>IFERROR(Tabela_Base_Financeiro[[#This Row],[PO No,]],0)</f>
        <v>0</v>
      </c>
      <c r="H216" s="36">
        <f>IFERROR(Tabela_Base_Financeiro[[#This Row],[Line No,]],0)</f>
        <v>0</v>
      </c>
      <c r="I216" s="36" t="str">
        <f>IFERROR(MID(Tabela_Base_Financeiro[[#This Row],[Manufacturer]],19,14),"")</f>
        <v/>
      </c>
      <c r="J216" s="113">
        <f>IFERROR(Tabela_Base_Financeiro[[#This Row],[Item code]],0)</f>
        <v>0</v>
      </c>
      <c r="K216" s="293">
        <f>IFERROR(Tabela_Base_Financeiro[[#This Row],[Unit Price]],0)</f>
        <v>0</v>
      </c>
      <c r="L216" s="36">
        <f>IFERROR(Tabela_Base_Financeiro[[#This Row],[AC Qty,]],0)</f>
        <v>0</v>
      </c>
      <c r="M216" s="60">
        <f>Tabela6[[#This Row],[Qty]]*Tabela6[[#This Row],[Preço]]</f>
        <v>0</v>
      </c>
      <c r="N216" s="37">
        <f>IFERROR(Tabela_Base_Financeiro[[#This Row],[Proportion]],0)</f>
        <v>0</v>
      </c>
      <c r="O216" s="60">
        <f>Tabela6[[#This Row],[Proporção]]*Tabela6[[#This Row],[Total]]</f>
        <v>0</v>
      </c>
      <c r="P216" s="57"/>
      <c r="Q216" s="55"/>
      <c r="R216" s="58"/>
      <c r="S216" s="61"/>
    </row>
    <row r="217" spans="1:19">
      <c r="A217" s="122" t="e">
        <f>IF(VLOOKUP(Tabela6[[#This Row],[UF]],'BASE CC'!B:C,2,0)="SP",IF(Tabela6[[#This Row],[OPERADORA]]="TIM","SP TIM","SPI"),VLOOKUP(Tabela6[[#This Row],[UF]],'BASE CC'!B:C,2,0))</f>
        <v>#N/A</v>
      </c>
      <c r="B217" s="36" t="e">
        <f>VLOOKUP(Tabela_Base_Financeiro[[#This Row],[Item code]],'COD.FAT'!B:C,2,0)</f>
        <v>#N/A</v>
      </c>
      <c r="C217" s="292">
        <f>Tabela_Base_Financeiro[[#This Row],[PO Ship TO]]</f>
        <v>0</v>
      </c>
      <c r="D217" s="36" t="str">
        <f>RIGHT(Tabela_Base_Financeiro[[#This Row],[Manufacturer]],2)</f>
        <v/>
      </c>
      <c r="E21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17" s="122" t="e">
        <f>VLOOKUP(Tabela_Base_Financeiro[[#This Row],[Project Code]],'COD. PROJETOS'!B:D,3,0)</f>
        <v>#N/A</v>
      </c>
      <c r="G217" s="36">
        <f>IFERROR(Tabela_Base_Financeiro[[#This Row],[PO No,]],0)</f>
        <v>0</v>
      </c>
      <c r="H217" s="36">
        <f>IFERROR(Tabela_Base_Financeiro[[#This Row],[Line No,]],0)</f>
        <v>0</v>
      </c>
      <c r="I217" s="36" t="str">
        <f>IFERROR(MID(Tabela_Base_Financeiro[[#This Row],[Manufacturer]],19,14),"")</f>
        <v/>
      </c>
      <c r="J217" s="113">
        <f>IFERROR(Tabela_Base_Financeiro[[#This Row],[Item code]],0)</f>
        <v>0</v>
      </c>
      <c r="K217" s="293">
        <f>IFERROR(Tabela_Base_Financeiro[[#This Row],[Unit Price]],0)</f>
        <v>0</v>
      </c>
      <c r="L217" s="36">
        <f>IFERROR(Tabela_Base_Financeiro[[#This Row],[AC Qty,]],0)</f>
        <v>0</v>
      </c>
      <c r="M217" s="60">
        <f>Tabela6[[#This Row],[Qty]]*Tabela6[[#This Row],[Preço]]</f>
        <v>0</v>
      </c>
      <c r="N217" s="37">
        <f>IFERROR(Tabela_Base_Financeiro[[#This Row],[Proportion]],0)</f>
        <v>0</v>
      </c>
      <c r="O217" s="60">
        <f>Tabela6[[#This Row],[Proporção]]*Tabela6[[#This Row],[Total]]</f>
        <v>0</v>
      </c>
      <c r="P217" s="57"/>
      <c r="Q217" s="55"/>
      <c r="R217" s="58"/>
      <c r="S217" s="61"/>
    </row>
    <row r="218" spans="1:19">
      <c r="A218" s="122" t="e">
        <f>IF(VLOOKUP(Tabela6[[#This Row],[UF]],'BASE CC'!B:C,2,0)="SP",IF(Tabela6[[#This Row],[OPERADORA]]="TIM","SP TIM","SPI"),VLOOKUP(Tabela6[[#This Row],[UF]],'BASE CC'!B:C,2,0))</f>
        <v>#N/A</v>
      </c>
      <c r="B218" s="36" t="e">
        <f>VLOOKUP(Tabela_Base_Financeiro[[#This Row],[Item code]],'COD.FAT'!B:C,2,0)</f>
        <v>#N/A</v>
      </c>
      <c r="C218" s="292">
        <f>Tabela_Base_Financeiro[[#This Row],[PO Ship TO]]</f>
        <v>0</v>
      </c>
      <c r="D218" s="36" t="str">
        <f>RIGHT(Tabela_Base_Financeiro[[#This Row],[Manufacturer]],2)</f>
        <v/>
      </c>
      <c r="E21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18" s="122" t="e">
        <f>VLOOKUP(Tabela_Base_Financeiro[[#This Row],[Project Code]],'COD. PROJETOS'!B:D,3,0)</f>
        <v>#N/A</v>
      </c>
      <c r="G218" s="36">
        <f>IFERROR(Tabela_Base_Financeiro[[#This Row],[PO No,]],0)</f>
        <v>0</v>
      </c>
      <c r="H218" s="36">
        <f>IFERROR(Tabela_Base_Financeiro[[#This Row],[Line No,]],0)</f>
        <v>0</v>
      </c>
      <c r="I218" s="36" t="str">
        <f>IFERROR(MID(Tabela_Base_Financeiro[[#This Row],[Manufacturer]],19,14),"")</f>
        <v/>
      </c>
      <c r="J218" s="113">
        <f>IFERROR(Tabela_Base_Financeiro[[#This Row],[Item code]],0)</f>
        <v>0</v>
      </c>
      <c r="K218" s="293">
        <f>IFERROR(Tabela_Base_Financeiro[[#This Row],[Unit Price]],0)</f>
        <v>0</v>
      </c>
      <c r="L218" s="36">
        <f>IFERROR(Tabela_Base_Financeiro[[#This Row],[AC Qty,]],0)</f>
        <v>0</v>
      </c>
      <c r="M218" s="60">
        <f>Tabela6[[#This Row],[Qty]]*Tabela6[[#This Row],[Preço]]</f>
        <v>0</v>
      </c>
      <c r="N218" s="37">
        <f>IFERROR(Tabela_Base_Financeiro[[#This Row],[Proportion]],0)</f>
        <v>0</v>
      </c>
      <c r="O218" s="60">
        <f>Tabela6[[#This Row],[Proporção]]*Tabela6[[#This Row],[Total]]</f>
        <v>0</v>
      </c>
      <c r="P218" s="57"/>
      <c r="Q218" s="55"/>
      <c r="R218" s="58"/>
      <c r="S218" s="61"/>
    </row>
    <row r="219" spans="1:19">
      <c r="A219" s="122" t="e">
        <f>IF(VLOOKUP(Tabela6[[#This Row],[UF]],'BASE CC'!B:C,2,0)="SP",IF(Tabela6[[#This Row],[OPERADORA]]="TIM","SP TIM","SPI"),VLOOKUP(Tabela6[[#This Row],[UF]],'BASE CC'!B:C,2,0))</f>
        <v>#N/A</v>
      </c>
      <c r="B219" s="36" t="e">
        <f>VLOOKUP(Tabela_Base_Financeiro[[#This Row],[Item code]],'COD.FAT'!B:C,2,0)</f>
        <v>#N/A</v>
      </c>
      <c r="C219" s="292">
        <f>Tabela_Base_Financeiro[[#This Row],[PO Ship TO]]</f>
        <v>0</v>
      </c>
      <c r="D219" s="36" t="str">
        <f>RIGHT(Tabela_Base_Financeiro[[#This Row],[Manufacturer]],2)</f>
        <v/>
      </c>
      <c r="E21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19" s="122" t="e">
        <f>VLOOKUP(Tabela_Base_Financeiro[[#This Row],[Project Code]],'COD. PROJETOS'!B:D,3,0)</f>
        <v>#N/A</v>
      </c>
      <c r="G219" s="36">
        <f>IFERROR(Tabela_Base_Financeiro[[#This Row],[PO No,]],0)</f>
        <v>0</v>
      </c>
      <c r="H219" s="36">
        <f>IFERROR(Tabela_Base_Financeiro[[#This Row],[Line No,]],0)</f>
        <v>0</v>
      </c>
      <c r="I219" s="36" t="str">
        <f>IFERROR(MID(Tabela_Base_Financeiro[[#This Row],[Manufacturer]],19,14),"")</f>
        <v/>
      </c>
      <c r="J219" s="113">
        <f>IFERROR(Tabela_Base_Financeiro[[#This Row],[Item code]],0)</f>
        <v>0</v>
      </c>
      <c r="K219" s="293">
        <f>IFERROR(Tabela_Base_Financeiro[[#This Row],[Unit Price]],0)</f>
        <v>0</v>
      </c>
      <c r="L219" s="36">
        <f>IFERROR(Tabela_Base_Financeiro[[#This Row],[AC Qty,]],0)</f>
        <v>0</v>
      </c>
      <c r="M219" s="60">
        <f>Tabela6[[#This Row],[Qty]]*Tabela6[[#This Row],[Preço]]</f>
        <v>0</v>
      </c>
      <c r="N219" s="37">
        <f>IFERROR(Tabela_Base_Financeiro[[#This Row],[Proportion]],0)</f>
        <v>0</v>
      </c>
      <c r="O219" s="60">
        <f>Tabela6[[#This Row],[Proporção]]*Tabela6[[#This Row],[Total]]</f>
        <v>0</v>
      </c>
      <c r="P219" s="57"/>
      <c r="Q219" s="55"/>
      <c r="R219" s="58"/>
      <c r="S219" s="61"/>
    </row>
    <row r="220" spans="1:19">
      <c r="A220" s="122" t="e">
        <f>IF(VLOOKUP(Tabela6[[#This Row],[UF]],'BASE CC'!B:C,2,0)="SP",IF(Tabela6[[#This Row],[OPERADORA]]="TIM","SP TIM","SPI"),VLOOKUP(Tabela6[[#This Row],[UF]],'BASE CC'!B:C,2,0))</f>
        <v>#N/A</v>
      </c>
      <c r="B220" s="36" t="e">
        <f>VLOOKUP(Tabela_Base_Financeiro[[#This Row],[Item code]],'COD.FAT'!B:C,2,0)</f>
        <v>#N/A</v>
      </c>
      <c r="C220" s="292">
        <f>Tabela_Base_Financeiro[[#This Row],[PO Ship TO]]</f>
        <v>0</v>
      </c>
      <c r="D220" s="36" t="str">
        <f>RIGHT(Tabela_Base_Financeiro[[#This Row],[Manufacturer]],2)</f>
        <v/>
      </c>
      <c r="E22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20" s="122" t="e">
        <f>VLOOKUP(Tabela_Base_Financeiro[[#This Row],[Project Code]],'COD. PROJETOS'!B:D,3,0)</f>
        <v>#N/A</v>
      </c>
      <c r="G220" s="36">
        <f>IFERROR(Tabela_Base_Financeiro[[#This Row],[PO No,]],0)</f>
        <v>0</v>
      </c>
      <c r="H220" s="36">
        <f>IFERROR(Tabela_Base_Financeiro[[#This Row],[Line No,]],0)</f>
        <v>0</v>
      </c>
      <c r="I220" s="36" t="str">
        <f>IFERROR(MID(Tabela_Base_Financeiro[[#This Row],[Manufacturer]],19,14),"")</f>
        <v/>
      </c>
      <c r="J220" s="113">
        <f>IFERROR(Tabela_Base_Financeiro[[#This Row],[Item code]],0)</f>
        <v>0</v>
      </c>
      <c r="K220" s="293">
        <f>IFERROR(Tabela_Base_Financeiro[[#This Row],[Unit Price]],0)</f>
        <v>0</v>
      </c>
      <c r="L220" s="36">
        <f>IFERROR(Tabela_Base_Financeiro[[#This Row],[AC Qty,]],0)</f>
        <v>0</v>
      </c>
      <c r="M220" s="60">
        <f>Tabela6[[#This Row],[Qty]]*Tabela6[[#This Row],[Preço]]</f>
        <v>0</v>
      </c>
      <c r="N220" s="37">
        <f>IFERROR(Tabela_Base_Financeiro[[#This Row],[Proportion]],0)</f>
        <v>0</v>
      </c>
      <c r="O220" s="60">
        <f>Tabela6[[#This Row],[Proporção]]*Tabela6[[#This Row],[Total]]</f>
        <v>0</v>
      </c>
      <c r="P220" s="57"/>
      <c r="Q220" s="55"/>
      <c r="R220" s="58"/>
      <c r="S220" s="61"/>
    </row>
    <row r="221" spans="1:19">
      <c r="A221" s="122" t="e">
        <f>IF(VLOOKUP(Tabela6[[#This Row],[UF]],'BASE CC'!B:C,2,0)="SP",IF(Tabela6[[#This Row],[OPERADORA]]="TIM","SP TIM","SPI"),VLOOKUP(Tabela6[[#This Row],[UF]],'BASE CC'!B:C,2,0))</f>
        <v>#N/A</v>
      </c>
      <c r="B221" s="36" t="e">
        <f>VLOOKUP(Tabela_Base_Financeiro[[#This Row],[Item code]],'COD.FAT'!B:C,2,0)</f>
        <v>#N/A</v>
      </c>
      <c r="C221" s="292">
        <f>Tabela_Base_Financeiro[[#This Row],[PO Ship TO]]</f>
        <v>0</v>
      </c>
      <c r="D221" s="36" t="str">
        <f>RIGHT(Tabela_Base_Financeiro[[#This Row],[Manufacturer]],2)</f>
        <v/>
      </c>
      <c r="E22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21" s="122" t="e">
        <f>VLOOKUP(Tabela_Base_Financeiro[[#This Row],[Project Code]],'COD. PROJETOS'!B:D,3,0)</f>
        <v>#N/A</v>
      </c>
      <c r="G221" s="36">
        <f>IFERROR(Tabela_Base_Financeiro[[#This Row],[PO No,]],0)</f>
        <v>0</v>
      </c>
      <c r="H221" s="36">
        <f>IFERROR(Tabela_Base_Financeiro[[#This Row],[Line No,]],0)</f>
        <v>0</v>
      </c>
      <c r="I221" s="36" t="str">
        <f>IFERROR(MID(Tabela_Base_Financeiro[[#This Row],[Manufacturer]],19,14),"")</f>
        <v/>
      </c>
      <c r="J221" s="113">
        <f>IFERROR(Tabela_Base_Financeiro[[#This Row],[Item code]],0)</f>
        <v>0</v>
      </c>
      <c r="K221" s="293">
        <f>IFERROR(Tabela_Base_Financeiro[[#This Row],[Unit Price]],0)</f>
        <v>0</v>
      </c>
      <c r="L221" s="36">
        <f>IFERROR(Tabela_Base_Financeiro[[#This Row],[AC Qty,]],0)</f>
        <v>0</v>
      </c>
      <c r="M221" s="60">
        <f>Tabela6[[#This Row],[Qty]]*Tabela6[[#This Row],[Preço]]</f>
        <v>0</v>
      </c>
      <c r="N221" s="37">
        <f>IFERROR(Tabela_Base_Financeiro[[#This Row],[Proportion]],0)</f>
        <v>0</v>
      </c>
      <c r="O221" s="60">
        <f>Tabela6[[#This Row],[Proporção]]*Tabela6[[#This Row],[Total]]</f>
        <v>0</v>
      </c>
      <c r="P221" s="57"/>
      <c r="Q221" s="55"/>
      <c r="R221" s="58"/>
      <c r="S221" s="61"/>
    </row>
    <row r="222" spans="1:19">
      <c r="A222" s="122" t="e">
        <f>IF(VLOOKUP(Tabela6[[#This Row],[UF]],'BASE CC'!B:C,2,0)="SP",IF(Tabela6[[#This Row],[OPERADORA]]="TIM","SP TIM","SPI"),VLOOKUP(Tabela6[[#This Row],[UF]],'BASE CC'!B:C,2,0))</f>
        <v>#N/A</v>
      </c>
      <c r="B222" s="36" t="e">
        <f>VLOOKUP(Tabela_Base_Financeiro[[#This Row],[Item code]],'COD.FAT'!B:C,2,0)</f>
        <v>#N/A</v>
      </c>
      <c r="C222" s="292">
        <f>Tabela_Base_Financeiro[[#This Row],[PO Ship TO]]</f>
        <v>0</v>
      </c>
      <c r="D222" s="36" t="str">
        <f>RIGHT(Tabela_Base_Financeiro[[#This Row],[Manufacturer]],2)</f>
        <v/>
      </c>
      <c r="E22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22" s="122" t="e">
        <f>VLOOKUP(Tabela_Base_Financeiro[[#This Row],[Project Code]],'COD. PROJETOS'!B:D,3,0)</f>
        <v>#N/A</v>
      </c>
      <c r="G222" s="36">
        <f>IFERROR(Tabela_Base_Financeiro[[#This Row],[PO No,]],0)</f>
        <v>0</v>
      </c>
      <c r="H222" s="36">
        <f>IFERROR(Tabela_Base_Financeiro[[#This Row],[Line No,]],0)</f>
        <v>0</v>
      </c>
      <c r="I222" s="36" t="str">
        <f>IFERROR(MID(Tabela_Base_Financeiro[[#This Row],[Manufacturer]],19,14),"")</f>
        <v/>
      </c>
      <c r="J222" s="113">
        <f>IFERROR(Tabela_Base_Financeiro[[#This Row],[Item code]],0)</f>
        <v>0</v>
      </c>
      <c r="K222" s="293">
        <f>IFERROR(Tabela_Base_Financeiro[[#This Row],[Unit Price]],0)</f>
        <v>0</v>
      </c>
      <c r="L222" s="36">
        <f>IFERROR(Tabela_Base_Financeiro[[#This Row],[AC Qty,]],0)</f>
        <v>0</v>
      </c>
      <c r="M222" s="60">
        <f>Tabela6[[#This Row],[Qty]]*Tabela6[[#This Row],[Preço]]</f>
        <v>0</v>
      </c>
      <c r="N222" s="37">
        <f>IFERROR(Tabela_Base_Financeiro[[#This Row],[Proportion]],0)</f>
        <v>0</v>
      </c>
      <c r="O222" s="60">
        <f>Tabela6[[#This Row],[Proporção]]*Tabela6[[#This Row],[Total]]</f>
        <v>0</v>
      </c>
      <c r="P222" s="57"/>
      <c r="Q222" s="55"/>
      <c r="R222" s="58"/>
      <c r="S222" s="61"/>
    </row>
    <row r="223" spans="1:19">
      <c r="A223" s="122" t="e">
        <f>IF(VLOOKUP(Tabela6[[#This Row],[UF]],'BASE CC'!B:C,2,0)="SP",IF(Tabela6[[#This Row],[OPERADORA]]="TIM","SP TIM","SPI"),VLOOKUP(Tabela6[[#This Row],[UF]],'BASE CC'!B:C,2,0))</f>
        <v>#N/A</v>
      </c>
      <c r="B223" s="36" t="e">
        <f>VLOOKUP(Tabela_Base_Financeiro[[#This Row],[Item code]],'COD.FAT'!B:C,2,0)</f>
        <v>#N/A</v>
      </c>
      <c r="C223" s="292">
        <f>Tabela_Base_Financeiro[[#This Row],[PO Ship TO]]</f>
        <v>0</v>
      </c>
      <c r="D223" s="36" t="str">
        <f>RIGHT(Tabela_Base_Financeiro[[#This Row],[Manufacturer]],2)</f>
        <v/>
      </c>
      <c r="E22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23" s="122" t="e">
        <f>VLOOKUP(Tabela_Base_Financeiro[[#This Row],[Project Code]],'COD. PROJETOS'!B:D,3,0)</f>
        <v>#N/A</v>
      </c>
      <c r="G223" s="36">
        <f>IFERROR(Tabela_Base_Financeiro[[#This Row],[PO No,]],0)</f>
        <v>0</v>
      </c>
      <c r="H223" s="36">
        <f>IFERROR(Tabela_Base_Financeiro[[#This Row],[Line No,]],0)</f>
        <v>0</v>
      </c>
      <c r="I223" s="36" t="str">
        <f>IFERROR(MID(Tabela_Base_Financeiro[[#This Row],[Manufacturer]],19,14),"")</f>
        <v/>
      </c>
      <c r="J223" s="113">
        <f>IFERROR(Tabela_Base_Financeiro[[#This Row],[Item code]],0)</f>
        <v>0</v>
      </c>
      <c r="K223" s="293">
        <f>IFERROR(Tabela_Base_Financeiro[[#This Row],[Unit Price]],0)</f>
        <v>0</v>
      </c>
      <c r="L223" s="36">
        <f>IFERROR(Tabela_Base_Financeiro[[#This Row],[AC Qty,]],0)</f>
        <v>0</v>
      </c>
      <c r="M223" s="60">
        <f>Tabela6[[#This Row],[Qty]]*Tabela6[[#This Row],[Preço]]</f>
        <v>0</v>
      </c>
      <c r="N223" s="37">
        <f>IFERROR(Tabela_Base_Financeiro[[#This Row],[Proportion]],0)</f>
        <v>0</v>
      </c>
      <c r="O223" s="60">
        <f>Tabela6[[#This Row],[Proporção]]*Tabela6[[#This Row],[Total]]</f>
        <v>0</v>
      </c>
      <c r="P223" s="57"/>
      <c r="Q223" s="55"/>
      <c r="R223" s="58"/>
      <c r="S223" s="61"/>
    </row>
    <row r="224" spans="1:19">
      <c r="A224" s="122" t="e">
        <f>IF(VLOOKUP(Tabela6[[#This Row],[UF]],'BASE CC'!B:C,2,0)="SP",IF(Tabela6[[#This Row],[OPERADORA]]="TIM","SP TIM","SPI"),VLOOKUP(Tabela6[[#This Row],[UF]],'BASE CC'!B:C,2,0))</f>
        <v>#N/A</v>
      </c>
      <c r="B224" s="36" t="e">
        <f>VLOOKUP(Tabela_Base_Financeiro[[#This Row],[Item code]],'COD.FAT'!B:C,2,0)</f>
        <v>#N/A</v>
      </c>
      <c r="C224" s="292">
        <f>Tabela_Base_Financeiro[[#This Row],[PO Ship TO]]</f>
        <v>0</v>
      </c>
      <c r="D224" s="36" t="str">
        <f>RIGHT(Tabela_Base_Financeiro[[#This Row],[Manufacturer]],2)</f>
        <v/>
      </c>
      <c r="E22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24" s="122" t="e">
        <f>VLOOKUP(Tabela_Base_Financeiro[[#This Row],[Project Code]],'COD. PROJETOS'!B:D,3,0)</f>
        <v>#N/A</v>
      </c>
      <c r="G224" s="36">
        <f>IFERROR(Tabela_Base_Financeiro[[#This Row],[PO No,]],0)</f>
        <v>0</v>
      </c>
      <c r="H224" s="36">
        <f>IFERROR(Tabela_Base_Financeiro[[#This Row],[Line No,]],0)</f>
        <v>0</v>
      </c>
      <c r="I224" s="36" t="str">
        <f>IFERROR(MID(Tabela_Base_Financeiro[[#This Row],[Manufacturer]],19,14),"")</f>
        <v/>
      </c>
      <c r="J224" s="113">
        <f>IFERROR(Tabela_Base_Financeiro[[#This Row],[Item code]],0)</f>
        <v>0</v>
      </c>
      <c r="K224" s="293">
        <f>IFERROR(Tabela_Base_Financeiro[[#This Row],[Unit Price]],0)</f>
        <v>0</v>
      </c>
      <c r="L224" s="36">
        <f>IFERROR(Tabela_Base_Financeiro[[#This Row],[AC Qty,]],0)</f>
        <v>0</v>
      </c>
      <c r="M224" s="60">
        <f>Tabela6[[#This Row],[Qty]]*Tabela6[[#This Row],[Preço]]</f>
        <v>0</v>
      </c>
      <c r="N224" s="37">
        <f>IFERROR(Tabela_Base_Financeiro[[#This Row],[Proportion]],0)</f>
        <v>0</v>
      </c>
      <c r="O224" s="60">
        <f>Tabela6[[#This Row],[Proporção]]*Tabela6[[#This Row],[Total]]</f>
        <v>0</v>
      </c>
      <c r="P224" s="57"/>
      <c r="Q224" s="55"/>
      <c r="R224" s="58"/>
      <c r="S224" s="61"/>
    </row>
    <row r="225" spans="1:19">
      <c r="A225" s="122" t="e">
        <f>IF(VLOOKUP(Tabela6[[#This Row],[UF]],'BASE CC'!B:C,2,0)="SP",IF(Tabela6[[#This Row],[OPERADORA]]="TIM","SP TIM","SPI"),VLOOKUP(Tabela6[[#This Row],[UF]],'BASE CC'!B:C,2,0))</f>
        <v>#N/A</v>
      </c>
      <c r="B225" s="36" t="e">
        <f>VLOOKUP(Tabela_Base_Financeiro[[#This Row],[Item code]],'COD.FAT'!B:C,2,0)</f>
        <v>#N/A</v>
      </c>
      <c r="C225" s="292">
        <f>Tabela_Base_Financeiro[[#This Row],[PO Ship TO]]</f>
        <v>0</v>
      </c>
      <c r="D225" s="36" t="str">
        <f>RIGHT(Tabela_Base_Financeiro[[#This Row],[Manufacturer]],2)</f>
        <v/>
      </c>
      <c r="E22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25" s="122" t="e">
        <f>VLOOKUP(Tabela_Base_Financeiro[[#This Row],[Project Code]],'COD. PROJETOS'!B:D,3,0)</f>
        <v>#N/A</v>
      </c>
      <c r="G225" s="36">
        <f>IFERROR(Tabela_Base_Financeiro[[#This Row],[PO No,]],0)</f>
        <v>0</v>
      </c>
      <c r="H225" s="36">
        <f>IFERROR(Tabela_Base_Financeiro[[#This Row],[Line No,]],0)</f>
        <v>0</v>
      </c>
      <c r="I225" s="36" t="str">
        <f>IFERROR(MID(Tabela_Base_Financeiro[[#This Row],[Manufacturer]],19,14),"")</f>
        <v/>
      </c>
      <c r="J225" s="113">
        <f>IFERROR(Tabela_Base_Financeiro[[#This Row],[Item code]],0)</f>
        <v>0</v>
      </c>
      <c r="K225" s="293">
        <f>IFERROR(Tabela_Base_Financeiro[[#This Row],[Unit Price]],0)</f>
        <v>0</v>
      </c>
      <c r="L225" s="36">
        <f>IFERROR(Tabela_Base_Financeiro[[#This Row],[AC Qty,]],0)</f>
        <v>0</v>
      </c>
      <c r="M225" s="60">
        <f>Tabela6[[#This Row],[Qty]]*Tabela6[[#This Row],[Preço]]</f>
        <v>0</v>
      </c>
      <c r="N225" s="37">
        <f>IFERROR(Tabela_Base_Financeiro[[#This Row],[Proportion]],0)</f>
        <v>0</v>
      </c>
      <c r="O225" s="60">
        <f>Tabela6[[#This Row],[Proporção]]*Tabela6[[#This Row],[Total]]</f>
        <v>0</v>
      </c>
      <c r="P225" s="57"/>
      <c r="Q225" s="55"/>
      <c r="R225" s="58"/>
      <c r="S225" s="61"/>
    </row>
    <row r="226" spans="1:19">
      <c r="A226" s="122" t="e">
        <f>IF(VLOOKUP(Tabela6[[#This Row],[UF]],'BASE CC'!B:C,2,0)="SP",IF(Tabela6[[#This Row],[OPERADORA]]="TIM","SP TIM","SPI"),VLOOKUP(Tabela6[[#This Row],[UF]],'BASE CC'!B:C,2,0))</f>
        <v>#N/A</v>
      </c>
      <c r="B226" s="36" t="e">
        <f>VLOOKUP(Tabela_Base_Financeiro[[#This Row],[Item code]],'COD.FAT'!B:C,2,0)</f>
        <v>#N/A</v>
      </c>
      <c r="C226" s="292">
        <f>Tabela_Base_Financeiro[[#This Row],[PO Ship TO]]</f>
        <v>0</v>
      </c>
      <c r="D226" s="36" t="str">
        <f>RIGHT(Tabela_Base_Financeiro[[#This Row],[Manufacturer]],2)</f>
        <v/>
      </c>
      <c r="E22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26" s="122" t="e">
        <f>VLOOKUP(Tabela_Base_Financeiro[[#This Row],[Project Code]],'COD. PROJETOS'!B:D,3,0)</f>
        <v>#N/A</v>
      </c>
      <c r="G226" s="36">
        <f>IFERROR(Tabela_Base_Financeiro[[#This Row],[PO No,]],0)</f>
        <v>0</v>
      </c>
      <c r="H226" s="36">
        <f>IFERROR(Tabela_Base_Financeiro[[#This Row],[Line No,]],0)</f>
        <v>0</v>
      </c>
      <c r="I226" s="36" t="str">
        <f>IFERROR(MID(Tabela_Base_Financeiro[[#This Row],[Manufacturer]],19,14),"")</f>
        <v/>
      </c>
      <c r="J226" s="113">
        <f>IFERROR(Tabela_Base_Financeiro[[#This Row],[Item code]],0)</f>
        <v>0</v>
      </c>
      <c r="K226" s="293">
        <f>IFERROR(Tabela_Base_Financeiro[[#This Row],[Unit Price]],0)</f>
        <v>0</v>
      </c>
      <c r="L226" s="36">
        <f>IFERROR(Tabela_Base_Financeiro[[#This Row],[AC Qty,]],0)</f>
        <v>0</v>
      </c>
      <c r="M226" s="60">
        <f>Tabela6[[#This Row],[Qty]]*Tabela6[[#This Row],[Preço]]</f>
        <v>0</v>
      </c>
      <c r="N226" s="37">
        <f>IFERROR(Tabela_Base_Financeiro[[#This Row],[Proportion]],0)</f>
        <v>0</v>
      </c>
      <c r="O226" s="60">
        <f>Tabela6[[#This Row],[Proporção]]*Tabela6[[#This Row],[Total]]</f>
        <v>0</v>
      </c>
      <c r="P226" s="57"/>
      <c r="Q226" s="55"/>
      <c r="R226" s="58"/>
      <c r="S226" s="61"/>
    </row>
    <row r="227" spans="1:19">
      <c r="A227" s="122" t="e">
        <f>IF(VLOOKUP(Tabela6[[#This Row],[UF]],'BASE CC'!B:C,2,0)="SP",IF(Tabela6[[#This Row],[OPERADORA]]="TIM","SP TIM","SPI"),VLOOKUP(Tabela6[[#This Row],[UF]],'BASE CC'!B:C,2,0))</f>
        <v>#N/A</v>
      </c>
      <c r="B227" s="36" t="e">
        <f>VLOOKUP(Tabela_Base_Financeiro[[#This Row],[Item code]],'COD.FAT'!B:C,2,0)</f>
        <v>#N/A</v>
      </c>
      <c r="C227" s="292">
        <f>Tabela_Base_Financeiro[[#This Row],[PO Ship TO]]</f>
        <v>0</v>
      </c>
      <c r="D227" s="36" t="str">
        <f>RIGHT(Tabela_Base_Financeiro[[#This Row],[Manufacturer]],2)</f>
        <v/>
      </c>
      <c r="E22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27" s="122" t="e">
        <f>VLOOKUP(Tabela_Base_Financeiro[[#This Row],[Project Code]],'COD. PROJETOS'!B:D,3,0)</f>
        <v>#N/A</v>
      </c>
      <c r="G227" s="36">
        <f>IFERROR(Tabela_Base_Financeiro[[#This Row],[PO No,]],0)</f>
        <v>0</v>
      </c>
      <c r="H227" s="36">
        <f>IFERROR(Tabela_Base_Financeiro[[#This Row],[Line No,]],0)</f>
        <v>0</v>
      </c>
      <c r="I227" s="36" t="str">
        <f>IFERROR(MID(Tabela_Base_Financeiro[[#This Row],[Manufacturer]],19,14),"")</f>
        <v/>
      </c>
      <c r="J227" s="113">
        <f>IFERROR(Tabela_Base_Financeiro[[#This Row],[Item code]],0)</f>
        <v>0</v>
      </c>
      <c r="K227" s="293">
        <f>IFERROR(Tabela_Base_Financeiro[[#This Row],[Unit Price]],0)</f>
        <v>0</v>
      </c>
      <c r="L227" s="36">
        <f>IFERROR(Tabela_Base_Financeiro[[#This Row],[AC Qty,]],0)</f>
        <v>0</v>
      </c>
      <c r="M227" s="60">
        <f>Tabela6[[#This Row],[Qty]]*Tabela6[[#This Row],[Preço]]</f>
        <v>0</v>
      </c>
      <c r="N227" s="37">
        <f>IFERROR(Tabela_Base_Financeiro[[#This Row],[Proportion]],0)</f>
        <v>0</v>
      </c>
      <c r="O227" s="60">
        <f>Tabela6[[#This Row],[Proporção]]*Tabela6[[#This Row],[Total]]</f>
        <v>0</v>
      </c>
      <c r="P227" s="57"/>
      <c r="Q227" s="55"/>
      <c r="R227" s="58"/>
      <c r="S227" s="61"/>
    </row>
    <row r="228" spans="1:19">
      <c r="A228" s="122" t="e">
        <f>IF(VLOOKUP(Tabela6[[#This Row],[UF]],'BASE CC'!B:C,2,0)="SP",IF(Tabela6[[#This Row],[OPERADORA]]="TIM","SP TIM","SPI"),VLOOKUP(Tabela6[[#This Row],[UF]],'BASE CC'!B:C,2,0))</f>
        <v>#N/A</v>
      </c>
      <c r="B228" s="36" t="e">
        <f>VLOOKUP(Tabela_Base_Financeiro[[#This Row],[Item code]],'COD.FAT'!B:C,2,0)</f>
        <v>#N/A</v>
      </c>
      <c r="C228" s="292">
        <f>Tabela_Base_Financeiro[[#This Row],[PO Ship TO]]</f>
        <v>0</v>
      </c>
      <c r="D228" s="36" t="str">
        <f>RIGHT(Tabela_Base_Financeiro[[#This Row],[Manufacturer]],2)</f>
        <v/>
      </c>
      <c r="E22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28" s="122" t="e">
        <f>VLOOKUP(Tabela_Base_Financeiro[[#This Row],[Project Code]],'COD. PROJETOS'!B:D,3,0)</f>
        <v>#N/A</v>
      </c>
      <c r="G228" s="36">
        <f>IFERROR(Tabela_Base_Financeiro[[#This Row],[PO No,]],0)</f>
        <v>0</v>
      </c>
      <c r="H228" s="36">
        <f>IFERROR(Tabela_Base_Financeiro[[#This Row],[Line No,]],0)</f>
        <v>0</v>
      </c>
      <c r="I228" s="36" t="str">
        <f>IFERROR(MID(Tabela_Base_Financeiro[[#This Row],[Manufacturer]],19,14),"")</f>
        <v/>
      </c>
      <c r="J228" s="113">
        <f>IFERROR(Tabela_Base_Financeiro[[#This Row],[Item code]],0)</f>
        <v>0</v>
      </c>
      <c r="K228" s="293">
        <f>IFERROR(Tabela_Base_Financeiro[[#This Row],[Unit Price]],0)</f>
        <v>0</v>
      </c>
      <c r="L228" s="36">
        <f>IFERROR(Tabela_Base_Financeiro[[#This Row],[AC Qty,]],0)</f>
        <v>0</v>
      </c>
      <c r="M228" s="60">
        <f>Tabela6[[#This Row],[Qty]]*Tabela6[[#This Row],[Preço]]</f>
        <v>0</v>
      </c>
      <c r="N228" s="37">
        <f>IFERROR(Tabela_Base_Financeiro[[#This Row],[Proportion]],0)</f>
        <v>0</v>
      </c>
      <c r="O228" s="60">
        <f>Tabela6[[#This Row],[Proporção]]*Tabela6[[#This Row],[Total]]</f>
        <v>0</v>
      </c>
      <c r="P228" s="57"/>
      <c r="Q228" s="55"/>
      <c r="R228" s="58"/>
      <c r="S228" s="61"/>
    </row>
    <row r="229" spans="1:19">
      <c r="A229" s="122" t="e">
        <f>IF(VLOOKUP(Tabela6[[#This Row],[UF]],'BASE CC'!B:C,2,0)="SP",IF(Tabela6[[#This Row],[OPERADORA]]="TIM","SP TIM","SPI"),VLOOKUP(Tabela6[[#This Row],[UF]],'BASE CC'!B:C,2,0))</f>
        <v>#N/A</v>
      </c>
      <c r="B229" s="36" t="e">
        <f>VLOOKUP(Tabela_Base_Financeiro[[#This Row],[Item code]],'COD.FAT'!B:C,2,0)</f>
        <v>#N/A</v>
      </c>
      <c r="C229" s="292">
        <f>Tabela_Base_Financeiro[[#This Row],[PO Ship TO]]</f>
        <v>0</v>
      </c>
      <c r="D229" s="36" t="str">
        <f>RIGHT(Tabela_Base_Financeiro[[#This Row],[Manufacturer]],2)</f>
        <v/>
      </c>
      <c r="E22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29" s="122" t="e">
        <f>VLOOKUP(Tabela_Base_Financeiro[[#This Row],[Project Code]],'COD. PROJETOS'!B:D,3,0)</f>
        <v>#N/A</v>
      </c>
      <c r="G229" s="36">
        <f>IFERROR(Tabela_Base_Financeiro[[#This Row],[PO No,]],0)</f>
        <v>0</v>
      </c>
      <c r="H229" s="36">
        <f>IFERROR(Tabela_Base_Financeiro[[#This Row],[Line No,]],0)</f>
        <v>0</v>
      </c>
      <c r="I229" s="36" t="str">
        <f>IFERROR(MID(Tabela_Base_Financeiro[[#This Row],[Manufacturer]],19,14),"")</f>
        <v/>
      </c>
      <c r="J229" s="113">
        <f>IFERROR(Tabela_Base_Financeiro[[#This Row],[Item code]],0)</f>
        <v>0</v>
      </c>
      <c r="K229" s="293">
        <f>IFERROR(Tabela_Base_Financeiro[[#This Row],[Unit Price]],0)</f>
        <v>0</v>
      </c>
      <c r="L229" s="36">
        <f>IFERROR(Tabela_Base_Financeiro[[#This Row],[AC Qty,]],0)</f>
        <v>0</v>
      </c>
      <c r="M229" s="60">
        <f>Tabela6[[#This Row],[Qty]]*Tabela6[[#This Row],[Preço]]</f>
        <v>0</v>
      </c>
      <c r="N229" s="37">
        <f>IFERROR(Tabela_Base_Financeiro[[#This Row],[Proportion]],0)</f>
        <v>0</v>
      </c>
      <c r="O229" s="60">
        <f>Tabela6[[#This Row],[Proporção]]*Tabela6[[#This Row],[Total]]</f>
        <v>0</v>
      </c>
      <c r="P229" s="57"/>
      <c r="Q229" s="55"/>
      <c r="R229" s="58"/>
      <c r="S229" s="61"/>
    </row>
    <row r="230" spans="1:19">
      <c r="A230" s="122" t="e">
        <f>IF(VLOOKUP(Tabela6[[#This Row],[UF]],'BASE CC'!B:C,2,0)="SP",IF(Tabela6[[#This Row],[OPERADORA]]="TIM","SP TIM","SPI"),VLOOKUP(Tabela6[[#This Row],[UF]],'BASE CC'!B:C,2,0))</f>
        <v>#N/A</v>
      </c>
      <c r="B230" s="36" t="e">
        <f>VLOOKUP(Tabela_Base_Financeiro[[#This Row],[Item code]],'COD.FAT'!B:C,2,0)</f>
        <v>#N/A</v>
      </c>
      <c r="C230" s="292">
        <f>Tabela_Base_Financeiro[[#This Row],[PO Ship TO]]</f>
        <v>0</v>
      </c>
      <c r="D230" s="36" t="str">
        <f>RIGHT(Tabela_Base_Financeiro[[#This Row],[Manufacturer]],2)</f>
        <v/>
      </c>
      <c r="E23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30" s="122" t="e">
        <f>VLOOKUP(Tabela_Base_Financeiro[[#This Row],[Project Code]],'COD. PROJETOS'!B:D,3,0)</f>
        <v>#N/A</v>
      </c>
      <c r="G230" s="36">
        <f>IFERROR(Tabela_Base_Financeiro[[#This Row],[PO No,]],0)</f>
        <v>0</v>
      </c>
      <c r="H230" s="36">
        <f>IFERROR(Tabela_Base_Financeiro[[#This Row],[Line No,]],0)</f>
        <v>0</v>
      </c>
      <c r="I230" s="36" t="str">
        <f>IFERROR(MID(Tabela_Base_Financeiro[[#This Row],[Manufacturer]],19,14),"")</f>
        <v/>
      </c>
      <c r="J230" s="113">
        <f>IFERROR(Tabela_Base_Financeiro[[#This Row],[Item code]],0)</f>
        <v>0</v>
      </c>
      <c r="K230" s="293">
        <f>IFERROR(Tabela_Base_Financeiro[[#This Row],[Unit Price]],0)</f>
        <v>0</v>
      </c>
      <c r="L230" s="36">
        <f>IFERROR(Tabela_Base_Financeiro[[#This Row],[AC Qty,]],0)</f>
        <v>0</v>
      </c>
      <c r="M230" s="60">
        <f>Tabela6[[#This Row],[Qty]]*Tabela6[[#This Row],[Preço]]</f>
        <v>0</v>
      </c>
      <c r="N230" s="37">
        <f>IFERROR(Tabela_Base_Financeiro[[#This Row],[Proportion]],0)</f>
        <v>0</v>
      </c>
      <c r="O230" s="60">
        <f>Tabela6[[#This Row],[Proporção]]*Tabela6[[#This Row],[Total]]</f>
        <v>0</v>
      </c>
      <c r="P230" s="57"/>
      <c r="Q230" s="55"/>
      <c r="R230" s="58"/>
      <c r="S230" s="61"/>
    </row>
    <row r="231" spans="1:19">
      <c r="A231" s="122" t="e">
        <f>IF(VLOOKUP(Tabela6[[#This Row],[UF]],'BASE CC'!B:C,2,0)="SP",IF(Tabela6[[#This Row],[OPERADORA]]="TIM","SP TIM","SPI"),VLOOKUP(Tabela6[[#This Row],[UF]],'BASE CC'!B:C,2,0))</f>
        <v>#N/A</v>
      </c>
      <c r="B231" s="36" t="e">
        <f>VLOOKUP(Tabela_Base_Financeiro[[#This Row],[Item code]],'COD.FAT'!B:C,2,0)</f>
        <v>#N/A</v>
      </c>
      <c r="C231" s="292">
        <f>Tabela_Base_Financeiro[[#This Row],[PO Ship TO]]</f>
        <v>0</v>
      </c>
      <c r="D231" s="36" t="str">
        <f>RIGHT(Tabela_Base_Financeiro[[#This Row],[Manufacturer]],2)</f>
        <v/>
      </c>
      <c r="E23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31" s="122" t="e">
        <f>VLOOKUP(Tabela_Base_Financeiro[[#This Row],[Project Code]],'COD. PROJETOS'!B:D,3,0)</f>
        <v>#N/A</v>
      </c>
      <c r="G231" s="36">
        <f>IFERROR(Tabela_Base_Financeiro[[#This Row],[PO No,]],0)</f>
        <v>0</v>
      </c>
      <c r="H231" s="36">
        <f>IFERROR(Tabela_Base_Financeiro[[#This Row],[Line No,]],0)</f>
        <v>0</v>
      </c>
      <c r="I231" s="36" t="str">
        <f>IFERROR(MID(Tabela_Base_Financeiro[[#This Row],[Manufacturer]],19,14),"")</f>
        <v/>
      </c>
      <c r="J231" s="113">
        <f>IFERROR(Tabela_Base_Financeiro[[#This Row],[Item code]],0)</f>
        <v>0</v>
      </c>
      <c r="K231" s="293">
        <f>IFERROR(Tabela_Base_Financeiro[[#This Row],[Unit Price]],0)</f>
        <v>0</v>
      </c>
      <c r="L231" s="36">
        <f>IFERROR(Tabela_Base_Financeiro[[#This Row],[AC Qty,]],0)</f>
        <v>0</v>
      </c>
      <c r="M231" s="60">
        <f>Tabela6[[#This Row],[Qty]]*Tabela6[[#This Row],[Preço]]</f>
        <v>0</v>
      </c>
      <c r="N231" s="37">
        <f>IFERROR(Tabela_Base_Financeiro[[#This Row],[Proportion]],0)</f>
        <v>0</v>
      </c>
      <c r="O231" s="60">
        <f>Tabela6[[#This Row],[Proporção]]*Tabela6[[#This Row],[Total]]</f>
        <v>0</v>
      </c>
      <c r="P231" s="57"/>
      <c r="Q231" s="55"/>
      <c r="R231" s="58"/>
      <c r="S231" s="61"/>
    </row>
    <row r="232" spans="1:19">
      <c r="A232" s="122" t="e">
        <f>IF(VLOOKUP(Tabela6[[#This Row],[UF]],'BASE CC'!B:C,2,0)="SP",IF(Tabela6[[#This Row],[OPERADORA]]="TIM","SP TIM","SPI"),VLOOKUP(Tabela6[[#This Row],[UF]],'BASE CC'!B:C,2,0))</f>
        <v>#N/A</v>
      </c>
      <c r="B232" s="36" t="e">
        <f>VLOOKUP(Tabela_Base_Financeiro[[#This Row],[Item code]],'COD.FAT'!B:C,2,0)</f>
        <v>#N/A</v>
      </c>
      <c r="C232" s="292">
        <f>Tabela_Base_Financeiro[[#This Row],[PO Ship TO]]</f>
        <v>0</v>
      </c>
      <c r="D232" s="36" t="str">
        <f>RIGHT(Tabela_Base_Financeiro[[#This Row],[Manufacturer]],2)</f>
        <v/>
      </c>
      <c r="E23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32" s="122" t="e">
        <f>VLOOKUP(Tabela_Base_Financeiro[[#This Row],[Project Code]],'COD. PROJETOS'!B:D,3,0)</f>
        <v>#N/A</v>
      </c>
      <c r="G232" s="36">
        <f>IFERROR(Tabela_Base_Financeiro[[#This Row],[PO No,]],0)</f>
        <v>0</v>
      </c>
      <c r="H232" s="36">
        <f>IFERROR(Tabela_Base_Financeiro[[#This Row],[Line No,]],0)</f>
        <v>0</v>
      </c>
      <c r="I232" s="36" t="str">
        <f>IFERROR(MID(Tabela_Base_Financeiro[[#This Row],[Manufacturer]],19,14),"")</f>
        <v/>
      </c>
      <c r="J232" s="113">
        <f>IFERROR(Tabela_Base_Financeiro[[#This Row],[Item code]],0)</f>
        <v>0</v>
      </c>
      <c r="K232" s="293">
        <f>IFERROR(Tabela_Base_Financeiro[[#This Row],[Unit Price]],0)</f>
        <v>0</v>
      </c>
      <c r="L232" s="36">
        <f>IFERROR(Tabela_Base_Financeiro[[#This Row],[AC Qty,]],0)</f>
        <v>0</v>
      </c>
      <c r="M232" s="60">
        <f>Tabela6[[#This Row],[Qty]]*Tabela6[[#This Row],[Preço]]</f>
        <v>0</v>
      </c>
      <c r="N232" s="37">
        <f>IFERROR(Tabela_Base_Financeiro[[#This Row],[Proportion]],0)</f>
        <v>0</v>
      </c>
      <c r="O232" s="60">
        <f>Tabela6[[#This Row],[Proporção]]*Tabela6[[#This Row],[Total]]</f>
        <v>0</v>
      </c>
      <c r="P232" s="57"/>
      <c r="Q232" s="55"/>
      <c r="R232" s="58"/>
      <c r="S232" s="61"/>
    </row>
    <row r="233" spans="1:19">
      <c r="A233" s="122" t="e">
        <f>IF(VLOOKUP(Tabela6[[#This Row],[UF]],'BASE CC'!B:C,2,0)="SP",IF(Tabela6[[#This Row],[OPERADORA]]="TIM","SP TIM","SPI"),VLOOKUP(Tabela6[[#This Row],[UF]],'BASE CC'!B:C,2,0))</f>
        <v>#N/A</v>
      </c>
      <c r="B233" s="36" t="e">
        <f>VLOOKUP(Tabela_Base_Financeiro[[#This Row],[Item code]],'COD.FAT'!B:C,2,0)</f>
        <v>#N/A</v>
      </c>
      <c r="C233" s="292">
        <f>Tabela_Base_Financeiro[[#This Row],[PO Ship TO]]</f>
        <v>0</v>
      </c>
      <c r="D233" s="36" t="str">
        <f>RIGHT(Tabela_Base_Financeiro[[#This Row],[Manufacturer]],2)</f>
        <v/>
      </c>
      <c r="E23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33" s="122" t="e">
        <f>VLOOKUP(Tabela_Base_Financeiro[[#This Row],[Project Code]],'COD. PROJETOS'!B:D,3,0)</f>
        <v>#N/A</v>
      </c>
      <c r="G233" s="36">
        <f>IFERROR(Tabela_Base_Financeiro[[#This Row],[PO No,]],0)</f>
        <v>0</v>
      </c>
      <c r="H233" s="36">
        <f>IFERROR(Tabela_Base_Financeiro[[#This Row],[Line No,]],0)</f>
        <v>0</v>
      </c>
      <c r="I233" s="36" t="str">
        <f>IFERROR(MID(Tabela_Base_Financeiro[[#This Row],[Manufacturer]],19,14),"")</f>
        <v/>
      </c>
      <c r="J233" s="113">
        <f>IFERROR(Tabela_Base_Financeiro[[#This Row],[Item code]],0)</f>
        <v>0</v>
      </c>
      <c r="K233" s="293">
        <f>IFERROR(Tabela_Base_Financeiro[[#This Row],[Unit Price]],0)</f>
        <v>0</v>
      </c>
      <c r="L233" s="36">
        <f>IFERROR(Tabela_Base_Financeiro[[#This Row],[AC Qty,]],0)</f>
        <v>0</v>
      </c>
      <c r="M233" s="60">
        <f>Tabela6[[#This Row],[Qty]]*Tabela6[[#This Row],[Preço]]</f>
        <v>0</v>
      </c>
      <c r="N233" s="37">
        <f>IFERROR(Tabela_Base_Financeiro[[#This Row],[Proportion]],0)</f>
        <v>0</v>
      </c>
      <c r="O233" s="60">
        <f>Tabela6[[#This Row],[Proporção]]*Tabela6[[#This Row],[Total]]</f>
        <v>0</v>
      </c>
      <c r="P233" s="57"/>
      <c r="Q233" s="55"/>
      <c r="R233" s="58"/>
      <c r="S233" s="61"/>
    </row>
    <row r="234" spans="1:19">
      <c r="A234" s="122" t="e">
        <f>IF(VLOOKUP(Tabela6[[#This Row],[UF]],'BASE CC'!B:C,2,0)="SP",IF(Tabela6[[#This Row],[OPERADORA]]="TIM","SP TIM","SPI"),VLOOKUP(Tabela6[[#This Row],[UF]],'BASE CC'!B:C,2,0))</f>
        <v>#N/A</v>
      </c>
      <c r="B234" s="36" t="e">
        <f>VLOOKUP(Tabela_Base_Financeiro[[#This Row],[Item code]],'COD.FAT'!B:C,2,0)</f>
        <v>#N/A</v>
      </c>
      <c r="C234" s="292">
        <f>Tabela_Base_Financeiro[[#This Row],[PO Ship TO]]</f>
        <v>0</v>
      </c>
      <c r="D234" s="36" t="str">
        <f>RIGHT(Tabela_Base_Financeiro[[#This Row],[Manufacturer]],2)</f>
        <v/>
      </c>
      <c r="E23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34" s="122" t="e">
        <f>VLOOKUP(Tabela_Base_Financeiro[[#This Row],[Project Code]],'COD. PROJETOS'!B:D,3,0)</f>
        <v>#N/A</v>
      </c>
      <c r="G234" s="36">
        <f>IFERROR(Tabela_Base_Financeiro[[#This Row],[PO No,]],0)</f>
        <v>0</v>
      </c>
      <c r="H234" s="36">
        <f>IFERROR(Tabela_Base_Financeiro[[#This Row],[Line No,]],0)</f>
        <v>0</v>
      </c>
      <c r="I234" s="36" t="str">
        <f>IFERROR(MID(Tabela_Base_Financeiro[[#This Row],[Manufacturer]],19,14),"")</f>
        <v/>
      </c>
      <c r="J234" s="113">
        <f>IFERROR(Tabela_Base_Financeiro[[#This Row],[Item code]],0)</f>
        <v>0</v>
      </c>
      <c r="K234" s="293">
        <f>IFERROR(Tabela_Base_Financeiro[[#This Row],[Unit Price]],0)</f>
        <v>0</v>
      </c>
      <c r="L234" s="36">
        <f>IFERROR(Tabela_Base_Financeiro[[#This Row],[AC Qty,]],0)</f>
        <v>0</v>
      </c>
      <c r="M234" s="60">
        <f>Tabela6[[#This Row],[Qty]]*Tabela6[[#This Row],[Preço]]</f>
        <v>0</v>
      </c>
      <c r="N234" s="37">
        <f>IFERROR(Tabela_Base_Financeiro[[#This Row],[Proportion]],0)</f>
        <v>0</v>
      </c>
      <c r="O234" s="60">
        <f>Tabela6[[#This Row],[Proporção]]*Tabela6[[#This Row],[Total]]</f>
        <v>0</v>
      </c>
      <c r="P234" s="57"/>
      <c r="Q234" s="55"/>
      <c r="R234" s="58"/>
      <c r="S234" s="61"/>
    </row>
    <row r="235" spans="1:19">
      <c r="A235" s="122" t="e">
        <f>IF(VLOOKUP(Tabela6[[#This Row],[UF]],'BASE CC'!B:C,2,0)="SP",IF(Tabela6[[#This Row],[OPERADORA]]="TIM","SP TIM","SPI"),VLOOKUP(Tabela6[[#This Row],[UF]],'BASE CC'!B:C,2,0))</f>
        <v>#N/A</v>
      </c>
      <c r="B235" s="36" t="e">
        <f>VLOOKUP(Tabela_Base_Financeiro[[#This Row],[Item code]],'COD.FAT'!B:C,2,0)</f>
        <v>#N/A</v>
      </c>
      <c r="C235" s="292">
        <f>Tabela_Base_Financeiro[[#This Row],[PO Ship TO]]</f>
        <v>0</v>
      </c>
      <c r="D235" s="36" t="str">
        <f>RIGHT(Tabela_Base_Financeiro[[#This Row],[Manufacturer]],2)</f>
        <v/>
      </c>
      <c r="E23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35" s="122" t="e">
        <f>VLOOKUP(Tabela_Base_Financeiro[[#This Row],[Project Code]],'COD. PROJETOS'!B:D,3,0)</f>
        <v>#N/A</v>
      </c>
      <c r="G235" s="36">
        <f>IFERROR(Tabela_Base_Financeiro[[#This Row],[PO No,]],0)</f>
        <v>0</v>
      </c>
      <c r="H235" s="36">
        <f>IFERROR(Tabela_Base_Financeiro[[#This Row],[Line No,]],0)</f>
        <v>0</v>
      </c>
      <c r="I235" s="36" t="str">
        <f>IFERROR(MID(Tabela_Base_Financeiro[[#This Row],[Manufacturer]],19,14),"")</f>
        <v/>
      </c>
      <c r="J235" s="113">
        <f>IFERROR(Tabela_Base_Financeiro[[#This Row],[Item code]],0)</f>
        <v>0</v>
      </c>
      <c r="K235" s="293">
        <f>IFERROR(Tabela_Base_Financeiro[[#This Row],[Unit Price]],0)</f>
        <v>0</v>
      </c>
      <c r="L235" s="36">
        <f>IFERROR(Tabela_Base_Financeiro[[#This Row],[AC Qty,]],0)</f>
        <v>0</v>
      </c>
      <c r="M235" s="60">
        <f>Tabela6[[#This Row],[Qty]]*Tabela6[[#This Row],[Preço]]</f>
        <v>0</v>
      </c>
      <c r="N235" s="37">
        <f>IFERROR(Tabela_Base_Financeiro[[#This Row],[Proportion]],0)</f>
        <v>0</v>
      </c>
      <c r="O235" s="60">
        <f>Tabela6[[#This Row],[Proporção]]*Tabela6[[#This Row],[Total]]</f>
        <v>0</v>
      </c>
      <c r="P235" s="57"/>
      <c r="Q235" s="55"/>
      <c r="R235" s="58"/>
      <c r="S235" s="61"/>
    </row>
    <row r="236" spans="1:19">
      <c r="A236" s="122" t="e">
        <f>IF(VLOOKUP(Tabela6[[#This Row],[UF]],'BASE CC'!B:C,2,0)="SP",IF(Tabela6[[#This Row],[OPERADORA]]="TIM","SP TIM","SPI"),VLOOKUP(Tabela6[[#This Row],[UF]],'BASE CC'!B:C,2,0))</f>
        <v>#N/A</v>
      </c>
      <c r="B236" s="36" t="e">
        <f>VLOOKUP(Tabela_Base_Financeiro[[#This Row],[Item code]],'COD.FAT'!B:C,2,0)</f>
        <v>#N/A</v>
      </c>
      <c r="C236" s="292">
        <f>Tabela_Base_Financeiro[[#This Row],[PO Ship TO]]</f>
        <v>0</v>
      </c>
      <c r="D236" s="36" t="str">
        <f>RIGHT(Tabela_Base_Financeiro[[#This Row],[Manufacturer]],2)</f>
        <v/>
      </c>
      <c r="E23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36" s="122" t="e">
        <f>VLOOKUP(Tabela_Base_Financeiro[[#This Row],[Project Code]],'COD. PROJETOS'!B:D,3,0)</f>
        <v>#N/A</v>
      </c>
      <c r="G236" s="36">
        <f>IFERROR(Tabela_Base_Financeiro[[#This Row],[PO No,]],0)</f>
        <v>0</v>
      </c>
      <c r="H236" s="36">
        <f>IFERROR(Tabela_Base_Financeiro[[#This Row],[Line No,]],0)</f>
        <v>0</v>
      </c>
      <c r="I236" s="36" t="str">
        <f>IFERROR(MID(Tabela_Base_Financeiro[[#This Row],[Manufacturer]],19,14),"")</f>
        <v/>
      </c>
      <c r="J236" s="113">
        <f>IFERROR(Tabela_Base_Financeiro[[#This Row],[Item code]],0)</f>
        <v>0</v>
      </c>
      <c r="K236" s="293">
        <f>IFERROR(Tabela_Base_Financeiro[[#This Row],[Unit Price]],0)</f>
        <v>0</v>
      </c>
      <c r="L236" s="36">
        <f>IFERROR(Tabela_Base_Financeiro[[#This Row],[AC Qty,]],0)</f>
        <v>0</v>
      </c>
      <c r="M236" s="60">
        <f>Tabela6[[#This Row],[Qty]]*Tabela6[[#This Row],[Preço]]</f>
        <v>0</v>
      </c>
      <c r="N236" s="37">
        <f>IFERROR(Tabela_Base_Financeiro[[#This Row],[Proportion]],0)</f>
        <v>0</v>
      </c>
      <c r="O236" s="60">
        <f>Tabela6[[#This Row],[Proporção]]*Tabela6[[#This Row],[Total]]</f>
        <v>0</v>
      </c>
      <c r="P236" s="57"/>
      <c r="Q236" s="55"/>
      <c r="R236" s="58"/>
      <c r="S236" s="61"/>
    </row>
    <row r="237" spans="1:19">
      <c r="A237" s="122" t="e">
        <f>IF(VLOOKUP(Tabela6[[#This Row],[UF]],'BASE CC'!B:C,2,0)="SP",IF(Tabela6[[#This Row],[OPERADORA]]="TIM","SP TIM","SPI"),VLOOKUP(Tabela6[[#This Row],[UF]],'BASE CC'!B:C,2,0))</f>
        <v>#N/A</v>
      </c>
      <c r="B237" s="36" t="e">
        <f>VLOOKUP(Tabela_Base_Financeiro[[#This Row],[Item code]],'COD.FAT'!B:C,2,0)</f>
        <v>#N/A</v>
      </c>
      <c r="C237" s="292">
        <f>Tabela_Base_Financeiro[[#This Row],[PO Ship TO]]</f>
        <v>0</v>
      </c>
      <c r="D237" s="36" t="str">
        <f>RIGHT(Tabela_Base_Financeiro[[#This Row],[Manufacturer]],2)</f>
        <v/>
      </c>
      <c r="E23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37" s="122" t="e">
        <f>VLOOKUP(Tabela_Base_Financeiro[[#This Row],[Project Code]],'COD. PROJETOS'!B:D,3,0)</f>
        <v>#N/A</v>
      </c>
      <c r="G237" s="36">
        <f>IFERROR(Tabela_Base_Financeiro[[#This Row],[PO No,]],0)</f>
        <v>0</v>
      </c>
      <c r="H237" s="36">
        <f>IFERROR(Tabela_Base_Financeiro[[#This Row],[Line No,]],0)</f>
        <v>0</v>
      </c>
      <c r="I237" s="36" t="str">
        <f>IFERROR(MID(Tabela_Base_Financeiro[[#This Row],[Manufacturer]],19,14),"")</f>
        <v/>
      </c>
      <c r="J237" s="113">
        <f>IFERROR(Tabela_Base_Financeiro[[#This Row],[Item code]],0)</f>
        <v>0</v>
      </c>
      <c r="K237" s="293">
        <f>IFERROR(Tabela_Base_Financeiro[[#This Row],[Unit Price]],0)</f>
        <v>0</v>
      </c>
      <c r="L237" s="36">
        <f>IFERROR(Tabela_Base_Financeiro[[#This Row],[AC Qty,]],0)</f>
        <v>0</v>
      </c>
      <c r="M237" s="60">
        <f>Tabela6[[#This Row],[Qty]]*Tabela6[[#This Row],[Preço]]</f>
        <v>0</v>
      </c>
      <c r="N237" s="37">
        <f>IFERROR(Tabela_Base_Financeiro[[#This Row],[Proportion]],0)</f>
        <v>0</v>
      </c>
      <c r="O237" s="60">
        <f>Tabela6[[#This Row],[Proporção]]*Tabela6[[#This Row],[Total]]</f>
        <v>0</v>
      </c>
      <c r="P237" s="57"/>
      <c r="Q237" s="55"/>
      <c r="R237" s="58"/>
      <c r="S237" s="61"/>
    </row>
    <row r="238" spans="1:19">
      <c r="A238" s="122" t="e">
        <f>IF(VLOOKUP(Tabela6[[#This Row],[UF]],'BASE CC'!B:C,2,0)="SP",IF(Tabela6[[#This Row],[OPERADORA]]="TIM","SP TIM","SPI"),VLOOKUP(Tabela6[[#This Row],[UF]],'BASE CC'!B:C,2,0))</f>
        <v>#N/A</v>
      </c>
      <c r="B238" s="36" t="e">
        <f>VLOOKUP(Tabela_Base_Financeiro[[#This Row],[Item code]],'COD.FAT'!B:C,2,0)</f>
        <v>#N/A</v>
      </c>
      <c r="C238" s="292">
        <f>Tabela_Base_Financeiro[[#This Row],[PO Ship TO]]</f>
        <v>0</v>
      </c>
      <c r="D238" s="36" t="str">
        <f>RIGHT(Tabela_Base_Financeiro[[#This Row],[Manufacturer]],2)</f>
        <v/>
      </c>
      <c r="E23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38" s="122" t="e">
        <f>VLOOKUP(Tabela_Base_Financeiro[[#This Row],[Project Code]],'COD. PROJETOS'!B:D,3,0)</f>
        <v>#N/A</v>
      </c>
      <c r="G238" s="36">
        <f>IFERROR(Tabela_Base_Financeiro[[#This Row],[PO No,]],0)</f>
        <v>0</v>
      </c>
      <c r="H238" s="36">
        <f>IFERROR(Tabela_Base_Financeiro[[#This Row],[Line No,]],0)</f>
        <v>0</v>
      </c>
      <c r="I238" s="36" t="str">
        <f>IFERROR(MID(Tabela_Base_Financeiro[[#This Row],[Manufacturer]],19,14),"")</f>
        <v/>
      </c>
      <c r="J238" s="113">
        <f>IFERROR(Tabela_Base_Financeiro[[#This Row],[Item code]],0)</f>
        <v>0</v>
      </c>
      <c r="K238" s="293">
        <f>IFERROR(Tabela_Base_Financeiro[[#This Row],[Unit Price]],0)</f>
        <v>0</v>
      </c>
      <c r="L238" s="36">
        <f>IFERROR(Tabela_Base_Financeiro[[#This Row],[AC Qty,]],0)</f>
        <v>0</v>
      </c>
      <c r="M238" s="60">
        <f>Tabela6[[#This Row],[Qty]]*Tabela6[[#This Row],[Preço]]</f>
        <v>0</v>
      </c>
      <c r="N238" s="37">
        <f>IFERROR(Tabela_Base_Financeiro[[#This Row],[Proportion]],0)</f>
        <v>0</v>
      </c>
      <c r="O238" s="60">
        <f>Tabela6[[#This Row],[Proporção]]*Tabela6[[#This Row],[Total]]</f>
        <v>0</v>
      </c>
      <c r="P238" s="57"/>
      <c r="Q238" s="55"/>
      <c r="R238" s="58"/>
      <c r="S238" s="61"/>
    </row>
    <row r="239" spans="1:19">
      <c r="A239" s="122" t="e">
        <f>IF(VLOOKUP(Tabela6[[#This Row],[UF]],'BASE CC'!B:C,2,0)="SP",IF(Tabela6[[#This Row],[OPERADORA]]="TIM","SP TIM","SPI"),VLOOKUP(Tabela6[[#This Row],[UF]],'BASE CC'!B:C,2,0))</f>
        <v>#N/A</v>
      </c>
      <c r="B239" s="36" t="e">
        <f>VLOOKUP(Tabela_Base_Financeiro[[#This Row],[Item code]],'COD.FAT'!B:C,2,0)</f>
        <v>#N/A</v>
      </c>
      <c r="C239" s="292">
        <f>Tabela_Base_Financeiro[[#This Row],[PO Ship TO]]</f>
        <v>0</v>
      </c>
      <c r="D239" s="36" t="str">
        <f>RIGHT(Tabela_Base_Financeiro[[#This Row],[Manufacturer]],2)</f>
        <v/>
      </c>
      <c r="E23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39" s="122" t="e">
        <f>VLOOKUP(Tabela_Base_Financeiro[[#This Row],[Project Code]],'COD. PROJETOS'!B:D,3,0)</f>
        <v>#N/A</v>
      </c>
      <c r="G239" s="36">
        <f>IFERROR(Tabela_Base_Financeiro[[#This Row],[PO No,]],0)</f>
        <v>0</v>
      </c>
      <c r="H239" s="36">
        <f>IFERROR(Tabela_Base_Financeiro[[#This Row],[Line No,]],0)</f>
        <v>0</v>
      </c>
      <c r="I239" s="36" t="str">
        <f>IFERROR(MID(Tabela_Base_Financeiro[[#This Row],[Manufacturer]],19,14),"")</f>
        <v/>
      </c>
      <c r="J239" s="113">
        <f>IFERROR(Tabela_Base_Financeiro[[#This Row],[Item code]],0)</f>
        <v>0</v>
      </c>
      <c r="K239" s="293">
        <f>IFERROR(Tabela_Base_Financeiro[[#This Row],[Unit Price]],0)</f>
        <v>0</v>
      </c>
      <c r="L239" s="36">
        <f>IFERROR(Tabela_Base_Financeiro[[#This Row],[AC Qty,]],0)</f>
        <v>0</v>
      </c>
      <c r="M239" s="60">
        <f>Tabela6[[#This Row],[Qty]]*Tabela6[[#This Row],[Preço]]</f>
        <v>0</v>
      </c>
      <c r="N239" s="37">
        <f>IFERROR(Tabela_Base_Financeiro[[#This Row],[Proportion]],0)</f>
        <v>0</v>
      </c>
      <c r="O239" s="60">
        <f>Tabela6[[#This Row],[Proporção]]*Tabela6[[#This Row],[Total]]</f>
        <v>0</v>
      </c>
      <c r="P239" s="57"/>
      <c r="Q239" s="55"/>
      <c r="R239" s="58"/>
      <c r="S239" s="61"/>
    </row>
    <row r="240" spans="1:19">
      <c r="A240" s="122" t="e">
        <f>IF(VLOOKUP(Tabela6[[#This Row],[UF]],'BASE CC'!B:C,2,0)="SP",IF(Tabela6[[#This Row],[OPERADORA]]="TIM","SP TIM","SPI"),VLOOKUP(Tabela6[[#This Row],[UF]],'BASE CC'!B:C,2,0))</f>
        <v>#N/A</v>
      </c>
      <c r="B240" s="36" t="e">
        <f>VLOOKUP(Tabela_Base_Financeiro[[#This Row],[Item code]],'COD.FAT'!B:C,2,0)</f>
        <v>#N/A</v>
      </c>
      <c r="C240" s="292">
        <f>Tabela_Base_Financeiro[[#This Row],[PO Ship TO]]</f>
        <v>0</v>
      </c>
      <c r="D240" s="36" t="str">
        <f>RIGHT(Tabela_Base_Financeiro[[#This Row],[Manufacturer]],2)</f>
        <v/>
      </c>
      <c r="E24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40" s="122" t="e">
        <f>VLOOKUP(Tabela_Base_Financeiro[[#This Row],[Project Code]],'COD. PROJETOS'!B:D,3,0)</f>
        <v>#N/A</v>
      </c>
      <c r="G240" s="36">
        <f>IFERROR(Tabela_Base_Financeiro[[#This Row],[PO No,]],0)</f>
        <v>0</v>
      </c>
      <c r="H240" s="36">
        <f>IFERROR(Tabela_Base_Financeiro[[#This Row],[Line No,]],0)</f>
        <v>0</v>
      </c>
      <c r="I240" s="36" t="str">
        <f>IFERROR(MID(Tabela_Base_Financeiro[[#This Row],[Manufacturer]],19,14),"")</f>
        <v/>
      </c>
      <c r="J240" s="113">
        <f>IFERROR(Tabela_Base_Financeiro[[#This Row],[Item code]],0)</f>
        <v>0</v>
      </c>
      <c r="K240" s="293">
        <f>IFERROR(Tabela_Base_Financeiro[[#This Row],[Unit Price]],0)</f>
        <v>0</v>
      </c>
      <c r="L240" s="36">
        <f>IFERROR(Tabela_Base_Financeiro[[#This Row],[AC Qty,]],0)</f>
        <v>0</v>
      </c>
      <c r="M240" s="60">
        <f>Tabela6[[#This Row],[Qty]]*Tabela6[[#This Row],[Preço]]</f>
        <v>0</v>
      </c>
      <c r="N240" s="37">
        <f>IFERROR(Tabela_Base_Financeiro[[#This Row],[Proportion]],0)</f>
        <v>0</v>
      </c>
      <c r="O240" s="60">
        <f>Tabela6[[#This Row],[Proporção]]*Tabela6[[#This Row],[Total]]</f>
        <v>0</v>
      </c>
      <c r="P240" s="57"/>
      <c r="Q240" s="55"/>
      <c r="R240" s="58"/>
      <c r="S240" s="61"/>
    </row>
    <row r="241" spans="1:19">
      <c r="A241" s="122" t="e">
        <f>IF(VLOOKUP(Tabela6[[#This Row],[UF]],'BASE CC'!B:C,2,0)="SP",IF(Tabela6[[#This Row],[OPERADORA]]="TIM","SP TIM","SPI"),VLOOKUP(Tabela6[[#This Row],[UF]],'BASE CC'!B:C,2,0))</f>
        <v>#N/A</v>
      </c>
      <c r="B241" s="36" t="e">
        <f>VLOOKUP(Tabela_Base_Financeiro[[#This Row],[Item code]],'COD.FAT'!B:C,2,0)</f>
        <v>#N/A</v>
      </c>
      <c r="C241" s="292">
        <f>Tabela_Base_Financeiro[[#This Row],[PO Ship TO]]</f>
        <v>0</v>
      </c>
      <c r="D241" s="36" t="str">
        <f>RIGHT(Tabela_Base_Financeiro[[#This Row],[Manufacturer]],2)</f>
        <v/>
      </c>
      <c r="E24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41" s="122" t="e">
        <f>VLOOKUP(Tabela_Base_Financeiro[[#This Row],[Project Code]],'COD. PROJETOS'!B:D,3,0)</f>
        <v>#N/A</v>
      </c>
      <c r="G241" s="36">
        <f>IFERROR(Tabela_Base_Financeiro[[#This Row],[PO No,]],0)</f>
        <v>0</v>
      </c>
      <c r="H241" s="36">
        <f>IFERROR(Tabela_Base_Financeiro[[#This Row],[Line No,]],0)</f>
        <v>0</v>
      </c>
      <c r="I241" s="36" t="str">
        <f>IFERROR(MID(Tabela_Base_Financeiro[[#This Row],[Manufacturer]],19,14),"")</f>
        <v/>
      </c>
      <c r="J241" s="113">
        <f>IFERROR(Tabela_Base_Financeiro[[#This Row],[Item code]],0)</f>
        <v>0</v>
      </c>
      <c r="K241" s="293">
        <f>IFERROR(Tabela_Base_Financeiro[[#This Row],[Unit Price]],0)</f>
        <v>0</v>
      </c>
      <c r="L241" s="36">
        <f>IFERROR(Tabela_Base_Financeiro[[#This Row],[AC Qty,]],0)</f>
        <v>0</v>
      </c>
      <c r="M241" s="60">
        <f>Tabela6[[#This Row],[Qty]]*Tabela6[[#This Row],[Preço]]</f>
        <v>0</v>
      </c>
      <c r="N241" s="37">
        <f>IFERROR(Tabela_Base_Financeiro[[#This Row],[Proportion]],0)</f>
        <v>0</v>
      </c>
      <c r="O241" s="60">
        <f>Tabela6[[#This Row],[Proporção]]*Tabela6[[#This Row],[Total]]</f>
        <v>0</v>
      </c>
      <c r="P241" s="57"/>
      <c r="Q241" s="55"/>
      <c r="R241" s="58"/>
      <c r="S241" s="61"/>
    </row>
    <row r="242" spans="1:19">
      <c r="A242" s="122" t="e">
        <f>IF(VLOOKUP(Tabela6[[#This Row],[UF]],'BASE CC'!B:C,2,0)="SP",IF(Tabela6[[#This Row],[OPERADORA]]="TIM","SP TIM","SPI"),VLOOKUP(Tabela6[[#This Row],[UF]],'BASE CC'!B:C,2,0))</f>
        <v>#N/A</v>
      </c>
      <c r="B242" s="36" t="e">
        <f>VLOOKUP(Tabela_Base_Financeiro[[#This Row],[Item code]],'COD.FAT'!B:C,2,0)</f>
        <v>#N/A</v>
      </c>
      <c r="C242" s="292">
        <f>Tabela_Base_Financeiro[[#This Row],[PO Ship TO]]</f>
        <v>0</v>
      </c>
      <c r="D242" s="36" t="str">
        <f>RIGHT(Tabela_Base_Financeiro[[#This Row],[Manufacturer]],2)</f>
        <v/>
      </c>
      <c r="E24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42" s="122" t="e">
        <f>VLOOKUP(Tabela_Base_Financeiro[[#This Row],[Project Code]],'COD. PROJETOS'!B:D,3,0)</f>
        <v>#N/A</v>
      </c>
      <c r="G242" s="36">
        <f>IFERROR(Tabela_Base_Financeiro[[#This Row],[PO No,]],0)</f>
        <v>0</v>
      </c>
      <c r="H242" s="36">
        <f>IFERROR(Tabela_Base_Financeiro[[#This Row],[Line No,]],0)</f>
        <v>0</v>
      </c>
      <c r="I242" s="36" t="str">
        <f>IFERROR(MID(Tabela_Base_Financeiro[[#This Row],[Manufacturer]],19,14),"")</f>
        <v/>
      </c>
      <c r="J242" s="113">
        <f>IFERROR(Tabela_Base_Financeiro[[#This Row],[Item code]],0)</f>
        <v>0</v>
      </c>
      <c r="K242" s="293">
        <f>IFERROR(Tabela_Base_Financeiro[[#This Row],[Unit Price]],0)</f>
        <v>0</v>
      </c>
      <c r="L242" s="36">
        <f>IFERROR(Tabela_Base_Financeiro[[#This Row],[AC Qty,]],0)</f>
        <v>0</v>
      </c>
      <c r="M242" s="60">
        <f>Tabela6[[#This Row],[Qty]]*Tabela6[[#This Row],[Preço]]</f>
        <v>0</v>
      </c>
      <c r="N242" s="37">
        <f>IFERROR(Tabela_Base_Financeiro[[#This Row],[Proportion]],0)</f>
        <v>0</v>
      </c>
      <c r="O242" s="60">
        <f>Tabela6[[#This Row],[Proporção]]*Tabela6[[#This Row],[Total]]</f>
        <v>0</v>
      </c>
      <c r="P242" s="9"/>
      <c r="Q242"/>
      <c r="R242" s="220"/>
      <c r="S242" s="221"/>
    </row>
    <row r="243" spans="1:19">
      <c r="A243" s="122" t="e">
        <f>IF(VLOOKUP(Tabela6[[#This Row],[UF]],'BASE CC'!B:C,2,0)="SP",IF(Tabela6[[#This Row],[OPERADORA]]="TIM","SP TIM","SPI"),VLOOKUP(Tabela6[[#This Row],[UF]],'BASE CC'!B:C,2,0))</f>
        <v>#N/A</v>
      </c>
      <c r="B243" s="36" t="e">
        <f>VLOOKUP(Tabela_Base_Financeiro[[#This Row],[Item code]],'COD.FAT'!B:C,2,0)</f>
        <v>#N/A</v>
      </c>
      <c r="C243" s="292">
        <f>Tabela_Base_Financeiro[[#This Row],[PO Ship TO]]</f>
        <v>0</v>
      </c>
      <c r="D243" s="36" t="str">
        <f>RIGHT(Tabela_Base_Financeiro[[#This Row],[Manufacturer]],2)</f>
        <v/>
      </c>
      <c r="E24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43" s="122" t="e">
        <f>VLOOKUP(Tabela_Base_Financeiro[[#This Row],[Project Code]],'COD. PROJETOS'!B:D,3,0)</f>
        <v>#N/A</v>
      </c>
      <c r="G243" s="36">
        <f>IFERROR(Tabela_Base_Financeiro[[#This Row],[PO No,]],0)</f>
        <v>0</v>
      </c>
      <c r="H243" s="36">
        <f>IFERROR(Tabela_Base_Financeiro[[#This Row],[Line No,]],0)</f>
        <v>0</v>
      </c>
      <c r="I243" s="36" t="str">
        <f>IFERROR(MID(Tabela_Base_Financeiro[[#This Row],[Manufacturer]],19,14),"")</f>
        <v/>
      </c>
      <c r="J243" s="113">
        <f>IFERROR(Tabela_Base_Financeiro[[#This Row],[Item code]],0)</f>
        <v>0</v>
      </c>
      <c r="K243" s="293">
        <f>IFERROR(Tabela_Base_Financeiro[[#This Row],[Unit Price]],0)</f>
        <v>0</v>
      </c>
      <c r="L243" s="36">
        <f>IFERROR(Tabela_Base_Financeiro[[#This Row],[AC Qty,]],0)</f>
        <v>0</v>
      </c>
      <c r="M243" s="60">
        <f>Tabela6[[#This Row],[Qty]]*Tabela6[[#This Row],[Preço]]</f>
        <v>0</v>
      </c>
      <c r="N243" s="37">
        <f>IFERROR(Tabela_Base_Financeiro[[#This Row],[Proportion]],0)</f>
        <v>0</v>
      </c>
      <c r="O243" s="60">
        <f>Tabela6[[#This Row],[Proporção]]*Tabela6[[#This Row],[Total]]</f>
        <v>0</v>
      </c>
      <c r="P243" s="9"/>
      <c r="Q243"/>
      <c r="R243" s="220"/>
      <c r="S243" s="221"/>
    </row>
    <row r="244" spans="1:19">
      <c r="A244" s="122" t="e">
        <f>IF(VLOOKUP(Tabela6[[#This Row],[UF]],'BASE CC'!B:C,2,0)="SP",IF(Tabela6[[#This Row],[OPERADORA]]="TIM","SP TIM","SPI"),VLOOKUP(Tabela6[[#This Row],[UF]],'BASE CC'!B:C,2,0))</f>
        <v>#N/A</v>
      </c>
      <c r="B244" s="36" t="e">
        <f>VLOOKUP(Tabela_Base_Financeiro[[#This Row],[Item code]],'COD.FAT'!B:C,2,0)</f>
        <v>#N/A</v>
      </c>
      <c r="C244" s="292">
        <f>Tabela_Base_Financeiro[[#This Row],[PO Ship TO]]</f>
        <v>0</v>
      </c>
      <c r="D244" s="36" t="str">
        <f>RIGHT(Tabela_Base_Financeiro[[#This Row],[Manufacturer]],2)</f>
        <v/>
      </c>
      <c r="E24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44" s="122" t="e">
        <f>VLOOKUP(Tabela_Base_Financeiro[[#This Row],[Project Code]],'COD. PROJETOS'!B:D,3,0)</f>
        <v>#N/A</v>
      </c>
      <c r="G244" s="36">
        <f>IFERROR(Tabela_Base_Financeiro[[#This Row],[PO No,]],0)</f>
        <v>0</v>
      </c>
      <c r="H244" s="36">
        <f>IFERROR(Tabela_Base_Financeiro[[#This Row],[Line No,]],0)</f>
        <v>0</v>
      </c>
      <c r="I244" s="36" t="str">
        <f>IFERROR(MID(Tabela_Base_Financeiro[[#This Row],[Manufacturer]],19,14),"")</f>
        <v/>
      </c>
      <c r="J244" s="113">
        <f>IFERROR(Tabela_Base_Financeiro[[#This Row],[Item code]],0)</f>
        <v>0</v>
      </c>
      <c r="K244" s="293">
        <f>IFERROR(Tabela_Base_Financeiro[[#This Row],[Unit Price]],0)</f>
        <v>0</v>
      </c>
      <c r="L244" s="36">
        <f>IFERROR(Tabela_Base_Financeiro[[#This Row],[AC Qty,]],0)</f>
        <v>0</v>
      </c>
      <c r="M244" s="60">
        <f>Tabela6[[#This Row],[Qty]]*Tabela6[[#This Row],[Preço]]</f>
        <v>0</v>
      </c>
      <c r="N244" s="37">
        <f>IFERROR(Tabela_Base_Financeiro[[#This Row],[Proportion]],0)</f>
        <v>0</v>
      </c>
      <c r="O244" s="60">
        <f>Tabela6[[#This Row],[Proporção]]*Tabela6[[#This Row],[Total]]</f>
        <v>0</v>
      </c>
      <c r="P244" s="9"/>
      <c r="Q244"/>
      <c r="R244" s="220"/>
      <c r="S244" s="221"/>
    </row>
    <row r="245" spans="1:19">
      <c r="A245" s="122" t="e">
        <f>IF(VLOOKUP(Tabela6[[#This Row],[UF]],'BASE CC'!B:C,2,0)="SP",IF(Tabela6[[#This Row],[OPERADORA]]="TIM","SP TIM","SPI"),VLOOKUP(Tabela6[[#This Row],[UF]],'BASE CC'!B:C,2,0))</f>
        <v>#N/A</v>
      </c>
      <c r="B245" s="36" t="e">
        <f>VLOOKUP(Tabela_Base_Financeiro[[#This Row],[Item code]],'COD.FAT'!B:C,2,0)</f>
        <v>#N/A</v>
      </c>
      <c r="C245" s="292">
        <f>Tabela_Base_Financeiro[[#This Row],[PO Ship TO]]</f>
        <v>0</v>
      </c>
      <c r="D245" s="36" t="str">
        <f>RIGHT(Tabela_Base_Financeiro[[#This Row],[Manufacturer]],2)</f>
        <v/>
      </c>
      <c r="E24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45" s="122" t="e">
        <f>VLOOKUP(Tabela_Base_Financeiro[[#This Row],[Project Code]],'COD. PROJETOS'!B:D,3,0)</f>
        <v>#N/A</v>
      </c>
      <c r="G245" s="36">
        <f>IFERROR(Tabela_Base_Financeiro[[#This Row],[PO No,]],0)</f>
        <v>0</v>
      </c>
      <c r="H245" s="36">
        <f>IFERROR(Tabela_Base_Financeiro[[#This Row],[Line No,]],0)</f>
        <v>0</v>
      </c>
      <c r="I245" s="36" t="str">
        <f>IFERROR(MID(Tabela_Base_Financeiro[[#This Row],[Manufacturer]],19,14),"")</f>
        <v/>
      </c>
      <c r="J245" s="113">
        <f>IFERROR(Tabela_Base_Financeiro[[#This Row],[Item code]],0)</f>
        <v>0</v>
      </c>
      <c r="K245" s="293">
        <f>IFERROR(Tabela_Base_Financeiro[[#This Row],[Unit Price]],0)</f>
        <v>0</v>
      </c>
      <c r="L245" s="36">
        <f>IFERROR(Tabela_Base_Financeiro[[#This Row],[AC Qty,]],0)</f>
        <v>0</v>
      </c>
      <c r="M245" s="60">
        <f>Tabela6[[#This Row],[Qty]]*Tabela6[[#This Row],[Preço]]</f>
        <v>0</v>
      </c>
      <c r="N245" s="37">
        <f>IFERROR(Tabela_Base_Financeiro[[#This Row],[Proportion]],0)</f>
        <v>0</v>
      </c>
      <c r="O245" s="60">
        <f>Tabela6[[#This Row],[Proporção]]*Tabela6[[#This Row],[Total]]</f>
        <v>0</v>
      </c>
      <c r="P245" s="9"/>
      <c r="Q245"/>
      <c r="R245" s="220"/>
      <c r="S245" s="221"/>
    </row>
    <row r="246" spans="1:19">
      <c r="A246" s="122" t="e">
        <f>IF(VLOOKUP(Tabela6[[#This Row],[UF]],'BASE CC'!B:C,2,0)="SP",IF(Tabela6[[#This Row],[OPERADORA]]="TIM","SP TIM","SPI"),VLOOKUP(Tabela6[[#This Row],[UF]],'BASE CC'!B:C,2,0))</f>
        <v>#N/A</v>
      </c>
      <c r="B246" s="36" t="e">
        <f>VLOOKUP(Tabela_Base_Financeiro[[#This Row],[Item code]],'COD.FAT'!B:C,2,0)</f>
        <v>#N/A</v>
      </c>
      <c r="C246" s="292">
        <f>Tabela_Base_Financeiro[[#This Row],[PO Ship TO]]</f>
        <v>0</v>
      </c>
      <c r="D246" s="36" t="str">
        <f>RIGHT(Tabela_Base_Financeiro[[#This Row],[Manufacturer]],2)</f>
        <v/>
      </c>
      <c r="E24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46" s="122" t="e">
        <f>VLOOKUP(Tabela_Base_Financeiro[[#This Row],[Project Code]],'COD. PROJETOS'!B:D,3,0)</f>
        <v>#N/A</v>
      </c>
      <c r="G246" s="36">
        <f>IFERROR(Tabela_Base_Financeiro[[#This Row],[PO No,]],0)</f>
        <v>0</v>
      </c>
      <c r="H246" s="36">
        <f>IFERROR(Tabela_Base_Financeiro[[#This Row],[Line No,]],0)</f>
        <v>0</v>
      </c>
      <c r="I246" s="36" t="str">
        <f>IFERROR(MID(Tabela_Base_Financeiro[[#This Row],[Manufacturer]],19,14),"")</f>
        <v/>
      </c>
      <c r="J246" s="113">
        <f>IFERROR(Tabela_Base_Financeiro[[#This Row],[Item code]],0)</f>
        <v>0</v>
      </c>
      <c r="K246" s="293">
        <f>IFERROR(Tabela_Base_Financeiro[[#This Row],[Unit Price]],0)</f>
        <v>0</v>
      </c>
      <c r="L246" s="36">
        <f>IFERROR(Tabela_Base_Financeiro[[#This Row],[AC Qty,]],0)</f>
        <v>0</v>
      </c>
      <c r="M246" s="60">
        <f>Tabela6[[#This Row],[Qty]]*Tabela6[[#This Row],[Preço]]</f>
        <v>0</v>
      </c>
      <c r="N246" s="37">
        <f>IFERROR(Tabela_Base_Financeiro[[#This Row],[Proportion]],0)</f>
        <v>0</v>
      </c>
      <c r="O246" s="60">
        <f>Tabela6[[#This Row],[Proporção]]*Tabela6[[#This Row],[Total]]</f>
        <v>0</v>
      </c>
      <c r="P246" s="9"/>
      <c r="Q246"/>
      <c r="R246" s="220"/>
      <c r="S246" s="221"/>
    </row>
    <row r="247" spans="1:19">
      <c r="A247" s="122" t="e">
        <f>IF(VLOOKUP(Tabela6[[#This Row],[UF]],'BASE CC'!B:C,2,0)="SP",IF(Tabela6[[#This Row],[OPERADORA]]="TIM","SP TIM","SPI"),VLOOKUP(Tabela6[[#This Row],[UF]],'BASE CC'!B:C,2,0))</f>
        <v>#N/A</v>
      </c>
      <c r="B247" s="36" t="e">
        <f>VLOOKUP(Tabela_Base_Financeiro[[#This Row],[Item code]],'COD.FAT'!B:C,2,0)</f>
        <v>#N/A</v>
      </c>
      <c r="C247" s="292">
        <f>Tabela_Base_Financeiro[[#This Row],[PO Ship TO]]</f>
        <v>0</v>
      </c>
      <c r="D247" s="36" t="str">
        <f>RIGHT(Tabela_Base_Financeiro[[#This Row],[Manufacturer]],2)</f>
        <v/>
      </c>
      <c r="E24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47" s="122" t="e">
        <f>VLOOKUP(Tabela_Base_Financeiro[[#This Row],[Project Code]],'COD. PROJETOS'!B:D,3,0)</f>
        <v>#N/A</v>
      </c>
      <c r="G247" s="36">
        <f>IFERROR(Tabela_Base_Financeiro[[#This Row],[PO No,]],0)</f>
        <v>0</v>
      </c>
      <c r="H247" s="36">
        <f>IFERROR(Tabela_Base_Financeiro[[#This Row],[Line No,]],0)</f>
        <v>0</v>
      </c>
      <c r="I247" s="36" t="str">
        <f>IFERROR(MID(Tabela_Base_Financeiro[[#This Row],[Manufacturer]],19,14),"")</f>
        <v/>
      </c>
      <c r="J247" s="113">
        <f>IFERROR(Tabela_Base_Financeiro[[#This Row],[Item code]],0)</f>
        <v>0</v>
      </c>
      <c r="K247" s="293">
        <f>IFERROR(Tabela_Base_Financeiro[[#This Row],[Unit Price]],0)</f>
        <v>0</v>
      </c>
      <c r="L247" s="36">
        <f>IFERROR(Tabela_Base_Financeiro[[#This Row],[AC Qty,]],0)</f>
        <v>0</v>
      </c>
      <c r="M247" s="60">
        <f>Tabela6[[#This Row],[Qty]]*Tabela6[[#This Row],[Preço]]</f>
        <v>0</v>
      </c>
      <c r="N247" s="37">
        <f>IFERROR(Tabela_Base_Financeiro[[#This Row],[Proportion]],0)</f>
        <v>0</v>
      </c>
      <c r="O247" s="60">
        <f>Tabela6[[#This Row],[Proporção]]*Tabela6[[#This Row],[Total]]</f>
        <v>0</v>
      </c>
      <c r="P247" s="9"/>
      <c r="Q247"/>
      <c r="R247" s="220"/>
      <c r="S247" s="221"/>
    </row>
    <row r="248" spans="1:19">
      <c r="A248" s="122" t="e">
        <f>IF(VLOOKUP(Tabela6[[#This Row],[UF]],'BASE CC'!B:C,2,0)="SP",IF(Tabela6[[#This Row],[OPERADORA]]="TIM","SP TIM","SPI"),VLOOKUP(Tabela6[[#This Row],[UF]],'BASE CC'!B:C,2,0))</f>
        <v>#N/A</v>
      </c>
      <c r="B248" s="36" t="e">
        <f>VLOOKUP(Tabela_Base_Financeiro[[#This Row],[Item code]],'COD.FAT'!B:C,2,0)</f>
        <v>#N/A</v>
      </c>
      <c r="C248" s="292">
        <f>Tabela_Base_Financeiro[[#This Row],[PO Ship TO]]</f>
        <v>0</v>
      </c>
      <c r="D248" s="36" t="str">
        <f>RIGHT(Tabela_Base_Financeiro[[#This Row],[Manufacturer]],2)</f>
        <v/>
      </c>
      <c r="E24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48" s="122" t="e">
        <f>VLOOKUP(Tabela_Base_Financeiro[[#This Row],[Project Code]],'COD. PROJETOS'!B:D,3,0)</f>
        <v>#N/A</v>
      </c>
      <c r="G248" s="36">
        <f>IFERROR(Tabela_Base_Financeiro[[#This Row],[PO No,]],0)</f>
        <v>0</v>
      </c>
      <c r="H248" s="36">
        <f>IFERROR(Tabela_Base_Financeiro[[#This Row],[Line No,]],0)</f>
        <v>0</v>
      </c>
      <c r="I248" s="36" t="str">
        <f>IFERROR(MID(Tabela_Base_Financeiro[[#This Row],[Manufacturer]],19,14),"")</f>
        <v/>
      </c>
      <c r="J248" s="113">
        <f>IFERROR(Tabela_Base_Financeiro[[#This Row],[Item code]],0)</f>
        <v>0</v>
      </c>
      <c r="K248" s="293">
        <f>IFERROR(Tabela_Base_Financeiro[[#This Row],[Unit Price]],0)</f>
        <v>0</v>
      </c>
      <c r="L248" s="36">
        <f>IFERROR(Tabela_Base_Financeiro[[#This Row],[AC Qty,]],0)</f>
        <v>0</v>
      </c>
      <c r="M248" s="60">
        <f>Tabela6[[#This Row],[Qty]]*Tabela6[[#This Row],[Preço]]</f>
        <v>0</v>
      </c>
      <c r="N248" s="37">
        <f>IFERROR(Tabela_Base_Financeiro[[#This Row],[Proportion]],0)</f>
        <v>0</v>
      </c>
      <c r="O248" s="60">
        <f>Tabela6[[#This Row],[Proporção]]*Tabela6[[#This Row],[Total]]</f>
        <v>0</v>
      </c>
      <c r="P248" s="9"/>
      <c r="Q248"/>
      <c r="R248" s="220"/>
      <c r="S248" s="221"/>
    </row>
    <row r="249" spans="1:19">
      <c r="A249" s="122" t="e">
        <f>IF(VLOOKUP(Tabela6[[#This Row],[UF]],'BASE CC'!B:C,2,0)="SP",IF(Tabela6[[#This Row],[OPERADORA]]="TIM","SP TIM","SPI"),VLOOKUP(Tabela6[[#This Row],[UF]],'BASE CC'!B:C,2,0))</f>
        <v>#N/A</v>
      </c>
      <c r="B249" s="36" t="e">
        <f>VLOOKUP(Tabela_Base_Financeiro[[#This Row],[Item code]],'COD.FAT'!B:C,2,0)</f>
        <v>#N/A</v>
      </c>
      <c r="C249" s="292">
        <f>Tabela_Base_Financeiro[[#This Row],[PO Ship TO]]</f>
        <v>0</v>
      </c>
      <c r="D249" s="36" t="str">
        <f>RIGHT(Tabela_Base_Financeiro[[#This Row],[Manufacturer]],2)</f>
        <v/>
      </c>
      <c r="E24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49" s="122" t="e">
        <f>VLOOKUP(Tabela_Base_Financeiro[[#This Row],[Project Code]],'COD. PROJETOS'!B:D,3,0)</f>
        <v>#N/A</v>
      </c>
      <c r="G249" s="36">
        <f>IFERROR(Tabela_Base_Financeiro[[#This Row],[PO No,]],0)</f>
        <v>0</v>
      </c>
      <c r="H249" s="36">
        <f>IFERROR(Tabela_Base_Financeiro[[#This Row],[Line No,]],0)</f>
        <v>0</v>
      </c>
      <c r="I249" s="36" t="str">
        <f>IFERROR(MID(Tabela_Base_Financeiro[[#This Row],[Manufacturer]],19,14),"")</f>
        <v/>
      </c>
      <c r="J249" s="113">
        <f>IFERROR(Tabela_Base_Financeiro[[#This Row],[Item code]],0)</f>
        <v>0</v>
      </c>
      <c r="K249" s="293">
        <f>IFERROR(Tabela_Base_Financeiro[[#This Row],[Unit Price]],0)</f>
        <v>0</v>
      </c>
      <c r="L249" s="36">
        <f>IFERROR(Tabela_Base_Financeiro[[#This Row],[AC Qty,]],0)</f>
        <v>0</v>
      </c>
      <c r="M249" s="60">
        <f>Tabela6[[#This Row],[Qty]]*Tabela6[[#This Row],[Preço]]</f>
        <v>0</v>
      </c>
      <c r="N249" s="37">
        <f>IFERROR(Tabela_Base_Financeiro[[#This Row],[Proportion]],0)</f>
        <v>0</v>
      </c>
      <c r="O249" s="60">
        <f>Tabela6[[#This Row],[Proporção]]*Tabela6[[#This Row],[Total]]</f>
        <v>0</v>
      </c>
      <c r="P249" s="9"/>
      <c r="Q249"/>
      <c r="R249" s="220"/>
      <c r="S249" s="221"/>
    </row>
    <row r="250" spans="1:19">
      <c r="A250" s="122" t="e">
        <f>IF(VLOOKUP(Tabela6[[#This Row],[UF]],'BASE CC'!B:C,2,0)="SP",IF(Tabela6[[#This Row],[OPERADORA]]="TIM","SP TIM","SPI"),VLOOKUP(Tabela6[[#This Row],[UF]],'BASE CC'!B:C,2,0))</f>
        <v>#N/A</v>
      </c>
      <c r="B250" s="36" t="e">
        <f>VLOOKUP(Tabela_Base_Financeiro[[#This Row],[Item code]],'COD.FAT'!B:C,2,0)</f>
        <v>#N/A</v>
      </c>
      <c r="C250" s="292">
        <f>Tabela_Base_Financeiro[[#This Row],[PO Ship TO]]</f>
        <v>0</v>
      </c>
      <c r="D250" s="36" t="str">
        <f>RIGHT(Tabela_Base_Financeiro[[#This Row],[Manufacturer]],2)</f>
        <v/>
      </c>
      <c r="E25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50" s="122" t="e">
        <f>VLOOKUP(Tabela_Base_Financeiro[[#This Row],[Project Code]],'COD. PROJETOS'!B:D,3,0)</f>
        <v>#N/A</v>
      </c>
      <c r="G250" s="36">
        <f>IFERROR(Tabela_Base_Financeiro[[#This Row],[PO No,]],0)</f>
        <v>0</v>
      </c>
      <c r="H250" s="36">
        <f>IFERROR(Tabela_Base_Financeiro[[#This Row],[Line No,]],0)</f>
        <v>0</v>
      </c>
      <c r="I250" s="36" t="str">
        <f>IFERROR(MID(Tabela_Base_Financeiro[[#This Row],[Manufacturer]],19,14),"")</f>
        <v/>
      </c>
      <c r="J250" s="113">
        <f>IFERROR(Tabela_Base_Financeiro[[#This Row],[Item code]],0)</f>
        <v>0</v>
      </c>
      <c r="K250" s="293">
        <f>IFERROR(Tabela_Base_Financeiro[[#This Row],[Unit Price]],0)</f>
        <v>0</v>
      </c>
      <c r="L250" s="36">
        <f>IFERROR(Tabela_Base_Financeiro[[#This Row],[AC Qty,]],0)</f>
        <v>0</v>
      </c>
      <c r="M250" s="60">
        <f>Tabela6[[#This Row],[Qty]]*Tabela6[[#This Row],[Preço]]</f>
        <v>0</v>
      </c>
      <c r="N250" s="37">
        <f>IFERROR(Tabela_Base_Financeiro[[#This Row],[Proportion]],0)</f>
        <v>0</v>
      </c>
      <c r="O250" s="60">
        <f>Tabela6[[#This Row],[Proporção]]*Tabela6[[#This Row],[Total]]</f>
        <v>0</v>
      </c>
      <c r="P250" s="9"/>
      <c r="Q250"/>
      <c r="R250" s="220"/>
      <c r="S250" s="221"/>
    </row>
    <row r="251" spans="1:19">
      <c r="A251" s="122" t="e">
        <f>IF(VLOOKUP(Tabela6[[#This Row],[UF]],'BASE CC'!B:C,2,0)="SP",IF(Tabela6[[#This Row],[OPERADORA]]="TIM","SP TIM","SPI"),VLOOKUP(Tabela6[[#This Row],[UF]],'BASE CC'!B:C,2,0))</f>
        <v>#N/A</v>
      </c>
      <c r="B251" s="36" t="e">
        <f>VLOOKUP(Tabela_Base_Financeiro[[#This Row],[Item code]],'COD.FAT'!B:C,2,0)</f>
        <v>#N/A</v>
      </c>
      <c r="C251" s="292">
        <f>Tabela_Base_Financeiro[[#This Row],[PO Ship TO]]</f>
        <v>0</v>
      </c>
      <c r="D251" s="36" t="str">
        <f>RIGHT(Tabela_Base_Financeiro[[#This Row],[Manufacturer]],2)</f>
        <v/>
      </c>
      <c r="E25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51" s="122" t="e">
        <f>VLOOKUP(Tabela_Base_Financeiro[[#This Row],[Project Code]],'COD. PROJETOS'!B:D,3,0)</f>
        <v>#N/A</v>
      </c>
      <c r="G251" s="36">
        <f>IFERROR(Tabela_Base_Financeiro[[#This Row],[PO No,]],0)</f>
        <v>0</v>
      </c>
      <c r="H251" s="36">
        <f>IFERROR(Tabela_Base_Financeiro[[#This Row],[Line No,]],0)</f>
        <v>0</v>
      </c>
      <c r="I251" s="36" t="str">
        <f>IFERROR(MID(Tabela_Base_Financeiro[[#This Row],[Manufacturer]],19,14),"")</f>
        <v/>
      </c>
      <c r="J251" s="113">
        <f>IFERROR(Tabela_Base_Financeiro[[#This Row],[Item code]],0)</f>
        <v>0</v>
      </c>
      <c r="K251" s="293">
        <f>IFERROR(Tabela_Base_Financeiro[[#This Row],[Unit Price]],0)</f>
        <v>0</v>
      </c>
      <c r="L251" s="36">
        <f>IFERROR(Tabela_Base_Financeiro[[#This Row],[AC Qty,]],0)</f>
        <v>0</v>
      </c>
      <c r="M251" s="60">
        <f>Tabela6[[#This Row],[Qty]]*Tabela6[[#This Row],[Preço]]</f>
        <v>0</v>
      </c>
      <c r="N251" s="37">
        <f>IFERROR(Tabela_Base_Financeiro[[#This Row],[Proportion]],0)</f>
        <v>0</v>
      </c>
      <c r="O251" s="60">
        <f>Tabela6[[#This Row],[Proporção]]*Tabela6[[#This Row],[Total]]</f>
        <v>0</v>
      </c>
      <c r="P251" s="9"/>
      <c r="Q251"/>
      <c r="R251" s="220"/>
      <c r="S251" s="221"/>
    </row>
    <row r="252" spans="1:19">
      <c r="A252" s="122" t="e">
        <f>IF(VLOOKUP(Tabela6[[#This Row],[UF]],'BASE CC'!B:C,2,0)="SP",IF(Tabela6[[#This Row],[OPERADORA]]="TIM","SP TIM","SPI"),VLOOKUP(Tabela6[[#This Row],[UF]],'BASE CC'!B:C,2,0))</f>
        <v>#N/A</v>
      </c>
      <c r="B252" s="36" t="e">
        <f>VLOOKUP(Tabela_Base_Financeiro[[#This Row],[Item code]],'COD.FAT'!B:C,2,0)</f>
        <v>#N/A</v>
      </c>
      <c r="C252" s="292">
        <f>Tabela_Base_Financeiro[[#This Row],[PO Ship TO]]</f>
        <v>0</v>
      </c>
      <c r="D252" s="36" t="str">
        <f>RIGHT(Tabela_Base_Financeiro[[#This Row],[Manufacturer]],2)</f>
        <v/>
      </c>
      <c r="E25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52" s="122" t="e">
        <f>VLOOKUP(Tabela_Base_Financeiro[[#This Row],[Project Code]],'COD. PROJETOS'!B:D,3,0)</f>
        <v>#N/A</v>
      </c>
      <c r="G252" s="36">
        <f>IFERROR(Tabela_Base_Financeiro[[#This Row],[PO No,]],0)</f>
        <v>0</v>
      </c>
      <c r="H252" s="36">
        <f>IFERROR(Tabela_Base_Financeiro[[#This Row],[Line No,]],0)</f>
        <v>0</v>
      </c>
      <c r="I252" s="36" t="str">
        <f>IFERROR(MID(Tabela_Base_Financeiro[[#This Row],[Manufacturer]],19,14),"")</f>
        <v/>
      </c>
      <c r="J252" s="113">
        <f>IFERROR(Tabela_Base_Financeiro[[#This Row],[Item code]],0)</f>
        <v>0</v>
      </c>
      <c r="K252" s="293">
        <f>IFERROR(Tabela_Base_Financeiro[[#This Row],[Unit Price]],0)</f>
        <v>0</v>
      </c>
      <c r="L252" s="36">
        <f>IFERROR(Tabela_Base_Financeiro[[#This Row],[AC Qty,]],0)</f>
        <v>0</v>
      </c>
      <c r="M252" s="60">
        <f>Tabela6[[#This Row],[Qty]]*Tabela6[[#This Row],[Preço]]</f>
        <v>0</v>
      </c>
      <c r="N252" s="37">
        <f>IFERROR(Tabela_Base_Financeiro[[#This Row],[Proportion]],0)</f>
        <v>0</v>
      </c>
      <c r="O252" s="60">
        <f>Tabela6[[#This Row],[Proporção]]*Tabela6[[#This Row],[Total]]</f>
        <v>0</v>
      </c>
      <c r="P252" s="9"/>
      <c r="Q252"/>
      <c r="R252" s="220"/>
      <c r="S252" s="221"/>
    </row>
    <row r="253" spans="1:19">
      <c r="A253" s="122" t="e">
        <f>IF(VLOOKUP(Tabela6[[#This Row],[UF]],'BASE CC'!B:C,2,0)="SP",IF(Tabela6[[#This Row],[OPERADORA]]="TIM","SP TIM","SPI"),VLOOKUP(Tabela6[[#This Row],[UF]],'BASE CC'!B:C,2,0))</f>
        <v>#N/A</v>
      </c>
      <c r="B253" s="36" t="e">
        <f>VLOOKUP(Tabela_Base_Financeiro[[#This Row],[Item code]],'COD.FAT'!B:C,2,0)</f>
        <v>#N/A</v>
      </c>
      <c r="C253" s="292">
        <f>Tabela_Base_Financeiro[[#This Row],[PO Ship TO]]</f>
        <v>0</v>
      </c>
      <c r="D253" s="36" t="str">
        <f>RIGHT(Tabela_Base_Financeiro[[#This Row],[Manufacturer]],2)</f>
        <v/>
      </c>
      <c r="E25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53" s="122" t="e">
        <f>VLOOKUP(Tabela_Base_Financeiro[[#This Row],[Project Code]],'COD. PROJETOS'!B:D,3,0)</f>
        <v>#N/A</v>
      </c>
      <c r="G253" s="36">
        <f>IFERROR(Tabela_Base_Financeiro[[#This Row],[PO No,]],0)</f>
        <v>0</v>
      </c>
      <c r="H253" s="36">
        <f>IFERROR(Tabela_Base_Financeiro[[#This Row],[Line No,]],0)</f>
        <v>0</v>
      </c>
      <c r="I253" s="36" t="str">
        <f>IFERROR(MID(Tabela_Base_Financeiro[[#This Row],[Manufacturer]],19,14),"")</f>
        <v/>
      </c>
      <c r="J253" s="113">
        <f>IFERROR(Tabela_Base_Financeiro[[#This Row],[Item code]],0)</f>
        <v>0</v>
      </c>
      <c r="K253" s="293">
        <f>IFERROR(Tabela_Base_Financeiro[[#This Row],[Unit Price]],0)</f>
        <v>0</v>
      </c>
      <c r="L253" s="36">
        <f>IFERROR(Tabela_Base_Financeiro[[#This Row],[AC Qty,]],0)</f>
        <v>0</v>
      </c>
      <c r="M253" s="60">
        <f>Tabela6[[#This Row],[Qty]]*Tabela6[[#This Row],[Preço]]</f>
        <v>0</v>
      </c>
      <c r="N253" s="37">
        <f>IFERROR(Tabela_Base_Financeiro[[#This Row],[Proportion]],0)</f>
        <v>0</v>
      </c>
      <c r="O253" s="60">
        <f>Tabela6[[#This Row],[Proporção]]*Tabela6[[#This Row],[Total]]</f>
        <v>0</v>
      </c>
      <c r="P253" s="9"/>
      <c r="Q253"/>
      <c r="R253" s="220"/>
      <c r="S253" s="221"/>
    </row>
    <row r="254" spans="1:19">
      <c r="A254" s="122" t="e">
        <f>IF(VLOOKUP(Tabela6[[#This Row],[UF]],'BASE CC'!B:C,2,0)="SP",IF(Tabela6[[#This Row],[OPERADORA]]="TIM","SP TIM","SPI"),VLOOKUP(Tabela6[[#This Row],[UF]],'BASE CC'!B:C,2,0))</f>
        <v>#N/A</v>
      </c>
      <c r="B254" s="36" t="e">
        <f>VLOOKUP(Tabela_Base_Financeiro[[#This Row],[Item code]],'COD.FAT'!B:C,2,0)</f>
        <v>#N/A</v>
      </c>
      <c r="C254" s="292">
        <f>Tabela_Base_Financeiro[[#This Row],[PO Ship TO]]</f>
        <v>0</v>
      </c>
      <c r="D254" s="36" t="str">
        <f>RIGHT(Tabela_Base_Financeiro[[#This Row],[Manufacturer]],2)</f>
        <v/>
      </c>
      <c r="E25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54" s="122" t="e">
        <f>VLOOKUP(Tabela_Base_Financeiro[[#This Row],[Project Code]],'COD. PROJETOS'!B:D,3,0)</f>
        <v>#N/A</v>
      </c>
      <c r="G254" s="36">
        <f>IFERROR(Tabela_Base_Financeiro[[#This Row],[PO No,]],0)</f>
        <v>0</v>
      </c>
      <c r="H254" s="36">
        <f>IFERROR(Tabela_Base_Financeiro[[#This Row],[Line No,]],0)</f>
        <v>0</v>
      </c>
      <c r="I254" s="36" t="str">
        <f>IFERROR(MID(Tabela_Base_Financeiro[[#This Row],[Manufacturer]],19,14),"")</f>
        <v/>
      </c>
      <c r="J254" s="113">
        <f>IFERROR(Tabela_Base_Financeiro[[#This Row],[Item code]],0)</f>
        <v>0</v>
      </c>
      <c r="K254" s="293">
        <f>IFERROR(Tabela_Base_Financeiro[[#This Row],[Unit Price]],0)</f>
        <v>0</v>
      </c>
      <c r="L254" s="36">
        <f>IFERROR(Tabela_Base_Financeiro[[#This Row],[AC Qty,]],0)</f>
        <v>0</v>
      </c>
      <c r="M254" s="60">
        <f>Tabela6[[#This Row],[Qty]]*Tabela6[[#This Row],[Preço]]</f>
        <v>0</v>
      </c>
      <c r="N254" s="37">
        <f>IFERROR(Tabela_Base_Financeiro[[#This Row],[Proportion]],0)</f>
        <v>0</v>
      </c>
      <c r="O254" s="60">
        <f>Tabela6[[#This Row],[Proporção]]*Tabela6[[#This Row],[Total]]</f>
        <v>0</v>
      </c>
      <c r="P254" s="9"/>
      <c r="Q254"/>
      <c r="R254" s="220"/>
      <c r="S254" s="221"/>
    </row>
    <row r="255" spans="1:19">
      <c r="A255" s="122" t="e">
        <f>IF(VLOOKUP(Tabela6[[#This Row],[UF]],'BASE CC'!B:C,2,0)="SP",IF(Tabela6[[#This Row],[OPERADORA]]="TIM","SP TIM","SPI"),VLOOKUP(Tabela6[[#This Row],[UF]],'BASE CC'!B:C,2,0))</f>
        <v>#N/A</v>
      </c>
      <c r="B255" s="36" t="e">
        <f>VLOOKUP(Tabela_Base_Financeiro[[#This Row],[Item code]],'COD.FAT'!B:C,2,0)</f>
        <v>#N/A</v>
      </c>
      <c r="C255" s="292">
        <f>Tabela_Base_Financeiro[[#This Row],[PO Ship TO]]</f>
        <v>0</v>
      </c>
      <c r="D255" s="36" t="str">
        <f>RIGHT(Tabela_Base_Financeiro[[#This Row],[Manufacturer]],2)</f>
        <v/>
      </c>
      <c r="E25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55" s="122" t="e">
        <f>VLOOKUP(Tabela_Base_Financeiro[[#This Row],[Project Code]],'COD. PROJETOS'!B:D,3,0)</f>
        <v>#N/A</v>
      </c>
      <c r="G255" s="36">
        <f>IFERROR(Tabela_Base_Financeiro[[#This Row],[PO No,]],0)</f>
        <v>0</v>
      </c>
      <c r="H255" s="36">
        <f>IFERROR(Tabela_Base_Financeiro[[#This Row],[Line No,]],0)</f>
        <v>0</v>
      </c>
      <c r="I255" s="36" t="str">
        <f>IFERROR(MID(Tabela_Base_Financeiro[[#This Row],[Manufacturer]],19,14),"")</f>
        <v/>
      </c>
      <c r="J255" s="113">
        <f>IFERROR(Tabela_Base_Financeiro[[#This Row],[Item code]],0)</f>
        <v>0</v>
      </c>
      <c r="K255" s="293">
        <f>IFERROR(Tabela_Base_Financeiro[[#This Row],[Unit Price]],0)</f>
        <v>0</v>
      </c>
      <c r="L255" s="36">
        <f>IFERROR(Tabela_Base_Financeiro[[#This Row],[AC Qty,]],0)</f>
        <v>0</v>
      </c>
      <c r="M255" s="60">
        <f>Tabela6[[#This Row],[Qty]]*Tabela6[[#This Row],[Preço]]</f>
        <v>0</v>
      </c>
      <c r="N255" s="37">
        <f>IFERROR(Tabela_Base_Financeiro[[#This Row],[Proportion]],0)</f>
        <v>0</v>
      </c>
      <c r="O255" s="60">
        <f>Tabela6[[#This Row],[Proporção]]*Tabela6[[#This Row],[Total]]</f>
        <v>0</v>
      </c>
      <c r="P255" s="9"/>
      <c r="Q255"/>
      <c r="R255" s="220"/>
      <c r="S255" s="221"/>
    </row>
    <row r="256" spans="1:19">
      <c r="A256" s="122" t="e">
        <f>IF(VLOOKUP(Tabela6[[#This Row],[UF]],'BASE CC'!B:C,2,0)="SP",IF(Tabela6[[#This Row],[OPERADORA]]="TIM","SP TIM","SPI"),VLOOKUP(Tabela6[[#This Row],[UF]],'BASE CC'!B:C,2,0))</f>
        <v>#N/A</v>
      </c>
      <c r="B256" s="36" t="e">
        <f>VLOOKUP(Tabela_Base_Financeiro[[#This Row],[Item code]],'COD.FAT'!B:C,2,0)</f>
        <v>#N/A</v>
      </c>
      <c r="C256" s="292">
        <f>Tabela_Base_Financeiro[[#This Row],[PO Ship TO]]</f>
        <v>0</v>
      </c>
      <c r="D256" s="36" t="str">
        <f>RIGHT(Tabela_Base_Financeiro[[#This Row],[Manufacturer]],2)</f>
        <v/>
      </c>
      <c r="E25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56" s="122" t="e">
        <f>VLOOKUP(Tabela_Base_Financeiro[[#This Row],[Project Code]],'COD. PROJETOS'!B:D,3,0)</f>
        <v>#N/A</v>
      </c>
      <c r="G256" s="36">
        <f>IFERROR(Tabela_Base_Financeiro[[#This Row],[PO No,]],0)</f>
        <v>0</v>
      </c>
      <c r="H256" s="36">
        <f>IFERROR(Tabela_Base_Financeiro[[#This Row],[Line No,]],0)</f>
        <v>0</v>
      </c>
      <c r="I256" s="36" t="str">
        <f>IFERROR(MID(Tabela_Base_Financeiro[[#This Row],[Manufacturer]],19,14),"")</f>
        <v/>
      </c>
      <c r="J256" s="113">
        <f>IFERROR(Tabela_Base_Financeiro[[#This Row],[Item code]],0)</f>
        <v>0</v>
      </c>
      <c r="K256" s="293">
        <f>IFERROR(Tabela_Base_Financeiro[[#This Row],[Unit Price]],0)</f>
        <v>0</v>
      </c>
      <c r="L256" s="36">
        <f>IFERROR(Tabela_Base_Financeiro[[#This Row],[AC Qty,]],0)</f>
        <v>0</v>
      </c>
      <c r="M256" s="60">
        <f>Tabela6[[#This Row],[Qty]]*Tabela6[[#This Row],[Preço]]</f>
        <v>0</v>
      </c>
      <c r="N256" s="37">
        <f>IFERROR(Tabela_Base_Financeiro[[#This Row],[Proportion]],0)</f>
        <v>0</v>
      </c>
      <c r="O256" s="60">
        <f>Tabela6[[#This Row],[Proporção]]*Tabela6[[#This Row],[Total]]</f>
        <v>0</v>
      </c>
      <c r="P256" s="9"/>
      <c r="Q256"/>
      <c r="R256" s="220"/>
      <c r="S256" s="221"/>
    </row>
    <row r="257" spans="1:19">
      <c r="A257" s="122" t="e">
        <f>IF(VLOOKUP(Tabela6[[#This Row],[UF]],'BASE CC'!B:C,2,0)="SP",IF(Tabela6[[#This Row],[OPERADORA]]="TIM","SP TIM","SPI"),VLOOKUP(Tabela6[[#This Row],[UF]],'BASE CC'!B:C,2,0))</f>
        <v>#N/A</v>
      </c>
      <c r="B257" s="36" t="e">
        <f>VLOOKUP(Tabela_Base_Financeiro[[#This Row],[Item code]],'COD.FAT'!B:C,2,0)</f>
        <v>#N/A</v>
      </c>
      <c r="C257" s="292">
        <f>Tabela_Base_Financeiro[[#This Row],[PO Ship TO]]</f>
        <v>0</v>
      </c>
      <c r="D257" s="36" t="str">
        <f>RIGHT(Tabela_Base_Financeiro[[#This Row],[Manufacturer]],2)</f>
        <v/>
      </c>
      <c r="E25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57" s="122" t="e">
        <f>VLOOKUP(Tabela_Base_Financeiro[[#This Row],[Project Code]],'COD. PROJETOS'!B:D,3,0)</f>
        <v>#N/A</v>
      </c>
      <c r="G257" s="36">
        <f>IFERROR(Tabela_Base_Financeiro[[#This Row],[PO No,]],0)</f>
        <v>0</v>
      </c>
      <c r="H257" s="36">
        <f>IFERROR(Tabela_Base_Financeiro[[#This Row],[Line No,]],0)</f>
        <v>0</v>
      </c>
      <c r="I257" s="36" t="str">
        <f>IFERROR(MID(Tabela_Base_Financeiro[[#This Row],[Manufacturer]],19,14),"")</f>
        <v/>
      </c>
      <c r="J257" s="113">
        <f>IFERROR(Tabela_Base_Financeiro[[#This Row],[Item code]],0)</f>
        <v>0</v>
      </c>
      <c r="K257" s="293">
        <f>IFERROR(Tabela_Base_Financeiro[[#This Row],[Unit Price]],0)</f>
        <v>0</v>
      </c>
      <c r="L257" s="36">
        <f>IFERROR(Tabela_Base_Financeiro[[#This Row],[AC Qty,]],0)</f>
        <v>0</v>
      </c>
      <c r="M257" s="60">
        <f>Tabela6[[#This Row],[Qty]]*Tabela6[[#This Row],[Preço]]</f>
        <v>0</v>
      </c>
      <c r="N257" s="37">
        <f>IFERROR(Tabela_Base_Financeiro[[#This Row],[Proportion]],0)</f>
        <v>0</v>
      </c>
      <c r="O257" s="60">
        <f>Tabela6[[#This Row],[Proporção]]*Tabela6[[#This Row],[Total]]</f>
        <v>0</v>
      </c>
      <c r="P257" s="9"/>
      <c r="Q257"/>
      <c r="R257" s="220"/>
      <c r="S257" s="221"/>
    </row>
    <row r="258" spans="1:19">
      <c r="A258" s="122" t="e">
        <f>IF(VLOOKUP(Tabela6[[#This Row],[UF]],'BASE CC'!B:C,2,0)="SP",IF(Tabela6[[#This Row],[OPERADORA]]="TIM","SP TIM","SPI"),VLOOKUP(Tabela6[[#This Row],[UF]],'BASE CC'!B:C,2,0))</f>
        <v>#N/A</v>
      </c>
      <c r="B258" s="36" t="e">
        <f>VLOOKUP(Tabela_Base_Financeiro[[#This Row],[Item code]],'COD.FAT'!B:C,2,0)</f>
        <v>#N/A</v>
      </c>
      <c r="C258" s="292">
        <f>Tabela_Base_Financeiro[[#This Row],[PO Ship TO]]</f>
        <v>0</v>
      </c>
      <c r="D258" s="36" t="str">
        <f>RIGHT(Tabela_Base_Financeiro[[#This Row],[Manufacturer]],2)</f>
        <v/>
      </c>
      <c r="E25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58" s="122" t="e">
        <f>VLOOKUP(Tabela_Base_Financeiro[[#This Row],[Project Code]],'COD. PROJETOS'!B:D,3,0)</f>
        <v>#N/A</v>
      </c>
      <c r="G258" s="36">
        <f>IFERROR(Tabela_Base_Financeiro[[#This Row],[PO No,]],0)</f>
        <v>0</v>
      </c>
      <c r="H258" s="36">
        <f>IFERROR(Tabela_Base_Financeiro[[#This Row],[Line No,]],0)</f>
        <v>0</v>
      </c>
      <c r="I258" s="36" t="str">
        <f>IFERROR(MID(Tabela_Base_Financeiro[[#This Row],[Manufacturer]],19,14),"")</f>
        <v/>
      </c>
      <c r="J258" s="113">
        <f>IFERROR(Tabela_Base_Financeiro[[#This Row],[Item code]],0)</f>
        <v>0</v>
      </c>
      <c r="K258" s="293">
        <f>IFERROR(Tabela_Base_Financeiro[[#This Row],[Unit Price]],0)</f>
        <v>0</v>
      </c>
      <c r="L258" s="36">
        <f>IFERROR(Tabela_Base_Financeiro[[#This Row],[AC Qty,]],0)</f>
        <v>0</v>
      </c>
      <c r="M258" s="60">
        <f>Tabela6[[#This Row],[Qty]]*Tabela6[[#This Row],[Preço]]</f>
        <v>0</v>
      </c>
      <c r="N258" s="37">
        <f>IFERROR(Tabela_Base_Financeiro[[#This Row],[Proportion]],0)</f>
        <v>0</v>
      </c>
      <c r="O258" s="60">
        <f>Tabela6[[#This Row],[Proporção]]*Tabela6[[#This Row],[Total]]</f>
        <v>0</v>
      </c>
      <c r="P258" s="9"/>
      <c r="Q258"/>
      <c r="R258" s="220"/>
      <c r="S258" s="221"/>
    </row>
    <row r="259" spans="1:19">
      <c r="A259" s="122" t="e">
        <f>IF(VLOOKUP(Tabela6[[#This Row],[UF]],'BASE CC'!B:C,2,0)="SP",IF(Tabela6[[#This Row],[OPERADORA]]="TIM","SP TIM","SPI"),VLOOKUP(Tabela6[[#This Row],[UF]],'BASE CC'!B:C,2,0))</f>
        <v>#N/A</v>
      </c>
      <c r="B259" s="36" t="e">
        <f>VLOOKUP(Tabela_Base_Financeiro[[#This Row],[Item code]],'COD.FAT'!B:C,2,0)</f>
        <v>#N/A</v>
      </c>
      <c r="C259" s="292">
        <f>Tabela_Base_Financeiro[[#This Row],[PO Ship TO]]</f>
        <v>0</v>
      </c>
      <c r="D259" s="36" t="str">
        <f>RIGHT(Tabela_Base_Financeiro[[#This Row],[Manufacturer]],2)</f>
        <v/>
      </c>
      <c r="E25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59" s="122" t="e">
        <f>VLOOKUP(Tabela_Base_Financeiro[[#This Row],[Project Code]],'COD. PROJETOS'!B:D,3,0)</f>
        <v>#N/A</v>
      </c>
      <c r="G259" s="36">
        <f>IFERROR(Tabela_Base_Financeiro[[#This Row],[PO No,]],0)</f>
        <v>0</v>
      </c>
      <c r="H259" s="36">
        <f>IFERROR(Tabela_Base_Financeiro[[#This Row],[Line No,]],0)</f>
        <v>0</v>
      </c>
      <c r="I259" s="36" t="str">
        <f>IFERROR(MID(Tabela_Base_Financeiro[[#This Row],[Manufacturer]],19,14),"")</f>
        <v/>
      </c>
      <c r="J259" s="113">
        <f>IFERROR(Tabela_Base_Financeiro[[#This Row],[Item code]],0)</f>
        <v>0</v>
      </c>
      <c r="K259" s="293">
        <f>IFERROR(Tabela_Base_Financeiro[[#This Row],[Unit Price]],0)</f>
        <v>0</v>
      </c>
      <c r="L259" s="36">
        <f>IFERROR(Tabela_Base_Financeiro[[#This Row],[AC Qty,]],0)</f>
        <v>0</v>
      </c>
      <c r="M259" s="60">
        <f>Tabela6[[#This Row],[Qty]]*Tabela6[[#This Row],[Preço]]</f>
        <v>0</v>
      </c>
      <c r="N259" s="37">
        <f>IFERROR(Tabela_Base_Financeiro[[#This Row],[Proportion]],0)</f>
        <v>0</v>
      </c>
      <c r="O259" s="60">
        <f>Tabela6[[#This Row],[Proporção]]*Tabela6[[#This Row],[Total]]</f>
        <v>0</v>
      </c>
      <c r="P259" s="9"/>
      <c r="Q259"/>
      <c r="R259" s="220"/>
      <c r="S259" s="221"/>
    </row>
    <row r="260" spans="1:19">
      <c r="A260" s="122" t="e">
        <f>IF(VLOOKUP(Tabela6[[#This Row],[UF]],'BASE CC'!B:C,2,0)="SP",IF(Tabela6[[#This Row],[OPERADORA]]="TIM","SP TIM","SPI"),VLOOKUP(Tabela6[[#This Row],[UF]],'BASE CC'!B:C,2,0))</f>
        <v>#N/A</v>
      </c>
      <c r="B260" s="36" t="e">
        <f>VLOOKUP(Tabela_Base_Financeiro[[#This Row],[Item code]],'COD.FAT'!B:C,2,0)</f>
        <v>#N/A</v>
      </c>
      <c r="C260" s="292">
        <f>Tabela_Base_Financeiro[[#This Row],[PO Ship TO]]</f>
        <v>0</v>
      </c>
      <c r="D260" s="36" t="str">
        <f>RIGHT(Tabela_Base_Financeiro[[#This Row],[Manufacturer]],2)</f>
        <v/>
      </c>
      <c r="E26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60" s="122" t="e">
        <f>VLOOKUP(Tabela_Base_Financeiro[[#This Row],[Project Code]],'COD. PROJETOS'!B:D,3,0)</f>
        <v>#N/A</v>
      </c>
      <c r="G260" s="36">
        <f>IFERROR(Tabela_Base_Financeiro[[#This Row],[PO No,]],0)</f>
        <v>0</v>
      </c>
      <c r="H260" s="36">
        <f>IFERROR(Tabela_Base_Financeiro[[#This Row],[Line No,]],0)</f>
        <v>0</v>
      </c>
      <c r="I260" s="36" t="str">
        <f>IFERROR(MID(Tabela_Base_Financeiro[[#This Row],[Manufacturer]],19,14),"")</f>
        <v/>
      </c>
      <c r="J260" s="113">
        <f>IFERROR(Tabela_Base_Financeiro[[#This Row],[Item code]],0)</f>
        <v>0</v>
      </c>
      <c r="K260" s="293">
        <f>IFERROR(Tabela_Base_Financeiro[[#This Row],[Unit Price]],0)</f>
        <v>0</v>
      </c>
      <c r="L260" s="36">
        <f>IFERROR(Tabela_Base_Financeiro[[#This Row],[AC Qty,]],0)</f>
        <v>0</v>
      </c>
      <c r="M260" s="60">
        <f>Tabela6[[#This Row],[Qty]]*Tabela6[[#This Row],[Preço]]</f>
        <v>0</v>
      </c>
      <c r="N260" s="37">
        <f>IFERROR(Tabela_Base_Financeiro[[#This Row],[Proportion]],0)</f>
        <v>0</v>
      </c>
      <c r="O260" s="60">
        <f>Tabela6[[#This Row],[Proporção]]*Tabela6[[#This Row],[Total]]</f>
        <v>0</v>
      </c>
      <c r="P260" s="9"/>
      <c r="Q260"/>
      <c r="R260" s="220"/>
      <c r="S260" s="221"/>
    </row>
    <row r="261" spans="1:19">
      <c r="A261" s="122" t="e">
        <f>IF(VLOOKUP(Tabela6[[#This Row],[UF]],'BASE CC'!B:C,2,0)="SP",IF(Tabela6[[#This Row],[OPERADORA]]="TIM","SP TIM","SPI"),VLOOKUP(Tabela6[[#This Row],[UF]],'BASE CC'!B:C,2,0))</f>
        <v>#N/A</v>
      </c>
      <c r="B261" s="36" t="e">
        <f>VLOOKUP(Tabela_Base_Financeiro[[#This Row],[Item code]],'COD.FAT'!B:C,2,0)</f>
        <v>#N/A</v>
      </c>
      <c r="C261" s="292">
        <f>Tabela_Base_Financeiro[[#This Row],[PO Ship TO]]</f>
        <v>0</v>
      </c>
      <c r="D261" s="36" t="str">
        <f>RIGHT(Tabela_Base_Financeiro[[#This Row],[Manufacturer]],2)</f>
        <v/>
      </c>
      <c r="E26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61" s="122" t="e">
        <f>VLOOKUP(Tabela_Base_Financeiro[[#This Row],[Project Code]],'COD. PROJETOS'!B:D,3,0)</f>
        <v>#N/A</v>
      </c>
      <c r="G261" s="36">
        <f>IFERROR(Tabela_Base_Financeiro[[#This Row],[PO No,]],0)</f>
        <v>0</v>
      </c>
      <c r="H261" s="36">
        <f>IFERROR(Tabela_Base_Financeiro[[#This Row],[Line No,]],0)</f>
        <v>0</v>
      </c>
      <c r="I261" s="36" t="str">
        <f>IFERROR(MID(Tabela_Base_Financeiro[[#This Row],[Manufacturer]],19,14),"")</f>
        <v/>
      </c>
      <c r="J261" s="113">
        <f>IFERROR(Tabela_Base_Financeiro[[#This Row],[Item code]],0)</f>
        <v>0</v>
      </c>
      <c r="K261" s="293">
        <f>IFERROR(Tabela_Base_Financeiro[[#This Row],[Unit Price]],0)</f>
        <v>0</v>
      </c>
      <c r="L261" s="36">
        <f>IFERROR(Tabela_Base_Financeiro[[#This Row],[AC Qty,]],0)</f>
        <v>0</v>
      </c>
      <c r="M261" s="60">
        <f>Tabela6[[#This Row],[Qty]]*Tabela6[[#This Row],[Preço]]</f>
        <v>0</v>
      </c>
      <c r="N261" s="37">
        <f>IFERROR(Tabela_Base_Financeiro[[#This Row],[Proportion]],0)</f>
        <v>0</v>
      </c>
      <c r="O261" s="60">
        <f>Tabela6[[#This Row],[Proporção]]*Tabela6[[#This Row],[Total]]</f>
        <v>0</v>
      </c>
      <c r="P261" s="9"/>
      <c r="Q261"/>
      <c r="R261" s="220"/>
      <c r="S261" s="221"/>
    </row>
    <row r="262" spans="1:19">
      <c r="A262" s="122" t="e">
        <f>IF(VLOOKUP(Tabela6[[#This Row],[UF]],'BASE CC'!B:C,2,0)="SP",IF(Tabela6[[#This Row],[OPERADORA]]="TIM","SP TIM","SPI"),VLOOKUP(Tabela6[[#This Row],[UF]],'BASE CC'!B:C,2,0))</f>
        <v>#N/A</v>
      </c>
      <c r="B262" s="36" t="e">
        <f>VLOOKUP(Tabela_Base_Financeiro[[#This Row],[Item code]],'COD.FAT'!B:C,2,0)</f>
        <v>#N/A</v>
      </c>
      <c r="C262" s="292">
        <f>Tabela_Base_Financeiro[[#This Row],[PO Ship TO]]</f>
        <v>0</v>
      </c>
      <c r="D262" s="36" t="str">
        <f>RIGHT(Tabela_Base_Financeiro[[#This Row],[Manufacturer]],2)</f>
        <v/>
      </c>
      <c r="E26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62" s="122" t="e">
        <f>VLOOKUP(Tabela_Base_Financeiro[[#This Row],[Project Code]],'COD. PROJETOS'!B:D,3,0)</f>
        <v>#N/A</v>
      </c>
      <c r="G262" s="36">
        <f>IFERROR(Tabela_Base_Financeiro[[#This Row],[PO No,]],0)</f>
        <v>0</v>
      </c>
      <c r="H262" s="36">
        <f>IFERROR(Tabela_Base_Financeiro[[#This Row],[Line No,]],0)</f>
        <v>0</v>
      </c>
      <c r="I262" s="36" t="str">
        <f>IFERROR(MID(Tabela_Base_Financeiro[[#This Row],[Manufacturer]],19,14),"")</f>
        <v/>
      </c>
      <c r="J262" s="113">
        <f>IFERROR(Tabela_Base_Financeiro[[#This Row],[Item code]],0)</f>
        <v>0</v>
      </c>
      <c r="K262" s="293">
        <f>IFERROR(Tabela_Base_Financeiro[[#This Row],[Unit Price]],0)</f>
        <v>0</v>
      </c>
      <c r="L262" s="36">
        <f>IFERROR(Tabela_Base_Financeiro[[#This Row],[AC Qty,]],0)</f>
        <v>0</v>
      </c>
      <c r="M262" s="60">
        <f>Tabela6[[#This Row],[Qty]]*Tabela6[[#This Row],[Preço]]</f>
        <v>0</v>
      </c>
      <c r="N262" s="37">
        <f>IFERROR(Tabela_Base_Financeiro[[#This Row],[Proportion]],0)</f>
        <v>0</v>
      </c>
      <c r="O262" s="60">
        <f>Tabela6[[#This Row],[Proporção]]*Tabela6[[#This Row],[Total]]</f>
        <v>0</v>
      </c>
      <c r="P262" s="9"/>
      <c r="Q262"/>
      <c r="R262" s="220"/>
      <c r="S262" s="221"/>
    </row>
    <row r="263" spans="1:19">
      <c r="A263" s="122" t="e">
        <f>IF(VLOOKUP(Tabela6[[#This Row],[UF]],'BASE CC'!B:C,2,0)="SP",IF(Tabela6[[#This Row],[OPERADORA]]="TIM","SP TIM","SPI"),VLOOKUP(Tabela6[[#This Row],[UF]],'BASE CC'!B:C,2,0))</f>
        <v>#N/A</v>
      </c>
      <c r="B263" s="36" t="e">
        <f>VLOOKUP(Tabela_Base_Financeiro[[#This Row],[Item code]],'COD.FAT'!B:C,2,0)</f>
        <v>#N/A</v>
      </c>
      <c r="C263" s="292">
        <f>Tabela_Base_Financeiro[[#This Row],[PO Ship TO]]</f>
        <v>0</v>
      </c>
      <c r="D263" s="36" t="str">
        <f>RIGHT(Tabela_Base_Financeiro[[#This Row],[Manufacturer]],2)</f>
        <v/>
      </c>
      <c r="E26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63" s="122" t="e">
        <f>VLOOKUP(Tabela_Base_Financeiro[[#This Row],[Project Code]],'COD. PROJETOS'!B:D,3,0)</f>
        <v>#N/A</v>
      </c>
      <c r="G263" s="36">
        <f>IFERROR(Tabela_Base_Financeiro[[#This Row],[PO No,]],0)</f>
        <v>0</v>
      </c>
      <c r="H263" s="36">
        <f>IFERROR(Tabela_Base_Financeiro[[#This Row],[Line No,]],0)</f>
        <v>0</v>
      </c>
      <c r="I263" s="36" t="str">
        <f>IFERROR(MID(Tabela_Base_Financeiro[[#This Row],[Manufacturer]],19,14),"")</f>
        <v/>
      </c>
      <c r="J263" s="113">
        <f>IFERROR(Tabela_Base_Financeiro[[#This Row],[Item code]],0)</f>
        <v>0</v>
      </c>
      <c r="K263" s="293">
        <f>IFERROR(Tabela_Base_Financeiro[[#This Row],[Unit Price]],0)</f>
        <v>0</v>
      </c>
      <c r="L263" s="36">
        <f>IFERROR(Tabela_Base_Financeiro[[#This Row],[AC Qty,]],0)</f>
        <v>0</v>
      </c>
      <c r="M263" s="60">
        <f>Tabela6[[#This Row],[Qty]]*Tabela6[[#This Row],[Preço]]</f>
        <v>0</v>
      </c>
      <c r="N263" s="37">
        <f>IFERROR(Tabela_Base_Financeiro[[#This Row],[Proportion]],0)</f>
        <v>0</v>
      </c>
      <c r="O263" s="60">
        <f>Tabela6[[#This Row],[Proporção]]*Tabela6[[#This Row],[Total]]</f>
        <v>0</v>
      </c>
      <c r="P263" s="9"/>
      <c r="Q263"/>
      <c r="R263" s="220"/>
      <c r="S263" s="221"/>
    </row>
    <row r="264" spans="1:19">
      <c r="A264" s="122" t="e">
        <f>IF(VLOOKUP(Tabela6[[#This Row],[UF]],'BASE CC'!B:C,2,0)="SP",IF(Tabela6[[#This Row],[OPERADORA]]="TIM","SP TIM","SPI"),VLOOKUP(Tabela6[[#This Row],[UF]],'BASE CC'!B:C,2,0))</f>
        <v>#N/A</v>
      </c>
      <c r="B264" s="36" t="e">
        <f>VLOOKUP(Tabela_Base_Financeiro[[#This Row],[Item code]],'COD.FAT'!B:C,2,0)</f>
        <v>#N/A</v>
      </c>
      <c r="C264" s="292">
        <f>Tabela_Base_Financeiro[[#This Row],[PO Ship TO]]</f>
        <v>0</v>
      </c>
      <c r="D264" s="36" t="str">
        <f>RIGHT(Tabela_Base_Financeiro[[#This Row],[Manufacturer]],2)</f>
        <v/>
      </c>
      <c r="E26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64" s="122" t="e">
        <f>VLOOKUP(Tabela_Base_Financeiro[[#This Row],[Project Code]],'COD. PROJETOS'!B:D,3,0)</f>
        <v>#N/A</v>
      </c>
      <c r="G264" s="36">
        <f>IFERROR(Tabela_Base_Financeiro[[#This Row],[PO No,]],0)</f>
        <v>0</v>
      </c>
      <c r="H264" s="36">
        <f>IFERROR(Tabela_Base_Financeiro[[#This Row],[Line No,]],0)</f>
        <v>0</v>
      </c>
      <c r="I264" s="36" t="str">
        <f>IFERROR(MID(Tabela_Base_Financeiro[[#This Row],[Manufacturer]],19,14),"")</f>
        <v/>
      </c>
      <c r="J264" s="113">
        <f>IFERROR(Tabela_Base_Financeiro[[#This Row],[Item code]],0)</f>
        <v>0</v>
      </c>
      <c r="K264" s="293">
        <f>IFERROR(Tabela_Base_Financeiro[[#This Row],[Unit Price]],0)</f>
        <v>0</v>
      </c>
      <c r="L264" s="36">
        <f>IFERROR(Tabela_Base_Financeiro[[#This Row],[AC Qty,]],0)</f>
        <v>0</v>
      </c>
      <c r="M264" s="60">
        <f>Tabela6[[#This Row],[Qty]]*Tabela6[[#This Row],[Preço]]</f>
        <v>0</v>
      </c>
      <c r="N264" s="37">
        <f>IFERROR(Tabela_Base_Financeiro[[#This Row],[Proportion]],0)</f>
        <v>0</v>
      </c>
      <c r="O264" s="60">
        <f>Tabela6[[#This Row],[Proporção]]*Tabela6[[#This Row],[Total]]</f>
        <v>0</v>
      </c>
      <c r="P264" s="9"/>
      <c r="Q264"/>
      <c r="R264" s="220"/>
      <c r="S264" s="221"/>
    </row>
    <row r="265" spans="1:19">
      <c r="A265" s="122" t="e">
        <f>IF(VLOOKUP(Tabela6[[#This Row],[UF]],'BASE CC'!B:C,2,0)="SP",IF(Tabela6[[#This Row],[OPERADORA]]="TIM","SP TIM","SPI"),VLOOKUP(Tabela6[[#This Row],[UF]],'BASE CC'!B:C,2,0))</f>
        <v>#N/A</v>
      </c>
      <c r="B265" s="36" t="e">
        <f>VLOOKUP(Tabela_Base_Financeiro[[#This Row],[Item code]],'COD.FAT'!B:C,2,0)</f>
        <v>#N/A</v>
      </c>
      <c r="C265" s="292">
        <f>Tabela_Base_Financeiro[[#This Row],[PO Ship TO]]</f>
        <v>0</v>
      </c>
      <c r="D265" s="36" t="str">
        <f>RIGHT(Tabela_Base_Financeiro[[#This Row],[Manufacturer]],2)</f>
        <v/>
      </c>
      <c r="E26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65" s="122" t="e">
        <f>VLOOKUP(Tabela_Base_Financeiro[[#This Row],[Project Code]],'COD. PROJETOS'!B:D,3,0)</f>
        <v>#N/A</v>
      </c>
      <c r="G265" s="36">
        <f>IFERROR(Tabela_Base_Financeiro[[#This Row],[PO No,]],0)</f>
        <v>0</v>
      </c>
      <c r="H265" s="36">
        <f>IFERROR(Tabela_Base_Financeiro[[#This Row],[Line No,]],0)</f>
        <v>0</v>
      </c>
      <c r="I265" s="36" t="str">
        <f>IFERROR(MID(Tabela_Base_Financeiro[[#This Row],[Manufacturer]],19,14),"")</f>
        <v/>
      </c>
      <c r="J265" s="113">
        <f>IFERROR(Tabela_Base_Financeiro[[#This Row],[Item code]],0)</f>
        <v>0</v>
      </c>
      <c r="K265" s="293">
        <f>IFERROR(Tabela_Base_Financeiro[[#This Row],[Unit Price]],0)</f>
        <v>0</v>
      </c>
      <c r="L265" s="36">
        <f>IFERROR(Tabela_Base_Financeiro[[#This Row],[AC Qty,]],0)</f>
        <v>0</v>
      </c>
      <c r="M265" s="60">
        <f>Tabela6[[#This Row],[Qty]]*Tabela6[[#This Row],[Preço]]</f>
        <v>0</v>
      </c>
      <c r="N265" s="37">
        <f>IFERROR(Tabela_Base_Financeiro[[#This Row],[Proportion]],0)</f>
        <v>0</v>
      </c>
      <c r="O265" s="60">
        <f>Tabela6[[#This Row],[Proporção]]*Tabela6[[#This Row],[Total]]</f>
        <v>0</v>
      </c>
      <c r="P265" s="9"/>
      <c r="Q265"/>
      <c r="R265" s="220"/>
      <c r="S265" s="221"/>
    </row>
    <row r="266" spans="1:19">
      <c r="A266" s="122" t="e">
        <f>IF(VLOOKUP(Tabela6[[#This Row],[UF]],'BASE CC'!B:C,2,0)="SP",IF(Tabela6[[#This Row],[OPERADORA]]="TIM","SP TIM","SPI"),VLOOKUP(Tabela6[[#This Row],[UF]],'BASE CC'!B:C,2,0))</f>
        <v>#N/A</v>
      </c>
      <c r="B266" s="36" t="e">
        <f>VLOOKUP(Tabela_Base_Financeiro[[#This Row],[Item code]],'COD.FAT'!B:C,2,0)</f>
        <v>#N/A</v>
      </c>
      <c r="C266" s="292">
        <f>Tabela_Base_Financeiro[[#This Row],[PO Ship TO]]</f>
        <v>0</v>
      </c>
      <c r="D266" s="36" t="str">
        <f>RIGHT(Tabela_Base_Financeiro[[#This Row],[Manufacturer]],2)</f>
        <v/>
      </c>
      <c r="E26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66" s="122" t="e">
        <f>VLOOKUP(Tabela_Base_Financeiro[[#This Row],[Project Code]],'COD. PROJETOS'!B:D,3,0)</f>
        <v>#N/A</v>
      </c>
      <c r="G266" s="36">
        <f>IFERROR(Tabela_Base_Financeiro[[#This Row],[PO No,]],0)</f>
        <v>0</v>
      </c>
      <c r="H266" s="36">
        <f>IFERROR(Tabela_Base_Financeiro[[#This Row],[Line No,]],0)</f>
        <v>0</v>
      </c>
      <c r="I266" s="36" t="str">
        <f>IFERROR(MID(Tabela_Base_Financeiro[[#This Row],[Manufacturer]],19,14),"")</f>
        <v/>
      </c>
      <c r="J266" s="113">
        <f>IFERROR(Tabela_Base_Financeiro[[#This Row],[Item code]],0)</f>
        <v>0</v>
      </c>
      <c r="K266" s="293">
        <f>IFERROR(Tabela_Base_Financeiro[[#This Row],[Unit Price]],0)</f>
        <v>0</v>
      </c>
      <c r="L266" s="36">
        <f>IFERROR(Tabela_Base_Financeiro[[#This Row],[AC Qty,]],0)</f>
        <v>0</v>
      </c>
      <c r="M266" s="60">
        <f>Tabela6[[#This Row],[Qty]]*Tabela6[[#This Row],[Preço]]</f>
        <v>0</v>
      </c>
      <c r="N266" s="37">
        <f>IFERROR(Tabela_Base_Financeiro[[#This Row],[Proportion]],0)</f>
        <v>0</v>
      </c>
      <c r="O266" s="60">
        <f>Tabela6[[#This Row],[Proporção]]*Tabela6[[#This Row],[Total]]</f>
        <v>0</v>
      </c>
      <c r="P266" s="9"/>
      <c r="Q266"/>
      <c r="R266" s="220"/>
      <c r="S266" s="221"/>
    </row>
    <row r="267" spans="1:19">
      <c r="A267" s="122" t="e">
        <f>IF(VLOOKUP(Tabela6[[#This Row],[UF]],'BASE CC'!B:C,2,0)="SP",IF(Tabela6[[#This Row],[OPERADORA]]="TIM","SP TIM","SPI"),VLOOKUP(Tabela6[[#This Row],[UF]],'BASE CC'!B:C,2,0))</f>
        <v>#N/A</v>
      </c>
      <c r="B267" s="36" t="e">
        <f>VLOOKUP(Tabela_Base_Financeiro[[#This Row],[Item code]],'COD.FAT'!B:C,2,0)</f>
        <v>#N/A</v>
      </c>
      <c r="C267" s="292">
        <f>Tabela_Base_Financeiro[[#This Row],[PO Ship TO]]</f>
        <v>0</v>
      </c>
      <c r="D267" s="36" t="str">
        <f>RIGHT(Tabela_Base_Financeiro[[#This Row],[Manufacturer]],2)</f>
        <v/>
      </c>
      <c r="E26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67" s="122" t="e">
        <f>VLOOKUP(Tabela_Base_Financeiro[[#This Row],[Project Code]],'COD. PROJETOS'!B:D,3,0)</f>
        <v>#N/A</v>
      </c>
      <c r="G267" s="36">
        <f>IFERROR(Tabela_Base_Financeiro[[#This Row],[PO No,]],0)</f>
        <v>0</v>
      </c>
      <c r="H267" s="36">
        <f>IFERROR(Tabela_Base_Financeiro[[#This Row],[Line No,]],0)</f>
        <v>0</v>
      </c>
      <c r="I267" s="36" t="str">
        <f>IFERROR(MID(Tabela_Base_Financeiro[[#This Row],[Manufacturer]],19,14),"")</f>
        <v/>
      </c>
      <c r="J267" s="113">
        <f>IFERROR(Tabela_Base_Financeiro[[#This Row],[Item code]],0)</f>
        <v>0</v>
      </c>
      <c r="K267" s="293">
        <f>IFERROR(Tabela_Base_Financeiro[[#This Row],[Unit Price]],0)</f>
        <v>0</v>
      </c>
      <c r="L267" s="36">
        <f>IFERROR(Tabela_Base_Financeiro[[#This Row],[AC Qty,]],0)</f>
        <v>0</v>
      </c>
      <c r="M267" s="60">
        <f>Tabela6[[#This Row],[Qty]]*Tabela6[[#This Row],[Preço]]</f>
        <v>0</v>
      </c>
      <c r="N267" s="37">
        <f>IFERROR(Tabela_Base_Financeiro[[#This Row],[Proportion]],0)</f>
        <v>0</v>
      </c>
      <c r="O267" s="60">
        <f>Tabela6[[#This Row],[Proporção]]*Tabela6[[#This Row],[Total]]</f>
        <v>0</v>
      </c>
      <c r="P267" s="9"/>
      <c r="Q267"/>
      <c r="R267" s="220"/>
      <c r="S267" s="221"/>
    </row>
    <row r="268" spans="1:19">
      <c r="A268" s="122" t="e">
        <f>IF(VLOOKUP(Tabela6[[#This Row],[UF]],'BASE CC'!B:C,2,0)="SP",IF(Tabela6[[#This Row],[OPERADORA]]="TIM","SP TIM","SPI"),VLOOKUP(Tabela6[[#This Row],[UF]],'BASE CC'!B:C,2,0))</f>
        <v>#N/A</v>
      </c>
      <c r="B268" s="36" t="e">
        <f>VLOOKUP(Tabela_Base_Financeiro[[#This Row],[Item code]],'COD.FAT'!B:C,2,0)</f>
        <v>#N/A</v>
      </c>
      <c r="C268" s="292">
        <f>Tabela_Base_Financeiro[[#This Row],[PO Ship TO]]</f>
        <v>0</v>
      </c>
      <c r="D268" s="36" t="str">
        <f>RIGHT(Tabela_Base_Financeiro[[#This Row],[Manufacturer]],2)</f>
        <v/>
      </c>
      <c r="E26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68" s="122" t="e">
        <f>VLOOKUP(Tabela_Base_Financeiro[[#This Row],[Project Code]],'COD. PROJETOS'!B:D,3,0)</f>
        <v>#N/A</v>
      </c>
      <c r="G268" s="36">
        <f>IFERROR(Tabela_Base_Financeiro[[#This Row],[PO No,]],0)</f>
        <v>0</v>
      </c>
      <c r="H268" s="36">
        <f>IFERROR(Tabela_Base_Financeiro[[#This Row],[Line No,]],0)</f>
        <v>0</v>
      </c>
      <c r="I268" s="36" t="str">
        <f>IFERROR(MID(Tabela_Base_Financeiro[[#This Row],[Manufacturer]],19,14),"")</f>
        <v/>
      </c>
      <c r="J268" s="113">
        <f>IFERROR(Tabela_Base_Financeiro[[#This Row],[Item code]],0)</f>
        <v>0</v>
      </c>
      <c r="K268" s="293">
        <f>IFERROR(Tabela_Base_Financeiro[[#This Row],[Unit Price]],0)</f>
        <v>0</v>
      </c>
      <c r="L268" s="36">
        <f>IFERROR(Tabela_Base_Financeiro[[#This Row],[AC Qty,]],0)</f>
        <v>0</v>
      </c>
      <c r="M268" s="60">
        <f>Tabela6[[#This Row],[Qty]]*Tabela6[[#This Row],[Preço]]</f>
        <v>0</v>
      </c>
      <c r="N268" s="37">
        <f>IFERROR(Tabela_Base_Financeiro[[#This Row],[Proportion]],0)</f>
        <v>0</v>
      </c>
      <c r="O268" s="60">
        <f>Tabela6[[#This Row],[Proporção]]*Tabela6[[#This Row],[Total]]</f>
        <v>0</v>
      </c>
      <c r="P268" s="9"/>
      <c r="Q268"/>
      <c r="R268" s="220"/>
      <c r="S268" s="221"/>
    </row>
    <row r="269" spans="1:19">
      <c r="A269" s="122" t="e">
        <f>IF(VLOOKUP(Tabela6[[#This Row],[UF]],'BASE CC'!B:C,2,0)="SP",IF(Tabela6[[#This Row],[OPERADORA]]="TIM","SP TIM","SPI"),VLOOKUP(Tabela6[[#This Row],[UF]],'BASE CC'!B:C,2,0))</f>
        <v>#N/A</v>
      </c>
      <c r="B269" s="36" t="e">
        <f>VLOOKUP(Tabela_Base_Financeiro[[#This Row],[Item code]],'COD.FAT'!B:C,2,0)</f>
        <v>#N/A</v>
      </c>
      <c r="C269" s="292">
        <f>Tabela_Base_Financeiro[[#This Row],[PO Ship TO]]</f>
        <v>0</v>
      </c>
      <c r="D269" s="36" t="str">
        <f>RIGHT(Tabela_Base_Financeiro[[#This Row],[Manufacturer]],2)</f>
        <v/>
      </c>
      <c r="E26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69" s="122" t="e">
        <f>VLOOKUP(Tabela_Base_Financeiro[[#This Row],[Project Code]],'COD. PROJETOS'!B:D,3,0)</f>
        <v>#N/A</v>
      </c>
      <c r="G269" s="36">
        <f>IFERROR(Tabela_Base_Financeiro[[#This Row],[PO No,]],0)</f>
        <v>0</v>
      </c>
      <c r="H269" s="36">
        <f>IFERROR(Tabela_Base_Financeiro[[#This Row],[Line No,]],0)</f>
        <v>0</v>
      </c>
      <c r="I269" s="36" t="str">
        <f>IFERROR(MID(Tabela_Base_Financeiro[[#This Row],[Manufacturer]],19,14),"")</f>
        <v/>
      </c>
      <c r="J269" s="113">
        <f>IFERROR(Tabela_Base_Financeiro[[#This Row],[Item code]],0)</f>
        <v>0</v>
      </c>
      <c r="K269" s="293">
        <f>IFERROR(Tabela_Base_Financeiro[[#This Row],[Unit Price]],0)</f>
        <v>0</v>
      </c>
      <c r="L269" s="36">
        <f>IFERROR(Tabela_Base_Financeiro[[#This Row],[AC Qty,]],0)</f>
        <v>0</v>
      </c>
      <c r="M269" s="60">
        <f>Tabela6[[#This Row],[Qty]]*Tabela6[[#This Row],[Preço]]</f>
        <v>0</v>
      </c>
      <c r="N269" s="37">
        <f>IFERROR(Tabela_Base_Financeiro[[#This Row],[Proportion]],0)</f>
        <v>0</v>
      </c>
      <c r="O269" s="60">
        <f>Tabela6[[#This Row],[Proporção]]*Tabela6[[#This Row],[Total]]</f>
        <v>0</v>
      </c>
      <c r="P269" s="9"/>
      <c r="Q269"/>
      <c r="R269" s="220"/>
      <c r="S269" s="221"/>
    </row>
    <row r="270" spans="1:19">
      <c r="A270" s="122" t="e">
        <f>IF(VLOOKUP(Tabela6[[#This Row],[UF]],'BASE CC'!B:C,2,0)="SP",IF(Tabela6[[#This Row],[OPERADORA]]="TIM","SP TIM","SPI"),VLOOKUP(Tabela6[[#This Row],[UF]],'BASE CC'!B:C,2,0))</f>
        <v>#N/A</v>
      </c>
      <c r="B270" s="36" t="e">
        <f>VLOOKUP(Tabela_Base_Financeiro[[#This Row],[Item code]],'COD.FAT'!B:C,2,0)</f>
        <v>#N/A</v>
      </c>
      <c r="C270" s="292">
        <f>Tabela_Base_Financeiro[[#This Row],[PO Ship TO]]</f>
        <v>0</v>
      </c>
      <c r="D270" s="36" t="str">
        <f>RIGHT(Tabela_Base_Financeiro[[#This Row],[Manufacturer]],2)</f>
        <v/>
      </c>
      <c r="E27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70" s="122" t="e">
        <f>VLOOKUP(Tabela_Base_Financeiro[[#This Row],[Project Code]],'COD. PROJETOS'!B:D,3,0)</f>
        <v>#N/A</v>
      </c>
      <c r="G270" s="36">
        <f>IFERROR(Tabela_Base_Financeiro[[#This Row],[PO No,]],0)</f>
        <v>0</v>
      </c>
      <c r="H270" s="36">
        <f>IFERROR(Tabela_Base_Financeiro[[#This Row],[Line No,]],0)</f>
        <v>0</v>
      </c>
      <c r="I270" s="36" t="str">
        <f>IFERROR(MID(Tabela_Base_Financeiro[[#This Row],[Manufacturer]],19,14),"")</f>
        <v/>
      </c>
      <c r="J270" s="113">
        <f>IFERROR(Tabela_Base_Financeiro[[#This Row],[Item code]],0)</f>
        <v>0</v>
      </c>
      <c r="K270" s="293">
        <f>IFERROR(Tabela_Base_Financeiro[[#This Row],[Unit Price]],0)</f>
        <v>0</v>
      </c>
      <c r="L270" s="36">
        <f>IFERROR(Tabela_Base_Financeiro[[#This Row],[AC Qty,]],0)</f>
        <v>0</v>
      </c>
      <c r="M270" s="60">
        <f>Tabela6[[#This Row],[Qty]]*Tabela6[[#This Row],[Preço]]</f>
        <v>0</v>
      </c>
      <c r="N270" s="37">
        <f>IFERROR(Tabela_Base_Financeiro[[#This Row],[Proportion]],0)</f>
        <v>0</v>
      </c>
      <c r="O270" s="60">
        <f>Tabela6[[#This Row],[Proporção]]*Tabela6[[#This Row],[Total]]</f>
        <v>0</v>
      </c>
      <c r="P270" s="9"/>
      <c r="Q270"/>
      <c r="R270" s="220"/>
      <c r="S270" s="221"/>
    </row>
    <row r="271" spans="1:19">
      <c r="A271" s="122" t="e">
        <f>IF(VLOOKUP(Tabela6[[#This Row],[UF]],'BASE CC'!B:C,2,0)="SP",IF(Tabela6[[#This Row],[OPERADORA]]="TIM","SP TIM","SPI"),VLOOKUP(Tabela6[[#This Row],[UF]],'BASE CC'!B:C,2,0))</f>
        <v>#N/A</v>
      </c>
      <c r="B271" s="36" t="e">
        <f>VLOOKUP(Tabela_Base_Financeiro[[#This Row],[Item code]],'COD.FAT'!B:C,2,0)</f>
        <v>#N/A</v>
      </c>
      <c r="C271" s="292">
        <f>Tabela_Base_Financeiro[[#This Row],[PO Ship TO]]</f>
        <v>0</v>
      </c>
      <c r="D271" s="36" t="str">
        <f>RIGHT(Tabela_Base_Financeiro[[#This Row],[Manufacturer]],2)</f>
        <v/>
      </c>
      <c r="E27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71" s="122" t="e">
        <f>VLOOKUP(Tabela_Base_Financeiro[[#This Row],[Project Code]],'COD. PROJETOS'!B:D,3,0)</f>
        <v>#N/A</v>
      </c>
      <c r="G271" s="36">
        <f>IFERROR(Tabela_Base_Financeiro[[#This Row],[PO No,]],0)</f>
        <v>0</v>
      </c>
      <c r="H271" s="36">
        <f>IFERROR(Tabela_Base_Financeiro[[#This Row],[Line No,]],0)</f>
        <v>0</v>
      </c>
      <c r="I271" s="36" t="str">
        <f>IFERROR(MID(Tabela_Base_Financeiro[[#This Row],[Manufacturer]],19,14),"")</f>
        <v/>
      </c>
      <c r="J271" s="113">
        <f>IFERROR(Tabela_Base_Financeiro[[#This Row],[Item code]],0)</f>
        <v>0</v>
      </c>
      <c r="K271" s="293">
        <f>IFERROR(Tabela_Base_Financeiro[[#This Row],[Unit Price]],0)</f>
        <v>0</v>
      </c>
      <c r="L271" s="36">
        <f>IFERROR(Tabela_Base_Financeiro[[#This Row],[AC Qty,]],0)</f>
        <v>0</v>
      </c>
      <c r="M271" s="60">
        <f>Tabela6[[#This Row],[Qty]]*Tabela6[[#This Row],[Preço]]</f>
        <v>0</v>
      </c>
      <c r="N271" s="37">
        <f>IFERROR(Tabela_Base_Financeiro[[#This Row],[Proportion]],0)</f>
        <v>0</v>
      </c>
      <c r="O271" s="60">
        <f>Tabela6[[#This Row],[Proporção]]*Tabela6[[#This Row],[Total]]</f>
        <v>0</v>
      </c>
      <c r="P271" s="9"/>
      <c r="Q271"/>
      <c r="R271" s="220"/>
      <c r="S271" s="221"/>
    </row>
    <row r="272" spans="1:19">
      <c r="A272" s="122" t="e">
        <f>IF(VLOOKUP(Tabela6[[#This Row],[UF]],'BASE CC'!B:C,2,0)="SP",IF(Tabela6[[#This Row],[OPERADORA]]="TIM","SP TIM","SPI"),VLOOKUP(Tabela6[[#This Row],[UF]],'BASE CC'!B:C,2,0))</f>
        <v>#N/A</v>
      </c>
      <c r="B272" s="36" t="e">
        <f>VLOOKUP(Tabela_Base_Financeiro[[#This Row],[Item code]],'COD.FAT'!B:C,2,0)</f>
        <v>#N/A</v>
      </c>
      <c r="C272" s="292">
        <f>Tabela_Base_Financeiro[[#This Row],[PO Ship TO]]</f>
        <v>0</v>
      </c>
      <c r="D272" s="36" t="str">
        <f>RIGHT(Tabela_Base_Financeiro[[#This Row],[Manufacturer]],2)</f>
        <v/>
      </c>
      <c r="E27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72" s="122" t="e">
        <f>VLOOKUP(Tabela_Base_Financeiro[[#This Row],[Project Code]],'COD. PROJETOS'!B:D,3,0)</f>
        <v>#N/A</v>
      </c>
      <c r="G272" s="36">
        <f>IFERROR(Tabela_Base_Financeiro[[#This Row],[PO No,]],0)</f>
        <v>0</v>
      </c>
      <c r="H272" s="36">
        <f>IFERROR(Tabela_Base_Financeiro[[#This Row],[Line No,]],0)</f>
        <v>0</v>
      </c>
      <c r="I272" s="36" t="str">
        <f>IFERROR(MID(Tabela_Base_Financeiro[[#This Row],[Manufacturer]],19,14),"")</f>
        <v/>
      </c>
      <c r="J272" s="113">
        <f>IFERROR(Tabela_Base_Financeiro[[#This Row],[Item code]],0)</f>
        <v>0</v>
      </c>
      <c r="K272" s="293">
        <f>IFERROR(Tabela_Base_Financeiro[[#This Row],[Unit Price]],0)</f>
        <v>0</v>
      </c>
      <c r="L272" s="36">
        <f>IFERROR(Tabela_Base_Financeiro[[#This Row],[AC Qty,]],0)</f>
        <v>0</v>
      </c>
      <c r="M272" s="60">
        <f>Tabela6[[#This Row],[Qty]]*Tabela6[[#This Row],[Preço]]</f>
        <v>0</v>
      </c>
      <c r="N272" s="37">
        <f>IFERROR(Tabela_Base_Financeiro[[#This Row],[Proportion]],0)</f>
        <v>0</v>
      </c>
      <c r="O272" s="60">
        <f>Tabela6[[#This Row],[Proporção]]*Tabela6[[#This Row],[Total]]</f>
        <v>0</v>
      </c>
      <c r="P272" s="9"/>
      <c r="Q272"/>
      <c r="R272" s="220"/>
      <c r="S272" s="221"/>
    </row>
    <row r="273" spans="1:19">
      <c r="A273" s="122" t="e">
        <f>IF(VLOOKUP(Tabela6[[#This Row],[UF]],'BASE CC'!B:C,2,0)="SP",IF(Tabela6[[#This Row],[OPERADORA]]="TIM","SP TIM","SPI"),VLOOKUP(Tabela6[[#This Row],[UF]],'BASE CC'!B:C,2,0))</f>
        <v>#N/A</v>
      </c>
      <c r="B273" s="36" t="e">
        <f>VLOOKUP(Tabela_Base_Financeiro[[#This Row],[Item code]],'COD.FAT'!B:C,2,0)</f>
        <v>#N/A</v>
      </c>
      <c r="C273" s="292">
        <f>Tabela_Base_Financeiro[[#This Row],[PO Ship TO]]</f>
        <v>0</v>
      </c>
      <c r="D273" s="36" t="str">
        <f>RIGHT(Tabela_Base_Financeiro[[#This Row],[Manufacturer]],2)</f>
        <v/>
      </c>
      <c r="E27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73" s="122" t="e">
        <f>VLOOKUP(Tabela_Base_Financeiro[[#This Row],[Project Code]],'COD. PROJETOS'!B:D,3,0)</f>
        <v>#N/A</v>
      </c>
      <c r="G273" s="36">
        <f>IFERROR(Tabela_Base_Financeiro[[#This Row],[PO No,]],0)</f>
        <v>0</v>
      </c>
      <c r="H273" s="36">
        <f>IFERROR(Tabela_Base_Financeiro[[#This Row],[Line No,]],0)</f>
        <v>0</v>
      </c>
      <c r="I273" s="36" t="str">
        <f>IFERROR(MID(Tabela_Base_Financeiro[[#This Row],[Manufacturer]],19,14),"")</f>
        <v/>
      </c>
      <c r="J273" s="113">
        <f>IFERROR(Tabela_Base_Financeiro[[#This Row],[Item code]],0)</f>
        <v>0</v>
      </c>
      <c r="K273" s="293">
        <f>IFERROR(Tabela_Base_Financeiro[[#This Row],[Unit Price]],0)</f>
        <v>0</v>
      </c>
      <c r="L273" s="36">
        <f>IFERROR(Tabela_Base_Financeiro[[#This Row],[AC Qty,]],0)</f>
        <v>0</v>
      </c>
      <c r="M273" s="60">
        <f>Tabela6[[#This Row],[Qty]]*Tabela6[[#This Row],[Preço]]</f>
        <v>0</v>
      </c>
      <c r="N273" s="37">
        <f>IFERROR(Tabela_Base_Financeiro[[#This Row],[Proportion]],0)</f>
        <v>0</v>
      </c>
      <c r="O273" s="60">
        <f>Tabela6[[#This Row],[Proporção]]*Tabela6[[#This Row],[Total]]</f>
        <v>0</v>
      </c>
      <c r="P273" s="9"/>
      <c r="Q273"/>
      <c r="R273" s="220"/>
      <c r="S273" s="221"/>
    </row>
    <row r="274" spans="1:19">
      <c r="A274" s="122" t="e">
        <f>IF(VLOOKUP(Tabela6[[#This Row],[UF]],'BASE CC'!B:C,2,0)="SP",IF(Tabela6[[#This Row],[OPERADORA]]="TIM","SP TIM","SPI"),VLOOKUP(Tabela6[[#This Row],[UF]],'BASE CC'!B:C,2,0))</f>
        <v>#N/A</v>
      </c>
      <c r="B274" s="36" t="e">
        <f>VLOOKUP(Tabela_Base_Financeiro[[#This Row],[Item code]],'COD.FAT'!B:C,2,0)</f>
        <v>#N/A</v>
      </c>
      <c r="C274" s="292">
        <f>Tabela_Base_Financeiro[[#This Row],[PO Ship TO]]</f>
        <v>0</v>
      </c>
      <c r="D274" s="36" t="str">
        <f>RIGHT(Tabela_Base_Financeiro[[#This Row],[Manufacturer]],2)</f>
        <v/>
      </c>
      <c r="E27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74" s="122" t="e">
        <f>VLOOKUP(Tabela_Base_Financeiro[[#This Row],[Project Code]],'COD. PROJETOS'!B:D,3,0)</f>
        <v>#N/A</v>
      </c>
      <c r="G274" s="36">
        <f>IFERROR(Tabela_Base_Financeiro[[#This Row],[PO No,]],0)</f>
        <v>0</v>
      </c>
      <c r="H274" s="36">
        <f>IFERROR(Tabela_Base_Financeiro[[#This Row],[Line No,]],0)</f>
        <v>0</v>
      </c>
      <c r="I274" s="36" t="str">
        <f>IFERROR(MID(Tabela_Base_Financeiro[[#This Row],[Manufacturer]],19,14),"")</f>
        <v/>
      </c>
      <c r="J274" s="113">
        <f>IFERROR(Tabela_Base_Financeiro[[#This Row],[Item code]],0)</f>
        <v>0</v>
      </c>
      <c r="K274" s="293">
        <f>IFERROR(Tabela_Base_Financeiro[[#This Row],[Unit Price]],0)</f>
        <v>0</v>
      </c>
      <c r="L274" s="36">
        <f>IFERROR(Tabela_Base_Financeiro[[#This Row],[AC Qty,]],0)</f>
        <v>0</v>
      </c>
      <c r="M274" s="60">
        <f>Tabela6[[#This Row],[Qty]]*Tabela6[[#This Row],[Preço]]</f>
        <v>0</v>
      </c>
      <c r="N274" s="37">
        <f>IFERROR(Tabela_Base_Financeiro[[#This Row],[Proportion]],0)</f>
        <v>0</v>
      </c>
      <c r="O274" s="60">
        <f>Tabela6[[#This Row],[Proporção]]*Tabela6[[#This Row],[Total]]</f>
        <v>0</v>
      </c>
      <c r="P274" s="9"/>
      <c r="Q274"/>
      <c r="R274" s="220"/>
      <c r="S274" s="221"/>
    </row>
    <row r="275" spans="1:19">
      <c r="A275" s="122" t="e">
        <f>IF(VLOOKUP(Tabela6[[#This Row],[UF]],'BASE CC'!B:C,2,0)="SP",IF(Tabela6[[#This Row],[OPERADORA]]="TIM","SP TIM","SPI"),VLOOKUP(Tabela6[[#This Row],[UF]],'BASE CC'!B:C,2,0))</f>
        <v>#N/A</v>
      </c>
      <c r="B275" s="36" t="e">
        <f>VLOOKUP(Tabela_Base_Financeiro[[#This Row],[Item code]],'COD.FAT'!B:C,2,0)</f>
        <v>#N/A</v>
      </c>
      <c r="C275" s="292">
        <f>Tabela_Base_Financeiro[[#This Row],[PO Ship TO]]</f>
        <v>0</v>
      </c>
      <c r="D275" s="36" t="str">
        <f>RIGHT(Tabela_Base_Financeiro[[#This Row],[Manufacturer]],2)</f>
        <v/>
      </c>
      <c r="E27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75" s="122" t="e">
        <f>VLOOKUP(Tabela_Base_Financeiro[[#This Row],[Project Code]],'COD. PROJETOS'!B:D,3,0)</f>
        <v>#N/A</v>
      </c>
      <c r="G275" s="36">
        <f>IFERROR(Tabela_Base_Financeiro[[#This Row],[PO No,]],0)</f>
        <v>0</v>
      </c>
      <c r="H275" s="36">
        <f>IFERROR(Tabela_Base_Financeiro[[#This Row],[Line No,]],0)</f>
        <v>0</v>
      </c>
      <c r="I275" s="36" t="str">
        <f>IFERROR(MID(Tabela_Base_Financeiro[[#This Row],[Manufacturer]],19,14),"")</f>
        <v/>
      </c>
      <c r="J275" s="113">
        <f>IFERROR(Tabela_Base_Financeiro[[#This Row],[Item code]],0)</f>
        <v>0</v>
      </c>
      <c r="K275" s="293">
        <f>IFERROR(Tabela_Base_Financeiro[[#This Row],[Unit Price]],0)</f>
        <v>0</v>
      </c>
      <c r="L275" s="36">
        <f>IFERROR(Tabela_Base_Financeiro[[#This Row],[AC Qty,]],0)</f>
        <v>0</v>
      </c>
      <c r="M275" s="60">
        <f>Tabela6[[#This Row],[Qty]]*Tabela6[[#This Row],[Preço]]</f>
        <v>0</v>
      </c>
      <c r="N275" s="37">
        <f>IFERROR(Tabela_Base_Financeiro[[#This Row],[Proportion]],0)</f>
        <v>0</v>
      </c>
      <c r="O275" s="60">
        <f>Tabela6[[#This Row],[Proporção]]*Tabela6[[#This Row],[Total]]</f>
        <v>0</v>
      </c>
      <c r="P275" s="9"/>
      <c r="Q275"/>
      <c r="R275" s="220"/>
      <c r="S275" s="221"/>
    </row>
    <row r="276" spans="1:19">
      <c r="A276" s="122" t="e">
        <f>IF(VLOOKUP(Tabela6[[#This Row],[UF]],'BASE CC'!B:C,2,0)="SP",IF(Tabela6[[#This Row],[OPERADORA]]="TIM","SP TIM","SPI"),VLOOKUP(Tabela6[[#This Row],[UF]],'BASE CC'!B:C,2,0))</f>
        <v>#N/A</v>
      </c>
      <c r="B276" s="36" t="e">
        <f>VLOOKUP(Tabela_Base_Financeiro[[#This Row],[Item code]],'COD.FAT'!B:C,2,0)</f>
        <v>#N/A</v>
      </c>
      <c r="C276" s="292">
        <f>Tabela_Base_Financeiro[[#This Row],[PO Ship TO]]</f>
        <v>0</v>
      </c>
      <c r="D276" s="36" t="str">
        <f>RIGHT(Tabela_Base_Financeiro[[#This Row],[Manufacturer]],2)</f>
        <v/>
      </c>
      <c r="E27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76" s="122" t="e">
        <f>VLOOKUP(Tabela_Base_Financeiro[[#This Row],[Project Code]],'COD. PROJETOS'!B:D,3,0)</f>
        <v>#N/A</v>
      </c>
      <c r="G276" s="36">
        <f>IFERROR(Tabela_Base_Financeiro[[#This Row],[PO No,]],0)</f>
        <v>0</v>
      </c>
      <c r="H276" s="36">
        <f>IFERROR(Tabela_Base_Financeiro[[#This Row],[Line No,]],0)</f>
        <v>0</v>
      </c>
      <c r="I276" s="36" t="str">
        <f>IFERROR(MID(Tabela_Base_Financeiro[[#This Row],[Manufacturer]],19,14),"")</f>
        <v/>
      </c>
      <c r="J276" s="113">
        <f>IFERROR(Tabela_Base_Financeiro[[#This Row],[Item code]],0)</f>
        <v>0</v>
      </c>
      <c r="K276" s="293">
        <f>IFERROR(Tabela_Base_Financeiro[[#This Row],[Unit Price]],0)</f>
        <v>0</v>
      </c>
      <c r="L276" s="36">
        <f>IFERROR(Tabela_Base_Financeiro[[#This Row],[AC Qty,]],0)</f>
        <v>0</v>
      </c>
      <c r="M276" s="60">
        <f>Tabela6[[#This Row],[Qty]]*Tabela6[[#This Row],[Preço]]</f>
        <v>0</v>
      </c>
      <c r="N276" s="37">
        <f>IFERROR(Tabela_Base_Financeiro[[#This Row],[Proportion]],0)</f>
        <v>0</v>
      </c>
      <c r="O276" s="60">
        <f>Tabela6[[#This Row],[Proporção]]*Tabela6[[#This Row],[Total]]</f>
        <v>0</v>
      </c>
      <c r="P276" s="9"/>
      <c r="Q276"/>
      <c r="R276" s="220"/>
      <c r="S276" s="221"/>
    </row>
    <row r="277" spans="1:19">
      <c r="A277" s="122" t="e">
        <f>IF(VLOOKUP(Tabela6[[#This Row],[UF]],'BASE CC'!B:C,2,0)="SP",IF(Tabela6[[#This Row],[OPERADORA]]="TIM","SP TIM","SPI"),VLOOKUP(Tabela6[[#This Row],[UF]],'BASE CC'!B:C,2,0))</f>
        <v>#N/A</v>
      </c>
      <c r="B277" s="36" t="e">
        <f>VLOOKUP(Tabela_Base_Financeiro[[#This Row],[Item code]],'COD.FAT'!B:C,2,0)</f>
        <v>#N/A</v>
      </c>
      <c r="C277" s="292">
        <f>Tabela_Base_Financeiro[[#This Row],[PO Ship TO]]</f>
        <v>0</v>
      </c>
      <c r="D277" s="36" t="str">
        <f>RIGHT(Tabela_Base_Financeiro[[#This Row],[Manufacturer]],2)</f>
        <v/>
      </c>
      <c r="E27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77" s="122" t="e">
        <f>VLOOKUP(Tabela_Base_Financeiro[[#This Row],[Project Code]],'COD. PROJETOS'!B:D,3,0)</f>
        <v>#N/A</v>
      </c>
      <c r="G277" s="36">
        <f>IFERROR(Tabela_Base_Financeiro[[#This Row],[PO No,]],0)</f>
        <v>0</v>
      </c>
      <c r="H277" s="36">
        <f>IFERROR(Tabela_Base_Financeiro[[#This Row],[Line No,]],0)</f>
        <v>0</v>
      </c>
      <c r="I277" s="36" t="str">
        <f>IFERROR(MID(Tabela_Base_Financeiro[[#This Row],[Manufacturer]],19,14),"")</f>
        <v/>
      </c>
      <c r="J277" s="113">
        <f>IFERROR(Tabela_Base_Financeiro[[#This Row],[Item code]],0)</f>
        <v>0</v>
      </c>
      <c r="K277" s="293">
        <f>IFERROR(Tabela_Base_Financeiro[[#This Row],[Unit Price]],0)</f>
        <v>0</v>
      </c>
      <c r="L277" s="36">
        <f>IFERROR(Tabela_Base_Financeiro[[#This Row],[AC Qty,]],0)</f>
        <v>0</v>
      </c>
      <c r="M277" s="60">
        <f>Tabela6[[#This Row],[Qty]]*Tabela6[[#This Row],[Preço]]</f>
        <v>0</v>
      </c>
      <c r="N277" s="37">
        <f>IFERROR(Tabela_Base_Financeiro[[#This Row],[Proportion]],0)</f>
        <v>0</v>
      </c>
      <c r="O277" s="60">
        <f>Tabela6[[#This Row],[Proporção]]*Tabela6[[#This Row],[Total]]</f>
        <v>0</v>
      </c>
      <c r="P277" s="9"/>
      <c r="Q277"/>
      <c r="R277" s="220"/>
      <c r="S277" s="221"/>
    </row>
    <row r="278" spans="1:19">
      <c r="A278" s="122" t="e">
        <f>IF(VLOOKUP(Tabela6[[#This Row],[UF]],'BASE CC'!B:C,2,0)="SP",IF(Tabela6[[#This Row],[OPERADORA]]="TIM","SP TIM","SPI"),VLOOKUP(Tabela6[[#This Row],[UF]],'BASE CC'!B:C,2,0))</f>
        <v>#N/A</v>
      </c>
      <c r="B278" s="36" t="e">
        <f>VLOOKUP(Tabela_Base_Financeiro[[#This Row],[Item code]],'COD.FAT'!B:C,2,0)</f>
        <v>#N/A</v>
      </c>
      <c r="C278" s="292">
        <f>Tabela_Base_Financeiro[[#This Row],[PO Ship TO]]</f>
        <v>0</v>
      </c>
      <c r="D278" s="36" t="str">
        <f>RIGHT(Tabela_Base_Financeiro[[#This Row],[Manufacturer]],2)</f>
        <v/>
      </c>
      <c r="E27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78" s="122" t="e">
        <f>VLOOKUP(Tabela_Base_Financeiro[[#This Row],[Project Code]],'COD. PROJETOS'!B:D,3,0)</f>
        <v>#N/A</v>
      </c>
      <c r="G278" s="36">
        <f>IFERROR(Tabela_Base_Financeiro[[#This Row],[PO No,]],0)</f>
        <v>0</v>
      </c>
      <c r="H278" s="36">
        <f>IFERROR(Tabela_Base_Financeiro[[#This Row],[Line No,]],0)</f>
        <v>0</v>
      </c>
      <c r="I278" s="36" t="str">
        <f>IFERROR(MID(Tabela_Base_Financeiro[[#This Row],[Manufacturer]],19,14),"")</f>
        <v/>
      </c>
      <c r="J278" s="113">
        <f>IFERROR(Tabela_Base_Financeiro[[#This Row],[Item code]],0)</f>
        <v>0</v>
      </c>
      <c r="K278" s="293">
        <f>IFERROR(Tabela_Base_Financeiro[[#This Row],[Unit Price]],0)</f>
        <v>0</v>
      </c>
      <c r="L278" s="36">
        <f>IFERROR(Tabela_Base_Financeiro[[#This Row],[AC Qty,]],0)</f>
        <v>0</v>
      </c>
      <c r="M278" s="60">
        <f>Tabela6[[#This Row],[Qty]]*Tabela6[[#This Row],[Preço]]</f>
        <v>0</v>
      </c>
      <c r="N278" s="37">
        <f>IFERROR(Tabela_Base_Financeiro[[#This Row],[Proportion]],0)</f>
        <v>0</v>
      </c>
      <c r="O278" s="60">
        <f>Tabela6[[#This Row],[Proporção]]*Tabela6[[#This Row],[Total]]</f>
        <v>0</v>
      </c>
      <c r="P278" s="9"/>
      <c r="Q278"/>
      <c r="R278" s="220"/>
      <c r="S278" s="221"/>
    </row>
    <row r="279" spans="1:19">
      <c r="A279" s="122" t="e">
        <f>IF(VLOOKUP(Tabela6[[#This Row],[UF]],'BASE CC'!B:C,2,0)="SP",IF(Tabela6[[#This Row],[OPERADORA]]="TIM","SP TIM","SPI"),VLOOKUP(Tabela6[[#This Row],[UF]],'BASE CC'!B:C,2,0))</f>
        <v>#N/A</v>
      </c>
      <c r="B279" s="36" t="e">
        <f>VLOOKUP(Tabela_Base_Financeiro[[#This Row],[Item code]],'COD.FAT'!B:C,2,0)</f>
        <v>#N/A</v>
      </c>
      <c r="C279" s="292">
        <f>Tabela_Base_Financeiro[[#This Row],[PO Ship TO]]</f>
        <v>0</v>
      </c>
      <c r="D279" s="36" t="str">
        <f>RIGHT(Tabela_Base_Financeiro[[#This Row],[Manufacturer]],2)</f>
        <v/>
      </c>
      <c r="E27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79" s="122" t="e">
        <f>VLOOKUP(Tabela_Base_Financeiro[[#This Row],[Project Code]],'COD. PROJETOS'!B:D,3,0)</f>
        <v>#N/A</v>
      </c>
      <c r="G279" s="36">
        <f>IFERROR(Tabela_Base_Financeiro[[#This Row],[PO No,]],0)</f>
        <v>0</v>
      </c>
      <c r="H279" s="36">
        <f>IFERROR(Tabela_Base_Financeiro[[#This Row],[Line No,]],0)</f>
        <v>0</v>
      </c>
      <c r="I279" s="36" t="str">
        <f>IFERROR(MID(Tabela_Base_Financeiro[[#This Row],[Manufacturer]],19,14),"")</f>
        <v/>
      </c>
      <c r="J279" s="113">
        <f>IFERROR(Tabela_Base_Financeiro[[#This Row],[Item code]],0)</f>
        <v>0</v>
      </c>
      <c r="K279" s="293">
        <f>IFERROR(Tabela_Base_Financeiro[[#This Row],[Unit Price]],0)</f>
        <v>0</v>
      </c>
      <c r="L279" s="36">
        <f>IFERROR(Tabela_Base_Financeiro[[#This Row],[AC Qty,]],0)</f>
        <v>0</v>
      </c>
      <c r="M279" s="60">
        <f>Tabela6[[#This Row],[Qty]]*Tabela6[[#This Row],[Preço]]</f>
        <v>0</v>
      </c>
      <c r="N279" s="37">
        <f>IFERROR(Tabela_Base_Financeiro[[#This Row],[Proportion]],0)</f>
        <v>0</v>
      </c>
      <c r="O279" s="60">
        <f>Tabela6[[#This Row],[Proporção]]*Tabela6[[#This Row],[Total]]</f>
        <v>0</v>
      </c>
      <c r="P279" s="9"/>
      <c r="Q279"/>
      <c r="R279" s="220"/>
      <c r="S279" s="221"/>
    </row>
    <row r="280" spans="1:19">
      <c r="A280" s="122" t="e">
        <f>IF(VLOOKUP(Tabela6[[#This Row],[UF]],'BASE CC'!B:C,2,0)="SP",IF(Tabela6[[#This Row],[OPERADORA]]="TIM","SP TIM","SPI"),VLOOKUP(Tabela6[[#This Row],[UF]],'BASE CC'!B:C,2,0))</f>
        <v>#N/A</v>
      </c>
      <c r="B280" s="36" t="e">
        <f>VLOOKUP(Tabela_Base_Financeiro[[#This Row],[Item code]],'COD.FAT'!B:C,2,0)</f>
        <v>#N/A</v>
      </c>
      <c r="C280" s="292">
        <f>Tabela_Base_Financeiro[[#This Row],[PO Ship TO]]</f>
        <v>0</v>
      </c>
      <c r="D280" s="36" t="str">
        <f>RIGHT(Tabela_Base_Financeiro[[#This Row],[Manufacturer]],2)</f>
        <v/>
      </c>
      <c r="E28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80" s="122" t="e">
        <f>VLOOKUP(Tabela_Base_Financeiro[[#This Row],[Project Code]],'COD. PROJETOS'!B:D,3,0)</f>
        <v>#N/A</v>
      </c>
      <c r="G280" s="36">
        <f>IFERROR(Tabela_Base_Financeiro[[#This Row],[PO No,]],0)</f>
        <v>0</v>
      </c>
      <c r="H280" s="36">
        <f>IFERROR(Tabela_Base_Financeiro[[#This Row],[Line No,]],0)</f>
        <v>0</v>
      </c>
      <c r="I280" s="36" t="str">
        <f>IFERROR(MID(Tabela_Base_Financeiro[[#This Row],[Manufacturer]],19,14),"")</f>
        <v/>
      </c>
      <c r="J280" s="113">
        <f>IFERROR(Tabela_Base_Financeiro[[#This Row],[Item code]],0)</f>
        <v>0</v>
      </c>
      <c r="K280" s="293">
        <f>IFERROR(Tabela_Base_Financeiro[[#This Row],[Unit Price]],0)</f>
        <v>0</v>
      </c>
      <c r="L280" s="36">
        <f>IFERROR(Tabela_Base_Financeiro[[#This Row],[AC Qty,]],0)</f>
        <v>0</v>
      </c>
      <c r="M280" s="60">
        <f>Tabela6[[#This Row],[Qty]]*Tabela6[[#This Row],[Preço]]</f>
        <v>0</v>
      </c>
      <c r="N280" s="37">
        <f>IFERROR(Tabela_Base_Financeiro[[#This Row],[Proportion]],0)</f>
        <v>0</v>
      </c>
      <c r="O280" s="60">
        <f>Tabela6[[#This Row],[Proporção]]*Tabela6[[#This Row],[Total]]</f>
        <v>0</v>
      </c>
      <c r="P280" s="9"/>
      <c r="Q280"/>
      <c r="R280" s="220"/>
      <c r="S280" s="221"/>
    </row>
    <row r="281" spans="1:19">
      <c r="A281" s="122" t="e">
        <f>IF(VLOOKUP(Tabela6[[#This Row],[UF]],'BASE CC'!B:C,2,0)="SP",IF(Tabela6[[#This Row],[OPERADORA]]="TIM","SP TIM","SPI"),VLOOKUP(Tabela6[[#This Row],[UF]],'BASE CC'!B:C,2,0))</f>
        <v>#N/A</v>
      </c>
      <c r="B281" s="36" t="e">
        <f>VLOOKUP(Tabela_Base_Financeiro[[#This Row],[Item code]],'COD.FAT'!B:C,2,0)</f>
        <v>#N/A</v>
      </c>
      <c r="C281" s="292">
        <f>Tabela_Base_Financeiro[[#This Row],[PO Ship TO]]</f>
        <v>0</v>
      </c>
      <c r="D281" s="36" t="str">
        <f>RIGHT(Tabela_Base_Financeiro[[#This Row],[Manufacturer]],2)</f>
        <v/>
      </c>
      <c r="E28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81" s="122" t="e">
        <f>VLOOKUP(Tabela_Base_Financeiro[[#This Row],[Project Code]],'COD. PROJETOS'!B:D,3,0)</f>
        <v>#N/A</v>
      </c>
      <c r="G281" s="36">
        <f>IFERROR(Tabela_Base_Financeiro[[#This Row],[PO No,]],0)</f>
        <v>0</v>
      </c>
      <c r="H281" s="36">
        <f>IFERROR(Tabela_Base_Financeiro[[#This Row],[Line No,]],0)</f>
        <v>0</v>
      </c>
      <c r="I281" s="36" t="str">
        <f>IFERROR(MID(Tabela_Base_Financeiro[[#This Row],[Manufacturer]],19,14),"")</f>
        <v/>
      </c>
      <c r="J281" s="113">
        <f>IFERROR(Tabela_Base_Financeiro[[#This Row],[Item code]],0)</f>
        <v>0</v>
      </c>
      <c r="K281" s="293">
        <f>IFERROR(Tabela_Base_Financeiro[[#This Row],[Unit Price]],0)</f>
        <v>0</v>
      </c>
      <c r="L281" s="36">
        <f>IFERROR(Tabela_Base_Financeiro[[#This Row],[AC Qty,]],0)</f>
        <v>0</v>
      </c>
      <c r="M281" s="60">
        <f>Tabela6[[#This Row],[Qty]]*Tabela6[[#This Row],[Preço]]</f>
        <v>0</v>
      </c>
      <c r="N281" s="37">
        <f>IFERROR(Tabela_Base_Financeiro[[#This Row],[Proportion]],0)</f>
        <v>0</v>
      </c>
      <c r="O281" s="60">
        <f>Tabela6[[#This Row],[Proporção]]*Tabela6[[#This Row],[Total]]</f>
        <v>0</v>
      </c>
      <c r="P281" s="9"/>
      <c r="Q281"/>
      <c r="R281" s="220"/>
      <c r="S281" s="221"/>
    </row>
    <row r="282" spans="1:19">
      <c r="A282" s="122" t="e">
        <f>IF(VLOOKUP(Tabela6[[#This Row],[UF]],'BASE CC'!B:C,2,0)="SP",IF(Tabela6[[#This Row],[OPERADORA]]="TIM","SP TIM","SPI"),VLOOKUP(Tabela6[[#This Row],[UF]],'BASE CC'!B:C,2,0))</f>
        <v>#N/A</v>
      </c>
      <c r="B282" s="36" t="e">
        <f>VLOOKUP(Tabela_Base_Financeiro[[#This Row],[Item code]],'COD.FAT'!B:C,2,0)</f>
        <v>#N/A</v>
      </c>
      <c r="C282" s="292">
        <f>Tabela_Base_Financeiro[[#This Row],[PO Ship TO]]</f>
        <v>0</v>
      </c>
      <c r="D282" s="36" t="str">
        <f>RIGHT(Tabela_Base_Financeiro[[#This Row],[Manufacturer]],2)</f>
        <v/>
      </c>
      <c r="E28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82" s="122" t="e">
        <f>VLOOKUP(Tabela_Base_Financeiro[[#This Row],[Project Code]],'COD. PROJETOS'!B:D,3,0)</f>
        <v>#N/A</v>
      </c>
      <c r="G282" s="36">
        <f>IFERROR(Tabela_Base_Financeiro[[#This Row],[PO No,]],0)</f>
        <v>0</v>
      </c>
      <c r="H282" s="36">
        <f>IFERROR(Tabela_Base_Financeiro[[#This Row],[Line No,]],0)</f>
        <v>0</v>
      </c>
      <c r="I282" s="36" t="str">
        <f>IFERROR(MID(Tabela_Base_Financeiro[[#This Row],[Manufacturer]],19,14),"")</f>
        <v/>
      </c>
      <c r="J282" s="113">
        <f>IFERROR(Tabela_Base_Financeiro[[#This Row],[Item code]],0)</f>
        <v>0</v>
      </c>
      <c r="K282" s="293">
        <f>IFERROR(Tabela_Base_Financeiro[[#This Row],[Unit Price]],0)</f>
        <v>0</v>
      </c>
      <c r="L282" s="36">
        <f>IFERROR(Tabela_Base_Financeiro[[#This Row],[AC Qty,]],0)</f>
        <v>0</v>
      </c>
      <c r="M282" s="60">
        <f>Tabela6[[#This Row],[Qty]]*Tabela6[[#This Row],[Preço]]</f>
        <v>0</v>
      </c>
      <c r="N282" s="37">
        <f>IFERROR(Tabela_Base_Financeiro[[#This Row],[Proportion]],0)</f>
        <v>0</v>
      </c>
      <c r="O282" s="60">
        <f>Tabela6[[#This Row],[Proporção]]*Tabela6[[#This Row],[Total]]</f>
        <v>0</v>
      </c>
      <c r="P282" s="9"/>
      <c r="Q282"/>
      <c r="R282" s="220"/>
      <c r="S282" s="221"/>
    </row>
    <row r="283" spans="1:19">
      <c r="A283" s="122" t="e">
        <f>IF(VLOOKUP(Tabela6[[#This Row],[UF]],'BASE CC'!B:C,2,0)="SP",IF(Tabela6[[#This Row],[OPERADORA]]="TIM","SP TIM","SPI"),VLOOKUP(Tabela6[[#This Row],[UF]],'BASE CC'!B:C,2,0))</f>
        <v>#N/A</v>
      </c>
      <c r="B283" s="36" t="e">
        <f>VLOOKUP(Tabela_Base_Financeiro[[#This Row],[Item code]],'COD.FAT'!B:C,2,0)</f>
        <v>#N/A</v>
      </c>
      <c r="C283" s="292">
        <f>Tabela_Base_Financeiro[[#This Row],[PO Ship TO]]</f>
        <v>0</v>
      </c>
      <c r="D283" s="36" t="str">
        <f>RIGHT(Tabela_Base_Financeiro[[#This Row],[Manufacturer]],2)</f>
        <v/>
      </c>
      <c r="E28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83" s="122" t="e">
        <f>VLOOKUP(Tabela_Base_Financeiro[[#This Row],[Project Code]],'COD. PROJETOS'!B:D,3,0)</f>
        <v>#N/A</v>
      </c>
      <c r="G283" s="36">
        <f>IFERROR(Tabela_Base_Financeiro[[#This Row],[PO No,]],0)</f>
        <v>0</v>
      </c>
      <c r="H283" s="36">
        <f>IFERROR(Tabela_Base_Financeiro[[#This Row],[Line No,]],0)</f>
        <v>0</v>
      </c>
      <c r="I283" s="36" t="str">
        <f>IFERROR(MID(Tabela_Base_Financeiro[[#This Row],[Manufacturer]],19,14),"")</f>
        <v/>
      </c>
      <c r="J283" s="113">
        <f>IFERROR(Tabela_Base_Financeiro[[#This Row],[Item code]],0)</f>
        <v>0</v>
      </c>
      <c r="K283" s="293">
        <f>IFERROR(Tabela_Base_Financeiro[[#This Row],[Unit Price]],0)</f>
        <v>0</v>
      </c>
      <c r="L283" s="36">
        <f>IFERROR(Tabela_Base_Financeiro[[#This Row],[AC Qty,]],0)</f>
        <v>0</v>
      </c>
      <c r="M283" s="60">
        <f>Tabela6[[#This Row],[Qty]]*Tabela6[[#This Row],[Preço]]</f>
        <v>0</v>
      </c>
      <c r="N283" s="37">
        <f>IFERROR(Tabela_Base_Financeiro[[#This Row],[Proportion]],0)</f>
        <v>0</v>
      </c>
      <c r="O283" s="60">
        <f>Tabela6[[#This Row],[Proporção]]*Tabela6[[#This Row],[Total]]</f>
        <v>0</v>
      </c>
      <c r="P283" s="9"/>
      <c r="Q283"/>
      <c r="R283" s="220"/>
      <c r="S283" s="221"/>
    </row>
    <row r="284" spans="1:19">
      <c r="A284" s="122" t="e">
        <f>IF(VLOOKUP(Tabela6[[#This Row],[UF]],'BASE CC'!B:C,2,0)="SP",IF(Tabela6[[#This Row],[OPERADORA]]="TIM","SP TIM","SPI"),VLOOKUP(Tabela6[[#This Row],[UF]],'BASE CC'!B:C,2,0))</f>
        <v>#N/A</v>
      </c>
      <c r="B284" s="36" t="e">
        <f>VLOOKUP(Tabela_Base_Financeiro[[#This Row],[Item code]],'COD.FAT'!B:C,2,0)</f>
        <v>#N/A</v>
      </c>
      <c r="C284" s="292">
        <f>Tabela_Base_Financeiro[[#This Row],[PO Ship TO]]</f>
        <v>0</v>
      </c>
      <c r="D284" s="36" t="str">
        <f>RIGHT(Tabela_Base_Financeiro[[#This Row],[Manufacturer]],2)</f>
        <v/>
      </c>
      <c r="E28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84" s="122" t="e">
        <f>VLOOKUP(Tabela_Base_Financeiro[[#This Row],[Project Code]],'COD. PROJETOS'!B:D,3,0)</f>
        <v>#N/A</v>
      </c>
      <c r="G284" s="36">
        <f>IFERROR(Tabela_Base_Financeiro[[#This Row],[PO No,]],0)</f>
        <v>0</v>
      </c>
      <c r="H284" s="36">
        <f>IFERROR(Tabela_Base_Financeiro[[#This Row],[Line No,]],0)</f>
        <v>0</v>
      </c>
      <c r="I284" s="36" t="str">
        <f>IFERROR(MID(Tabela_Base_Financeiro[[#This Row],[Manufacturer]],19,14),"")</f>
        <v/>
      </c>
      <c r="J284" s="113">
        <f>IFERROR(Tabela_Base_Financeiro[[#This Row],[Item code]],0)</f>
        <v>0</v>
      </c>
      <c r="K284" s="293">
        <f>IFERROR(Tabela_Base_Financeiro[[#This Row],[Unit Price]],0)</f>
        <v>0</v>
      </c>
      <c r="L284" s="36">
        <f>IFERROR(Tabela_Base_Financeiro[[#This Row],[AC Qty,]],0)</f>
        <v>0</v>
      </c>
      <c r="M284" s="60">
        <f>Tabela6[[#This Row],[Qty]]*Tabela6[[#This Row],[Preço]]</f>
        <v>0</v>
      </c>
      <c r="N284" s="37">
        <f>IFERROR(Tabela_Base_Financeiro[[#This Row],[Proportion]],0)</f>
        <v>0</v>
      </c>
      <c r="O284" s="60">
        <f>Tabela6[[#This Row],[Proporção]]*Tabela6[[#This Row],[Total]]</f>
        <v>0</v>
      </c>
      <c r="P284" s="9"/>
      <c r="Q284"/>
      <c r="R284" s="220"/>
      <c r="S284" s="221"/>
    </row>
    <row r="285" spans="1:19">
      <c r="A285" s="122" t="e">
        <f>IF(VLOOKUP(Tabela6[[#This Row],[UF]],'BASE CC'!B:C,2,0)="SP",IF(Tabela6[[#This Row],[OPERADORA]]="TIM","SP TIM","SPI"),VLOOKUP(Tabela6[[#This Row],[UF]],'BASE CC'!B:C,2,0))</f>
        <v>#N/A</v>
      </c>
      <c r="B285" s="36" t="e">
        <f>VLOOKUP(Tabela_Base_Financeiro[[#This Row],[Item code]],'COD.FAT'!B:C,2,0)</f>
        <v>#N/A</v>
      </c>
      <c r="C285" s="292">
        <f>Tabela_Base_Financeiro[[#This Row],[PO Ship TO]]</f>
        <v>0</v>
      </c>
      <c r="D285" s="36" t="str">
        <f>RIGHT(Tabela_Base_Financeiro[[#This Row],[Manufacturer]],2)</f>
        <v/>
      </c>
      <c r="E28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85" s="122" t="e">
        <f>VLOOKUP(Tabela_Base_Financeiro[[#This Row],[Project Code]],'COD. PROJETOS'!B:D,3,0)</f>
        <v>#N/A</v>
      </c>
      <c r="G285" s="36">
        <f>IFERROR(Tabela_Base_Financeiro[[#This Row],[PO No,]],0)</f>
        <v>0</v>
      </c>
      <c r="H285" s="36">
        <f>IFERROR(Tabela_Base_Financeiro[[#This Row],[Line No,]],0)</f>
        <v>0</v>
      </c>
      <c r="I285" s="36" t="str">
        <f>IFERROR(MID(Tabela_Base_Financeiro[[#This Row],[Manufacturer]],19,14),"")</f>
        <v/>
      </c>
      <c r="J285" s="113">
        <f>IFERROR(Tabela_Base_Financeiro[[#This Row],[Item code]],0)</f>
        <v>0</v>
      </c>
      <c r="K285" s="293">
        <f>IFERROR(Tabela_Base_Financeiro[[#This Row],[Unit Price]],0)</f>
        <v>0</v>
      </c>
      <c r="L285" s="36">
        <f>IFERROR(Tabela_Base_Financeiro[[#This Row],[AC Qty,]],0)</f>
        <v>0</v>
      </c>
      <c r="M285" s="60">
        <f>Tabela6[[#This Row],[Qty]]*Tabela6[[#This Row],[Preço]]</f>
        <v>0</v>
      </c>
      <c r="N285" s="37">
        <f>IFERROR(Tabela_Base_Financeiro[[#This Row],[Proportion]],0)</f>
        <v>0</v>
      </c>
      <c r="O285" s="60">
        <f>Tabela6[[#This Row],[Proporção]]*Tabela6[[#This Row],[Total]]</f>
        <v>0</v>
      </c>
      <c r="P285" s="9"/>
      <c r="Q285"/>
      <c r="R285" s="220"/>
      <c r="S285" s="221"/>
    </row>
    <row r="286" spans="1:19">
      <c r="A286" s="122" t="e">
        <f>IF(VLOOKUP(Tabela6[[#This Row],[UF]],'BASE CC'!B:C,2,0)="SP",IF(Tabela6[[#This Row],[OPERADORA]]="TIM","SP TIM","SPI"),VLOOKUP(Tabela6[[#This Row],[UF]],'BASE CC'!B:C,2,0))</f>
        <v>#N/A</v>
      </c>
      <c r="B286" s="36" t="e">
        <f>VLOOKUP(Tabela_Base_Financeiro[[#This Row],[Item code]],'COD.FAT'!B:C,2,0)</f>
        <v>#N/A</v>
      </c>
      <c r="C286" s="292">
        <f>Tabela_Base_Financeiro[[#This Row],[PO Ship TO]]</f>
        <v>0</v>
      </c>
      <c r="D286" s="36" t="str">
        <f>RIGHT(Tabela_Base_Financeiro[[#This Row],[Manufacturer]],2)</f>
        <v/>
      </c>
      <c r="E28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86" s="122" t="e">
        <f>VLOOKUP(Tabela_Base_Financeiro[[#This Row],[Project Code]],'COD. PROJETOS'!B:D,3,0)</f>
        <v>#N/A</v>
      </c>
      <c r="G286" s="36">
        <f>IFERROR(Tabela_Base_Financeiro[[#This Row],[PO No,]],0)</f>
        <v>0</v>
      </c>
      <c r="H286" s="36">
        <f>IFERROR(Tabela_Base_Financeiro[[#This Row],[Line No,]],0)</f>
        <v>0</v>
      </c>
      <c r="I286" s="36" t="str">
        <f>IFERROR(MID(Tabela_Base_Financeiro[[#This Row],[Manufacturer]],19,14),"")</f>
        <v/>
      </c>
      <c r="J286" s="113">
        <f>IFERROR(Tabela_Base_Financeiro[[#This Row],[Item code]],0)</f>
        <v>0</v>
      </c>
      <c r="K286" s="293">
        <f>IFERROR(Tabela_Base_Financeiro[[#This Row],[Unit Price]],0)</f>
        <v>0</v>
      </c>
      <c r="L286" s="36">
        <f>IFERROR(Tabela_Base_Financeiro[[#This Row],[AC Qty,]],0)</f>
        <v>0</v>
      </c>
      <c r="M286" s="60">
        <f>Tabela6[[#This Row],[Qty]]*Tabela6[[#This Row],[Preço]]</f>
        <v>0</v>
      </c>
      <c r="N286" s="37">
        <f>IFERROR(Tabela_Base_Financeiro[[#This Row],[Proportion]],0)</f>
        <v>0</v>
      </c>
      <c r="O286" s="60">
        <f>Tabela6[[#This Row],[Proporção]]*Tabela6[[#This Row],[Total]]</f>
        <v>0</v>
      </c>
      <c r="P286" s="9"/>
      <c r="Q286"/>
      <c r="R286" s="220"/>
      <c r="S286" s="221"/>
    </row>
    <row r="287" spans="1:19">
      <c r="A287" s="122" t="e">
        <f>IF(VLOOKUP(Tabela6[[#This Row],[UF]],'BASE CC'!B:C,2,0)="SP",IF(Tabela6[[#This Row],[OPERADORA]]="TIM","SP TIM","SPI"),VLOOKUP(Tabela6[[#This Row],[UF]],'BASE CC'!B:C,2,0))</f>
        <v>#N/A</v>
      </c>
      <c r="B287" s="36" t="e">
        <f>VLOOKUP(Tabela_Base_Financeiro[[#This Row],[Item code]],'COD.FAT'!B:C,2,0)</f>
        <v>#N/A</v>
      </c>
      <c r="C287" s="292">
        <f>Tabela_Base_Financeiro[[#This Row],[PO Ship TO]]</f>
        <v>0</v>
      </c>
      <c r="D287" s="36" t="str">
        <f>RIGHT(Tabela_Base_Financeiro[[#This Row],[Manufacturer]],2)</f>
        <v/>
      </c>
      <c r="E28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87" s="122" t="e">
        <f>VLOOKUP(Tabela_Base_Financeiro[[#This Row],[Project Code]],'COD. PROJETOS'!B:D,3,0)</f>
        <v>#N/A</v>
      </c>
      <c r="G287" s="36">
        <f>IFERROR(Tabela_Base_Financeiro[[#This Row],[PO No,]],0)</f>
        <v>0</v>
      </c>
      <c r="H287" s="36">
        <f>IFERROR(Tabela_Base_Financeiro[[#This Row],[Line No,]],0)</f>
        <v>0</v>
      </c>
      <c r="I287" s="36" t="str">
        <f>IFERROR(MID(Tabela_Base_Financeiro[[#This Row],[Manufacturer]],19,14),"")</f>
        <v/>
      </c>
      <c r="J287" s="113">
        <f>IFERROR(Tabela_Base_Financeiro[[#This Row],[Item code]],0)</f>
        <v>0</v>
      </c>
      <c r="K287" s="293">
        <f>IFERROR(Tabela_Base_Financeiro[[#This Row],[Unit Price]],0)</f>
        <v>0</v>
      </c>
      <c r="L287" s="36">
        <f>IFERROR(Tabela_Base_Financeiro[[#This Row],[AC Qty,]],0)</f>
        <v>0</v>
      </c>
      <c r="M287" s="60">
        <f>Tabela6[[#This Row],[Qty]]*Tabela6[[#This Row],[Preço]]</f>
        <v>0</v>
      </c>
      <c r="N287" s="37">
        <f>IFERROR(Tabela_Base_Financeiro[[#This Row],[Proportion]],0)</f>
        <v>0</v>
      </c>
      <c r="O287" s="60">
        <f>Tabela6[[#This Row],[Proporção]]*Tabela6[[#This Row],[Total]]</f>
        <v>0</v>
      </c>
      <c r="P287" s="9"/>
      <c r="Q287"/>
      <c r="R287" s="220"/>
      <c r="S287" s="221"/>
    </row>
    <row r="288" spans="1:19">
      <c r="A288" s="122" t="e">
        <f>IF(VLOOKUP(Tabela6[[#This Row],[UF]],'BASE CC'!B:C,2,0)="SP",IF(Tabela6[[#This Row],[OPERADORA]]="TIM","SP TIM","SPI"),VLOOKUP(Tabela6[[#This Row],[UF]],'BASE CC'!B:C,2,0))</f>
        <v>#N/A</v>
      </c>
      <c r="B288" s="36" t="e">
        <f>VLOOKUP(Tabela_Base_Financeiro[[#This Row],[Item code]],'COD.FAT'!B:C,2,0)</f>
        <v>#N/A</v>
      </c>
      <c r="C288" s="292">
        <f>Tabela_Base_Financeiro[[#This Row],[PO Ship TO]]</f>
        <v>0</v>
      </c>
      <c r="D288" s="36" t="str">
        <f>RIGHT(Tabela_Base_Financeiro[[#This Row],[Manufacturer]],2)</f>
        <v/>
      </c>
      <c r="E28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88" s="122" t="e">
        <f>VLOOKUP(Tabela_Base_Financeiro[[#This Row],[Project Code]],'COD. PROJETOS'!B:D,3,0)</f>
        <v>#N/A</v>
      </c>
      <c r="G288" s="36">
        <f>IFERROR(Tabela_Base_Financeiro[[#This Row],[PO No,]],0)</f>
        <v>0</v>
      </c>
      <c r="H288" s="36">
        <f>IFERROR(Tabela_Base_Financeiro[[#This Row],[Line No,]],0)</f>
        <v>0</v>
      </c>
      <c r="I288" s="36" t="str">
        <f>IFERROR(MID(Tabela_Base_Financeiro[[#This Row],[Manufacturer]],19,14),"")</f>
        <v/>
      </c>
      <c r="J288" s="113">
        <f>IFERROR(Tabela_Base_Financeiro[[#This Row],[Item code]],0)</f>
        <v>0</v>
      </c>
      <c r="K288" s="293">
        <f>IFERROR(Tabela_Base_Financeiro[[#This Row],[Unit Price]],0)</f>
        <v>0</v>
      </c>
      <c r="L288" s="36">
        <f>IFERROR(Tabela_Base_Financeiro[[#This Row],[AC Qty,]],0)</f>
        <v>0</v>
      </c>
      <c r="M288" s="60">
        <f>Tabela6[[#This Row],[Qty]]*Tabela6[[#This Row],[Preço]]</f>
        <v>0</v>
      </c>
      <c r="N288" s="37">
        <f>IFERROR(Tabela_Base_Financeiro[[#This Row],[Proportion]],0)</f>
        <v>0</v>
      </c>
      <c r="O288" s="60">
        <f>Tabela6[[#This Row],[Proporção]]*Tabela6[[#This Row],[Total]]</f>
        <v>0</v>
      </c>
      <c r="P288" s="9"/>
      <c r="Q288"/>
      <c r="R288" s="220"/>
      <c r="S288" s="221"/>
    </row>
    <row r="289" spans="1:19">
      <c r="A289" s="122" t="e">
        <f>IF(VLOOKUP(Tabela6[[#This Row],[UF]],'BASE CC'!B:C,2,0)="SP",IF(Tabela6[[#This Row],[OPERADORA]]="TIM","SP TIM","SPI"),VLOOKUP(Tabela6[[#This Row],[UF]],'BASE CC'!B:C,2,0))</f>
        <v>#N/A</v>
      </c>
      <c r="B289" s="36" t="e">
        <f>VLOOKUP(Tabela_Base_Financeiro[[#This Row],[Item code]],'COD.FAT'!B:C,2,0)</f>
        <v>#N/A</v>
      </c>
      <c r="C289" s="292">
        <f>Tabela_Base_Financeiro[[#This Row],[PO Ship TO]]</f>
        <v>0</v>
      </c>
      <c r="D289" s="36" t="str">
        <f>RIGHT(Tabela_Base_Financeiro[[#This Row],[Manufacturer]],2)</f>
        <v/>
      </c>
      <c r="E28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89" s="122" t="e">
        <f>VLOOKUP(Tabela_Base_Financeiro[[#This Row],[Project Code]],'COD. PROJETOS'!B:D,3,0)</f>
        <v>#N/A</v>
      </c>
      <c r="G289" s="36">
        <f>IFERROR(Tabela_Base_Financeiro[[#This Row],[PO No,]],0)</f>
        <v>0</v>
      </c>
      <c r="H289" s="36">
        <f>IFERROR(Tabela_Base_Financeiro[[#This Row],[Line No,]],0)</f>
        <v>0</v>
      </c>
      <c r="I289" s="36" t="str">
        <f>IFERROR(MID(Tabela_Base_Financeiro[[#This Row],[Manufacturer]],19,14),"")</f>
        <v/>
      </c>
      <c r="J289" s="113">
        <f>IFERROR(Tabela_Base_Financeiro[[#This Row],[Item code]],0)</f>
        <v>0</v>
      </c>
      <c r="K289" s="293">
        <f>IFERROR(Tabela_Base_Financeiro[[#This Row],[Unit Price]],0)</f>
        <v>0</v>
      </c>
      <c r="L289" s="36">
        <f>IFERROR(Tabela_Base_Financeiro[[#This Row],[AC Qty,]],0)</f>
        <v>0</v>
      </c>
      <c r="M289" s="60">
        <f>Tabela6[[#This Row],[Qty]]*Tabela6[[#This Row],[Preço]]</f>
        <v>0</v>
      </c>
      <c r="N289" s="37">
        <f>IFERROR(Tabela_Base_Financeiro[[#This Row],[Proportion]],0)</f>
        <v>0</v>
      </c>
      <c r="O289" s="60">
        <f>Tabela6[[#This Row],[Proporção]]*Tabela6[[#This Row],[Total]]</f>
        <v>0</v>
      </c>
      <c r="P289" s="9"/>
      <c r="Q289"/>
      <c r="R289" s="220"/>
      <c r="S289" s="221"/>
    </row>
    <row r="290" spans="1:19">
      <c r="A290" s="122" t="e">
        <f>IF(VLOOKUP(Tabela6[[#This Row],[UF]],'BASE CC'!B:C,2,0)="SP",IF(Tabela6[[#This Row],[OPERADORA]]="TIM","SP TIM","SPI"),VLOOKUP(Tabela6[[#This Row],[UF]],'BASE CC'!B:C,2,0))</f>
        <v>#N/A</v>
      </c>
      <c r="B290" s="36" t="e">
        <f>VLOOKUP(Tabela_Base_Financeiro[[#This Row],[Item code]],'COD.FAT'!B:C,2,0)</f>
        <v>#N/A</v>
      </c>
      <c r="C290" s="292">
        <f>Tabela_Base_Financeiro[[#This Row],[PO Ship TO]]</f>
        <v>0</v>
      </c>
      <c r="D290" s="36" t="str">
        <f>RIGHT(Tabela_Base_Financeiro[[#This Row],[Manufacturer]],2)</f>
        <v/>
      </c>
      <c r="E29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90" s="122" t="e">
        <f>VLOOKUP(Tabela_Base_Financeiro[[#This Row],[Project Code]],'COD. PROJETOS'!B:D,3,0)</f>
        <v>#N/A</v>
      </c>
      <c r="G290" s="36">
        <f>IFERROR(Tabela_Base_Financeiro[[#This Row],[PO No,]],0)</f>
        <v>0</v>
      </c>
      <c r="H290" s="36">
        <f>IFERROR(Tabela_Base_Financeiro[[#This Row],[Line No,]],0)</f>
        <v>0</v>
      </c>
      <c r="I290" s="36" t="str">
        <f>IFERROR(MID(Tabela_Base_Financeiro[[#This Row],[Manufacturer]],19,14),"")</f>
        <v/>
      </c>
      <c r="J290" s="113">
        <f>IFERROR(Tabela_Base_Financeiro[[#This Row],[Item code]],0)</f>
        <v>0</v>
      </c>
      <c r="K290" s="293">
        <f>IFERROR(Tabela_Base_Financeiro[[#This Row],[Unit Price]],0)</f>
        <v>0</v>
      </c>
      <c r="L290" s="36">
        <f>IFERROR(Tabela_Base_Financeiro[[#This Row],[AC Qty,]],0)</f>
        <v>0</v>
      </c>
      <c r="M290" s="60">
        <f>Tabela6[[#This Row],[Qty]]*Tabela6[[#This Row],[Preço]]</f>
        <v>0</v>
      </c>
      <c r="N290" s="37">
        <f>IFERROR(Tabela_Base_Financeiro[[#This Row],[Proportion]],0)</f>
        <v>0</v>
      </c>
      <c r="O290" s="60">
        <f>Tabela6[[#This Row],[Proporção]]*Tabela6[[#This Row],[Total]]</f>
        <v>0</v>
      </c>
      <c r="P290" s="9"/>
      <c r="Q290"/>
      <c r="R290" s="59"/>
      <c r="S290" s="1"/>
    </row>
    <row r="291" spans="1:19">
      <c r="A291" s="122" t="e">
        <f>IF(VLOOKUP(Tabela6[[#This Row],[UF]],'BASE CC'!B:C,2,0)="SP",IF(Tabela6[[#This Row],[OPERADORA]]="TIM","SP TIM","SPI"),VLOOKUP(Tabela6[[#This Row],[UF]],'BASE CC'!B:C,2,0))</f>
        <v>#N/A</v>
      </c>
      <c r="B291" s="36" t="e">
        <f>VLOOKUP(Tabela_Base_Financeiro[[#This Row],[Item code]],'COD.FAT'!B:C,2,0)</f>
        <v>#N/A</v>
      </c>
      <c r="C291" s="292">
        <f>Tabela_Base_Financeiro[[#This Row],[PO Ship TO]]</f>
        <v>0</v>
      </c>
      <c r="D291" s="36" t="str">
        <f>RIGHT(Tabela_Base_Financeiro[[#This Row],[Manufacturer]],2)</f>
        <v/>
      </c>
      <c r="E29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91" s="122" t="e">
        <f>VLOOKUP(Tabela_Base_Financeiro[[#This Row],[Project Code]],'COD. PROJETOS'!B:D,3,0)</f>
        <v>#N/A</v>
      </c>
      <c r="G291" s="36">
        <f>IFERROR(Tabela_Base_Financeiro[[#This Row],[PO No,]],0)</f>
        <v>0</v>
      </c>
      <c r="H291" s="36">
        <f>IFERROR(Tabela_Base_Financeiro[[#This Row],[Line No,]],0)</f>
        <v>0</v>
      </c>
      <c r="I291" s="36" t="str">
        <f>IFERROR(MID(Tabela_Base_Financeiro[[#This Row],[Manufacturer]],19,14),"")</f>
        <v/>
      </c>
      <c r="J291" s="113">
        <f>IFERROR(Tabela_Base_Financeiro[[#This Row],[Item code]],0)</f>
        <v>0</v>
      </c>
      <c r="K291" s="293">
        <f>IFERROR(Tabela_Base_Financeiro[[#This Row],[Unit Price]],0)</f>
        <v>0</v>
      </c>
      <c r="L291" s="36">
        <f>IFERROR(Tabela_Base_Financeiro[[#This Row],[AC Qty,]],0)</f>
        <v>0</v>
      </c>
      <c r="M291" s="60">
        <f>Tabela6[[#This Row],[Qty]]*Tabela6[[#This Row],[Preço]]</f>
        <v>0</v>
      </c>
      <c r="N291" s="37">
        <f>IFERROR(Tabela_Base_Financeiro[[#This Row],[Proportion]],0)</f>
        <v>0</v>
      </c>
      <c r="O291" s="60">
        <f>Tabela6[[#This Row],[Proporção]]*Tabela6[[#This Row],[Total]]</f>
        <v>0</v>
      </c>
      <c r="P291" s="9"/>
      <c r="Q291"/>
      <c r="R291" s="59"/>
      <c r="S291" s="1"/>
    </row>
    <row r="292" spans="1:19">
      <c r="A292" s="122" t="e">
        <f>IF(VLOOKUP(Tabela6[[#This Row],[UF]],'BASE CC'!B:C,2,0)="SP",IF(Tabela6[[#This Row],[OPERADORA]]="TIM","SP TIM","SPI"),VLOOKUP(Tabela6[[#This Row],[UF]],'BASE CC'!B:C,2,0))</f>
        <v>#N/A</v>
      </c>
      <c r="B292" s="36" t="e">
        <f>VLOOKUP(Tabela_Base_Financeiro[[#This Row],[Item code]],'COD.FAT'!B:C,2,0)</f>
        <v>#N/A</v>
      </c>
      <c r="C292" s="292">
        <f>Tabela_Base_Financeiro[[#This Row],[PO Ship TO]]</f>
        <v>0</v>
      </c>
      <c r="D292" s="36" t="str">
        <f>RIGHT(Tabela_Base_Financeiro[[#This Row],[Manufacturer]],2)</f>
        <v/>
      </c>
      <c r="E29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92" s="122" t="e">
        <f>VLOOKUP(Tabela_Base_Financeiro[[#This Row],[Project Code]],'COD. PROJETOS'!B:D,3,0)</f>
        <v>#N/A</v>
      </c>
      <c r="G292" s="36">
        <f>IFERROR(Tabela_Base_Financeiro[[#This Row],[PO No,]],0)</f>
        <v>0</v>
      </c>
      <c r="H292" s="36">
        <f>IFERROR(Tabela_Base_Financeiro[[#This Row],[Line No,]],0)</f>
        <v>0</v>
      </c>
      <c r="I292" s="36" t="str">
        <f>IFERROR(MID(Tabela_Base_Financeiro[[#This Row],[Manufacturer]],19,14),"")</f>
        <v/>
      </c>
      <c r="J292" s="113">
        <f>IFERROR(Tabela_Base_Financeiro[[#This Row],[Item code]],0)</f>
        <v>0</v>
      </c>
      <c r="K292" s="293">
        <f>IFERROR(Tabela_Base_Financeiro[[#This Row],[Unit Price]],0)</f>
        <v>0</v>
      </c>
      <c r="L292" s="36">
        <f>IFERROR(Tabela_Base_Financeiro[[#This Row],[AC Qty,]],0)</f>
        <v>0</v>
      </c>
      <c r="M292" s="60">
        <f>Tabela6[[#This Row],[Qty]]*Tabela6[[#This Row],[Preço]]</f>
        <v>0</v>
      </c>
      <c r="N292" s="37">
        <f>IFERROR(Tabela_Base_Financeiro[[#This Row],[Proportion]],0)</f>
        <v>0</v>
      </c>
      <c r="O292" s="60">
        <f>Tabela6[[#This Row],[Proporção]]*Tabela6[[#This Row],[Total]]</f>
        <v>0</v>
      </c>
      <c r="P292" s="9"/>
      <c r="Q292"/>
      <c r="R292" s="59"/>
      <c r="S292" s="1"/>
    </row>
    <row r="293" spans="1:19">
      <c r="A293" s="122" t="e">
        <f>IF(VLOOKUP(Tabela6[[#This Row],[UF]],'BASE CC'!B:C,2,0)="SP",IF(Tabela6[[#This Row],[OPERADORA]]="TIM","SP TIM","SPI"),VLOOKUP(Tabela6[[#This Row],[UF]],'BASE CC'!B:C,2,0))</f>
        <v>#N/A</v>
      </c>
      <c r="B293" s="36" t="e">
        <f>VLOOKUP(Tabela_Base_Financeiro[[#This Row],[Item code]],'COD.FAT'!B:C,2,0)</f>
        <v>#N/A</v>
      </c>
      <c r="C293" s="292">
        <f>Tabela_Base_Financeiro[[#This Row],[PO Ship TO]]</f>
        <v>0</v>
      </c>
      <c r="D293" s="36" t="str">
        <f>RIGHT(Tabela_Base_Financeiro[[#This Row],[Manufacturer]],2)</f>
        <v/>
      </c>
      <c r="E29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93" s="122" t="e">
        <f>VLOOKUP(Tabela_Base_Financeiro[[#This Row],[Project Code]],'COD. PROJETOS'!B:D,3,0)</f>
        <v>#N/A</v>
      </c>
      <c r="G293" s="36">
        <f>IFERROR(Tabela_Base_Financeiro[[#This Row],[PO No,]],0)</f>
        <v>0</v>
      </c>
      <c r="H293" s="36">
        <f>IFERROR(Tabela_Base_Financeiro[[#This Row],[Line No,]],0)</f>
        <v>0</v>
      </c>
      <c r="I293" s="36" t="str">
        <f>IFERROR(MID(Tabela_Base_Financeiro[[#This Row],[Manufacturer]],19,14),"")</f>
        <v/>
      </c>
      <c r="J293" s="113">
        <f>IFERROR(Tabela_Base_Financeiro[[#This Row],[Item code]],0)</f>
        <v>0</v>
      </c>
      <c r="K293" s="293">
        <f>IFERROR(Tabela_Base_Financeiro[[#This Row],[Unit Price]],0)</f>
        <v>0</v>
      </c>
      <c r="L293" s="36">
        <f>IFERROR(Tabela_Base_Financeiro[[#This Row],[AC Qty,]],0)</f>
        <v>0</v>
      </c>
      <c r="M293" s="60">
        <f>Tabela6[[#This Row],[Qty]]*Tabela6[[#This Row],[Preço]]</f>
        <v>0</v>
      </c>
      <c r="N293" s="37">
        <f>IFERROR(Tabela_Base_Financeiro[[#This Row],[Proportion]],0)</f>
        <v>0</v>
      </c>
      <c r="O293" s="60">
        <f>Tabela6[[#This Row],[Proporção]]*Tabela6[[#This Row],[Total]]</f>
        <v>0</v>
      </c>
      <c r="P293" s="9"/>
      <c r="Q293"/>
      <c r="R293" s="59"/>
      <c r="S293" s="1"/>
    </row>
    <row r="294" spans="1:19">
      <c r="A294" s="122" t="e">
        <f>IF(VLOOKUP(Tabela6[[#This Row],[UF]],'BASE CC'!B:C,2,0)="SP",IF(Tabela6[[#This Row],[OPERADORA]]="TIM","SP TIM","SPI"),VLOOKUP(Tabela6[[#This Row],[UF]],'BASE CC'!B:C,2,0))</f>
        <v>#N/A</v>
      </c>
      <c r="B294" s="36" t="e">
        <f>VLOOKUP(Tabela_Base_Financeiro[[#This Row],[Item code]],'COD.FAT'!B:C,2,0)</f>
        <v>#N/A</v>
      </c>
      <c r="C294" s="292">
        <f>Tabela_Base_Financeiro[[#This Row],[PO Ship TO]]</f>
        <v>0</v>
      </c>
      <c r="D294" s="36" t="str">
        <f>RIGHT(Tabela_Base_Financeiro[[#This Row],[Manufacturer]],2)</f>
        <v/>
      </c>
      <c r="E29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94" s="122" t="e">
        <f>VLOOKUP(Tabela_Base_Financeiro[[#This Row],[Project Code]],'COD. PROJETOS'!B:D,3,0)</f>
        <v>#N/A</v>
      </c>
      <c r="G294" s="36">
        <f>IFERROR(Tabela_Base_Financeiro[[#This Row],[PO No,]],0)</f>
        <v>0</v>
      </c>
      <c r="H294" s="36">
        <f>IFERROR(Tabela_Base_Financeiro[[#This Row],[Line No,]],0)</f>
        <v>0</v>
      </c>
      <c r="I294" s="36" t="str">
        <f>IFERROR(MID(Tabela_Base_Financeiro[[#This Row],[Manufacturer]],19,14),"")</f>
        <v/>
      </c>
      <c r="J294" s="113">
        <f>IFERROR(Tabela_Base_Financeiro[[#This Row],[Item code]],0)</f>
        <v>0</v>
      </c>
      <c r="K294" s="293">
        <f>IFERROR(Tabela_Base_Financeiro[[#This Row],[Unit Price]],0)</f>
        <v>0</v>
      </c>
      <c r="L294" s="36">
        <f>IFERROR(Tabela_Base_Financeiro[[#This Row],[AC Qty,]],0)</f>
        <v>0</v>
      </c>
      <c r="M294" s="60">
        <f>Tabela6[[#This Row],[Qty]]*Tabela6[[#This Row],[Preço]]</f>
        <v>0</v>
      </c>
      <c r="N294" s="37">
        <f>IFERROR(Tabela_Base_Financeiro[[#This Row],[Proportion]],0)</f>
        <v>0</v>
      </c>
      <c r="O294" s="60">
        <f>Tabela6[[#This Row],[Proporção]]*Tabela6[[#This Row],[Total]]</f>
        <v>0</v>
      </c>
      <c r="P294" s="9"/>
      <c r="Q294"/>
      <c r="R294" s="59"/>
      <c r="S294" s="1"/>
    </row>
    <row r="295" spans="1:19">
      <c r="A295" s="122" t="e">
        <f>IF(VLOOKUP(Tabela6[[#This Row],[UF]],'BASE CC'!B:C,2,0)="SP",IF(Tabela6[[#This Row],[OPERADORA]]="TIM","SP TIM","SPI"),VLOOKUP(Tabela6[[#This Row],[UF]],'BASE CC'!B:C,2,0))</f>
        <v>#N/A</v>
      </c>
      <c r="B295" s="36" t="e">
        <f>VLOOKUP(Tabela_Base_Financeiro[[#This Row],[Item code]],'COD.FAT'!B:C,2,0)</f>
        <v>#N/A</v>
      </c>
      <c r="C295" s="292">
        <f>Tabela_Base_Financeiro[[#This Row],[PO Ship TO]]</f>
        <v>0</v>
      </c>
      <c r="D295" s="36" t="str">
        <f>RIGHT(Tabela_Base_Financeiro[[#This Row],[Manufacturer]],2)</f>
        <v/>
      </c>
      <c r="E29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95" s="122" t="e">
        <f>VLOOKUP(Tabela_Base_Financeiro[[#This Row],[Project Code]],'COD. PROJETOS'!B:D,3,0)</f>
        <v>#N/A</v>
      </c>
      <c r="G295" s="36">
        <f>IFERROR(Tabela_Base_Financeiro[[#This Row],[PO No,]],0)</f>
        <v>0</v>
      </c>
      <c r="H295" s="36">
        <f>IFERROR(Tabela_Base_Financeiro[[#This Row],[Line No,]],0)</f>
        <v>0</v>
      </c>
      <c r="I295" s="36" t="str">
        <f>IFERROR(MID(Tabela_Base_Financeiro[[#This Row],[Manufacturer]],19,14),"")</f>
        <v/>
      </c>
      <c r="J295" s="113">
        <f>IFERROR(Tabela_Base_Financeiro[[#This Row],[Item code]],0)</f>
        <v>0</v>
      </c>
      <c r="K295" s="293">
        <f>IFERROR(Tabela_Base_Financeiro[[#This Row],[Unit Price]],0)</f>
        <v>0</v>
      </c>
      <c r="L295" s="36">
        <f>IFERROR(Tabela_Base_Financeiro[[#This Row],[AC Qty,]],0)</f>
        <v>0</v>
      </c>
      <c r="M295" s="60">
        <f>Tabela6[[#This Row],[Qty]]*Tabela6[[#This Row],[Preço]]</f>
        <v>0</v>
      </c>
      <c r="N295" s="37">
        <f>IFERROR(Tabela_Base_Financeiro[[#This Row],[Proportion]],0)</f>
        <v>0</v>
      </c>
      <c r="O295" s="60">
        <f>Tabela6[[#This Row],[Proporção]]*Tabela6[[#This Row],[Total]]</f>
        <v>0</v>
      </c>
      <c r="P295" s="9"/>
      <c r="Q295"/>
      <c r="R295" s="59"/>
      <c r="S295" s="1"/>
    </row>
    <row r="296" spans="1:19">
      <c r="A296" s="122" t="e">
        <f>IF(VLOOKUP(Tabela6[[#This Row],[UF]],'BASE CC'!B:C,2,0)="SP",IF(Tabela6[[#This Row],[OPERADORA]]="TIM","SP TIM","SPI"),VLOOKUP(Tabela6[[#This Row],[UF]],'BASE CC'!B:C,2,0))</f>
        <v>#N/A</v>
      </c>
      <c r="B296" s="36" t="e">
        <f>VLOOKUP(Tabela_Base_Financeiro[[#This Row],[Item code]],'COD.FAT'!B:C,2,0)</f>
        <v>#N/A</v>
      </c>
      <c r="C296" s="292">
        <f>Tabela_Base_Financeiro[[#This Row],[PO Ship TO]]</f>
        <v>0</v>
      </c>
      <c r="D296" s="36" t="str">
        <f>RIGHT(Tabela_Base_Financeiro[[#This Row],[Manufacturer]],2)</f>
        <v/>
      </c>
      <c r="E29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96" s="122" t="e">
        <f>VLOOKUP(Tabela_Base_Financeiro[[#This Row],[Project Code]],'COD. PROJETOS'!B:D,3,0)</f>
        <v>#N/A</v>
      </c>
      <c r="G296" s="36">
        <f>IFERROR(Tabela_Base_Financeiro[[#This Row],[PO No,]],0)</f>
        <v>0</v>
      </c>
      <c r="H296" s="36">
        <f>IFERROR(Tabela_Base_Financeiro[[#This Row],[Line No,]],0)</f>
        <v>0</v>
      </c>
      <c r="I296" s="36" t="str">
        <f>IFERROR(MID(Tabela_Base_Financeiro[[#This Row],[Manufacturer]],19,14),"")</f>
        <v/>
      </c>
      <c r="J296" s="113">
        <f>IFERROR(Tabela_Base_Financeiro[[#This Row],[Item code]],0)</f>
        <v>0</v>
      </c>
      <c r="K296" s="293">
        <f>IFERROR(Tabela_Base_Financeiro[[#This Row],[Unit Price]],0)</f>
        <v>0</v>
      </c>
      <c r="L296" s="36">
        <f>IFERROR(Tabela_Base_Financeiro[[#This Row],[AC Qty,]],0)</f>
        <v>0</v>
      </c>
      <c r="M296" s="60">
        <f>Tabela6[[#This Row],[Qty]]*Tabela6[[#This Row],[Preço]]</f>
        <v>0</v>
      </c>
      <c r="N296" s="37">
        <f>IFERROR(Tabela_Base_Financeiro[[#This Row],[Proportion]],0)</f>
        <v>0</v>
      </c>
      <c r="O296" s="60">
        <f>Tabela6[[#This Row],[Proporção]]*Tabela6[[#This Row],[Total]]</f>
        <v>0</v>
      </c>
      <c r="P296" s="9"/>
      <c r="Q296"/>
      <c r="R296" s="59"/>
      <c r="S296" s="1"/>
    </row>
    <row r="297" spans="1:19">
      <c r="A297" s="122" t="e">
        <f>IF(VLOOKUP(Tabela6[[#This Row],[UF]],'BASE CC'!B:C,2,0)="SP",IF(Tabela6[[#This Row],[OPERADORA]]="TIM","SP TIM","SPI"),VLOOKUP(Tabela6[[#This Row],[UF]],'BASE CC'!B:C,2,0))</f>
        <v>#N/A</v>
      </c>
      <c r="B297" s="36" t="e">
        <f>VLOOKUP(Tabela_Base_Financeiro[[#This Row],[Item code]],'COD.FAT'!B:C,2,0)</f>
        <v>#N/A</v>
      </c>
      <c r="C297" s="292">
        <f>Tabela_Base_Financeiro[[#This Row],[PO Ship TO]]</f>
        <v>0</v>
      </c>
      <c r="D297" s="36" t="str">
        <f>RIGHT(Tabela_Base_Financeiro[[#This Row],[Manufacturer]],2)</f>
        <v/>
      </c>
      <c r="E29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97" s="122" t="e">
        <f>VLOOKUP(Tabela_Base_Financeiro[[#This Row],[Project Code]],'COD. PROJETOS'!B:D,3,0)</f>
        <v>#N/A</v>
      </c>
      <c r="G297" s="36">
        <f>IFERROR(Tabela_Base_Financeiro[[#This Row],[PO No,]],0)</f>
        <v>0</v>
      </c>
      <c r="H297" s="36">
        <f>IFERROR(Tabela_Base_Financeiro[[#This Row],[Line No,]],0)</f>
        <v>0</v>
      </c>
      <c r="I297" s="36" t="str">
        <f>IFERROR(MID(Tabela_Base_Financeiro[[#This Row],[Manufacturer]],19,14),"")</f>
        <v/>
      </c>
      <c r="J297" s="113">
        <f>IFERROR(Tabela_Base_Financeiro[[#This Row],[Item code]],0)</f>
        <v>0</v>
      </c>
      <c r="K297" s="293">
        <f>IFERROR(Tabela_Base_Financeiro[[#This Row],[Unit Price]],0)</f>
        <v>0</v>
      </c>
      <c r="L297" s="36">
        <f>IFERROR(Tabela_Base_Financeiro[[#This Row],[AC Qty,]],0)</f>
        <v>0</v>
      </c>
      <c r="M297" s="60">
        <f>Tabela6[[#This Row],[Qty]]*Tabela6[[#This Row],[Preço]]</f>
        <v>0</v>
      </c>
      <c r="N297" s="37">
        <f>IFERROR(Tabela_Base_Financeiro[[#This Row],[Proportion]],0)</f>
        <v>0</v>
      </c>
      <c r="O297" s="60">
        <f>Tabela6[[#This Row],[Proporção]]*Tabela6[[#This Row],[Total]]</f>
        <v>0</v>
      </c>
      <c r="P297" s="9"/>
      <c r="Q297"/>
      <c r="R297" s="59"/>
      <c r="S297" s="1"/>
    </row>
    <row r="298" spans="1:19">
      <c r="A298" s="122" t="e">
        <f>IF(VLOOKUP(Tabela6[[#This Row],[UF]],'BASE CC'!B:C,2,0)="SP",IF(Tabela6[[#This Row],[OPERADORA]]="TIM","SP TIM","SPI"),VLOOKUP(Tabela6[[#This Row],[UF]],'BASE CC'!B:C,2,0))</f>
        <v>#N/A</v>
      </c>
      <c r="B298" s="36" t="e">
        <f>VLOOKUP(Tabela_Base_Financeiro[[#This Row],[Item code]],'COD.FAT'!B:C,2,0)</f>
        <v>#N/A</v>
      </c>
      <c r="C298" s="292">
        <f>Tabela_Base_Financeiro[[#This Row],[PO Ship TO]]</f>
        <v>0</v>
      </c>
      <c r="D298" s="36" t="str">
        <f>RIGHT(Tabela_Base_Financeiro[[#This Row],[Manufacturer]],2)</f>
        <v/>
      </c>
      <c r="E29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98" s="122" t="e">
        <f>VLOOKUP(Tabela_Base_Financeiro[[#This Row],[Project Code]],'COD. PROJETOS'!B:D,3,0)</f>
        <v>#N/A</v>
      </c>
      <c r="G298" s="36">
        <f>IFERROR(Tabela_Base_Financeiro[[#This Row],[PO No,]],0)</f>
        <v>0</v>
      </c>
      <c r="H298" s="36">
        <f>IFERROR(Tabela_Base_Financeiro[[#This Row],[Line No,]],0)</f>
        <v>0</v>
      </c>
      <c r="I298" s="36" t="str">
        <f>IFERROR(MID(Tabela_Base_Financeiro[[#This Row],[Manufacturer]],19,14),"")</f>
        <v/>
      </c>
      <c r="J298" s="113">
        <f>IFERROR(Tabela_Base_Financeiro[[#This Row],[Item code]],0)</f>
        <v>0</v>
      </c>
      <c r="K298" s="293">
        <f>IFERROR(Tabela_Base_Financeiro[[#This Row],[Unit Price]],0)</f>
        <v>0</v>
      </c>
      <c r="L298" s="36">
        <f>IFERROR(Tabela_Base_Financeiro[[#This Row],[AC Qty,]],0)</f>
        <v>0</v>
      </c>
      <c r="M298" s="60">
        <f>Tabela6[[#This Row],[Qty]]*Tabela6[[#This Row],[Preço]]</f>
        <v>0</v>
      </c>
      <c r="N298" s="37">
        <f>IFERROR(Tabela_Base_Financeiro[[#This Row],[Proportion]],0)</f>
        <v>0</v>
      </c>
      <c r="O298" s="60">
        <f>Tabela6[[#This Row],[Proporção]]*Tabela6[[#This Row],[Total]]</f>
        <v>0</v>
      </c>
      <c r="P298" s="9"/>
      <c r="Q298"/>
      <c r="R298" s="59"/>
      <c r="S298" s="1"/>
    </row>
    <row r="299" spans="1:19">
      <c r="A299" s="122" t="e">
        <f>IF(VLOOKUP(Tabela6[[#This Row],[UF]],'BASE CC'!B:C,2,0)="SP",IF(Tabela6[[#This Row],[OPERADORA]]="TIM","SP TIM","SPI"),VLOOKUP(Tabela6[[#This Row],[UF]],'BASE CC'!B:C,2,0))</f>
        <v>#N/A</v>
      </c>
      <c r="B299" s="36" t="e">
        <f>VLOOKUP(Tabela_Base_Financeiro[[#This Row],[Item code]],'COD.FAT'!B:C,2,0)</f>
        <v>#N/A</v>
      </c>
      <c r="C299" s="292">
        <f>Tabela_Base_Financeiro[[#This Row],[PO Ship TO]]</f>
        <v>0</v>
      </c>
      <c r="D299" s="36" t="str">
        <f>RIGHT(Tabela_Base_Financeiro[[#This Row],[Manufacturer]],2)</f>
        <v/>
      </c>
      <c r="E29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299" s="122" t="e">
        <f>VLOOKUP(Tabela_Base_Financeiro[[#This Row],[Project Code]],'COD. PROJETOS'!B:D,3,0)</f>
        <v>#N/A</v>
      </c>
      <c r="G299" s="36">
        <f>IFERROR(Tabela_Base_Financeiro[[#This Row],[PO No,]],0)</f>
        <v>0</v>
      </c>
      <c r="H299" s="36">
        <f>IFERROR(Tabela_Base_Financeiro[[#This Row],[Line No,]],0)</f>
        <v>0</v>
      </c>
      <c r="I299" s="36" t="str">
        <f>IFERROR(MID(Tabela_Base_Financeiro[[#This Row],[Manufacturer]],19,14),"")</f>
        <v/>
      </c>
      <c r="J299" s="113">
        <f>IFERROR(Tabela_Base_Financeiro[[#This Row],[Item code]],0)</f>
        <v>0</v>
      </c>
      <c r="K299" s="293">
        <f>IFERROR(Tabela_Base_Financeiro[[#This Row],[Unit Price]],0)</f>
        <v>0</v>
      </c>
      <c r="L299" s="36">
        <f>IFERROR(Tabela_Base_Financeiro[[#This Row],[AC Qty,]],0)</f>
        <v>0</v>
      </c>
      <c r="M299" s="60">
        <f>Tabela6[[#This Row],[Qty]]*Tabela6[[#This Row],[Preço]]</f>
        <v>0</v>
      </c>
      <c r="N299" s="37">
        <f>IFERROR(Tabela_Base_Financeiro[[#This Row],[Proportion]],0)</f>
        <v>0</v>
      </c>
      <c r="O299" s="60">
        <f>Tabela6[[#This Row],[Proporção]]*Tabela6[[#This Row],[Total]]</f>
        <v>0</v>
      </c>
      <c r="P299" s="9"/>
      <c r="Q299"/>
      <c r="R299" s="59"/>
      <c r="S299" s="1"/>
    </row>
    <row r="300" spans="1:19">
      <c r="A300" s="122" t="e">
        <f>IF(VLOOKUP(Tabela6[[#This Row],[UF]],'BASE CC'!B:C,2,0)="SP",IF(Tabela6[[#This Row],[OPERADORA]]="TIM","SP TIM","SPI"),VLOOKUP(Tabela6[[#This Row],[UF]],'BASE CC'!B:C,2,0))</f>
        <v>#N/A</v>
      </c>
      <c r="B300" s="36" t="e">
        <f>VLOOKUP(Tabela_Base_Financeiro[[#This Row],[Item code]],'COD.FAT'!B:C,2,0)</f>
        <v>#N/A</v>
      </c>
      <c r="C300" s="292">
        <f>Tabela_Base_Financeiro[[#This Row],[PO Ship TO]]</f>
        <v>0</v>
      </c>
      <c r="D300" s="36" t="str">
        <f>RIGHT(Tabela_Base_Financeiro[[#This Row],[Manufacturer]],2)</f>
        <v/>
      </c>
      <c r="E30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00" s="122" t="e">
        <f>VLOOKUP(Tabela_Base_Financeiro[[#This Row],[Project Code]],'COD. PROJETOS'!B:D,3,0)</f>
        <v>#N/A</v>
      </c>
      <c r="G300" s="36">
        <f>IFERROR(Tabela_Base_Financeiro[[#This Row],[PO No,]],0)</f>
        <v>0</v>
      </c>
      <c r="H300" s="36">
        <f>IFERROR(Tabela_Base_Financeiro[[#This Row],[Line No,]],0)</f>
        <v>0</v>
      </c>
      <c r="I300" s="36" t="str">
        <f>IFERROR(MID(Tabela_Base_Financeiro[[#This Row],[Manufacturer]],19,14),"")</f>
        <v/>
      </c>
      <c r="J300" s="113">
        <f>IFERROR(Tabela_Base_Financeiro[[#This Row],[Item code]],0)</f>
        <v>0</v>
      </c>
      <c r="K300" s="293">
        <f>IFERROR(Tabela_Base_Financeiro[[#This Row],[Unit Price]],0)</f>
        <v>0</v>
      </c>
      <c r="L300" s="36">
        <f>IFERROR(Tabela_Base_Financeiro[[#This Row],[AC Qty,]],0)</f>
        <v>0</v>
      </c>
      <c r="M300" s="60">
        <f>Tabela6[[#This Row],[Qty]]*Tabela6[[#This Row],[Preço]]</f>
        <v>0</v>
      </c>
      <c r="N300" s="37">
        <f>IFERROR(Tabela_Base_Financeiro[[#This Row],[Proportion]],0)</f>
        <v>0</v>
      </c>
      <c r="O300" s="60">
        <f>Tabela6[[#This Row],[Proporção]]*Tabela6[[#This Row],[Total]]</f>
        <v>0</v>
      </c>
      <c r="P300" s="9"/>
      <c r="Q300"/>
      <c r="R300" s="59"/>
      <c r="S300" s="1"/>
    </row>
    <row r="301" spans="1:19">
      <c r="A301" s="122" t="e">
        <f>IF(VLOOKUP(Tabela6[[#This Row],[UF]],'BASE CC'!B:C,2,0)="SP",IF(Tabela6[[#This Row],[OPERADORA]]="TIM","SP TIM","SPI"),VLOOKUP(Tabela6[[#This Row],[UF]],'BASE CC'!B:C,2,0))</f>
        <v>#N/A</v>
      </c>
      <c r="B301" s="36" t="e">
        <f>VLOOKUP(Tabela_Base_Financeiro[[#This Row],[Item code]],'COD.FAT'!B:C,2,0)</f>
        <v>#N/A</v>
      </c>
      <c r="C301" s="292">
        <f>Tabela_Base_Financeiro[[#This Row],[PO Ship TO]]</f>
        <v>0</v>
      </c>
      <c r="D301" s="36" t="str">
        <f>RIGHT(Tabela_Base_Financeiro[[#This Row],[Manufacturer]],2)</f>
        <v/>
      </c>
      <c r="E30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01" s="122" t="e">
        <f>VLOOKUP(Tabela_Base_Financeiro[[#This Row],[Project Code]],'COD. PROJETOS'!B:D,3,0)</f>
        <v>#N/A</v>
      </c>
      <c r="G301" s="36">
        <f>IFERROR(Tabela_Base_Financeiro[[#This Row],[PO No,]],0)</f>
        <v>0</v>
      </c>
      <c r="H301" s="36">
        <f>IFERROR(Tabela_Base_Financeiro[[#This Row],[Line No,]],0)</f>
        <v>0</v>
      </c>
      <c r="I301" s="36" t="str">
        <f>IFERROR(MID(Tabela_Base_Financeiro[[#This Row],[Manufacturer]],19,14),"")</f>
        <v/>
      </c>
      <c r="J301" s="113">
        <f>IFERROR(Tabela_Base_Financeiro[[#This Row],[Item code]],0)</f>
        <v>0</v>
      </c>
      <c r="K301" s="293">
        <f>IFERROR(Tabela_Base_Financeiro[[#This Row],[Unit Price]],0)</f>
        <v>0</v>
      </c>
      <c r="L301" s="36">
        <f>IFERROR(Tabela_Base_Financeiro[[#This Row],[AC Qty,]],0)</f>
        <v>0</v>
      </c>
      <c r="M301" s="60">
        <f>Tabela6[[#This Row],[Qty]]*Tabela6[[#This Row],[Preço]]</f>
        <v>0</v>
      </c>
      <c r="N301" s="37">
        <f>IFERROR(Tabela_Base_Financeiro[[#This Row],[Proportion]],0)</f>
        <v>0</v>
      </c>
      <c r="O301" s="60">
        <f>Tabela6[[#This Row],[Proporção]]*Tabela6[[#This Row],[Total]]</f>
        <v>0</v>
      </c>
      <c r="P301" s="9"/>
      <c r="Q301"/>
      <c r="R301" s="59"/>
      <c r="S301" s="1"/>
    </row>
    <row r="302" spans="1:19">
      <c r="A302" s="122" t="e">
        <f>IF(VLOOKUP(Tabela6[[#This Row],[UF]],'BASE CC'!B:C,2,0)="SP",IF(Tabela6[[#This Row],[OPERADORA]]="TIM","SP TIM","SPI"),VLOOKUP(Tabela6[[#This Row],[UF]],'BASE CC'!B:C,2,0))</f>
        <v>#N/A</v>
      </c>
      <c r="B302" s="36" t="e">
        <f>VLOOKUP(Tabela_Base_Financeiro[[#This Row],[Item code]],'COD.FAT'!B:C,2,0)</f>
        <v>#N/A</v>
      </c>
      <c r="C302" s="292">
        <f>Tabela_Base_Financeiro[[#This Row],[PO Ship TO]]</f>
        <v>0</v>
      </c>
      <c r="D302" s="36" t="str">
        <f>RIGHT(Tabela_Base_Financeiro[[#This Row],[Manufacturer]],2)</f>
        <v/>
      </c>
      <c r="E30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02" s="122" t="e">
        <f>VLOOKUP(Tabela_Base_Financeiro[[#This Row],[Project Code]],'COD. PROJETOS'!B:D,3,0)</f>
        <v>#N/A</v>
      </c>
      <c r="G302" s="36">
        <f>IFERROR(Tabela_Base_Financeiro[[#This Row],[PO No,]],0)</f>
        <v>0</v>
      </c>
      <c r="H302" s="36">
        <f>IFERROR(Tabela_Base_Financeiro[[#This Row],[Line No,]],0)</f>
        <v>0</v>
      </c>
      <c r="I302" s="36" t="str">
        <f>IFERROR(MID(Tabela_Base_Financeiro[[#This Row],[Manufacturer]],19,14),"")</f>
        <v/>
      </c>
      <c r="J302" s="113">
        <f>IFERROR(Tabela_Base_Financeiro[[#This Row],[Item code]],0)</f>
        <v>0</v>
      </c>
      <c r="K302" s="293">
        <f>IFERROR(Tabela_Base_Financeiro[[#This Row],[Unit Price]],0)</f>
        <v>0</v>
      </c>
      <c r="L302" s="36">
        <f>IFERROR(Tabela_Base_Financeiro[[#This Row],[AC Qty,]],0)</f>
        <v>0</v>
      </c>
      <c r="M302" s="60">
        <f>Tabela6[[#This Row],[Qty]]*Tabela6[[#This Row],[Preço]]</f>
        <v>0</v>
      </c>
      <c r="N302" s="37">
        <f>IFERROR(Tabela_Base_Financeiro[[#This Row],[Proportion]],0)</f>
        <v>0</v>
      </c>
      <c r="O302" s="60">
        <f>Tabela6[[#This Row],[Proporção]]*Tabela6[[#This Row],[Total]]</f>
        <v>0</v>
      </c>
      <c r="P302" s="9"/>
      <c r="Q302"/>
      <c r="R302" s="59"/>
      <c r="S302" s="1"/>
    </row>
    <row r="303" spans="1:19">
      <c r="A303" s="122" t="e">
        <f>IF(VLOOKUP(Tabela6[[#This Row],[UF]],'BASE CC'!B:C,2,0)="SP",IF(Tabela6[[#This Row],[OPERADORA]]="TIM","SP TIM","SPI"),VLOOKUP(Tabela6[[#This Row],[UF]],'BASE CC'!B:C,2,0))</f>
        <v>#N/A</v>
      </c>
      <c r="B303" s="36" t="e">
        <f>VLOOKUP(Tabela_Base_Financeiro[[#This Row],[Item code]],'COD.FAT'!B:C,2,0)</f>
        <v>#N/A</v>
      </c>
      <c r="C303" s="292">
        <f>Tabela_Base_Financeiro[[#This Row],[PO Ship TO]]</f>
        <v>0</v>
      </c>
      <c r="D303" s="36" t="str">
        <f>RIGHT(Tabela_Base_Financeiro[[#This Row],[Manufacturer]],2)</f>
        <v/>
      </c>
      <c r="E30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03" s="122" t="e">
        <f>VLOOKUP(Tabela_Base_Financeiro[[#This Row],[Project Code]],'COD. PROJETOS'!B:D,3,0)</f>
        <v>#N/A</v>
      </c>
      <c r="G303" s="36">
        <f>IFERROR(Tabela_Base_Financeiro[[#This Row],[PO No,]],0)</f>
        <v>0</v>
      </c>
      <c r="H303" s="36">
        <f>IFERROR(Tabela_Base_Financeiro[[#This Row],[Line No,]],0)</f>
        <v>0</v>
      </c>
      <c r="I303" s="36" t="str">
        <f>IFERROR(MID(Tabela_Base_Financeiro[[#This Row],[Manufacturer]],19,14),"")</f>
        <v/>
      </c>
      <c r="J303" s="113">
        <f>IFERROR(Tabela_Base_Financeiro[[#This Row],[Item code]],0)</f>
        <v>0</v>
      </c>
      <c r="K303" s="293">
        <f>IFERROR(Tabela_Base_Financeiro[[#This Row],[Unit Price]],0)</f>
        <v>0</v>
      </c>
      <c r="L303" s="36">
        <f>IFERROR(Tabela_Base_Financeiro[[#This Row],[AC Qty,]],0)</f>
        <v>0</v>
      </c>
      <c r="M303" s="60">
        <f>Tabela6[[#This Row],[Qty]]*Tabela6[[#This Row],[Preço]]</f>
        <v>0</v>
      </c>
      <c r="N303" s="37">
        <f>IFERROR(Tabela_Base_Financeiro[[#This Row],[Proportion]],0)</f>
        <v>0</v>
      </c>
      <c r="O303" s="60">
        <f>Tabela6[[#This Row],[Proporção]]*Tabela6[[#This Row],[Total]]</f>
        <v>0</v>
      </c>
      <c r="P303" s="9"/>
      <c r="Q303"/>
      <c r="R303" s="59"/>
      <c r="S303" s="1"/>
    </row>
    <row r="304" spans="1:19">
      <c r="A304" s="122" t="e">
        <f>IF(VLOOKUP(Tabela6[[#This Row],[UF]],'BASE CC'!B:C,2,0)="SP",IF(Tabela6[[#This Row],[OPERADORA]]="TIM","SP TIM","SPI"),VLOOKUP(Tabela6[[#This Row],[UF]],'BASE CC'!B:C,2,0))</f>
        <v>#N/A</v>
      </c>
      <c r="B304" s="36" t="e">
        <f>VLOOKUP(Tabela_Base_Financeiro[[#This Row],[Item code]],'COD.FAT'!B:C,2,0)</f>
        <v>#N/A</v>
      </c>
      <c r="C304" s="292">
        <f>Tabela_Base_Financeiro[[#This Row],[PO Ship TO]]</f>
        <v>0</v>
      </c>
      <c r="D304" s="36" t="str">
        <f>RIGHT(Tabela_Base_Financeiro[[#This Row],[Manufacturer]],2)</f>
        <v/>
      </c>
      <c r="E30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04" s="122" t="e">
        <f>VLOOKUP(Tabela_Base_Financeiro[[#This Row],[Project Code]],'COD. PROJETOS'!B:D,3,0)</f>
        <v>#N/A</v>
      </c>
      <c r="G304" s="36">
        <f>IFERROR(Tabela_Base_Financeiro[[#This Row],[PO No,]],0)</f>
        <v>0</v>
      </c>
      <c r="H304" s="36">
        <f>IFERROR(Tabela_Base_Financeiro[[#This Row],[Line No,]],0)</f>
        <v>0</v>
      </c>
      <c r="I304" s="36" t="str">
        <f>IFERROR(MID(Tabela_Base_Financeiro[[#This Row],[Manufacturer]],19,14),"")</f>
        <v/>
      </c>
      <c r="J304" s="113">
        <f>IFERROR(Tabela_Base_Financeiro[[#This Row],[Item code]],0)</f>
        <v>0</v>
      </c>
      <c r="K304" s="293">
        <f>IFERROR(Tabela_Base_Financeiro[[#This Row],[Unit Price]],0)</f>
        <v>0</v>
      </c>
      <c r="L304" s="36">
        <f>IFERROR(Tabela_Base_Financeiro[[#This Row],[AC Qty,]],0)</f>
        <v>0</v>
      </c>
      <c r="M304" s="60">
        <f>Tabela6[[#This Row],[Qty]]*Tabela6[[#This Row],[Preço]]</f>
        <v>0</v>
      </c>
      <c r="N304" s="37">
        <f>IFERROR(Tabela_Base_Financeiro[[#This Row],[Proportion]],0)</f>
        <v>0</v>
      </c>
      <c r="O304" s="60">
        <f>Tabela6[[#This Row],[Proporção]]*Tabela6[[#This Row],[Total]]</f>
        <v>0</v>
      </c>
      <c r="P304" s="9"/>
      <c r="Q304"/>
      <c r="R304" s="59"/>
      <c r="S304" s="1"/>
    </row>
    <row r="305" spans="1:19">
      <c r="A305" s="122" t="e">
        <f>IF(VLOOKUP(Tabela6[[#This Row],[UF]],'BASE CC'!B:C,2,0)="SP",IF(Tabela6[[#This Row],[OPERADORA]]="TIM","SP TIM","SPI"),VLOOKUP(Tabela6[[#This Row],[UF]],'BASE CC'!B:C,2,0))</f>
        <v>#N/A</v>
      </c>
      <c r="B305" s="36" t="e">
        <f>VLOOKUP(Tabela_Base_Financeiro[[#This Row],[Item code]],'COD.FAT'!B:C,2,0)</f>
        <v>#N/A</v>
      </c>
      <c r="C305" s="292">
        <f>Tabela_Base_Financeiro[[#This Row],[PO Ship TO]]</f>
        <v>0</v>
      </c>
      <c r="D305" s="36" t="str">
        <f>RIGHT(Tabela_Base_Financeiro[[#This Row],[Manufacturer]],2)</f>
        <v/>
      </c>
      <c r="E30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05" s="122" t="e">
        <f>VLOOKUP(Tabela_Base_Financeiro[[#This Row],[Project Code]],'COD. PROJETOS'!B:D,3,0)</f>
        <v>#N/A</v>
      </c>
      <c r="G305" s="36">
        <f>IFERROR(Tabela_Base_Financeiro[[#This Row],[PO No,]],0)</f>
        <v>0</v>
      </c>
      <c r="H305" s="36">
        <f>IFERROR(Tabela_Base_Financeiro[[#This Row],[Line No,]],0)</f>
        <v>0</v>
      </c>
      <c r="I305" s="36" t="str">
        <f>IFERROR(MID(Tabela_Base_Financeiro[[#This Row],[Manufacturer]],19,14),"")</f>
        <v/>
      </c>
      <c r="J305" s="113">
        <f>IFERROR(Tabela_Base_Financeiro[[#This Row],[Item code]],0)</f>
        <v>0</v>
      </c>
      <c r="K305" s="293">
        <f>IFERROR(Tabela_Base_Financeiro[[#This Row],[Unit Price]],0)</f>
        <v>0</v>
      </c>
      <c r="L305" s="36">
        <f>IFERROR(Tabela_Base_Financeiro[[#This Row],[AC Qty,]],0)</f>
        <v>0</v>
      </c>
      <c r="M305" s="60">
        <f>Tabela6[[#This Row],[Qty]]*Tabela6[[#This Row],[Preço]]</f>
        <v>0</v>
      </c>
      <c r="N305" s="37">
        <f>IFERROR(Tabela_Base_Financeiro[[#This Row],[Proportion]],0)</f>
        <v>0</v>
      </c>
      <c r="O305" s="60">
        <f>Tabela6[[#This Row],[Proporção]]*Tabela6[[#This Row],[Total]]</f>
        <v>0</v>
      </c>
      <c r="P305" s="9"/>
      <c r="Q305"/>
      <c r="R305" s="59"/>
      <c r="S305" s="1"/>
    </row>
    <row r="306" spans="1:19">
      <c r="A306" s="122" t="e">
        <f>IF(VLOOKUP(Tabela6[[#This Row],[UF]],'BASE CC'!B:C,2,0)="SP",IF(Tabela6[[#This Row],[OPERADORA]]="TIM","SP TIM","SPI"),VLOOKUP(Tabela6[[#This Row],[UF]],'BASE CC'!B:C,2,0))</f>
        <v>#N/A</v>
      </c>
      <c r="B306" s="36" t="e">
        <f>VLOOKUP(Tabela_Base_Financeiro[[#This Row],[Item code]],'COD.FAT'!B:C,2,0)</f>
        <v>#N/A</v>
      </c>
      <c r="C306" s="292">
        <f>Tabela_Base_Financeiro[[#This Row],[PO Ship TO]]</f>
        <v>0</v>
      </c>
      <c r="D306" s="36" t="str">
        <f>RIGHT(Tabela_Base_Financeiro[[#This Row],[Manufacturer]],2)</f>
        <v/>
      </c>
      <c r="E30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06" s="122" t="e">
        <f>VLOOKUP(Tabela_Base_Financeiro[[#This Row],[Project Code]],'COD. PROJETOS'!B:D,3,0)</f>
        <v>#N/A</v>
      </c>
      <c r="G306" s="36">
        <f>IFERROR(Tabela_Base_Financeiro[[#This Row],[PO No,]],0)</f>
        <v>0</v>
      </c>
      <c r="H306" s="36">
        <f>IFERROR(Tabela_Base_Financeiro[[#This Row],[Line No,]],0)</f>
        <v>0</v>
      </c>
      <c r="I306" s="36" t="str">
        <f>IFERROR(MID(Tabela_Base_Financeiro[[#This Row],[Manufacturer]],19,14),"")</f>
        <v/>
      </c>
      <c r="J306" s="113">
        <f>IFERROR(Tabela_Base_Financeiro[[#This Row],[Item code]],0)</f>
        <v>0</v>
      </c>
      <c r="K306" s="293">
        <f>IFERROR(Tabela_Base_Financeiro[[#This Row],[Unit Price]],0)</f>
        <v>0</v>
      </c>
      <c r="L306" s="36">
        <f>IFERROR(Tabela_Base_Financeiro[[#This Row],[AC Qty,]],0)</f>
        <v>0</v>
      </c>
      <c r="M306" s="60">
        <f>Tabela6[[#This Row],[Qty]]*Tabela6[[#This Row],[Preço]]</f>
        <v>0</v>
      </c>
      <c r="N306" s="37">
        <f>IFERROR(Tabela_Base_Financeiro[[#This Row],[Proportion]],0)</f>
        <v>0</v>
      </c>
      <c r="O306" s="60">
        <f>Tabela6[[#This Row],[Proporção]]*Tabela6[[#This Row],[Total]]</f>
        <v>0</v>
      </c>
      <c r="P306" s="9"/>
      <c r="Q306"/>
      <c r="R306" s="59"/>
      <c r="S306" s="1"/>
    </row>
    <row r="307" spans="1:19">
      <c r="A307" s="122" t="e">
        <f>IF(VLOOKUP(Tabela6[[#This Row],[UF]],'BASE CC'!B:C,2,0)="SP",IF(Tabela6[[#This Row],[OPERADORA]]="TIM","SP TIM","SPI"),VLOOKUP(Tabela6[[#This Row],[UF]],'BASE CC'!B:C,2,0))</f>
        <v>#N/A</v>
      </c>
      <c r="B307" s="36" t="e">
        <f>VLOOKUP(Tabela_Base_Financeiro[[#This Row],[Item code]],'COD.FAT'!B:C,2,0)</f>
        <v>#N/A</v>
      </c>
      <c r="C307" s="292">
        <f>Tabela_Base_Financeiro[[#This Row],[PO Ship TO]]</f>
        <v>0</v>
      </c>
      <c r="D307" s="36" t="str">
        <f>RIGHT(Tabela_Base_Financeiro[[#This Row],[Manufacturer]],2)</f>
        <v/>
      </c>
      <c r="E30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07" s="122" t="e">
        <f>VLOOKUP(Tabela_Base_Financeiro[[#This Row],[Project Code]],'COD. PROJETOS'!B:D,3,0)</f>
        <v>#N/A</v>
      </c>
      <c r="G307" s="36">
        <f>IFERROR(Tabela_Base_Financeiro[[#This Row],[PO No,]],0)</f>
        <v>0</v>
      </c>
      <c r="H307" s="36">
        <f>IFERROR(Tabela_Base_Financeiro[[#This Row],[Line No,]],0)</f>
        <v>0</v>
      </c>
      <c r="I307" s="36" t="str">
        <f>IFERROR(MID(Tabela_Base_Financeiro[[#This Row],[Manufacturer]],19,14),"")</f>
        <v/>
      </c>
      <c r="J307" s="113">
        <f>IFERROR(Tabela_Base_Financeiro[[#This Row],[Item code]],0)</f>
        <v>0</v>
      </c>
      <c r="K307" s="293">
        <f>IFERROR(Tabela_Base_Financeiro[[#This Row],[Unit Price]],0)</f>
        <v>0</v>
      </c>
      <c r="L307" s="36">
        <f>IFERROR(Tabela_Base_Financeiro[[#This Row],[AC Qty,]],0)</f>
        <v>0</v>
      </c>
      <c r="M307" s="60">
        <f>Tabela6[[#This Row],[Qty]]*Tabela6[[#This Row],[Preço]]</f>
        <v>0</v>
      </c>
      <c r="N307" s="37">
        <f>IFERROR(Tabela_Base_Financeiro[[#This Row],[Proportion]],0)</f>
        <v>0</v>
      </c>
      <c r="O307" s="60">
        <f>Tabela6[[#This Row],[Proporção]]*Tabela6[[#This Row],[Total]]</f>
        <v>0</v>
      </c>
      <c r="P307" s="9"/>
      <c r="Q307"/>
      <c r="R307" s="59"/>
      <c r="S307" s="1"/>
    </row>
    <row r="308" spans="1:19">
      <c r="A308" s="122" t="e">
        <f>IF(VLOOKUP(Tabela6[[#This Row],[UF]],'BASE CC'!B:C,2,0)="SP",IF(Tabela6[[#This Row],[OPERADORA]]="TIM","SP TIM","SPI"),VLOOKUP(Tabela6[[#This Row],[UF]],'BASE CC'!B:C,2,0))</f>
        <v>#N/A</v>
      </c>
      <c r="B308" s="36" t="e">
        <f>VLOOKUP(Tabela_Base_Financeiro[[#This Row],[Item code]],'COD.FAT'!B:C,2,0)</f>
        <v>#N/A</v>
      </c>
      <c r="C308" s="292">
        <f>Tabela_Base_Financeiro[[#This Row],[PO Ship TO]]</f>
        <v>0</v>
      </c>
      <c r="D308" s="36" t="str">
        <f>RIGHT(Tabela_Base_Financeiro[[#This Row],[Manufacturer]],2)</f>
        <v/>
      </c>
      <c r="E30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08" s="122" t="e">
        <f>VLOOKUP(Tabela_Base_Financeiro[[#This Row],[Project Code]],'COD. PROJETOS'!B:D,3,0)</f>
        <v>#N/A</v>
      </c>
      <c r="G308" s="36">
        <f>IFERROR(Tabela_Base_Financeiro[[#This Row],[PO No,]],0)</f>
        <v>0</v>
      </c>
      <c r="H308" s="36">
        <f>IFERROR(Tabela_Base_Financeiro[[#This Row],[Line No,]],0)</f>
        <v>0</v>
      </c>
      <c r="I308" s="36" t="str">
        <f>IFERROR(MID(Tabela_Base_Financeiro[[#This Row],[Manufacturer]],19,14),"")</f>
        <v/>
      </c>
      <c r="J308" s="113">
        <f>IFERROR(Tabela_Base_Financeiro[[#This Row],[Item code]],0)</f>
        <v>0</v>
      </c>
      <c r="K308" s="293">
        <f>IFERROR(Tabela_Base_Financeiro[[#This Row],[Unit Price]],0)</f>
        <v>0</v>
      </c>
      <c r="L308" s="36">
        <f>IFERROR(Tabela_Base_Financeiro[[#This Row],[AC Qty,]],0)</f>
        <v>0</v>
      </c>
      <c r="M308" s="60">
        <f>Tabela6[[#This Row],[Qty]]*Tabela6[[#This Row],[Preço]]</f>
        <v>0</v>
      </c>
      <c r="N308" s="37">
        <f>IFERROR(Tabela_Base_Financeiro[[#This Row],[Proportion]],0)</f>
        <v>0</v>
      </c>
      <c r="O308" s="60">
        <f>Tabela6[[#This Row],[Proporção]]*Tabela6[[#This Row],[Total]]</f>
        <v>0</v>
      </c>
      <c r="P308" s="9"/>
      <c r="Q308"/>
      <c r="R308" s="59"/>
      <c r="S308" s="1"/>
    </row>
    <row r="309" spans="1:19">
      <c r="A309" s="122" t="e">
        <f>IF(VLOOKUP(Tabela6[[#This Row],[UF]],'BASE CC'!B:C,2,0)="SP",IF(Tabela6[[#This Row],[OPERADORA]]="TIM","SP TIM","SPI"),VLOOKUP(Tabela6[[#This Row],[UF]],'BASE CC'!B:C,2,0))</f>
        <v>#N/A</v>
      </c>
      <c r="B309" s="36" t="e">
        <f>VLOOKUP(Tabela_Base_Financeiro[[#This Row],[Item code]],'COD.FAT'!B:C,2,0)</f>
        <v>#N/A</v>
      </c>
      <c r="C309" s="292">
        <f>Tabela_Base_Financeiro[[#This Row],[PO Ship TO]]</f>
        <v>0</v>
      </c>
      <c r="D309" s="36" t="str">
        <f>RIGHT(Tabela_Base_Financeiro[[#This Row],[Manufacturer]],2)</f>
        <v/>
      </c>
      <c r="E30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09" s="122" t="e">
        <f>VLOOKUP(Tabela_Base_Financeiro[[#This Row],[Project Code]],'COD. PROJETOS'!B:D,3,0)</f>
        <v>#N/A</v>
      </c>
      <c r="G309" s="36">
        <f>IFERROR(Tabela_Base_Financeiro[[#This Row],[PO No,]],0)</f>
        <v>0</v>
      </c>
      <c r="H309" s="36">
        <f>IFERROR(Tabela_Base_Financeiro[[#This Row],[Line No,]],0)</f>
        <v>0</v>
      </c>
      <c r="I309" s="36" t="str">
        <f>IFERROR(MID(Tabela_Base_Financeiro[[#This Row],[Manufacturer]],19,14),"")</f>
        <v/>
      </c>
      <c r="J309" s="113">
        <f>IFERROR(Tabela_Base_Financeiro[[#This Row],[Item code]],0)</f>
        <v>0</v>
      </c>
      <c r="K309" s="293">
        <f>IFERROR(Tabela_Base_Financeiro[[#This Row],[Unit Price]],0)</f>
        <v>0</v>
      </c>
      <c r="L309" s="36">
        <f>IFERROR(Tabela_Base_Financeiro[[#This Row],[AC Qty,]],0)</f>
        <v>0</v>
      </c>
      <c r="M309" s="60">
        <f>Tabela6[[#This Row],[Qty]]*Tabela6[[#This Row],[Preço]]</f>
        <v>0</v>
      </c>
      <c r="N309" s="37">
        <f>IFERROR(Tabela_Base_Financeiro[[#This Row],[Proportion]],0)</f>
        <v>0</v>
      </c>
      <c r="O309" s="60">
        <f>Tabela6[[#This Row],[Proporção]]*Tabela6[[#This Row],[Total]]</f>
        <v>0</v>
      </c>
      <c r="P309" s="9"/>
      <c r="Q309"/>
      <c r="R309" s="59"/>
      <c r="S309" s="1"/>
    </row>
    <row r="310" spans="1:19">
      <c r="A310" s="122" t="e">
        <f>IF(VLOOKUP(Tabela6[[#This Row],[UF]],'BASE CC'!B:C,2,0)="SP",IF(Tabela6[[#This Row],[OPERADORA]]="TIM","SP TIM","SPI"),VLOOKUP(Tabela6[[#This Row],[UF]],'BASE CC'!B:C,2,0))</f>
        <v>#N/A</v>
      </c>
      <c r="B310" s="36" t="e">
        <f>VLOOKUP(Tabela_Base_Financeiro[[#This Row],[Item code]],'COD.FAT'!B:C,2,0)</f>
        <v>#N/A</v>
      </c>
      <c r="C310" s="292">
        <f>Tabela_Base_Financeiro[[#This Row],[PO Ship TO]]</f>
        <v>0</v>
      </c>
      <c r="D310" s="36" t="str">
        <f>RIGHT(Tabela_Base_Financeiro[[#This Row],[Manufacturer]],2)</f>
        <v/>
      </c>
      <c r="E31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10" s="122" t="e">
        <f>VLOOKUP(Tabela_Base_Financeiro[[#This Row],[Project Code]],'COD. PROJETOS'!B:D,3,0)</f>
        <v>#N/A</v>
      </c>
      <c r="G310" s="36">
        <f>IFERROR(Tabela_Base_Financeiro[[#This Row],[PO No,]],0)</f>
        <v>0</v>
      </c>
      <c r="H310" s="36">
        <f>IFERROR(Tabela_Base_Financeiro[[#This Row],[Line No,]],0)</f>
        <v>0</v>
      </c>
      <c r="I310" s="36" t="str">
        <f>IFERROR(MID(Tabela_Base_Financeiro[[#This Row],[Manufacturer]],19,14),"")</f>
        <v/>
      </c>
      <c r="J310" s="113">
        <f>IFERROR(Tabela_Base_Financeiro[[#This Row],[Item code]],0)</f>
        <v>0</v>
      </c>
      <c r="K310" s="293">
        <f>IFERROR(Tabela_Base_Financeiro[[#This Row],[Unit Price]],0)</f>
        <v>0</v>
      </c>
      <c r="L310" s="36">
        <f>IFERROR(Tabela_Base_Financeiro[[#This Row],[AC Qty,]],0)</f>
        <v>0</v>
      </c>
      <c r="M310" s="60">
        <f>Tabela6[[#This Row],[Qty]]*Tabela6[[#This Row],[Preço]]</f>
        <v>0</v>
      </c>
      <c r="N310" s="37">
        <f>IFERROR(Tabela_Base_Financeiro[[#This Row],[Proportion]],0)</f>
        <v>0</v>
      </c>
      <c r="O310" s="60">
        <f>Tabela6[[#This Row],[Proporção]]*Tabela6[[#This Row],[Total]]</f>
        <v>0</v>
      </c>
      <c r="P310" s="9"/>
      <c r="Q310"/>
      <c r="R310" s="59"/>
      <c r="S310" s="1"/>
    </row>
    <row r="311" spans="1:19">
      <c r="A311" s="122" t="e">
        <f>IF(VLOOKUP(Tabela6[[#This Row],[UF]],'BASE CC'!B:C,2,0)="SP",IF(Tabela6[[#This Row],[OPERADORA]]="TIM","SP TIM","SPI"),VLOOKUP(Tabela6[[#This Row],[UF]],'BASE CC'!B:C,2,0))</f>
        <v>#N/A</v>
      </c>
      <c r="B311" s="36" t="e">
        <f>VLOOKUP(Tabela_Base_Financeiro[[#This Row],[Item code]],'COD.FAT'!B:C,2,0)</f>
        <v>#N/A</v>
      </c>
      <c r="C311" s="292">
        <f>Tabela_Base_Financeiro[[#This Row],[PO Ship TO]]</f>
        <v>0</v>
      </c>
      <c r="D311" s="36" t="str">
        <f>RIGHT(Tabela_Base_Financeiro[[#This Row],[Manufacturer]],2)</f>
        <v/>
      </c>
      <c r="E31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11" s="122" t="e">
        <f>VLOOKUP(Tabela_Base_Financeiro[[#This Row],[Project Code]],'COD. PROJETOS'!B:D,3,0)</f>
        <v>#N/A</v>
      </c>
      <c r="G311" s="36">
        <f>IFERROR(Tabela_Base_Financeiro[[#This Row],[PO No,]],0)</f>
        <v>0</v>
      </c>
      <c r="H311" s="36">
        <f>IFERROR(Tabela_Base_Financeiro[[#This Row],[Line No,]],0)</f>
        <v>0</v>
      </c>
      <c r="I311" s="36" t="str">
        <f>IFERROR(MID(Tabela_Base_Financeiro[[#This Row],[Manufacturer]],19,14),"")</f>
        <v/>
      </c>
      <c r="J311" s="113">
        <f>IFERROR(Tabela_Base_Financeiro[[#This Row],[Item code]],0)</f>
        <v>0</v>
      </c>
      <c r="K311" s="293">
        <f>IFERROR(Tabela_Base_Financeiro[[#This Row],[Unit Price]],0)</f>
        <v>0</v>
      </c>
      <c r="L311" s="36">
        <f>IFERROR(Tabela_Base_Financeiro[[#This Row],[AC Qty,]],0)</f>
        <v>0</v>
      </c>
      <c r="M311" s="60">
        <f>Tabela6[[#This Row],[Qty]]*Tabela6[[#This Row],[Preço]]</f>
        <v>0</v>
      </c>
      <c r="N311" s="37">
        <f>IFERROR(Tabela_Base_Financeiro[[#This Row],[Proportion]],0)</f>
        <v>0</v>
      </c>
      <c r="O311" s="60">
        <f>Tabela6[[#This Row],[Proporção]]*Tabela6[[#This Row],[Total]]</f>
        <v>0</v>
      </c>
      <c r="P311" s="9"/>
      <c r="Q311"/>
      <c r="R311" s="59"/>
      <c r="S311" s="1"/>
    </row>
    <row r="312" spans="1:19">
      <c r="A312" s="122" t="e">
        <f>IF(VLOOKUP(Tabela6[[#This Row],[UF]],'BASE CC'!B:C,2,0)="SP",IF(Tabela6[[#This Row],[OPERADORA]]="TIM","SP TIM","SPI"),VLOOKUP(Tabela6[[#This Row],[UF]],'BASE CC'!B:C,2,0))</f>
        <v>#N/A</v>
      </c>
      <c r="B312" s="36" t="e">
        <f>VLOOKUP(Tabela_Base_Financeiro[[#This Row],[Item code]],'COD.FAT'!B:C,2,0)</f>
        <v>#N/A</v>
      </c>
      <c r="C312" s="292">
        <f>Tabela_Base_Financeiro[[#This Row],[PO Ship TO]]</f>
        <v>0</v>
      </c>
      <c r="D312" s="36" t="str">
        <f>RIGHT(Tabela_Base_Financeiro[[#This Row],[Manufacturer]],2)</f>
        <v/>
      </c>
      <c r="E31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12" s="122" t="e">
        <f>VLOOKUP(Tabela_Base_Financeiro[[#This Row],[Project Code]],'COD. PROJETOS'!B:D,3,0)</f>
        <v>#N/A</v>
      </c>
      <c r="G312" s="36">
        <f>IFERROR(Tabela_Base_Financeiro[[#This Row],[PO No,]],0)</f>
        <v>0</v>
      </c>
      <c r="H312" s="36">
        <f>IFERROR(Tabela_Base_Financeiro[[#This Row],[Line No,]],0)</f>
        <v>0</v>
      </c>
      <c r="I312" s="36" t="str">
        <f>IFERROR(MID(Tabela_Base_Financeiro[[#This Row],[Manufacturer]],19,14),"")</f>
        <v/>
      </c>
      <c r="J312" s="113">
        <f>IFERROR(Tabela_Base_Financeiro[[#This Row],[Item code]],0)</f>
        <v>0</v>
      </c>
      <c r="K312" s="293">
        <f>IFERROR(Tabela_Base_Financeiro[[#This Row],[Unit Price]],0)</f>
        <v>0</v>
      </c>
      <c r="L312" s="36">
        <f>IFERROR(Tabela_Base_Financeiro[[#This Row],[AC Qty,]],0)</f>
        <v>0</v>
      </c>
      <c r="M312" s="60">
        <f>Tabela6[[#This Row],[Qty]]*Tabela6[[#This Row],[Preço]]</f>
        <v>0</v>
      </c>
      <c r="N312" s="37">
        <f>IFERROR(Tabela_Base_Financeiro[[#This Row],[Proportion]],0)</f>
        <v>0</v>
      </c>
      <c r="O312" s="60">
        <f>Tabela6[[#This Row],[Proporção]]*Tabela6[[#This Row],[Total]]</f>
        <v>0</v>
      </c>
      <c r="P312" s="9"/>
      <c r="Q312"/>
      <c r="R312" s="59"/>
      <c r="S312" s="1"/>
    </row>
    <row r="313" spans="1:19">
      <c r="A313" s="122" t="e">
        <f>IF(VLOOKUP(Tabela6[[#This Row],[UF]],'BASE CC'!B:C,2,0)="SP",IF(Tabela6[[#This Row],[OPERADORA]]="TIM","SP TIM","SPI"),VLOOKUP(Tabela6[[#This Row],[UF]],'BASE CC'!B:C,2,0))</f>
        <v>#N/A</v>
      </c>
      <c r="B313" s="36" t="e">
        <f>VLOOKUP(Tabela_Base_Financeiro[[#This Row],[Item code]],'COD.FAT'!B:C,2,0)</f>
        <v>#N/A</v>
      </c>
      <c r="C313" s="292">
        <f>Tabela_Base_Financeiro[[#This Row],[PO Ship TO]]</f>
        <v>0</v>
      </c>
      <c r="D313" s="36" t="str">
        <f>RIGHT(Tabela_Base_Financeiro[[#This Row],[Manufacturer]],2)</f>
        <v/>
      </c>
      <c r="E31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13" s="122" t="e">
        <f>VLOOKUP(Tabela_Base_Financeiro[[#This Row],[Project Code]],'COD. PROJETOS'!B:D,3,0)</f>
        <v>#N/A</v>
      </c>
      <c r="G313" s="36">
        <f>IFERROR(Tabela_Base_Financeiro[[#This Row],[PO No,]],0)</f>
        <v>0</v>
      </c>
      <c r="H313" s="36">
        <f>IFERROR(Tabela_Base_Financeiro[[#This Row],[Line No,]],0)</f>
        <v>0</v>
      </c>
      <c r="I313" s="36" t="str">
        <f>IFERROR(MID(Tabela_Base_Financeiro[[#This Row],[Manufacturer]],19,14),"")</f>
        <v/>
      </c>
      <c r="J313" s="113">
        <f>IFERROR(Tabela_Base_Financeiro[[#This Row],[Item code]],0)</f>
        <v>0</v>
      </c>
      <c r="K313" s="293">
        <f>IFERROR(Tabela_Base_Financeiro[[#This Row],[Unit Price]],0)</f>
        <v>0</v>
      </c>
      <c r="L313" s="36">
        <f>IFERROR(Tabela_Base_Financeiro[[#This Row],[AC Qty,]],0)</f>
        <v>0</v>
      </c>
      <c r="M313" s="60">
        <f>Tabela6[[#This Row],[Qty]]*Tabela6[[#This Row],[Preço]]</f>
        <v>0</v>
      </c>
      <c r="N313" s="37">
        <f>IFERROR(Tabela_Base_Financeiro[[#This Row],[Proportion]],0)</f>
        <v>0</v>
      </c>
      <c r="O313" s="60">
        <f>Tabela6[[#This Row],[Proporção]]*Tabela6[[#This Row],[Total]]</f>
        <v>0</v>
      </c>
      <c r="P313" s="9"/>
      <c r="Q313"/>
      <c r="R313" s="59"/>
      <c r="S313" s="1"/>
    </row>
    <row r="314" spans="1:19">
      <c r="A314" s="122" t="e">
        <f>IF(VLOOKUP(Tabela6[[#This Row],[UF]],'BASE CC'!B:C,2,0)="SP",IF(Tabela6[[#This Row],[OPERADORA]]="TIM","SP TIM","SPI"),VLOOKUP(Tabela6[[#This Row],[UF]],'BASE CC'!B:C,2,0))</f>
        <v>#N/A</v>
      </c>
      <c r="B314" s="36" t="e">
        <f>VLOOKUP(Tabela_Base_Financeiro[[#This Row],[Item code]],'COD.FAT'!B:C,2,0)</f>
        <v>#N/A</v>
      </c>
      <c r="C314" s="292">
        <f>Tabela_Base_Financeiro[[#This Row],[PO Ship TO]]</f>
        <v>0</v>
      </c>
      <c r="D314" s="36" t="str">
        <f>RIGHT(Tabela_Base_Financeiro[[#This Row],[Manufacturer]],2)</f>
        <v/>
      </c>
      <c r="E31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14" s="122" t="e">
        <f>VLOOKUP(Tabela_Base_Financeiro[[#This Row],[Project Code]],'COD. PROJETOS'!B:D,3,0)</f>
        <v>#N/A</v>
      </c>
      <c r="G314" s="36">
        <f>IFERROR(Tabela_Base_Financeiro[[#This Row],[PO No,]],0)</f>
        <v>0</v>
      </c>
      <c r="H314" s="36">
        <f>IFERROR(Tabela_Base_Financeiro[[#This Row],[Line No,]],0)</f>
        <v>0</v>
      </c>
      <c r="I314" s="36" t="str">
        <f>IFERROR(MID(Tabela_Base_Financeiro[[#This Row],[Manufacturer]],19,14),"")</f>
        <v/>
      </c>
      <c r="J314" s="113">
        <f>IFERROR(Tabela_Base_Financeiro[[#This Row],[Item code]],0)</f>
        <v>0</v>
      </c>
      <c r="K314" s="293">
        <f>IFERROR(Tabela_Base_Financeiro[[#This Row],[Unit Price]],0)</f>
        <v>0</v>
      </c>
      <c r="L314" s="36">
        <f>IFERROR(Tabela_Base_Financeiro[[#This Row],[AC Qty,]],0)</f>
        <v>0</v>
      </c>
      <c r="M314" s="60">
        <f>Tabela6[[#This Row],[Qty]]*Tabela6[[#This Row],[Preço]]</f>
        <v>0</v>
      </c>
      <c r="N314" s="37">
        <f>IFERROR(Tabela_Base_Financeiro[[#This Row],[Proportion]],0)</f>
        <v>0</v>
      </c>
      <c r="O314" s="60">
        <f>Tabela6[[#This Row],[Proporção]]*Tabela6[[#This Row],[Total]]</f>
        <v>0</v>
      </c>
      <c r="P314" s="9"/>
      <c r="Q314"/>
      <c r="R314" s="59"/>
      <c r="S314" s="1"/>
    </row>
    <row r="315" spans="1:19">
      <c r="A315" s="122" t="e">
        <f>IF(VLOOKUP(Tabela6[[#This Row],[UF]],'BASE CC'!B:C,2,0)="SP",IF(Tabela6[[#This Row],[OPERADORA]]="TIM","SP TIM","SPI"),VLOOKUP(Tabela6[[#This Row],[UF]],'BASE CC'!B:C,2,0))</f>
        <v>#N/A</v>
      </c>
      <c r="B315" s="36" t="e">
        <f>VLOOKUP(Tabela_Base_Financeiro[[#This Row],[Item code]],'COD.FAT'!B:C,2,0)</f>
        <v>#N/A</v>
      </c>
      <c r="C315" s="292">
        <f>Tabela_Base_Financeiro[[#This Row],[PO Ship TO]]</f>
        <v>0</v>
      </c>
      <c r="D315" s="36" t="str">
        <f>RIGHT(Tabela_Base_Financeiro[[#This Row],[Manufacturer]],2)</f>
        <v/>
      </c>
      <c r="E31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15" s="122" t="e">
        <f>VLOOKUP(Tabela_Base_Financeiro[[#This Row],[Project Code]],'COD. PROJETOS'!B:D,3,0)</f>
        <v>#N/A</v>
      </c>
      <c r="G315" s="36">
        <f>IFERROR(Tabela_Base_Financeiro[[#This Row],[PO No,]],0)</f>
        <v>0</v>
      </c>
      <c r="H315" s="36">
        <f>IFERROR(Tabela_Base_Financeiro[[#This Row],[Line No,]],0)</f>
        <v>0</v>
      </c>
      <c r="I315" s="36" t="str">
        <f>IFERROR(MID(Tabela_Base_Financeiro[[#This Row],[Manufacturer]],19,14),"")</f>
        <v/>
      </c>
      <c r="J315" s="113">
        <f>IFERROR(Tabela_Base_Financeiro[[#This Row],[Item code]],0)</f>
        <v>0</v>
      </c>
      <c r="K315" s="293">
        <f>IFERROR(Tabela_Base_Financeiro[[#This Row],[Unit Price]],0)</f>
        <v>0</v>
      </c>
      <c r="L315" s="36">
        <f>IFERROR(Tabela_Base_Financeiro[[#This Row],[AC Qty,]],0)</f>
        <v>0</v>
      </c>
      <c r="M315" s="60">
        <f>Tabela6[[#This Row],[Qty]]*Tabela6[[#This Row],[Preço]]</f>
        <v>0</v>
      </c>
      <c r="N315" s="37">
        <f>IFERROR(Tabela_Base_Financeiro[[#This Row],[Proportion]],0)</f>
        <v>0</v>
      </c>
      <c r="O315" s="60">
        <f>Tabela6[[#This Row],[Proporção]]*Tabela6[[#This Row],[Total]]</f>
        <v>0</v>
      </c>
      <c r="P315" s="9"/>
      <c r="Q315"/>
      <c r="R315" s="59"/>
      <c r="S315" s="1"/>
    </row>
    <row r="316" spans="1:19">
      <c r="A316" s="122" t="e">
        <f>IF(VLOOKUP(Tabela6[[#This Row],[UF]],'BASE CC'!B:C,2,0)="SP",IF(Tabela6[[#This Row],[OPERADORA]]="TIM","SP TIM","SPI"),VLOOKUP(Tabela6[[#This Row],[UF]],'BASE CC'!B:C,2,0))</f>
        <v>#N/A</v>
      </c>
      <c r="B316" s="36" t="e">
        <f>VLOOKUP(Tabela_Base_Financeiro[[#This Row],[Item code]],'COD.FAT'!B:C,2,0)</f>
        <v>#N/A</v>
      </c>
      <c r="C316" s="292">
        <f>Tabela_Base_Financeiro[[#This Row],[PO Ship TO]]</f>
        <v>0</v>
      </c>
      <c r="D316" s="36" t="str">
        <f>RIGHT(Tabela_Base_Financeiro[[#This Row],[Manufacturer]],2)</f>
        <v/>
      </c>
      <c r="E31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16" s="122" t="e">
        <f>VLOOKUP(Tabela_Base_Financeiro[[#This Row],[Project Code]],'COD. PROJETOS'!B:D,3,0)</f>
        <v>#N/A</v>
      </c>
      <c r="G316" s="36">
        <f>IFERROR(Tabela_Base_Financeiro[[#This Row],[PO No,]],0)</f>
        <v>0</v>
      </c>
      <c r="H316" s="36">
        <f>IFERROR(Tabela_Base_Financeiro[[#This Row],[Line No,]],0)</f>
        <v>0</v>
      </c>
      <c r="I316" s="36" t="str">
        <f>IFERROR(MID(Tabela_Base_Financeiro[[#This Row],[Manufacturer]],19,14),"")</f>
        <v/>
      </c>
      <c r="J316" s="113">
        <f>IFERROR(Tabela_Base_Financeiro[[#This Row],[Item code]],0)</f>
        <v>0</v>
      </c>
      <c r="K316" s="293">
        <f>IFERROR(Tabela_Base_Financeiro[[#This Row],[Unit Price]],0)</f>
        <v>0</v>
      </c>
      <c r="L316" s="36">
        <f>IFERROR(Tabela_Base_Financeiro[[#This Row],[AC Qty,]],0)</f>
        <v>0</v>
      </c>
      <c r="M316" s="60">
        <f>Tabela6[[#This Row],[Qty]]*Tabela6[[#This Row],[Preço]]</f>
        <v>0</v>
      </c>
      <c r="N316" s="37">
        <f>IFERROR(Tabela_Base_Financeiro[[#This Row],[Proportion]],0)</f>
        <v>0</v>
      </c>
      <c r="O316" s="60">
        <f>Tabela6[[#This Row],[Proporção]]*Tabela6[[#This Row],[Total]]</f>
        <v>0</v>
      </c>
      <c r="P316" s="9"/>
      <c r="Q316"/>
      <c r="R316" s="59"/>
      <c r="S316" s="1"/>
    </row>
    <row r="317" spans="1:19">
      <c r="A317" s="122" t="e">
        <f>IF(VLOOKUP(Tabela6[[#This Row],[UF]],'BASE CC'!B:C,2,0)="SP",IF(Tabela6[[#This Row],[OPERADORA]]="TIM","SP TIM","SPI"),VLOOKUP(Tabela6[[#This Row],[UF]],'BASE CC'!B:C,2,0))</f>
        <v>#N/A</v>
      </c>
      <c r="B317" s="36" t="e">
        <f>VLOOKUP(Tabela_Base_Financeiro[[#This Row],[Item code]],'COD.FAT'!B:C,2,0)</f>
        <v>#N/A</v>
      </c>
      <c r="C317" s="292">
        <f>Tabela_Base_Financeiro[[#This Row],[PO Ship TO]]</f>
        <v>0</v>
      </c>
      <c r="D317" s="36" t="str">
        <f>RIGHT(Tabela_Base_Financeiro[[#This Row],[Manufacturer]],2)</f>
        <v/>
      </c>
      <c r="E31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17" s="122" t="e">
        <f>VLOOKUP(Tabela_Base_Financeiro[[#This Row],[Project Code]],'COD. PROJETOS'!B:D,3,0)</f>
        <v>#N/A</v>
      </c>
      <c r="G317" s="36">
        <f>IFERROR(Tabela_Base_Financeiro[[#This Row],[PO No,]],0)</f>
        <v>0</v>
      </c>
      <c r="H317" s="36">
        <f>IFERROR(Tabela_Base_Financeiro[[#This Row],[Line No,]],0)</f>
        <v>0</v>
      </c>
      <c r="I317" s="36" t="str">
        <f>IFERROR(MID(Tabela_Base_Financeiro[[#This Row],[Manufacturer]],19,14),"")</f>
        <v/>
      </c>
      <c r="J317" s="113">
        <f>IFERROR(Tabela_Base_Financeiro[[#This Row],[Item code]],0)</f>
        <v>0</v>
      </c>
      <c r="K317" s="293">
        <f>IFERROR(Tabela_Base_Financeiro[[#This Row],[Unit Price]],0)</f>
        <v>0</v>
      </c>
      <c r="L317" s="36">
        <f>IFERROR(Tabela_Base_Financeiro[[#This Row],[AC Qty,]],0)</f>
        <v>0</v>
      </c>
      <c r="M317" s="60">
        <f>Tabela6[[#This Row],[Qty]]*Tabela6[[#This Row],[Preço]]</f>
        <v>0</v>
      </c>
      <c r="N317" s="37">
        <f>IFERROR(Tabela_Base_Financeiro[[#This Row],[Proportion]],0)</f>
        <v>0</v>
      </c>
      <c r="O317" s="60">
        <f>Tabela6[[#This Row],[Proporção]]*Tabela6[[#This Row],[Total]]</f>
        <v>0</v>
      </c>
      <c r="P317" s="9"/>
      <c r="Q317"/>
      <c r="R317" s="59"/>
      <c r="S317" s="1"/>
    </row>
    <row r="318" spans="1:19">
      <c r="A318" s="122" t="e">
        <f>IF(VLOOKUP(Tabela6[[#This Row],[UF]],'BASE CC'!B:C,2,0)="SP",IF(Tabela6[[#This Row],[OPERADORA]]="TIM","SP TIM","SPI"),VLOOKUP(Tabela6[[#This Row],[UF]],'BASE CC'!B:C,2,0))</f>
        <v>#N/A</v>
      </c>
      <c r="B318" s="36" t="e">
        <f>VLOOKUP(Tabela_Base_Financeiro[[#This Row],[Item code]],'COD.FAT'!B:C,2,0)</f>
        <v>#N/A</v>
      </c>
      <c r="C318" s="292">
        <f>Tabela_Base_Financeiro[[#This Row],[PO Ship TO]]</f>
        <v>0</v>
      </c>
      <c r="D318" s="36" t="str">
        <f>RIGHT(Tabela_Base_Financeiro[[#This Row],[Manufacturer]],2)</f>
        <v/>
      </c>
      <c r="E31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18" s="122" t="e">
        <f>VLOOKUP(Tabela_Base_Financeiro[[#This Row],[Project Code]],'COD. PROJETOS'!B:D,3,0)</f>
        <v>#N/A</v>
      </c>
      <c r="G318" s="36">
        <f>IFERROR(Tabela_Base_Financeiro[[#This Row],[PO No,]],0)</f>
        <v>0</v>
      </c>
      <c r="H318" s="36">
        <f>IFERROR(Tabela_Base_Financeiro[[#This Row],[Line No,]],0)</f>
        <v>0</v>
      </c>
      <c r="I318" s="36" t="str">
        <f>IFERROR(MID(Tabela_Base_Financeiro[[#This Row],[Manufacturer]],19,14),"")</f>
        <v/>
      </c>
      <c r="J318" s="113">
        <f>IFERROR(Tabela_Base_Financeiro[[#This Row],[Item code]],0)</f>
        <v>0</v>
      </c>
      <c r="K318" s="293">
        <f>IFERROR(Tabela_Base_Financeiro[[#This Row],[Unit Price]],0)</f>
        <v>0</v>
      </c>
      <c r="L318" s="36">
        <f>IFERROR(Tabela_Base_Financeiro[[#This Row],[AC Qty,]],0)</f>
        <v>0</v>
      </c>
      <c r="M318" s="60">
        <f>Tabela6[[#This Row],[Qty]]*Tabela6[[#This Row],[Preço]]</f>
        <v>0</v>
      </c>
      <c r="N318" s="37">
        <f>IFERROR(Tabela_Base_Financeiro[[#This Row],[Proportion]],0)</f>
        <v>0</v>
      </c>
      <c r="O318" s="60">
        <f>Tabela6[[#This Row],[Proporção]]*Tabela6[[#This Row],[Total]]</f>
        <v>0</v>
      </c>
      <c r="P318" s="9"/>
      <c r="Q318"/>
      <c r="R318" s="59"/>
      <c r="S318" s="1"/>
    </row>
    <row r="319" spans="1:19">
      <c r="A319" s="122" t="e">
        <f>IF(VLOOKUP(Tabela6[[#This Row],[UF]],'BASE CC'!B:C,2,0)="SP",IF(Tabela6[[#This Row],[OPERADORA]]="TIM","SP TIM","SPI"),VLOOKUP(Tabela6[[#This Row],[UF]],'BASE CC'!B:C,2,0))</f>
        <v>#N/A</v>
      </c>
      <c r="B319" s="36" t="e">
        <f>VLOOKUP(Tabela_Base_Financeiro[[#This Row],[Item code]],'COD.FAT'!B:C,2,0)</f>
        <v>#N/A</v>
      </c>
      <c r="C319" s="292">
        <f>Tabela_Base_Financeiro[[#This Row],[PO Ship TO]]</f>
        <v>0</v>
      </c>
      <c r="D319" s="36" t="str">
        <f>RIGHT(Tabela_Base_Financeiro[[#This Row],[Manufacturer]],2)</f>
        <v/>
      </c>
      <c r="E31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19" s="122" t="e">
        <f>VLOOKUP(Tabela_Base_Financeiro[[#This Row],[Project Code]],'COD. PROJETOS'!B:D,3,0)</f>
        <v>#N/A</v>
      </c>
      <c r="G319" s="36">
        <f>IFERROR(Tabela_Base_Financeiro[[#This Row],[PO No,]],0)</f>
        <v>0</v>
      </c>
      <c r="H319" s="36">
        <f>IFERROR(Tabela_Base_Financeiro[[#This Row],[Line No,]],0)</f>
        <v>0</v>
      </c>
      <c r="I319" s="36" t="str">
        <f>IFERROR(MID(Tabela_Base_Financeiro[[#This Row],[Manufacturer]],19,14),"")</f>
        <v/>
      </c>
      <c r="J319" s="113">
        <f>IFERROR(Tabela_Base_Financeiro[[#This Row],[Item code]],0)</f>
        <v>0</v>
      </c>
      <c r="K319" s="293">
        <f>IFERROR(Tabela_Base_Financeiro[[#This Row],[Unit Price]],0)</f>
        <v>0</v>
      </c>
      <c r="L319" s="36">
        <f>IFERROR(Tabela_Base_Financeiro[[#This Row],[AC Qty,]],0)</f>
        <v>0</v>
      </c>
      <c r="M319" s="60">
        <f>Tabela6[[#This Row],[Qty]]*Tabela6[[#This Row],[Preço]]</f>
        <v>0</v>
      </c>
      <c r="N319" s="37">
        <f>IFERROR(Tabela_Base_Financeiro[[#This Row],[Proportion]],0)</f>
        <v>0</v>
      </c>
      <c r="O319" s="60">
        <f>Tabela6[[#This Row],[Proporção]]*Tabela6[[#This Row],[Total]]</f>
        <v>0</v>
      </c>
      <c r="P319" s="9"/>
      <c r="Q319"/>
      <c r="R319" s="59"/>
      <c r="S319" s="1"/>
    </row>
    <row r="320" spans="1:19">
      <c r="A320" s="122" t="e">
        <f>IF(VLOOKUP(Tabela6[[#This Row],[UF]],'BASE CC'!B:C,2,0)="SP",IF(Tabela6[[#This Row],[OPERADORA]]="TIM","SP TIM","SPI"),VLOOKUP(Tabela6[[#This Row],[UF]],'BASE CC'!B:C,2,0))</f>
        <v>#N/A</v>
      </c>
      <c r="B320" s="36" t="e">
        <f>VLOOKUP(Tabela_Base_Financeiro[[#This Row],[Item code]],'COD.FAT'!B:C,2,0)</f>
        <v>#N/A</v>
      </c>
      <c r="C320" s="292">
        <f>Tabela_Base_Financeiro[[#This Row],[PO Ship TO]]</f>
        <v>0</v>
      </c>
      <c r="D320" s="36" t="str">
        <f>RIGHT(Tabela_Base_Financeiro[[#This Row],[Manufacturer]],2)</f>
        <v/>
      </c>
      <c r="E32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20" s="122" t="e">
        <f>VLOOKUP(Tabela_Base_Financeiro[[#This Row],[Project Code]],'COD. PROJETOS'!B:D,3,0)</f>
        <v>#N/A</v>
      </c>
      <c r="G320" s="36">
        <f>IFERROR(Tabela_Base_Financeiro[[#This Row],[PO No,]],0)</f>
        <v>0</v>
      </c>
      <c r="H320" s="36">
        <f>IFERROR(Tabela_Base_Financeiro[[#This Row],[Line No,]],0)</f>
        <v>0</v>
      </c>
      <c r="I320" s="36" t="str">
        <f>IFERROR(MID(Tabela_Base_Financeiro[[#This Row],[Manufacturer]],19,14),"")</f>
        <v/>
      </c>
      <c r="J320" s="113">
        <f>IFERROR(Tabela_Base_Financeiro[[#This Row],[Item code]],0)</f>
        <v>0</v>
      </c>
      <c r="K320" s="293">
        <f>IFERROR(Tabela_Base_Financeiro[[#This Row],[Unit Price]],0)</f>
        <v>0</v>
      </c>
      <c r="L320" s="36">
        <f>IFERROR(Tabela_Base_Financeiro[[#This Row],[AC Qty,]],0)</f>
        <v>0</v>
      </c>
      <c r="M320" s="60">
        <f>Tabela6[[#This Row],[Qty]]*Tabela6[[#This Row],[Preço]]</f>
        <v>0</v>
      </c>
      <c r="N320" s="37">
        <f>IFERROR(Tabela_Base_Financeiro[[#This Row],[Proportion]],0)</f>
        <v>0</v>
      </c>
      <c r="O320" s="60">
        <f>Tabela6[[#This Row],[Proporção]]*Tabela6[[#This Row],[Total]]</f>
        <v>0</v>
      </c>
      <c r="P320" s="9"/>
      <c r="Q320"/>
      <c r="R320" s="59"/>
      <c r="S320" s="1"/>
    </row>
    <row r="321" spans="1:19">
      <c r="A321" s="122" t="e">
        <f>IF(VLOOKUP(Tabela6[[#This Row],[UF]],'BASE CC'!B:C,2,0)="SP",IF(Tabela6[[#This Row],[OPERADORA]]="TIM","SP TIM","SPI"),VLOOKUP(Tabela6[[#This Row],[UF]],'BASE CC'!B:C,2,0))</f>
        <v>#N/A</v>
      </c>
      <c r="B321" s="36" t="e">
        <f>VLOOKUP(Tabela_Base_Financeiro[[#This Row],[Item code]],'COD.FAT'!B:C,2,0)</f>
        <v>#N/A</v>
      </c>
      <c r="C321" s="292">
        <f>Tabela_Base_Financeiro[[#This Row],[PO Ship TO]]</f>
        <v>0</v>
      </c>
      <c r="D321" s="36" t="str">
        <f>RIGHT(Tabela_Base_Financeiro[[#This Row],[Manufacturer]],2)</f>
        <v/>
      </c>
      <c r="E32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21" s="122" t="e">
        <f>VLOOKUP(Tabela_Base_Financeiro[[#This Row],[Project Code]],'COD. PROJETOS'!B:D,3,0)</f>
        <v>#N/A</v>
      </c>
      <c r="G321" s="36">
        <f>IFERROR(Tabela_Base_Financeiro[[#This Row],[PO No,]],0)</f>
        <v>0</v>
      </c>
      <c r="H321" s="36">
        <f>IFERROR(Tabela_Base_Financeiro[[#This Row],[Line No,]],0)</f>
        <v>0</v>
      </c>
      <c r="I321" s="36" t="str">
        <f>IFERROR(MID(Tabela_Base_Financeiro[[#This Row],[Manufacturer]],19,14),"")</f>
        <v/>
      </c>
      <c r="J321" s="113">
        <f>IFERROR(Tabela_Base_Financeiro[[#This Row],[Item code]],0)</f>
        <v>0</v>
      </c>
      <c r="K321" s="293">
        <f>IFERROR(Tabela_Base_Financeiro[[#This Row],[Unit Price]],0)</f>
        <v>0</v>
      </c>
      <c r="L321" s="36">
        <f>IFERROR(Tabela_Base_Financeiro[[#This Row],[AC Qty,]],0)</f>
        <v>0</v>
      </c>
      <c r="M321" s="60">
        <f>Tabela6[[#This Row],[Qty]]*Tabela6[[#This Row],[Preço]]</f>
        <v>0</v>
      </c>
      <c r="N321" s="37">
        <f>IFERROR(Tabela_Base_Financeiro[[#This Row],[Proportion]],0)</f>
        <v>0</v>
      </c>
      <c r="O321" s="60">
        <f>Tabela6[[#This Row],[Proporção]]*Tabela6[[#This Row],[Total]]</f>
        <v>0</v>
      </c>
      <c r="P321" s="9"/>
      <c r="Q321"/>
      <c r="R321" s="59"/>
      <c r="S321" s="1"/>
    </row>
    <row r="322" spans="1:19">
      <c r="A322" s="122" t="e">
        <f>IF(VLOOKUP(Tabela6[[#This Row],[UF]],'BASE CC'!B:C,2,0)="SP",IF(Tabela6[[#This Row],[OPERADORA]]="TIM","SP TIM","SPI"),VLOOKUP(Tabela6[[#This Row],[UF]],'BASE CC'!B:C,2,0))</f>
        <v>#N/A</v>
      </c>
      <c r="B322" s="36" t="e">
        <f>VLOOKUP(Tabela_Base_Financeiro[[#This Row],[Item code]],'COD.FAT'!B:C,2,0)</f>
        <v>#N/A</v>
      </c>
      <c r="C322" s="292">
        <f>Tabela_Base_Financeiro[[#This Row],[PO Ship TO]]</f>
        <v>0</v>
      </c>
      <c r="D322" s="36" t="str">
        <f>RIGHT(Tabela_Base_Financeiro[[#This Row],[Manufacturer]],2)</f>
        <v/>
      </c>
      <c r="E32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22" s="122" t="e">
        <f>VLOOKUP(Tabela_Base_Financeiro[[#This Row],[Project Code]],'COD. PROJETOS'!B:D,3,0)</f>
        <v>#N/A</v>
      </c>
      <c r="G322" s="36">
        <f>IFERROR(Tabela_Base_Financeiro[[#This Row],[PO No,]],0)</f>
        <v>0</v>
      </c>
      <c r="H322" s="36">
        <f>IFERROR(Tabela_Base_Financeiro[[#This Row],[Line No,]],0)</f>
        <v>0</v>
      </c>
      <c r="I322" s="36" t="str">
        <f>IFERROR(MID(Tabela_Base_Financeiro[[#This Row],[Manufacturer]],19,14),"")</f>
        <v/>
      </c>
      <c r="J322" s="113">
        <f>IFERROR(Tabela_Base_Financeiro[[#This Row],[Item code]],0)</f>
        <v>0</v>
      </c>
      <c r="K322" s="293">
        <f>IFERROR(Tabela_Base_Financeiro[[#This Row],[Unit Price]],0)</f>
        <v>0</v>
      </c>
      <c r="L322" s="36">
        <f>IFERROR(Tabela_Base_Financeiro[[#This Row],[AC Qty,]],0)</f>
        <v>0</v>
      </c>
      <c r="M322" s="60">
        <f>Tabela6[[#This Row],[Qty]]*Tabela6[[#This Row],[Preço]]</f>
        <v>0</v>
      </c>
      <c r="N322" s="37">
        <f>IFERROR(Tabela_Base_Financeiro[[#This Row],[Proportion]],0)</f>
        <v>0</v>
      </c>
      <c r="O322" s="60">
        <f>Tabela6[[#This Row],[Proporção]]*Tabela6[[#This Row],[Total]]</f>
        <v>0</v>
      </c>
      <c r="P322" s="9"/>
      <c r="Q322"/>
      <c r="R322" s="59"/>
      <c r="S322" s="1"/>
    </row>
    <row r="323" spans="1:19">
      <c r="A323" s="122" t="e">
        <f>IF(VLOOKUP(Tabela6[[#This Row],[UF]],'BASE CC'!B:C,2,0)="SP",IF(Tabela6[[#This Row],[OPERADORA]]="TIM","SP TIM","SPI"),VLOOKUP(Tabela6[[#This Row],[UF]],'BASE CC'!B:C,2,0))</f>
        <v>#N/A</v>
      </c>
      <c r="B323" s="36" t="e">
        <f>VLOOKUP(Tabela_Base_Financeiro[[#This Row],[Item code]],'COD.FAT'!B:C,2,0)</f>
        <v>#N/A</v>
      </c>
      <c r="C323" s="292">
        <f>Tabela_Base_Financeiro[[#This Row],[PO Ship TO]]</f>
        <v>0</v>
      </c>
      <c r="D323" s="36" t="str">
        <f>RIGHT(Tabela_Base_Financeiro[[#This Row],[Manufacturer]],2)</f>
        <v/>
      </c>
      <c r="E32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23" s="122" t="e">
        <f>VLOOKUP(Tabela_Base_Financeiro[[#This Row],[Project Code]],'COD. PROJETOS'!B:D,3,0)</f>
        <v>#N/A</v>
      </c>
      <c r="G323" s="36">
        <f>IFERROR(Tabela_Base_Financeiro[[#This Row],[PO No,]],0)</f>
        <v>0</v>
      </c>
      <c r="H323" s="36">
        <f>IFERROR(Tabela_Base_Financeiro[[#This Row],[Line No,]],0)</f>
        <v>0</v>
      </c>
      <c r="I323" s="36" t="str">
        <f>IFERROR(MID(Tabela_Base_Financeiro[[#This Row],[Manufacturer]],19,14),"")</f>
        <v/>
      </c>
      <c r="J323" s="113">
        <f>IFERROR(Tabela_Base_Financeiro[[#This Row],[Item code]],0)</f>
        <v>0</v>
      </c>
      <c r="K323" s="293">
        <f>IFERROR(Tabela_Base_Financeiro[[#This Row],[Unit Price]],0)</f>
        <v>0</v>
      </c>
      <c r="L323" s="36">
        <f>IFERROR(Tabela_Base_Financeiro[[#This Row],[AC Qty,]],0)</f>
        <v>0</v>
      </c>
      <c r="M323" s="60">
        <f>Tabela6[[#This Row],[Qty]]*Tabela6[[#This Row],[Preço]]</f>
        <v>0</v>
      </c>
      <c r="N323" s="37">
        <f>IFERROR(Tabela_Base_Financeiro[[#This Row],[Proportion]],0)</f>
        <v>0</v>
      </c>
      <c r="O323" s="60">
        <f>Tabela6[[#This Row],[Proporção]]*Tabela6[[#This Row],[Total]]</f>
        <v>0</v>
      </c>
      <c r="P323" s="9"/>
      <c r="Q323"/>
      <c r="R323" s="59"/>
      <c r="S323" s="1"/>
    </row>
    <row r="324" spans="1:19">
      <c r="A324" s="122" t="e">
        <f>IF(VLOOKUP(Tabela6[[#This Row],[UF]],'BASE CC'!B:C,2,0)="SP",IF(Tabela6[[#This Row],[OPERADORA]]="TIM","SP TIM","SPI"),VLOOKUP(Tabela6[[#This Row],[UF]],'BASE CC'!B:C,2,0))</f>
        <v>#N/A</v>
      </c>
      <c r="B324" s="36" t="e">
        <f>VLOOKUP(Tabela_Base_Financeiro[[#This Row],[Item code]],'COD.FAT'!B:C,2,0)</f>
        <v>#N/A</v>
      </c>
      <c r="C324" s="292">
        <f>Tabela_Base_Financeiro[[#This Row],[PO Ship TO]]</f>
        <v>0</v>
      </c>
      <c r="D324" s="36" t="str">
        <f>RIGHT(Tabela_Base_Financeiro[[#This Row],[Manufacturer]],2)</f>
        <v/>
      </c>
      <c r="E32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24" s="122" t="e">
        <f>VLOOKUP(Tabela_Base_Financeiro[[#This Row],[Project Code]],'COD. PROJETOS'!B:D,3,0)</f>
        <v>#N/A</v>
      </c>
      <c r="G324" s="36">
        <f>IFERROR(Tabela_Base_Financeiro[[#This Row],[PO No,]],0)</f>
        <v>0</v>
      </c>
      <c r="H324" s="36">
        <f>IFERROR(Tabela_Base_Financeiro[[#This Row],[Line No,]],0)</f>
        <v>0</v>
      </c>
      <c r="I324" s="36" t="str">
        <f>IFERROR(MID(Tabela_Base_Financeiro[[#This Row],[Manufacturer]],19,14),"")</f>
        <v/>
      </c>
      <c r="J324" s="113">
        <f>IFERROR(Tabela_Base_Financeiro[[#This Row],[Item code]],0)</f>
        <v>0</v>
      </c>
      <c r="K324" s="293">
        <f>IFERROR(Tabela_Base_Financeiro[[#This Row],[Unit Price]],0)</f>
        <v>0</v>
      </c>
      <c r="L324" s="36">
        <f>IFERROR(Tabela_Base_Financeiro[[#This Row],[AC Qty,]],0)</f>
        <v>0</v>
      </c>
      <c r="M324" s="60">
        <f>Tabela6[[#This Row],[Qty]]*Tabela6[[#This Row],[Preço]]</f>
        <v>0</v>
      </c>
      <c r="N324" s="37">
        <f>IFERROR(Tabela_Base_Financeiro[[#This Row],[Proportion]],0)</f>
        <v>0</v>
      </c>
      <c r="O324" s="60">
        <f>Tabela6[[#This Row],[Proporção]]*Tabela6[[#This Row],[Total]]</f>
        <v>0</v>
      </c>
      <c r="P324" s="9"/>
      <c r="Q324"/>
      <c r="R324" s="59"/>
      <c r="S324" s="1"/>
    </row>
    <row r="325" spans="1:19">
      <c r="A325" s="122" t="e">
        <f>IF(VLOOKUP(Tabela6[[#This Row],[UF]],'BASE CC'!B:C,2,0)="SP",IF(Tabela6[[#This Row],[OPERADORA]]="TIM","SP TIM","SPI"),VLOOKUP(Tabela6[[#This Row],[UF]],'BASE CC'!B:C,2,0))</f>
        <v>#N/A</v>
      </c>
      <c r="B325" s="36" t="e">
        <f>VLOOKUP(Tabela_Base_Financeiro[[#This Row],[Item code]],'COD.FAT'!B:C,2,0)</f>
        <v>#N/A</v>
      </c>
      <c r="C325" s="292">
        <f>Tabela_Base_Financeiro[[#This Row],[PO Ship TO]]</f>
        <v>0</v>
      </c>
      <c r="D325" s="36" t="str">
        <f>RIGHT(Tabela_Base_Financeiro[[#This Row],[Manufacturer]],2)</f>
        <v/>
      </c>
      <c r="E32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25" s="122" t="e">
        <f>VLOOKUP(Tabela_Base_Financeiro[[#This Row],[Project Code]],'COD. PROJETOS'!B:D,3,0)</f>
        <v>#N/A</v>
      </c>
      <c r="G325" s="36">
        <f>IFERROR(Tabela_Base_Financeiro[[#This Row],[PO No,]],0)</f>
        <v>0</v>
      </c>
      <c r="H325" s="36">
        <f>IFERROR(Tabela_Base_Financeiro[[#This Row],[Line No,]],0)</f>
        <v>0</v>
      </c>
      <c r="I325" s="36" t="str">
        <f>IFERROR(MID(Tabela_Base_Financeiro[[#This Row],[Manufacturer]],19,14),"")</f>
        <v/>
      </c>
      <c r="J325" s="113">
        <f>IFERROR(Tabela_Base_Financeiro[[#This Row],[Item code]],0)</f>
        <v>0</v>
      </c>
      <c r="K325" s="293">
        <f>IFERROR(Tabela_Base_Financeiro[[#This Row],[Unit Price]],0)</f>
        <v>0</v>
      </c>
      <c r="L325" s="36">
        <f>IFERROR(Tabela_Base_Financeiro[[#This Row],[AC Qty,]],0)</f>
        <v>0</v>
      </c>
      <c r="M325" s="60">
        <f>Tabela6[[#This Row],[Qty]]*Tabela6[[#This Row],[Preço]]</f>
        <v>0</v>
      </c>
      <c r="N325" s="37">
        <f>IFERROR(Tabela_Base_Financeiro[[#This Row],[Proportion]],0)</f>
        <v>0</v>
      </c>
      <c r="O325" s="60">
        <f>Tabela6[[#This Row],[Proporção]]*Tabela6[[#This Row],[Total]]</f>
        <v>0</v>
      </c>
      <c r="P325" s="9"/>
      <c r="Q325"/>
      <c r="R325" s="59"/>
      <c r="S325" s="1"/>
    </row>
    <row r="326" spans="1:19">
      <c r="A326" s="122" t="e">
        <f>IF(VLOOKUP(Tabela6[[#This Row],[UF]],'BASE CC'!B:C,2,0)="SP",IF(Tabela6[[#This Row],[OPERADORA]]="TIM","SP TIM","SPI"),VLOOKUP(Tabela6[[#This Row],[UF]],'BASE CC'!B:C,2,0))</f>
        <v>#N/A</v>
      </c>
      <c r="B326" s="36" t="e">
        <f>VLOOKUP(Tabela_Base_Financeiro[[#This Row],[Item code]],'COD.FAT'!B:C,2,0)</f>
        <v>#N/A</v>
      </c>
      <c r="C326" s="292">
        <f>Tabela_Base_Financeiro[[#This Row],[PO Ship TO]]</f>
        <v>0</v>
      </c>
      <c r="D326" s="36" t="str">
        <f>RIGHT(Tabela_Base_Financeiro[[#This Row],[Manufacturer]],2)</f>
        <v/>
      </c>
      <c r="E32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26" s="122" t="e">
        <f>VLOOKUP(Tabela_Base_Financeiro[[#This Row],[Project Code]],'COD. PROJETOS'!B:D,3,0)</f>
        <v>#N/A</v>
      </c>
      <c r="G326" s="36">
        <f>IFERROR(Tabela_Base_Financeiro[[#This Row],[PO No,]],0)</f>
        <v>0</v>
      </c>
      <c r="H326" s="36">
        <f>IFERROR(Tabela_Base_Financeiro[[#This Row],[Line No,]],0)</f>
        <v>0</v>
      </c>
      <c r="I326" s="36" t="str">
        <f>IFERROR(MID(Tabela_Base_Financeiro[[#This Row],[Manufacturer]],19,14),"")</f>
        <v/>
      </c>
      <c r="J326" s="113">
        <f>IFERROR(Tabela_Base_Financeiro[[#This Row],[Item code]],0)</f>
        <v>0</v>
      </c>
      <c r="K326" s="293">
        <f>IFERROR(Tabela_Base_Financeiro[[#This Row],[Unit Price]],0)</f>
        <v>0</v>
      </c>
      <c r="L326" s="36">
        <f>IFERROR(Tabela_Base_Financeiro[[#This Row],[AC Qty,]],0)</f>
        <v>0</v>
      </c>
      <c r="M326" s="60">
        <f>Tabela6[[#This Row],[Qty]]*Tabela6[[#This Row],[Preço]]</f>
        <v>0</v>
      </c>
      <c r="N326" s="37">
        <f>IFERROR(Tabela_Base_Financeiro[[#This Row],[Proportion]],0)</f>
        <v>0</v>
      </c>
      <c r="O326" s="60">
        <f>Tabela6[[#This Row],[Proporção]]*Tabela6[[#This Row],[Total]]</f>
        <v>0</v>
      </c>
      <c r="P326" s="9"/>
      <c r="Q326"/>
      <c r="R326" s="59"/>
      <c r="S326" s="1"/>
    </row>
    <row r="327" spans="1:19">
      <c r="A327" s="122" t="e">
        <f>IF(VLOOKUP(Tabela6[[#This Row],[UF]],'BASE CC'!B:C,2,0)="SP",IF(Tabela6[[#This Row],[OPERADORA]]="TIM","SP TIM","SPI"),VLOOKUP(Tabela6[[#This Row],[UF]],'BASE CC'!B:C,2,0))</f>
        <v>#N/A</v>
      </c>
      <c r="B327" s="36" t="e">
        <f>VLOOKUP(Tabela_Base_Financeiro[[#This Row],[Item code]],'COD.FAT'!B:C,2,0)</f>
        <v>#N/A</v>
      </c>
      <c r="C327" s="292">
        <f>Tabela_Base_Financeiro[[#This Row],[PO Ship TO]]</f>
        <v>0</v>
      </c>
      <c r="D327" s="36" t="str">
        <f>RIGHT(Tabela_Base_Financeiro[[#This Row],[Manufacturer]],2)</f>
        <v/>
      </c>
      <c r="E32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27" s="122" t="e">
        <f>VLOOKUP(Tabela_Base_Financeiro[[#This Row],[Project Code]],'COD. PROJETOS'!B:D,3,0)</f>
        <v>#N/A</v>
      </c>
      <c r="G327" s="36">
        <f>IFERROR(Tabela_Base_Financeiro[[#This Row],[PO No,]],0)</f>
        <v>0</v>
      </c>
      <c r="H327" s="36">
        <f>IFERROR(Tabela_Base_Financeiro[[#This Row],[Line No,]],0)</f>
        <v>0</v>
      </c>
      <c r="I327" s="36" t="str">
        <f>IFERROR(MID(Tabela_Base_Financeiro[[#This Row],[Manufacturer]],19,14),"")</f>
        <v/>
      </c>
      <c r="J327" s="113">
        <f>IFERROR(Tabela_Base_Financeiro[[#This Row],[Item code]],0)</f>
        <v>0</v>
      </c>
      <c r="K327" s="293">
        <f>IFERROR(Tabela_Base_Financeiro[[#This Row],[Unit Price]],0)</f>
        <v>0</v>
      </c>
      <c r="L327" s="36">
        <f>IFERROR(Tabela_Base_Financeiro[[#This Row],[AC Qty,]],0)</f>
        <v>0</v>
      </c>
      <c r="M327" s="60">
        <f>Tabela6[[#This Row],[Qty]]*Tabela6[[#This Row],[Preço]]</f>
        <v>0</v>
      </c>
      <c r="N327" s="37">
        <f>IFERROR(Tabela_Base_Financeiro[[#This Row],[Proportion]],0)</f>
        <v>0</v>
      </c>
      <c r="O327" s="60">
        <f>Tabela6[[#This Row],[Proporção]]*Tabela6[[#This Row],[Total]]</f>
        <v>0</v>
      </c>
      <c r="P327" s="9"/>
      <c r="Q327"/>
      <c r="R327" s="59"/>
      <c r="S327" s="1"/>
    </row>
    <row r="328" spans="1:19">
      <c r="A328" s="122" t="e">
        <f>IF(VLOOKUP(Tabela6[[#This Row],[UF]],'BASE CC'!B:C,2,0)="SP",IF(Tabela6[[#This Row],[OPERADORA]]="TIM","SP TIM","SPI"),VLOOKUP(Tabela6[[#This Row],[UF]],'BASE CC'!B:C,2,0))</f>
        <v>#N/A</v>
      </c>
      <c r="B328" s="36" t="e">
        <f>VLOOKUP(Tabela_Base_Financeiro[[#This Row],[Item code]],'COD.FAT'!B:C,2,0)</f>
        <v>#N/A</v>
      </c>
      <c r="C328" s="292">
        <f>Tabela_Base_Financeiro[[#This Row],[PO Ship TO]]</f>
        <v>0</v>
      </c>
      <c r="D328" s="36" t="str">
        <f>RIGHT(Tabela_Base_Financeiro[[#This Row],[Manufacturer]],2)</f>
        <v/>
      </c>
      <c r="E32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28" s="122" t="e">
        <f>VLOOKUP(Tabela_Base_Financeiro[[#This Row],[Project Code]],'COD. PROJETOS'!B:D,3,0)</f>
        <v>#N/A</v>
      </c>
      <c r="G328" s="36">
        <f>IFERROR(Tabela_Base_Financeiro[[#This Row],[PO No,]],0)</f>
        <v>0</v>
      </c>
      <c r="H328" s="36">
        <f>IFERROR(Tabela_Base_Financeiro[[#This Row],[Line No,]],0)</f>
        <v>0</v>
      </c>
      <c r="I328" s="36" t="str">
        <f>IFERROR(MID(Tabela_Base_Financeiro[[#This Row],[Manufacturer]],19,14),"")</f>
        <v/>
      </c>
      <c r="J328" s="113">
        <f>IFERROR(Tabela_Base_Financeiro[[#This Row],[Item code]],0)</f>
        <v>0</v>
      </c>
      <c r="K328" s="293">
        <f>IFERROR(Tabela_Base_Financeiro[[#This Row],[Unit Price]],0)</f>
        <v>0</v>
      </c>
      <c r="L328" s="36">
        <f>IFERROR(Tabela_Base_Financeiro[[#This Row],[AC Qty,]],0)</f>
        <v>0</v>
      </c>
      <c r="M328" s="60">
        <f>Tabela6[[#This Row],[Qty]]*Tabela6[[#This Row],[Preço]]</f>
        <v>0</v>
      </c>
      <c r="N328" s="37">
        <f>IFERROR(Tabela_Base_Financeiro[[#This Row],[Proportion]],0)</f>
        <v>0</v>
      </c>
      <c r="O328" s="60">
        <f>Tabela6[[#This Row],[Proporção]]*Tabela6[[#This Row],[Total]]</f>
        <v>0</v>
      </c>
      <c r="P328" s="9"/>
      <c r="Q328"/>
      <c r="R328" s="59"/>
      <c r="S328" s="1"/>
    </row>
    <row r="329" spans="1:19">
      <c r="A329" s="122" t="e">
        <f>IF(VLOOKUP(Tabela6[[#This Row],[UF]],'BASE CC'!B:C,2,0)="SP",IF(Tabela6[[#This Row],[OPERADORA]]="TIM","SP TIM","SPI"),VLOOKUP(Tabela6[[#This Row],[UF]],'BASE CC'!B:C,2,0))</f>
        <v>#N/A</v>
      </c>
      <c r="B329" s="36" t="e">
        <f>VLOOKUP(Tabela_Base_Financeiro[[#This Row],[Item code]],'COD.FAT'!B:C,2,0)</f>
        <v>#N/A</v>
      </c>
      <c r="C329" s="292">
        <f>Tabela_Base_Financeiro[[#This Row],[PO Ship TO]]</f>
        <v>0</v>
      </c>
      <c r="D329" s="36" t="str">
        <f>RIGHT(Tabela_Base_Financeiro[[#This Row],[Manufacturer]],2)</f>
        <v/>
      </c>
      <c r="E32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29" s="122" t="e">
        <f>VLOOKUP(Tabela_Base_Financeiro[[#This Row],[Project Code]],'COD. PROJETOS'!B:D,3,0)</f>
        <v>#N/A</v>
      </c>
      <c r="G329" s="36">
        <f>IFERROR(Tabela_Base_Financeiro[[#This Row],[PO No,]],0)</f>
        <v>0</v>
      </c>
      <c r="H329" s="36">
        <f>IFERROR(Tabela_Base_Financeiro[[#This Row],[Line No,]],0)</f>
        <v>0</v>
      </c>
      <c r="I329" s="36" t="str">
        <f>IFERROR(MID(Tabela_Base_Financeiro[[#This Row],[Manufacturer]],19,14),"")</f>
        <v/>
      </c>
      <c r="J329" s="113">
        <f>IFERROR(Tabela_Base_Financeiro[[#This Row],[Item code]],0)</f>
        <v>0</v>
      </c>
      <c r="K329" s="293">
        <f>IFERROR(Tabela_Base_Financeiro[[#This Row],[Unit Price]],0)</f>
        <v>0</v>
      </c>
      <c r="L329" s="36">
        <f>IFERROR(Tabela_Base_Financeiro[[#This Row],[AC Qty,]],0)</f>
        <v>0</v>
      </c>
      <c r="M329" s="60">
        <f>Tabela6[[#This Row],[Qty]]*Tabela6[[#This Row],[Preço]]</f>
        <v>0</v>
      </c>
      <c r="N329" s="37">
        <f>IFERROR(Tabela_Base_Financeiro[[#This Row],[Proportion]],0)</f>
        <v>0</v>
      </c>
      <c r="O329" s="60">
        <f>Tabela6[[#This Row],[Proporção]]*Tabela6[[#This Row],[Total]]</f>
        <v>0</v>
      </c>
      <c r="P329" s="9"/>
      <c r="Q329"/>
      <c r="R329" s="59"/>
      <c r="S329" s="1"/>
    </row>
    <row r="330" spans="1:19">
      <c r="A330" s="122" t="e">
        <f>IF(VLOOKUP(Tabela6[[#This Row],[UF]],'BASE CC'!B:C,2,0)="SP",IF(Tabela6[[#This Row],[OPERADORA]]="TIM","SP TIM","SPI"),VLOOKUP(Tabela6[[#This Row],[UF]],'BASE CC'!B:C,2,0))</f>
        <v>#N/A</v>
      </c>
      <c r="B330" s="36" t="e">
        <f>VLOOKUP(Tabela_Base_Financeiro[[#This Row],[Item code]],'COD.FAT'!B:C,2,0)</f>
        <v>#N/A</v>
      </c>
      <c r="C330" s="292">
        <f>Tabela_Base_Financeiro[[#This Row],[PO Ship TO]]</f>
        <v>0</v>
      </c>
      <c r="D330" s="36" t="str">
        <f>RIGHT(Tabela_Base_Financeiro[[#This Row],[Manufacturer]],2)</f>
        <v/>
      </c>
      <c r="E33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30" s="122" t="e">
        <f>VLOOKUP(Tabela_Base_Financeiro[[#This Row],[Project Code]],'COD. PROJETOS'!B:D,3,0)</f>
        <v>#N/A</v>
      </c>
      <c r="G330" s="36">
        <f>IFERROR(Tabela_Base_Financeiro[[#This Row],[PO No,]],0)</f>
        <v>0</v>
      </c>
      <c r="H330" s="36">
        <f>IFERROR(Tabela_Base_Financeiro[[#This Row],[Line No,]],0)</f>
        <v>0</v>
      </c>
      <c r="I330" s="36" t="str">
        <f>IFERROR(MID(Tabela_Base_Financeiro[[#This Row],[Manufacturer]],19,14),"")</f>
        <v/>
      </c>
      <c r="J330" s="113">
        <f>IFERROR(Tabela_Base_Financeiro[[#This Row],[Item code]],0)</f>
        <v>0</v>
      </c>
      <c r="K330" s="293">
        <f>IFERROR(Tabela_Base_Financeiro[[#This Row],[Unit Price]],0)</f>
        <v>0</v>
      </c>
      <c r="L330" s="36">
        <f>IFERROR(Tabela_Base_Financeiro[[#This Row],[AC Qty,]],0)</f>
        <v>0</v>
      </c>
      <c r="M330" s="60">
        <f>Tabela6[[#This Row],[Qty]]*Tabela6[[#This Row],[Preço]]</f>
        <v>0</v>
      </c>
      <c r="N330" s="37">
        <f>IFERROR(Tabela_Base_Financeiro[[#This Row],[Proportion]],0)</f>
        <v>0</v>
      </c>
      <c r="O330" s="60">
        <f>Tabela6[[#This Row],[Proporção]]*Tabela6[[#This Row],[Total]]</f>
        <v>0</v>
      </c>
      <c r="P330" s="9"/>
      <c r="Q330"/>
      <c r="R330" s="59"/>
      <c r="S330" s="1"/>
    </row>
    <row r="331" spans="1:19">
      <c r="A331" s="122" t="e">
        <f>IF(VLOOKUP(Tabela6[[#This Row],[UF]],'BASE CC'!B:C,2,0)="SP",IF(Tabela6[[#This Row],[OPERADORA]]="TIM","SP TIM","SPI"),VLOOKUP(Tabela6[[#This Row],[UF]],'BASE CC'!B:C,2,0))</f>
        <v>#N/A</v>
      </c>
      <c r="B331" s="36" t="e">
        <f>VLOOKUP(Tabela_Base_Financeiro[[#This Row],[Item code]],'COD.FAT'!B:C,2,0)</f>
        <v>#N/A</v>
      </c>
      <c r="C331" s="292">
        <f>Tabela_Base_Financeiro[[#This Row],[PO Ship TO]]</f>
        <v>0</v>
      </c>
      <c r="D331" s="36" t="str">
        <f>RIGHT(Tabela_Base_Financeiro[[#This Row],[Manufacturer]],2)</f>
        <v/>
      </c>
      <c r="E33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31" s="122" t="e">
        <f>VLOOKUP(Tabela_Base_Financeiro[[#This Row],[Project Code]],'COD. PROJETOS'!B:D,3,0)</f>
        <v>#N/A</v>
      </c>
      <c r="G331" s="36">
        <f>IFERROR(Tabela_Base_Financeiro[[#This Row],[PO No,]],0)</f>
        <v>0</v>
      </c>
      <c r="H331" s="36">
        <f>IFERROR(Tabela_Base_Financeiro[[#This Row],[Line No,]],0)</f>
        <v>0</v>
      </c>
      <c r="I331" s="36" t="str">
        <f>IFERROR(MID(Tabela_Base_Financeiro[[#This Row],[Manufacturer]],19,14),"")</f>
        <v/>
      </c>
      <c r="J331" s="113">
        <f>IFERROR(Tabela_Base_Financeiro[[#This Row],[Item code]],0)</f>
        <v>0</v>
      </c>
      <c r="K331" s="293">
        <f>IFERROR(Tabela_Base_Financeiro[[#This Row],[Unit Price]],0)</f>
        <v>0</v>
      </c>
      <c r="L331" s="36">
        <f>IFERROR(Tabela_Base_Financeiro[[#This Row],[AC Qty,]],0)</f>
        <v>0</v>
      </c>
      <c r="M331" s="60">
        <f>Tabela6[[#This Row],[Qty]]*Tabela6[[#This Row],[Preço]]</f>
        <v>0</v>
      </c>
      <c r="N331" s="37">
        <f>IFERROR(Tabela_Base_Financeiro[[#This Row],[Proportion]],0)</f>
        <v>0</v>
      </c>
      <c r="O331" s="60">
        <f>Tabela6[[#This Row],[Proporção]]*Tabela6[[#This Row],[Total]]</f>
        <v>0</v>
      </c>
      <c r="P331" s="9"/>
      <c r="Q331"/>
      <c r="R331" s="59"/>
      <c r="S331" s="1"/>
    </row>
    <row r="332" spans="1:19">
      <c r="A332" s="122" t="e">
        <f>IF(VLOOKUP(Tabela6[[#This Row],[UF]],'BASE CC'!B:C,2,0)="SP",IF(Tabela6[[#This Row],[OPERADORA]]="TIM","SP TIM","SPI"),VLOOKUP(Tabela6[[#This Row],[UF]],'BASE CC'!B:C,2,0))</f>
        <v>#N/A</v>
      </c>
      <c r="B332" s="36" t="e">
        <f>VLOOKUP(Tabela_Base_Financeiro[[#This Row],[Item code]],'COD.FAT'!B:C,2,0)</f>
        <v>#N/A</v>
      </c>
      <c r="C332" s="292">
        <f>Tabela_Base_Financeiro[[#This Row],[PO Ship TO]]</f>
        <v>0</v>
      </c>
      <c r="D332" s="36" t="str">
        <f>RIGHT(Tabela_Base_Financeiro[[#This Row],[Manufacturer]],2)</f>
        <v/>
      </c>
      <c r="E33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32" s="122" t="e">
        <f>VLOOKUP(Tabela_Base_Financeiro[[#This Row],[Project Code]],'COD. PROJETOS'!B:D,3,0)</f>
        <v>#N/A</v>
      </c>
      <c r="G332" s="36">
        <f>IFERROR(Tabela_Base_Financeiro[[#This Row],[PO No,]],0)</f>
        <v>0</v>
      </c>
      <c r="H332" s="36">
        <f>IFERROR(Tabela_Base_Financeiro[[#This Row],[Line No,]],0)</f>
        <v>0</v>
      </c>
      <c r="I332" s="36" t="str">
        <f>IFERROR(MID(Tabela_Base_Financeiro[[#This Row],[Manufacturer]],19,14),"")</f>
        <v/>
      </c>
      <c r="J332" s="113">
        <f>IFERROR(Tabela_Base_Financeiro[[#This Row],[Item code]],0)</f>
        <v>0</v>
      </c>
      <c r="K332" s="293">
        <f>IFERROR(Tabela_Base_Financeiro[[#This Row],[Unit Price]],0)</f>
        <v>0</v>
      </c>
      <c r="L332" s="36">
        <f>IFERROR(Tabela_Base_Financeiro[[#This Row],[AC Qty,]],0)</f>
        <v>0</v>
      </c>
      <c r="M332" s="60">
        <f>Tabela6[[#This Row],[Qty]]*Tabela6[[#This Row],[Preço]]</f>
        <v>0</v>
      </c>
      <c r="N332" s="37">
        <f>IFERROR(Tabela_Base_Financeiro[[#This Row],[Proportion]],0)</f>
        <v>0</v>
      </c>
      <c r="O332" s="60">
        <f>Tabela6[[#This Row],[Proporção]]*Tabela6[[#This Row],[Total]]</f>
        <v>0</v>
      </c>
      <c r="P332" s="9"/>
      <c r="Q332"/>
      <c r="R332" s="59"/>
      <c r="S332" s="1"/>
    </row>
    <row r="333" spans="1:19">
      <c r="A333" s="122" t="e">
        <f>IF(VLOOKUP(Tabela6[[#This Row],[UF]],'BASE CC'!B:C,2,0)="SP",IF(Tabela6[[#This Row],[OPERADORA]]="TIM","SP TIM","SPI"),VLOOKUP(Tabela6[[#This Row],[UF]],'BASE CC'!B:C,2,0))</f>
        <v>#N/A</v>
      </c>
      <c r="B333" s="36" t="e">
        <f>VLOOKUP(Tabela_Base_Financeiro[[#This Row],[Item code]],'COD.FAT'!B:C,2,0)</f>
        <v>#N/A</v>
      </c>
      <c r="C333" s="292">
        <f>Tabela_Base_Financeiro[[#This Row],[PO Ship TO]]</f>
        <v>0</v>
      </c>
      <c r="D333" s="36" t="str">
        <f>RIGHT(Tabela_Base_Financeiro[[#This Row],[Manufacturer]],2)</f>
        <v/>
      </c>
      <c r="E33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33" s="122" t="e">
        <f>VLOOKUP(Tabela_Base_Financeiro[[#This Row],[Project Code]],'COD. PROJETOS'!B:D,3,0)</f>
        <v>#N/A</v>
      </c>
      <c r="G333" s="36">
        <f>IFERROR(Tabela_Base_Financeiro[[#This Row],[PO No,]],0)</f>
        <v>0</v>
      </c>
      <c r="H333" s="36">
        <f>IFERROR(Tabela_Base_Financeiro[[#This Row],[Line No,]],0)</f>
        <v>0</v>
      </c>
      <c r="I333" s="36" t="str">
        <f>IFERROR(MID(Tabela_Base_Financeiro[[#This Row],[Manufacturer]],19,14),"")</f>
        <v/>
      </c>
      <c r="J333" s="113">
        <f>IFERROR(Tabela_Base_Financeiro[[#This Row],[Item code]],0)</f>
        <v>0</v>
      </c>
      <c r="K333" s="293">
        <f>IFERROR(Tabela_Base_Financeiro[[#This Row],[Unit Price]],0)</f>
        <v>0</v>
      </c>
      <c r="L333" s="36">
        <f>IFERROR(Tabela_Base_Financeiro[[#This Row],[AC Qty,]],0)</f>
        <v>0</v>
      </c>
      <c r="M333" s="60">
        <f>Tabela6[[#This Row],[Qty]]*Tabela6[[#This Row],[Preço]]</f>
        <v>0</v>
      </c>
      <c r="N333" s="37">
        <f>IFERROR(Tabela_Base_Financeiro[[#This Row],[Proportion]],0)</f>
        <v>0</v>
      </c>
      <c r="O333" s="60">
        <f>Tabela6[[#This Row],[Proporção]]*Tabela6[[#This Row],[Total]]</f>
        <v>0</v>
      </c>
      <c r="P333" s="9"/>
      <c r="Q333"/>
      <c r="R333" s="59"/>
      <c r="S333" s="1"/>
    </row>
    <row r="334" spans="1:19">
      <c r="A334" s="122" t="e">
        <f>IF(VLOOKUP(Tabela6[[#This Row],[UF]],'BASE CC'!B:C,2,0)="SP",IF(Tabela6[[#This Row],[OPERADORA]]="TIM","SP TIM","SPI"),VLOOKUP(Tabela6[[#This Row],[UF]],'BASE CC'!B:C,2,0))</f>
        <v>#N/A</v>
      </c>
      <c r="B334" s="36" t="e">
        <f>VLOOKUP(Tabela_Base_Financeiro[[#This Row],[Item code]],'COD.FAT'!B:C,2,0)</f>
        <v>#N/A</v>
      </c>
      <c r="C334" s="292">
        <f>Tabela_Base_Financeiro[[#This Row],[PO Ship TO]]</f>
        <v>0</v>
      </c>
      <c r="D334" s="36" t="str">
        <f>RIGHT(Tabela_Base_Financeiro[[#This Row],[Manufacturer]],2)</f>
        <v/>
      </c>
      <c r="E33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34" s="122" t="e">
        <f>VLOOKUP(Tabela_Base_Financeiro[[#This Row],[Project Code]],'COD. PROJETOS'!B:D,3,0)</f>
        <v>#N/A</v>
      </c>
      <c r="G334" s="36">
        <f>IFERROR(Tabela_Base_Financeiro[[#This Row],[PO No,]],0)</f>
        <v>0</v>
      </c>
      <c r="H334" s="36">
        <f>IFERROR(Tabela_Base_Financeiro[[#This Row],[Line No,]],0)</f>
        <v>0</v>
      </c>
      <c r="I334" s="36" t="str">
        <f>IFERROR(MID(Tabela_Base_Financeiro[[#This Row],[Manufacturer]],19,14),"")</f>
        <v/>
      </c>
      <c r="J334" s="113">
        <f>IFERROR(Tabela_Base_Financeiro[[#This Row],[Item code]],0)</f>
        <v>0</v>
      </c>
      <c r="K334" s="293">
        <f>IFERROR(Tabela_Base_Financeiro[[#This Row],[Unit Price]],0)</f>
        <v>0</v>
      </c>
      <c r="L334" s="36">
        <f>IFERROR(Tabela_Base_Financeiro[[#This Row],[AC Qty,]],0)</f>
        <v>0</v>
      </c>
      <c r="M334" s="60">
        <f>Tabela6[[#This Row],[Qty]]*Tabela6[[#This Row],[Preço]]</f>
        <v>0</v>
      </c>
      <c r="N334" s="37">
        <f>IFERROR(Tabela_Base_Financeiro[[#This Row],[Proportion]],0)</f>
        <v>0</v>
      </c>
      <c r="O334" s="60">
        <f>Tabela6[[#This Row],[Proporção]]*Tabela6[[#This Row],[Total]]</f>
        <v>0</v>
      </c>
      <c r="P334" s="9"/>
      <c r="Q334"/>
      <c r="R334" s="59"/>
      <c r="S334" s="1"/>
    </row>
    <row r="335" spans="1:19">
      <c r="A335" s="122" t="e">
        <f>IF(VLOOKUP(Tabela6[[#This Row],[UF]],'BASE CC'!B:C,2,0)="SP",IF(Tabela6[[#This Row],[OPERADORA]]="TIM","SP TIM","SPI"),VLOOKUP(Tabela6[[#This Row],[UF]],'BASE CC'!B:C,2,0))</f>
        <v>#N/A</v>
      </c>
      <c r="B335" s="36" t="e">
        <f>VLOOKUP(Tabela_Base_Financeiro[[#This Row],[Item code]],'COD.FAT'!B:C,2,0)</f>
        <v>#N/A</v>
      </c>
      <c r="C335" s="292">
        <f>Tabela_Base_Financeiro[[#This Row],[PO Ship TO]]</f>
        <v>0</v>
      </c>
      <c r="D335" s="36" t="str">
        <f>RIGHT(Tabela_Base_Financeiro[[#This Row],[Manufacturer]],2)</f>
        <v/>
      </c>
      <c r="E33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35" s="122" t="e">
        <f>VLOOKUP(Tabela_Base_Financeiro[[#This Row],[Project Code]],'COD. PROJETOS'!B:D,3,0)</f>
        <v>#N/A</v>
      </c>
      <c r="G335" s="36">
        <f>IFERROR(Tabela_Base_Financeiro[[#This Row],[PO No,]],0)</f>
        <v>0</v>
      </c>
      <c r="H335" s="36">
        <f>IFERROR(Tabela_Base_Financeiro[[#This Row],[Line No,]],0)</f>
        <v>0</v>
      </c>
      <c r="I335" s="36" t="str">
        <f>IFERROR(MID(Tabela_Base_Financeiro[[#This Row],[Manufacturer]],19,14),"")</f>
        <v/>
      </c>
      <c r="J335" s="113">
        <f>IFERROR(Tabela_Base_Financeiro[[#This Row],[Item code]],0)</f>
        <v>0</v>
      </c>
      <c r="K335" s="293">
        <f>IFERROR(Tabela_Base_Financeiro[[#This Row],[Unit Price]],0)</f>
        <v>0</v>
      </c>
      <c r="L335" s="36">
        <f>IFERROR(Tabela_Base_Financeiro[[#This Row],[AC Qty,]],0)</f>
        <v>0</v>
      </c>
      <c r="M335" s="60">
        <f>Tabela6[[#This Row],[Qty]]*Tabela6[[#This Row],[Preço]]</f>
        <v>0</v>
      </c>
      <c r="N335" s="37">
        <f>IFERROR(Tabela_Base_Financeiro[[#This Row],[Proportion]],0)</f>
        <v>0</v>
      </c>
      <c r="O335" s="60">
        <f>Tabela6[[#This Row],[Proporção]]*Tabela6[[#This Row],[Total]]</f>
        <v>0</v>
      </c>
      <c r="P335" s="9"/>
      <c r="Q335"/>
      <c r="R335" s="59"/>
      <c r="S335" s="1"/>
    </row>
    <row r="336" spans="1:19">
      <c r="A336" s="122" t="e">
        <f>IF(VLOOKUP(Tabela6[[#This Row],[UF]],'BASE CC'!B:C,2,0)="SP",IF(Tabela6[[#This Row],[OPERADORA]]="TIM","SP TIM","SPI"),VLOOKUP(Tabela6[[#This Row],[UF]],'BASE CC'!B:C,2,0))</f>
        <v>#N/A</v>
      </c>
      <c r="B336" s="36" t="e">
        <f>VLOOKUP(Tabela_Base_Financeiro[[#This Row],[Item code]],'COD.FAT'!B:C,2,0)</f>
        <v>#N/A</v>
      </c>
      <c r="C336" s="292">
        <f>Tabela_Base_Financeiro[[#This Row],[PO Ship TO]]</f>
        <v>0</v>
      </c>
      <c r="D336" s="36" t="str">
        <f>RIGHT(Tabela_Base_Financeiro[[#This Row],[Manufacturer]],2)</f>
        <v/>
      </c>
      <c r="E33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36" s="122" t="e">
        <f>VLOOKUP(Tabela_Base_Financeiro[[#This Row],[Project Code]],'COD. PROJETOS'!B:D,3,0)</f>
        <v>#N/A</v>
      </c>
      <c r="G336" s="36">
        <f>IFERROR(Tabela_Base_Financeiro[[#This Row],[PO No,]],0)</f>
        <v>0</v>
      </c>
      <c r="H336" s="36">
        <f>IFERROR(Tabela_Base_Financeiro[[#This Row],[Line No,]],0)</f>
        <v>0</v>
      </c>
      <c r="I336" s="36" t="str">
        <f>IFERROR(MID(Tabela_Base_Financeiro[[#This Row],[Manufacturer]],19,14),"")</f>
        <v/>
      </c>
      <c r="J336" s="113">
        <f>IFERROR(Tabela_Base_Financeiro[[#This Row],[Item code]],0)</f>
        <v>0</v>
      </c>
      <c r="K336" s="293">
        <f>IFERROR(Tabela_Base_Financeiro[[#This Row],[Unit Price]],0)</f>
        <v>0</v>
      </c>
      <c r="L336" s="36">
        <f>IFERROR(Tabela_Base_Financeiro[[#This Row],[AC Qty,]],0)</f>
        <v>0</v>
      </c>
      <c r="M336" s="60">
        <f>Tabela6[[#This Row],[Qty]]*Tabela6[[#This Row],[Preço]]</f>
        <v>0</v>
      </c>
      <c r="N336" s="37">
        <f>IFERROR(Tabela_Base_Financeiro[[#This Row],[Proportion]],0)</f>
        <v>0</v>
      </c>
      <c r="O336" s="60">
        <f>Tabela6[[#This Row],[Proporção]]*Tabela6[[#This Row],[Total]]</f>
        <v>0</v>
      </c>
      <c r="P336" s="9"/>
      <c r="Q336"/>
      <c r="R336" s="59"/>
      <c r="S336" s="1"/>
    </row>
    <row r="337" spans="1:19">
      <c r="A337" s="122" t="e">
        <f>IF(VLOOKUP(Tabela6[[#This Row],[UF]],'BASE CC'!B:C,2,0)="SP",IF(Tabela6[[#This Row],[OPERADORA]]="TIM","SP TIM","SPI"),VLOOKUP(Tabela6[[#This Row],[UF]],'BASE CC'!B:C,2,0))</f>
        <v>#N/A</v>
      </c>
      <c r="B337" s="36" t="e">
        <f>VLOOKUP(Tabela_Base_Financeiro[[#This Row],[Item code]],'COD.FAT'!B:C,2,0)</f>
        <v>#N/A</v>
      </c>
      <c r="C337" s="292">
        <f>Tabela_Base_Financeiro[[#This Row],[PO Ship TO]]</f>
        <v>0</v>
      </c>
      <c r="D337" s="36" t="str">
        <f>RIGHT(Tabela_Base_Financeiro[[#This Row],[Manufacturer]],2)</f>
        <v/>
      </c>
      <c r="E33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37" s="122" t="e">
        <f>VLOOKUP(Tabela_Base_Financeiro[[#This Row],[Project Code]],'COD. PROJETOS'!B:D,3,0)</f>
        <v>#N/A</v>
      </c>
      <c r="G337" s="36">
        <f>IFERROR(Tabela_Base_Financeiro[[#This Row],[PO No,]],0)</f>
        <v>0</v>
      </c>
      <c r="H337" s="36">
        <f>IFERROR(Tabela_Base_Financeiro[[#This Row],[Line No,]],0)</f>
        <v>0</v>
      </c>
      <c r="I337" s="36" t="str">
        <f>IFERROR(MID(Tabela_Base_Financeiro[[#This Row],[Manufacturer]],19,14),"")</f>
        <v/>
      </c>
      <c r="J337" s="113">
        <f>IFERROR(Tabela_Base_Financeiro[[#This Row],[Item code]],0)</f>
        <v>0</v>
      </c>
      <c r="K337" s="293">
        <f>IFERROR(Tabela_Base_Financeiro[[#This Row],[Unit Price]],0)</f>
        <v>0</v>
      </c>
      <c r="L337" s="36">
        <f>IFERROR(Tabela_Base_Financeiro[[#This Row],[AC Qty,]],0)</f>
        <v>0</v>
      </c>
      <c r="M337" s="60">
        <f>Tabela6[[#This Row],[Qty]]*Tabela6[[#This Row],[Preço]]</f>
        <v>0</v>
      </c>
      <c r="N337" s="37">
        <f>IFERROR(Tabela_Base_Financeiro[[#This Row],[Proportion]],0)</f>
        <v>0</v>
      </c>
      <c r="O337" s="60">
        <f>Tabela6[[#This Row],[Proporção]]*Tabela6[[#This Row],[Total]]</f>
        <v>0</v>
      </c>
      <c r="P337" s="9"/>
      <c r="Q337"/>
      <c r="R337" s="59"/>
      <c r="S337" s="1"/>
    </row>
    <row r="338" spans="1:19">
      <c r="A338" s="122" t="e">
        <f>IF(VLOOKUP(Tabela6[[#This Row],[UF]],'BASE CC'!B:C,2,0)="SP",IF(Tabela6[[#This Row],[OPERADORA]]="TIM","SP TIM","SPI"),VLOOKUP(Tabela6[[#This Row],[UF]],'BASE CC'!B:C,2,0))</f>
        <v>#N/A</v>
      </c>
      <c r="B338" s="36" t="e">
        <f>VLOOKUP(Tabela_Base_Financeiro[[#This Row],[Item code]],'COD.FAT'!B:C,2,0)</f>
        <v>#N/A</v>
      </c>
      <c r="C338" s="292">
        <f>Tabela_Base_Financeiro[[#This Row],[PO Ship TO]]</f>
        <v>0</v>
      </c>
      <c r="D338" s="36" t="str">
        <f>RIGHT(Tabela_Base_Financeiro[[#This Row],[Manufacturer]],2)</f>
        <v/>
      </c>
      <c r="E33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38" s="122" t="e">
        <f>VLOOKUP(Tabela_Base_Financeiro[[#This Row],[Project Code]],'COD. PROJETOS'!B:D,3,0)</f>
        <v>#N/A</v>
      </c>
      <c r="G338" s="36">
        <f>IFERROR(Tabela_Base_Financeiro[[#This Row],[PO No,]],0)</f>
        <v>0</v>
      </c>
      <c r="H338" s="36">
        <f>IFERROR(Tabela_Base_Financeiro[[#This Row],[Line No,]],0)</f>
        <v>0</v>
      </c>
      <c r="I338" s="36" t="str">
        <f>IFERROR(MID(Tabela_Base_Financeiro[[#This Row],[Manufacturer]],19,14),"")</f>
        <v/>
      </c>
      <c r="J338" s="113">
        <f>IFERROR(Tabela_Base_Financeiro[[#This Row],[Item code]],0)</f>
        <v>0</v>
      </c>
      <c r="K338" s="293">
        <f>IFERROR(Tabela_Base_Financeiro[[#This Row],[Unit Price]],0)</f>
        <v>0</v>
      </c>
      <c r="L338" s="36">
        <f>IFERROR(Tabela_Base_Financeiro[[#This Row],[AC Qty,]],0)</f>
        <v>0</v>
      </c>
      <c r="M338" s="60">
        <f>Tabela6[[#This Row],[Qty]]*Tabela6[[#This Row],[Preço]]</f>
        <v>0</v>
      </c>
      <c r="N338" s="37">
        <f>IFERROR(Tabela_Base_Financeiro[[#This Row],[Proportion]],0)</f>
        <v>0</v>
      </c>
      <c r="O338" s="60">
        <f>Tabela6[[#This Row],[Proporção]]*Tabela6[[#This Row],[Total]]</f>
        <v>0</v>
      </c>
      <c r="P338" s="9"/>
      <c r="Q338"/>
      <c r="R338" s="59"/>
      <c r="S338" s="1"/>
    </row>
    <row r="339" spans="1:19">
      <c r="A339" s="122" t="e">
        <f>IF(VLOOKUP(Tabela6[[#This Row],[UF]],'BASE CC'!B:C,2,0)="SP",IF(Tabela6[[#This Row],[OPERADORA]]="TIM","SP TIM","SPI"),VLOOKUP(Tabela6[[#This Row],[UF]],'BASE CC'!B:C,2,0))</f>
        <v>#N/A</v>
      </c>
      <c r="B339" s="36" t="e">
        <f>VLOOKUP(Tabela_Base_Financeiro[[#This Row],[Item code]],'COD.FAT'!B:C,2,0)</f>
        <v>#N/A</v>
      </c>
      <c r="C339" s="292">
        <f>Tabela_Base_Financeiro[[#This Row],[PO Ship TO]]</f>
        <v>0</v>
      </c>
      <c r="D339" s="36" t="str">
        <f>RIGHT(Tabela_Base_Financeiro[[#This Row],[Manufacturer]],2)</f>
        <v/>
      </c>
      <c r="E33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39" s="122" t="e">
        <f>VLOOKUP(Tabela_Base_Financeiro[[#This Row],[Project Code]],'COD. PROJETOS'!B:D,3,0)</f>
        <v>#N/A</v>
      </c>
      <c r="G339" s="36">
        <f>IFERROR(Tabela_Base_Financeiro[[#This Row],[PO No,]],0)</f>
        <v>0</v>
      </c>
      <c r="H339" s="36">
        <f>IFERROR(Tabela_Base_Financeiro[[#This Row],[Line No,]],0)</f>
        <v>0</v>
      </c>
      <c r="I339" s="36" t="str">
        <f>IFERROR(MID(Tabela_Base_Financeiro[[#This Row],[Manufacturer]],19,14),"")</f>
        <v/>
      </c>
      <c r="J339" s="113">
        <f>IFERROR(Tabela_Base_Financeiro[[#This Row],[Item code]],0)</f>
        <v>0</v>
      </c>
      <c r="K339" s="293">
        <f>IFERROR(Tabela_Base_Financeiro[[#This Row],[Unit Price]],0)</f>
        <v>0</v>
      </c>
      <c r="L339" s="36">
        <f>IFERROR(Tabela_Base_Financeiro[[#This Row],[AC Qty,]],0)</f>
        <v>0</v>
      </c>
      <c r="M339" s="60">
        <f>Tabela6[[#This Row],[Qty]]*Tabela6[[#This Row],[Preço]]</f>
        <v>0</v>
      </c>
      <c r="N339" s="37">
        <f>IFERROR(Tabela_Base_Financeiro[[#This Row],[Proportion]],0)</f>
        <v>0</v>
      </c>
      <c r="O339" s="60">
        <f>Tabela6[[#This Row],[Proporção]]*Tabela6[[#This Row],[Total]]</f>
        <v>0</v>
      </c>
      <c r="P339" s="9"/>
      <c r="Q339"/>
      <c r="R339" s="59"/>
      <c r="S339" s="1"/>
    </row>
    <row r="340" spans="1:19">
      <c r="A340" s="122" t="e">
        <f>IF(VLOOKUP(Tabela6[[#This Row],[UF]],'BASE CC'!B:C,2,0)="SP",IF(Tabela6[[#This Row],[OPERADORA]]="TIM","SP TIM","SPI"),VLOOKUP(Tabela6[[#This Row],[UF]],'BASE CC'!B:C,2,0))</f>
        <v>#N/A</v>
      </c>
      <c r="B340" s="36" t="e">
        <f>VLOOKUP(Tabela_Base_Financeiro[[#This Row],[Item code]],'COD.FAT'!B:C,2,0)</f>
        <v>#N/A</v>
      </c>
      <c r="C340" s="292">
        <f>Tabela_Base_Financeiro[[#This Row],[PO Ship TO]]</f>
        <v>0</v>
      </c>
      <c r="D340" s="36" t="str">
        <f>RIGHT(Tabela_Base_Financeiro[[#This Row],[Manufacturer]],2)</f>
        <v/>
      </c>
      <c r="E34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40" s="122" t="e">
        <f>VLOOKUP(Tabela_Base_Financeiro[[#This Row],[Project Code]],'COD. PROJETOS'!B:D,3,0)</f>
        <v>#N/A</v>
      </c>
      <c r="G340" s="36">
        <f>IFERROR(Tabela_Base_Financeiro[[#This Row],[PO No,]],0)</f>
        <v>0</v>
      </c>
      <c r="H340" s="36">
        <f>IFERROR(Tabela_Base_Financeiro[[#This Row],[Line No,]],0)</f>
        <v>0</v>
      </c>
      <c r="I340" s="36" t="str">
        <f>IFERROR(MID(Tabela_Base_Financeiro[[#This Row],[Manufacturer]],19,14),"")</f>
        <v/>
      </c>
      <c r="J340" s="113">
        <f>IFERROR(Tabela_Base_Financeiro[[#This Row],[Item code]],0)</f>
        <v>0</v>
      </c>
      <c r="K340" s="293">
        <f>IFERROR(Tabela_Base_Financeiro[[#This Row],[Unit Price]],0)</f>
        <v>0</v>
      </c>
      <c r="L340" s="36">
        <f>IFERROR(Tabela_Base_Financeiro[[#This Row],[AC Qty,]],0)</f>
        <v>0</v>
      </c>
      <c r="M340" s="60">
        <f>Tabela6[[#This Row],[Qty]]*Tabela6[[#This Row],[Preço]]</f>
        <v>0</v>
      </c>
      <c r="N340" s="37">
        <f>IFERROR(Tabela_Base_Financeiro[[#This Row],[Proportion]],0)</f>
        <v>0</v>
      </c>
      <c r="O340" s="60">
        <f>Tabela6[[#This Row],[Proporção]]*Tabela6[[#This Row],[Total]]</f>
        <v>0</v>
      </c>
      <c r="P340" s="9"/>
      <c r="Q340"/>
      <c r="R340" s="59"/>
      <c r="S340" s="1"/>
    </row>
    <row r="341" spans="1:19">
      <c r="A341" s="122" t="e">
        <f>IF(VLOOKUP(Tabela6[[#This Row],[UF]],'BASE CC'!B:C,2,0)="SP",IF(Tabela6[[#This Row],[OPERADORA]]="TIM","SP TIM","SPI"),VLOOKUP(Tabela6[[#This Row],[UF]],'BASE CC'!B:C,2,0))</f>
        <v>#N/A</v>
      </c>
      <c r="B341" s="36" t="e">
        <f>VLOOKUP(Tabela_Base_Financeiro[[#This Row],[Item code]],'COD.FAT'!B:C,2,0)</f>
        <v>#N/A</v>
      </c>
      <c r="C341" s="292">
        <f>Tabela_Base_Financeiro[[#This Row],[PO Ship TO]]</f>
        <v>0</v>
      </c>
      <c r="D341" s="36" t="str">
        <f>RIGHT(Tabela_Base_Financeiro[[#This Row],[Manufacturer]],2)</f>
        <v/>
      </c>
      <c r="E34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41" s="122" t="e">
        <f>VLOOKUP(Tabela_Base_Financeiro[[#This Row],[Project Code]],'COD. PROJETOS'!B:D,3,0)</f>
        <v>#N/A</v>
      </c>
      <c r="G341" s="36">
        <f>IFERROR(Tabela_Base_Financeiro[[#This Row],[PO No,]],0)</f>
        <v>0</v>
      </c>
      <c r="H341" s="36">
        <f>IFERROR(Tabela_Base_Financeiro[[#This Row],[Line No,]],0)</f>
        <v>0</v>
      </c>
      <c r="I341" s="36" t="str">
        <f>IFERROR(MID(Tabela_Base_Financeiro[[#This Row],[Manufacturer]],19,14),"")</f>
        <v/>
      </c>
      <c r="J341" s="113">
        <f>IFERROR(Tabela_Base_Financeiro[[#This Row],[Item code]],0)</f>
        <v>0</v>
      </c>
      <c r="K341" s="293">
        <f>IFERROR(Tabela_Base_Financeiro[[#This Row],[Unit Price]],0)</f>
        <v>0</v>
      </c>
      <c r="L341" s="36">
        <f>IFERROR(Tabela_Base_Financeiro[[#This Row],[AC Qty,]],0)</f>
        <v>0</v>
      </c>
      <c r="M341" s="60">
        <f>Tabela6[[#This Row],[Qty]]*Tabela6[[#This Row],[Preço]]</f>
        <v>0</v>
      </c>
      <c r="N341" s="37">
        <f>IFERROR(Tabela_Base_Financeiro[[#This Row],[Proportion]],0)</f>
        <v>0</v>
      </c>
      <c r="O341" s="60">
        <f>Tabela6[[#This Row],[Proporção]]*Tabela6[[#This Row],[Total]]</f>
        <v>0</v>
      </c>
      <c r="P341" s="9"/>
      <c r="Q341"/>
      <c r="R341" s="59"/>
      <c r="S341" s="1"/>
    </row>
    <row r="342" spans="1:19">
      <c r="A342" s="122" t="e">
        <f>IF(VLOOKUP(Tabela6[[#This Row],[UF]],'BASE CC'!B:C,2,0)="SP",IF(Tabela6[[#This Row],[OPERADORA]]="TIM","SP TIM","SPI"),VLOOKUP(Tabela6[[#This Row],[UF]],'BASE CC'!B:C,2,0))</f>
        <v>#N/A</v>
      </c>
      <c r="B342" s="36" t="e">
        <f>VLOOKUP(Tabela_Base_Financeiro[[#This Row],[Item code]],'COD.FAT'!B:C,2,0)</f>
        <v>#N/A</v>
      </c>
      <c r="C342" s="292">
        <f>Tabela_Base_Financeiro[[#This Row],[PO Ship TO]]</f>
        <v>0</v>
      </c>
      <c r="D342" s="36" t="str">
        <f>RIGHT(Tabela_Base_Financeiro[[#This Row],[Manufacturer]],2)</f>
        <v/>
      </c>
      <c r="E34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42" s="122" t="e">
        <f>VLOOKUP(Tabela_Base_Financeiro[[#This Row],[Project Code]],'COD. PROJETOS'!B:D,3,0)</f>
        <v>#N/A</v>
      </c>
      <c r="G342" s="36">
        <f>IFERROR(Tabela_Base_Financeiro[[#This Row],[PO No,]],0)</f>
        <v>0</v>
      </c>
      <c r="H342" s="36">
        <f>IFERROR(Tabela_Base_Financeiro[[#This Row],[Line No,]],0)</f>
        <v>0</v>
      </c>
      <c r="I342" s="36" t="str">
        <f>IFERROR(MID(Tabela_Base_Financeiro[[#This Row],[Manufacturer]],19,14),"")</f>
        <v/>
      </c>
      <c r="J342" s="113">
        <f>IFERROR(Tabela_Base_Financeiro[[#This Row],[Item code]],0)</f>
        <v>0</v>
      </c>
      <c r="K342" s="293">
        <f>IFERROR(Tabela_Base_Financeiro[[#This Row],[Unit Price]],0)</f>
        <v>0</v>
      </c>
      <c r="L342" s="36">
        <f>IFERROR(Tabela_Base_Financeiro[[#This Row],[AC Qty,]],0)</f>
        <v>0</v>
      </c>
      <c r="M342" s="60">
        <f>Tabela6[[#This Row],[Qty]]*Tabela6[[#This Row],[Preço]]</f>
        <v>0</v>
      </c>
      <c r="N342" s="37">
        <f>IFERROR(Tabela_Base_Financeiro[[#This Row],[Proportion]],0)</f>
        <v>0</v>
      </c>
      <c r="O342" s="60">
        <f>Tabela6[[#This Row],[Proporção]]*Tabela6[[#This Row],[Total]]</f>
        <v>0</v>
      </c>
      <c r="P342" s="9"/>
      <c r="Q342"/>
      <c r="R342" s="59"/>
      <c r="S342" s="1"/>
    </row>
    <row r="343" spans="1:19">
      <c r="A343" s="122" t="e">
        <f>IF(VLOOKUP(Tabela6[[#This Row],[UF]],'BASE CC'!B:C,2,0)="SP",IF(Tabela6[[#This Row],[OPERADORA]]="TIM","SP TIM","SPI"),VLOOKUP(Tabela6[[#This Row],[UF]],'BASE CC'!B:C,2,0))</f>
        <v>#N/A</v>
      </c>
      <c r="B343" s="36" t="e">
        <f>VLOOKUP(Tabela_Base_Financeiro[[#This Row],[Item code]],'COD.FAT'!B:C,2,0)</f>
        <v>#N/A</v>
      </c>
      <c r="C343" s="292">
        <f>Tabela_Base_Financeiro[[#This Row],[PO Ship TO]]</f>
        <v>0</v>
      </c>
      <c r="D343" s="36" t="str">
        <f>RIGHT(Tabela_Base_Financeiro[[#This Row],[Manufacturer]],2)</f>
        <v/>
      </c>
      <c r="E34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43" s="122" t="e">
        <f>VLOOKUP(Tabela_Base_Financeiro[[#This Row],[Project Code]],'COD. PROJETOS'!B:D,3,0)</f>
        <v>#N/A</v>
      </c>
      <c r="G343" s="36">
        <f>IFERROR(Tabela_Base_Financeiro[[#This Row],[PO No,]],0)</f>
        <v>0</v>
      </c>
      <c r="H343" s="36">
        <f>IFERROR(Tabela_Base_Financeiro[[#This Row],[Line No,]],0)</f>
        <v>0</v>
      </c>
      <c r="I343" s="36" t="str">
        <f>IFERROR(MID(Tabela_Base_Financeiro[[#This Row],[Manufacturer]],19,14),"")</f>
        <v/>
      </c>
      <c r="J343" s="113">
        <f>IFERROR(Tabela_Base_Financeiro[[#This Row],[Item code]],0)</f>
        <v>0</v>
      </c>
      <c r="K343" s="293">
        <f>IFERROR(Tabela_Base_Financeiro[[#This Row],[Unit Price]],0)</f>
        <v>0</v>
      </c>
      <c r="L343" s="36">
        <f>IFERROR(Tabela_Base_Financeiro[[#This Row],[AC Qty,]],0)</f>
        <v>0</v>
      </c>
      <c r="M343" s="60">
        <f>Tabela6[[#This Row],[Qty]]*Tabela6[[#This Row],[Preço]]</f>
        <v>0</v>
      </c>
      <c r="N343" s="37">
        <f>IFERROR(Tabela_Base_Financeiro[[#This Row],[Proportion]],0)</f>
        <v>0</v>
      </c>
      <c r="O343" s="60">
        <f>Tabela6[[#This Row],[Proporção]]*Tabela6[[#This Row],[Total]]</f>
        <v>0</v>
      </c>
      <c r="P343" s="9"/>
      <c r="Q343"/>
      <c r="R343" s="59"/>
      <c r="S343" s="1"/>
    </row>
    <row r="344" spans="1:19">
      <c r="A344" s="122" t="e">
        <f>IF(VLOOKUP(Tabela6[[#This Row],[UF]],'BASE CC'!B:C,2,0)="SP",IF(Tabela6[[#This Row],[OPERADORA]]="TIM","SP TIM","SPI"),VLOOKUP(Tabela6[[#This Row],[UF]],'BASE CC'!B:C,2,0))</f>
        <v>#N/A</v>
      </c>
      <c r="B344" s="36" t="e">
        <f>VLOOKUP(Tabela_Base_Financeiro[[#This Row],[Item code]],'COD.FAT'!B:C,2,0)</f>
        <v>#N/A</v>
      </c>
      <c r="C344" s="292">
        <f>Tabela_Base_Financeiro[[#This Row],[PO Ship TO]]</f>
        <v>0</v>
      </c>
      <c r="D344" s="36" t="str">
        <f>RIGHT(Tabela_Base_Financeiro[[#This Row],[Manufacturer]],2)</f>
        <v/>
      </c>
      <c r="E34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44" s="122" t="e">
        <f>VLOOKUP(Tabela_Base_Financeiro[[#This Row],[Project Code]],'COD. PROJETOS'!B:D,3,0)</f>
        <v>#N/A</v>
      </c>
      <c r="G344" s="36">
        <f>IFERROR(Tabela_Base_Financeiro[[#This Row],[PO No,]],0)</f>
        <v>0</v>
      </c>
      <c r="H344" s="36">
        <f>IFERROR(Tabela_Base_Financeiro[[#This Row],[Line No,]],0)</f>
        <v>0</v>
      </c>
      <c r="I344" s="36" t="str">
        <f>IFERROR(MID(Tabela_Base_Financeiro[[#This Row],[Manufacturer]],19,14),"")</f>
        <v/>
      </c>
      <c r="J344" s="113">
        <f>IFERROR(Tabela_Base_Financeiro[[#This Row],[Item code]],0)</f>
        <v>0</v>
      </c>
      <c r="K344" s="293">
        <f>IFERROR(Tabela_Base_Financeiro[[#This Row],[Unit Price]],0)</f>
        <v>0</v>
      </c>
      <c r="L344" s="36">
        <f>IFERROR(Tabela_Base_Financeiro[[#This Row],[AC Qty,]],0)</f>
        <v>0</v>
      </c>
      <c r="M344" s="60">
        <f>Tabela6[[#This Row],[Qty]]*Tabela6[[#This Row],[Preço]]</f>
        <v>0</v>
      </c>
      <c r="N344" s="37">
        <f>IFERROR(Tabela_Base_Financeiro[[#This Row],[Proportion]],0)</f>
        <v>0</v>
      </c>
      <c r="O344" s="60">
        <f>Tabela6[[#This Row],[Proporção]]*Tabela6[[#This Row],[Total]]</f>
        <v>0</v>
      </c>
      <c r="P344" s="9"/>
      <c r="Q344"/>
      <c r="R344" s="59"/>
      <c r="S344" s="1"/>
    </row>
    <row r="345" spans="1:19">
      <c r="A345" s="122" t="e">
        <f>IF(VLOOKUP(Tabela6[[#This Row],[UF]],'BASE CC'!B:C,2,0)="SP",IF(Tabela6[[#This Row],[OPERADORA]]="TIM","SP TIM","SPI"),VLOOKUP(Tabela6[[#This Row],[UF]],'BASE CC'!B:C,2,0))</f>
        <v>#N/A</v>
      </c>
      <c r="B345" s="36" t="e">
        <f>VLOOKUP(Tabela_Base_Financeiro[[#This Row],[Item code]],'COD.FAT'!B:C,2,0)</f>
        <v>#N/A</v>
      </c>
      <c r="C345" s="292">
        <f>Tabela_Base_Financeiro[[#This Row],[PO Ship TO]]</f>
        <v>0</v>
      </c>
      <c r="D345" s="36" t="str">
        <f>RIGHT(Tabela_Base_Financeiro[[#This Row],[Manufacturer]],2)</f>
        <v/>
      </c>
      <c r="E34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45" s="122" t="e">
        <f>VLOOKUP(Tabela_Base_Financeiro[[#This Row],[Project Code]],'COD. PROJETOS'!B:D,3,0)</f>
        <v>#N/A</v>
      </c>
      <c r="G345" s="36">
        <f>IFERROR(Tabela_Base_Financeiro[[#This Row],[PO No,]],0)</f>
        <v>0</v>
      </c>
      <c r="H345" s="36">
        <f>IFERROR(Tabela_Base_Financeiro[[#This Row],[Line No,]],0)</f>
        <v>0</v>
      </c>
      <c r="I345" s="36" t="str">
        <f>IFERROR(MID(Tabela_Base_Financeiro[[#This Row],[Manufacturer]],19,14),"")</f>
        <v/>
      </c>
      <c r="J345" s="113">
        <f>IFERROR(Tabela_Base_Financeiro[[#This Row],[Item code]],0)</f>
        <v>0</v>
      </c>
      <c r="K345" s="293">
        <f>IFERROR(Tabela_Base_Financeiro[[#This Row],[Unit Price]],0)</f>
        <v>0</v>
      </c>
      <c r="L345" s="36">
        <f>IFERROR(Tabela_Base_Financeiro[[#This Row],[AC Qty,]],0)</f>
        <v>0</v>
      </c>
      <c r="M345" s="60">
        <f>Tabela6[[#This Row],[Qty]]*Tabela6[[#This Row],[Preço]]</f>
        <v>0</v>
      </c>
      <c r="N345" s="37">
        <f>IFERROR(Tabela_Base_Financeiro[[#This Row],[Proportion]],0)</f>
        <v>0</v>
      </c>
      <c r="O345" s="60">
        <f>Tabela6[[#This Row],[Proporção]]*Tabela6[[#This Row],[Total]]</f>
        <v>0</v>
      </c>
      <c r="P345" s="9"/>
      <c r="Q345"/>
      <c r="R345" s="59"/>
      <c r="S345" s="1"/>
    </row>
    <row r="346" spans="1:19">
      <c r="A346" s="122" t="e">
        <f>IF(VLOOKUP(Tabela6[[#This Row],[UF]],'BASE CC'!B:C,2,0)="SP",IF(Tabela6[[#This Row],[OPERADORA]]="TIM","SP TIM","SPI"),VLOOKUP(Tabela6[[#This Row],[UF]],'BASE CC'!B:C,2,0))</f>
        <v>#N/A</v>
      </c>
      <c r="B346" s="36" t="e">
        <f>VLOOKUP(Tabela_Base_Financeiro[[#This Row],[Item code]],'COD.FAT'!B:C,2,0)</f>
        <v>#N/A</v>
      </c>
      <c r="C346" s="292">
        <f>Tabela_Base_Financeiro[[#This Row],[PO Ship TO]]</f>
        <v>0</v>
      </c>
      <c r="D346" s="36" t="str">
        <f>RIGHT(Tabela_Base_Financeiro[[#This Row],[Manufacturer]],2)</f>
        <v/>
      </c>
      <c r="E34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46" s="122" t="e">
        <f>VLOOKUP(Tabela_Base_Financeiro[[#This Row],[Project Code]],'COD. PROJETOS'!B:D,3,0)</f>
        <v>#N/A</v>
      </c>
      <c r="G346" s="36">
        <f>IFERROR(Tabela_Base_Financeiro[[#This Row],[PO No,]],0)</f>
        <v>0</v>
      </c>
      <c r="H346" s="36">
        <f>IFERROR(Tabela_Base_Financeiro[[#This Row],[Line No,]],0)</f>
        <v>0</v>
      </c>
      <c r="I346" s="36" t="str">
        <f>IFERROR(MID(Tabela_Base_Financeiro[[#This Row],[Manufacturer]],19,14),"")</f>
        <v/>
      </c>
      <c r="J346" s="113">
        <f>IFERROR(Tabela_Base_Financeiro[[#This Row],[Item code]],0)</f>
        <v>0</v>
      </c>
      <c r="K346" s="293">
        <f>IFERROR(Tabela_Base_Financeiro[[#This Row],[Unit Price]],0)</f>
        <v>0</v>
      </c>
      <c r="L346" s="36">
        <f>IFERROR(Tabela_Base_Financeiro[[#This Row],[AC Qty,]],0)</f>
        <v>0</v>
      </c>
      <c r="M346" s="60">
        <f>Tabela6[[#This Row],[Qty]]*Tabela6[[#This Row],[Preço]]</f>
        <v>0</v>
      </c>
      <c r="N346" s="37">
        <f>IFERROR(Tabela_Base_Financeiro[[#This Row],[Proportion]],0)</f>
        <v>0</v>
      </c>
      <c r="O346" s="60">
        <f>Tabela6[[#This Row],[Proporção]]*Tabela6[[#This Row],[Total]]</f>
        <v>0</v>
      </c>
      <c r="P346" s="9"/>
      <c r="Q346"/>
      <c r="R346" s="59"/>
      <c r="S346" s="1"/>
    </row>
    <row r="347" spans="1:19">
      <c r="A347" s="122" t="e">
        <f>IF(VLOOKUP(Tabela6[[#This Row],[UF]],'BASE CC'!B:C,2,0)="SP",IF(Tabela6[[#This Row],[OPERADORA]]="TIM","SP TIM","SPI"),VLOOKUP(Tabela6[[#This Row],[UF]],'BASE CC'!B:C,2,0))</f>
        <v>#N/A</v>
      </c>
      <c r="B347" s="36" t="e">
        <f>VLOOKUP(Tabela_Base_Financeiro[[#This Row],[Item code]],'COD.FAT'!B:C,2,0)</f>
        <v>#N/A</v>
      </c>
      <c r="C347" s="292">
        <f>Tabela_Base_Financeiro[[#This Row],[PO Ship TO]]</f>
        <v>0</v>
      </c>
      <c r="D347" s="36" t="str">
        <f>RIGHT(Tabela_Base_Financeiro[[#This Row],[Manufacturer]],2)</f>
        <v/>
      </c>
      <c r="E34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47" s="122" t="e">
        <f>VLOOKUP(Tabela_Base_Financeiro[[#This Row],[Project Code]],'COD. PROJETOS'!B:D,3,0)</f>
        <v>#N/A</v>
      </c>
      <c r="G347" s="36">
        <f>IFERROR(Tabela_Base_Financeiro[[#This Row],[PO No,]],0)</f>
        <v>0</v>
      </c>
      <c r="H347" s="36">
        <f>IFERROR(Tabela_Base_Financeiro[[#This Row],[Line No,]],0)</f>
        <v>0</v>
      </c>
      <c r="I347" s="36" t="str">
        <f>IFERROR(MID(Tabela_Base_Financeiro[[#This Row],[Manufacturer]],19,14),"")</f>
        <v/>
      </c>
      <c r="J347" s="113">
        <f>IFERROR(Tabela_Base_Financeiro[[#This Row],[Item code]],0)</f>
        <v>0</v>
      </c>
      <c r="K347" s="293">
        <f>IFERROR(Tabela_Base_Financeiro[[#This Row],[Unit Price]],0)</f>
        <v>0</v>
      </c>
      <c r="L347" s="36">
        <f>IFERROR(Tabela_Base_Financeiro[[#This Row],[AC Qty,]],0)</f>
        <v>0</v>
      </c>
      <c r="M347" s="60">
        <f>Tabela6[[#This Row],[Qty]]*Tabela6[[#This Row],[Preço]]</f>
        <v>0</v>
      </c>
      <c r="N347" s="37">
        <f>IFERROR(Tabela_Base_Financeiro[[#This Row],[Proportion]],0)</f>
        <v>0</v>
      </c>
      <c r="O347" s="60">
        <f>Tabela6[[#This Row],[Proporção]]*Tabela6[[#This Row],[Total]]</f>
        <v>0</v>
      </c>
      <c r="P347" s="9"/>
      <c r="Q347"/>
      <c r="R347" s="59"/>
      <c r="S347" s="1"/>
    </row>
    <row r="348" spans="1:19">
      <c r="A348" s="122" t="e">
        <f>IF(VLOOKUP(Tabela6[[#This Row],[UF]],'BASE CC'!B:C,2,0)="SP",IF(Tabela6[[#This Row],[OPERADORA]]="TIM","SP TIM","SPI"),VLOOKUP(Tabela6[[#This Row],[UF]],'BASE CC'!B:C,2,0))</f>
        <v>#N/A</v>
      </c>
      <c r="B348" s="36" t="e">
        <f>VLOOKUP(Tabela_Base_Financeiro[[#This Row],[Item code]],'COD.FAT'!B:C,2,0)</f>
        <v>#N/A</v>
      </c>
      <c r="C348" s="292">
        <f>Tabela_Base_Financeiro[[#This Row],[PO Ship TO]]</f>
        <v>0</v>
      </c>
      <c r="D348" s="36" t="str">
        <f>RIGHT(Tabela_Base_Financeiro[[#This Row],[Manufacturer]],2)</f>
        <v/>
      </c>
      <c r="E34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48" s="122" t="e">
        <f>VLOOKUP(Tabela_Base_Financeiro[[#This Row],[Project Code]],'COD. PROJETOS'!B:D,3,0)</f>
        <v>#N/A</v>
      </c>
      <c r="G348" s="36">
        <f>IFERROR(Tabela_Base_Financeiro[[#This Row],[PO No,]],0)</f>
        <v>0</v>
      </c>
      <c r="H348" s="36">
        <f>IFERROR(Tabela_Base_Financeiro[[#This Row],[Line No,]],0)</f>
        <v>0</v>
      </c>
      <c r="I348" s="36" t="str">
        <f>IFERROR(MID(Tabela_Base_Financeiro[[#This Row],[Manufacturer]],19,14),"")</f>
        <v/>
      </c>
      <c r="J348" s="113">
        <f>IFERROR(Tabela_Base_Financeiro[[#This Row],[Item code]],0)</f>
        <v>0</v>
      </c>
      <c r="K348" s="293">
        <f>IFERROR(Tabela_Base_Financeiro[[#This Row],[Unit Price]],0)</f>
        <v>0</v>
      </c>
      <c r="L348" s="36">
        <f>IFERROR(Tabela_Base_Financeiro[[#This Row],[AC Qty,]],0)</f>
        <v>0</v>
      </c>
      <c r="M348" s="60">
        <f>Tabela6[[#This Row],[Qty]]*Tabela6[[#This Row],[Preço]]</f>
        <v>0</v>
      </c>
      <c r="N348" s="37">
        <f>IFERROR(Tabela_Base_Financeiro[[#This Row],[Proportion]],0)</f>
        <v>0</v>
      </c>
      <c r="O348" s="60">
        <f>Tabela6[[#This Row],[Proporção]]*Tabela6[[#This Row],[Total]]</f>
        <v>0</v>
      </c>
      <c r="P348" s="9"/>
      <c r="Q348"/>
      <c r="R348" s="59"/>
      <c r="S348" s="1"/>
    </row>
    <row r="349" spans="1:19">
      <c r="A349" s="122" t="e">
        <f>IF(VLOOKUP(Tabela6[[#This Row],[UF]],'BASE CC'!B:C,2,0)="SP",IF(Tabela6[[#This Row],[OPERADORA]]="TIM","SP TIM","SPI"),VLOOKUP(Tabela6[[#This Row],[UF]],'BASE CC'!B:C,2,0))</f>
        <v>#N/A</v>
      </c>
      <c r="B349" s="36" t="e">
        <f>VLOOKUP(Tabela_Base_Financeiro[[#This Row],[Item code]],'COD.FAT'!B:C,2,0)</f>
        <v>#N/A</v>
      </c>
      <c r="C349" s="292">
        <f>Tabela_Base_Financeiro[[#This Row],[PO Ship TO]]</f>
        <v>0</v>
      </c>
      <c r="D349" s="36" t="str">
        <f>RIGHT(Tabela_Base_Financeiro[[#This Row],[Manufacturer]],2)</f>
        <v/>
      </c>
      <c r="E34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49" s="122" t="e">
        <f>VLOOKUP(Tabela_Base_Financeiro[[#This Row],[Project Code]],'COD. PROJETOS'!B:D,3,0)</f>
        <v>#N/A</v>
      </c>
      <c r="G349" s="36">
        <f>IFERROR(Tabela_Base_Financeiro[[#This Row],[PO No,]],0)</f>
        <v>0</v>
      </c>
      <c r="H349" s="36">
        <f>IFERROR(Tabela_Base_Financeiro[[#This Row],[Line No,]],0)</f>
        <v>0</v>
      </c>
      <c r="I349" s="36" t="str">
        <f>IFERROR(MID(Tabela_Base_Financeiro[[#This Row],[Manufacturer]],19,14),"")</f>
        <v/>
      </c>
      <c r="J349" s="113">
        <f>IFERROR(Tabela_Base_Financeiro[[#This Row],[Item code]],0)</f>
        <v>0</v>
      </c>
      <c r="K349" s="293">
        <f>IFERROR(Tabela_Base_Financeiro[[#This Row],[Unit Price]],0)</f>
        <v>0</v>
      </c>
      <c r="L349" s="36">
        <f>IFERROR(Tabela_Base_Financeiro[[#This Row],[AC Qty,]],0)</f>
        <v>0</v>
      </c>
      <c r="M349" s="60">
        <f>Tabela6[[#This Row],[Qty]]*Tabela6[[#This Row],[Preço]]</f>
        <v>0</v>
      </c>
      <c r="N349" s="37">
        <f>IFERROR(Tabela_Base_Financeiro[[#This Row],[Proportion]],0)</f>
        <v>0</v>
      </c>
      <c r="O349" s="60">
        <f>Tabela6[[#This Row],[Proporção]]*Tabela6[[#This Row],[Total]]</f>
        <v>0</v>
      </c>
      <c r="P349" s="9"/>
      <c r="Q349"/>
      <c r="R349" s="59"/>
      <c r="S349" s="1"/>
    </row>
    <row r="350" spans="1:19">
      <c r="A350" s="122" t="e">
        <f>IF(VLOOKUP(Tabela6[[#This Row],[UF]],'BASE CC'!B:C,2,0)="SP",IF(Tabela6[[#This Row],[OPERADORA]]="TIM","SP TIM","SPI"),VLOOKUP(Tabela6[[#This Row],[UF]],'BASE CC'!B:C,2,0))</f>
        <v>#N/A</v>
      </c>
      <c r="B350" s="36" t="e">
        <f>VLOOKUP(Tabela_Base_Financeiro[[#This Row],[Item code]],'COD.FAT'!B:C,2,0)</f>
        <v>#N/A</v>
      </c>
      <c r="C350" s="292">
        <f>Tabela_Base_Financeiro[[#This Row],[PO Ship TO]]</f>
        <v>0</v>
      </c>
      <c r="D350" s="36" t="str">
        <f>RIGHT(Tabela_Base_Financeiro[[#This Row],[Manufacturer]],2)</f>
        <v/>
      </c>
      <c r="E35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50" s="122" t="e">
        <f>VLOOKUP(Tabela_Base_Financeiro[[#This Row],[Project Code]],'COD. PROJETOS'!B:D,3,0)</f>
        <v>#N/A</v>
      </c>
      <c r="G350" s="36">
        <f>IFERROR(Tabela_Base_Financeiro[[#This Row],[PO No,]],0)</f>
        <v>0</v>
      </c>
      <c r="H350" s="36">
        <f>IFERROR(Tabela_Base_Financeiro[[#This Row],[Line No,]],0)</f>
        <v>0</v>
      </c>
      <c r="I350" s="36" t="str">
        <f>IFERROR(MID(Tabela_Base_Financeiro[[#This Row],[Manufacturer]],19,14),"")</f>
        <v/>
      </c>
      <c r="J350" s="113">
        <f>IFERROR(Tabela_Base_Financeiro[[#This Row],[Item code]],0)</f>
        <v>0</v>
      </c>
      <c r="K350" s="293">
        <f>IFERROR(Tabela_Base_Financeiro[[#This Row],[Unit Price]],0)</f>
        <v>0</v>
      </c>
      <c r="L350" s="36">
        <f>IFERROR(Tabela_Base_Financeiro[[#This Row],[AC Qty,]],0)</f>
        <v>0</v>
      </c>
      <c r="M350" s="60">
        <f>Tabela6[[#This Row],[Qty]]*Tabela6[[#This Row],[Preço]]</f>
        <v>0</v>
      </c>
      <c r="N350" s="37">
        <f>IFERROR(Tabela_Base_Financeiro[[#This Row],[Proportion]],0)</f>
        <v>0</v>
      </c>
      <c r="O350" s="60">
        <f>Tabela6[[#This Row],[Proporção]]*Tabela6[[#This Row],[Total]]</f>
        <v>0</v>
      </c>
      <c r="P350" s="9"/>
      <c r="Q350"/>
      <c r="R350" s="59"/>
      <c r="S350" s="1"/>
    </row>
    <row r="351" spans="1:19">
      <c r="A351" s="122" t="e">
        <f>IF(VLOOKUP(Tabela6[[#This Row],[UF]],'BASE CC'!B:C,2,0)="SP",IF(Tabela6[[#This Row],[OPERADORA]]="TIM","SP TIM","SPI"),VLOOKUP(Tabela6[[#This Row],[UF]],'BASE CC'!B:C,2,0))</f>
        <v>#N/A</v>
      </c>
      <c r="B351" s="36" t="e">
        <f>VLOOKUP(Tabela_Base_Financeiro[[#This Row],[Item code]],'COD.FAT'!B:C,2,0)</f>
        <v>#N/A</v>
      </c>
      <c r="C351" s="292">
        <f>Tabela_Base_Financeiro[[#This Row],[PO Ship TO]]</f>
        <v>0</v>
      </c>
      <c r="D351" s="36" t="str">
        <f>RIGHT(Tabela_Base_Financeiro[[#This Row],[Manufacturer]],2)</f>
        <v/>
      </c>
      <c r="E35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51" s="122" t="e">
        <f>VLOOKUP(Tabela_Base_Financeiro[[#This Row],[Project Code]],'COD. PROJETOS'!B:D,3,0)</f>
        <v>#N/A</v>
      </c>
      <c r="G351" s="36">
        <f>IFERROR(Tabela_Base_Financeiro[[#This Row],[PO No,]],0)</f>
        <v>0</v>
      </c>
      <c r="H351" s="36">
        <f>IFERROR(Tabela_Base_Financeiro[[#This Row],[Line No,]],0)</f>
        <v>0</v>
      </c>
      <c r="I351" s="36" t="str">
        <f>IFERROR(MID(Tabela_Base_Financeiro[[#This Row],[Manufacturer]],19,14),"")</f>
        <v/>
      </c>
      <c r="J351" s="113">
        <f>IFERROR(Tabela_Base_Financeiro[[#This Row],[Item code]],0)</f>
        <v>0</v>
      </c>
      <c r="K351" s="293">
        <f>IFERROR(Tabela_Base_Financeiro[[#This Row],[Unit Price]],0)</f>
        <v>0</v>
      </c>
      <c r="L351" s="36">
        <f>IFERROR(Tabela_Base_Financeiro[[#This Row],[AC Qty,]],0)</f>
        <v>0</v>
      </c>
      <c r="M351" s="60">
        <f>Tabela6[[#This Row],[Qty]]*Tabela6[[#This Row],[Preço]]</f>
        <v>0</v>
      </c>
      <c r="N351" s="37">
        <f>IFERROR(Tabela_Base_Financeiro[[#This Row],[Proportion]],0)</f>
        <v>0</v>
      </c>
      <c r="O351" s="60">
        <f>Tabela6[[#This Row],[Proporção]]*Tabela6[[#This Row],[Total]]</f>
        <v>0</v>
      </c>
      <c r="P351" s="9"/>
      <c r="Q351"/>
      <c r="R351" s="59"/>
      <c r="S351" s="1"/>
    </row>
    <row r="352" spans="1:19">
      <c r="A352" s="122" t="e">
        <f>IF(VLOOKUP(Tabela6[[#This Row],[UF]],'BASE CC'!B:C,2,0)="SP",IF(Tabela6[[#This Row],[OPERADORA]]="TIM","SP TIM","SPI"),VLOOKUP(Tabela6[[#This Row],[UF]],'BASE CC'!B:C,2,0))</f>
        <v>#N/A</v>
      </c>
      <c r="B352" s="36" t="e">
        <f>VLOOKUP(Tabela_Base_Financeiro[[#This Row],[Item code]],'COD.FAT'!B:C,2,0)</f>
        <v>#N/A</v>
      </c>
      <c r="C352" s="292">
        <f>Tabela_Base_Financeiro[[#This Row],[PO Ship TO]]</f>
        <v>0</v>
      </c>
      <c r="D352" s="36" t="str">
        <f>RIGHT(Tabela_Base_Financeiro[[#This Row],[Manufacturer]],2)</f>
        <v/>
      </c>
      <c r="E35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52" s="122" t="e">
        <f>VLOOKUP(Tabela_Base_Financeiro[[#This Row],[Project Code]],'COD. PROJETOS'!B:D,3,0)</f>
        <v>#N/A</v>
      </c>
      <c r="G352" s="36">
        <f>IFERROR(Tabela_Base_Financeiro[[#This Row],[PO No,]],0)</f>
        <v>0</v>
      </c>
      <c r="H352" s="36">
        <f>IFERROR(Tabela_Base_Financeiro[[#This Row],[Line No,]],0)</f>
        <v>0</v>
      </c>
      <c r="I352" s="36" t="str">
        <f>IFERROR(MID(Tabela_Base_Financeiro[[#This Row],[Manufacturer]],19,14),"")</f>
        <v/>
      </c>
      <c r="J352" s="113">
        <f>IFERROR(Tabela_Base_Financeiro[[#This Row],[Item code]],0)</f>
        <v>0</v>
      </c>
      <c r="K352" s="293">
        <f>IFERROR(Tabela_Base_Financeiro[[#This Row],[Unit Price]],0)</f>
        <v>0</v>
      </c>
      <c r="L352" s="36">
        <f>IFERROR(Tabela_Base_Financeiro[[#This Row],[AC Qty,]],0)</f>
        <v>0</v>
      </c>
      <c r="M352" s="60">
        <f>Tabela6[[#This Row],[Qty]]*Tabela6[[#This Row],[Preço]]</f>
        <v>0</v>
      </c>
      <c r="N352" s="37">
        <f>IFERROR(Tabela_Base_Financeiro[[#This Row],[Proportion]],0)</f>
        <v>0</v>
      </c>
      <c r="O352" s="60">
        <f>Tabela6[[#This Row],[Proporção]]*Tabela6[[#This Row],[Total]]</f>
        <v>0</v>
      </c>
      <c r="P352" s="9"/>
      <c r="Q352"/>
      <c r="R352" s="59"/>
      <c r="S352" s="1"/>
    </row>
    <row r="353" spans="1:19">
      <c r="A353" s="122" t="e">
        <f>IF(VLOOKUP(Tabela6[[#This Row],[UF]],'BASE CC'!B:C,2,0)="SP",IF(Tabela6[[#This Row],[OPERADORA]]="TIM","SP TIM","SPI"),VLOOKUP(Tabela6[[#This Row],[UF]],'BASE CC'!B:C,2,0))</f>
        <v>#N/A</v>
      </c>
      <c r="B353" s="36" t="e">
        <f>VLOOKUP(Tabela_Base_Financeiro[[#This Row],[Item code]],'COD.FAT'!B:C,2,0)</f>
        <v>#N/A</v>
      </c>
      <c r="C353" s="292">
        <f>Tabela_Base_Financeiro[[#This Row],[PO Ship TO]]</f>
        <v>0</v>
      </c>
      <c r="D353" s="36" t="str">
        <f>RIGHT(Tabela_Base_Financeiro[[#This Row],[Manufacturer]],2)</f>
        <v/>
      </c>
      <c r="E35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53" s="122" t="e">
        <f>VLOOKUP(Tabela_Base_Financeiro[[#This Row],[Project Code]],'COD. PROJETOS'!B:D,3,0)</f>
        <v>#N/A</v>
      </c>
      <c r="G353" s="36">
        <f>IFERROR(Tabela_Base_Financeiro[[#This Row],[PO No,]],0)</f>
        <v>0</v>
      </c>
      <c r="H353" s="36">
        <f>IFERROR(Tabela_Base_Financeiro[[#This Row],[Line No,]],0)</f>
        <v>0</v>
      </c>
      <c r="I353" s="36" t="str">
        <f>IFERROR(MID(Tabela_Base_Financeiro[[#This Row],[Manufacturer]],19,14),"")</f>
        <v/>
      </c>
      <c r="J353" s="113">
        <f>IFERROR(Tabela_Base_Financeiro[[#This Row],[Item code]],0)</f>
        <v>0</v>
      </c>
      <c r="K353" s="293">
        <f>IFERROR(Tabela_Base_Financeiro[[#This Row],[Unit Price]],0)</f>
        <v>0</v>
      </c>
      <c r="L353" s="36">
        <f>IFERROR(Tabela_Base_Financeiro[[#This Row],[AC Qty,]],0)</f>
        <v>0</v>
      </c>
      <c r="M353" s="60">
        <f>Tabela6[[#This Row],[Qty]]*Tabela6[[#This Row],[Preço]]</f>
        <v>0</v>
      </c>
      <c r="N353" s="37">
        <f>IFERROR(Tabela_Base_Financeiro[[#This Row],[Proportion]],0)</f>
        <v>0</v>
      </c>
      <c r="O353" s="60">
        <f>Tabela6[[#This Row],[Proporção]]*Tabela6[[#This Row],[Total]]</f>
        <v>0</v>
      </c>
      <c r="P353" s="9"/>
      <c r="Q353"/>
      <c r="R353" s="59"/>
      <c r="S353" s="1"/>
    </row>
    <row r="354" spans="1:19">
      <c r="A354" s="122" t="e">
        <f>IF(VLOOKUP(Tabela6[[#This Row],[UF]],'BASE CC'!B:C,2,0)="SP",IF(Tabela6[[#This Row],[OPERADORA]]="TIM","SP TIM","SPI"),VLOOKUP(Tabela6[[#This Row],[UF]],'BASE CC'!B:C,2,0))</f>
        <v>#N/A</v>
      </c>
      <c r="B354" s="36" t="e">
        <f>VLOOKUP(Tabela_Base_Financeiro[[#This Row],[Item code]],'COD.FAT'!B:C,2,0)</f>
        <v>#N/A</v>
      </c>
      <c r="C354" s="292">
        <f>Tabela_Base_Financeiro[[#This Row],[PO Ship TO]]</f>
        <v>0</v>
      </c>
      <c r="D354" s="36" t="str">
        <f>RIGHT(Tabela_Base_Financeiro[[#This Row],[Manufacturer]],2)</f>
        <v/>
      </c>
      <c r="E35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54" s="122" t="e">
        <f>VLOOKUP(Tabela_Base_Financeiro[[#This Row],[Project Code]],'COD. PROJETOS'!B:D,3,0)</f>
        <v>#N/A</v>
      </c>
      <c r="G354" s="36">
        <f>IFERROR(Tabela_Base_Financeiro[[#This Row],[PO No,]],0)</f>
        <v>0</v>
      </c>
      <c r="H354" s="36">
        <f>IFERROR(Tabela_Base_Financeiro[[#This Row],[Line No,]],0)</f>
        <v>0</v>
      </c>
      <c r="I354" s="36" t="str">
        <f>IFERROR(MID(Tabela_Base_Financeiro[[#This Row],[Manufacturer]],19,14),"")</f>
        <v/>
      </c>
      <c r="J354" s="113">
        <f>IFERROR(Tabela_Base_Financeiro[[#This Row],[Item code]],0)</f>
        <v>0</v>
      </c>
      <c r="K354" s="293">
        <f>IFERROR(Tabela_Base_Financeiro[[#This Row],[Unit Price]],0)</f>
        <v>0</v>
      </c>
      <c r="L354" s="36">
        <f>IFERROR(Tabela_Base_Financeiro[[#This Row],[AC Qty,]],0)</f>
        <v>0</v>
      </c>
      <c r="M354" s="60">
        <f>Tabela6[[#This Row],[Qty]]*Tabela6[[#This Row],[Preço]]</f>
        <v>0</v>
      </c>
      <c r="N354" s="37">
        <f>IFERROR(Tabela_Base_Financeiro[[#This Row],[Proportion]],0)</f>
        <v>0</v>
      </c>
      <c r="O354" s="60">
        <f>Tabela6[[#This Row],[Proporção]]*Tabela6[[#This Row],[Total]]</f>
        <v>0</v>
      </c>
      <c r="P354" s="9"/>
      <c r="Q354"/>
      <c r="R354" s="59"/>
      <c r="S354" s="1"/>
    </row>
    <row r="355" spans="1:19">
      <c r="A355" s="122" t="e">
        <f>IF(VLOOKUP(Tabela6[[#This Row],[UF]],'BASE CC'!B:C,2,0)="SP",IF(Tabela6[[#This Row],[OPERADORA]]="TIM","SP TIM","SPI"),VLOOKUP(Tabela6[[#This Row],[UF]],'BASE CC'!B:C,2,0))</f>
        <v>#N/A</v>
      </c>
      <c r="B355" s="36" t="e">
        <f>VLOOKUP(Tabela_Base_Financeiro[[#This Row],[Item code]],'COD.FAT'!B:C,2,0)</f>
        <v>#N/A</v>
      </c>
      <c r="C355" s="292">
        <f>Tabela_Base_Financeiro[[#This Row],[PO Ship TO]]</f>
        <v>0</v>
      </c>
      <c r="D355" s="36" t="str">
        <f>RIGHT(Tabela_Base_Financeiro[[#This Row],[Manufacturer]],2)</f>
        <v/>
      </c>
      <c r="E35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55" s="122" t="e">
        <f>VLOOKUP(Tabela_Base_Financeiro[[#This Row],[Project Code]],'COD. PROJETOS'!B:D,3,0)</f>
        <v>#N/A</v>
      </c>
      <c r="G355" s="36">
        <f>IFERROR(Tabela_Base_Financeiro[[#This Row],[PO No,]],0)</f>
        <v>0</v>
      </c>
      <c r="H355" s="36">
        <f>IFERROR(Tabela_Base_Financeiro[[#This Row],[Line No,]],0)</f>
        <v>0</v>
      </c>
      <c r="I355" s="36" t="str">
        <f>IFERROR(MID(Tabela_Base_Financeiro[[#This Row],[Manufacturer]],19,14),"")</f>
        <v/>
      </c>
      <c r="J355" s="113">
        <f>IFERROR(Tabela_Base_Financeiro[[#This Row],[Item code]],0)</f>
        <v>0</v>
      </c>
      <c r="K355" s="293">
        <f>IFERROR(Tabela_Base_Financeiro[[#This Row],[Unit Price]],0)</f>
        <v>0</v>
      </c>
      <c r="L355" s="36">
        <f>IFERROR(Tabela_Base_Financeiro[[#This Row],[AC Qty,]],0)</f>
        <v>0</v>
      </c>
      <c r="M355" s="60">
        <f>Tabela6[[#This Row],[Qty]]*Tabela6[[#This Row],[Preço]]</f>
        <v>0</v>
      </c>
      <c r="N355" s="37">
        <f>IFERROR(Tabela_Base_Financeiro[[#This Row],[Proportion]],0)</f>
        <v>0</v>
      </c>
      <c r="O355" s="60">
        <f>Tabela6[[#This Row],[Proporção]]*Tabela6[[#This Row],[Total]]</f>
        <v>0</v>
      </c>
      <c r="P355" s="9"/>
      <c r="Q355"/>
      <c r="R355" s="59"/>
      <c r="S355" s="1"/>
    </row>
    <row r="356" spans="1:19">
      <c r="A356" s="122" t="e">
        <f>IF(VLOOKUP(Tabela6[[#This Row],[UF]],'BASE CC'!B:C,2,0)="SP",IF(Tabela6[[#This Row],[OPERADORA]]="TIM","SP TIM","SPI"),VLOOKUP(Tabela6[[#This Row],[UF]],'BASE CC'!B:C,2,0))</f>
        <v>#N/A</v>
      </c>
      <c r="B356" s="36" t="e">
        <f>VLOOKUP(Tabela_Base_Financeiro[[#This Row],[Item code]],'COD.FAT'!B:C,2,0)</f>
        <v>#N/A</v>
      </c>
      <c r="C356" s="292">
        <f>Tabela_Base_Financeiro[[#This Row],[PO Ship TO]]</f>
        <v>0</v>
      </c>
      <c r="D356" s="36" t="str">
        <f>RIGHT(Tabela_Base_Financeiro[[#This Row],[Manufacturer]],2)</f>
        <v/>
      </c>
      <c r="E35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56" s="122" t="e">
        <f>VLOOKUP(Tabela_Base_Financeiro[[#This Row],[Project Code]],'COD. PROJETOS'!B:D,3,0)</f>
        <v>#N/A</v>
      </c>
      <c r="G356" s="36">
        <f>IFERROR(Tabela_Base_Financeiro[[#This Row],[PO No,]],0)</f>
        <v>0</v>
      </c>
      <c r="H356" s="36">
        <f>IFERROR(Tabela_Base_Financeiro[[#This Row],[Line No,]],0)</f>
        <v>0</v>
      </c>
      <c r="I356" s="36" t="str">
        <f>IFERROR(MID(Tabela_Base_Financeiro[[#This Row],[Manufacturer]],19,14),"")</f>
        <v/>
      </c>
      <c r="J356" s="113">
        <f>IFERROR(Tabela_Base_Financeiro[[#This Row],[Item code]],0)</f>
        <v>0</v>
      </c>
      <c r="K356" s="293">
        <f>IFERROR(Tabela_Base_Financeiro[[#This Row],[Unit Price]],0)</f>
        <v>0</v>
      </c>
      <c r="L356" s="36">
        <f>IFERROR(Tabela_Base_Financeiro[[#This Row],[AC Qty,]],0)</f>
        <v>0</v>
      </c>
      <c r="M356" s="60">
        <f>Tabela6[[#This Row],[Qty]]*Tabela6[[#This Row],[Preço]]</f>
        <v>0</v>
      </c>
      <c r="N356" s="37">
        <f>IFERROR(Tabela_Base_Financeiro[[#This Row],[Proportion]],0)</f>
        <v>0</v>
      </c>
      <c r="O356" s="60">
        <f>Tabela6[[#This Row],[Proporção]]*Tabela6[[#This Row],[Total]]</f>
        <v>0</v>
      </c>
      <c r="P356" s="9"/>
      <c r="Q356"/>
      <c r="R356" s="59"/>
      <c r="S356" s="1"/>
    </row>
    <row r="357" spans="1:19">
      <c r="A357" s="122" t="e">
        <f>IF(VLOOKUP(Tabela6[[#This Row],[UF]],'BASE CC'!B:C,2,0)="SP",IF(Tabela6[[#This Row],[OPERADORA]]="TIM","SP TIM","SPI"),VLOOKUP(Tabela6[[#This Row],[UF]],'BASE CC'!B:C,2,0))</f>
        <v>#N/A</v>
      </c>
      <c r="B357" s="36" t="e">
        <f>VLOOKUP(Tabela_Base_Financeiro[[#This Row],[Item code]],'COD.FAT'!B:C,2,0)</f>
        <v>#N/A</v>
      </c>
      <c r="C357" s="292">
        <f>Tabela_Base_Financeiro[[#This Row],[PO Ship TO]]</f>
        <v>0</v>
      </c>
      <c r="D357" s="36" t="str">
        <f>RIGHT(Tabela_Base_Financeiro[[#This Row],[Manufacturer]],2)</f>
        <v/>
      </c>
      <c r="E35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57" s="122" t="e">
        <f>VLOOKUP(Tabela_Base_Financeiro[[#This Row],[Project Code]],'COD. PROJETOS'!B:D,3,0)</f>
        <v>#N/A</v>
      </c>
      <c r="G357" s="36">
        <f>IFERROR(Tabela_Base_Financeiro[[#This Row],[PO No,]],0)</f>
        <v>0</v>
      </c>
      <c r="H357" s="36">
        <f>IFERROR(Tabela_Base_Financeiro[[#This Row],[Line No,]],0)</f>
        <v>0</v>
      </c>
      <c r="I357" s="36" t="str">
        <f>IFERROR(MID(Tabela_Base_Financeiro[[#This Row],[Manufacturer]],19,14),"")</f>
        <v/>
      </c>
      <c r="J357" s="113">
        <f>IFERROR(Tabela_Base_Financeiro[[#This Row],[Item code]],0)</f>
        <v>0</v>
      </c>
      <c r="K357" s="293">
        <f>IFERROR(Tabela_Base_Financeiro[[#This Row],[Unit Price]],0)</f>
        <v>0</v>
      </c>
      <c r="L357" s="36">
        <f>IFERROR(Tabela_Base_Financeiro[[#This Row],[AC Qty,]],0)</f>
        <v>0</v>
      </c>
      <c r="M357" s="60">
        <f>Tabela6[[#This Row],[Qty]]*Tabela6[[#This Row],[Preço]]</f>
        <v>0</v>
      </c>
      <c r="N357" s="37">
        <f>IFERROR(Tabela_Base_Financeiro[[#This Row],[Proportion]],0)</f>
        <v>0</v>
      </c>
      <c r="O357" s="60">
        <f>Tabela6[[#This Row],[Proporção]]*Tabela6[[#This Row],[Total]]</f>
        <v>0</v>
      </c>
      <c r="P357" s="9"/>
      <c r="Q357"/>
      <c r="R357" s="59"/>
      <c r="S357" s="1"/>
    </row>
    <row r="358" spans="1:19">
      <c r="A358" s="122" t="e">
        <f>IF(VLOOKUP(Tabela6[[#This Row],[UF]],'BASE CC'!B:C,2,0)="SP",IF(Tabela6[[#This Row],[OPERADORA]]="TIM","SP TIM","SPI"),VLOOKUP(Tabela6[[#This Row],[UF]],'BASE CC'!B:C,2,0))</f>
        <v>#N/A</v>
      </c>
      <c r="B358" s="36" t="e">
        <f>VLOOKUP(Tabela_Base_Financeiro[[#This Row],[Item code]],'COD.FAT'!B:C,2,0)</f>
        <v>#N/A</v>
      </c>
      <c r="C358" s="292">
        <f>Tabela_Base_Financeiro[[#This Row],[PO Ship TO]]</f>
        <v>0</v>
      </c>
      <c r="D358" s="36" t="str">
        <f>RIGHT(Tabela_Base_Financeiro[[#This Row],[Manufacturer]],2)</f>
        <v/>
      </c>
      <c r="E35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58" s="122" t="e">
        <f>VLOOKUP(Tabela_Base_Financeiro[[#This Row],[Project Code]],'COD. PROJETOS'!B:D,3,0)</f>
        <v>#N/A</v>
      </c>
      <c r="G358" s="36">
        <f>IFERROR(Tabela_Base_Financeiro[[#This Row],[PO No,]],0)</f>
        <v>0</v>
      </c>
      <c r="H358" s="36">
        <f>IFERROR(Tabela_Base_Financeiro[[#This Row],[Line No,]],0)</f>
        <v>0</v>
      </c>
      <c r="I358" s="36" t="str">
        <f>IFERROR(MID(Tabela_Base_Financeiro[[#This Row],[Manufacturer]],19,14),"")</f>
        <v/>
      </c>
      <c r="J358" s="113">
        <f>IFERROR(Tabela_Base_Financeiro[[#This Row],[Item code]],0)</f>
        <v>0</v>
      </c>
      <c r="K358" s="293">
        <f>IFERROR(Tabela_Base_Financeiro[[#This Row],[Unit Price]],0)</f>
        <v>0</v>
      </c>
      <c r="L358" s="36">
        <f>IFERROR(Tabela_Base_Financeiro[[#This Row],[AC Qty,]],0)</f>
        <v>0</v>
      </c>
      <c r="M358" s="60">
        <f>Tabela6[[#This Row],[Qty]]*Tabela6[[#This Row],[Preço]]</f>
        <v>0</v>
      </c>
      <c r="N358" s="37">
        <f>IFERROR(Tabela_Base_Financeiro[[#This Row],[Proportion]],0)</f>
        <v>0</v>
      </c>
      <c r="O358" s="60">
        <f>Tabela6[[#This Row],[Proporção]]*Tabela6[[#This Row],[Total]]</f>
        <v>0</v>
      </c>
      <c r="P358" s="9"/>
      <c r="Q358"/>
      <c r="R358" s="59"/>
      <c r="S358" s="1"/>
    </row>
    <row r="359" spans="1:19">
      <c r="A359" s="122" t="e">
        <f>IF(VLOOKUP(Tabela6[[#This Row],[UF]],'BASE CC'!B:C,2,0)="SP",IF(Tabela6[[#This Row],[OPERADORA]]="TIM","SP TIM","SPI"),VLOOKUP(Tabela6[[#This Row],[UF]],'BASE CC'!B:C,2,0))</f>
        <v>#N/A</v>
      </c>
      <c r="B359" s="36" t="e">
        <f>VLOOKUP(Tabela_Base_Financeiro[[#This Row],[Item code]],'COD.FAT'!B:C,2,0)</f>
        <v>#N/A</v>
      </c>
      <c r="C359" s="292">
        <f>Tabela_Base_Financeiro[[#This Row],[PO Ship TO]]</f>
        <v>0</v>
      </c>
      <c r="D359" s="36" t="str">
        <f>RIGHT(Tabela_Base_Financeiro[[#This Row],[Manufacturer]],2)</f>
        <v/>
      </c>
      <c r="E35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59" s="122" t="e">
        <f>VLOOKUP(Tabela_Base_Financeiro[[#This Row],[Project Code]],'COD. PROJETOS'!B:D,3,0)</f>
        <v>#N/A</v>
      </c>
      <c r="G359" s="36">
        <f>IFERROR(Tabela_Base_Financeiro[[#This Row],[PO No,]],0)</f>
        <v>0</v>
      </c>
      <c r="H359" s="36">
        <f>IFERROR(Tabela_Base_Financeiro[[#This Row],[Line No,]],0)</f>
        <v>0</v>
      </c>
      <c r="I359" s="36" t="str">
        <f>IFERROR(MID(Tabela_Base_Financeiro[[#This Row],[Manufacturer]],19,14),"")</f>
        <v/>
      </c>
      <c r="J359" s="113">
        <f>IFERROR(Tabela_Base_Financeiro[[#This Row],[Item code]],0)</f>
        <v>0</v>
      </c>
      <c r="K359" s="293">
        <f>IFERROR(Tabela_Base_Financeiro[[#This Row],[Unit Price]],0)</f>
        <v>0</v>
      </c>
      <c r="L359" s="36">
        <f>IFERROR(Tabela_Base_Financeiro[[#This Row],[AC Qty,]],0)</f>
        <v>0</v>
      </c>
      <c r="M359" s="60">
        <f>Tabela6[[#This Row],[Qty]]*Tabela6[[#This Row],[Preço]]</f>
        <v>0</v>
      </c>
      <c r="N359" s="37">
        <f>IFERROR(Tabela_Base_Financeiro[[#This Row],[Proportion]],0)</f>
        <v>0</v>
      </c>
      <c r="O359" s="60">
        <f>Tabela6[[#This Row],[Proporção]]*Tabela6[[#This Row],[Total]]</f>
        <v>0</v>
      </c>
      <c r="P359" s="9"/>
      <c r="Q359"/>
      <c r="R359" s="59"/>
      <c r="S359" s="1"/>
    </row>
    <row r="360" spans="1:19">
      <c r="A360" s="122" t="e">
        <f>IF(VLOOKUP(Tabela6[[#This Row],[UF]],'BASE CC'!B:C,2,0)="SP",IF(Tabela6[[#This Row],[OPERADORA]]="TIM","SP TIM","SPI"),VLOOKUP(Tabela6[[#This Row],[UF]],'BASE CC'!B:C,2,0))</f>
        <v>#N/A</v>
      </c>
      <c r="B360" s="36" t="e">
        <f>VLOOKUP(Tabela_Base_Financeiro[[#This Row],[Item code]],'COD.FAT'!B:C,2,0)</f>
        <v>#N/A</v>
      </c>
      <c r="C360" s="292">
        <f>Tabela_Base_Financeiro[[#This Row],[PO Ship TO]]</f>
        <v>0</v>
      </c>
      <c r="D360" s="36" t="str">
        <f>RIGHT(Tabela_Base_Financeiro[[#This Row],[Manufacturer]],2)</f>
        <v/>
      </c>
      <c r="E36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60" s="122" t="e">
        <f>VLOOKUP(Tabela_Base_Financeiro[[#This Row],[Project Code]],'COD. PROJETOS'!B:D,3,0)</f>
        <v>#N/A</v>
      </c>
      <c r="G360" s="36">
        <f>IFERROR(Tabela_Base_Financeiro[[#This Row],[PO No,]],0)</f>
        <v>0</v>
      </c>
      <c r="H360" s="36">
        <f>IFERROR(Tabela_Base_Financeiro[[#This Row],[Line No,]],0)</f>
        <v>0</v>
      </c>
      <c r="I360" s="36" t="str">
        <f>IFERROR(MID(Tabela_Base_Financeiro[[#This Row],[Manufacturer]],19,14),"")</f>
        <v/>
      </c>
      <c r="J360" s="113">
        <f>IFERROR(Tabela_Base_Financeiro[[#This Row],[Item code]],0)</f>
        <v>0</v>
      </c>
      <c r="K360" s="293">
        <f>IFERROR(Tabela_Base_Financeiro[[#This Row],[Unit Price]],0)</f>
        <v>0</v>
      </c>
      <c r="L360" s="36">
        <f>IFERROR(Tabela_Base_Financeiro[[#This Row],[AC Qty,]],0)</f>
        <v>0</v>
      </c>
      <c r="M360" s="60">
        <f>Tabela6[[#This Row],[Qty]]*Tabela6[[#This Row],[Preço]]</f>
        <v>0</v>
      </c>
      <c r="N360" s="37">
        <f>IFERROR(Tabela_Base_Financeiro[[#This Row],[Proportion]],0)</f>
        <v>0</v>
      </c>
      <c r="O360" s="60">
        <f>Tabela6[[#This Row],[Proporção]]*Tabela6[[#This Row],[Total]]</f>
        <v>0</v>
      </c>
      <c r="P360" s="9"/>
      <c r="Q360"/>
      <c r="R360" s="59"/>
      <c r="S360" s="1"/>
    </row>
    <row r="361" spans="1:19">
      <c r="A361" s="122" t="e">
        <f>IF(VLOOKUP(Tabela6[[#This Row],[UF]],'BASE CC'!B:C,2,0)="SP",IF(Tabela6[[#This Row],[OPERADORA]]="TIM","SP TIM","SPI"),VLOOKUP(Tabela6[[#This Row],[UF]],'BASE CC'!B:C,2,0))</f>
        <v>#N/A</v>
      </c>
      <c r="B361" s="36" t="e">
        <f>VLOOKUP(Tabela_Base_Financeiro[[#This Row],[Item code]],'COD.FAT'!B:C,2,0)</f>
        <v>#N/A</v>
      </c>
      <c r="C361" s="292">
        <f>Tabela_Base_Financeiro[[#This Row],[PO Ship TO]]</f>
        <v>0</v>
      </c>
      <c r="D361" s="36" t="str">
        <f>RIGHT(Tabela_Base_Financeiro[[#This Row],[Manufacturer]],2)</f>
        <v/>
      </c>
      <c r="E36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61" s="122" t="e">
        <f>VLOOKUP(Tabela_Base_Financeiro[[#This Row],[Project Code]],'COD. PROJETOS'!B:D,3,0)</f>
        <v>#N/A</v>
      </c>
      <c r="G361" s="36">
        <f>IFERROR(Tabela_Base_Financeiro[[#This Row],[PO No,]],0)</f>
        <v>0</v>
      </c>
      <c r="H361" s="36">
        <f>IFERROR(Tabela_Base_Financeiro[[#This Row],[Line No,]],0)</f>
        <v>0</v>
      </c>
      <c r="I361" s="36" t="str">
        <f>IFERROR(MID(Tabela_Base_Financeiro[[#This Row],[Manufacturer]],19,14),"")</f>
        <v/>
      </c>
      <c r="J361" s="113">
        <f>IFERROR(Tabela_Base_Financeiro[[#This Row],[Item code]],0)</f>
        <v>0</v>
      </c>
      <c r="K361" s="293">
        <f>IFERROR(Tabela_Base_Financeiro[[#This Row],[Unit Price]],0)</f>
        <v>0</v>
      </c>
      <c r="L361" s="36">
        <f>IFERROR(Tabela_Base_Financeiro[[#This Row],[AC Qty,]],0)</f>
        <v>0</v>
      </c>
      <c r="M361" s="60">
        <f>Tabela6[[#This Row],[Qty]]*Tabela6[[#This Row],[Preço]]</f>
        <v>0</v>
      </c>
      <c r="N361" s="37">
        <f>IFERROR(Tabela_Base_Financeiro[[#This Row],[Proportion]],0)</f>
        <v>0</v>
      </c>
      <c r="O361" s="60">
        <f>Tabela6[[#This Row],[Proporção]]*Tabela6[[#This Row],[Total]]</f>
        <v>0</v>
      </c>
      <c r="P361" s="9"/>
      <c r="Q361"/>
      <c r="R361" s="59"/>
      <c r="S361" s="1"/>
    </row>
    <row r="362" spans="1:19">
      <c r="A362" s="122" t="e">
        <f>IF(VLOOKUP(Tabela6[[#This Row],[UF]],'BASE CC'!B:C,2,0)="SP",IF(Tabela6[[#This Row],[OPERADORA]]="TIM","SP TIM","SPI"),VLOOKUP(Tabela6[[#This Row],[UF]],'BASE CC'!B:C,2,0))</f>
        <v>#N/A</v>
      </c>
      <c r="B362" s="36" t="e">
        <f>VLOOKUP(Tabela_Base_Financeiro[[#This Row],[Item code]],'COD.FAT'!B:C,2,0)</f>
        <v>#N/A</v>
      </c>
      <c r="C362" s="292">
        <f>Tabela_Base_Financeiro[[#This Row],[PO Ship TO]]</f>
        <v>0</v>
      </c>
      <c r="D362" s="36" t="str">
        <f>RIGHT(Tabela_Base_Financeiro[[#This Row],[Manufacturer]],2)</f>
        <v/>
      </c>
      <c r="E36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62" s="122" t="e">
        <f>VLOOKUP(Tabela_Base_Financeiro[[#This Row],[Project Code]],'COD. PROJETOS'!B:D,3,0)</f>
        <v>#N/A</v>
      </c>
      <c r="G362" s="36">
        <f>IFERROR(Tabela_Base_Financeiro[[#This Row],[PO No,]],0)</f>
        <v>0</v>
      </c>
      <c r="H362" s="36">
        <f>IFERROR(Tabela_Base_Financeiro[[#This Row],[Line No,]],0)</f>
        <v>0</v>
      </c>
      <c r="I362" s="36" t="str">
        <f>IFERROR(MID(Tabela_Base_Financeiro[[#This Row],[Manufacturer]],19,14),"")</f>
        <v/>
      </c>
      <c r="J362" s="113">
        <f>IFERROR(Tabela_Base_Financeiro[[#This Row],[Item code]],0)</f>
        <v>0</v>
      </c>
      <c r="K362" s="293">
        <f>IFERROR(Tabela_Base_Financeiro[[#This Row],[Unit Price]],0)</f>
        <v>0</v>
      </c>
      <c r="L362" s="36">
        <f>IFERROR(Tabela_Base_Financeiro[[#This Row],[AC Qty,]],0)</f>
        <v>0</v>
      </c>
      <c r="M362" s="60">
        <f>Tabela6[[#This Row],[Qty]]*Tabela6[[#This Row],[Preço]]</f>
        <v>0</v>
      </c>
      <c r="N362" s="37">
        <f>IFERROR(Tabela_Base_Financeiro[[#This Row],[Proportion]],0)</f>
        <v>0</v>
      </c>
      <c r="O362" s="60">
        <f>Tabela6[[#This Row],[Proporção]]*Tabela6[[#This Row],[Total]]</f>
        <v>0</v>
      </c>
      <c r="P362" s="9"/>
      <c r="Q362"/>
      <c r="R362" s="59"/>
      <c r="S362" s="1"/>
    </row>
    <row r="363" spans="1:19">
      <c r="A363" s="122" t="e">
        <f>IF(VLOOKUP(Tabela6[[#This Row],[UF]],'BASE CC'!B:C,2,0)="SP",IF(Tabela6[[#This Row],[OPERADORA]]="TIM","SP TIM","SPI"),VLOOKUP(Tabela6[[#This Row],[UF]],'BASE CC'!B:C,2,0))</f>
        <v>#N/A</v>
      </c>
      <c r="B363" s="36" t="e">
        <f>VLOOKUP(Tabela_Base_Financeiro[[#This Row],[Item code]],'COD.FAT'!B:C,2,0)</f>
        <v>#N/A</v>
      </c>
      <c r="C363" s="292">
        <f>Tabela_Base_Financeiro[[#This Row],[PO Ship TO]]</f>
        <v>0</v>
      </c>
      <c r="D363" s="36" t="str">
        <f>RIGHT(Tabela_Base_Financeiro[[#This Row],[Manufacturer]],2)</f>
        <v/>
      </c>
      <c r="E36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63" s="122" t="e">
        <f>VLOOKUP(Tabela_Base_Financeiro[[#This Row],[Project Code]],'COD. PROJETOS'!B:D,3,0)</f>
        <v>#N/A</v>
      </c>
      <c r="G363" s="36">
        <f>IFERROR(Tabela_Base_Financeiro[[#This Row],[PO No,]],0)</f>
        <v>0</v>
      </c>
      <c r="H363" s="36">
        <f>IFERROR(Tabela_Base_Financeiro[[#This Row],[Line No,]],0)</f>
        <v>0</v>
      </c>
      <c r="I363" s="36" t="str">
        <f>IFERROR(MID(Tabela_Base_Financeiro[[#This Row],[Manufacturer]],19,14),"")</f>
        <v/>
      </c>
      <c r="J363" s="113">
        <f>IFERROR(Tabela_Base_Financeiro[[#This Row],[Item code]],0)</f>
        <v>0</v>
      </c>
      <c r="K363" s="293">
        <f>IFERROR(Tabela_Base_Financeiro[[#This Row],[Unit Price]],0)</f>
        <v>0</v>
      </c>
      <c r="L363" s="36">
        <f>IFERROR(Tabela_Base_Financeiro[[#This Row],[AC Qty,]],0)</f>
        <v>0</v>
      </c>
      <c r="M363" s="60">
        <f>Tabela6[[#This Row],[Qty]]*Tabela6[[#This Row],[Preço]]</f>
        <v>0</v>
      </c>
      <c r="N363" s="37">
        <f>IFERROR(Tabela_Base_Financeiro[[#This Row],[Proportion]],0)</f>
        <v>0</v>
      </c>
      <c r="O363" s="60">
        <f>Tabela6[[#This Row],[Proporção]]*Tabela6[[#This Row],[Total]]</f>
        <v>0</v>
      </c>
      <c r="P363" s="9"/>
      <c r="Q363"/>
      <c r="R363" s="59"/>
      <c r="S363" s="1"/>
    </row>
    <row r="364" spans="1:19">
      <c r="A364" s="122" t="e">
        <f>IF(VLOOKUP(Tabela6[[#This Row],[UF]],'BASE CC'!B:C,2,0)="SP",IF(Tabela6[[#This Row],[OPERADORA]]="TIM","SP TIM","SPI"),VLOOKUP(Tabela6[[#This Row],[UF]],'BASE CC'!B:C,2,0))</f>
        <v>#N/A</v>
      </c>
      <c r="B364" s="36" t="e">
        <f>VLOOKUP(Tabela_Base_Financeiro[[#This Row],[Item code]],'COD.FAT'!B:C,2,0)</f>
        <v>#N/A</v>
      </c>
      <c r="C364" s="292">
        <f>Tabela_Base_Financeiro[[#This Row],[PO Ship TO]]</f>
        <v>0</v>
      </c>
      <c r="D364" s="36" t="str">
        <f>RIGHT(Tabela_Base_Financeiro[[#This Row],[Manufacturer]],2)</f>
        <v/>
      </c>
      <c r="E36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64" s="122" t="e">
        <f>VLOOKUP(Tabela_Base_Financeiro[[#This Row],[Project Code]],'COD. PROJETOS'!B:D,3,0)</f>
        <v>#N/A</v>
      </c>
      <c r="G364" s="36">
        <f>IFERROR(Tabela_Base_Financeiro[[#This Row],[PO No,]],0)</f>
        <v>0</v>
      </c>
      <c r="H364" s="36">
        <f>IFERROR(Tabela_Base_Financeiro[[#This Row],[Line No,]],0)</f>
        <v>0</v>
      </c>
      <c r="I364" s="36" t="str">
        <f>IFERROR(MID(Tabela_Base_Financeiro[[#This Row],[Manufacturer]],19,14),"")</f>
        <v/>
      </c>
      <c r="J364" s="113">
        <f>IFERROR(Tabela_Base_Financeiro[[#This Row],[Item code]],0)</f>
        <v>0</v>
      </c>
      <c r="K364" s="293">
        <f>IFERROR(Tabela_Base_Financeiro[[#This Row],[Unit Price]],0)</f>
        <v>0</v>
      </c>
      <c r="L364" s="36">
        <f>IFERROR(Tabela_Base_Financeiro[[#This Row],[AC Qty,]],0)</f>
        <v>0</v>
      </c>
      <c r="M364" s="60">
        <f>Tabela6[[#This Row],[Qty]]*Tabela6[[#This Row],[Preço]]</f>
        <v>0</v>
      </c>
      <c r="N364" s="37">
        <f>IFERROR(Tabela_Base_Financeiro[[#This Row],[Proportion]],0)</f>
        <v>0</v>
      </c>
      <c r="O364" s="60">
        <f>Tabela6[[#This Row],[Proporção]]*Tabela6[[#This Row],[Total]]</f>
        <v>0</v>
      </c>
      <c r="P364" s="9"/>
      <c r="Q364"/>
      <c r="R364" s="59"/>
      <c r="S364" s="1"/>
    </row>
    <row r="365" spans="1:19">
      <c r="A365" s="122" t="e">
        <f>IF(VLOOKUP(Tabela6[[#This Row],[UF]],'BASE CC'!B:C,2,0)="SP",IF(Tabela6[[#This Row],[OPERADORA]]="TIM","SP TIM","SPI"),VLOOKUP(Tabela6[[#This Row],[UF]],'BASE CC'!B:C,2,0))</f>
        <v>#N/A</v>
      </c>
      <c r="B365" s="36" t="e">
        <f>VLOOKUP(Tabela_Base_Financeiro[[#This Row],[Item code]],'COD.FAT'!B:C,2,0)</f>
        <v>#N/A</v>
      </c>
      <c r="C365" s="292">
        <f>Tabela_Base_Financeiro[[#This Row],[PO Ship TO]]</f>
        <v>0</v>
      </c>
      <c r="D365" s="36" t="str">
        <f>RIGHT(Tabela_Base_Financeiro[[#This Row],[Manufacturer]],2)</f>
        <v/>
      </c>
      <c r="E36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65" s="122" t="e">
        <f>VLOOKUP(Tabela_Base_Financeiro[[#This Row],[Project Code]],'COD. PROJETOS'!B:D,3,0)</f>
        <v>#N/A</v>
      </c>
      <c r="G365" s="36">
        <f>IFERROR(Tabela_Base_Financeiro[[#This Row],[PO No,]],0)</f>
        <v>0</v>
      </c>
      <c r="H365" s="36">
        <f>IFERROR(Tabela_Base_Financeiro[[#This Row],[Line No,]],0)</f>
        <v>0</v>
      </c>
      <c r="I365" s="36" t="str">
        <f>IFERROR(MID(Tabela_Base_Financeiro[[#This Row],[Manufacturer]],19,14),"")</f>
        <v/>
      </c>
      <c r="J365" s="113">
        <f>IFERROR(Tabela_Base_Financeiro[[#This Row],[Item code]],0)</f>
        <v>0</v>
      </c>
      <c r="K365" s="293">
        <f>IFERROR(Tabela_Base_Financeiro[[#This Row],[Unit Price]],0)</f>
        <v>0</v>
      </c>
      <c r="L365" s="36">
        <f>IFERROR(Tabela_Base_Financeiro[[#This Row],[AC Qty,]],0)</f>
        <v>0</v>
      </c>
      <c r="M365" s="60">
        <f>Tabela6[[#This Row],[Qty]]*Tabela6[[#This Row],[Preço]]</f>
        <v>0</v>
      </c>
      <c r="N365" s="37">
        <f>IFERROR(Tabela_Base_Financeiro[[#This Row],[Proportion]],0)</f>
        <v>0</v>
      </c>
      <c r="O365" s="60">
        <f>Tabela6[[#This Row],[Proporção]]*Tabela6[[#This Row],[Total]]</f>
        <v>0</v>
      </c>
      <c r="P365" s="9"/>
      <c r="Q365"/>
      <c r="R365" s="59"/>
      <c r="S365" s="1"/>
    </row>
    <row r="366" spans="1:19">
      <c r="A366" s="122" t="e">
        <f>IF(VLOOKUP(Tabela6[[#This Row],[UF]],'BASE CC'!B:C,2,0)="SP",IF(Tabela6[[#This Row],[OPERADORA]]="TIM","SP TIM","SPI"),VLOOKUP(Tabela6[[#This Row],[UF]],'BASE CC'!B:C,2,0))</f>
        <v>#N/A</v>
      </c>
      <c r="B366" s="36" t="e">
        <f>VLOOKUP(Tabela_Base_Financeiro[[#This Row],[Item code]],'COD.FAT'!B:C,2,0)</f>
        <v>#N/A</v>
      </c>
      <c r="C366" s="292">
        <f>Tabela_Base_Financeiro[[#This Row],[PO Ship TO]]</f>
        <v>0</v>
      </c>
      <c r="D366" s="36" t="str">
        <f>RIGHT(Tabela_Base_Financeiro[[#This Row],[Manufacturer]],2)</f>
        <v/>
      </c>
      <c r="E36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66" s="122" t="e">
        <f>VLOOKUP(Tabela_Base_Financeiro[[#This Row],[Project Code]],'COD. PROJETOS'!B:D,3,0)</f>
        <v>#N/A</v>
      </c>
      <c r="G366" s="36">
        <f>IFERROR(Tabela_Base_Financeiro[[#This Row],[PO No,]],0)</f>
        <v>0</v>
      </c>
      <c r="H366" s="36">
        <f>IFERROR(Tabela_Base_Financeiro[[#This Row],[Line No,]],0)</f>
        <v>0</v>
      </c>
      <c r="I366" s="36" t="str">
        <f>IFERROR(MID(Tabela_Base_Financeiro[[#This Row],[Manufacturer]],19,14),"")</f>
        <v/>
      </c>
      <c r="J366" s="113">
        <f>IFERROR(Tabela_Base_Financeiro[[#This Row],[Item code]],0)</f>
        <v>0</v>
      </c>
      <c r="K366" s="293">
        <f>IFERROR(Tabela_Base_Financeiro[[#This Row],[Unit Price]],0)</f>
        <v>0</v>
      </c>
      <c r="L366" s="36">
        <f>IFERROR(Tabela_Base_Financeiro[[#This Row],[AC Qty,]],0)</f>
        <v>0</v>
      </c>
      <c r="M366" s="60">
        <f>Tabela6[[#This Row],[Qty]]*Tabela6[[#This Row],[Preço]]</f>
        <v>0</v>
      </c>
      <c r="N366" s="37">
        <f>IFERROR(Tabela_Base_Financeiro[[#This Row],[Proportion]],0)</f>
        <v>0</v>
      </c>
      <c r="O366" s="60">
        <f>Tabela6[[#This Row],[Proporção]]*Tabela6[[#This Row],[Total]]</f>
        <v>0</v>
      </c>
      <c r="P366" s="9"/>
      <c r="Q366"/>
      <c r="R366" s="59"/>
      <c r="S366" s="1"/>
    </row>
    <row r="367" spans="1:19">
      <c r="A367" s="122" t="e">
        <f>IF(VLOOKUP(Tabela6[[#This Row],[UF]],'BASE CC'!B:C,2,0)="SP",IF(Tabela6[[#This Row],[OPERADORA]]="TIM","SP TIM","SPI"),VLOOKUP(Tabela6[[#This Row],[UF]],'BASE CC'!B:C,2,0))</f>
        <v>#N/A</v>
      </c>
      <c r="B367" s="36" t="e">
        <f>VLOOKUP(Tabela_Base_Financeiro[[#This Row],[Item code]],'COD.FAT'!B:C,2,0)</f>
        <v>#N/A</v>
      </c>
      <c r="C367" s="292">
        <f>Tabela_Base_Financeiro[[#This Row],[PO Ship TO]]</f>
        <v>0</v>
      </c>
      <c r="D367" s="36" t="str">
        <f>RIGHT(Tabela_Base_Financeiro[[#This Row],[Manufacturer]],2)</f>
        <v/>
      </c>
      <c r="E36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67" s="122" t="e">
        <f>VLOOKUP(Tabela_Base_Financeiro[[#This Row],[Project Code]],'COD. PROJETOS'!B:D,3,0)</f>
        <v>#N/A</v>
      </c>
      <c r="G367" s="36">
        <f>IFERROR(Tabela_Base_Financeiro[[#This Row],[PO No,]],0)</f>
        <v>0</v>
      </c>
      <c r="H367" s="36">
        <f>IFERROR(Tabela_Base_Financeiro[[#This Row],[Line No,]],0)</f>
        <v>0</v>
      </c>
      <c r="I367" s="36" t="str">
        <f>IFERROR(MID(Tabela_Base_Financeiro[[#This Row],[Manufacturer]],19,14),"")</f>
        <v/>
      </c>
      <c r="J367" s="113">
        <f>IFERROR(Tabela_Base_Financeiro[[#This Row],[Item code]],0)</f>
        <v>0</v>
      </c>
      <c r="K367" s="293">
        <f>IFERROR(Tabela_Base_Financeiro[[#This Row],[Unit Price]],0)</f>
        <v>0</v>
      </c>
      <c r="L367" s="36">
        <f>IFERROR(Tabela_Base_Financeiro[[#This Row],[AC Qty,]],0)</f>
        <v>0</v>
      </c>
      <c r="M367" s="60">
        <f>Tabela6[[#This Row],[Qty]]*Tabela6[[#This Row],[Preço]]</f>
        <v>0</v>
      </c>
      <c r="N367" s="37">
        <f>IFERROR(Tabela_Base_Financeiro[[#This Row],[Proportion]],0)</f>
        <v>0</v>
      </c>
      <c r="O367" s="60">
        <f>Tabela6[[#This Row],[Proporção]]*Tabela6[[#This Row],[Total]]</f>
        <v>0</v>
      </c>
      <c r="P367" s="9"/>
      <c r="Q367"/>
      <c r="R367" s="59"/>
      <c r="S367" s="1"/>
    </row>
    <row r="368" spans="1:19">
      <c r="A368" s="122" t="e">
        <f>IF(VLOOKUP(Tabela6[[#This Row],[UF]],'BASE CC'!B:C,2,0)="SP",IF(Tabela6[[#This Row],[OPERADORA]]="TIM","SP TIM","SPI"),VLOOKUP(Tabela6[[#This Row],[UF]],'BASE CC'!B:C,2,0))</f>
        <v>#N/A</v>
      </c>
      <c r="B368" s="36" t="e">
        <f>VLOOKUP(Tabela_Base_Financeiro[[#This Row],[Item code]],'COD.FAT'!B:C,2,0)</f>
        <v>#N/A</v>
      </c>
      <c r="C368" s="292">
        <f>Tabela_Base_Financeiro[[#This Row],[PO Ship TO]]</f>
        <v>0</v>
      </c>
      <c r="D368" s="36" t="str">
        <f>RIGHT(Tabela_Base_Financeiro[[#This Row],[Manufacturer]],2)</f>
        <v/>
      </c>
      <c r="E36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68" s="122" t="e">
        <f>VLOOKUP(Tabela_Base_Financeiro[[#This Row],[Project Code]],'COD. PROJETOS'!B:D,3,0)</f>
        <v>#N/A</v>
      </c>
      <c r="G368" s="36">
        <f>IFERROR(Tabela_Base_Financeiro[[#This Row],[PO No,]],0)</f>
        <v>0</v>
      </c>
      <c r="H368" s="36">
        <f>IFERROR(Tabela_Base_Financeiro[[#This Row],[Line No,]],0)</f>
        <v>0</v>
      </c>
      <c r="I368" s="36" t="str">
        <f>IFERROR(MID(Tabela_Base_Financeiro[[#This Row],[Manufacturer]],19,14),"")</f>
        <v/>
      </c>
      <c r="J368" s="113">
        <f>IFERROR(Tabela_Base_Financeiro[[#This Row],[Item code]],0)</f>
        <v>0</v>
      </c>
      <c r="K368" s="293">
        <f>IFERROR(Tabela_Base_Financeiro[[#This Row],[Unit Price]],0)</f>
        <v>0</v>
      </c>
      <c r="L368" s="36">
        <f>IFERROR(Tabela_Base_Financeiro[[#This Row],[AC Qty,]],0)</f>
        <v>0</v>
      </c>
      <c r="M368" s="60">
        <f>Tabela6[[#This Row],[Qty]]*Tabela6[[#This Row],[Preço]]</f>
        <v>0</v>
      </c>
      <c r="N368" s="37">
        <f>IFERROR(Tabela_Base_Financeiro[[#This Row],[Proportion]],0)</f>
        <v>0</v>
      </c>
      <c r="O368" s="60">
        <f>Tabela6[[#This Row],[Proporção]]*Tabela6[[#This Row],[Total]]</f>
        <v>0</v>
      </c>
      <c r="P368" s="9"/>
      <c r="Q368"/>
      <c r="R368" s="59"/>
      <c r="S368" s="1"/>
    </row>
    <row r="369" spans="1:19">
      <c r="A369" s="122" t="e">
        <f>IF(VLOOKUP(Tabela6[[#This Row],[UF]],'BASE CC'!B:C,2,0)="SP",IF(Tabela6[[#This Row],[OPERADORA]]="TIM","SP TIM","SPI"),VLOOKUP(Tabela6[[#This Row],[UF]],'BASE CC'!B:C,2,0))</f>
        <v>#N/A</v>
      </c>
      <c r="B369" s="36" t="e">
        <f>VLOOKUP(Tabela_Base_Financeiro[[#This Row],[Item code]],'COD.FAT'!B:C,2,0)</f>
        <v>#N/A</v>
      </c>
      <c r="C369" s="292">
        <f>Tabela_Base_Financeiro[[#This Row],[PO Ship TO]]</f>
        <v>0</v>
      </c>
      <c r="D369" s="36" t="str">
        <f>RIGHT(Tabela_Base_Financeiro[[#This Row],[Manufacturer]],2)</f>
        <v/>
      </c>
      <c r="E36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69" s="122" t="e">
        <f>VLOOKUP(Tabela_Base_Financeiro[[#This Row],[Project Code]],'COD. PROJETOS'!B:D,3,0)</f>
        <v>#N/A</v>
      </c>
      <c r="G369" s="36">
        <f>IFERROR(Tabela_Base_Financeiro[[#This Row],[PO No,]],0)</f>
        <v>0</v>
      </c>
      <c r="H369" s="36">
        <f>IFERROR(Tabela_Base_Financeiro[[#This Row],[Line No,]],0)</f>
        <v>0</v>
      </c>
      <c r="I369" s="36" t="str">
        <f>IFERROR(MID(Tabela_Base_Financeiro[[#This Row],[Manufacturer]],19,14),"")</f>
        <v/>
      </c>
      <c r="J369" s="113">
        <f>IFERROR(Tabela_Base_Financeiro[[#This Row],[Item code]],0)</f>
        <v>0</v>
      </c>
      <c r="K369" s="293">
        <f>IFERROR(Tabela_Base_Financeiro[[#This Row],[Unit Price]],0)</f>
        <v>0</v>
      </c>
      <c r="L369" s="36">
        <f>IFERROR(Tabela_Base_Financeiro[[#This Row],[AC Qty,]],0)</f>
        <v>0</v>
      </c>
      <c r="M369" s="60">
        <f>Tabela6[[#This Row],[Qty]]*Tabela6[[#This Row],[Preço]]</f>
        <v>0</v>
      </c>
      <c r="N369" s="37">
        <f>IFERROR(Tabela_Base_Financeiro[[#This Row],[Proportion]],0)</f>
        <v>0</v>
      </c>
      <c r="O369" s="60">
        <f>Tabela6[[#This Row],[Proporção]]*Tabela6[[#This Row],[Total]]</f>
        <v>0</v>
      </c>
      <c r="P369" s="9"/>
      <c r="Q369"/>
      <c r="R369" s="59"/>
      <c r="S369" s="1"/>
    </row>
    <row r="370" spans="1:19">
      <c r="A370" s="122" t="e">
        <f>IF(VLOOKUP(Tabela6[[#This Row],[UF]],'BASE CC'!B:C,2,0)="SP",IF(Tabela6[[#This Row],[OPERADORA]]="TIM","SP TIM","SPI"),VLOOKUP(Tabela6[[#This Row],[UF]],'BASE CC'!B:C,2,0))</f>
        <v>#N/A</v>
      </c>
      <c r="B370" s="36" t="e">
        <f>VLOOKUP(Tabela_Base_Financeiro[[#This Row],[Item code]],'COD.FAT'!B:C,2,0)</f>
        <v>#N/A</v>
      </c>
      <c r="C370" s="292">
        <f>Tabela_Base_Financeiro[[#This Row],[PO Ship TO]]</f>
        <v>0</v>
      </c>
      <c r="D370" s="36" t="str">
        <f>RIGHT(Tabela_Base_Financeiro[[#This Row],[Manufacturer]],2)</f>
        <v/>
      </c>
      <c r="E37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70" s="122" t="e">
        <f>VLOOKUP(Tabela_Base_Financeiro[[#This Row],[Project Code]],'COD. PROJETOS'!B:D,3,0)</f>
        <v>#N/A</v>
      </c>
      <c r="G370" s="36">
        <f>IFERROR(Tabela_Base_Financeiro[[#This Row],[PO No,]],0)</f>
        <v>0</v>
      </c>
      <c r="H370" s="36">
        <f>IFERROR(Tabela_Base_Financeiro[[#This Row],[Line No,]],0)</f>
        <v>0</v>
      </c>
      <c r="I370" s="36" t="str">
        <f>IFERROR(MID(Tabela_Base_Financeiro[[#This Row],[Manufacturer]],19,14),"")</f>
        <v/>
      </c>
      <c r="J370" s="113">
        <f>IFERROR(Tabela_Base_Financeiro[[#This Row],[Item code]],0)</f>
        <v>0</v>
      </c>
      <c r="K370" s="293">
        <f>IFERROR(Tabela_Base_Financeiro[[#This Row],[Unit Price]],0)</f>
        <v>0</v>
      </c>
      <c r="L370" s="36">
        <f>IFERROR(Tabela_Base_Financeiro[[#This Row],[AC Qty,]],0)</f>
        <v>0</v>
      </c>
      <c r="M370" s="60">
        <f>Tabela6[[#This Row],[Qty]]*Tabela6[[#This Row],[Preço]]</f>
        <v>0</v>
      </c>
      <c r="N370" s="37">
        <f>IFERROR(Tabela_Base_Financeiro[[#This Row],[Proportion]],0)</f>
        <v>0</v>
      </c>
      <c r="O370" s="60">
        <f>Tabela6[[#This Row],[Proporção]]*Tabela6[[#This Row],[Total]]</f>
        <v>0</v>
      </c>
      <c r="P370" s="9"/>
      <c r="Q370"/>
      <c r="R370" s="59"/>
      <c r="S370" s="1"/>
    </row>
    <row r="371" spans="1:19">
      <c r="A371" s="122" t="e">
        <f>IF(VLOOKUP(Tabela6[[#This Row],[UF]],'BASE CC'!B:C,2,0)="SP",IF(Tabela6[[#This Row],[OPERADORA]]="TIM","SP TIM","SPI"),VLOOKUP(Tabela6[[#This Row],[UF]],'BASE CC'!B:C,2,0))</f>
        <v>#N/A</v>
      </c>
      <c r="B371" s="36" t="e">
        <f>VLOOKUP(Tabela_Base_Financeiro[[#This Row],[Item code]],'COD.FAT'!B:C,2,0)</f>
        <v>#N/A</v>
      </c>
      <c r="C371" s="292">
        <f>Tabela_Base_Financeiro[[#This Row],[PO Ship TO]]</f>
        <v>0</v>
      </c>
      <c r="D371" s="36" t="str">
        <f>RIGHT(Tabela_Base_Financeiro[[#This Row],[Manufacturer]],2)</f>
        <v/>
      </c>
      <c r="E37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71" s="122" t="e">
        <f>VLOOKUP(Tabela_Base_Financeiro[[#This Row],[Project Code]],'COD. PROJETOS'!B:D,3,0)</f>
        <v>#N/A</v>
      </c>
      <c r="G371" s="36">
        <f>IFERROR(Tabela_Base_Financeiro[[#This Row],[PO No,]],0)</f>
        <v>0</v>
      </c>
      <c r="H371" s="36">
        <f>IFERROR(Tabela_Base_Financeiro[[#This Row],[Line No,]],0)</f>
        <v>0</v>
      </c>
      <c r="I371" s="36" t="str">
        <f>IFERROR(MID(Tabela_Base_Financeiro[[#This Row],[Manufacturer]],19,14),"")</f>
        <v/>
      </c>
      <c r="J371" s="113">
        <f>IFERROR(Tabela_Base_Financeiro[[#This Row],[Item code]],0)</f>
        <v>0</v>
      </c>
      <c r="K371" s="293">
        <f>IFERROR(Tabela_Base_Financeiro[[#This Row],[Unit Price]],0)</f>
        <v>0</v>
      </c>
      <c r="L371" s="36">
        <f>IFERROR(Tabela_Base_Financeiro[[#This Row],[AC Qty,]],0)</f>
        <v>0</v>
      </c>
      <c r="M371" s="60">
        <f>Tabela6[[#This Row],[Qty]]*Tabela6[[#This Row],[Preço]]</f>
        <v>0</v>
      </c>
      <c r="N371" s="37">
        <f>IFERROR(Tabela_Base_Financeiro[[#This Row],[Proportion]],0)</f>
        <v>0</v>
      </c>
      <c r="O371" s="60">
        <f>Tabela6[[#This Row],[Proporção]]*Tabela6[[#This Row],[Total]]</f>
        <v>0</v>
      </c>
      <c r="P371" s="9"/>
      <c r="Q371"/>
      <c r="R371" s="59"/>
      <c r="S371" s="1"/>
    </row>
    <row r="372" spans="1:19">
      <c r="A372" s="122" t="e">
        <f>IF(VLOOKUP(Tabela6[[#This Row],[UF]],'BASE CC'!B:C,2,0)="SP",IF(Tabela6[[#This Row],[OPERADORA]]="TIM","SP TIM","SPI"),VLOOKUP(Tabela6[[#This Row],[UF]],'BASE CC'!B:C,2,0))</f>
        <v>#N/A</v>
      </c>
      <c r="B372" s="36" t="e">
        <f>VLOOKUP(Tabela_Base_Financeiro[[#This Row],[Item code]],'COD.FAT'!B:C,2,0)</f>
        <v>#N/A</v>
      </c>
      <c r="C372" s="292">
        <f>Tabela_Base_Financeiro[[#This Row],[PO Ship TO]]</f>
        <v>0</v>
      </c>
      <c r="D372" s="36" t="str">
        <f>RIGHT(Tabela_Base_Financeiro[[#This Row],[Manufacturer]],2)</f>
        <v/>
      </c>
      <c r="E37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72" s="122" t="e">
        <f>VLOOKUP(Tabela_Base_Financeiro[[#This Row],[Project Code]],'COD. PROJETOS'!B:D,3,0)</f>
        <v>#N/A</v>
      </c>
      <c r="G372" s="36">
        <f>IFERROR(Tabela_Base_Financeiro[[#This Row],[PO No,]],0)</f>
        <v>0</v>
      </c>
      <c r="H372" s="36">
        <f>IFERROR(Tabela_Base_Financeiro[[#This Row],[Line No,]],0)</f>
        <v>0</v>
      </c>
      <c r="I372" s="36" t="str">
        <f>IFERROR(MID(Tabela_Base_Financeiro[[#This Row],[Manufacturer]],19,14),"")</f>
        <v/>
      </c>
      <c r="J372" s="113">
        <f>IFERROR(Tabela_Base_Financeiro[[#This Row],[Item code]],0)</f>
        <v>0</v>
      </c>
      <c r="K372" s="293">
        <f>IFERROR(Tabela_Base_Financeiro[[#This Row],[Unit Price]],0)</f>
        <v>0</v>
      </c>
      <c r="L372" s="36">
        <f>IFERROR(Tabela_Base_Financeiro[[#This Row],[AC Qty,]],0)</f>
        <v>0</v>
      </c>
      <c r="M372" s="60">
        <f>Tabela6[[#This Row],[Qty]]*Tabela6[[#This Row],[Preço]]</f>
        <v>0</v>
      </c>
      <c r="N372" s="37">
        <f>IFERROR(Tabela_Base_Financeiro[[#This Row],[Proportion]],0)</f>
        <v>0</v>
      </c>
      <c r="O372" s="60">
        <f>Tabela6[[#This Row],[Proporção]]*Tabela6[[#This Row],[Total]]</f>
        <v>0</v>
      </c>
      <c r="P372" s="9"/>
      <c r="Q372"/>
      <c r="R372" s="59"/>
      <c r="S372" s="1"/>
    </row>
    <row r="373" spans="1:19">
      <c r="A373" s="122" t="e">
        <f>IF(VLOOKUP(Tabela6[[#This Row],[UF]],'BASE CC'!B:C,2,0)="SP",IF(Tabela6[[#This Row],[OPERADORA]]="TIM","SP TIM","SPI"),VLOOKUP(Tabela6[[#This Row],[UF]],'BASE CC'!B:C,2,0))</f>
        <v>#N/A</v>
      </c>
      <c r="B373" s="36" t="e">
        <f>VLOOKUP(Tabela_Base_Financeiro[[#This Row],[Item code]],'COD.FAT'!B:C,2,0)</f>
        <v>#N/A</v>
      </c>
      <c r="C373" s="292">
        <f>Tabela_Base_Financeiro[[#This Row],[PO Ship TO]]</f>
        <v>0</v>
      </c>
      <c r="D373" s="36" t="str">
        <f>RIGHT(Tabela_Base_Financeiro[[#This Row],[Manufacturer]],2)</f>
        <v/>
      </c>
      <c r="E37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73" s="122" t="e">
        <f>VLOOKUP(Tabela_Base_Financeiro[[#This Row],[Project Code]],'COD. PROJETOS'!B:D,3,0)</f>
        <v>#N/A</v>
      </c>
      <c r="G373" s="36">
        <f>IFERROR(Tabela_Base_Financeiro[[#This Row],[PO No,]],0)</f>
        <v>0</v>
      </c>
      <c r="H373" s="36">
        <f>IFERROR(Tabela_Base_Financeiro[[#This Row],[Line No,]],0)</f>
        <v>0</v>
      </c>
      <c r="I373" s="36" t="str">
        <f>IFERROR(MID(Tabela_Base_Financeiro[[#This Row],[Manufacturer]],19,14),"")</f>
        <v/>
      </c>
      <c r="J373" s="113">
        <f>IFERROR(Tabela_Base_Financeiro[[#This Row],[Item code]],0)</f>
        <v>0</v>
      </c>
      <c r="K373" s="293">
        <f>IFERROR(Tabela_Base_Financeiro[[#This Row],[Unit Price]],0)</f>
        <v>0</v>
      </c>
      <c r="L373" s="36">
        <f>IFERROR(Tabela_Base_Financeiro[[#This Row],[AC Qty,]],0)</f>
        <v>0</v>
      </c>
      <c r="M373" s="60">
        <f>Tabela6[[#This Row],[Qty]]*Tabela6[[#This Row],[Preço]]</f>
        <v>0</v>
      </c>
      <c r="N373" s="37">
        <f>IFERROR(Tabela_Base_Financeiro[[#This Row],[Proportion]],0)</f>
        <v>0</v>
      </c>
      <c r="O373" s="60">
        <f>Tabela6[[#This Row],[Proporção]]*Tabela6[[#This Row],[Total]]</f>
        <v>0</v>
      </c>
      <c r="P373" s="9"/>
      <c r="Q373"/>
      <c r="R373" s="59"/>
      <c r="S373" s="1"/>
    </row>
    <row r="374" spans="1:19">
      <c r="A374" s="122" t="e">
        <f>IF(VLOOKUP(Tabela6[[#This Row],[UF]],'BASE CC'!B:C,2,0)="SP",IF(Tabela6[[#This Row],[OPERADORA]]="TIM","SP TIM","SPI"),VLOOKUP(Tabela6[[#This Row],[UF]],'BASE CC'!B:C,2,0))</f>
        <v>#N/A</v>
      </c>
      <c r="B374" s="36" t="e">
        <f>VLOOKUP(Tabela_Base_Financeiro[[#This Row],[Item code]],'COD.FAT'!B:C,2,0)</f>
        <v>#N/A</v>
      </c>
      <c r="C374" s="292">
        <f>Tabela_Base_Financeiro[[#This Row],[PO Ship TO]]</f>
        <v>0</v>
      </c>
      <c r="D374" s="36" t="str">
        <f>RIGHT(Tabela_Base_Financeiro[[#This Row],[Manufacturer]],2)</f>
        <v/>
      </c>
      <c r="E37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74" s="122" t="e">
        <f>VLOOKUP(Tabela_Base_Financeiro[[#This Row],[Project Code]],'COD. PROJETOS'!B:D,3,0)</f>
        <v>#N/A</v>
      </c>
      <c r="G374" s="36">
        <f>IFERROR(Tabela_Base_Financeiro[[#This Row],[PO No,]],0)</f>
        <v>0</v>
      </c>
      <c r="H374" s="36">
        <f>IFERROR(Tabela_Base_Financeiro[[#This Row],[Line No,]],0)</f>
        <v>0</v>
      </c>
      <c r="I374" s="36" t="str">
        <f>IFERROR(MID(Tabela_Base_Financeiro[[#This Row],[Manufacturer]],19,14),"")</f>
        <v/>
      </c>
      <c r="J374" s="113">
        <f>IFERROR(Tabela_Base_Financeiro[[#This Row],[Item code]],0)</f>
        <v>0</v>
      </c>
      <c r="K374" s="293">
        <f>IFERROR(Tabela_Base_Financeiro[[#This Row],[Unit Price]],0)</f>
        <v>0</v>
      </c>
      <c r="L374" s="36">
        <f>IFERROR(Tabela_Base_Financeiro[[#This Row],[AC Qty,]],0)</f>
        <v>0</v>
      </c>
      <c r="M374" s="60">
        <f>Tabela6[[#This Row],[Qty]]*Tabela6[[#This Row],[Preço]]</f>
        <v>0</v>
      </c>
      <c r="N374" s="37">
        <f>IFERROR(Tabela_Base_Financeiro[[#This Row],[Proportion]],0)</f>
        <v>0</v>
      </c>
      <c r="O374" s="60">
        <f>Tabela6[[#This Row],[Proporção]]*Tabela6[[#This Row],[Total]]</f>
        <v>0</v>
      </c>
      <c r="P374" s="9"/>
      <c r="Q374"/>
      <c r="R374" s="59"/>
      <c r="S374" s="1"/>
    </row>
    <row r="375" spans="1:19">
      <c r="A375" s="122" t="e">
        <f>IF(VLOOKUP(Tabela6[[#This Row],[UF]],'BASE CC'!B:C,2,0)="SP",IF(Tabela6[[#This Row],[OPERADORA]]="TIM","SP TIM","SPI"),VLOOKUP(Tabela6[[#This Row],[UF]],'BASE CC'!B:C,2,0))</f>
        <v>#N/A</v>
      </c>
      <c r="B375" s="36" t="e">
        <f>VLOOKUP(Tabela_Base_Financeiro[[#This Row],[Item code]],'COD.FAT'!B:C,2,0)</f>
        <v>#N/A</v>
      </c>
      <c r="C375" s="292">
        <f>Tabela_Base_Financeiro[[#This Row],[PO Ship TO]]</f>
        <v>0</v>
      </c>
      <c r="D375" s="36" t="str">
        <f>RIGHT(Tabela_Base_Financeiro[[#This Row],[Manufacturer]],2)</f>
        <v/>
      </c>
      <c r="E37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75" s="122" t="e">
        <f>VLOOKUP(Tabela_Base_Financeiro[[#This Row],[Project Code]],'COD. PROJETOS'!B:D,3,0)</f>
        <v>#N/A</v>
      </c>
      <c r="G375" s="36">
        <f>IFERROR(Tabela_Base_Financeiro[[#This Row],[PO No,]],0)</f>
        <v>0</v>
      </c>
      <c r="H375" s="36">
        <f>IFERROR(Tabela_Base_Financeiro[[#This Row],[Line No,]],0)</f>
        <v>0</v>
      </c>
      <c r="I375" s="36" t="str">
        <f>IFERROR(MID(Tabela_Base_Financeiro[[#This Row],[Manufacturer]],19,14),"")</f>
        <v/>
      </c>
      <c r="J375" s="113">
        <f>IFERROR(Tabela_Base_Financeiro[[#This Row],[Item code]],0)</f>
        <v>0</v>
      </c>
      <c r="K375" s="293">
        <f>IFERROR(Tabela_Base_Financeiro[[#This Row],[Unit Price]],0)</f>
        <v>0</v>
      </c>
      <c r="L375" s="36">
        <f>IFERROR(Tabela_Base_Financeiro[[#This Row],[AC Qty,]],0)</f>
        <v>0</v>
      </c>
      <c r="M375" s="60">
        <f>Tabela6[[#This Row],[Qty]]*Tabela6[[#This Row],[Preço]]</f>
        <v>0</v>
      </c>
      <c r="N375" s="37">
        <f>IFERROR(Tabela_Base_Financeiro[[#This Row],[Proportion]],0)</f>
        <v>0</v>
      </c>
      <c r="O375" s="60">
        <f>Tabela6[[#This Row],[Proporção]]*Tabela6[[#This Row],[Total]]</f>
        <v>0</v>
      </c>
      <c r="P375" s="9"/>
      <c r="Q375"/>
      <c r="R375" s="59"/>
      <c r="S375" s="1"/>
    </row>
    <row r="376" spans="1:19">
      <c r="A376" s="122" t="e">
        <f>IF(VLOOKUP(Tabela6[[#This Row],[UF]],'BASE CC'!B:C,2,0)="SP",IF(Tabela6[[#This Row],[OPERADORA]]="TIM","SP TIM","SPI"),VLOOKUP(Tabela6[[#This Row],[UF]],'BASE CC'!B:C,2,0))</f>
        <v>#N/A</v>
      </c>
      <c r="B376" s="36" t="e">
        <f>VLOOKUP(Tabela_Base_Financeiro[[#This Row],[Item code]],'COD.FAT'!B:C,2,0)</f>
        <v>#N/A</v>
      </c>
      <c r="C376" s="292">
        <f>Tabela_Base_Financeiro[[#This Row],[PO Ship TO]]</f>
        <v>0</v>
      </c>
      <c r="D376" s="36" t="str">
        <f>RIGHT(Tabela_Base_Financeiro[[#This Row],[Manufacturer]],2)</f>
        <v/>
      </c>
      <c r="E37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76" s="122" t="e">
        <f>VLOOKUP(Tabela_Base_Financeiro[[#This Row],[Project Code]],'COD. PROJETOS'!B:D,3,0)</f>
        <v>#N/A</v>
      </c>
      <c r="G376" s="36">
        <f>IFERROR(Tabela_Base_Financeiro[[#This Row],[PO No,]],0)</f>
        <v>0</v>
      </c>
      <c r="H376" s="36">
        <f>IFERROR(Tabela_Base_Financeiro[[#This Row],[Line No,]],0)</f>
        <v>0</v>
      </c>
      <c r="I376" s="36" t="str">
        <f>IFERROR(MID(Tabela_Base_Financeiro[[#This Row],[Manufacturer]],19,14),"")</f>
        <v/>
      </c>
      <c r="J376" s="113">
        <f>IFERROR(Tabela_Base_Financeiro[[#This Row],[Item code]],0)</f>
        <v>0</v>
      </c>
      <c r="K376" s="293">
        <f>IFERROR(Tabela_Base_Financeiro[[#This Row],[Unit Price]],0)</f>
        <v>0</v>
      </c>
      <c r="L376" s="36">
        <f>IFERROR(Tabela_Base_Financeiro[[#This Row],[AC Qty,]],0)</f>
        <v>0</v>
      </c>
      <c r="M376" s="60">
        <f>Tabela6[[#This Row],[Qty]]*Tabela6[[#This Row],[Preço]]</f>
        <v>0</v>
      </c>
      <c r="N376" s="37">
        <f>IFERROR(Tabela_Base_Financeiro[[#This Row],[Proportion]],0)</f>
        <v>0</v>
      </c>
      <c r="O376" s="60">
        <f>Tabela6[[#This Row],[Proporção]]*Tabela6[[#This Row],[Total]]</f>
        <v>0</v>
      </c>
      <c r="P376" s="9"/>
      <c r="Q376"/>
      <c r="R376" s="59"/>
      <c r="S376" s="1"/>
    </row>
    <row r="377" spans="1:19">
      <c r="A377" s="122" t="e">
        <f>IF(VLOOKUP(Tabela6[[#This Row],[UF]],'BASE CC'!B:C,2,0)="SP",IF(Tabela6[[#This Row],[OPERADORA]]="TIM","SP TIM","SPI"),VLOOKUP(Tabela6[[#This Row],[UF]],'BASE CC'!B:C,2,0))</f>
        <v>#N/A</v>
      </c>
      <c r="B377" s="36" t="e">
        <f>VLOOKUP(Tabela_Base_Financeiro[[#This Row],[Item code]],'COD.FAT'!B:C,2,0)</f>
        <v>#N/A</v>
      </c>
      <c r="C377" s="292">
        <f>Tabela_Base_Financeiro[[#This Row],[PO Ship TO]]</f>
        <v>0</v>
      </c>
      <c r="D377" s="36" t="str">
        <f>RIGHT(Tabela_Base_Financeiro[[#This Row],[Manufacturer]],2)</f>
        <v/>
      </c>
      <c r="E37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77" s="122" t="e">
        <f>VLOOKUP(Tabela_Base_Financeiro[[#This Row],[Project Code]],'COD. PROJETOS'!B:D,3,0)</f>
        <v>#N/A</v>
      </c>
      <c r="G377" s="36">
        <f>IFERROR(Tabela_Base_Financeiro[[#This Row],[PO No,]],0)</f>
        <v>0</v>
      </c>
      <c r="H377" s="36">
        <f>IFERROR(Tabela_Base_Financeiro[[#This Row],[Line No,]],0)</f>
        <v>0</v>
      </c>
      <c r="I377" s="36" t="str">
        <f>IFERROR(MID(Tabela_Base_Financeiro[[#This Row],[Manufacturer]],19,14),"")</f>
        <v/>
      </c>
      <c r="J377" s="113">
        <f>IFERROR(Tabela_Base_Financeiro[[#This Row],[Item code]],0)</f>
        <v>0</v>
      </c>
      <c r="K377" s="293">
        <f>IFERROR(Tabela_Base_Financeiro[[#This Row],[Unit Price]],0)</f>
        <v>0</v>
      </c>
      <c r="L377" s="36">
        <f>IFERROR(Tabela_Base_Financeiro[[#This Row],[AC Qty,]],0)</f>
        <v>0</v>
      </c>
      <c r="M377" s="60">
        <f>Tabela6[[#This Row],[Qty]]*Tabela6[[#This Row],[Preço]]</f>
        <v>0</v>
      </c>
      <c r="N377" s="37">
        <f>IFERROR(Tabela_Base_Financeiro[[#This Row],[Proportion]],0)</f>
        <v>0</v>
      </c>
      <c r="O377" s="60">
        <f>Tabela6[[#This Row],[Proporção]]*Tabela6[[#This Row],[Total]]</f>
        <v>0</v>
      </c>
      <c r="P377" s="9"/>
      <c r="Q377"/>
      <c r="R377" s="59"/>
      <c r="S377" s="1"/>
    </row>
    <row r="378" spans="1:19">
      <c r="A378" s="122" t="e">
        <f>IF(VLOOKUP(Tabela6[[#This Row],[UF]],'BASE CC'!B:C,2,0)="SP",IF(Tabela6[[#This Row],[OPERADORA]]="TIM","SP TIM","SPI"),VLOOKUP(Tabela6[[#This Row],[UF]],'BASE CC'!B:C,2,0))</f>
        <v>#N/A</v>
      </c>
      <c r="B378" s="36" t="e">
        <f>VLOOKUP(Tabela_Base_Financeiro[[#This Row],[Item code]],'COD.FAT'!B:C,2,0)</f>
        <v>#N/A</v>
      </c>
      <c r="C378" s="292">
        <f>Tabela_Base_Financeiro[[#This Row],[PO Ship TO]]</f>
        <v>0</v>
      </c>
      <c r="D378" s="36" t="str">
        <f>RIGHT(Tabela_Base_Financeiro[[#This Row],[Manufacturer]],2)</f>
        <v/>
      </c>
      <c r="E37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78" s="122" t="e">
        <f>VLOOKUP(Tabela_Base_Financeiro[[#This Row],[Project Code]],'COD. PROJETOS'!B:D,3,0)</f>
        <v>#N/A</v>
      </c>
      <c r="G378" s="36">
        <f>IFERROR(Tabela_Base_Financeiro[[#This Row],[PO No,]],0)</f>
        <v>0</v>
      </c>
      <c r="H378" s="36">
        <f>IFERROR(Tabela_Base_Financeiro[[#This Row],[Line No,]],0)</f>
        <v>0</v>
      </c>
      <c r="I378" s="36" t="str">
        <f>IFERROR(MID(Tabela_Base_Financeiro[[#This Row],[Manufacturer]],19,14),"")</f>
        <v/>
      </c>
      <c r="J378" s="113">
        <f>IFERROR(Tabela_Base_Financeiro[[#This Row],[Item code]],0)</f>
        <v>0</v>
      </c>
      <c r="K378" s="293">
        <f>IFERROR(Tabela_Base_Financeiro[[#This Row],[Unit Price]],0)</f>
        <v>0</v>
      </c>
      <c r="L378" s="36">
        <f>IFERROR(Tabela_Base_Financeiro[[#This Row],[AC Qty,]],0)</f>
        <v>0</v>
      </c>
      <c r="M378" s="60">
        <f>Tabela6[[#This Row],[Qty]]*Tabela6[[#This Row],[Preço]]</f>
        <v>0</v>
      </c>
      <c r="N378" s="37">
        <f>IFERROR(Tabela_Base_Financeiro[[#This Row],[Proportion]],0)</f>
        <v>0</v>
      </c>
      <c r="O378" s="60">
        <f>Tabela6[[#This Row],[Proporção]]*Tabela6[[#This Row],[Total]]</f>
        <v>0</v>
      </c>
      <c r="P378" s="9"/>
      <c r="Q378"/>
      <c r="R378" s="59"/>
      <c r="S378" s="1"/>
    </row>
    <row r="379" spans="1:19">
      <c r="A379" s="122" t="e">
        <f>IF(VLOOKUP(Tabela6[[#This Row],[UF]],'BASE CC'!B:C,2,0)="SP",IF(Tabela6[[#This Row],[OPERADORA]]="TIM","SP TIM","SPI"),VLOOKUP(Tabela6[[#This Row],[UF]],'BASE CC'!B:C,2,0))</f>
        <v>#N/A</v>
      </c>
      <c r="B379" s="36" t="e">
        <f>VLOOKUP(Tabela_Base_Financeiro[[#This Row],[Item code]],'COD.FAT'!B:C,2,0)</f>
        <v>#N/A</v>
      </c>
      <c r="C379" s="292">
        <f>Tabela_Base_Financeiro[[#This Row],[PO Ship TO]]</f>
        <v>0</v>
      </c>
      <c r="D379" s="36" t="str">
        <f>RIGHT(Tabela_Base_Financeiro[[#This Row],[Manufacturer]],2)</f>
        <v/>
      </c>
      <c r="E37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79" s="122" t="e">
        <f>VLOOKUP(Tabela_Base_Financeiro[[#This Row],[Project Code]],'COD. PROJETOS'!B:D,3,0)</f>
        <v>#N/A</v>
      </c>
      <c r="G379" s="36">
        <f>IFERROR(Tabela_Base_Financeiro[[#This Row],[PO No,]],0)</f>
        <v>0</v>
      </c>
      <c r="H379" s="36">
        <f>IFERROR(Tabela_Base_Financeiro[[#This Row],[Line No,]],0)</f>
        <v>0</v>
      </c>
      <c r="I379" s="36" t="str">
        <f>IFERROR(MID(Tabela_Base_Financeiro[[#This Row],[Manufacturer]],19,14),"")</f>
        <v/>
      </c>
      <c r="J379" s="113">
        <f>IFERROR(Tabela_Base_Financeiro[[#This Row],[Item code]],0)</f>
        <v>0</v>
      </c>
      <c r="K379" s="293">
        <f>IFERROR(Tabela_Base_Financeiro[[#This Row],[Unit Price]],0)</f>
        <v>0</v>
      </c>
      <c r="L379" s="36">
        <f>IFERROR(Tabela_Base_Financeiro[[#This Row],[AC Qty,]],0)</f>
        <v>0</v>
      </c>
      <c r="M379" s="60">
        <f>Tabela6[[#This Row],[Qty]]*Tabela6[[#This Row],[Preço]]</f>
        <v>0</v>
      </c>
      <c r="N379" s="37">
        <f>IFERROR(Tabela_Base_Financeiro[[#This Row],[Proportion]],0)</f>
        <v>0</v>
      </c>
      <c r="O379" s="60">
        <f>Tabela6[[#This Row],[Proporção]]*Tabela6[[#This Row],[Total]]</f>
        <v>0</v>
      </c>
      <c r="P379" s="9"/>
      <c r="Q379"/>
      <c r="R379" s="59"/>
      <c r="S379" s="1"/>
    </row>
    <row r="380" spans="1:19">
      <c r="A380" s="122" t="e">
        <f>IF(VLOOKUP(Tabela6[[#This Row],[UF]],'BASE CC'!B:C,2,0)="SP",IF(Tabela6[[#This Row],[OPERADORA]]="TIM","SP TIM","SPI"),VLOOKUP(Tabela6[[#This Row],[UF]],'BASE CC'!B:C,2,0))</f>
        <v>#N/A</v>
      </c>
      <c r="B380" s="36" t="e">
        <f>VLOOKUP(Tabela_Base_Financeiro[[#This Row],[Item code]],'COD.FAT'!B:C,2,0)</f>
        <v>#N/A</v>
      </c>
      <c r="C380" s="292">
        <f>Tabela_Base_Financeiro[[#This Row],[PO Ship TO]]</f>
        <v>0</v>
      </c>
      <c r="D380" s="36" t="str">
        <f>RIGHT(Tabela_Base_Financeiro[[#This Row],[Manufacturer]],2)</f>
        <v/>
      </c>
      <c r="E38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80" s="122" t="e">
        <f>VLOOKUP(Tabela_Base_Financeiro[[#This Row],[Project Code]],'COD. PROJETOS'!B:D,3,0)</f>
        <v>#N/A</v>
      </c>
      <c r="G380" s="36">
        <f>IFERROR(Tabela_Base_Financeiro[[#This Row],[PO No,]],0)</f>
        <v>0</v>
      </c>
      <c r="H380" s="36">
        <f>IFERROR(Tabela_Base_Financeiro[[#This Row],[Line No,]],0)</f>
        <v>0</v>
      </c>
      <c r="I380" s="36" t="str">
        <f>IFERROR(MID(Tabela_Base_Financeiro[[#This Row],[Manufacturer]],19,14),"")</f>
        <v/>
      </c>
      <c r="J380" s="113">
        <f>IFERROR(Tabela_Base_Financeiro[[#This Row],[Item code]],0)</f>
        <v>0</v>
      </c>
      <c r="K380" s="293">
        <f>IFERROR(Tabela_Base_Financeiro[[#This Row],[Unit Price]],0)</f>
        <v>0</v>
      </c>
      <c r="L380" s="36">
        <f>IFERROR(Tabela_Base_Financeiro[[#This Row],[AC Qty,]],0)</f>
        <v>0</v>
      </c>
      <c r="M380" s="60">
        <f>Tabela6[[#This Row],[Qty]]*Tabela6[[#This Row],[Preço]]</f>
        <v>0</v>
      </c>
      <c r="N380" s="37">
        <f>IFERROR(Tabela_Base_Financeiro[[#This Row],[Proportion]],0)</f>
        <v>0</v>
      </c>
      <c r="O380" s="60">
        <f>Tabela6[[#This Row],[Proporção]]*Tabela6[[#This Row],[Total]]</f>
        <v>0</v>
      </c>
      <c r="P380" s="9"/>
      <c r="Q380"/>
      <c r="R380" s="59"/>
      <c r="S380" s="1"/>
    </row>
    <row r="381" spans="1:19">
      <c r="A381" s="122" t="e">
        <f>IF(VLOOKUP(Tabela6[[#This Row],[UF]],'BASE CC'!B:C,2,0)="SP",IF(Tabela6[[#This Row],[OPERADORA]]="TIM","SP TIM","SPI"),VLOOKUP(Tabela6[[#This Row],[UF]],'BASE CC'!B:C,2,0))</f>
        <v>#N/A</v>
      </c>
      <c r="B381" s="36" t="e">
        <f>VLOOKUP(Tabela_Base_Financeiro[[#This Row],[Item code]],'COD.FAT'!B:C,2,0)</f>
        <v>#N/A</v>
      </c>
      <c r="C381" s="292">
        <f>Tabela_Base_Financeiro[[#This Row],[PO Ship TO]]</f>
        <v>0</v>
      </c>
      <c r="D381" s="36" t="str">
        <f>RIGHT(Tabela_Base_Financeiro[[#This Row],[Manufacturer]],2)</f>
        <v/>
      </c>
      <c r="E38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81" s="122" t="e">
        <f>VLOOKUP(Tabela_Base_Financeiro[[#This Row],[Project Code]],'COD. PROJETOS'!B:D,3,0)</f>
        <v>#N/A</v>
      </c>
      <c r="G381" s="36">
        <f>IFERROR(Tabela_Base_Financeiro[[#This Row],[PO No,]],0)</f>
        <v>0</v>
      </c>
      <c r="H381" s="36">
        <f>IFERROR(Tabela_Base_Financeiro[[#This Row],[Line No,]],0)</f>
        <v>0</v>
      </c>
      <c r="I381" s="36" t="str">
        <f>IFERROR(MID(Tabela_Base_Financeiro[[#This Row],[Manufacturer]],19,14),"")</f>
        <v/>
      </c>
      <c r="J381" s="113">
        <f>IFERROR(Tabela_Base_Financeiro[[#This Row],[Item code]],0)</f>
        <v>0</v>
      </c>
      <c r="K381" s="293">
        <f>IFERROR(Tabela_Base_Financeiro[[#This Row],[Unit Price]],0)</f>
        <v>0</v>
      </c>
      <c r="L381" s="36">
        <f>IFERROR(Tabela_Base_Financeiro[[#This Row],[AC Qty,]],0)</f>
        <v>0</v>
      </c>
      <c r="M381" s="60">
        <f>Tabela6[[#This Row],[Qty]]*Tabela6[[#This Row],[Preço]]</f>
        <v>0</v>
      </c>
      <c r="N381" s="37">
        <f>IFERROR(Tabela_Base_Financeiro[[#This Row],[Proportion]],0)</f>
        <v>0</v>
      </c>
      <c r="O381" s="60">
        <f>Tabela6[[#This Row],[Proporção]]*Tabela6[[#This Row],[Total]]</f>
        <v>0</v>
      </c>
      <c r="P381" s="9"/>
      <c r="Q381"/>
      <c r="R381" s="59"/>
      <c r="S381" s="1"/>
    </row>
    <row r="382" spans="1:19">
      <c r="A382" s="122" t="e">
        <f>IF(VLOOKUP(Tabela6[[#This Row],[UF]],'BASE CC'!B:C,2,0)="SP",IF(Tabela6[[#This Row],[OPERADORA]]="TIM","SP TIM","SPI"),VLOOKUP(Tabela6[[#This Row],[UF]],'BASE CC'!B:C,2,0))</f>
        <v>#N/A</v>
      </c>
      <c r="B382" s="36" t="e">
        <f>VLOOKUP(Tabela_Base_Financeiro[[#This Row],[Item code]],'COD.FAT'!B:C,2,0)</f>
        <v>#N/A</v>
      </c>
      <c r="C382" s="292">
        <f>Tabela_Base_Financeiro[[#This Row],[PO Ship TO]]</f>
        <v>0</v>
      </c>
      <c r="D382" s="36" t="str">
        <f>RIGHT(Tabela_Base_Financeiro[[#This Row],[Manufacturer]],2)</f>
        <v/>
      </c>
      <c r="E38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82" s="122" t="e">
        <f>VLOOKUP(Tabela_Base_Financeiro[[#This Row],[Project Code]],'COD. PROJETOS'!B:D,3,0)</f>
        <v>#N/A</v>
      </c>
      <c r="G382" s="36">
        <f>IFERROR(Tabela_Base_Financeiro[[#This Row],[PO No,]],0)</f>
        <v>0</v>
      </c>
      <c r="H382" s="36">
        <f>IFERROR(Tabela_Base_Financeiro[[#This Row],[Line No,]],0)</f>
        <v>0</v>
      </c>
      <c r="I382" s="36" t="str">
        <f>IFERROR(MID(Tabela_Base_Financeiro[[#This Row],[Manufacturer]],19,14),"")</f>
        <v/>
      </c>
      <c r="J382" s="113">
        <f>IFERROR(Tabela_Base_Financeiro[[#This Row],[Item code]],0)</f>
        <v>0</v>
      </c>
      <c r="K382" s="293">
        <f>IFERROR(Tabela_Base_Financeiro[[#This Row],[Unit Price]],0)</f>
        <v>0</v>
      </c>
      <c r="L382" s="36">
        <f>IFERROR(Tabela_Base_Financeiro[[#This Row],[AC Qty,]],0)</f>
        <v>0</v>
      </c>
      <c r="M382" s="60">
        <f>Tabela6[[#This Row],[Qty]]*Tabela6[[#This Row],[Preço]]</f>
        <v>0</v>
      </c>
      <c r="N382" s="37">
        <f>IFERROR(Tabela_Base_Financeiro[[#This Row],[Proportion]],0)</f>
        <v>0</v>
      </c>
      <c r="O382" s="60">
        <f>Tabela6[[#This Row],[Proporção]]*Tabela6[[#This Row],[Total]]</f>
        <v>0</v>
      </c>
      <c r="P382" s="9"/>
      <c r="Q382"/>
      <c r="R382" s="59"/>
      <c r="S382" s="1"/>
    </row>
    <row r="383" spans="1:19">
      <c r="A383" s="122" t="e">
        <f>IF(VLOOKUP(Tabela6[[#This Row],[UF]],'BASE CC'!B:C,2,0)="SP",IF(Tabela6[[#This Row],[OPERADORA]]="TIM","SP TIM","SPI"),VLOOKUP(Tabela6[[#This Row],[UF]],'BASE CC'!B:C,2,0))</f>
        <v>#N/A</v>
      </c>
      <c r="B383" s="36" t="e">
        <f>VLOOKUP(Tabela_Base_Financeiro[[#This Row],[Item code]],'COD.FAT'!B:C,2,0)</f>
        <v>#N/A</v>
      </c>
      <c r="C383" s="292">
        <f>Tabela_Base_Financeiro[[#This Row],[PO Ship TO]]</f>
        <v>0</v>
      </c>
      <c r="D383" s="36" t="str">
        <f>RIGHT(Tabela_Base_Financeiro[[#This Row],[Manufacturer]],2)</f>
        <v/>
      </c>
      <c r="E38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83" s="122" t="e">
        <f>VLOOKUP(Tabela_Base_Financeiro[[#This Row],[Project Code]],'COD. PROJETOS'!B:D,3,0)</f>
        <v>#N/A</v>
      </c>
      <c r="G383" s="36">
        <f>IFERROR(Tabela_Base_Financeiro[[#This Row],[PO No,]],0)</f>
        <v>0</v>
      </c>
      <c r="H383" s="36">
        <f>IFERROR(Tabela_Base_Financeiro[[#This Row],[Line No,]],0)</f>
        <v>0</v>
      </c>
      <c r="I383" s="36" t="str">
        <f>IFERROR(MID(Tabela_Base_Financeiro[[#This Row],[Manufacturer]],19,14),"")</f>
        <v/>
      </c>
      <c r="J383" s="113">
        <f>IFERROR(Tabela_Base_Financeiro[[#This Row],[Item code]],0)</f>
        <v>0</v>
      </c>
      <c r="K383" s="293">
        <f>IFERROR(Tabela_Base_Financeiro[[#This Row],[Unit Price]],0)</f>
        <v>0</v>
      </c>
      <c r="L383" s="36">
        <f>IFERROR(Tabela_Base_Financeiro[[#This Row],[AC Qty,]],0)</f>
        <v>0</v>
      </c>
      <c r="M383" s="60">
        <f>Tabela6[[#This Row],[Qty]]*Tabela6[[#This Row],[Preço]]</f>
        <v>0</v>
      </c>
      <c r="N383" s="37">
        <f>IFERROR(Tabela_Base_Financeiro[[#This Row],[Proportion]],0)</f>
        <v>0</v>
      </c>
      <c r="O383" s="60">
        <f>Tabela6[[#This Row],[Proporção]]*Tabela6[[#This Row],[Total]]</f>
        <v>0</v>
      </c>
      <c r="P383" s="9"/>
      <c r="Q383"/>
      <c r="R383" s="59"/>
      <c r="S383" s="1"/>
    </row>
    <row r="384" spans="1:19">
      <c r="A384" s="122" t="e">
        <f>IF(VLOOKUP(Tabela6[[#This Row],[UF]],'BASE CC'!B:C,2,0)="SP",IF(Tabela6[[#This Row],[OPERADORA]]="TIM","SP TIM","SPI"),VLOOKUP(Tabela6[[#This Row],[UF]],'BASE CC'!B:C,2,0))</f>
        <v>#N/A</v>
      </c>
      <c r="B384" s="36" t="e">
        <f>VLOOKUP(Tabela_Base_Financeiro[[#This Row],[Item code]],'COD.FAT'!B:C,2,0)</f>
        <v>#N/A</v>
      </c>
      <c r="C384" s="292">
        <f>Tabela_Base_Financeiro[[#This Row],[PO Ship TO]]</f>
        <v>0</v>
      </c>
      <c r="D384" s="36" t="str">
        <f>RIGHT(Tabela_Base_Financeiro[[#This Row],[Manufacturer]],2)</f>
        <v/>
      </c>
      <c r="E38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84" s="122" t="e">
        <f>VLOOKUP(Tabela_Base_Financeiro[[#This Row],[Project Code]],'COD. PROJETOS'!B:D,3,0)</f>
        <v>#N/A</v>
      </c>
      <c r="G384" s="36">
        <f>IFERROR(Tabela_Base_Financeiro[[#This Row],[PO No,]],0)</f>
        <v>0</v>
      </c>
      <c r="H384" s="36">
        <f>IFERROR(Tabela_Base_Financeiro[[#This Row],[Line No,]],0)</f>
        <v>0</v>
      </c>
      <c r="I384" s="36" t="str">
        <f>IFERROR(MID(Tabela_Base_Financeiro[[#This Row],[Manufacturer]],19,14),"")</f>
        <v/>
      </c>
      <c r="J384" s="113">
        <f>IFERROR(Tabela_Base_Financeiro[[#This Row],[Item code]],0)</f>
        <v>0</v>
      </c>
      <c r="K384" s="293">
        <f>IFERROR(Tabela_Base_Financeiro[[#This Row],[Unit Price]],0)</f>
        <v>0</v>
      </c>
      <c r="L384" s="36">
        <f>IFERROR(Tabela_Base_Financeiro[[#This Row],[AC Qty,]],0)</f>
        <v>0</v>
      </c>
      <c r="M384" s="60">
        <f>Tabela6[[#This Row],[Qty]]*Tabela6[[#This Row],[Preço]]</f>
        <v>0</v>
      </c>
      <c r="N384" s="37">
        <f>IFERROR(Tabela_Base_Financeiro[[#This Row],[Proportion]],0)</f>
        <v>0</v>
      </c>
      <c r="O384" s="60">
        <f>Tabela6[[#This Row],[Proporção]]*Tabela6[[#This Row],[Total]]</f>
        <v>0</v>
      </c>
      <c r="P384" s="9"/>
      <c r="Q384"/>
      <c r="R384" s="59"/>
      <c r="S384" s="1"/>
    </row>
    <row r="385" spans="1:18">
      <c r="A385" s="122" t="e">
        <f>IF(VLOOKUP(Tabela6[[#This Row],[UF]],'BASE CC'!B:C,2,0)="SP",IF(Tabela6[[#This Row],[OPERADORA]]="TIM","SP TIM","SPI"),VLOOKUP(Tabela6[[#This Row],[UF]],'BASE CC'!B:C,2,0))</f>
        <v>#N/A</v>
      </c>
      <c r="B385" s="36" t="e">
        <f>VLOOKUP(Tabela_Base_Financeiro[[#This Row],[Item code]],'COD.FAT'!B:C,2,0)</f>
        <v>#N/A</v>
      </c>
      <c r="C385" s="292">
        <f>Tabela_Base_Financeiro[[#This Row],[PO Ship TO]]</f>
        <v>0</v>
      </c>
      <c r="D385" s="36" t="str">
        <f>RIGHT(Tabela_Base_Financeiro[[#This Row],[Manufacturer]],2)</f>
        <v/>
      </c>
      <c r="E38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85" s="122" t="e">
        <f>VLOOKUP(Tabela_Base_Financeiro[[#This Row],[Project Code]],'COD. PROJETOS'!B:D,3,0)</f>
        <v>#N/A</v>
      </c>
      <c r="G385" s="36">
        <f>IFERROR(Tabela_Base_Financeiro[[#This Row],[PO No,]],0)</f>
        <v>0</v>
      </c>
      <c r="H385" s="36">
        <f>IFERROR(Tabela_Base_Financeiro[[#This Row],[Line No,]],0)</f>
        <v>0</v>
      </c>
      <c r="I385" s="36" t="str">
        <f>IFERROR(MID(Tabela_Base_Financeiro[[#This Row],[Manufacturer]],19,14),"")</f>
        <v/>
      </c>
      <c r="J385" s="113">
        <f>IFERROR(Tabela_Base_Financeiro[[#This Row],[Item code]],0)</f>
        <v>0</v>
      </c>
      <c r="K385" s="293">
        <f>IFERROR(Tabela_Base_Financeiro[[#This Row],[Unit Price]],0)</f>
        <v>0</v>
      </c>
      <c r="L385" s="36">
        <f>IFERROR(Tabela_Base_Financeiro[[#This Row],[AC Qty,]],0)</f>
        <v>0</v>
      </c>
      <c r="M385" s="60">
        <f>Tabela6[[#This Row],[Qty]]*Tabela6[[#This Row],[Preço]]</f>
        <v>0</v>
      </c>
      <c r="N385" s="37">
        <f>IFERROR(Tabela_Base_Financeiro[[#This Row],[Proportion]],0)</f>
        <v>0</v>
      </c>
      <c r="O385" s="60">
        <f>Tabela6[[#This Row],[Proporção]]*Tabela6[[#This Row],[Total]]</f>
        <v>0</v>
      </c>
      <c r="P385"/>
      <c r="Q385" s="59"/>
      <c r="R385" s="1"/>
    </row>
    <row r="386" spans="1:18">
      <c r="A386" s="122" t="e">
        <f>IF(VLOOKUP(Tabela6[[#This Row],[UF]],'BASE CC'!B:C,2,0)="SP",IF(Tabela6[[#This Row],[OPERADORA]]="TIM","SP TIM","SPI"),VLOOKUP(Tabela6[[#This Row],[UF]],'BASE CC'!B:C,2,0))</f>
        <v>#N/A</v>
      </c>
      <c r="B386" s="36" t="e">
        <f>VLOOKUP(Tabela_Base_Financeiro[[#This Row],[Item code]],'COD.FAT'!B:C,2,0)</f>
        <v>#N/A</v>
      </c>
      <c r="C386" s="292">
        <f>Tabela_Base_Financeiro[[#This Row],[PO Ship TO]]</f>
        <v>0</v>
      </c>
      <c r="D386" s="36" t="str">
        <f>RIGHT(Tabela_Base_Financeiro[[#This Row],[Manufacturer]],2)</f>
        <v/>
      </c>
      <c r="E38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86" s="122" t="e">
        <f>VLOOKUP(Tabela_Base_Financeiro[[#This Row],[Project Code]],'COD. PROJETOS'!B:D,3,0)</f>
        <v>#N/A</v>
      </c>
      <c r="G386" s="36">
        <f>IFERROR(Tabela_Base_Financeiro[[#This Row],[PO No,]],0)</f>
        <v>0</v>
      </c>
      <c r="H386" s="36">
        <f>IFERROR(Tabela_Base_Financeiro[[#This Row],[Line No,]],0)</f>
        <v>0</v>
      </c>
      <c r="I386" s="36" t="str">
        <f>IFERROR(MID(Tabela_Base_Financeiro[[#This Row],[Manufacturer]],19,14),"")</f>
        <v/>
      </c>
      <c r="J386" s="113">
        <f>IFERROR(Tabela_Base_Financeiro[[#This Row],[Item code]],0)</f>
        <v>0</v>
      </c>
      <c r="K386" s="293">
        <f>IFERROR(Tabela_Base_Financeiro[[#This Row],[Unit Price]],0)</f>
        <v>0</v>
      </c>
      <c r="L386" s="36">
        <f>IFERROR(Tabela_Base_Financeiro[[#This Row],[AC Qty,]],0)</f>
        <v>0</v>
      </c>
      <c r="M386" s="60">
        <f>Tabela6[[#This Row],[Qty]]*Tabela6[[#This Row],[Preço]]</f>
        <v>0</v>
      </c>
      <c r="N386" s="37">
        <f>IFERROR(Tabela_Base_Financeiro[[#This Row],[Proportion]],0)</f>
        <v>0</v>
      </c>
      <c r="O386" s="60">
        <f>Tabela6[[#This Row],[Proporção]]*Tabela6[[#This Row],[Total]]</f>
        <v>0</v>
      </c>
      <c r="P386"/>
      <c r="Q386" s="59"/>
      <c r="R386" s="1"/>
    </row>
    <row r="387" spans="1:18">
      <c r="A387" s="122" t="e">
        <f>IF(VLOOKUP(Tabela6[[#This Row],[UF]],'BASE CC'!B:C,2,0)="SP",IF(Tabela6[[#This Row],[OPERADORA]]="TIM","SP TIM","SPI"),VLOOKUP(Tabela6[[#This Row],[UF]],'BASE CC'!B:C,2,0))</f>
        <v>#N/A</v>
      </c>
      <c r="B387" s="36" t="e">
        <f>VLOOKUP(Tabela_Base_Financeiro[[#This Row],[Item code]],'COD.FAT'!B:C,2,0)</f>
        <v>#N/A</v>
      </c>
      <c r="C387" s="292">
        <f>Tabela_Base_Financeiro[[#This Row],[PO Ship TO]]</f>
        <v>0</v>
      </c>
      <c r="D387" s="36" t="str">
        <f>RIGHT(Tabela_Base_Financeiro[[#This Row],[Manufacturer]],2)</f>
        <v/>
      </c>
      <c r="E38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87" s="122" t="e">
        <f>VLOOKUP(Tabela_Base_Financeiro[[#This Row],[Project Code]],'COD. PROJETOS'!B:D,3,0)</f>
        <v>#N/A</v>
      </c>
      <c r="G387" s="36">
        <f>IFERROR(Tabela_Base_Financeiro[[#This Row],[PO No,]],0)</f>
        <v>0</v>
      </c>
      <c r="H387" s="36">
        <f>IFERROR(Tabela_Base_Financeiro[[#This Row],[Line No,]],0)</f>
        <v>0</v>
      </c>
      <c r="I387" s="36" t="str">
        <f>IFERROR(MID(Tabela_Base_Financeiro[[#This Row],[Manufacturer]],19,14),"")</f>
        <v/>
      </c>
      <c r="J387" s="113">
        <f>IFERROR(Tabela_Base_Financeiro[[#This Row],[Item code]],0)</f>
        <v>0</v>
      </c>
      <c r="K387" s="293">
        <f>IFERROR(Tabela_Base_Financeiro[[#This Row],[Unit Price]],0)</f>
        <v>0</v>
      </c>
      <c r="L387" s="36">
        <f>IFERROR(Tabela_Base_Financeiro[[#This Row],[AC Qty,]],0)</f>
        <v>0</v>
      </c>
      <c r="M387" s="60">
        <f>Tabela6[[#This Row],[Qty]]*Tabela6[[#This Row],[Preço]]</f>
        <v>0</v>
      </c>
      <c r="N387" s="37">
        <f>IFERROR(Tabela_Base_Financeiro[[#This Row],[Proportion]],0)</f>
        <v>0</v>
      </c>
      <c r="O387" s="60">
        <f>Tabela6[[#This Row],[Proporção]]*Tabela6[[#This Row],[Total]]</f>
        <v>0</v>
      </c>
      <c r="P387"/>
      <c r="Q387" s="59"/>
      <c r="R387" s="1"/>
    </row>
    <row r="388" spans="1:18">
      <c r="A388" s="122" t="e">
        <f>IF(VLOOKUP(Tabela6[[#This Row],[UF]],'BASE CC'!B:C,2,0)="SP",IF(Tabela6[[#This Row],[OPERADORA]]="TIM","SP TIM","SPI"),VLOOKUP(Tabela6[[#This Row],[UF]],'BASE CC'!B:C,2,0))</f>
        <v>#N/A</v>
      </c>
      <c r="B388" s="36" t="e">
        <f>VLOOKUP(Tabela_Base_Financeiro[[#This Row],[Item code]],'COD.FAT'!B:C,2,0)</f>
        <v>#N/A</v>
      </c>
      <c r="C388" s="292">
        <f>Tabela_Base_Financeiro[[#This Row],[PO Ship TO]]</f>
        <v>0</v>
      </c>
      <c r="D388" s="36" t="str">
        <f>RIGHT(Tabela_Base_Financeiro[[#This Row],[Manufacturer]],2)</f>
        <v/>
      </c>
      <c r="E38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88" s="122" t="e">
        <f>VLOOKUP(Tabela_Base_Financeiro[[#This Row],[Project Code]],'COD. PROJETOS'!B:D,3,0)</f>
        <v>#N/A</v>
      </c>
      <c r="G388" s="36">
        <f>IFERROR(Tabela_Base_Financeiro[[#This Row],[PO No,]],0)</f>
        <v>0</v>
      </c>
      <c r="H388" s="36">
        <f>IFERROR(Tabela_Base_Financeiro[[#This Row],[Line No,]],0)</f>
        <v>0</v>
      </c>
      <c r="I388" s="36" t="str">
        <f>IFERROR(MID(Tabela_Base_Financeiro[[#This Row],[Manufacturer]],19,14),"")</f>
        <v/>
      </c>
      <c r="J388" s="113">
        <f>IFERROR(Tabela_Base_Financeiro[[#This Row],[Item code]],0)</f>
        <v>0</v>
      </c>
      <c r="K388" s="293">
        <f>IFERROR(Tabela_Base_Financeiro[[#This Row],[Unit Price]],0)</f>
        <v>0</v>
      </c>
      <c r="L388" s="36">
        <f>IFERROR(Tabela_Base_Financeiro[[#This Row],[AC Qty,]],0)</f>
        <v>0</v>
      </c>
      <c r="M388" s="60">
        <f>Tabela6[[#This Row],[Qty]]*Tabela6[[#This Row],[Preço]]</f>
        <v>0</v>
      </c>
      <c r="N388" s="37">
        <f>IFERROR(Tabela_Base_Financeiro[[#This Row],[Proportion]],0)</f>
        <v>0</v>
      </c>
      <c r="O388" s="60">
        <f>Tabela6[[#This Row],[Proporção]]*Tabela6[[#This Row],[Total]]</f>
        <v>0</v>
      </c>
      <c r="P388"/>
      <c r="Q388" s="59"/>
      <c r="R388" s="1"/>
    </row>
    <row r="389" spans="1:18">
      <c r="A389" s="122" t="e">
        <f>IF(VLOOKUP(Tabela6[[#This Row],[UF]],'BASE CC'!B:C,2,0)="SP",IF(Tabela6[[#This Row],[OPERADORA]]="TIM","SP TIM","SPI"),VLOOKUP(Tabela6[[#This Row],[UF]],'BASE CC'!B:C,2,0))</f>
        <v>#N/A</v>
      </c>
      <c r="B389" s="36" t="e">
        <f>VLOOKUP(Tabela_Base_Financeiro[[#This Row],[Item code]],'COD.FAT'!B:C,2,0)</f>
        <v>#N/A</v>
      </c>
      <c r="C389" s="292">
        <f>Tabela_Base_Financeiro[[#This Row],[PO Ship TO]]</f>
        <v>0</v>
      </c>
      <c r="D389" s="36" t="str">
        <f>RIGHT(Tabela_Base_Financeiro[[#This Row],[Manufacturer]],2)</f>
        <v/>
      </c>
      <c r="E38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89" s="122" t="e">
        <f>VLOOKUP(Tabela_Base_Financeiro[[#This Row],[Project Code]],'COD. PROJETOS'!B:D,3,0)</f>
        <v>#N/A</v>
      </c>
      <c r="G389" s="36">
        <f>IFERROR(Tabela_Base_Financeiro[[#This Row],[PO No,]],0)</f>
        <v>0</v>
      </c>
      <c r="H389" s="36">
        <f>IFERROR(Tabela_Base_Financeiro[[#This Row],[Line No,]],0)</f>
        <v>0</v>
      </c>
      <c r="I389" s="36" t="str">
        <f>IFERROR(MID(Tabela_Base_Financeiro[[#This Row],[Manufacturer]],19,14),"")</f>
        <v/>
      </c>
      <c r="J389" s="113">
        <f>IFERROR(Tabela_Base_Financeiro[[#This Row],[Item code]],0)</f>
        <v>0</v>
      </c>
      <c r="K389" s="293">
        <f>IFERROR(Tabela_Base_Financeiro[[#This Row],[Unit Price]],0)</f>
        <v>0</v>
      </c>
      <c r="L389" s="36">
        <f>IFERROR(Tabela_Base_Financeiro[[#This Row],[AC Qty,]],0)</f>
        <v>0</v>
      </c>
      <c r="M389" s="60">
        <f>Tabela6[[#This Row],[Qty]]*Tabela6[[#This Row],[Preço]]</f>
        <v>0</v>
      </c>
      <c r="N389" s="37">
        <f>IFERROR(Tabela_Base_Financeiro[[#This Row],[Proportion]],0)</f>
        <v>0</v>
      </c>
      <c r="O389" s="60">
        <f>Tabela6[[#This Row],[Proporção]]*Tabela6[[#This Row],[Total]]</f>
        <v>0</v>
      </c>
      <c r="P389"/>
      <c r="Q389" s="59"/>
      <c r="R389" s="1"/>
    </row>
    <row r="390" spans="1:18">
      <c r="A390" s="122" t="e">
        <f>IF(VLOOKUP(Tabela6[[#This Row],[UF]],'BASE CC'!B:C,2,0)="SP",IF(Tabela6[[#This Row],[OPERADORA]]="TIM","SP TIM","SPI"),VLOOKUP(Tabela6[[#This Row],[UF]],'BASE CC'!B:C,2,0))</f>
        <v>#N/A</v>
      </c>
      <c r="B390" s="36" t="e">
        <f>VLOOKUP(Tabela_Base_Financeiro[[#This Row],[Item code]],'COD.FAT'!B:C,2,0)</f>
        <v>#N/A</v>
      </c>
      <c r="C390" s="292">
        <f>Tabela_Base_Financeiro[[#This Row],[PO Ship TO]]</f>
        <v>0</v>
      </c>
      <c r="D390" s="36" t="str">
        <f>RIGHT(Tabela_Base_Financeiro[[#This Row],[Manufacturer]],2)</f>
        <v/>
      </c>
      <c r="E39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90" s="122" t="e">
        <f>VLOOKUP(Tabela_Base_Financeiro[[#This Row],[Project Code]],'COD. PROJETOS'!B:D,3,0)</f>
        <v>#N/A</v>
      </c>
      <c r="G390" s="36">
        <f>IFERROR(Tabela_Base_Financeiro[[#This Row],[PO No,]],0)</f>
        <v>0</v>
      </c>
      <c r="H390" s="36">
        <f>IFERROR(Tabela_Base_Financeiro[[#This Row],[Line No,]],0)</f>
        <v>0</v>
      </c>
      <c r="I390" s="36" t="str">
        <f>IFERROR(MID(Tabela_Base_Financeiro[[#This Row],[Manufacturer]],19,14),"")</f>
        <v/>
      </c>
      <c r="J390" s="113">
        <f>IFERROR(Tabela_Base_Financeiro[[#This Row],[Item code]],0)</f>
        <v>0</v>
      </c>
      <c r="K390" s="293">
        <f>IFERROR(Tabela_Base_Financeiro[[#This Row],[Unit Price]],0)</f>
        <v>0</v>
      </c>
      <c r="L390" s="36">
        <f>IFERROR(Tabela_Base_Financeiro[[#This Row],[AC Qty,]],0)</f>
        <v>0</v>
      </c>
      <c r="M390" s="60">
        <f>Tabela6[[#This Row],[Qty]]*Tabela6[[#This Row],[Preço]]</f>
        <v>0</v>
      </c>
      <c r="N390" s="37">
        <f>IFERROR(Tabela_Base_Financeiro[[#This Row],[Proportion]],0)</f>
        <v>0</v>
      </c>
      <c r="O390" s="60">
        <f>Tabela6[[#This Row],[Proporção]]*Tabela6[[#This Row],[Total]]</f>
        <v>0</v>
      </c>
      <c r="P390"/>
      <c r="Q390" s="59"/>
      <c r="R390" s="1"/>
    </row>
    <row r="391" spans="1:18">
      <c r="A391" s="122" t="e">
        <f>IF(VLOOKUP(Tabela6[[#This Row],[UF]],'BASE CC'!B:C,2,0)="SP",IF(Tabela6[[#This Row],[OPERADORA]]="TIM","SP TIM","SPI"),VLOOKUP(Tabela6[[#This Row],[UF]],'BASE CC'!B:C,2,0))</f>
        <v>#N/A</v>
      </c>
      <c r="B391" s="36" t="e">
        <f>VLOOKUP(Tabela_Base_Financeiro[[#This Row],[Item code]],'COD.FAT'!B:C,2,0)</f>
        <v>#N/A</v>
      </c>
      <c r="C391" s="292">
        <f>Tabela_Base_Financeiro[[#This Row],[PO Ship TO]]</f>
        <v>0</v>
      </c>
      <c r="D391" s="36" t="str">
        <f>RIGHT(Tabela_Base_Financeiro[[#This Row],[Manufacturer]],2)</f>
        <v/>
      </c>
      <c r="E39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91" s="122" t="e">
        <f>VLOOKUP(Tabela_Base_Financeiro[[#This Row],[Project Code]],'COD. PROJETOS'!B:D,3,0)</f>
        <v>#N/A</v>
      </c>
      <c r="G391" s="36">
        <f>IFERROR(Tabela_Base_Financeiro[[#This Row],[PO No,]],0)</f>
        <v>0</v>
      </c>
      <c r="H391" s="36">
        <f>IFERROR(Tabela_Base_Financeiro[[#This Row],[Line No,]],0)</f>
        <v>0</v>
      </c>
      <c r="I391" s="36" t="str">
        <f>IFERROR(MID(Tabela_Base_Financeiro[[#This Row],[Manufacturer]],19,14),"")</f>
        <v/>
      </c>
      <c r="J391" s="113">
        <f>IFERROR(Tabela_Base_Financeiro[[#This Row],[Item code]],0)</f>
        <v>0</v>
      </c>
      <c r="K391" s="293">
        <f>IFERROR(Tabela_Base_Financeiro[[#This Row],[Unit Price]],0)</f>
        <v>0</v>
      </c>
      <c r="L391" s="36">
        <f>IFERROR(Tabela_Base_Financeiro[[#This Row],[AC Qty,]],0)</f>
        <v>0</v>
      </c>
      <c r="M391" s="60">
        <f>Tabela6[[#This Row],[Qty]]*Tabela6[[#This Row],[Preço]]</f>
        <v>0</v>
      </c>
      <c r="N391" s="37">
        <f>IFERROR(Tabela_Base_Financeiro[[#This Row],[Proportion]],0)</f>
        <v>0</v>
      </c>
      <c r="O391" s="60">
        <f>Tabela6[[#This Row],[Proporção]]*Tabela6[[#This Row],[Total]]</f>
        <v>0</v>
      </c>
      <c r="P391"/>
      <c r="Q391" s="59"/>
      <c r="R391" s="1"/>
    </row>
    <row r="392" spans="1:18">
      <c r="A392" s="122" t="e">
        <f>IF(VLOOKUP(Tabela6[[#This Row],[UF]],'BASE CC'!B:C,2,0)="SP",IF(Tabela6[[#This Row],[OPERADORA]]="TIM","SP TIM","SPI"),VLOOKUP(Tabela6[[#This Row],[UF]],'BASE CC'!B:C,2,0))</f>
        <v>#N/A</v>
      </c>
      <c r="B392" s="36" t="e">
        <f>VLOOKUP(Tabela_Base_Financeiro[[#This Row],[Item code]],'COD.FAT'!B:C,2,0)</f>
        <v>#N/A</v>
      </c>
      <c r="C392" s="292">
        <f>Tabela_Base_Financeiro[[#This Row],[PO Ship TO]]</f>
        <v>0</v>
      </c>
      <c r="D392" s="36" t="str">
        <f>RIGHT(Tabela_Base_Financeiro[[#This Row],[Manufacturer]],2)</f>
        <v/>
      </c>
      <c r="E39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92" s="122" t="e">
        <f>VLOOKUP(Tabela_Base_Financeiro[[#This Row],[Project Code]],'COD. PROJETOS'!B:D,3,0)</f>
        <v>#N/A</v>
      </c>
      <c r="G392" s="36">
        <f>IFERROR(Tabela_Base_Financeiro[[#This Row],[PO No,]],0)</f>
        <v>0</v>
      </c>
      <c r="H392" s="36">
        <f>IFERROR(Tabela_Base_Financeiro[[#This Row],[Line No,]],0)</f>
        <v>0</v>
      </c>
      <c r="I392" s="36" t="str">
        <f>IFERROR(MID(Tabela_Base_Financeiro[[#This Row],[Manufacturer]],19,14),"")</f>
        <v/>
      </c>
      <c r="J392" s="113">
        <f>IFERROR(Tabela_Base_Financeiro[[#This Row],[Item code]],0)</f>
        <v>0</v>
      </c>
      <c r="K392" s="293">
        <f>IFERROR(Tabela_Base_Financeiro[[#This Row],[Unit Price]],0)</f>
        <v>0</v>
      </c>
      <c r="L392" s="36">
        <f>IFERROR(Tabela_Base_Financeiro[[#This Row],[AC Qty,]],0)</f>
        <v>0</v>
      </c>
      <c r="M392" s="60">
        <f>Tabela6[[#This Row],[Qty]]*Tabela6[[#This Row],[Preço]]</f>
        <v>0</v>
      </c>
      <c r="N392" s="37">
        <f>IFERROR(Tabela_Base_Financeiro[[#This Row],[Proportion]],0)</f>
        <v>0</v>
      </c>
      <c r="O392" s="60">
        <f>Tabela6[[#This Row],[Proporção]]*Tabela6[[#This Row],[Total]]</f>
        <v>0</v>
      </c>
      <c r="P392"/>
      <c r="Q392" s="59"/>
      <c r="R392" s="1"/>
    </row>
    <row r="393" spans="1:18">
      <c r="A393" s="122" t="e">
        <f>IF(VLOOKUP(Tabela6[[#This Row],[UF]],'BASE CC'!B:C,2,0)="SP",IF(Tabela6[[#This Row],[OPERADORA]]="TIM","SP TIM","SPI"),VLOOKUP(Tabela6[[#This Row],[UF]],'BASE CC'!B:C,2,0))</f>
        <v>#N/A</v>
      </c>
      <c r="B393" s="36" t="e">
        <f>VLOOKUP(Tabela_Base_Financeiro[[#This Row],[Item code]],'COD.FAT'!B:C,2,0)</f>
        <v>#N/A</v>
      </c>
      <c r="C393" s="292">
        <f>Tabela_Base_Financeiro[[#This Row],[PO Ship TO]]</f>
        <v>0</v>
      </c>
      <c r="D393" s="36" t="str">
        <f>RIGHT(Tabela_Base_Financeiro[[#This Row],[Manufacturer]],2)</f>
        <v/>
      </c>
      <c r="E39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93" s="122" t="e">
        <f>VLOOKUP(Tabela_Base_Financeiro[[#This Row],[Project Code]],'COD. PROJETOS'!B:D,3,0)</f>
        <v>#N/A</v>
      </c>
      <c r="G393" s="36">
        <f>IFERROR(Tabela_Base_Financeiro[[#This Row],[PO No,]],0)</f>
        <v>0</v>
      </c>
      <c r="H393" s="36">
        <f>IFERROR(Tabela_Base_Financeiro[[#This Row],[Line No,]],0)</f>
        <v>0</v>
      </c>
      <c r="I393" s="36" t="str">
        <f>IFERROR(MID(Tabela_Base_Financeiro[[#This Row],[Manufacturer]],19,14),"")</f>
        <v/>
      </c>
      <c r="J393" s="113">
        <f>IFERROR(Tabela_Base_Financeiro[[#This Row],[Item code]],0)</f>
        <v>0</v>
      </c>
      <c r="K393" s="293">
        <f>IFERROR(Tabela_Base_Financeiro[[#This Row],[Unit Price]],0)</f>
        <v>0</v>
      </c>
      <c r="L393" s="36">
        <f>IFERROR(Tabela_Base_Financeiro[[#This Row],[AC Qty,]],0)</f>
        <v>0</v>
      </c>
      <c r="M393" s="60">
        <f>Tabela6[[#This Row],[Qty]]*Tabela6[[#This Row],[Preço]]</f>
        <v>0</v>
      </c>
      <c r="N393" s="37">
        <f>IFERROR(Tabela_Base_Financeiro[[#This Row],[Proportion]],0)</f>
        <v>0</v>
      </c>
      <c r="O393" s="60">
        <f>Tabela6[[#This Row],[Proporção]]*Tabela6[[#This Row],[Total]]</f>
        <v>0</v>
      </c>
      <c r="P393"/>
      <c r="Q393" s="59"/>
      <c r="R393" s="1"/>
    </row>
    <row r="394" spans="1:18">
      <c r="A394" s="122" t="e">
        <f>IF(VLOOKUP(Tabela6[[#This Row],[UF]],'BASE CC'!B:C,2,0)="SP",IF(Tabela6[[#This Row],[OPERADORA]]="TIM","SP TIM","SPI"),VLOOKUP(Tabela6[[#This Row],[UF]],'BASE CC'!B:C,2,0))</f>
        <v>#N/A</v>
      </c>
      <c r="B394" s="36" t="e">
        <f>VLOOKUP(Tabela_Base_Financeiro[[#This Row],[Item code]],'COD.FAT'!B:C,2,0)</f>
        <v>#N/A</v>
      </c>
      <c r="C394" s="292">
        <f>Tabela_Base_Financeiro[[#This Row],[PO Ship TO]]</f>
        <v>0</v>
      </c>
      <c r="D394" s="36" t="str">
        <f>RIGHT(Tabela_Base_Financeiro[[#This Row],[Manufacturer]],2)</f>
        <v/>
      </c>
      <c r="E39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94" s="122" t="e">
        <f>VLOOKUP(Tabela_Base_Financeiro[[#This Row],[Project Code]],'COD. PROJETOS'!B:D,3,0)</f>
        <v>#N/A</v>
      </c>
      <c r="G394" s="36">
        <f>IFERROR(Tabela_Base_Financeiro[[#This Row],[PO No,]],0)</f>
        <v>0</v>
      </c>
      <c r="H394" s="36">
        <f>IFERROR(Tabela_Base_Financeiro[[#This Row],[Line No,]],0)</f>
        <v>0</v>
      </c>
      <c r="I394" s="36" t="str">
        <f>IFERROR(MID(Tabela_Base_Financeiro[[#This Row],[Manufacturer]],19,14),"")</f>
        <v/>
      </c>
      <c r="J394" s="113">
        <f>IFERROR(Tabela_Base_Financeiro[[#This Row],[Item code]],0)</f>
        <v>0</v>
      </c>
      <c r="K394" s="293">
        <f>IFERROR(Tabela_Base_Financeiro[[#This Row],[Unit Price]],0)</f>
        <v>0</v>
      </c>
      <c r="L394" s="36">
        <f>IFERROR(Tabela_Base_Financeiro[[#This Row],[AC Qty,]],0)</f>
        <v>0</v>
      </c>
      <c r="M394" s="60">
        <f>Tabela6[[#This Row],[Qty]]*Tabela6[[#This Row],[Preço]]</f>
        <v>0</v>
      </c>
      <c r="N394" s="37">
        <f>IFERROR(Tabela_Base_Financeiro[[#This Row],[Proportion]],0)</f>
        <v>0</v>
      </c>
      <c r="O394" s="60">
        <f>Tabela6[[#This Row],[Proporção]]*Tabela6[[#This Row],[Total]]</f>
        <v>0</v>
      </c>
      <c r="P394"/>
      <c r="Q394" s="59"/>
      <c r="R394" s="1"/>
    </row>
    <row r="395" spans="1:18">
      <c r="A395" s="122" t="e">
        <f>IF(VLOOKUP(Tabela6[[#This Row],[UF]],'BASE CC'!B:C,2,0)="SP",IF(Tabela6[[#This Row],[OPERADORA]]="TIM","SP TIM","SPI"),VLOOKUP(Tabela6[[#This Row],[UF]],'BASE CC'!B:C,2,0))</f>
        <v>#N/A</v>
      </c>
      <c r="B395" s="36" t="e">
        <f>VLOOKUP(Tabela_Base_Financeiro[[#This Row],[Item code]],'COD.FAT'!B:C,2,0)</f>
        <v>#N/A</v>
      </c>
      <c r="C395" s="292">
        <f>Tabela_Base_Financeiro[[#This Row],[PO Ship TO]]</f>
        <v>0</v>
      </c>
      <c r="D395" s="36" t="str">
        <f>RIGHT(Tabela_Base_Financeiro[[#This Row],[Manufacturer]],2)</f>
        <v/>
      </c>
      <c r="E39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95" s="122" t="e">
        <f>VLOOKUP(Tabela_Base_Financeiro[[#This Row],[Project Code]],'COD. PROJETOS'!B:D,3,0)</f>
        <v>#N/A</v>
      </c>
      <c r="G395" s="36">
        <f>IFERROR(Tabela_Base_Financeiro[[#This Row],[PO No,]],0)</f>
        <v>0</v>
      </c>
      <c r="H395" s="36">
        <f>IFERROR(Tabela_Base_Financeiro[[#This Row],[Line No,]],0)</f>
        <v>0</v>
      </c>
      <c r="I395" s="36" t="str">
        <f>IFERROR(MID(Tabela_Base_Financeiro[[#This Row],[Manufacturer]],19,14),"")</f>
        <v/>
      </c>
      <c r="J395" s="113">
        <f>IFERROR(Tabela_Base_Financeiro[[#This Row],[Item code]],0)</f>
        <v>0</v>
      </c>
      <c r="K395" s="293">
        <f>IFERROR(Tabela_Base_Financeiro[[#This Row],[Unit Price]],0)</f>
        <v>0</v>
      </c>
      <c r="L395" s="36">
        <f>IFERROR(Tabela_Base_Financeiro[[#This Row],[AC Qty,]],0)</f>
        <v>0</v>
      </c>
      <c r="M395" s="60">
        <f>Tabela6[[#This Row],[Qty]]*Tabela6[[#This Row],[Preço]]</f>
        <v>0</v>
      </c>
      <c r="N395" s="37">
        <f>IFERROR(Tabela_Base_Financeiro[[#This Row],[Proportion]],0)</f>
        <v>0</v>
      </c>
      <c r="O395" s="60">
        <f>Tabela6[[#This Row],[Proporção]]*Tabela6[[#This Row],[Total]]</f>
        <v>0</v>
      </c>
      <c r="P395"/>
      <c r="Q395" s="59"/>
      <c r="R395" s="1"/>
    </row>
    <row r="396" spans="1:18">
      <c r="A396" s="122" t="e">
        <f>IF(VLOOKUP(Tabela6[[#This Row],[UF]],'BASE CC'!B:C,2,0)="SP",IF(Tabela6[[#This Row],[OPERADORA]]="TIM","SP TIM","SPI"),VLOOKUP(Tabela6[[#This Row],[UF]],'BASE CC'!B:C,2,0))</f>
        <v>#N/A</v>
      </c>
      <c r="B396" s="36" t="e">
        <f>VLOOKUP(Tabela_Base_Financeiro[[#This Row],[Item code]],'COD.FAT'!B:C,2,0)</f>
        <v>#N/A</v>
      </c>
      <c r="C396" s="292">
        <f>Tabela_Base_Financeiro[[#This Row],[PO Ship TO]]</f>
        <v>0</v>
      </c>
      <c r="D396" s="36" t="str">
        <f>RIGHT(Tabela_Base_Financeiro[[#This Row],[Manufacturer]],2)</f>
        <v/>
      </c>
      <c r="E39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96" s="122" t="e">
        <f>VLOOKUP(Tabela_Base_Financeiro[[#This Row],[Project Code]],'COD. PROJETOS'!B:D,3,0)</f>
        <v>#N/A</v>
      </c>
      <c r="G396" s="36">
        <f>IFERROR(Tabela_Base_Financeiro[[#This Row],[PO No,]],0)</f>
        <v>0</v>
      </c>
      <c r="H396" s="36">
        <f>IFERROR(Tabela_Base_Financeiro[[#This Row],[Line No,]],0)</f>
        <v>0</v>
      </c>
      <c r="I396" s="36" t="str">
        <f>IFERROR(MID(Tabela_Base_Financeiro[[#This Row],[Manufacturer]],19,14),"")</f>
        <v/>
      </c>
      <c r="J396" s="113">
        <f>IFERROR(Tabela_Base_Financeiro[[#This Row],[Item code]],0)</f>
        <v>0</v>
      </c>
      <c r="K396" s="293">
        <f>IFERROR(Tabela_Base_Financeiro[[#This Row],[Unit Price]],0)</f>
        <v>0</v>
      </c>
      <c r="L396" s="36">
        <f>IFERROR(Tabela_Base_Financeiro[[#This Row],[AC Qty,]],0)</f>
        <v>0</v>
      </c>
      <c r="M396" s="60">
        <f>Tabela6[[#This Row],[Qty]]*Tabela6[[#This Row],[Preço]]</f>
        <v>0</v>
      </c>
      <c r="N396" s="37">
        <f>IFERROR(Tabela_Base_Financeiro[[#This Row],[Proportion]],0)</f>
        <v>0</v>
      </c>
      <c r="O396" s="60">
        <f>Tabela6[[#This Row],[Proporção]]*Tabela6[[#This Row],[Total]]</f>
        <v>0</v>
      </c>
      <c r="P396"/>
      <c r="Q396" s="59"/>
      <c r="R396" s="1"/>
    </row>
    <row r="397" spans="1:18">
      <c r="A397" s="122" t="e">
        <f>IF(VLOOKUP(Tabela6[[#This Row],[UF]],'BASE CC'!B:C,2,0)="SP",IF(Tabela6[[#This Row],[OPERADORA]]="TIM","SP TIM","SPI"),VLOOKUP(Tabela6[[#This Row],[UF]],'BASE CC'!B:C,2,0))</f>
        <v>#N/A</v>
      </c>
      <c r="B397" s="36" t="e">
        <f>VLOOKUP(Tabela_Base_Financeiro[[#This Row],[Item code]],'COD.FAT'!B:C,2,0)</f>
        <v>#N/A</v>
      </c>
      <c r="C397" s="292">
        <f>Tabela_Base_Financeiro[[#This Row],[PO Ship TO]]</f>
        <v>0</v>
      </c>
      <c r="D397" s="36" t="str">
        <f>RIGHT(Tabela_Base_Financeiro[[#This Row],[Manufacturer]],2)</f>
        <v/>
      </c>
      <c r="E39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97" s="122" t="e">
        <f>VLOOKUP(Tabela_Base_Financeiro[[#This Row],[Project Code]],'COD. PROJETOS'!B:D,3,0)</f>
        <v>#N/A</v>
      </c>
      <c r="G397" s="36">
        <f>IFERROR(Tabela_Base_Financeiro[[#This Row],[PO No,]],0)</f>
        <v>0</v>
      </c>
      <c r="H397" s="36">
        <f>IFERROR(Tabela_Base_Financeiro[[#This Row],[Line No,]],0)</f>
        <v>0</v>
      </c>
      <c r="I397" s="36" t="str">
        <f>IFERROR(MID(Tabela_Base_Financeiro[[#This Row],[Manufacturer]],19,14),"")</f>
        <v/>
      </c>
      <c r="J397" s="113">
        <f>IFERROR(Tabela_Base_Financeiro[[#This Row],[Item code]],0)</f>
        <v>0</v>
      </c>
      <c r="K397" s="293">
        <f>IFERROR(Tabela_Base_Financeiro[[#This Row],[Unit Price]],0)</f>
        <v>0</v>
      </c>
      <c r="L397" s="36">
        <f>IFERROR(Tabela_Base_Financeiro[[#This Row],[AC Qty,]],0)</f>
        <v>0</v>
      </c>
      <c r="M397" s="60">
        <f>Tabela6[[#This Row],[Qty]]*Tabela6[[#This Row],[Preço]]</f>
        <v>0</v>
      </c>
      <c r="N397" s="37">
        <f>IFERROR(Tabela_Base_Financeiro[[#This Row],[Proportion]],0)</f>
        <v>0</v>
      </c>
      <c r="O397" s="60">
        <f>Tabela6[[#This Row],[Proporção]]*Tabela6[[#This Row],[Total]]</f>
        <v>0</v>
      </c>
      <c r="P397"/>
      <c r="Q397" s="59"/>
      <c r="R397" s="1"/>
    </row>
    <row r="398" spans="1:18">
      <c r="A398" s="122" t="e">
        <f>IF(VLOOKUP(Tabela6[[#This Row],[UF]],'BASE CC'!B:C,2,0)="SP",IF(Tabela6[[#This Row],[OPERADORA]]="TIM","SP TIM","SPI"),VLOOKUP(Tabela6[[#This Row],[UF]],'BASE CC'!B:C,2,0))</f>
        <v>#N/A</v>
      </c>
      <c r="B398" s="36" t="e">
        <f>VLOOKUP(Tabela_Base_Financeiro[[#This Row],[Item code]],'COD.FAT'!B:C,2,0)</f>
        <v>#N/A</v>
      </c>
      <c r="C398" s="292">
        <f>Tabela_Base_Financeiro[[#This Row],[PO Ship TO]]</f>
        <v>0</v>
      </c>
      <c r="D398" s="36" t="str">
        <f>RIGHT(Tabela_Base_Financeiro[[#This Row],[Manufacturer]],2)</f>
        <v/>
      </c>
      <c r="E39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98" s="122" t="e">
        <f>VLOOKUP(Tabela_Base_Financeiro[[#This Row],[Project Code]],'COD. PROJETOS'!B:D,3,0)</f>
        <v>#N/A</v>
      </c>
      <c r="G398" s="36">
        <f>IFERROR(Tabela_Base_Financeiro[[#This Row],[PO No,]],0)</f>
        <v>0</v>
      </c>
      <c r="H398" s="36">
        <f>IFERROR(Tabela_Base_Financeiro[[#This Row],[Line No,]],0)</f>
        <v>0</v>
      </c>
      <c r="I398" s="36" t="str">
        <f>IFERROR(MID(Tabela_Base_Financeiro[[#This Row],[Manufacturer]],19,14),"")</f>
        <v/>
      </c>
      <c r="J398" s="113">
        <f>IFERROR(Tabela_Base_Financeiro[[#This Row],[Item code]],0)</f>
        <v>0</v>
      </c>
      <c r="K398" s="293">
        <f>IFERROR(Tabela_Base_Financeiro[[#This Row],[Unit Price]],0)</f>
        <v>0</v>
      </c>
      <c r="L398" s="36">
        <f>IFERROR(Tabela_Base_Financeiro[[#This Row],[AC Qty,]],0)</f>
        <v>0</v>
      </c>
      <c r="M398" s="60">
        <f>Tabela6[[#This Row],[Qty]]*Tabela6[[#This Row],[Preço]]</f>
        <v>0</v>
      </c>
      <c r="N398" s="37">
        <f>IFERROR(Tabela_Base_Financeiro[[#This Row],[Proportion]],0)</f>
        <v>0</v>
      </c>
      <c r="O398" s="60">
        <f>Tabela6[[#This Row],[Proporção]]*Tabela6[[#This Row],[Total]]</f>
        <v>0</v>
      </c>
      <c r="P398"/>
      <c r="Q398" s="59"/>
      <c r="R398" s="1"/>
    </row>
    <row r="399" spans="1:18">
      <c r="A399" s="122" t="e">
        <f>IF(VLOOKUP(Tabela6[[#This Row],[UF]],'BASE CC'!B:C,2,0)="SP",IF(Tabela6[[#This Row],[OPERADORA]]="TIM","SP TIM","SPI"),VLOOKUP(Tabela6[[#This Row],[UF]],'BASE CC'!B:C,2,0))</f>
        <v>#N/A</v>
      </c>
      <c r="B399" s="36" t="e">
        <f>VLOOKUP(Tabela_Base_Financeiro[[#This Row],[Item code]],'COD.FAT'!B:C,2,0)</f>
        <v>#N/A</v>
      </c>
      <c r="C399" s="292">
        <f>Tabela_Base_Financeiro[[#This Row],[PO Ship TO]]</f>
        <v>0</v>
      </c>
      <c r="D399" s="36" t="str">
        <f>RIGHT(Tabela_Base_Financeiro[[#This Row],[Manufacturer]],2)</f>
        <v/>
      </c>
      <c r="E39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399" s="122" t="e">
        <f>VLOOKUP(Tabela_Base_Financeiro[[#This Row],[Project Code]],'COD. PROJETOS'!B:D,3,0)</f>
        <v>#N/A</v>
      </c>
      <c r="G399" s="36">
        <f>IFERROR(Tabela_Base_Financeiro[[#This Row],[PO No,]],0)</f>
        <v>0</v>
      </c>
      <c r="H399" s="36">
        <f>IFERROR(Tabela_Base_Financeiro[[#This Row],[Line No,]],0)</f>
        <v>0</v>
      </c>
      <c r="I399" s="36" t="str">
        <f>IFERROR(MID(Tabela_Base_Financeiro[[#This Row],[Manufacturer]],19,14),"")</f>
        <v/>
      </c>
      <c r="J399" s="113">
        <f>IFERROR(Tabela_Base_Financeiro[[#This Row],[Item code]],0)</f>
        <v>0</v>
      </c>
      <c r="K399" s="293">
        <f>IFERROR(Tabela_Base_Financeiro[[#This Row],[Unit Price]],0)</f>
        <v>0</v>
      </c>
      <c r="L399" s="36">
        <f>IFERROR(Tabela_Base_Financeiro[[#This Row],[AC Qty,]],0)</f>
        <v>0</v>
      </c>
      <c r="M399" s="60">
        <f>Tabela6[[#This Row],[Qty]]*Tabela6[[#This Row],[Preço]]</f>
        <v>0</v>
      </c>
      <c r="N399" s="37">
        <f>IFERROR(Tabela_Base_Financeiro[[#This Row],[Proportion]],0)</f>
        <v>0</v>
      </c>
      <c r="O399" s="60">
        <f>Tabela6[[#This Row],[Proporção]]*Tabela6[[#This Row],[Total]]</f>
        <v>0</v>
      </c>
      <c r="P399"/>
      <c r="Q399" s="59"/>
      <c r="R399" s="1"/>
    </row>
    <row r="400" spans="1:18">
      <c r="A400" s="122" t="e">
        <f>IF(VLOOKUP(Tabela6[[#This Row],[UF]],'BASE CC'!B:C,2,0)="SP",IF(Tabela6[[#This Row],[OPERADORA]]="TIM","SP TIM","SPI"),VLOOKUP(Tabela6[[#This Row],[UF]],'BASE CC'!B:C,2,0))</f>
        <v>#N/A</v>
      </c>
      <c r="B400" s="36" t="e">
        <f>VLOOKUP(Tabela_Base_Financeiro[[#This Row],[Item code]],'COD.FAT'!B:C,2,0)</f>
        <v>#N/A</v>
      </c>
      <c r="C400" s="292">
        <f>Tabela_Base_Financeiro[[#This Row],[PO Ship TO]]</f>
        <v>0</v>
      </c>
      <c r="D400" s="36" t="str">
        <f>RIGHT(Tabela_Base_Financeiro[[#This Row],[Manufacturer]],2)</f>
        <v/>
      </c>
      <c r="E40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00" s="122" t="e">
        <f>VLOOKUP(Tabela_Base_Financeiro[[#This Row],[Project Code]],'COD. PROJETOS'!B:D,3,0)</f>
        <v>#N/A</v>
      </c>
      <c r="G400" s="36">
        <f>IFERROR(Tabela_Base_Financeiro[[#This Row],[PO No,]],0)</f>
        <v>0</v>
      </c>
      <c r="H400" s="36">
        <f>IFERROR(Tabela_Base_Financeiro[[#This Row],[Line No,]],0)</f>
        <v>0</v>
      </c>
      <c r="I400" s="36" t="str">
        <f>IFERROR(MID(Tabela_Base_Financeiro[[#This Row],[Manufacturer]],19,14),"")</f>
        <v/>
      </c>
      <c r="J400" s="113">
        <f>IFERROR(Tabela_Base_Financeiro[[#This Row],[Item code]],0)</f>
        <v>0</v>
      </c>
      <c r="K400" s="293">
        <f>IFERROR(Tabela_Base_Financeiro[[#This Row],[Unit Price]],0)</f>
        <v>0</v>
      </c>
      <c r="L400" s="36">
        <f>IFERROR(Tabela_Base_Financeiro[[#This Row],[AC Qty,]],0)</f>
        <v>0</v>
      </c>
      <c r="M400" s="60">
        <f>Tabela6[[#This Row],[Qty]]*Tabela6[[#This Row],[Preço]]</f>
        <v>0</v>
      </c>
      <c r="N400" s="37">
        <f>IFERROR(Tabela_Base_Financeiro[[#This Row],[Proportion]],0)</f>
        <v>0</v>
      </c>
      <c r="O400" s="60">
        <f>Tabela6[[#This Row],[Proporção]]*Tabela6[[#This Row],[Total]]</f>
        <v>0</v>
      </c>
      <c r="P400"/>
      <c r="Q400" s="59"/>
      <c r="R400" s="1"/>
    </row>
    <row r="401" spans="1:18">
      <c r="A401" s="122" t="e">
        <f>IF(VLOOKUP(Tabela6[[#This Row],[UF]],'BASE CC'!B:C,2,0)="SP",IF(Tabela6[[#This Row],[OPERADORA]]="TIM","SP TIM","SPI"),VLOOKUP(Tabela6[[#This Row],[UF]],'BASE CC'!B:C,2,0))</f>
        <v>#N/A</v>
      </c>
      <c r="B401" s="36" t="e">
        <f>VLOOKUP(Tabela_Base_Financeiro[[#This Row],[Item code]],'COD.FAT'!B:C,2,0)</f>
        <v>#N/A</v>
      </c>
      <c r="C401" s="292">
        <f>Tabela_Base_Financeiro[[#This Row],[PO Ship TO]]</f>
        <v>0</v>
      </c>
      <c r="D401" s="36" t="str">
        <f>RIGHT(Tabela_Base_Financeiro[[#This Row],[Manufacturer]],2)</f>
        <v/>
      </c>
      <c r="E40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01" s="122" t="e">
        <f>VLOOKUP(Tabela_Base_Financeiro[[#This Row],[Project Code]],'COD. PROJETOS'!B:D,3,0)</f>
        <v>#N/A</v>
      </c>
      <c r="G401" s="36">
        <f>IFERROR(Tabela_Base_Financeiro[[#This Row],[PO No,]],0)</f>
        <v>0</v>
      </c>
      <c r="H401" s="36">
        <f>IFERROR(Tabela_Base_Financeiro[[#This Row],[Line No,]],0)</f>
        <v>0</v>
      </c>
      <c r="I401" s="36" t="str">
        <f>IFERROR(MID(Tabela_Base_Financeiro[[#This Row],[Manufacturer]],19,14),"")</f>
        <v/>
      </c>
      <c r="J401" s="113">
        <f>IFERROR(Tabela_Base_Financeiro[[#This Row],[Item code]],0)</f>
        <v>0</v>
      </c>
      <c r="K401" s="293">
        <f>IFERROR(Tabela_Base_Financeiro[[#This Row],[Unit Price]],0)</f>
        <v>0</v>
      </c>
      <c r="L401" s="36">
        <f>IFERROR(Tabela_Base_Financeiro[[#This Row],[AC Qty,]],0)</f>
        <v>0</v>
      </c>
      <c r="M401" s="60">
        <f>Tabela6[[#This Row],[Qty]]*Tabela6[[#This Row],[Preço]]</f>
        <v>0</v>
      </c>
      <c r="N401" s="37">
        <f>IFERROR(Tabela_Base_Financeiro[[#This Row],[Proportion]],0)</f>
        <v>0</v>
      </c>
      <c r="O401" s="60">
        <f>Tabela6[[#This Row],[Proporção]]*Tabela6[[#This Row],[Total]]</f>
        <v>0</v>
      </c>
      <c r="P401"/>
      <c r="Q401" s="59"/>
      <c r="R401" s="1"/>
    </row>
    <row r="402" spans="1:18">
      <c r="A402" s="122" t="e">
        <f>IF(VLOOKUP(Tabela6[[#This Row],[UF]],'BASE CC'!B:C,2,0)="SP",IF(Tabela6[[#This Row],[OPERADORA]]="TIM","SP TIM","SPI"),VLOOKUP(Tabela6[[#This Row],[UF]],'BASE CC'!B:C,2,0))</f>
        <v>#N/A</v>
      </c>
      <c r="B402" s="36" t="e">
        <f>VLOOKUP(Tabela_Base_Financeiro[[#This Row],[Item code]],'COD.FAT'!B:C,2,0)</f>
        <v>#N/A</v>
      </c>
      <c r="C402" s="292">
        <f>Tabela_Base_Financeiro[[#This Row],[PO Ship TO]]</f>
        <v>0</v>
      </c>
      <c r="D402" s="36" t="str">
        <f>RIGHT(Tabela_Base_Financeiro[[#This Row],[Manufacturer]],2)</f>
        <v/>
      </c>
      <c r="E40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02" s="122" t="e">
        <f>VLOOKUP(Tabela_Base_Financeiro[[#This Row],[Project Code]],'COD. PROJETOS'!B:D,3,0)</f>
        <v>#N/A</v>
      </c>
      <c r="G402" s="36">
        <f>IFERROR(Tabela_Base_Financeiro[[#This Row],[PO No,]],0)</f>
        <v>0</v>
      </c>
      <c r="H402" s="36">
        <f>IFERROR(Tabela_Base_Financeiro[[#This Row],[Line No,]],0)</f>
        <v>0</v>
      </c>
      <c r="I402" s="36" t="str">
        <f>IFERROR(MID(Tabela_Base_Financeiro[[#This Row],[Manufacturer]],19,14),"")</f>
        <v/>
      </c>
      <c r="J402" s="113">
        <f>IFERROR(Tabela_Base_Financeiro[[#This Row],[Item code]],0)</f>
        <v>0</v>
      </c>
      <c r="K402" s="293">
        <f>IFERROR(Tabela_Base_Financeiro[[#This Row],[Unit Price]],0)</f>
        <v>0</v>
      </c>
      <c r="L402" s="36">
        <f>IFERROR(Tabela_Base_Financeiro[[#This Row],[AC Qty,]],0)</f>
        <v>0</v>
      </c>
      <c r="M402" s="60">
        <f>Tabela6[[#This Row],[Qty]]*Tabela6[[#This Row],[Preço]]</f>
        <v>0</v>
      </c>
      <c r="N402" s="37">
        <f>IFERROR(Tabela_Base_Financeiro[[#This Row],[Proportion]],0)</f>
        <v>0</v>
      </c>
      <c r="O402" s="60">
        <f>Tabela6[[#This Row],[Proporção]]*Tabela6[[#This Row],[Total]]</f>
        <v>0</v>
      </c>
      <c r="P402"/>
      <c r="Q402" s="59"/>
      <c r="R402" s="1"/>
    </row>
    <row r="403" spans="1:18">
      <c r="A403" s="122" t="e">
        <f>IF(VLOOKUP(Tabela6[[#This Row],[UF]],'BASE CC'!B:C,2,0)="SP",IF(Tabela6[[#This Row],[OPERADORA]]="TIM","SP TIM","SPI"),VLOOKUP(Tabela6[[#This Row],[UF]],'BASE CC'!B:C,2,0))</f>
        <v>#N/A</v>
      </c>
      <c r="B403" s="36" t="e">
        <f>VLOOKUP(Tabela_Base_Financeiro[[#This Row],[Item code]],'COD.FAT'!B:C,2,0)</f>
        <v>#N/A</v>
      </c>
      <c r="C403" s="292">
        <f>Tabela_Base_Financeiro[[#This Row],[PO Ship TO]]</f>
        <v>0</v>
      </c>
      <c r="D403" s="36" t="str">
        <f>RIGHT(Tabela_Base_Financeiro[[#This Row],[Manufacturer]],2)</f>
        <v/>
      </c>
      <c r="E40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03" s="122" t="e">
        <f>VLOOKUP(Tabela_Base_Financeiro[[#This Row],[Project Code]],'COD. PROJETOS'!B:D,3,0)</f>
        <v>#N/A</v>
      </c>
      <c r="G403" s="36">
        <f>IFERROR(Tabela_Base_Financeiro[[#This Row],[PO No,]],0)</f>
        <v>0</v>
      </c>
      <c r="H403" s="36">
        <f>IFERROR(Tabela_Base_Financeiro[[#This Row],[Line No,]],0)</f>
        <v>0</v>
      </c>
      <c r="I403" s="36" t="str">
        <f>IFERROR(MID(Tabela_Base_Financeiro[[#This Row],[Manufacturer]],19,14),"")</f>
        <v/>
      </c>
      <c r="J403" s="113">
        <f>IFERROR(Tabela_Base_Financeiro[[#This Row],[Item code]],0)</f>
        <v>0</v>
      </c>
      <c r="K403" s="293">
        <f>IFERROR(Tabela_Base_Financeiro[[#This Row],[Unit Price]],0)</f>
        <v>0</v>
      </c>
      <c r="L403" s="36">
        <f>IFERROR(Tabela_Base_Financeiro[[#This Row],[AC Qty,]],0)</f>
        <v>0</v>
      </c>
      <c r="M403" s="60">
        <f>Tabela6[[#This Row],[Qty]]*Tabela6[[#This Row],[Preço]]</f>
        <v>0</v>
      </c>
      <c r="N403" s="37">
        <f>IFERROR(Tabela_Base_Financeiro[[#This Row],[Proportion]],0)</f>
        <v>0</v>
      </c>
      <c r="O403" s="60">
        <f>Tabela6[[#This Row],[Proporção]]*Tabela6[[#This Row],[Total]]</f>
        <v>0</v>
      </c>
      <c r="P403"/>
      <c r="Q403" s="59"/>
      <c r="R403" s="1"/>
    </row>
    <row r="404" spans="1:18">
      <c r="A404" s="122" t="e">
        <f>IF(VLOOKUP(Tabela6[[#This Row],[UF]],'BASE CC'!B:C,2,0)="SP",IF(Tabela6[[#This Row],[OPERADORA]]="TIM","SP TIM","SPI"),VLOOKUP(Tabela6[[#This Row],[UF]],'BASE CC'!B:C,2,0))</f>
        <v>#N/A</v>
      </c>
      <c r="B404" s="36" t="e">
        <f>VLOOKUP(Tabela_Base_Financeiro[[#This Row],[Item code]],'COD.FAT'!B:C,2,0)</f>
        <v>#N/A</v>
      </c>
      <c r="C404" s="292">
        <f>Tabela_Base_Financeiro[[#This Row],[PO Ship TO]]</f>
        <v>0</v>
      </c>
      <c r="D404" s="36" t="str">
        <f>RIGHT(Tabela_Base_Financeiro[[#This Row],[Manufacturer]],2)</f>
        <v/>
      </c>
      <c r="E40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04" s="122" t="e">
        <f>VLOOKUP(Tabela_Base_Financeiro[[#This Row],[Project Code]],'COD. PROJETOS'!B:D,3,0)</f>
        <v>#N/A</v>
      </c>
      <c r="G404" s="36">
        <f>IFERROR(Tabela_Base_Financeiro[[#This Row],[PO No,]],0)</f>
        <v>0</v>
      </c>
      <c r="H404" s="36">
        <f>IFERROR(Tabela_Base_Financeiro[[#This Row],[Line No,]],0)</f>
        <v>0</v>
      </c>
      <c r="I404" s="36" t="str">
        <f>IFERROR(MID(Tabela_Base_Financeiro[[#This Row],[Manufacturer]],19,14),"")</f>
        <v/>
      </c>
      <c r="J404" s="113">
        <f>IFERROR(Tabela_Base_Financeiro[[#This Row],[Item code]],0)</f>
        <v>0</v>
      </c>
      <c r="K404" s="293">
        <f>IFERROR(Tabela_Base_Financeiro[[#This Row],[Unit Price]],0)</f>
        <v>0</v>
      </c>
      <c r="L404" s="36">
        <f>IFERROR(Tabela_Base_Financeiro[[#This Row],[AC Qty,]],0)</f>
        <v>0</v>
      </c>
      <c r="M404" s="60">
        <f>Tabela6[[#This Row],[Qty]]*Tabela6[[#This Row],[Preço]]</f>
        <v>0</v>
      </c>
      <c r="N404" s="37">
        <f>IFERROR(Tabela_Base_Financeiro[[#This Row],[Proportion]],0)</f>
        <v>0</v>
      </c>
      <c r="O404" s="60">
        <f>Tabela6[[#This Row],[Proporção]]*Tabela6[[#This Row],[Total]]</f>
        <v>0</v>
      </c>
      <c r="P404"/>
      <c r="Q404" s="59"/>
      <c r="R404" s="1"/>
    </row>
    <row r="405" spans="1:18">
      <c r="A405" s="122" t="e">
        <f>IF(VLOOKUP(Tabela6[[#This Row],[UF]],'BASE CC'!B:C,2,0)="SP",IF(Tabela6[[#This Row],[OPERADORA]]="TIM","SP TIM","SPI"),VLOOKUP(Tabela6[[#This Row],[UF]],'BASE CC'!B:C,2,0))</f>
        <v>#N/A</v>
      </c>
      <c r="B405" s="36" t="e">
        <f>VLOOKUP(Tabela_Base_Financeiro[[#This Row],[Item code]],'COD.FAT'!B:C,2,0)</f>
        <v>#N/A</v>
      </c>
      <c r="C405" s="292">
        <f>Tabela_Base_Financeiro[[#This Row],[PO Ship TO]]</f>
        <v>0</v>
      </c>
      <c r="D405" s="36" t="str">
        <f>RIGHT(Tabela_Base_Financeiro[[#This Row],[Manufacturer]],2)</f>
        <v/>
      </c>
      <c r="E40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05" s="122" t="e">
        <f>VLOOKUP(Tabela_Base_Financeiro[[#This Row],[Project Code]],'COD. PROJETOS'!B:D,3,0)</f>
        <v>#N/A</v>
      </c>
      <c r="G405" s="36">
        <f>IFERROR(Tabela_Base_Financeiro[[#This Row],[PO No,]],0)</f>
        <v>0</v>
      </c>
      <c r="H405" s="36">
        <f>IFERROR(Tabela_Base_Financeiro[[#This Row],[Line No,]],0)</f>
        <v>0</v>
      </c>
      <c r="I405" s="36" t="str">
        <f>IFERROR(MID(Tabela_Base_Financeiro[[#This Row],[Manufacturer]],19,14),"")</f>
        <v/>
      </c>
      <c r="J405" s="113">
        <f>IFERROR(Tabela_Base_Financeiro[[#This Row],[Item code]],0)</f>
        <v>0</v>
      </c>
      <c r="K405" s="293">
        <f>IFERROR(Tabela_Base_Financeiro[[#This Row],[Unit Price]],0)</f>
        <v>0</v>
      </c>
      <c r="L405" s="36">
        <f>IFERROR(Tabela_Base_Financeiro[[#This Row],[AC Qty,]],0)</f>
        <v>0</v>
      </c>
      <c r="M405" s="60">
        <f>Tabela6[[#This Row],[Qty]]*Tabela6[[#This Row],[Preço]]</f>
        <v>0</v>
      </c>
      <c r="N405" s="37">
        <f>IFERROR(Tabela_Base_Financeiro[[#This Row],[Proportion]],0)</f>
        <v>0</v>
      </c>
      <c r="O405" s="60">
        <f>Tabela6[[#This Row],[Proporção]]*Tabela6[[#This Row],[Total]]</f>
        <v>0</v>
      </c>
      <c r="P405"/>
      <c r="Q405" s="59"/>
      <c r="R405" s="1"/>
    </row>
    <row r="406" spans="1:18">
      <c r="A406" s="122" t="e">
        <f>IF(VLOOKUP(Tabela6[[#This Row],[UF]],'BASE CC'!B:C,2,0)="SP",IF(Tabela6[[#This Row],[OPERADORA]]="TIM","SP TIM","SPI"),VLOOKUP(Tabela6[[#This Row],[UF]],'BASE CC'!B:C,2,0))</f>
        <v>#N/A</v>
      </c>
      <c r="B406" s="36" t="e">
        <f>VLOOKUP(Tabela_Base_Financeiro[[#This Row],[Item code]],'COD.FAT'!B:C,2,0)</f>
        <v>#N/A</v>
      </c>
      <c r="C406" s="292">
        <f>Tabela_Base_Financeiro[[#This Row],[PO Ship TO]]</f>
        <v>0</v>
      </c>
      <c r="D406" s="36" t="str">
        <f>RIGHT(Tabela_Base_Financeiro[[#This Row],[Manufacturer]],2)</f>
        <v/>
      </c>
      <c r="E40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06" s="122" t="e">
        <f>VLOOKUP(Tabela_Base_Financeiro[[#This Row],[Project Code]],'COD. PROJETOS'!B:D,3,0)</f>
        <v>#N/A</v>
      </c>
      <c r="G406" s="36">
        <f>IFERROR(Tabela_Base_Financeiro[[#This Row],[PO No,]],0)</f>
        <v>0</v>
      </c>
      <c r="H406" s="36">
        <f>IFERROR(Tabela_Base_Financeiro[[#This Row],[Line No,]],0)</f>
        <v>0</v>
      </c>
      <c r="I406" s="36" t="str">
        <f>IFERROR(MID(Tabela_Base_Financeiro[[#This Row],[Manufacturer]],19,14),"")</f>
        <v/>
      </c>
      <c r="J406" s="113">
        <f>IFERROR(Tabela_Base_Financeiro[[#This Row],[Item code]],0)</f>
        <v>0</v>
      </c>
      <c r="K406" s="293">
        <f>IFERROR(Tabela_Base_Financeiro[[#This Row],[Unit Price]],0)</f>
        <v>0</v>
      </c>
      <c r="L406" s="36">
        <f>IFERROR(Tabela_Base_Financeiro[[#This Row],[AC Qty,]],0)</f>
        <v>0</v>
      </c>
      <c r="M406" s="60">
        <f>Tabela6[[#This Row],[Qty]]*Tabela6[[#This Row],[Preço]]</f>
        <v>0</v>
      </c>
      <c r="N406" s="37">
        <f>IFERROR(Tabela_Base_Financeiro[[#This Row],[Proportion]],0)</f>
        <v>0</v>
      </c>
      <c r="O406" s="60">
        <f>Tabela6[[#This Row],[Proporção]]*Tabela6[[#This Row],[Total]]</f>
        <v>0</v>
      </c>
      <c r="P406"/>
      <c r="Q406" s="59"/>
      <c r="R406" s="1"/>
    </row>
    <row r="407" spans="1:18">
      <c r="A407" s="122" t="e">
        <f>IF(VLOOKUP(Tabela6[[#This Row],[UF]],'BASE CC'!B:C,2,0)="SP",IF(Tabela6[[#This Row],[OPERADORA]]="TIM","SP TIM","SPI"),VLOOKUP(Tabela6[[#This Row],[UF]],'BASE CC'!B:C,2,0))</f>
        <v>#N/A</v>
      </c>
      <c r="B407" s="36" t="e">
        <f>VLOOKUP(Tabela_Base_Financeiro[[#This Row],[Item code]],'COD.FAT'!B:C,2,0)</f>
        <v>#N/A</v>
      </c>
      <c r="C407" s="292">
        <f>Tabela_Base_Financeiro[[#This Row],[PO Ship TO]]</f>
        <v>0</v>
      </c>
      <c r="D407" s="36" t="str">
        <f>RIGHT(Tabela_Base_Financeiro[[#This Row],[Manufacturer]],2)</f>
        <v/>
      </c>
      <c r="E40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07" s="122" t="e">
        <f>VLOOKUP(Tabela_Base_Financeiro[[#This Row],[Project Code]],'COD. PROJETOS'!B:D,3,0)</f>
        <v>#N/A</v>
      </c>
      <c r="G407" s="36">
        <f>IFERROR(Tabela_Base_Financeiro[[#This Row],[PO No,]],0)</f>
        <v>0</v>
      </c>
      <c r="H407" s="36">
        <f>IFERROR(Tabela_Base_Financeiro[[#This Row],[Line No,]],0)</f>
        <v>0</v>
      </c>
      <c r="I407" s="36" t="str">
        <f>IFERROR(MID(Tabela_Base_Financeiro[[#This Row],[Manufacturer]],19,14),"")</f>
        <v/>
      </c>
      <c r="J407" s="113">
        <f>IFERROR(Tabela_Base_Financeiro[[#This Row],[Item code]],0)</f>
        <v>0</v>
      </c>
      <c r="K407" s="293">
        <f>IFERROR(Tabela_Base_Financeiro[[#This Row],[Unit Price]],0)</f>
        <v>0</v>
      </c>
      <c r="L407" s="36">
        <f>IFERROR(Tabela_Base_Financeiro[[#This Row],[AC Qty,]],0)</f>
        <v>0</v>
      </c>
      <c r="M407" s="60">
        <f>Tabela6[[#This Row],[Qty]]*Tabela6[[#This Row],[Preço]]</f>
        <v>0</v>
      </c>
      <c r="N407" s="37">
        <f>IFERROR(Tabela_Base_Financeiro[[#This Row],[Proportion]],0)</f>
        <v>0</v>
      </c>
      <c r="O407" s="60">
        <f>Tabela6[[#This Row],[Proporção]]*Tabela6[[#This Row],[Total]]</f>
        <v>0</v>
      </c>
      <c r="P407"/>
      <c r="Q407" s="59"/>
      <c r="R407" s="1"/>
    </row>
    <row r="408" spans="1:18">
      <c r="A408" s="122" t="e">
        <f>IF(VLOOKUP(Tabela6[[#This Row],[UF]],'BASE CC'!B:C,2,0)="SP",IF(Tabela6[[#This Row],[OPERADORA]]="TIM","SP TIM","SPI"),VLOOKUP(Tabela6[[#This Row],[UF]],'BASE CC'!B:C,2,0))</f>
        <v>#N/A</v>
      </c>
      <c r="B408" s="36" t="e">
        <f>VLOOKUP(Tabela_Base_Financeiro[[#This Row],[Item code]],'COD.FAT'!B:C,2,0)</f>
        <v>#N/A</v>
      </c>
      <c r="C408" s="292">
        <f>Tabela_Base_Financeiro[[#This Row],[PO Ship TO]]</f>
        <v>0</v>
      </c>
      <c r="D408" s="36" t="str">
        <f>RIGHT(Tabela_Base_Financeiro[[#This Row],[Manufacturer]],2)</f>
        <v/>
      </c>
      <c r="E40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08" s="122" t="e">
        <f>VLOOKUP(Tabela_Base_Financeiro[[#This Row],[Project Code]],'COD. PROJETOS'!B:D,3,0)</f>
        <v>#N/A</v>
      </c>
      <c r="G408" s="36">
        <f>IFERROR(Tabela_Base_Financeiro[[#This Row],[PO No,]],0)</f>
        <v>0</v>
      </c>
      <c r="H408" s="36">
        <f>IFERROR(Tabela_Base_Financeiro[[#This Row],[Line No,]],0)</f>
        <v>0</v>
      </c>
      <c r="I408" s="36" t="str">
        <f>IFERROR(MID(Tabela_Base_Financeiro[[#This Row],[Manufacturer]],19,14),"")</f>
        <v/>
      </c>
      <c r="J408" s="113">
        <f>IFERROR(Tabela_Base_Financeiro[[#This Row],[Item code]],0)</f>
        <v>0</v>
      </c>
      <c r="K408" s="293">
        <f>IFERROR(Tabela_Base_Financeiro[[#This Row],[Unit Price]],0)</f>
        <v>0</v>
      </c>
      <c r="L408" s="36">
        <f>IFERROR(Tabela_Base_Financeiro[[#This Row],[AC Qty,]],0)</f>
        <v>0</v>
      </c>
      <c r="M408" s="60">
        <f>Tabela6[[#This Row],[Qty]]*Tabela6[[#This Row],[Preço]]</f>
        <v>0</v>
      </c>
      <c r="N408" s="37">
        <f>IFERROR(Tabela_Base_Financeiro[[#This Row],[Proportion]],0)</f>
        <v>0</v>
      </c>
      <c r="O408" s="60">
        <f>Tabela6[[#This Row],[Proporção]]*Tabela6[[#This Row],[Total]]</f>
        <v>0</v>
      </c>
      <c r="P408"/>
      <c r="Q408" s="59"/>
      <c r="R408" s="1"/>
    </row>
    <row r="409" spans="1:18">
      <c r="A409" s="122" t="e">
        <f>IF(VLOOKUP(Tabela6[[#This Row],[UF]],'BASE CC'!B:C,2,0)="SP",IF(Tabela6[[#This Row],[OPERADORA]]="TIM","SP TIM","SPI"),VLOOKUP(Tabela6[[#This Row],[UF]],'BASE CC'!B:C,2,0))</f>
        <v>#N/A</v>
      </c>
      <c r="B409" s="36" t="e">
        <f>VLOOKUP(Tabela_Base_Financeiro[[#This Row],[Item code]],'COD.FAT'!B:C,2,0)</f>
        <v>#N/A</v>
      </c>
      <c r="C409" s="292">
        <f>Tabela_Base_Financeiro[[#This Row],[PO Ship TO]]</f>
        <v>0</v>
      </c>
      <c r="D409" s="36" t="str">
        <f>RIGHT(Tabela_Base_Financeiro[[#This Row],[Manufacturer]],2)</f>
        <v/>
      </c>
      <c r="E40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09" s="122" t="e">
        <f>VLOOKUP(Tabela_Base_Financeiro[[#This Row],[Project Code]],'COD. PROJETOS'!B:D,3,0)</f>
        <v>#N/A</v>
      </c>
      <c r="G409" s="36">
        <f>IFERROR(Tabela_Base_Financeiro[[#This Row],[PO No,]],0)</f>
        <v>0</v>
      </c>
      <c r="H409" s="36">
        <f>IFERROR(Tabela_Base_Financeiro[[#This Row],[Line No,]],0)</f>
        <v>0</v>
      </c>
      <c r="I409" s="36" t="str">
        <f>IFERROR(MID(Tabela_Base_Financeiro[[#This Row],[Manufacturer]],19,14),"")</f>
        <v/>
      </c>
      <c r="J409" s="113">
        <f>IFERROR(Tabela_Base_Financeiro[[#This Row],[Item code]],0)</f>
        <v>0</v>
      </c>
      <c r="K409" s="293">
        <f>IFERROR(Tabela_Base_Financeiro[[#This Row],[Unit Price]],0)</f>
        <v>0</v>
      </c>
      <c r="L409" s="36">
        <f>IFERROR(Tabela_Base_Financeiro[[#This Row],[AC Qty,]],0)</f>
        <v>0</v>
      </c>
      <c r="M409" s="60">
        <f>Tabela6[[#This Row],[Qty]]*Tabela6[[#This Row],[Preço]]</f>
        <v>0</v>
      </c>
      <c r="N409" s="37">
        <f>IFERROR(Tabela_Base_Financeiro[[#This Row],[Proportion]],0)</f>
        <v>0</v>
      </c>
      <c r="O409" s="60">
        <f>Tabela6[[#This Row],[Proporção]]*Tabela6[[#This Row],[Total]]</f>
        <v>0</v>
      </c>
      <c r="P409"/>
      <c r="Q409" s="59"/>
      <c r="R409" s="1"/>
    </row>
    <row r="410" spans="1:18">
      <c r="A410" s="122" t="e">
        <f>IF(VLOOKUP(Tabela6[[#This Row],[UF]],'BASE CC'!B:C,2,0)="SP",IF(Tabela6[[#This Row],[OPERADORA]]="TIM","SP TIM","SPI"),VLOOKUP(Tabela6[[#This Row],[UF]],'BASE CC'!B:C,2,0))</f>
        <v>#N/A</v>
      </c>
      <c r="B410" s="36" t="e">
        <f>VLOOKUP(Tabela_Base_Financeiro[[#This Row],[Item code]],'COD.FAT'!B:C,2,0)</f>
        <v>#N/A</v>
      </c>
      <c r="C410" s="292">
        <f>Tabela_Base_Financeiro[[#This Row],[PO Ship TO]]</f>
        <v>0</v>
      </c>
      <c r="D410" s="36" t="str">
        <f>RIGHT(Tabela_Base_Financeiro[[#This Row],[Manufacturer]],2)</f>
        <v/>
      </c>
      <c r="E41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10" s="122" t="e">
        <f>VLOOKUP(Tabela_Base_Financeiro[[#This Row],[Project Code]],'COD. PROJETOS'!B:D,3,0)</f>
        <v>#N/A</v>
      </c>
      <c r="G410" s="36">
        <f>IFERROR(Tabela_Base_Financeiro[[#This Row],[PO No,]],0)</f>
        <v>0</v>
      </c>
      <c r="H410" s="36">
        <f>IFERROR(Tabela_Base_Financeiro[[#This Row],[Line No,]],0)</f>
        <v>0</v>
      </c>
      <c r="I410" s="36" t="str">
        <f>IFERROR(MID(Tabela_Base_Financeiro[[#This Row],[Manufacturer]],19,14),"")</f>
        <v/>
      </c>
      <c r="J410" s="113">
        <f>IFERROR(Tabela_Base_Financeiro[[#This Row],[Item code]],0)</f>
        <v>0</v>
      </c>
      <c r="K410" s="293">
        <f>IFERROR(Tabela_Base_Financeiro[[#This Row],[Unit Price]],0)</f>
        <v>0</v>
      </c>
      <c r="L410" s="36">
        <f>IFERROR(Tabela_Base_Financeiro[[#This Row],[AC Qty,]],0)</f>
        <v>0</v>
      </c>
      <c r="M410" s="60">
        <f>Tabela6[[#This Row],[Qty]]*Tabela6[[#This Row],[Preço]]</f>
        <v>0</v>
      </c>
      <c r="N410" s="37">
        <f>IFERROR(Tabela_Base_Financeiro[[#This Row],[Proportion]],0)</f>
        <v>0</v>
      </c>
      <c r="O410" s="60">
        <f>Tabela6[[#This Row],[Proporção]]*Tabela6[[#This Row],[Total]]</f>
        <v>0</v>
      </c>
      <c r="P410"/>
      <c r="Q410" s="59"/>
      <c r="R410" s="1"/>
    </row>
    <row r="411" spans="1:18">
      <c r="A411" s="122" t="e">
        <f>IF(VLOOKUP(Tabela6[[#This Row],[UF]],'BASE CC'!B:C,2,0)="SP",IF(Tabela6[[#This Row],[OPERADORA]]="TIM","SP TIM","SPI"),VLOOKUP(Tabela6[[#This Row],[UF]],'BASE CC'!B:C,2,0))</f>
        <v>#N/A</v>
      </c>
      <c r="B411" s="36" t="e">
        <f>VLOOKUP(Tabela_Base_Financeiro[[#This Row],[Item code]],'COD.FAT'!B:C,2,0)</f>
        <v>#N/A</v>
      </c>
      <c r="C411" s="292">
        <f>Tabela_Base_Financeiro[[#This Row],[PO Ship TO]]</f>
        <v>0</v>
      </c>
      <c r="D411" s="36" t="str">
        <f>RIGHT(Tabela_Base_Financeiro[[#This Row],[Manufacturer]],2)</f>
        <v/>
      </c>
      <c r="E41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11" s="122" t="e">
        <f>VLOOKUP(Tabela_Base_Financeiro[[#This Row],[Project Code]],'COD. PROJETOS'!B:D,3,0)</f>
        <v>#N/A</v>
      </c>
      <c r="G411" s="36">
        <f>IFERROR(Tabela_Base_Financeiro[[#This Row],[PO No,]],0)</f>
        <v>0</v>
      </c>
      <c r="H411" s="36">
        <f>IFERROR(Tabela_Base_Financeiro[[#This Row],[Line No,]],0)</f>
        <v>0</v>
      </c>
      <c r="I411" s="36" t="str">
        <f>IFERROR(MID(Tabela_Base_Financeiro[[#This Row],[Manufacturer]],19,14),"")</f>
        <v/>
      </c>
      <c r="J411" s="113">
        <f>IFERROR(Tabela_Base_Financeiro[[#This Row],[Item code]],0)</f>
        <v>0</v>
      </c>
      <c r="K411" s="293">
        <f>IFERROR(Tabela_Base_Financeiro[[#This Row],[Unit Price]],0)</f>
        <v>0</v>
      </c>
      <c r="L411" s="36">
        <f>IFERROR(Tabela_Base_Financeiro[[#This Row],[AC Qty,]],0)</f>
        <v>0</v>
      </c>
      <c r="M411" s="60">
        <f>Tabela6[[#This Row],[Qty]]*Tabela6[[#This Row],[Preço]]</f>
        <v>0</v>
      </c>
      <c r="N411" s="37">
        <f>IFERROR(Tabela_Base_Financeiro[[#This Row],[Proportion]],0)</f>
        <v>0</v>
      </c>
      <c r="O411" s="60">
        <f>Tabela6[[#This Row],[Proporção]]*Tabela6[[#This Row],[Total]]</f>
        <v>0</v>
      </c>
      <c r="P411"/>
      <c r="Q411" s="59"/>
      <c r="R411" s="1"/>
    </row>
    <row r="412" spans="1:18">
      <c r="A412" s="122" t="e">
        <f>IF(VLOOKUP(Tabela6[[#This Row],[UF]],'BASE CC'!B:C,2,0)="SP",IF(Tabela6[[#This Row],[OPERADORA]]="TIM","SP TIM","SPI"),VLOOKUP(Tabela6[[#This Row],[UF]],'BASE CC'!B:C,2,0))</f>
        <v>#N/A</v>
      </c>
      <c r="B412" s="36" t="e">
        <f>VLOOKUP(Tabela_Base_Financeiro[[#This Row],[Item code]],'COD.FAT'!B:C,2,0)</f>
        <v>#N/A</v>
      </c>
      <c r="C412" s="292">
        <f>Tabela_Base_Financeiro[[#This Row],[PO Ship TO]]</f>
        <v>0</v>
      </c>
      <c r="D412" s="36" t="str">
        <f>RIGHT(Tabela_Base_Financeiro[[#This Row],[Manufacturer]],2)</f>
        <v/>
      </c>
      <c r="E41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12" s="122" t="e">
        <f>VLOOKUP(Tabela_Base_Financeiro[[#This Row],[Project Code]],'COD. PROJETOS'!B:D,3,0)</f>
        <v>#N/A</v>
      </c>
      <c r="G412" s="36">
        <f>IFERROR(Tabela_Base_Financeiro[[#This Row],[PO No,]],0)</f>
        <v>0</v>
      </c>
      <c r="H412" s="36">
        <f>IFERROR(Tabela_Base_Financeiro[[#This Row],[Line No,]],0)</f>
        <v>0</v>
      </c>
      <c r="I412" s="36" t="str">
        <f>IFERROR(MID(Tabela_Base_Financeiro[[#This Row],[Manufacturer]],19,14),"")</f>
        <v/>
      </c>
      <c r="J412" s="113">
        <f>IFERROR(Tabela_Base_Financeiro[[#This Row],[Item code]],0)</f>
        <v>0</v>
      </c>
      <c r="K412" s="293">
        <f>IFERROR(Tabela_Base_Financeiro[[#This Row],[Unit Price]],0)</f>
        <v>0</v>
      </c>
      <c r="L412" s="36">
        <f>IFERROR(Tabela_Base_Financeiro[[#This Row],[AC Qty,]],0)</f>
        <v>0</v>
      </c>
      <c r="M412" s="60">
        <f>Tabela6[[#This Row],[Qty]]*Tabela6[[#This Row],[Preço]]</f>
        <v>0</v>
      </c>
      <c r="N412" s="37">
        <f>IFERROR(Tabela_Base_Financeiro[[#This Row],[Proportion]],0)</f>
        <v>0</v>
      </c>
      <c r="O412" s="60">
        <f>Tabela6[[#This Row],[Proporção]]*Tabela6[[#This Row],[Total]]</f>
        <v>0</v>
      </c>
      <c r="P412"/>
      <c r="Q412" s="59"/>
      <c r="R412" s="1"/>
    </row>
    <row r="413" spans="1:18">
      <c r="A413" s="122" t="e">
        <f>IF(VLOOKUP(Tabela6[[#This Row],[UF]],'BASE CC'!B:C,2,0)="SP",IF(Tabela6[[#This Row],[OPERADORA]]="TIM","SP TIM","SPI"),VLOOKUP(Tabela6[[#This Row],[UF]],'BASE CC'!B:C,2,0))</f>
        <v>#N/A</v>
      </c>
      <c r="B413" s="36" t="e">
        <f>VLOOKUP(Tabela_Base_Financeiro[[#This Row],[Item code]],'COD.FAT'!B:C,2,0)</f>
        <v>#N/A</v>
      </c>
      <c r="C413" s="292">
        <f>Tabela_Base_Financeiro[[#This Row],[PO Ship TO]]</f>
        <v>0</v>
      </c>
      <c r="D413" s="36" t="str">
        <f>RIGHT(Tabela_Base_Financeiro[[#This Row],[Manufacturer]],2)</f>
        <v/>
      </c>
      <c r="E41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13" s="122" t="e">
        <f>VLOOKUP(Tabela_Base_Financeiro[[#This Row],[Project Code]],'COD. PROJETOS'!B:D,3,0)</f>
        <v>#N/A</v>
      </c>
      <c r="G413" s="36">
        <f>IFERROR(Tabela_Base_Financeiro[[#This Row],[PO No,]],0)</f>
        <v>0</v>
      </c>
      <c r="H413" s="36">
        <f>IFERROR(Tabela_Base_Financeiro[[#This Row],[Line No,]],0)</f>
        <v>0</v>
      </c>
      <c r="I413" s="36" t="str">
        <f>IFERROR(MID(Tabela_Base_Financeiro[[#This Row],[Manufacturer]],19,14),"")</f>
        <v/>
      </c>
      <c r="J413" s="113">
        <f>IFERROR(Tabela_Base_Financeiro[[#This Row],[Item code]],0)</f>
        <v>0</v>
      </c>
      <c r="K413" s="293">
        <f>IFERROR(Tabela_Base_Financeiro[[#This Row],[Unit Price]],0)</f>
        <v>0</v>
      </c>
      <c r="L413" s="36">
        <f>IFERROR(Tabela_Base_Financeiro[[#This Row],[AC Qty,]],0)</f>
        <v>0</v>
      </c>
      <c r="M413" s="60">
        <f>Tabela6[[#This Row],[Qty]]*Tabela6[[#This Row],[Preço]]</f>
        <v>0</v>
      </c>
      <c r="N413" s="37">
        <f>IFERROR(Tabela_Base_Financeiro[[#This Row],[Proportion]],0)</f>
        <v>0</v>
      </c>
      <c r="O413" s="60">
        <f>Tabela6[[#This Row],[Proporção]]*Tabela6[[#This Row],[Total]]</f>
        <v>0</v>
      </c>
      <c r="P413"/>
      <c r="Q413" s="59"/>
      <c r="R413" s="1"/>
    </row>
    <row r="414" spans="1:18">
      <c r="A414" s="122" t="e">
        <f>IF(VLOOKUP(Tabela6[[#This Row],[UF]],'BASE CC'!B:C,2,0)="SP",IF(Tabela6[[#This Row],[OPERADORA]]="TIM","SP TIM","SPI"),VLOOKUP(Tabela6[[#This Row],[UF]],'BASE CC'!B:C,2,0))</f>
        <v>#N/A</v>
      </c>
      <c r="B414" s="36" t="e">
        <f>VLOOKUP(Tabela_Base_Financeiro[[#This Row],[Item code]],'COD.FAT'!B:C,2,0)</f>
        <v>#N/A</v>
      </c>
      <c r="C414" s="292">
        <f>Tabela_Base_Financeiro[[#This Row],[PO Ship TO]]</f>
        <v>0</v>
      </c>
      <c r="D414" s="36" t="str">
        <f>RIGHT(Tabela_Base_Financeiro[[#This Row],[Manufacturer]],2)</f>
        <v/>
      </c>
      <c r="E41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14" s="122" t="e">
        <f>VLOOKUP(Tabela_Base_Financeiro[[#This Row],[Project Code]],'COD. PROJETOS'!B:D,3,0)</f>
        <v>#N/A</v>
      </c>
      <c r="G414" s="36">
        <f>IFERROR(Tabela_Base_Financeiro[[#This Row],[PO No,]],0)</f>
        <v>0</v>
      </c>
      <c r="H414" s="36">
        <f>IFERROR(Tabela_Base_Financeiro[[#This Row],[Line No,]],0)</f>
        <v>0</v>
      </c>
      <c r="I414" s="36" t="str">
        <f>IFERROR(MID(Tabela_Base_Financeiro[[#This Row],[Manufacturer]],19,14),"")</f>
        <v/>
      </c>
      <c r="J414" s="113">
        <f>IFERROR(Tabela_Base_Financeiro[[#This Row],[Item code]],0)</f>
        <v>0</v>
      </c>
      <c r="K414" s="293">
        <f>IFERROR(Tabela_Base_Financeiro[[#This Row],[Unit Price]],0)</f>
        <v>0</v>
      </c>
      <c r="L414" s="36">
        <f>IFERROR(Tabela_Base_Financeiro[[#This Row],[AC Qty,]],0)</f>
        <v>0</v>
      </c>
      <c r="M414" s="60">
        <f>Tabela6[[#This Row],[Qty]]*Tabela6[[#This Row],[Preço]]</f>
        <v>0</v>
      </c>
      <c r="N414" s="37">
        <f>IFERROR(Tabela_Base_Financeiro[[#This Row],[Proportion]],0)</f>
        <v>0</v>
      </c>
      <c r="O414" s="60">
        <f>Tabela6[[#This Row],[Proporção]]*Tabela6[[#This Row],[Total]]</f>
        <v>0</v>
      </c>
      <c r="P414"/>
      <c r="Q414" s="59"/>
      <c r="R414" s="1"/>
    </row>
    <row r="415" spans="1:18">
      <c r="A415" s="122" t="e">
        <f>IF(VLOOKUP(Tabela6[[#This Row],[UF]],'BASE CC'!B:C,2,0)="SP",IF(Tabela6[[#This Row],[OPERADORA]]="TIM","SP TIM","SPI"),VLOOKUP(Tabela6[[#This Row],[UF]],'BASE CC'!B:C,2,0))</f>
        <v>#N/A</v>
      </c>
      <c r="B415" s="36" t="e">
        <f>VLOOKUP(Tabela_Base_Financeiro[[#This Row],[Item code]],'COD.FAT'!B:C,2,0)</f>
        <v>#N/A</v>
      </c>
      <c r="C415" s="292">
        <f>Tabela_Base_Financeiro[[#This Row],[PO Ship TO]]</f>
        <v>0</v>
      </c>
      <c r="D415" s="36" t="str">
        <f>RIGHT(Tabela_Base_Financeiro[[#This Row],[Manufacturer]],2)</f>
        <v/>
      </c>
      <c r="E41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15" s="122" t="e">
        <f>VLOOKUP(Tabela_Base_Financeiro[[#This Row],[Project Code]],'COD. PROJETOS'!B:D,3,0)</f>
        <v>#N/A</v>
      </c>
      <c r="G415" s="36">
        <f>IFERROR(Tabela_Base_Financeiro[[#This Row],[PO No,]],0)</f>
        <v>0</v>
      </c>
      <c r="H415" s="36">
        <f>IFERROR(Tabela_Base_Financeiro[[#This Row],[Line No,]],0)</f>
        <v>0</v>
      </c>
      <c r="I415" s="36" t="str">
        <f>IFERROR(MID(Tabela_Base_Financeiro[[#This Row],[Manufacturer]],19,14),"")</f>
        <v/>
      </c>
      <c r="J415" s="113">
        <f>IFERROR(Tabela_Base_Financeiro[[#This Row],[Item code]],0)</f>
        <v>0</v>
      </c>
      <c r="K415" s="293">
        <f>IFERROR(Tabela_Base_Financeiro[[#This Row],[Unit Price]],0)</f>
        <v>0</v>
      </c>
      <c r="L415" s="36">
        <f>IFERROR(Tabela_Base_Financeiro[[#This Row],[AC Qty,]],0)</f>
        <v>0</v>
      </c>
      <c r="M415" s="60">
        <f>Tabela6[[#This Row],[Qty]]*Tabela6[[#This Row],[Preço]]</f>
        <v>0</v>
      </c>
      <c r="N415" s="37">
        <f>IFERROR(Tabela_Base_Financeiro[[#This Row],[Proportion]],0)</f>
        <v>0</v>
      </c>
      <c r="O415" s="60">
        <f>Tabela6[[#This Row],[Proporção]]*Tabela6[[#This Row],[Total]]</f>
        <v>0</v>
      </c>
      <c r="P415"/>
      <c r="Q415" s="59"/>
      <c r="R415" s="1"/>
    </row>
    <row r="416" spans="1:18">
      <c r="A416" s="122" t="e">
        <f>IF(VLOOKUP(Tabela6[[#This Row],[UF]],'BASE CC'!B:C,2,0)="SP",IF(Tabela6[[#This Row],[OPERADORA]]="TIM","SP TIM","SPI"),VLOOKUP(Tabela6[[#This Row],[UF]],'BASE CC'!B:C,2,0))</f>
        <v>#N/A</v>
      </c>
      <c r="B416" s="36" t="e">
        <f>VLOOKUP(Tabela_Base_Financeiro[[#This Row],[Item code]],'COD.FAT'!B:C,2,0)</f>
        <v>#N/A</v>
      </c>
      <c r="C416" s="292">
        <f>Tabela_Base_Financeiro[[#This Row],[PO Ship TO]]</f>
        <v>0</v>
      </c>
      <c r="D416" s="36" t="str">
        <f>RIGHT(Tabela_Base_Financeiro[[#This Row],[Manufacturer]],2)</f>
        <v/>
      </c>
      <c r="E41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16" s="122" t="e">
        <f>VLOOKUP(Tabela_Base_Financeiro[[#This Row],[Project Code]],'COD. PROJETOS'!B:D,3,0)</f>
        <v>#N/A</v>
      </c>
      <c r="G416" s="36">
        <f>IFERROR(Tabela_Base_Financeiro[[#This Row],[PO No,]],0)</f>
        <v>0</v>
      </c>
      <c r="H416" s="36">
        <f>IFERROR(Tabela_Base_Financeiro[[#This Row],[Line No,]],0)</f>
        <v>0</v>
      </c>
      <c r="I416" s="36" t="str">
        <f>IFERROR(MID(Tabela_Base_Financeiro[[#This Row],[Manufacturer]],19,14),"")</f>
        <v/>
      </c>
      <c r="J416" s="113">
        <f>IFERROR(Tabela_Base_Financeiro[[#This Row],[Item code]],0)</f>
        <v>0</v>
      </c>
      <c r="K416" s="293">
        <f>IFERROR(Tabela_Base_Financeiro[[#This Row],[Unit Price]],0)</f>
        <v>0</v>
      </c>
      <c r="L416" s="36">
        <f>IFERROR(Tabela_Base_Financeiro[[#This Row],[AC Qty,]],0)</f>
        <v>0</v>
      </c>
      <c r="M416" s="60">
        <f>Tabela6[[#This Row],[Qty]]*Tabela6[[#This Row],[Preço]]</f>
        <v>0</v>
      </c>
      <c r="N416" s="37">
        <f>IFERROR(Tabela_Base_Financeiro[[#This Row],[Proportion]],0)</f>
        <v>0</v>
      </c>
      <c r="O416" s="60">
        <f>Tabela6[[#This Row],[Proporção]]*Tabela6[[#This Row],[Total]]</f>
        <v>0</v>
      </c>
      <c r="P416"/>
      <c r="Q416" s="59"/>
      <c r="R416" s="1"/>
    </row>
    <row r="417" spans="1:18">
      <c r="A417" s="122" t="e">
        <f>IF(VLOOKUP(Tabela6[[#This Row],[UF]],'BASE CC'!B:C,2,0)="SP",IF(Tabela6[[#This Row],[OPERADORA]]="TIM","SP TIM","SPI"),VLOOKUP(Tabela6[[#This Row],[UF]],'BASE CC'!B:C,2,0))</f>
        <v>#N/A</v>
      </c>
      <c r="B417" s="36" t="e">
        <f>VLOOKUP(Tabela_Base_Financeiro[[#This Row],[Item code]],'COD.FAT'!B:C,2,0)</f>
        <v>#N/A</v>
      </c>
      <c r="C417" s="292">
        <f>Tabela_Base_Financeiro[[#This Row],[PO Ship TO]]</f>
        <v>0</v>
      </c>
      <c r="D417" s="36" t="str">
        <f>RIGHT(Tabela_Base_Financeiro[[#This Row],[Manufacturer]],2)</f>
        <v/>
      </c>
      <c r="E41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17" s="122" t="e">
        <f>VLOOKUP(Tabela_Base_Financeiro[[#This Row],[Project Code]],'COD. PROJETOS'!B:D,3,0)</f>
        <v>#N/A</v>
      </c>
      <c r="G417" s="36">
        <f>IFERROR(Tabela_Base_Financeiro[[#This Row],[PO No,]],0)</f>
        <v>0</v>
      </c>
      <c r="H417" s="36">
        <f>IFERROR(Tabela_Base_Financeiro[[#This Row],[Line No,]],0)</f>
        <v>0</v>
      </c>
      <c r="I417" s="36" t="str">
        <f>IFERROR(MID(Tabela_Base_Financeiro[[#This Row],[Manufacturer]],19,14),"")</f>
        <v/>
      </c>
      <c r="J417" s="113">
        <f>IFERROR(Tabela_Base_Financeiro[[#This Row],[Item code]],0)</f>
        <v>0</v>
      </c>
      <c r="K417" s="293">
        <f>IFERROR(Tabela_Base_Financeiro[[#This Row],[Unit Price]],0)</f>
        <v>0</v>
      </c>
      <c r="L417" s="36">
        <f>IFERROR(Tabela_Base_Financeiro[[#This Row],[AC Qty,]],0)</f>
        <v>0</v>
      </c>
      <c r="M417" s="60">
        <f>Tabela6[[#This Row],[Qty]]*Tabela6[[#This Row],[Preço]]</f>
        <v>0</v>
      </c>
      <c r="N417" s="37">
        <f>IFERROR(Tabela_Base_Financeiro[[#This Row],[Proportion]],0)</f>
        <v>0</v>
      </c>
      <c r="O417" s="60">
        <f>Tabela6[[#This Row],[Proporção]]*Tabela6[[#This Row],[Total]]</f>
        <v>0</v>
      </c>
      <c r="P417"/>
      <c r="Q417" s="59"/>
      <c r="R417" s="1"/>
    </row>
    <row r="418" spans="1:18">
      <c r="A418" s="122" t="e">
        <f>IF(VLOOKUP(Tabela6[[#This Row],[UF]],'BASE CC'!B:C,2,0)="SP",IF(Tabela6[[#This Row],[OPERADORA]]="TIM","SP TIM","SPI"),VLOOKUP(Tabela6[[#This Row],[UF]],'BASE CC'!B:C,2,0))</f>
        <v>#N/A</v>
      </c>
      <c r="B418" s="36" t="e">
        <f>VLOOKUP(Tabela_Base_Financeiro[[#This Row],[Item code]],'COD.FAT'!B:C,2,0)</f>
        <v>#N/A</v>
      </c>
      <c r="C418" s="292">
        <f>Tabela_Base_Financeiro[[#This Row],[PO Ship TO]]</f>
        <v>0</v>
      </c>
      <c r="D418" s="36" t="str">
        <f>RIGHT(Tabela_Base_Financeiro[[#This Row],[Manufacturer]],2)</f>
        <v/>
      </c>
      <c r="E41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18" s="122" t="e">
        <f>VLOOKUP(Tabela_Base_Financeiro[[#This Row],[Project Code]],'COD. PROJETOS'!B:D,3,0)</f>
        <v>#N/A</v>
      </c>
      <c r="G418" s="36">
        <f>IFERROR(Tabela_Base_Financeiro[[#This Row],[PO No,]],0)</f>
        <v>0</v>
      </c>
      <c r="H418" s="36">
        <f>IFERROR(Tabela_Base_Financeiro[[#This Row],[Line No,]],0)</f>
        <v>0</v>
      </c>
      <c r="I418" s="36" t="str">
        <f>IFERROR(MID(Tabela_Base_Financeiro[[#This Row],[Manufacturer]],19,14),"")</f>
        <v/>
      </c>
      <c r="J418" s="113">
        <f>IFERROR(Tabela_Base_Financeiro[[#This Row],[Item code]],0)</f>
        <v>0</v>
      </c>
      <c r="K418" s="293">
        <f>IFERROR(Tabela_Base_Financeiro[[#This Row],[Unit Price]],0)</f>
        <v>0</v>
      </c>
      <c r="L418" s="36">
        <f>IFERROR(Tabela_Base_Financeiro[[#This Row],[AC Qty,]],0)</f>
        <v>0</v>
      </c>
      <c r="M418" s="60">
        <f>Tabela6[[#This Row],[Qty]]*Tabela6[[#This Row],[Preço]]</f>
        <v>0</v>
      </c>
      <c r="N418" s="37">
        <f>IFERROR(Tabela_Base_Financeiro[[#This Row],[Proportion]],0)</f>
        <v>0</v>
      </c>
      <c r="O418" s="60">
        <f>Tabela6[[#This Row],[Proporção]]*Tabela6[[#This Row],[Total]]</f>
        <v>0</v>
      </c>
      <c r="P418"/>
      <c r="Q418" s="59"/>
      <c r="R418" s="1"/>
    </row>
    <row r="419" spans="1:18">
      <c r="A419" s="122" t="e">
        <f>IF(VLOOKUP(Tabela6[[#This Row],[UF]],'BASE CC'!B:C,2,0)="SP",IF(Tabela6[[#This Row],[OPERADORA]]="TIM","SP TIM","SPI"),VLOOKUP(Tabela6[[#This Row],[UF]],'BASE CC'!B:C,2,0))</f>
        <v>#N/A</v>
      </c>
      <c r="B419" s="36" t="e">
        <f>VLOOKUP(Tabela_Base_Financeiro[[#This Row],[Item code]],'COD.FAT'!B:C,2,0)</f>
        <v>#N/A</v>
      </c>
      <c r="C419" s="292">
        <f>Tabela_Base_Financeiro[[#This Row],[PO Ship TO]]</f>
        <v>0</v>
      </c>
      <c r="D419" s="36" t="str">
        <f>RIGHT(Tabela_Base_Financeiro[[#This Row],[Manufacturer]],2)</f>
        <v/>
      </c>
      <c r="E41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19" s="122" t="e">
        <f>VLOOKUP(Tabela_Base_Financeiro[[#This Row],[Project Code]],'COD. PROJETOS'!B:D,3,0)</f>
        <v>#N/A</v>
      </c>
      <c r="G419" s="36">
        <f>IFERROR(Tabela_Base_Financeiro[[#This Row],[PO No,]],0)</f>
        <v>0</v>
      </c>
      <c r="H419" s="36">
        <f>IFERROR(Tabela_Base_Financeiro[[#This Row],[Line No,]],0)</f>
        <v>0</v>
      </c>
      <c r="I419" s="36" t="str">
        <f>IFERROR(MID(Tabela_Base_Financeiro[[#This Row],[Manufacturer]],19,14),"")</f>
        <v/>
      </c>
      <c r="J419" s="113">
        <f>IFERROR(Tabela_Base_Financeiro[[#This Row],[Item code]],0)</f>
        <v>0</v>
      </c>
      <c r="K419" s="293">
        <f>IFERROR(Tabela_Base_Financeiro[[#This Row],[Unit Price]],0)</f>
        <v>0</v>
      </c>
      <c r="L419" s="36">
        <f>IFERROR(Tabela_Base_Financeiro[[#This Row],[AC Qty,]],0)</f>
        <v>0</v>
      </c>
      <c r="M419" s="60">
        <f>Tabela6[[#This Row],[Qty]]*Tabela6[[#This Row],[Preço]]</f>
        <v>0</v>
      </c>
      <c r="N419" s="37">
        <f>IFERROR(Tabela_Base_Financeiro[[#This Row],[Proportion]],0)</f>
        <v>0</v>
      </c>
      <c r="O419" s="60">
        <f>Tabela6[[#This Row],[Proporção]]*Tabela6[[#This Row],[Total]]</f>
        <v>0</v>
      </c>
      <c r="P419"/>
      <c r="Q419" s="59"/>
      <c r="R419" s="1"/>
    </row>
    <row r="420" spans="1:18">
      <c r="A420" s="122" t="e">
        <f>IF(VLOOKUP(Tabela6[[#This Row],[UF]],'BASE CC'!B:C,2,0)="SP",IF(Tabela6[[#This Row],[OPERADORA]]="TIM","SP TIM","SPI"),VLOOKUP(Tabela6[[#This Row],[UF]],'BASE CC'!B:C,2,0))</f>
        <v>#N/A</v>
      </c>
      <c r="B420" s="36" t="e">
        <f>VLOOKUP(Tabela_Base_Financeiro[[#This Row],[Item code]],'COD.FAT'!B:C,2,0)</f>
        <v>#N/A</v>
      </c>
      <c r="C420" s="292">
        <f>Tabela_Base_Financeiro[[#This Row],[PO Ship TO]]</f>
        <v>0</v>
      </c>
      <c r="D420" s="36" t="str">
        <f>RIGHT(Tabela_Base_Financeiro[[#This Row],[Manufacturer]],2)</f>
        <v/>
      </c>
      <c r="E42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20" s="122" t="e">
        <f>VLOOKUP(Tabela_Base_Financeiro[[#This Row],[Project Code]],'COD. PROJETOS'!B:D,3,0)</f>
        <v>#N/A</v>
      </c>
      <c r="G420" s="36">
        <f>IFERROR(Tabela_Base_Financeiro[[#This Row],[PO No,]],0)</f>
        <v>0</v>
      </c>
      <c r="H420" s="36">
        <f>IFERROR(Tabela_Base_Financeiro[[#This Row],[Line No,]],0)</f>
        <v>0</v>
      </c>
      <c r="I420" s="36" t="str">
        <f>IFERROR(MID(Tabela_Base_Financeiro[[#This Row],[Manufacturer]],19,14),"")</f>
        <v/>
      </c>
      <c r="J420" s="113">
        <f>IFERROR(Tabela_Base_Financeiro[[#This Row],[Item code]],0)</f>
        <v>0</v>
      </c>
      <c r="K420" s="293">
        <f>IFERROR(Tabela_Base_Financeiro[[#This Row],[Unit Price]],0)</f>
        <v>0</v>
      </c>
      <c r="L420" s="36">
        <f>IFERROR(Tabela_Base_Financeiro[[#This Row],[AC Qty,]],0)</f>
        <v>0</v>
      </c>
      <c r="M420" s="60">
        <f>Tabela6[[#This Row],[Qty]]*Tabela6[[#This Row],[Preço]]</f>
        <v>0</v>
      </c>
      <c r="N420" s="37">
        <f>IFERROR(Tabela_Base_Financeiro[[#This Row],[Proportion]],0)</f>
        <v>0</v>
      </c>
      <c r="O420" s="60">
        <f>Tabela6[[#This Row],[Proporção]]*Tabela6[[#This Row],[Total]]</f>
        <v>0</v>
      </c>
      <c r="P420"/>
      <c r="Q420" s="59"/>
      <c r="R420" s="1"/>
    </row>
    <row r="421" spans="1:18">
      <c r="A421" s="122" t="e">
        <f>IF(VLOOKUP(Tabela6[[#This Row],[UF]],'BASE CC'!B:C,2,0)="SP",IF(Tabela6[[#This Row],[OPERADORA]]="TIM","SP TIM","SPI"),VLOOKUP(Tabela6[[#This Row],[UF]],'BASE CC'!B:C,2,0))</f>
        <v>#N/A</v>
      </c>
      <c r="B421" s="36" t="e">
        <f>VLOOKUP(Tabela_Base_Financeiro[[#This Row],[Item code]],'COD.FAT'!B:C,2,0)</f>
        <v>#N/A</v>
      </c>
      <c r="C421" s="292">
        <f>Tabela_Base_Financeiro[[#This Row],[PO Ship TO]]</f>
        <v>0</v>
      </c>
      <c r="D421" s="36" t="str">
        <f>RIGHT(Tabela_Base_Financeiro[[#This Row],[Manufacturer]],2)</f>
        <v/>
      </c>
      <c r="E42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21" s="122" t="e">
        <f>VLOOKUP(Tabela_Base_Financeiro[[#This Row],[Project Code]],'COD. PROJETOS'!B:D,3,0)</f>
        <v>#N/A</v>
      </c>
      <c r="G421" s="36">
        <f>IFERROR(Tabela_Base_Financeiro[[#This Row],[PO No,]],0)</f>
        <v>0</v>
      </c>
      <c r="H421" s="36">
        <f>IFERROR(Tabela_Base_Financeiro[[#This Row],[Line No,]],0)</f>
        <v>0</v>
      </c>
      <c r="I421" s="36" t="str">
        <f>IFERROR(MID(Tabela_Base_Financeiro[[#This Row],[Manufacturer]],19,14),"")</f>
        <v/>
      </c>
      <c r="J421" s="113">
        <f>IFERROR(Tabela_Base_Financeiro[[#This Row],[Item code]],0)</f>
        <v>0</v>
      </c>
      <c r="K421" s="293">
        <f>IFERROR(Tabela_Base_Financeiro[[#This Row],[Unit Price]],0)</f>
        <v>0</v>
      </c>
      <c r="L421" s="36">
        <f>IFERROR(Tabela_Base_Financeiro[[#This Row],[AC Qty,]],0)</f>
        <v>0</v>
      </c>
      <c r="M421" s="60">
        <f>Tabela6[[#This Row],[Qty]]*Tabela6[[#This Row],[Preço]]</f>
        <v>0</v>
      </c>
      <c r="N421" s="37">
        <f>IFERROR(Tabela_Base_Financeiro[[#This Row],[Proportion]],0)</f>
        <v>0</v>
      </c>
      <c r="O421" s="60">
        <f>Tabela6[[#This Row],[Proporção]]*Tabela6[[#This Row],[Total]]</f>
        <v>0</v>
      </c>
      <c r="P421"/>
      <c r="Q421" s="59"/>
      <c r="R421" s="1"/>
    </row>
    <row r="422" spans="1:18">
      <c r="A422" s="122" t="e">
        <f>IF(VLOOKUP(Tabela6[[#This Row],[UF]],'BASE CC'!B:C,2,0)="SP",IF(Tabela6[[#This Row],[OPERADORA]]="TIM","SP TIM","SPI"),VLOOKUP(Tabela6[[#This Row],[UF]],'BASE CC'!B:C,2,0))</f>
        <v>#N/A</v>
      </c>
      <c r="B422" s="36" t="e">
        <f>VLOOKUP(Tabela_Base_Financeiro[[#This Row],[Item code]],'COD.FAT'!B:C,2,0)</f>
        <v>#N/A</v>
      </c>
      <c r="C422" s="292">
        <f>Tabela_Base_Financeiro[[#This Row],[PO Ship TO]]</f>
        <v>0</v>
      </c>
      <c r="D422" s="36" t="str">
        <f>RIGHT(Tabela_Base_Financeiro[[#This Row],[Manufacturer]],2)</f>
        <v/>
      </c>
      <c r="E42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22" s="122" t="e">
        <f>VLOOKUP(Tabela_Base_Financeiro[[#This Row],[Project Code]],'COD. PROJETOS'!B:D,3,0)</f>
        <v>#N/A</v>
      </c>
      <c r="G422" s="36">
        <f>IFERROR(Tabela_Base_Financeiro[[#This Row],[PO No,]],0)</f>
        <v>0</v>
      </c>
      <c r="H422" s="36">
        <f>IFERROR(Tabela_Base_Financeiro[[#This Row],[Line No,]],0)</f>
        <v>0</v>
      </c>
      <c r="I422" s="36" t="str">
        <f>IFERROR(MID(Tabela_Base_Financeiro[[#This Row],[Manufacturer]],19,14),"")</f>
        <v/>
      </c>
      <c r="J422" s="113">
        <f>IFERROR(Tabela_Base_Financeiro[[#This Row],[Item code]],0)</f>
        <v>0</v>
      </c>
      <c r="K422" s="293">
        <f>IFERROR(Tabela_Base_Financeiro[[#This Row],[Unit Price]],0)</f>
        <v>0</v>
      </c>
      <c r="L422" s="36">
        <f>IFERROR(Tabela_Base_Financeiro[[#This Row],[AC Qty,]],0)</f>
        <v>0</v>
      </c>
      <c r="M422" s="60">
        <f>Tabela6[[#This Row],[Qty]]*Tabela6[[#This Row],[Preço]]</f>
        <v>0</v>
      </c>
      <c r="N422" s="37">
        <f>IFERROR(Tabela_Base_Financeiro[[#This Row],[Proportion]],0)</f>
        <v>0</v>
      </c>
      <c r="O422" s="60">
        <f>Tabela6[[#This Row],[Proporção]]*Tabela6[[#This Row],[Total]]</f>
        <v>0</v>
      </c>
      <c r="P422"/>
      <c r="Q422" s="59"/>
      <c r="R422" s="1"/>
    </row>
    <row r="423" spans="1:18">
      <c r="A423" s="122" t="e">
        <f>IF(VLOOKUP(Tabela6[[#This Row],[UF]],'BASE CC'!B:C,2,0)="SP",IF(Tabela6[[#This Row],[OPERADORA]]="TIM","SP TIM","SPI"),VLOOKUP(Tabela6[[#This Row],[UF]],'BASE CC'!B:C,2,0))</f>
        <v>#N/A</v>
      </c>
      <c r="B423" s="36" t="e">
        <f>VLOOKUP(Tabela_Base_Financeiro[[#This Row],[Item code]],'COD.FAT'!B:C,2,0)</f>
        <v>#N/A</v>
      </c>
      <c r="C423" s="292">
        <f>Tabela_Base_Financeiro[[#This Row],[PO Ship TO]]</f>
        <v>0</v>
      </c>
      <c r="D423" s="36" t="str">
        <f>RIGHT(Tabela_Base_Financeiro[[#This Row],[Manufacturer]],2)</f>
        <v/>
      </c>
      <c r="E42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23" s="122" t="e">
        <f>VLOOKUP(Tabela_Base_Financeiro[[#This Row],[Project Code]],'COD. PROJETOS'!B:D,3,0)</f>
        <v>#N/A</v>
      </c>
      <c r="G423" s="36">
        <f>IFERROR(Tabela_Base_Financeiro[[#This Row],[PO No,]],0)</f>
        <v>0</v>
      </c>
      <c r="H423" s="36">
        <f>IFERROR(Tabela_Base_Financeiro[[#This Row],[Line No,]],0)</f>
        <v>0</v>
      </c>
      <c r="I423" s="36" t="str">
        <f>IFERROR(MID(Tabela_Base_Financeiro[[#This Row],[Manufacturer]],19,14),"")</f>
        <v/>
      </c>
      <c r="J423" s="113">
        <f>IFERROR(Tabela_Base_Financeiro[[#This Row],[Item code]],0)</f>
        <v>0</v>
      </c>
      <c r="K423" s="293">
        <f>IFERROR(Tabela_Base_Financeiro[[#This Row],[Unit Price]],0)</f>
        <v>0</v>
      </c>
      <c r="L423" s="36">
        <f>IFERROR(Tabela_Base_Financeiro[[#This Row],[AC Qty,]],0)</f>
        <v>0</v>
      </c>
      <c r="M423" s="60">
        <f>Tabela6[[#This Row],[Qty]]*Tabela6[[#This Row],[Preço]]</f>
        <v>0</v>
      </c>
      <c r="N423" s="37">
        <f>IFERROR(Tabela_Base_Financeiro[[#This Row],[Proportion]],0)</f>
        <v>0</v>
      </c>
      <c r="O423" s="60">
        <f>Tabela6[[#This Row],[Proporção]]*Tabela6[[#This Row],[Total]]</f>
        <v>0</v>
      </c>
      <c r="P423"/>
      <c r="Q423" s="59"/>
      <c r="R423" s="1"/>
    </row>
    <row r="424" spans="1:18">
      <c r="A424" s="122" t="e">
        <f>IF(VLOOKUP(Tabela6[[#This Row],[UF]],'BASE CC'!B:C,2,0)="SP",IF(Tabela6[[#This Row],[OPERADORA]]="TIM","SP TIM","SPI"),VLOOKUP(Tabela6[[#This Row],[UF]],'BASE CC'!B:C,2,0))</f>
        <v>#N/A</v>
      </c>
      <c r="B424" s="36" t="e">
        <f>VLOOKUP(Tabela_Base_Financeiro[[#This Row],[Item code]],'COD.FAT'!B:C,2,0)</f>
        <v>#N/A</v>
      </c>
      <c r="C424" s="292">
        <f>Tabela_Base_Financeiro[[#This Row],[PO Ship TO]]</f>
        <v>0</v>
      </c>
      <c r="D424" s="36" t="str">
        <f>RIGHT(Tabela_Base_Financeiro[[#This Row],[Manufacturer]],2)</f>
        <v/>
      </c>
      <c r="E42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24" s="122" t="e">
        <f>VLOOKUP(Tabela_Base_Financeiro[[#This Row],[Project Code]],'COD. PROJETOS'!B:D,3,0)</f>
        <v>#N/A</v>
      </c>
      <c r="G424" s="36">
        <f>IFERROR(Tabela_Base_Financeiro[[#This Row],[PO No,]],0)</f>
        <v>0</v>
      </c>
      <c r="H424" s="36">
        <f>IFERROR(Tabela_Base_Financeiro[[#This Row],[Line No,]],0)</f>
        <v>0</v>
      </c>
      <c r="I424" s="36" t="str">
        <f>IFERROR(MID(Tabela_Base_Financeiro[[#This Row],[Manufacturer]],19,14),"")</f>
        <v/>
      </c>
      <c r="J424" s="113">
        <f>IFERROR(Tabela_Base_Financeiro[[#This Row],[Item code]],0)</f>
        <v>0</v>
      </c>
      <c r="K424" s="293">
        <f>IFERROR(Tabela_Base_Financeiro[[#This Row],[Unit Price]],0)</f>
        <v>0</v>
      </c>
      <c r="L424" s="36">
        <f>IFERROR(Tabela_Base_Financeiro[[#This Row],[AC Qty,]],0)</f>
        <v>0</v>
      </c>
      <c r="M424" s="60">
        <f>Tabela6[[#This Row],[Qty]]*Tabela6[[#This Row],[Preço]]</f>
        <v>0</v>
      </c>
      <c r="N424" s="37">
        <f>IFERROR(Tabela_Base_Financeiro[[#This Row],[Proportion]],0)</f>
        <v>0</v>
      </c>
      <c r="O424" s="60">
        <f>Tabela6[[#This Row],[Proporção]]*Tabela6[[#This Row],[Total]]</f>
        <v>0</v>
      </c>
      <c r="P424"/>
      <c r="Q424" s="59"/>
      <c r="R424" s="1"/>
    </row>
    <row r="425" spans="1:18">
      <c r="A425" s="122" t="e">
        <f>IF(VLOOKUP(Tabela6[[#This Row],[UF]],'BASE CC'!B:C,2,0)="SP",IF(Tabela6[[#This Row],[OPERADORA]]="TIM","SP TIM","SPI"),VLOOKUP(Tabela6[[#This Row],[UF]],'BASE CC'!B:C,2,0))</f>
        <v>#N/A</v>
      </c>
      <c r="B425" s="36" t="e">
        <f>VLOOKUP(Tabela_Base_Financeiro[[#This Row],[Item code]],'COD.FAT'!B:C,2,0)</f>
        <v>#N/A</v>
      </c>
      <c r="C425" s="292">
        <f>Tabela_Base_Financeiro[[#This Row],[PO Ship TO]]</f>
        <v>0</v>
      </c>
      <c r="D425" s="36" t="str">
        <f>RIGHT(Tabela_Base_Financeiro[[#This Row],[Manufacturer]],2)</f>
        <v/>
      </c>
      <c r="E42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25" s="122" t="e">
        <f>VLOOKUP(Tabela_Base_Financeiro[[#This Row],[Project Code]],'COD. PROJETOS'!B:D,3,0)</f>
        <v>#N/A</v>
      </c>
      <c r="G425" s="36">
        <f>IFERROR(Tabela_Base_Financeiro[[#This Row],[PO No,]],0)</f>
        <v>0</v>
      </c>
      <c r="H425" s="36">
        <f>IFERROR(Tabela_Base_Financeiro[[#This Row],[Line No,]],0)</f>
        <v>0</v>
      </c>
      <c r="I425" s="36" t="str">
        <f>IFERROR(MID(Tabela_Base_Financeiro[[#This Row],[Manufacturer]],19,14),"")</f>
        <v/>
      </c>
      <c r="J425" s="113">
        <f>IFERROR(Tabela_Base_Financeiro[[#This Row],[Item code]],0)</f>
        <v>0</v>
      </c>
      <c r="K425" s="293">
        <f>IFERROR(Tabela_Base_Financeiro[[#This Row],[Unit Price]],0)</f>
        <v>0</v>
      </c>
      <c r="L425" s="36">
        <f>IFERROR(Tabela_Base_Financeiro[[#This Row],[AC Qty,]],0)</f>
        <v>0</v>
      </c>
      <c r="M425" s="60">
        <f>Tabela6[[#This Row],[Qty]]*Tabela6[[#This Row],[Preço]]</f>
        <v>0</v>
      </c>
      <c r="N425" s="37">
        <f>IFERROR(Tabela_Base_Financeiro[[#This Row],[Proportion]],0)</f>
        <v>0</v>
      </c>
      <c r="O425" s="60">
        <f>Tabela6[[#This Row],[Proporção]]*Tabela6[[#This Row],[Total]]</f>
        <v>0</v>
      </c>
      <c r="P425"/>
      <c r="Q425" s="59"/>
      <c r="R425" s="1"/>
    </row>
    <row r="426" spans="1:18">
      <c r="A426" s="122" t="e">
        <f>IF(VLOOKUP(Tabela6[[#This Row],[UF]],'BASE CC'!B:C,2,0)="SP",IF(Tabela6[[#This Row],[OPERADORA]]="TIM","SP TIM","SPI"),VLOOKUP(Tabela6[[#This Row],[UF]],'BASE CC'!B:C,2,0))</f>
        <v>#N/A</v>
      </c>
      <c r="B426" s="36" t="e">
        <f>VLOOKUP(Tabela_Base_Financeiro[[#This Row],[Item code]],'COD.FAT'!B:C,2,0)</f>
        <v>#N/A</v>
      </c>
      <c r="C426" s="292">
        <f>Tabela_Base_Financeiro[[#This Row],[PO Ship TO]]</f>
        <v>0</v>
      </c>
      <c r="D426" s="36" t="str">
        <f>RIGHT(Tabela_Base_Financeiro[[#This Row],[Manufacturer]],2)</f>
        <v/>
      </c>
      <c r="E42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26" s="122" t="e">
        <f>VLOOKUP(Tabela_Base_Financeiro[[#This Row],[Project Code]],'COD. PROJETOS'!B:D,3,0)</f>
        <v>#N/A</v>
      </c>
      <c r="G426" s="36">
        <f>IFERROR(Tabela_Base_Financeiro[[#This Row],[PO No,]],0)</f>
        <v>0</v>
      </c>
      <c r="H426" s="36">
        <f>IFERROR(Tabela_Base_Financeiro[[#This Row],[Line No,]],0)</f>
        <v>0</v>
      </c>
      <c r="I426" s="36" t="str">
        <f>IFERROR(MID(Tabela_Base_Financeiro[[#This Row],[Manufacturer]],19,14),"")</f>
        <v/>
      </c>
      <c r="J426" s="113">
        <f>IFERROR(Tabela_Base_Financeiro[[#This Row],[Item code]],0)</f>
        <v>0</v>
      </c>
      <c r="K426" s="293">
        <f>IFERROR(Tabela_Base_Financeiro[[#This Row],[Unit Price]],0)</f>
        <v>0</v>
      </c>
      <c r="L426" s="36">
        <f>IFERROR(Tabela_Base_Financeiro[[#This Row],[AC Qty,]],0)</f>
        <v>0</v>
      </c>
      <c r="M426" s="60">
        <f>Tabela6[[#This Row],[Qty]]*Tabela6[[#This Row],[Preço]]</f>
        <v>0</v>
      </c>
      <c r="N426" s="37">
        <f>IFERROR(Tabela_Base_Financeiro[[#This Row],[Proportion]],0)</f>
        <v>0</v>
      </c>
      <c r="O426" s="60">
        <f>Tabela6[[#This Row],[Proporção]]*Tabela6[[#This Row],[Total]]</f>
        <v>0</v>
      </c>
      <c r="P426"/>
      <c r="Q426" s="59"/>
      <c r="R426" s="1"/>
    </row>
    <row r="427" spans="1:18">
      <c r="A427" s="122" t="e">
        <f>IF(VLOOKUP(Tabela6[[#This Row],[UF]],'BASE CC'!B:C,2,0)="SP",IF(Tabela6[[#This Row],[OPERADORA]]="TIM","SP TIM","SPI"),VLOOKUP(Tabela6[[#This Row],[UF]],'BASE CC'!B:C,2,0))</f>
        <v>#N/A</v>
      </c>
      <c r="B427" s="36" t="e">
        <f>VLOOKUP(Tabela_Base_Financeiro[[#This Row],[Item code]],'COD.FAT'!B:C,2,0)</f>
        <v>#N/A</v>
      </c>
      <c r="C427" s="292">
        <f>Tabela_Base_Financeiro[[#This Row],[PO Ship TO]]</f>
        <v>0</v>
      </c>
      <c r="D427" s="36" t="str">
        <f>RIGHT(Tabela_Base_Financeiro[[#This Row],[Manufacturer]],2)</f>
        <v/>
      </c>
      <c r="E42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27" s="122" t="e">
        <f>VLOOKUP(Tabela_Base_Financeiro[[#This Row],[Project Code]],'COD. PROJETOS'!B:D,3,0)</f>
        <v>#N/A</v>
      </c>
      <c r="G427" s="36">
        <f>IFERROR(Tabela_Base_Financeiro[[#This Row],[PO No,]],0)</f>
        <v>0</v>
      </c>
      <c r="H427" s="36">
        <f>IFERROR(Tabela_Base_Financeiro[[#This Row],[Line No,]],0)</f>
        <v>0</v>
      </c>
      <c r="I427" s="36" t="str">
        <f>IFERROR(MID(Tabela_Base_Financeiro[[#This Row],[Manufacturer]],19,14),"")</f>
        <v/>
      </c>
      <c r="J427" s="113">
        <f>IFERROR(Tabela_Base_Financeiro[[#This Row],[Item code]],0)</f>
        <v>0</v>
      </c>
      <c r="K427" s="293">
        <f>IFERROR(Tabela_Base_Financeiro[[#This Row],[Unit Price]],0)</f>
        <v>0</v>
      </c>
      <c r="L427" s="36">
        <f>IFERROR(Tabela_Base_Financeiro[[#This Row],[AC Qty,]],0)</f>
        <v>0</v>
      </c>
      <c r="M427" s="60">
        <f>Tabela6[[#This Row],[Qty]]*Tabela6[[#This Row],[Preço]]</f>
        <v>0</v>
      </c>
      <c r="N427" s="37">
        <f>IFERROR(Tabela_Base_Financeiro[[#This Row],[Proportion]],0)</f>
        <v>0</v>
      </c>
      <c r="O427" s="60">
        <f>Tabela6[[#This Row],[Proporção]]*Tabela6[[#This Row],[Total]]</f>
        <v>0</v>
      </c>
      <c r="P427"/>
      <c r="Q427" s="59"/>
      <c r="R427" s="1"/>
    </row>
    <row r="428" spans="1:18">
      <c r="A428" s="122" t="e">
        <f>IF(VLOOKUP(Tabela6[[#This Row],[UF]],'BASE CC'!B:C,2,0)="SP",IF(Tabela6[[#This Row],[OPERADORA]]="TIM","SP TIM","SPI"),VLOOKUP(Tabela6[[#This Row],[UF]],'BASE CC'!B:C,2,0))</f>
        <v>#N/A</v>
      </c>
      <c r="B428" s="36" t="e">
        <f>VLOOKUP(Tabela_Base_Financeiro[[#This Row],[Item code]],'COD.FAT'!B:C,2,0)</f>
        <v>#N/A</v>
      </c>
      <c r="C428" s="292">
        <f>Tabela_Base_Financeiro[[#This Row],[PO Ship TO]]</f>
        <v>0</v>
      </c>
      <c r="D428" s="36" t="str">
        <f>RIGHT(Tabela_Base_Financeiro[[#This Row],[Manufacturer]],2)</f>
        <v/>
      </c>
      <c r="E42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28" s="122" t="e">
        <f>VLOOKUP(Tabela_Base_Financeiro[[#This Row],[Project Code]],'COD. PROJETOS'!B:D,3,0)</f>
        <v>#N/A</v>
      </c>
      <c r="G428" s="36">
        <f>IFERROR(Tabela_Base_Financeiro[[#This Row],[PO No,]],0)</f>
        <v>0</v>
      </c>
      <c r="H428" s="36">
        <f>IFERROR(Tabela_Base_Financeiro[[#This Row],[Line No,]],0)</f>
        <v>0</v>
      </c>
      <c r="I428" s="36" t="str">
        <f>IFERROR(MID(Tabela_Base_Financeiro[[#This Row],[Manufacturer]],19,14),"")</f>
        <v/>
      </c>
      <c r="J428" s="113">
        <f>IFERROR(Tabela_Base_Financeiro[[#This Row],[Item code]],0)</f>
        <v>0</v>
      </c>
      <c r="K428" s="293">
        <f>IFERROR(Tabela_Base_Financeiro[[#This Row],[Unit Price]],0)</f>
        <v>0</v>
      </c>
      <c r="L428" s="36">
        <f>IFERROR(Tabela_Base_Financeiro[[#This Row],[AC Qty,]],0)</f>
        <v>0</v>
      </c>
      <c r="M428" s="60">
        <f>Tabela6[[#This Row],[Qty]]*Tabela6[[#This Row],[Preço]]</f>
        <v>0</v>
      </c>
      <c r="N428" s="37">
        <f>IFERROR(Tabela_Base_Financeiro[[#This Row],[Proportion]],0)</f>
        <v>0</v>
      </c>
      <c r="O428" s="60">
        <f>Tabela6[[#This Row],[Proporção]]*Tabela6[[#This Row],[Total]]</f>
        <v>0</v>
      </c>
      <c r="P428"/>
      <c r="Q428" s="59"/>
      <c r="R428" s="1"/>
    </row>
    <row r="429" spans="1:18">
      <c r="A429" s="122" t="e">
        <f>IF(VLOOKUP(Tabela6[[#This Row],[UF]],'BASE CC'!B:C,2,0)="SP",IF(Tabela6[[#This Row],[OPERADORA]]="TIM","SP TIM","SPI"),VLOOKUP(Tabela6[[#This Row],[UF]],'BASE CC'!B:C,2,0))</f>
        <v>#N/A</v>
      </c>
      <c r="B429" s="36" t="e">
        <f>VLOOKUP(Tabela_Base_Financeiro[[#This Row],[Item code]],'COD.FAT'!B:C,2,0)</f>
        <v>#N/A</v>
      </c>
      <c r="C429" s="292">
        <f>Tabela_Base_Financeiro[[#This Row],[PO Ship TO]]</f>
        <v>0</v>
      </c>
      <c r="D429" s="36" t="str">
        <f>RIGHT(Tabela_Base_Financeiro[[#This Row],[Manufacturer]],2)</f>
        <v/>
      </c>
      <c r="E42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29" s="122" t="e">
        <f>VLOOKUP(Tabela_Base_Financeiro[[#This Row],[Project Code]],'COD. PROJETOS'!B:D,3,0)</f>
        <v>#N/A</v>
      </c>
      <c r="G429" s="36">
        <f>IFERROR(Tabela_Base_Financeiro[[#This Row],[PO No,]],0)</f>
        <v>0</v>
      </c>
      <c r="H429" s="36">
        <f>IFERROR(Tabela_Base_Financeiro[[#This Row],[Line No,]],0)</f>
        <v>0</v>
      </c>
      <c r="I429" s="36" t="str">
        <f>IFERROR(MID(Tabela_Base_Financeiro[[#This Row],[Manufacturer]],19,14),"")</f>
        <v/>
      </c>
      <c r="J429" s="113">
        <f>IFERROR(Tabela_Base_Financeiro[[#This Row],[Item code]],0)</f>
        <v>0</v>
      </c>
      <c r="K429" s="293">
        <f>IFERROR(Tabela_Base_Financeiro[[#This Row],[Unit Price]],0)</f>
        <v>0</v>
      </c>
      <c r="L429" s="36">
        <f>IFERROR(Tabela_Base_Financeiro[[#This Row],[AC Qty,]],0)</f>
        <v>0</v>
      </c>
      <c r="M429" s="60">
        <f>Tabela6[[#This Row],[Qty]]*Tabela6[[#This Row],[Preço]]</f>
        <v>0</v>
      </c>
      <c r="N429" s="37">
        <f>IFERROR(Tabela_Base_Financeiro[[#This Row],[Proportion]],0)</f>
        <v>0</v>
      </c>
      <c r="O429" s="60">
        <f>Tabela6[[#This Row],[Proporção]]*Tabela6[[#This Row],[Total]]</f>
        <v>0</v>
      </c>
      <c r="P429"/>
      <c r="Q429" s="59"/>
      <c r="R429" s="1"/>
    </row>
    <row r="430" spans="1:18">
      <c r="A430" s="122" t="e">
        <f>IF(VLOOKUP(Tabela6[[#This Row],[UF]],'BASE CC'!B:C,2,0)="SP",IF(Tabela6[[#This Row],[OPERADORA]]="TIM","SP TIM","SPI"),VLOOKUP(Tabela6[[#This Row],[UF]],'BASE CC'!B:C,2,0))</f>
        <v>#N/A</v>
      </c>
      <c r="B430" s="36" t="e">
        <f>VLOOKUP(Tabela_Base_Financeiro[[#This Row],[Item code]],'COD.FAT'!B:C,2,0)</f>
        <v>#N/A</v>
      </c>
      <c r="C430" s="292">
        <f>Tabela_Base_Financeiro[[#This Row],[PO Ship TO]]</f>
        <v>0</v>
      </c>
      <c r="D430" s="36" t="str">
        <f>RIGHT(Tabela_Base_Financeiro[[#This Row],[Manufacturer]],2)</f>
        <v/>
      </c>
      <c r="E43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30" s="122" t="e">
        <f>VLOOKUP(Tabela_Base_Financeiro[[#This Row],[Project Code]],'COD. PROJETOS'!B:D,3,0)</f>
        <v>#N/A</v>
      </c>
      <c r="G430" s="36">
        <f>IFERROR(Tabela_Base_Financeiro[[#This Row],[PO No,]],0)</f>
        <v>0</v>
      </c>
      <c r="H430" s="36">
        <f>IFERROR(Tabela_Base_Financeiro[[#This Row],[Line No,]],0)</f>
        <v>0</v>
      </c>
      <c r="I430" s="36" t="str">
        <f>IFERROR(MID(Tabela_Base_Financeiro[[#This Row],[Manufacturer]],19,14),"")</f>
        <v/>
      </c>
      <c r="J430" s="113">
        <f>IFERROR(Tabela_Base_Financeiro[[#This Row],[Item code]],0)</f>
        <v>0</v>
      </c>
      <c r="K430" s="293">
        <f>IFERROR(Tabela_Base_Financeiro[[#This Row],[Unit Price]],0)</f>
        <v>0</v>
      </c>
      <c r="L430" s="36">
        <f>IFERROR(Tabela_Base_Financeiro[[#This Row],[AC Qty,]],0)</f>
        <v>0</v>
      </c>
      <c r="M430" s="60">
        <f>Tabela6[[#This Row],[Qty]]*Tabela6[[#This Row],[Preço]]</f>
        <v>0</v>
      </c>
      <c r="N430" s="37">
        <f>IFERROR(Tabela_Base_Financeiro[[#This Row],[Proportion]],0)</f>
        <v>0</v>
      </c>
      <c r="O430" s="60">
        <f>Tabela6[[#This Row],[Proporção]]*Tabela6[[#This Row],[Total]]</f>
        <v>0</v>
      </c>
      <c r="P430"/>
      <c r="Q430" s="59"/>
      <c r="R430" s="1"/>
    </row>
    <row r="431" spans="1:18">
      <c r="A431" s="122" t="e">
        <f>IF(VLOOKUP(Tabela6[[#This Row],[UF]],'BASE CC'!B:C,2,0)="SP",IF(Tabela6[[#This Row],[OPERADORA]]="TIM","SP TIM","SPI"),VLOOKUP(Tabela6[[#This Row],[UF]],'BASE CC'!B:C,2,0))</f>
        <v>#N/A</v>
      </c>
      <c r="B431" s="36" t="e">
        <f>VLOOKUP(Tabela_Base_Financeiro[[#This Row],[Item code]],'COD.FAT'!B:C,2,0)</f>
        <v>#N/A</v>
      </c>
      <c r="C431" s="292">
        <f>Tabela_Base_Financeiro[[#This Row],[PO Ship TO]]</f>
        <v>0</v>
      </c>
      <c r="D431" s="36" t="str">
        <f>RIGHT(Tabela_Base_Financeiro[[#This Row],[Manufacturer]],2)</f>
        <v/>
      </c>
      <c r="E43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31" s="122" t="e">
        <f>VLOOKUP(Tabela_Base_Financeiro[[#This Row],[Project Code]],'COD. PROJETOS'!B:D,3,0)</f>
        <v>#N/A</v>
      </c>
      <c r="G431" s="36">
        <f>IFERROR(Tabela_Base_Financeiro[[#This Row],[PO No,]],0)</f>
        <v>0</v>
      </c>
      <c r="H431" s="36">
        <f>IFERROR(Tabela_Base_Financeiro[[#This Row],[Line No,]],0)</f>
        <v>0</v>
      </c>
      <c r="I431" s="36" t="str">
        <f>IFERROR(MID(Tabela_Base_Financeiro[[#This Row],[Manufacturer]],19,14),"")</f>
        <v/>
      </c>
      <c r="J431" s="113">
        <f>IFERROR(Tabela_Base_Financeiro[[#This Row],[Item code]],0)</f>
        <v>0</v>
      </c>
      <c r="K431" s="293">
        <f>IFERROR(Tabela_Base_Financeiro[[#This Row],[Unit Price]],0)</f>
        <v>0</v>
      </c>
      <c r="L431" s="36">
        <f>IFERROR(Tabela_Base_Financeiro[[#This Row],[AC Qty,]],0)</f>
        <v>0</v>
      </c>
      <c r="M431" s="60">
        <f>Tabela6[[#This Row],[Qty]]*Tabela6[[#This Row],[Preço]]</f>
        <v>0</v>
      </c>
      <c r="N431" s="37">
        <f>IFERROR(Tabela_Base_Financeiro[[#This Row],[Proportion]],0)</f>
        <v>0</v>
      </c>
      <c r="O431" s="60">
        <f>Tabela6[[#This Row],[Proporção]]*Tabela6[[#This Row],[Total]]</f>
        <v>0</v>
      </c>
      <c r="P431"/>
      <c r="Q431" s="59"/>
      <c r="R431" s="1"/>
    </row>
    <row r="432" spans="1:18">
      <c r="A432" s="122" t="e">
        <f>IF(VLOOKUP(Tabela6[[#This Row],[UF]],'BASE CC'!B:C,2,0)="SP",IF(Tabela6[[#This Row],[OPERADORA]]="TIM","SP TIM","SPI"),VLOOKUP(Tabela6[[#This Row],[UF]],'BASE CC'!B:C,2,0))</f>
        <v>#N/A</v>
      </c>
      <c r="B432" s="36" t="e">
        <f>VLOOKUP(Tabela_Base_Financeiro[[#This Row],[Item code]],'COD.FAT'!B:C,2,0)</f>
        <v>#N/A</v>
      </c>
      <c r="C432" s="292">
        <f>Tabela_Base_Financeiro[[#This Row],[PO Ship TO]]</f>
        <v>0</v>
      </c>
      <c r="D432" s="36" t="str">
        <f>RIGHT(Tabela_Base_Financeiro[[#This Row],[Manufacturer]],2)</f>
        <v/>
      </c>
      <c r="E43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32" s="122" t="e">
        <f>VLOOKUP(Tabela_Base_Financeiro[[#This Row],[Project Code]],'COD. PROJETOS'!B:D,3,0)</f>
        <v>#N/A</v>
      </c>
      <c r="G432" s="36">
        <f>IFERROR(Tabela_Base_Financeiro[[#This Row],[PO No,]],0)</f>
        <v>0</v>
      </c>
      <c r="H432" s="36">
        <f>IFERROR(Tabela_Base_Financeiro[[#This Row],[Line No,]],0)</f>
        <v>0</v>
      </c>
      <c r="I432" s="36" t="str">
        <f>IFERROR(MID(Tabela_Base_Financeiro[[#This Row],[Manufacturer]],19,14),"")</f>
        <v/>
      </c>
      <c r="J432" s="113">
        <f>IFERROR(Tabela_Base_Financeiro[[#This Row],[Item code]],0)</f>
        <v>0</v>
      </c>
      <c r="K432" s="293">
        <f>IFERROR(Tabela_Base_Financeiro[[#This Row],[Unit Price]],0)</f>
        <v>0</v>
      </c>
      <c r="L432" s="36">
        <f>IFERROR(Tabela_Base_Financeiro[[#This Row],[AC Qty,]],0)</f>
        <v>0</v>
      </c>
      <c r="M432" s="60">
        <f>Tabela6[[#This Row],[Qty]]*Tabela6[[#This Row],[Preço]]</f>
        <v>0</v>
      </c>
      <c r="N432" s="37">
        <f>IFERROR(Tabela_Base_Financeiro[[#This Row],[Proportion]],0)</f>
        <v>0</v>
      </c>
      <c r="O432" s="60">
        <f>Tabela6[[#This Row],[Proporção]]*Tabela6[[#This Row],[Total]]</f>
        <v>0</v>
      </c>
      <c r="P432"/>
      <c r="Q432" s="59"/>
      <c r="R432" s="1"/>
    </row>
    <row r="433" spans="1:18">
      <c r="A433" s="122" t="e">
        <f>IF(VLOOKUP(Tabela6[[#This Row],[UF]],'BASE CC'!B:C,2,0)="SP",IF(Tabela6[[#This Row],[OPERADORA]]="TIM","SP TIM","SPI"),VLOOKUP(Tabela6[[#This Row],[UF]],'BASE CC'!B:C,2,0))</f>
        <v>#N/A</v>
      </c>
      <c r="B433" s="36" t="e">
        <f>VLOOKUP(Tabela_Base_Financeiro[[#This Row],[Item code]],'COD.FAT'!B:C,2,0)</f>
        <v>#N/A</v>
      </c>
      <c r="C433" s="292">
        <f>Tabela_Base_Financeiro[[#This Row],[PO Ship TO]]</f>
        <v>0</v>
      </c>
      <c r="D433" s="36" t="str">
        <f>RIGHT(Tabela_Base_Financeiro[[#This Row],[Manufacturer]],2)</f>
        <v/>
      </c>
      <c r="E43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33" s="122" t="e">
        <f>VLOOKUP(Tabela_Base_Financeiro[[#This Row],[Project Code]],'COD. PROJETOS'!B:D,3,0)</f>
        <v>#N/A</v>
      </c>
      <c r="G433" s="36">
        <f>IFERROR(Tabela_Base_Financeiro[[#This Row],[PO No,]],0)</f>
        <v>0</v>
      </c>
      <c r="H433" s="36">
        <f>IFERROR(Tabela_Base_Financeiro[[#This Row],[Line No,]],0)</f>
        <v>0</v>
      </c>
      <c r="I433" s="36" t="str">
        <f>IFERROR(MID(Tabela_Base_Financeiro[[#This Row],[Manufacturer]],19,14),"")</f>
        <v/>
      </c>
      <c r="J433" s="113">
        <f>IFERROR(Tabela_Base_Financeiro[[#This Row],[Item code]],0)</f>
        <v>0</v>
      </c>
      <c r="K433" s="293">
        <f>IFERROR(Tabela_Base_Financeiro[[#This Row],[Unit Price]],0)</f>
        <v>0</v>
      </c>
      <c r="L433" s="36">
        <f>IFERROR(Tabela_Base_Financeiro[[#This Row],[AC Qty,]],0)</f>
        <v>0</v>
      </c>
      <c r="M433" s="60">
        <f>Tabela6[[#This Row],[Qty]]*Tabela6[[#This Row],[Preço]]</f>
        <v>0</v>
      </c>
      <c r="N433" s="37">
        <f>IFERROR(Tabela_Base_Financeiro[[#This Row],[Proportion]],0)</f>
        <v>0</v>
      </c>
      <c r="O433" s="60">
        <f>Tabela6[[#This Row],[Proporção]]*Tabela6[[#This Row],[Total]]</f>
        <v>0</v>
      </c>
      <c r="P433"/>
      <c r="Q433" s="59"/>
      <c r="R433" s="1"/>
    </row>
    <row r="434" spans="1:18">
      <c r="A434" s="122" t="e">
        <f>IF(VLOOKUP(Tabela6[[#This Row],[UF]],'BASE CC'!B:C,2,0)="SP",IF(Tabela6[[#This Row],[OPERADORA]]="TIM","SP TIM","SPI"),VLOOKUP(Tabela6[[#This Row],[UF]],'BASE CC'!B:C,2,0))</f>
        <v>#N/A</v>
      </c>
      <c r="B434" s="36" t="e">
        <f>VLOOKUP(Tabela_Base_Financeiro[[#This Row],[Item code]],'COD.FAT'!B:C,2,0)</f>
        <v>#N/A</v>
      </c>
      <c r="C434" s="292">
        <f>Tabela_Base_Financeiro[[#This Row],[PO Ship TO]]</f>
        <v>0</v>
      </c>
      <c r="D434" s="36" t="str">
        <f>RIGHT(Tabela_Base_Financeiro[[#This Row],[Manufacturer]],2)</f>
        <v/>
      </c>
      <c r="E43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34" s="122" t="e">
        <f>VLOOKUP(Tabela_Base_Financeiro[[#This Row],[Project Code]],'COD. PROJETOS'!B:D,3,0)</f>
        <v>#N/A</v>
      </c>
      <c r="G434" s="36">
        <f>IFERROR(Tabela_Base_Financeiro[[#This Row],[PO No,]],0)</f>
        <v>0</v>
      </c>
      <c r="H434" s="36">
        <f>IFERROR(Tabela_Base_Financeiro[[#This Row],[Line No,]],0)</f>
        <v>0</v>
      </c>
      <c r="I434" s="36" t="str">
        <f>IFERROR(MID(Tabela_Base_Financeiro[[#This Row],[Manufacturer]],19,14),"")</f>
        <v/>
      </c>
      <c r="J434" s="113">
        <f>IFERROR(Tabela_Base_Financeiro[[#This Row],[Item code]],0)</f>
        <v>0</v>
      </c>
      <c r="K434" s="293">
        <f>IFERROR(Tabela_Base_Financeiro[[#This Row],[Unit Price]],0)</f>
        <v>0</v>
      </c>
      <c r="L434" s="36">
        <f>IFERROR(Tabela_Base_Financeiro[[#This Row],[AC Qty,]],0)</f>
        <v>0</v>
      </c>
      <c r="M434" s="60">
        <f>Tabela6[[#This Row],[Qty]]*Tabela6[[#This Row],[Preço]]</f>
        <v>0</v>
      </c>
      <c r="N434" s="37">
        <f>IFERROR(Tabela_Base_Financeiro[[#This Row],[Proportion]],0)</f>
        <v>0</v>
      </c>
      <c r="O434" s="60">
        <f>Tabela6[[#This Row],[Proporção]]*Tabela6[[#This Row],[Total]]</f>
        <v>0</v>
      </c>
      <c r="P434"/>
      <c r="Q434" s="59"/>
      <c r="R434" s="1"/>
    </row>
    <row r="435" spans="1:18">
      <c r="A435" s="122" t="e">
        <f>IF(VLOOKUP(Tabela6[[#This Row],[UF]],'BASE CC'!B:C,2,0)="SP",IF(Tabela6[[#This Row],[OPERADORA]]="TIM","SP TIM","SPI"),VLOOKUP(Tabela6[[#This Row],[UF]],'BASE CC'!B:C,2,0))</f>
        <v>#N/A</v>
      </c>
      <c r="B435" s="36" t="e">
        <f>VLOOKUP(Tabela_Base_Financeiro[[#This Row],[Item code]],'COD.FAT'!B:C,2,0)</f>
        <v>#N/A</v>
      </c>
      <c r="C435" s="292">
        <f>Tabela_Base_Financeiro[[#This Row],[PO Ship TO]]</f>
        <v>0</v>
      </c>
      <c r="D435" s="36" t="str">
        <f>RIGHT(Tabela_Base_Financeiro[[#This Row],[Manufacturer]],2)</f>
        <v/>
      </c>
      <c r="E43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35" s="122" t="e">
        <f>VLOOKUP(Tabela_Base_Financeiro[[#This Row],[Project Code]],'COD. PROJETOS'!B:D,3,0)</f>
        <v>#N/A</v>
      </c>
      <c r="G435" s="36">
        <f>IFERROR(Tabela_Base_Financeiro[[#This Row],[PO No,]],0)</f>
        <v>0</v>
      </c>
      <c r="H435" s="36">
        <f>IFERROR(Tabela_Base_Financeiro[[#This Row],[Line No,]],0)</f>
        <v>0</v>
      </c>
      <c r="I435" s="36" t="str">
        <f>IFERROR(MID(Tabela_Base_Financeiro[[#This Row],[Manufacturer]],19,14),"")</f>
        <v/>
      </c>
      <c r="J435" s="113">
        <f>IFERROR(Tabela_Base_Financeiro[[#This Row],[Item code]],0)</f>
        <v>0</v>
      </c>
      <c r="K435" s="293">
        <f>IFERROR(Tabela_Base_Financeiro[[#This Row],[Unit Price]],0)</f>
        <v>0</v>
      </c>
      <c r="L435" s="36">
        <f>IFERROR(Tabela_Base_Financeiro[[#This Row],[AC Qty,]],0)</f>
        <v>0</v>
      </c>
      <c r="M435" s="60">
        <f>Tabela6[[#This Row],[Qty]]*Tabela6[[#This Row],[Preço]]</f>
        <v>0</v>
      </c>
      <c r="N435" s="37">
        <f>IFERROR(Tabela_Base_Financeiro[[#This Row],[Proportion]],0)</f>
        <v>0</v>
      </c>
      <c r="O435" s="60">
        <f>Tabela6[[#This Row],[Proporção]]*Tabela6[[#This Row],[Total]]</f>
        <v>0</v>
      </c>
      <c r="P435"/>
      <c r="Q435" s="59"/>
      <c r="R435" s="1"/>
    </row>
    <row r="436" spans="1:18">
      <c r="A436" s="122" t="e">
        <f>IF(VLOOKUP(Tabela6[[#This Row],[UF]],'BASE CC'!B:C,2,0)="SP",IF(Tabela6[[#This Row],[OPERADORA]]="TIM","SP TIM","SPI"),VLOOKUP(Tabela6[[#This Row],[UF]],'BASE CC'!B:C,2,0))</f>
        <v>#N/A</v>
      </c>
      <c r="B436" s="36" t="e">
        <f>VLOOKUP(Tabela_Base_Financeiro[[#This Row],[Item code]],'COD.FAT'!B:C,2,0)</f>
        <v>#N/A</v>
      </c>
      <c r="C436" s="292">
        <f>Tabela_Base_Financeiro[[#This Row],[PO Ship TO]]</f>
        <v>0</v>
      </c>
      <c r="D436" s="36" t="str">
        <f>RIGHT(Tabela_Base_Financeiro[[#This Row],[Manufacturer]],2)</f>
        <v/>
      </c>
      <c r="E43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36" s="122" t="e">
        <f>VLOOKUP(Tabela_Base_Financeiro[[#This Row],[Project Code]],'COD. PROJETOS'!B:D,3,0)</f>
        <v>#N/A</v>
      </c>
      <c r="G436" s="36">
        <f>IFERROR(Tabela_Base_Financeiro[[#This Row],[PO No,]],0)</f>
        <v>0</v>
      </c>
      <c r="H436" s="36">
        <f>IFERROR(Tabela_Base_Financeiro[[#This Row],[Line No,]],0)</f>
        <v>0</v>
      </c>
      <c r="I436" s="36" t="str">
        <f>IFERROR(MID(Tabela_Base_Financeiro[[#This Row],[Manufacturer]],19,14),"")</f>
        <v/>
      </c>
      <c r="J436" s="113">
        <f>IFERROR(Tabela_Base_Financeiro[[#This Row],[Item code]],0)</f>
        <v>0</v>
      </c>
      <c r="K436" s="293">
        <f>IFERROR(Tabela_Base_Financeiro[[#This Row],[Unit Price]],0)</f>
        <v>0</v>
      </c>
      <c r="L436" s="36">
        <f>IFERROR(Tabela_Base_Financeiro[[#This Row],[AC Qty,]],0)</f>
        <v>0</v>
      </c>
      <c r="M436" s="60">
        <f>Tabela6[[#This Row],[Qty]]*Tabela6[[#This Row],[Preço]]</f>
        <v>0</v>
      </c>
      <c r="N436" s="37">
        <f>IFERROR(Tabela_Base_Financeiro[[#This Row],[Proportion]],0)</f>
        <v>0</v>
      </c>
      <c r="O436" s="60">
        <f>Tabela6[[#This Row],[Proporção]]*Tabela6[[#This Row],[Total]]</f>
        <v>0</v>
      </c>
      <c r="P436"/>
      <c r="Q436" s="59"/>
      <c r="R436" s="1"/>
    </row>
    <row r="437" spans="1:18">
      <c r="A437" s="122" t="e">
        <f>IF(VLOOKUP(Tabela6[[#This Row],[UF]],'BASE CC'!B:C,2,0)="SP",IF(Tabela6[[#This Row],[OPERADORA]]="TIM","SP TIM","SPI"),VLOOKUP(Tabela6[[#This Row],[UF]],'BASE CC'!B:C,2,0))</f>
        <v>#N/A</v>
      </c>
      <c r="B437" s="36" t="e">
        <f>VLOOKUP(Tabela_Base_Financeiro[[#This Row],[Item code]],'COD.FAT'!B:C,2,0)</f>
        <v>#N/A</v>
      </c>
      <c r="C437" s="292">
        <f>Tabela_Base_Financeiro[[#This Row],[PO Ship TO]]</f>
        <v>0</v>
      </c>
      <c r="D437" s="36" t="str">
        <f>RIGHT(Tabela_Base_Financeiro[[#This Row],[Manufacturer]],2)</f>
        <v/>
      </c>
      <c r="E43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37" s="122" t="e">
        <f>VLOOKUP(Tabela_Base_Financeiro[[#This Row],[Project Code]],'COD. PROJETOS'!B:D,3,0)</f>
        <v>#N/A</v>
      </c>
      <c r="G437" s="36">
        <f>IFERROR(Tabela_Base_Financeiro[[#This Row],[PO No,]],0)</f>
        <v>0</v>
      </c>
      <c r="H437" s="36">
        <f>IFERROR(Tabela_Base_Financeiro[[#This Row],[Line No,]],0)</f>
        <v>0</v>
      </c>
      <c r="I437" s="36" t="str">
        <f>IFERROR(MID(Tabela_Base_Financeiro[[#This Row],[Manufacturer]],19,14),"")</f>
        <v/>
      </c>
      <c r="J437" s="113">
        <f>IFERROR(Tabela_Base_Financeiro[[#This Row],[Item code]],0)</f>
        <v>0</v>
      </c>
      <c r="K437" s="293">
        <f>IFERROR(Tabela_Base_Financeiro[[#This Row],[Unit Price]],0)</f>
        <v>0</v>
      </c>
      <c r="L437" s="36">
        <f>IFERROR(Tabela_Base_Financeiro[[#This Row],[AC Qty,]],0)</f>
        <v>0</v>
      </c>
      <c r="M437" s="60">
        <f>Tabela6[[#This Row],[Qty]]*Tabela6[[#This Row],[Preço]]</f>
        <v>0</v>
      </c>
      <c r="N437" s="37">
        <f>IFERROR(Tabela_Base_Financeiro[[#This Row],[Proportion]],0)</f>
        <v>0</v>
      </c>
      <c r="O437" s="60">
        <f>Tabela6[[#This Row],[Proporção]]*Tabela6[[#This Row],[Total]]</f>
        <v>0</v>
      </c>
      <c r="P437"/>
      <c r="Q437" s="59"/>
      <c r="R437" s="1"/>
    </row>
    <row r="438" spans="1:18">
      <c r="A438" s="122" t="e">
        <f>IF(VLOOKUP(Tabela6[[#This Row],[UF]],'BASE CC'!B:C,2,0)="SP",IF(Tabela6[[#This Row],[OPERADORA]]="TIM","SP TIM","SPI"),VLOOKUP(Tabela6[[#This Row],[UF]],'BASE CC'!B:C,2,0))</f>
        <v>#N/A</v>
      </c>
      <c r="B438" s="36" t="e">
        <f>VLOOKUP(Tabela_Base_Financeiro[[#This Row],[Item code]],'COD.FAT'!B:C,2,0)</f>
        <v>#N/A</v>
      </c>
      <c r="C438" s="292">
        <f>Tabela_Base_Financeiro[[#This Row],[PO Ship TO]]</f>
        <v>0</v>
      </c>
      <c r="D438" s="36" t="str">
        <f>RIGHT(Tabela_Base_Financeiro[[#This Row],[Manufacturer]],2)</f>
        <v/>
      </c>
      <c r="E43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38" s="122" t="e">
        <f>VLOOKUP(Tabela_Base_Financeiro[[#This Row],[Project Code]],'COD. PROJETOS'!B:D,3,0)</f>
        <v>#N/A</v>
      </c>
      <c r="G438" s="36">
        <f>IFERROR(Tabela_Base_Financeiro[[#This Row],[PO No,]],0)</f>
        <v>0</v>
      </c>
      <c r="H438" s="36">
        <f>IFERROR(Tabela_Base_Financeiro[[#This Row],[Line No,]],0)</f>
        <v>0</v>
      </c>
      <c r="I438" s="36" t="str">
        <f>IFERROR(MID(Tabela_Base_Financeiro[[#This Row],[Manufacturer]],19,14),"")</f>
        <v/>
      </c>
      <c r="J438" s="113">
        <f>IFERROR(Tabela_Base_Financeiro[[#This Row],[Item code]],0)</f>
        <v>0</v>
      </c>
      <c r="K438" s="293">
        <f>IFERROR(Tabela_Base_Financeiro[[#This Row],[Unit Price]],0)</f>
        <v>0</v>
      </c>
      <c r="L438" s="36">
        <f>IFERROR(Tabela_Base_Financeiro[[#This Row],[AC Qty,]],0)</f>
        <v>0</v>
      </c>
      <c r="M438" s="60">
        <f>Tabela6[[#This Row],[Qty]]*Tabela6[[#This Row],[Preço]]</f>
        <v>0</v>
      </c>
      <c r="N438" s="37">
        <f>IFERROR(Tabela_Base_Financeiro[[#This Row],[Proportion]],0)</f>
        <v>0</v>
      </c>
      <c r="O438" s="60">
        <f>Tabela6[[#This Row],[Proporção]]*Tabela6[[#This Row],[Total]]</f>
        <v>0</v>
      </c>
      <c r="P438"/>
      <c r="Q438" s="59"/>
      <c r="R438" s="1"/>
    </row>
    <row r="439" spans="1:18">
      <c r="A439" s="122" t="e">
        <f>IF(VLOOKUP(Tabela6[[#This Row],[UF]],'BASE CC'!B:C,2,0)="SP",IF(Tabela6[[#This Row],[OPERADORA]]="TIM","SP TIM","SPI"),VLOOKUP(Tabela6[[#This Row],[UF]],'BASE CC'!B:C,2,0))</f>
        <v>#N/A</v>
      </c>
      <c r="B439" s="36" t="e">
        <f>VLOOKUP(Tabela_Base_Financeiro[[#This Row],[Item code]],'COD.FAT'!B:C,2,0)</f>
        <v>#N/A</v>
      </c>
      <c r="C439" s="292">
        <f>Tabela_Base_Financeiro[[#This Row],[PO Ship TO]]</f>
        <v>0</v>
      </c>
      <c r="D439" s="36" t="str">
        <f>RIGHT(Tabela_Base_Financeiro[[#This Row],[Manufacturer]],2)</f>
        <v/>
      </c>
      <c r="E43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39" s="122" t="e">
        <f>VLOOKUP(Tabela_Base_Financeiro[[#This Row],[Project Code]],'COD. PROJETOS'!B:D,3,0)</f>
        <v>#N/A</v>
      </c>
      <c r="G439" s="36">
        <f>IFERROR(Tabela_Base_Financeiro[[#This Row],[PO No,]],0)</f>
        <v>0</v>
      </c>
      <c r="H439" s="36">
        <f>IFERROR(Tabela_Base_Financeiro[[#This Row],[Line No,]],0)</f>
        <v>0</v>
      </c>
      <c r="I439" s="36" t="str">
        <f>IFERROR(MID(Tabela_Base_Financeiro[[#This Row],[Manufacturer]],19,14),"")</f>
        <v/>
      </c>
      <c r="J439" s="113">
        <f>IFERROR(Tabela_Base_Financeiro[[#This Row],[Item code]],0)</f>
        <v>0</v>
      </c>
      <c r="K439" s="293">
        <f>IFERROR(Tabela_Base_Financeiro[[#This Row],[Unit Price]],0)</f>
        <v>0</v>
      </c>
      <c r="L439" s="36">
        <f>IFERROR(Tabela_Base_Financeiro[[#This Row],[AC Qty,]],0)</f>
        <v>0</v>
      </c>
      <c r="M439" s="60">
        <f>Tabela6[[#This Row],[Qty]]*Tabela6[[#This Row],[Preço]]</f>
        <v>0</v>
      </c>
      <c r="N439" s="37">
        <f>IFERROR(Tabela_Base_Financeiro[[#This Row],[Proportion]],0)</f>
        <v>0</v>
      </c>
      <c r="O439" s="60">
        <f>Tabela6[[#This Row],[Proporção]]*Tabela6[[#This Row],[Total]]</f>
        <v>0</v>
      </c>
      <c r="P439"/>
      <c r="Q439" s="59"/>
      <c r="R439" s="1"/>
    </row>
    <row r="440" spans="1:18">
      <c r="A440" s="122" t="e">
        <f>IF(VLOOKUP(Tabela6[[#This Row],[UF]],'BASE CC'!B:C,2,0)="SP",IF(Tabela6[[#This Row],[OPERADORA]]="TIM","SP TIM","SPI"),VLOOKUP(Tabela6[[#This Row],[UF]],'BASE CC'!B:C,2,0))</f>
        <v>#N/A</v>
      </c>
      <c r="B440" s="36" t="e">
        <f>VLOOKUP(Tabela_Base_Financeiro[[#This Row],[Item code]],'COD.FAT'!B:C,2,0)</f>
        <v>#N/A</v>
      </c>
      <c r="C440" s="292">
        <f>Tabela_Base_Financeiro[[#This Row],[PO Ship TO]]</f>
        <v>0</v>
      </c>
      <c r="D440" s="36" t="str">
        <f>RIGHT(Tabela_Base_Financeiro[[#This Row],[Manufacturer]],2)</f>
        <v/>
      </c>
      <c r="E44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40" s="122" t="e">
        <f>VLOOKUP(Tabela_Base_Financeiro[[#This Row],[Project Code]],'COD. PROJETOS'!B:D,3,0)</f>
        <v>#N/A</v>
      </c>
      <c r="G440" s="36">
        <f>IFERROR(Tabela_Base_Financeiro[[#This Row],[PO No,]],0)</f>
        <v>0</v>
      </c>
      <c r="H440" s="36">
        <f>IFERROR(Tabela_Base_Financeiro[[#This Row],[Line No,]],0)</f>
        <v>0</v>
      </c>
      <c r="I440" s="36" t="str">
        <f>IFERROR(MID(Tabela_Base_Financeiro[[#This Row],[Manufacturer]],19,14),"")</f>
        <v/>
      </c>
      <c r="J440" s="113">
        <f>IFERROR(Tabela_Base_Financeiro[[#This Row],[Item code]],0)</f>
        <v>0</v>
      </c>
      <c r="K440" s="293">
        <f>IFERROR(Tabela_Base_Financeiro[[#This Row],[Unit Price]],0)</f>
        <v>0</v>
      </c>
      <c r="L440" s="36">
        <f>IFERROR(Tabela_Base_Financeiro[[#This Row],[AC Qty,]],0)</f>
        <v>0</v>
      </c>
      <c r="M440" s="60">
        <f>Tabela6[[#This Row],[Qty]]*Tabela6[[#This Row],[Preço]]</f>
        <v>0</v>
      </c>
      <c r="N440" s="37">
        <f>IFERROR(Tabela_Base_Financeiro[[#This Row],[Proportion]],0)</f>
        <v>0</v>
      </c>
      <c r="O440" s="60">
        <f>Tabela6[[#This Row],[Proporção]]*Tabela6[[#This Row],[Total]]</f>
        <v>0</v>
      </c>
      <c r="P440"/>
      <c r="Q440" s="59"/>
      <c r="R440" s="1"/>
    </row>
    <row r="441" spans="1:18">
      <c r="A441" s="122" t="e">
        <f>IF(VLOOKUP(Tabela6[[#This Row],[UF]],'BASE CC'!B:C,2,0)="SP",IF(Tabela6[[#This Row],[OPERADORA]]="TIM","SP TIM","SPI"),VLOOKUP(Tabela6[[#This Row],[UF]],'BASE CC'!B:C,2,0))</f>
        <v>#N/A</v>
      </c>
      <c r="B441" s="36" t="e">
        <f>VLOOKUP(Tabela_Base_Financeiro[[#This Row],[Item code]],'COD.FAT'!B:C,2,0)</f>
        <v>#N/A</v>
      </c>
      <c r="C441" s="292">
        <f>Tabela_Base_Financeiro[[#This Row],[PO Ship TO]]</f>
        <v>0</v>
      </c>
      <c r="D441" s="36" t="str">
        <f>RIGHT(Tabela_Base_Financeiro[[#This Row],[Manufacturer]],2)</f>
        <v/>
      </c>
      <c r="E44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41" s="122" t="e">
        <f>VLOOKUP(Tabela_Base_Financeiro[[#This Row],[Project Code]],'COD. PROJETOS'!B:D,3,0)</f>
        <v>#N/A</v>
      </c>
      <c r="G441" s="36">
        <f>IFERROR(Tabela_Base_Financeiro[[#This Row],[PO No,]],0)</f>
        <v>0</v>
      </c>
      <c r="H441" s="36">
        <f>IFERROR(Tabela_Base_Financeiro[[#This Row],[Line No,]],0)</f>
        <v>0</v>
      </c>
      <c r="I441" s="36" t="str">
        <f>IFERROR(MID(Tabela_Base_Financeiro[[#This Row],[Manufacturer]],19,14),"")</f>
        <v/>
      </c>
      <c r="J441" s="113">
        <f>IFERROR(Tabela_Base_Financeiro[[#This Row],[Item code]],0)</f>
        <v>0</v>
      </c>
      <c r="K441" s="293">
        <f>IFERROR(Tabela_Base_Financeiro[[#This Row],[Unit Price]],0)</f>
        <v>0</v>
      </c>
      <c r="L441" s="36">
        <f>IFERROR(Tabela_Base_Financeiro[[#This Row],[AC Qty,]],0)</f>
        <v>0</v>
      </c>
      <c r="M441" s="60">
        <f>Tabela6[[#This Row],[Qty]]*Tabela6[[#This Row],[Preço]]</f>
        <v>0</v>
      </c>
      <c r="N441" s="37">
        <f>IFERROR(Tabela_Base_Financeiro[[#This Row],[Proportion]],0)</f>
        <v>0</v>
      </c>
      <c r="O441" s="60">
        <f>Tabela6[[#This Row],[Proporção]]*Tabela6[[#This Row],[Total]]</f>
        <v>0</v>
      </c>
      <c r="P441"/>
      <c r="Q441" s="59"/>
      <c r="R441" s="1"/>
    </row>
    <row r="442" spans="1:18">
      <c r="A442" s="122" t="e">
        <f>IF(VLOOKUP(Tabela6[[#This Row],[UF]],'BASE CC'!B:C,2,0)="SP",IF(Tabela6[[#This Row],[OPERADORA]]="TIM","SP TIM","SPI"),VLOOKUP(Tabela6[[#This Row],[UF]],'BASE CC'!B:C,2,0))</f>
        <v>#N/A</v>
      </c>
      <c r="B442" s="36" t="e">
        <f>VLOOKUP(Tabela_Base_Financeiro[[#This Row],[Item code]],'COD.FAT'!B:C,2,0)</f>
        <v>#N/A</v>
      </c>
      <c r="C442" s="292">
        <f>Tabela_Base_Financeiro[[#This Row],[PO Ship TO]]</f>
        <v>0</v>
      </c>
      <c r="D442" s="36" t="str">
        <f>RIGHT(Tabela_Base_Financeiro[[#This Row],[Manufacturer]],2)</f>
        <v/>
      </c>
      <c r="E44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42" s="122" t="e">
        <f>VLOOKUP(Tabela_Base_Financeiro[[#This Row],[Project Code]],'COD. PROJETOS'!B:D,3,0)</f>
        <v>#N/A</v>
      </c>
      <c r="G442" s="36">
        <f>IFERROR(Tabela_Base_Financeiro[[#This Row],[PO No,]],0)</f>
        <v>0</v>
      </c>
      <c r="H442" s="36">
        <f>IFERROR(Tabela_Base_Financeiro[[#This Row],[Line No,]],0)</f>
        <v>0</v>
      </c>
      <c r="I442" s="36" t="str">
        <f>IFERROR(MID(Tabela_Base_Financeiro[[#This Row],[Manufacturer]],19,14),"")</f>
        <v/>
      </c>
      <c r="J442" s="113">
        <f>IFERROR(Tabela_Base_Financeiro[[#This Row],[Item code]],0)</f>
        <v>0</v>
      </c>
      <c r="K442" s="293">
        <f>IFERROR(Tabela_Base_Financeiro[[#This Row],[Unit Price]],0)</f>
        <v>0</v>
      </c>
      <c r="L442" s="36">
        <f>IFERROR(Tabela_Base_Financeiro[[#This Row],[AC Qty,]],0)</f>
        <v>0</v>
      </c>
      <c r="M442" s="60">
        <f>Tabela6[[#This Row],[Qty]]*Tabela6[[#This Row],[Preço]]</f>
        <v>0</v>
      </c>
      <c r="N442" s="37">
        <f>IFERROR(Tabela_Base_Financeiro[[#This Row],[Proportion]],0)</f>
        <v>0</v>
      </c>
      <c r="O442" s="60">
        <f>Tabela6[[#This Row],[Proporção]]*Tabela6[[#This Row],[Total]]</f>
        <v>0</v>
      </c>
      <c r="P442"/>
      <c r="Q442" s="59"/>
      <c r="R442" s="1"/>
    </row>
    <row r="443" spans="1:18">
      <c r="A443" s="122" t="e">
        <f>IF(VLOOKUP(Tabela6[[#This Row],[UF]],'BASE CC'!B:C,2,0)="SP",IF(Tabela6[[#This Row],[OPERADORA]]="TIM","SP TIM","SPI"),VLOOKUP(Tabela6[[#This Row],[UF]],'BASE CC'!B:C,2,0))</f>
        <v>#N/A</v>
      </c>
      <c r="B443" s="36" t="e">
        <f>VLOOKUP(Tabela_Base_Financeiro[[#This Row],[Item code]],'COD.FAT'!B:C,2,0)</f>
        <v>#N/A</v>
      </c>
      <c r="C443" s="292">
        <f>Tabela_Base_Financeiro[[#This Row],[PO Ship TO]]</f>
        <v>0</v>
      </c>
      <c r="D443" s="36" t="str">
        <f>RIGHT(Tabela_Base_Financeiro[[#This Row],[Manufacturer]],2)</f>
        <v/>
      </c>
      <c r="E44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43" s="122" t="e">
        <f>VLOOKUP(Tabela_Base_Financeiro[[#This Row],[Project Code]],'COD. PROJETOS'!B:D,3,0)</f>
        <v>#N/A</v>
      </c>
      <c r="G443" s="36">
        <f>IFERROR(Tabela_Base_Financeiro[[#This Row],[PO No,]],0)</f>
        <v>0</v>
      </c>
      <c r="H443" s="36">
        <f>IFERROR(Tabela_Base_Financeiro[[#This Row],[Line No,]],0)</f>
        <v>0</v>
      </c>
      <c r="I443" s="36" t="str">
        <f>IFERROR(MID(Tabela_Base_Financeiro[[#This Row],[Manufacturer]],19,14),"")</f>
        <v/>
      </c>
      <c r="J443" s="113">
        <f>IFERROR(Tabela_Base_Financeiro[[#This Row],[Item code]],0)</f>
        <v>0</v>
      </c>
      <c r="K443" s="293">
        <f>IFERROR(Tabela_Base_Financeiro[[#This Row],[Unit Price]],0)</f>
        <v>0</v>
      </c>
      <c r="L443" s="36">
        <f>IFERROR(Tabela_Base_Financeiro[[#This Row],[AC Qty,]],0)</f>
        <v>0</v>
      </c>
      <c r="M443" s="60">
        <f>Tabela6[[#This Row],[Qty]]*Tabela6[[#This Row],[Preço]]</f>
        <v>0</v>
      </c>
      <c r="N443" s="37">
        <f>IFERROR(Tabela_Base_Financeiro[[#This Row],[Proportion]],0)</f>
        <v>0</v>
      </c>
      <c r="O443" s="60">
        <f>Tabela6[[#This Row],[Proporção]]*Tabela6[[#This Row],[Total]]</f>
        <v>0</v>
      </c>
      <c r="P443"/>
      <c r="Q443" s="59"/>
      <c r="R443" s="1"/>
    </row>
    <row r="444" spans="1:18">
      <c r="A444" s="122" t="e">
        <f>IF(VLOOKUP(Tabela6[[#This Row],[UF]],'BASE CC'!B:C,2,0)="SP",IF(Tabela6[[#This Row],[OPERADORA]]="TIM","SP TIM","SPI"),VLOOKUP(Tabela6[[#This Row],[UF]],'BASE CC'!B:C,2,0))</f>
        <v>#N/A</v>
      </c>
      <c r="B444" s="36" t="e">
        <f>VLOOKUP(Tabela_Base_Financeiro[[#This Row],[Item code]],'COD.FAT'!B:C,2,0)</f>
        <v>#N/A</v>
      </c>
      <c r="C444" s="292">
        <f>Tabela_Base_Financeiro[[#This Row],[PO Ship TO]]</f>
        <v>0</v>
      </c>
      <c r="D444" s="36" t="str">
        <f>RIGHT(Tabela_Base_Financeiro[[#This Row],[Manufacturer]],2)</f>
        <v/>
      </c>
      <c r="E44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44" s="122" t="e">
        <f>VLOOKUP(Tabela_Base_Financeiro[[#This Row],[Project Code]],'COD. PROJETOS'!B:D,3,0)</f>
        <v>#N/A</v>
      </c>
      <c r="G444" s="36">
        <f>IFERROR(Tabela_Base_Financeiro[[#This Row],[PO No,]],0)</f>
        <v>0</v>
      </c>
      <c r="H444" s="36">
        <f>IFERROR(Tabela_Base_Financeiro[[#This Row],[Line No,]],0)</f>
        <v>0</v>
      </c>
      <c r="I444" s="36" t="str">
        <f>IFERROR(MID(Tabela_Base_Financeiro[[#This Row],[Manufacturer]],19,14),"")</f>
        <v/>
      </c>
      <c r="J444" s="113">
        <f>IFERROR(Tabela_Base_Financeiro[[#This Row],[Item code]],0)</f>
        <v>0</v>
      </c>
      <c r="K444" s="293">
        <f>IFERROR(Tabela_Base_Financeiro[[#This Row],[Unit Price]],0)</f>
        <v>0</v>
      </c>
      <c r="L444" s="36">
        <f>IFERROR(Tabela_Base_Financeiro[[#This Row],[AC Qty,]],0)</f>
        <v>0</v>
      </c>
      <c r="M444" s="60">
        <f>Tabela6[[#This Row],[Qty]]*Tabela6[[#This Row],[Preço]]</f>
        <v>0</v>
      </c>
      <c r="N444" s="37">
        <f>IFERROR(Tabela_Base_Financeiro[[#This Row],[Proportion]],0)</f>
        <v>0</v>
      </c>
      <c r="O444" s="60">
        <f>Tabela6[[#This Row],[Proporção]]*Tabela6[[#This Row],[Total]]</f>
        <v>0</v>
      </c>
      <c r="P444"/>
      <c r="Q444" s="59"/>
      <c r="R444" s="1"/>
    </row>
    <row r="445" spans="1:18">
      <c r="A445" s="122" t="e">
        <f>IF(VLOOKUP(Tabela6[[#This Row],[UF]],'BASE CC'!B:C,2,0)="SP",IF(Tabela6[[#This Row],[OPERADORA]]="TIM","SP TIM","SPI"),VLOOKUP(Tabela6[[#This Row],[UF]],'BASE CC'!B:C,2,0))</f>
        <v>#N/A</v>
      </c>
      <c r="B445" s="36" t="e">
        <f>VLOOKUP(Tabela_Base_Financeiro[[#This Row],[Item code]],'COD.FAT'!B:C,2,0)</f>
        <v>#N/A</v>
      </c>
      <c r="C445" s="292">
        <f>Tabela_Base_Financeiro[[#This Row],[PO Ship TO]]</f>
        <v>0</v>
      </c>
      <c r="D445" s="36" t="str">
        <f>RIGHT(Tabela_Base_Financeiro[[#This Row],[Manufacturer]],2)</f>
        <v/>
      </c>
      <c r="E44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45" s="122" t="e">
        <f>VLOOKUP(Tabela_Base_Financeiro[[#This Row],[Project Code]],'COD. PROJETOS'!B:D,3,0)</f>
        <v>#N/A</v>
      </c>
      <c r="G445" s="36">
        <f>IFERROR(Tabela_Base_Financeiro[[#This Row],[PO No,]],0)</f>
        <v>0</v>
      </c>
      <c r="H445" s="36">
        <f>IFERROR(Tabela_Base_Financeiro[[#This Row],[Line No,]],0)</f>
        <v>0</v>
      </c>
      <c r="I445" s="36" t="str">
        <f>IFERROR(MID(Tabela_Base_Financeiro[[#This Row],[Manufacturer]],19,14),"")</f>
        <v/>
      </c>
      <c r="J445" s="113">
        <f>IFERROR(Tabela_Base_Financeiro[[#This Row],[Item code]],0)</f>
        <v>0</v>
      </c>
      <c r="K445" s="293">
        <f>IFERROR(Tabela_Base_Financeiro[[#This Row],[Unit Price]],0)</f>
        <v>0</v>
      </c>
      <c r="L445" s="36">
        <f>IFERROR(Tabela_Base_Financeiro[[#This Row],[AC Qty,]],0)</f>
        <v>0</v>
      </c>
      <c r="M445" s="60">
        <f>Tabela6[[#This Row],[Qty]]*Tabela6[[#This Row],[Preço]]</f>
        <v>0</v>
      </c>
      <c r="N445" s="37">
        <f>IFERROR(Tabela_Base_Financeiro[[#This Row],[Proportion]],0)</f>
        <v>0</v>
      </c>
      <c r="O445" s="60">
        <f>Tabela6[[#This Row],[Proporção]]*Tabela6[[#This Row],[Total]]</f>
        <v>0</v>
      </c>
      <c r="P445"/>
      <c r="Q445" s="59"/>
      <c r="R445" s="1"/>
    </row>
    <row r="446" spans="1:18">
      <c r="A446" s="122" t="e">
        <f>IF(VLOOKUP(Tabela6[[#This Row],[UF]],'BASE CC'!B:C,2,0)="SP",IF(Tabela6[[#This Row],[OPERADORA]]="TIM","SP TIM","SPI"),VLOOKUP(Tabela6[[#This Row],[UF]],'BASE CC'!B:C,2,0))</f>
        <v>#N/A</v>
      </c>
      <c r="B446" s="36" t="e">
        <f>VLOOKUP(Tabela_Base_Financeiro[[#This Row],[Item code]],'COD.FAT'!B:C,2,0)</f>
        <v>#N/A</v>
      </c>
      <c r="C446" s="292">
        <f>Tabela_Base_Financeiro[[#This Row],[PO Ship TO]]</f>
        <v>0</v>
      </c>
      <c r="D446" s="36" t="str">
        <f>RIGHT(Tabela_Base_Financeiro[[#This Row],[Manufacturer]],2)</f>
        <v/>
      </c>
      <c r="E44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46" s="122" t="e">
        <f>VLOOKUP(Tabela_Base_Financeiro[[#This Row],[Project Code]],'COD. PROJETOS'!B:D,3,0)</f>
        <v>#N/A</v>
      </c>
      <c r="G446" s="36">
        <f>IFERROR(Tabela_Base_Financeiro[[#This Row],[PO No,]],0)</f>
        <v>0</v>
      </c>
      <c r="H446" s="36">
        <f>IFERROR(Tabela_Base_Financeiro[[#This Row],[Line No,]],0)</f>
        <v>0</v>
      </c>
      <c r="I446" s="36" t="str">
        <f>IFERROR(MID(Tabela_Base_Financeiro[[#This Row],[Manufacturer]],19,14),"")</f>
        <v/>
      </c>
      <c r="J446" s="113">
        <f>IFERROR(Tabela_Base_Financeiro[[#This Row],[Item code]],0)</f>
        <v>0</v>
      </c>
      <c r="K446" s="293">
        <f>IFERROR(Tabela_Base_Financeiro[[#This Row],[Unit Price]],0)</f>
        <v>0</v>
      </c>
      <c r="L446" s="36">
        <f>IFERROR(Tabela_Base_Financeiro[[#This Row],[AC Qty,]],0)</f>
        <v>0</v>
      </c>
      <c r="M446" s="60">
        <f>Tabela6[[#This Row],[Qty]]*Tabela6[[#This Row],[Preço]]</f>
        <v>0</v>
      </c>
      <c r="N446" s="37">
        <f>IFERROR(Tabela_Base_Financeiro[[#This Row],[Proportion]],0)</f>
        <v>0</v>
      </c>
      <c r="O446" s="60">
        <f>Tabela6[[#This Row],[Proporção]]*Tabela6[[#This Row],[Total]]</f>
        <v>0</v>
      </c>
      <c r="P446"/>
      <c r="Q446" s="59"/>
      <c r="R446" s="1"/>
    </row>
    <row r="447" spans="1:18">
      <c r="A447" s="122" t="e">
        <f>IF(VLOOKUP(Tabela6[[#This Row],[UF]],'BASE CC'!B:C,2,0)="SP",IF(Tabela6[[#This Row],[OPERADORA]]="TIM","SP TIM","SPI"),VLOOKUP(Tabela6[[#This Row],[UF]],'BASE CC'!B:C,2,0))</f>
        <v>#N/A</v>
      </c>
      <c r="B447" s="36" t="e">
        <f>VLOOKUP(Tabela_Base_Financeiro[[#This Row],[Item code]],'COD.FAT'!B:C,2,0)</f>
        <v>#N/A</v>
      </c>
      <c r="C447" s="292">
        <f>Tabela_Base_Financeiro[[#This Row],[PO Ship TO]]</f>
        <v>0</v>
      </c>
      <c r="D447" s="36" t="str">
        <f>RIGHT(Tabela_Base_Financeiro[[#This Row],[Manufacturer]],2)</f>
        <v/>
      </c>
      <c r="E44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47" s="122" t="e">
        <f>VLOOKUP(Tabela_Base_Financeiro[[#This Row],[Project Code]],'COD. PROJETOS'!B:D,3,0)</f>
        <v>#N/A</v>
      </c>
      <c r="G447" s="36">
        <f>IFERROR(Tabela_Base_Financeiro[[#This Row],[PO No,]],0)</f>
        <v>0</v>
      </c>
      <c r="H447" s="36">
        <f>IFERROR(Tabela_Base_Financeiro[[#This Row],[Line No,]],0)</f>
        <v>0</v>
      </c>
      <c r="I447" s="36" t="str">
        <f>IFERROR(MID(Tabela_Base_Financeiro[[#This Row],[Manufacturer]],19,14),"")</f>
        <v/>
      </c>
      <c r="J447" s="113">
        <f>IFERROR(Tabela_Base_Financeiro[[#This Row],[Item code]],0)</f>
        <v>0</v>
      </c>
      <c r="K447" s="293">
        <f>IFERROR(Tabela_Base_Financeiro[[#This Row],[Unit Price]],0)</f>
        <v>0</v>
      </c>
      <c r="L447" s="36">
        <f>IFERROR(Tabela_Base_Financeiro[[#This Row],[AC Qty,]],0)</f>
        <v>0</v>
      </c>
      <c r="M447" s="60">
        <f>Tabela6[[#This Row],[Qty]]*Tabela6[[#This Row],[Preço]]</f>
        <v>0</v>
      </c>
      <c r="N447" s="37">
        <f>IFERROR(Tabela_Base_Financeiro[[#This Row],[Proportion]],0)</f>
        <v>0</v>
      </c>
      <c r="O447" s="60">
        <f>Tabela6[[#This Row],[Proporção]]*Tabela6[[#This Row],[Total]]</f>
        <v>0</v>
      </c>
      <c r="P447"/>
      <c r="Q447" s="59"/>
      <c r="R447" s="1"/>
    </row>
    <row r="448" spans="1:18">
      <c r="A448" s="122" t="e">
        <f>IF(VLOOKUP(Tabela6[[#This Row],[UF]],'BASE CC'!B:C,2,0)="SP",IF(Tabela6[[#This Row],[OPERADORA]]="TIM","SP TIM","SPI"),VLOOKUP(Tabela6[[#This Row],[UF]],'BASE CC'!B:C,2,0))</f>
        <v>#N/A</v>
      </c>
      <c r="B448" s="36" t="e">
        <f>VLOOKUP(Tabela_Base_Financeiro[[#This Row],[Item code]],'COD.FAT'!B:C,2,0)</f>
        <v>#N/A</v>
      </c>
      <c r="C448" s="292">
        <f>Tabela_Base_Financeiro[[#This Row],[PO Ship TO]]</f>
        <v>0</v>
      </c>
      <c r="D448" s="36" t="str">
        <f>RIGHT(Tabela_Base_Financeiro[[#This Row],[Manufacturer]],2)</f>
        <v/>
      </c>
      <c r="E44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48" s="122" t="e">
        <f>VLOOKUP(Tabela_Base_Financeiro[[#This Row],[Project Code]],'COD. PROJETOS'!B:D,3,0)</f>
        <v>#N/A</v>
      </c>
      <c r="G448" s="36">
        <f>IFERROR(Tabela_Base_Financeiro[[#This Row],[PO No,]],0)</f>
        <v>0</v>
      </c>
      <c r="H448" s="36">
        <f>IFERROR(Tabela_Base_Financeiro[[#This Row],[Line No,]],0)</f>
        <v>0</v>
      </c>
      <c r="I448" s="36" t="str">
        <f>IFERROR(MID(Tabela_Base_Financeiro[[#This Row],[Manufacturer]],19,14),"")</f>
        <v/>
      </c>
      <c r="J448" s="113">
        <f>IFERROR(Tabela_Base_Financeiro[[#This Row],[Item code]],0)</f>
        <v>0</v>
      </c>
      <c r="K448" s="293">
        <f>IFERROR(Tabela_Base_Financeiro[[#This Row],[Unit Price]],0)</f>
        <v>0</v>
      </c>
      <c r="L448" s="36">
        <f>IFERROR(Tabela_Base_Financeiro[[#This Row],[AC Qty,]],0)</f>
        <v>0</v>
      </c>
      <c r="M448" s="60">
        <f>Tabela6[[#This Row],[Qty]]*Tabela6[[#This Row],[Preço]]</f>
        <v>0</v>
      </c>
      <c r="N448" s="37">
        <f>IFERROR(Tabela_Base_Financeiro[[#This Row],[Proportion]],0)</f>
        <v>0</v>
      </c>
      <c r="O448" s="60">
        <f>Tabela6[[#This Row],[Proporção]]*Tabela6[[#This Row],[Total]]</f>
        <v>0</v>
      </c>
      <c r="P448"/>
      <c r="Q448" s="59"/>
      <c r="R448" s="1"/>
    </row>
    <row r="449" spans="1:18">
      <c r="A449" s="122" t="e">
        <f>IF(VLOOKUP(Tabela6[[#This Row],[UF]],'BASE CC'!B:C,2,0)="SP",IF(Tabela6[[#This Row],[OPERADORA]]="TIM","SP TIM","SPI"),VLOOKUP(Tabela6[[#This Row],[UF]],'BASE CC'!B:C,2,0))</f>
        <v>#N/A</v>
      </c>
      <c r="B449" s="36" t="e">
        <f>VLOOKUP(Tabela_Base_Financeiro[[#This Row],[Item code]],'COD.FAT'!B:C,2,0)</f>
        <v>#N/A</v>
      </c>
      <c r="C449" s="292">
        <f>Tabela_Base_Financeiro[[#This Row],[PO Ship TO]]</f>
        <v>0</v>
      </c>
      <c r="D449" s="36" t="str">
        <f>RIGHT(Tabela_Base_Financeiro[[#This Row],[Manufacturer]],2)</f>
        <v/>
      </c>
      <c r="E44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49" s="122" t="e">
        <f>VLOOKUP(Tabela_Base_Financeiro[[#This Row],[Project Code]],'COD. PROJETOS'!B:D,3,0)</f>
        <v>#N/A</v>
      </c>
      <c r="G449" s="36">
        <f>IFERROR(Tabela_Base_Financeiro[[#This Row],[PO No,]],0)</f>
        <v>0</v>
      </c>
      <c r="H449" s="36">
        <f>IFERROR(Tabela_Base_Financeiro[[#This Row],[Line No,]],0)</f>
        <v>0</v>
      </c>
      <c r="I449" s="36" t="str">
        <f>IFERROR(MID(Tabela_Base_Financeiro[[#This Row],[Manufacturer]],19,14),"")</f>
        <v/>
      </c>
      <c r="J449" s="113">
        <f>IFERROR(Tabela_Base_Financeiro[[#This Row],[Item code]],0)</f>
        <v>0</v>
      </c>
      <c r="K449" s="293">
        <f>IFERROR(Tabela_Base_Financeiro[[#This Row],[Unit Price]],0)</f>
        <v>0</v>
      </c>
      <c r="L449" s="36">
        <f>IFERROR(Tabela_Base_Financeiro[[#This Row],[AC Qty,]],0)</f>
        <v>0</v>
      </c>
      <c r="M449" s="60">
        <f>Tabela6[[#This Row],[Qty]]*Tabela6[[#This Row],[Preço]]</f>
        <v>0</v>
      </c>
      <c r="N449" s="37">
        <f>IFERROR(Tabela_Base_Financeiro[[#This Row],[Proportion]],0)</f>
        <v>0</v>
      </c>
      <c r="O449" s="60">
        <f>Tabela6[[#This Row],[Proporção]]*Tabela6[[#This Row],[Total]]</f>
        <v>0</v>
      </c>
      <c r="P449"/>
      <c r="Q449" s="59"/>
      <c r="R449" s="1"/>
    </row>
    <row r="450" spans="1:18">
      <c r="A450" s="122" t="e">
        <f>IF(VLOOKUP(Tabela6[[#This Row],[UF]],'BASE CC'!B:C,2,0)="SP",IF(Tabela6[[#This Row],[OPERADORA]]="TIM","SP TIM","SPI"),VLOOKUP(Tabela6[[#This Row],[UF]],'BASE CC'!B:C,2,0))</f>
        <v>#N/A</v>
      </c>
      <c r="B450" s="36" t="e">
        <f>VLOOKUP(Tabela_Base_Financeiro[[#This Row],[Item code]],'COD.FAT'!B:C,2,0)</f>
        <v>#N/A</v>
      </c>
      <c r="C450" s="292">
        <f>Tabela_Base_Financeiro[[#This Row],[PO Ship TO]]</f>
        <v>0</v>
      </c>
      <c r="D450" s="36" t="str">
        <f>RIGHT(Tabela_Base_Financeiro[[#This Row],[Manufacturer]],2)</f>
        <v/>
      </c>
      <c r="E45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50" s="122" t="e">
        <f>VLOOKUP(Tabela_Base_Financeiro[[#This Row],[Project Code]],'COD. PROJETOS'!B:D,3,0)</f>
        <v>#N/A</v>
      </c>
      <c r="G450" s="36">
        <f>IFERROR(Tabela_Base_Financeiro[[#This Row],[PO No,]],0)</f>
        <v>0</v>
      </c>
      <c r="H450" s="36">
        <f>IFERROR(Tabela_Base_Financeiro[[#This Row],[Line No,]],0)</f>
        <v>0</v>
      </c>
      <c r="I450" s="36" t="str">
        <f>IFERROR(MID(Tabela_Base_Financeiro[[#This Row],[Manufacturer]],19,14),"")</f>
        <v/>
      </c>
      <c r="J450" s="113">
        <f>IFERROR(Tabela_Base_Financeiro[[#This Row],[Item code]],0)</f>
        <v>0</v>
      </c>
      <c r="K450" s="293">
        <f>IFERROR(Tabela_Base_Financeiro[[#This Row],[Unit Price]],0)</f>
        <v>0</v>
      </c>
      <c r="L450" s="36">
        <f>IFERROR(Tabela_Base_Financeiro[[#This Row],[AC Qty,]],0)</f>
        <v>0</v>
      </c>
      <c r="M450" s="60">
        <f>Tabela6[[#This Row],[Qty]]*Tabela6[[#This Row],[Preço]]</f>
        <v>0</v>
      </c>
      <c r="N450" s="37">
        <f>IFERROR(Tabela_Base_Financeiro[[#This Row],[Proportion]],0)</f>
        <v>0</v>
      </c>
      <c r="O450" s="60">
        <f>Tabela6[[#This Row],[Proporção]]*Tabela6[[#This Row],[Total]]</f>
        <v>0</v>
      </c>
      <c r="P450"/>
      <c r="Q450" s="59"/>
      <c r="R450" s="1"/>
    </row>
    <row r="451" spans="1:18">
      <c r="A451" s="122" t="e">
        <f>IF(VLOOKUP(Tabela6[[#This Row],[UF]],'BASE CC'!B:C,2,0)="SP",IF(Tabela6[[#This Row],[OPERADORA]]="TIM","SP TIM","SPI"),VLOOKUP(Tabela6[[#This Row],[UF]],'BASE CC'!B:C,2,0))</f>
        <v>#N/A</v>
      </c>
      <c r="B451" s="36" t="e">
        <f>VLOOKUP(Tabela_Base_Financeiro[[#This Row],[Item code]],'COD.FAT'!B:C,2,0)</f>
        <v>#N/A</v>
      </c>
      <c r="C451" s="292">
        <f>Tabela_Base_Financeiro[[#This Row],[PO Ship TO]]</f>
        <v>0</v>
      </c>
      <c r="D451" s="36" t="str">
        <f>RIGHT(Tabela_Base_Financeiro[[#This Row],[Manufacturer]],2)</f>
        <v/>
      </c>
      <c r="E45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51" s="122" t="e">
        <f>VLOOKUP(Tabela_Base_Financeiro[[#This Row],[Project Code]],'COD. PROJETOS'!B:D,3,0)</f>
        <v>#N/A</v>
      </c>
      <c r="G451" s="36">
        <f>IFERROR(Tabela_Base_Financeiro[[#This Row],[PO No,]],0)</f>
        <v>0</v>
      </c>
      <c r="H451" s="36">
        <f>IFERROR(Tabela_Base_Financeiro[[#This Row],[Line No,]],0)</f>
        <v>0</v>
      </c>
      <c r="I451" s="36" t="str">
        <f>IFERROR(MID(Tabela_Base_Financeiro[[#This Row],[Manufacturer]],19,14),"")</f>
        <v/>
      </c>
      <c r="J451" s="113">
        <f>IFERROR(Tabela_Base_Financeiro[[#This Row],[Item code]],0)</f>
        <v>0</v>
      </c>
      <c r="K451" s="293">
        <f>IFERROR(Tabela_Base_Financeiro[[#This Row],[Unit Price]],0)</f>
        <v>0</v>
      </c>
      <c r="L451" s="36">
        <f>IFERROR(Tabela_Base_Financeiro[[#This Row],[AC Qty,]],0)</f>
        <v>0</v>
      </c>
      <c r="M451" s="60">
        <f>Tabela6[[#This Row],[Qty]]*Tabela6[[#This Row],[Preço]]</f>
        <v>0</v>
      </c>
      <c r="N451" s="37">
        <f>IFERROR(Tabela_Base_Financeiro[[#This Row],[Proportion]],0)</f>
        <v>0</v>
      </c>
      <c r="O451" s="60">
        <f>Tabela6[[#This Row],[Proporção]]*Tabela6[[#This Row],[Total]]</f>
        <v>0</v>
      </c>
      <c r="P451"/>
      <c r="Q451" s="59"/>
      <c r="R451" s="1"/>
    </row>
    <row r="452" spans="1:18">
      <c r="A452" s="122" t="e">
        <f>IF(VLOOKUP(Tabela6[[#This Row],[UF]],'BASE CC'!B:C,2,0)="SP",IF(Tabela6[[#This Row],[OPERADORA]]="TIM","SP TIM","SPI"),VLOOKUP(Tabela6[[#This Row],[UF]],'BASE CC'!B:C,2,0))</f>
        <v>#N/A</v>
      </c>
      <c r="B452" s="36" t="e">
        <f>VLOOKUP(Tabela_Base_Financeiro[[#This Row],[Item code]],'COD.FAT'!B:C,2,0)</f>
        <v>#N/A</v>
      </c>
      <c r="C452" s="292">
        <f>Tabela_Base_Financeiro[[#This Row],[PO Ship TO]]</f>
        <v>0</v>
      </c>
      <c r="D452" s="36" t="str">
        <f>RIGHT(Tabela_Base_Financeiro[[#This Row],[Manufacturer]],2)</f>
        <v/>
      </c>
      <c r="E45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52" s="122" t="e">
        <f>VLOOKUP(Tabela_Base_Financeiro[[#This Row],[Project Code]],'COD. PROJETOS'!B:D,3,0)</f>
        <v>#N/A</v>
      </c>
      <c r="G452" s="36">
        <f>IFERROR(Tabela_Base_Financeiro[[#This Row],[PO No,]],0)</f>
        <v>0</v>
      </c>
      <c r="H452" s="36">
        <f>IFERROR(Tabela_Base_Financeiro[[#This Row],[Line No,]],0)</f>
        <v>0</v>
      </c>
      <c r="I452" s="36" t="str">
        <f>IFERROR(MID(Tabela_Base_Financeiro[[#This Row],[Manufacturer]],19,14),"")</f>
        <v/>
      </c>
      <c r="J452" s="113">
        <f>IFERROR(Tabela_Base_Financeiro[[#This Row],[Item code]],0)</f>
        <v>0</v>
      </c>
      <c r="K452" s="293">
        <f>IFERROR(Tabela_Base_Financeiro[[#This Row],[Unit Price]],0)</f>
        <v>0</v>
      </c>
      <c r="L452" s="36">
        <f>IFERROR(Tabela_Base_Financeiro[[#This Row],[AC Qty,]],0)</f>
        <v>0</v>
      </c>
      <c r="M452" s="60">
        <f>Tabela6[[#This Row],[Qty]]*Tabela6[[#This Row],[Preço]]</f>
        <v>0</v>
      </c>
      <c r="N452" s="37">
        <f>IFERROR(Tabela_Base_Financeiro[[#This Row],[Proportion]],0)</f>
        <v>0</v>
      </c>
      <c r="O452" s="60">
        <f>Tabela6[[#This Row],[Proporção]]*Tabela6[[#This Row],[Total]]</f>
        <v>0</v>
      </c>
      <c r="P452"/>
      <c r="Q452" s="59"/>
      <c r="R452" s="1"/>
    </row>
    <row r="453" spans="1:18">
      <c r="A453" s="122" t="e">
        <f>IF(VLOOKUP(Tabela6[[#This Row],[UF]],'BASE CC'!B:C,2,0)="SP",IF(Tabela6[[#This Row],[OPERADORA]]="TIM","SP TIM","SPI"),VLOOKUP(Tabela6[[#This Row],[UF]],'BASE CC'!B:C,2,0))</f>
        <v>#N/A</v>
      </c>
      <c r="B453" s="36" t="e">
        <f>VLOOKUP(Tabela_Base_Financeiro[[#This Row],[Item code]],'COD.FAT'!B:C,2,0)</f>
        <v>#N/A</v>
      </c>
      <c r="C453" s="292">
        <f>Tabela_Base_Financeiro[[#This Row],[PO Ship TO]]</f>
        <v>0</v>
      </c>
      <c r="D453" s="36" t="str">
        <f>RIGHT(Tabela_Base_Financeiro[[#This Row],[Manufacturer]],2)</f>
        <v/>
      </c>
      <c r="E45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53" s="122" t="e">
        <f>VLOOKUP(Tabela_Base_Financeiro[[#This Row],[Project Code]],'COD. PROJETOS'!B:D,3,0)</f>
        <v>#N/A</v>
      </c>
      <c r="G453" s="36">
        <f>IFERROR(Tabela_Base_Financeiro[[#This Row],[PO No,]],0)</f>
        <v>0</v>
      </c>
      <c r="H453" s="36">
        <f>IFERROR(Tabela_Base_Financeiro[[#This Row],[Line No,]],0)</f>
        <v>0</v>
      </c>
      <c r="I453" s="36" t="str">
        <f>IFERROR(MID(Tabela_Base_Financeiro[[#This Row],[Manufacturer]],19,14),"")</f>
        <v/>
      </c>
      <c r="J453" s="113">
        <f>IFERROR(Tabela_Base_Financeiro[[#This Row],[Item code]],0)</f>
        <v>0</v>
      </c>
      <c r="K453" s="293">
        <f>IFERROR(Tabela_Base_Financeiro[[#This Row],[Unit Price]],0)</f>
        <v>0</v>
      </c>
      <c r="L453" s="36">
        <f>IFERROR(Tabela_Base_Financeiro[[#This Row],[AC Qty,]],0)</f>
        <v>0</v>
      </c>
      <c r="M453" s="60">
        <f>Tabela6[[#This Row],[Qty]]*Tabela6[[#This Row],[Preço]]</f>
        <v>0</v>
      </c>
      <c r="N453" s="37">
        <f>IFERROR(Tabela_Base_Financeiro[[#This Row],[Proportion]],0)</f>
        <v>0</v>
      </c>
      <c r="O453" s="60">
        <f>Tabela6[[#This Row],[Proporção]]*Tabela6[[#This Row],[Total]]</f>
        <v>0</v>
      </c>
      <c r="P453"/>
      <c r="Q453" s="59"/>
      <c r="R453" s="1"/>
    </row>
    <row r="454" spans="1:18">
      <c r="A454" s="122" t="e">
        <f>IF(VLOOKUP(Tabela6[[#This Row],[UF]],'BASE CC'!B:C,2,0)="SP",IF(Tabela6[[#This Row],[OPERADORA]]="TIM","SP TIM","SPI"),VLOOKUP(Tabela6[[#This Row],[UF]],'BASE CC'!B:C,2,0))</f>
        <v>#N/A</v>
      </c>
      <c r="B454" s="36" t="e">
        <f>VLOOKUP(Tabela_Base_Financeiro[[#This Row],[Item code]],'COD.FAT'!B:C,2,0)</f>
        <v>#N/A</v>
      </c>
      <c r="C454" s="292">
        <f>Tabela_Base_Financeiro[[#This Row],[PO Ship TO]]</f>
        <v>0</v>
      </c>
      <c r="D454" s="36" t="str">
        <f>RIGHT(Tabela_Base_Financeiro[[#This Row],[Manufacturer]],2)</f>
        <v/>
      </c>
      <c r="E45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54" s="122" t="e">
        <f>VLOOKUP(Tabela_Base_Financeiro[[#This Row],[Project Code]],'COD. PROJETOS'!B:D,3,0)</f>
        <v>#N/A</v>
      </c>
      <c r="G454" s="36">
        <f>IFERROR(Tabela_Base_Financeiro[[#This Row],[PO No,]],0)</f>
        <v>0</v>
      </c>
      <c r="H454" s="36">
        <f>IFERROR(Tabela_Base_Financeiro[[#This Row],[Line No,]],0)</f>
        <v>0</v>
      </c>
      <c r="I454" s="36" t="str">
        <f>IFERROR(MID(Tabela_Base_Financeiro[[#This Row],[Manufacturer]],19,14),"")</f>
        <v/>
      </c>
      <c r="J454" s="113">
        <f>IFERROR(Tabela_Base_Financeiro[[#This Row],[Item code]],0)</f>
        <v>0</v>
      </c>
      <c r="K454" s="293">
        <f>IFERROR(Tabela_Base_Financeiro[[#This Row],[Unit Price]],0)</f>
        <v>0</v>
      </c>
      <c r="L454" s="36">
        <f>IFERROR(Tabela_Base_Financeiro[[#This Row],[AC Qty,]],0)</f>
        <v>0</v>
      </c>
      <c r="M454" s="60">
        <f>Tabela6[[#This Row],[Qty]]*Tabela6[[#This Row],[Preço]]</f>
        <v>0</v>
      </c>
      <c r="N454" s="37">
        <f>IFERROR(Tabela_Base_Financeiro[[#This Row],[Proportion]],0)</f>
        <v>0</v>
      </c>
      <c r="O454" s="60">
        <f>Tabela6[[#This Row],[Proporção]]*Tabela6[[#This Row],[Total]]</f>
        <v>0</v>
      </c>
      <c r="P454"/>
      <c r="Q454" s="59"/>
      <c r="R454" s="1"/>
    </row>
    <row r="455" spans="1:18">
      <c r="A455" s="122" t="e">
        <f>IF(VLOOKUP(Tabela6[[#This Row],[UF]],'BASE CC'!B:C,2,0)="SP",IF(Tabela6[[#This Row],[OPERADORA]]="TIM","SP TIM","SPI"),VLOOKUP(Tabela6[[#This Row],[UF]],'BASE CC'!B:C,2,0))</f>
        <v>#N/A</v>
      </c>
      <c r="B455" s="36" t="e">
        <f>VLOOKUP(Tabela_Base_Financeiro[[#This Row],[Item code]],'COD.FAT'!B:C,2,0)</f>
        <v>#N/A</v>
      </c>
      <c r="C455" s="292">
        <f>Tabela_Base_Financeiro[[#This Row],[PO Ship TO]]</f>
        <v>0</v>
      </c>
      <c r="D455" s="36" t="str">
        <f>RIGHT(Tabela_Base_Financeiro[[#This Row],[Manufacturer]],2)</f>
        <v/>
      </c>
      <c r="E45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55" s="122" t="e">
        <f>VLOOKUP(Tabela_Base_Financeiro[[#This Row],[Project Code]],'COD. PROJETOS'!B:D,3,0)</f>
        <v>#N/A</v>
      </c>
      <c r="G455" s="36">
        <f>IFERROR(Tabela_Base_Financeiro[[#This Row],[PO No,]],0)</f>
        <v>0</v>
      </c>
      <c r="H455" s="36">
        <f>IFERROR(Tabela_Base_Financeiro[[#This Row],[Line No,]],0)</f>
        <v>0</v>
      </c>
      <c r="I455" s="36" t="str">
        <f>IFERROR(MID(Tabela_Base_Financeiro[[#This Row],[Manufacturer]],19,14),"")</f>
        <v/>
      </c>
      <c r="J455" s="113">
        <f>IFERROR(Tabela_Base_Financeiro[[#This Row],[Item code]],0)</f>
        <v>0</v>
      </c>
      <c r="K455" s="293">
        <f>IFERROR(Tabela_Base_Financeiro[[#This Row],[Unit Price]],0)</f>
        <v>0</v>
      </c>
      <c r="L455" s="36">
        <f>IFERROR(Tabela_Base_Financeiro[[#This Row],[AC Qty,]],0)</f>
        <v>0</v>
      </c>
      <c r="M455" s="60">
        <f>Tabela6[[#This Row],[Qty]]*Tabela6[[#This Row],[Preço]]</f>
        <v>0</v>
      </c>
      <c r="N455" s="37">
        <f>IFERROR(Tabela_Base_Financeiro[[#This Row],[Proportion]],0)</f>
        <v>0</v>
      </c>
      <c r="O455" s="60">
        <f>Tabela6[[#This Row],[Proporção]]*Tabela6[[#This Row],[Total]]</f>
        <v>0</v>
      </c>
      <c r="P455"/>
      <c r="Q455" s="59"/>
      <c r="R455" s="1"/>
    </row>
    <row r="456" spans="1:18">
      <c r="A456" s="122" t="e">
        <f>IF(VLOOKUP(Tabela6[[#This Row],[UF]],'BASE CC'!B:C,2,0)="SP",IF(Tabela6[[#This Row],[OPERADORA]]="TIM","SP TIM","SPI"),VLOOKUP(Tabela6[[#This Row],[UF]],'BASE CC'!B:C,2,0))</f>
        <v>#N/A</v>
      </c>
      <c r="B456" s="36" t="e">
        <f>VLOOKUP(Tabela_Base_Financeiro[[#This Row],[Item code]],'COD.FAT'!B:C,2,0)</f>
        <v>#N/A</v>
      </c>
      <c r="C456" s="292">
        <f>Tabela_Base_Financeiro[[#This Row],[PO Ship TO]]</f>
        <v>0</v>
      </c>
      <c r="D456" s="36" t="str">
        <f>RIGHT(Tabela_Base_Financeiro[[#This Row],[Manufacturer]],2)</f>
        <v/>
      </c>
      <c r="E45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56" s="122" t="e">
        <f>VLOOKUP(Tabela_Base_Financeiro[[#This Row],[Project Code]],'COD. PROJETOS'!B:D,3,0)</f>
        <v>#N/A</v>
      </c>
      <c r="G456" s="36">
        <f>IFERROR(Tabela_Base_Financeiro[[#This Row],[PO No,]],0)</f>
        <v>0</v>
      </c>
      <c r="H456" s="36">
        <f>IFERROR(Tabela_Base_Financeiro[[#This Row],[Line No,]],0)</f>
        <v>0</v>
      </c>
      <c r="I456" s="36" t="str">
        <f>IFERROR(MID(Tabela_Base_Financeiro[[#This Row],[Manufacturer]],19,14),"")</f>
        <v/>
      </c>
      <c r="J456" s="113">
        <f>IFERROR(Tabela_Base_Financeiro[[#This Row],[Item code]],0)</f>
        <v>0</v>
      </c>
      <c r="K456" s="293">
        <f>IFERROR(Tabela_Base_Financeiro[[#This Row],[Unit Price]],0)</f>
        <v>0</v>
      </c>
      <c r="L456" s="36">
        <f>IFERROR(Tabela_Base_Financeiro[[#This Row],[AC Qty,]],0)</f>
        <v>0</v>
      </c>
      <c r="M456" s="60">
        <f>Tabela6[[#This Row],[Qty]]*Tabela6[[#This Row],[Preço]]</f>
        <v>0</v>
      </c>
      <c r="N456" s="37">
        <f>IFERROR(Tabela_Base_Financeiro[[#This Row],[Proportion]],0)</f>
        <v>0</v>
      </c>
      <c r="O456" s="60">
        <f>Tabela6[[#This Row],[Proporção]]*Tabela6[[#This Row],[Total]]</f>
        <v>0</v>
      </c>
      <c r="P456"/>
      <c r="Q456" s="59"/>
      <c r="R456" s="1"/>
    </row>
    <row r="457" spans="1:18">
      <c r="A457" s="122" t="e">
        <f>IF(VLOOKUP(Tabela6[[#This Row],[UF]],'BASE CC'!B:C,2,0)="SP",IF(Tabela6[[#This Row],[OPERADORA]]="TIM","SP TIM","SPI"),VLOOKUP(Tabela6[[#This Row],[UF]],'BASE CC'!B:C,2,0))</f>
        <v>#N/A</v>
      </c>
      <c r="B457" s="36" t="e">
        <f>VLOOKUP(Tabela_Base_Financeiro[[#This Row],[Item code]],'COD.FAT'!B:C,2,0)</f>
        <v>#N/A</v>
      </c>
      <c r="C457" s="292">
        <f>Tabela_Base_Financeiro[[#This Row],[PO Ship TO]]</f>
        <v>0</v>
      </c>
      <c r="D457" s="36" t="str">
        <f>RIGHT(Tabela_Base_Financeiro[[#This Row],[Manufacturer]],2)</f>
        <v/>
      </c>
      <c r="E45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57" s="122" t="e">
        <f>VLOOKUP(Tabela_Base_Financeiro[[#This Row],[Project Code]],'COD. PROJETOS'!B:D,3,0)</f>
        <v>#N/A</v>
      </c>
      <c r="G457" s="36">
        <f>IFERROR(Tabela_Base_Financeiro[[#This Row],[PO No,]],0)</f>
        <v>0</v>
      </c>
      <c r="H457" s="36">
        <f>IFERROR(Tabela_Base_Financeiro[[#This Row],[Line No,]],0)</f>
        <v>0</v>
      </c>
      <c r="I457" s="36" t="str">
        <f>IFERROR(MID(Tabela_Base_Financeiro[[#This Row],[Manufacturer]],19,14),"")</f>
        <v/>
      </c>
      <c r="J457" s="113">
        <f>IFERROR(Tabela_Base_Financeiro[[#This Row],[Item code]],0)</f>
        <v>0</v>
      </c>
      <c r="K457" s="293">
        <f>IFERROR(Tabela_Base_Financeiro[[#This Row],[Unit Price]],0)</f>
        <v>0</v>
      </c>
      <c r="L457" s="36">
        <f>IFERROR(Tabela_Base_Financeiro[[#This Row],[AC Qty,]],0)</f>
        <v>0</v>
      </c>
      <c r="M457" s="60">
        <f>Tabela6[[#This Row],[Qty]]*Tabela6[[#This Row],[Preço]]</f>
        <v>0</v>
      </c>
      <c r="N457" s="37">
        <f>IFERROR(Tabela_Base_Financeiro[[#This Row],[Proportion]],0)</f>
        <v>0</v>
      </c>
      <c r="O457" s="60">
        <f>Tabela6[[#This Row],[Proporção]]*Tabela6[[#This Row],[Total]]</f>
        <v>0</v>
      </c>
      <c r="P457"/>
      <c r="Q457" s="59"/>
      <c r="R457" s="1"/>
    </row>
    <row r="458" spans="1:18">
      <c r="A458" s="122" t="e">
        <f>IF(VLOOKUP(Tabela6[[#This Row],[UF]],'BASE CC'!B:C,2,0)="SP",IF(Tabela6[[#This Row],[OPERADORA]]="TIM","SP TIM","SPI"),VLOOKUP(Tabela6[[#This Row],[UF]],'BASE CC'!B:C,2,0))</f>
        <v>#N/A</v>
      </c>
      <c r="B458" s="36" t="e">
        <f>VLOOKUP(Tabela_Base_Financeiro[[#This Row],[Item code]],'COD.FAT'!B:C,2,0)</f>
        <v>#N/A</v>
      </c>
      <c r="C458" s="292">
        <f>Tabela_Base_Financeiro[[#This Row],[PO Ship TO]]</f>
        <v>0</v>
      </c>
      <c r="D458" s="36" t="str">
        <f>RIGHT(Tabela_Base_Financeiro[[#This Row],[Manufacturer]],2)</f>
        <v/>
      </c>
      <c r="E45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58" s="122" t="e">
        <f>VLOOKUP(Tabela_Base_Financeiro[[#This Row],[Project Code]],'COD. PROJETOS'!B:D,3,0)</f>
        <v>#N/A</v>
      </c>
      <c r="G458" s="36">
        <f>IFERROR(Tabela_Base_Financeiro[[#This Row],[PO No,]],0)</f>
        <v>0</v>
      </c>
      <c r="H458" s="36">
        <f>IFERROR(Tabela_Base_Financeiro[[#This Row],[Line No,]],0)</f>
        <v>0</v>
      </c>
      <c r="I458" s="36" t="str">
        <f>IFERROR(MID(Tabela_Base_Financeiro[[#This Row],[Manufacturer]],19,14),"")</f>
        <v/>
      </c>
      <c r="J458" s="113">
        <f>IFERROR(Tabela_Base_Financeiro[[#This Row],[Item code]],0)</f>
        <v>0</v>
      </c>
      <c r="K458" s="293">
        <f>IFERROR(Tabela_Base_Financeiro[[#This Row],[Unit Price]],0)</f>
        <v>0</v>
      </c>
      <c r="L458" s="36">
        <f>IFERROR(Tabela_Base_Financeiro[[#This Row],[AC Qty,]],0)</f>
        <v>0</v>
      </c>
      <c r="M458" s="60">
        <f>Tabela6[[#This Row],[Qty]]*Tabela6[[#This Row],[Preço]]</f>
        <v>0</v>
      </c>
      <c r="N458" s="37">
        <f>IFERROR(Tabela_Base_Financeiro[[#This Row],[Proportion]],0)</f>
        <v>0</v>
      </c>
      <c r="O458" s="60">
        <f>Tabela6[[#This Row],[Proporção]]*Tabela6[[#This Row],[Total]]</f>
        <v>0</v>
      </c>
      <c r="P458"/>
      <c r="Q458" s="59"/>
      <c r="R458" s="1"/>
    </row>
    <row r="459" spans="1:18">
      <c r="A459" s="122" t="e">
        <f>IF(VLOOKUP(Tabela6[[#This Row],[UF]],'BASE CC'!B:C,2,0)="SP",IF(Tabela6[[#This Row],[OPERADORA]]="TIM","SP TIM","SPI"),VLOOKUP(Tabela6[[#This Row],[UF]],'BASE CC'!B:C,2,0))</f>
        <v>#N/A</v>
      </c>
      <c r="B459" s="36" t="e">
        <f>VLOOKUP(Tabela_Base_Financeiro[[#This Row],[Item code]],'COD.FAT'!B:C,2,0)</f>
        <v>#N/A</v>
      </c>
      <c r="C459" s="292">
        <f>Tabela_Base_Financeiro[[#This Row],[PO Ship TO]]</f>
        <v>0</v>
      </c>
      <c r="D459" s="36" t="str">
        <f>RIGHT(Tabela_Base_Financeiro[[#This Row],[Manufacturer]],2)</f>
        <v/>
      </c>
      <c r="E45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59" s="122" t="e">
        <f>VLOOKUP(Tabela_Base_Financeiro[[#This Row],[Project Code]],'COD. PROJETOS'!B:D,3,0)</f>
        <v>#N/A</v>
      </c>
      <c r="G459" s="36">
        <f>IFERROR(Tabela_Base_Financeiro[[#This Row],[PO No,]],0)</f>
        <v>0</v>
      </c>
      <c r="H459" s="36">
        <f>IFERROR(Tabela_Base_Financeiro[[#This Row],[Line No,]],0)</f>
        <v>0</v>
      </c>
      <c r="I459" s="36" t="str">
        <f>IFERROR(MID(Tabela_Base_Financeiro[[#This Row],[Manufacturer]],19,14),"")</f>
        <v/>
      </c>
      <c r="J459" s="113">
        <f>IFERROR(Tabela_Base_Financeiro[[#This Row],[Item code]],0)</f>
        <v>0</v>
      </c>
      <c r="K459" s="293">
        <f>IFERROR(Tabela_Base_Financeiro[[#This Row],[Unit Price]],0)</f>
        <v>0</v>
      </c>
      <c r="L459" s="36">
        <f>IFERROR(Tabela_Base_Financeiro[[#This Row],[AC Qty,]],0)</f>
        <v>0</v>
      </c>
      <c r="M459" s="60">
        <f>Tabela6[[#This Row],[Qty]]*Tabela6[[#This Row],[Preço]]</f>
        <v>0</v>
      </c>
      <c r="N459" s="37">
        <f>IFERROR(Tabela_Base_Financeiro[[#This Row],[Proportion]],0)</f>
        <v>0</v>
      </c>
      <c r="O459" s="60">
        <f>Tabela6[[#This Row],[Proporção]]*Tabela6[[#This Row],[Total]]</f>
        <v>0</v>
      </c>
      <c r="P459"/>
      <c r="Q459" s="59"/>
      <c r="R459" s="1"/>
    </row>
    <row r="460" spans="1:18">
      <c r="A460" s="122" t="e">
        <f>IF(VLOOKUP(Tabela6[[#This Row],[UF]],'BASE CC'!B:C,2,0)="SP",IF(Tabela6[[#This Row],[OPERADORA]]="TIM","SP TIM","SPI"),VLOOKUP(Tabela6[[#This Row],[UF]],'BASE CC'!B:C,2,0))</f>
        <v>#N/A</v>
      </c>
      <c r="B460" s="36" t="e">
        <f>VLOOKUP(Tabela_Base_Financeiro[[#This Row],[Item code]],'COD.FAT'!B:C,2,0)</f>
        <v>#N/A</v>
      </c>
      <c r="C460" s="292">
        <f>Tabela_Base_Financeiro[[#This Row],[PO Ship TO]]</f>
        <v>0</v>
      </c>
      <c r="D460" s="36" t="str">
        <f>RIGHT(Tabela_Base_Financeiro[[#This Row],[Manufacturer]],2)</f>
        <v/>
      </c>
      <c r="E46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60" s="122" t="e">
        <f>VLOOKUP(Tabela_Base_Financeiro[[#This Row],[Project Code]],'COD. PROJETOS'!B:D,3,0)</f>
        <v>#N/A</v>
      </c>
      <c r="G460" s="36">
        <f>IFERROR(Tabela_Base_Financeiro[[#This Row],[PO No,]],0)</f>
        <v>0</v>
      </c>
      <c r="H460" s="36">
        <f>IFERROR(Tabela_Base_Financeiro[[#This Row],[Line No,]],0)</f>
        <v>0</v>
      </c>
      <c r="I460" s="36" t="str">
        <f>IFERROR(MID(Tabela_Base_Financeiro[[#This Row],[Manufacturer]],19,14),"")</f>
        <v/>
      </c>
      <c r="J460" s="113">
        <f>IFERROR(Tabela_Base_Financeiro[[#This Row],[Item code]],0)</f>
        <v>0</v>
      </c>
      <c r="K460" s="293">
        <f>IFERROR(Tabela_Base_Financeiro[[#This Row],[Unit Price]],0)</f>
        <v>0</v>
      </c>
      <c r="L460" s="36">
        <f>IFERROR(Tabela_Base_Financeiro[[#This Row],[AC Qty,]],0)</f>
        <v>0</v>
      </c>
      <c r="M460" s="60">
        <f>Tabela6[[#This Row],[Qty]]*Tabela6[[#This Row],[Preço]]</f>
        <v>0</v>
      </c>
      <c r="N460" s="37">
        <f>IFERROR(Tabela_Base_Financeiro[[#This Row],[Proportion]],0)</f>
        <v>0</v>
      </c>
      <c r="O460" s="60">
        <f>Tabela6[[#This Row],[Proporção]]*Tabela6[[#This Row],[Total]]</f>
        <v>0</v>
      </c>
      <c r="P460"/>
      <c r="Q460" s="59"/>
      <c r="R460" s="1"/>
    </row>
    <row r="461" spans="1:18">
      <c r="A461" s="122" t="e">
        <f>IF(VLOOKUP(Tabela6[[#This Row],[UF]],'BASE CC'!B:C,2,0)="SP",IF(Tabela6[[#This Row],[OPERADORA]]="TIM","SP TIM","SPI"),VLOOKUP(Tabela6[[#This Row],[UF]],'BASE CC'!B:C,2,0))</f>
        <v>#N/A</v>
      </c>
      <c r="B461" s="36" t="e">
        <f>VLOOKUP(Tabela_Base_Financeiro[[#This Row],[Item code]],'COD.FAT'!B:C,2,0)</f>
        <v>#N/A</v>
      </c>
      <c r="C461" s="292">
        <f>Tabela_Base_Financeiro[[#This Row],[PO Ship TO]]</f>
        <v>0</v>
      </c>
      <c r="D461" s="36" t="str">
        <f>RIGHT(Tabela_Base_Financeiro[[#This Row],[Manufacturer]],2)</f>
        <v/>
      </c>
      <c r="E46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61" s="122" t="e">
        <f>VLOOKUP(Tabela_Base_Financeiro[[#This Row],[Project Code]],'COD. PROJETOS'!B:D,3,0)</f>
        <v>#N/A</v>
      </c>
      <c r="G461" s="36">
        <f>IFERROR(Tabela_Base_Financeiro[[#This Row],[PO No,]],0)</f>
        <v>0</v>
      </c>
      <c r="H461" s="36">
        <f>IFERROR(Tabela_Base_Financeiro[[#This Row],[Line No,]],0)</f>
        <v>0</v>
      </c>
      <c r="I461" s="36" t="str">
        <f>IFERROR(MID(Tabela_Base_Financeiro[[#This Row],[Manufacturer]],19,14),"")</f>
        <v/>
      </c>
      <c r="J461" s="113">
        <f>IFERROR(Tabela_Base_Financeiro[[#This Row],[Item code]],0)</f>
        <v>0</v>
      </c>
      <c r="K461" s="293">
        <f>IFERROR(Tabela_Base_Financeiro[[#This Row],[Unit Price]],0)</f>
        <v>0</v>
      </c>
      <c r="L461" s="36">
        <f>IFERROR(Tabela_Base_Financeiro[[#This Row],[AC Qty,]],0)</f>
        <v>0</v>
      </c>
      <c r="M461" s="60">
        <f>Tabela6[[#This Row],[Qty]]*Tabela6[[#This Row],[Preço]]</f>
        <v>0</v>
      </c>
      <c r="N461" s="37">
        <f>IFERROR(Tabela_Base_Financeiro[[#This Row],[Proportion]],0)</f>
        <v>0</v>
      </c>
      <c r="O461" s="60">
        <f>Tabela6[[#This Row],[Proporção]]*Tabela6[[#This Row],[Total]]</f>
        <v>0</v>
      </c>
      <c r="P461"/>
      <c r="Q461" s="59"/>
      <c r="R461" s="1"/>
    </row>
    <row r="462" spans="1:18">
      <c r="A462" s="122" t="e">
        <f>IF(VLOOKUP(Tabela6[[#This Row],[UF]],'BASE CC'!B:C,2,0)="SP",IF(Tabela6[[#This Row],[OPERADORA]]="TIM","SP TIM","SPI"),VLOOKUP(Tabela6[[#This Row],[UF]],'BASE CC'!B:C,2,0))</f>
        <v>#N/A</v>
      </c>
      <c r="B462" s="36" t="e">
        <f>VLOOKUP(Tabela_Base_Financeiro[[#This Row],[Item code]],'COD.FAT'!B:C,2,0)</f>
        <v>#N/A</v>
      </c>
      <c r="C462" s="292">
        <f>Tabela_Base_Financeiro[[#This Row],[PO Ship TO]]</f>
        <v>0</v>
      </c>
      <c r="D462" s="36" t="str">
        <f>RIGHT(Tabela_Base_Financeiro[[#This Row],[Manufacturer]],2)</f>
        <v/>
      </c>
      <c r="E46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62" s="122" t="e">
        <f>VLOOKUP(Tabela_Base_Financeiro[[#This Row],[Project Code]],'COD. PROJETOS'!B:D,3,0)</f>
        <v>#N/A</v>
      </c>
      <c r="G462" s="36">
        <f>IFERROR(Tabela_Base_Financeiro[[#This Row],[PO No,]],0)</f>
        <v>0</v>
      </c>
      <c r="H462" s="36">
        <f>IFERROR(Tabela_Base_Financeiro[[#This Row],[Line No,]],0)</f>
        <v>0</v>
      </c>
      <c r="I462" s="36" t="str">
        <f>IFERROR(MID(Tabela_Base_Financeiro[[#This Row],[Manufacturer]],19,14),"")</f>
        <v/>
      </c>
      <c r="J462" s="113">
        <f>IFERROR(Tabela_Base_Financeiro[[#This Row],[Item code]],0)</f>
        <v>0</v>
      </c>
      <c r="K462" s="293">
        <f>IFERROR(Tabela_Base_Financeiro[[#This Row],[Unit Price]],0)</f>
        <v>0</v>
      </c>
      <c r="L462" s="36">
        <f>IFERROR(Tabela_Base_Financeiro[[#This Row],[AC Qty,]],0)</f>
        <v>0</v>
      </c>
      <c r="M462" s="60">
        <f>Tabela6[[#This Row],[Qty]]*Tabela6[[#This Row],[Preço]]</f>
        <v>0</v>
      </c>
      <c r="N462" s="37">
        <f>IFERROR(Tabela_Base_Financeiro[[#This Row],[Proportion]],0)</f>
        <v>0</v>
      </c>
      <c r="O462" s="60">
        <f>Tabela6[[#This Row],[Proporção]]*Tabela6[[#This Row],[Total]]</f>
        <v>0</v>
      </c>
      <c r="P462"/>
      <c r="Q462" s="59"/>
      <c r="R462" s="1"/>
    </row>
    <row r="463" spans="1:18">
      <c r="A463" s="122" t="e">
        <f>IF(VLOOKUP(Tabela6[[#This Row],[UF]],'BASE CC'!B:C,2,0)="SP",IF(Tabela6[[#This Row],[OPERADORA]]="TIM","SP TIM","SPI"),VLOOKUP(Tabela6[[#This Row],[UF]],'BASE CC'!B:C,2,0))</f>
        <v>#N/A</v>
      </c>
      <c r="B463" s="36" t="e">
        <f>VLOOKUP(Tabela_Base_Financeiro[[#This Row],[Item code]],'COD.FAT'!B:C,2,0)</f>
        <v>#N/A</v>
      </c>
      <c r="C463" s="292">
        <f>Tabela_Base_Financeiro[[#This Row],[PO Ship TO]]</f>
        <v>0</v>
      </c>
      <c r="D463" s="36" t="str">
        <f>RIGHT(Tabela_Base_Financeiro[[#This Row],[Manufacturer]],2)</f>
        <v/>
      </c>
      <c r="E46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63" s="122" t="e">
        <f>VLOOKUP(Tabela_Base_Financeiro[[#This Row],[Project Code]],'COD. PROJETOS'!B:D,3,0)</f>
        <v>#N/A</v>
      </c>
      <c r="G463" s="36">
        <f>IFERROR(Tabela_Base_Financeiro[[#This Row],[PO No,]],0)</f>
        <v>0</v>
      </c>
      <c r="H463" s="36">
        <f>IFERROR(Tabela_Base_Financeiro[[#This Row],[Line No,]],0)</f>
        <v>0</v>
      </c>
      <c r="I463" s="36" t="str">
        <f>IFERROR(MID(Tabela_Base_Financeiro[[#This Row],[Manufacturer]],19,14),"")</f>
        <v/>
      </c>
      <c r="J463" s="113">
        <f>IFERROR(Tabela_Base_Financeiro[[#This Row],[Item code]],0)</f>
        <v>0</v>
      </c>
      <c r="K463" s="293">
        <f>IFERROR(Tabela_Base_Financeiro[[#This Row],[Unit Price]],0)</f>
        <v>0</v>
      </c>
      <c r="L463" s="36">
        <f>IFERROR(Tabela_Base_Financeiro[[#This Row],[AC Qty,]],0)</f>
        <v>0</v>
      </c>
      <c r="M463" s="60">
        <f>Tabela6[[#This Row],[Qty]]*Tabela6[[#This Row],[Preço]]</f>
        <v>0</v>
      </c>
      <c r="N463" s="37">
        <f>IFERROR(Tabela_Base_Financeiro[[#This Row],[Proportion]],0)</f>
        <v>0</v>
      </c>
      <c r="O463" s="60">
        <f>Tabela6[[#This Row],[Proporção]]*Tabela6[[#This Row],[Total]]</f>
        <v>0</v>
      </c>
      <c r="P463"/>
      <c r="Q463" s="59"/>
      <c r="R463" s="1"/>
    </row>
    <row r="464" spans="1:18">
      <c r="A464" s="122" t="e">
        <f>IF(VLOOKUP(Tabela6[[#This Row],[UF]],'BASE CC'!B:C,2,0)="SP",IF(Tabela6[[#This Row],[OPERADORA]]="TIM","SP TIM","SPI"),VLOOKUP(Tabela6[[#This Row],[UF]],'BASE CC'!B:C,2,0))</f>
        <v>#N/A</v>
      </c>
      <c r="B464" s="36" t="e">
        <f>VLOOKUP(Tabela_Base_Financeiro[[#This Row],[Item code]],'COD.FAT'!B:C,2,0)</f>
        <v>#N/A</v>
      </c>
      <c r="C464" s="292">
        <f>Tabela_Base_Financeiro[[#This Row],[PO Ship TO]]</f>
        <v>0</v>
      </c>
      <c r="D464" s="36" t="str">
        <f>RIGHT(Tabela_Base_Financeiro[[#This Row],[Manufacturer]],2)</f>
        <v/>
      </c>
      <c r="E46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64" s="122" t="e">
        <f>VLOOKUP(Tabela_Base_Financeiro[[#This Row],[Project Code]],'COD. PROJETOS'!B:D,3,0)</f>
        <v>#N/A</v>
      </c>
      <c r="G464" s="36">
        <f>IFERROR(Tabela_Base_Financeiro[[#This Row],[PO No,]],0)</f>
        <v>0</v>
      </c>
      <c r="H464" s="36">
        <f>IFERROR(Tabela_Base_Financeiro[[#This Row],[Line No,]],0)</f>
        <v>0</v>
      </c>
      <c r="I464" s="36" t="str">
        <f>IFERROR(MID(Tabela_Base_Financeiro[[#This Row],[Manufacturer]],19,14),"")</f>
        <v/>
      </c>
      <c r="J464" s="113">
        <f>IFERROR(Tabela_Base_Financeiro[[#This Row],[Item code]],0)</f>
        <v>0</v>
      </c>
      <c r="K464" s="293">
        <f>IFERROR(Tabela_Base_Financeiro[[#This Row],[Unit Price]],0)</f>
        <v>0</v>
      </c>
      <c r="L464" s="36">
        <f>IFERROR(Tabela_Base_Financeiro[[#This Row],[AC Qty,]],0)</f>
        <v>0</v>
      </c>
      <c r="M464" s="60">
        <f>Tabela6[[#This Row],[Qty]]*Tabela6[[#This Row],[Preço]]</f>
        <v>0</v>
      </c>
      <c r="N464" s="37">
        <f>IFERROR(Tabela_Base_Financeiro[[#This Row],[Proportion]],0)</f>
        <v>0</v>
      </c>
      <c r="O464" s="60">
        <f>Tabela6[[#This Row],[Proporção]]*Tabela6[[#This Row],[Total]]</f>
        <v>0</v>
      </c>
      <c r="P464"/>
      <c r="Q464" s="59"/>
      <c r="R464" s="1"/>
    </row>
    <row r="465" spans="1:18">
      <c r="A465" s="122" t="e">
        <f>IF(VLOOKUP(Tabela6[[#This Row],[UF]],'BASE CC'!B:C,2,0)="SP",IF(Tabela6[[#This Row],[OPERADORA]]="TIM","SP TIM","SPI"),VLOOKUP(Tabela6[[#This Row],[UF]],'BASE CC'!B:C,2,0))</f>
        <v>#N/A</v>
      </c>
      <c r="B465" s="36" t="e">
        <f>VLOOKUP(Tabela_Base_Financeiro[[#This Row],[Item code]],'COD.FAT'!B:C,2,0)</f>
        <v>#N/A</v>
      </c>
      <c r="C465" s="292">
        <f>Tabela_Base_Financeiro[[#This Row],[PO Ship TO]]</f>
        <v>0</v>
      </c>
      <c r="D465" s="36" t="str">
        <f>RIGHT(Tabela_Base_Financeiro[[#This Row],[Manufacturer]],2)</f>
        <v/>
      </c>
      <c r="E46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65" s="122" t="e">
        <f>VLOOKUP(Tabela_Base_Financeiro[[#This Row],[Project Code]],'COD. PROJETOS'!B:D,3,0)</f>
        <v>#N/A</v>
      </c>
      <c r="G465" s="36">
        <f>IFERROR(Tabela_Base_Financeiro[[#This Row],[PO No,]],0)</f>
        <v>0</v>
      </c>
      <c r="H465" s="36">
        <f>IFERROR(Tabela_Base_Financeiro[[#This Row],[Line No,]],0)</f>
        <v>0</v>
      </c>
      <c r="I465" s="36" t="str">
        <f>IFERROR(MID(Tabela_Base_Financeiro[[#This Row],[Manufacturer]],19,14),"")</f>
        <v/>
      </c>
      <c r="J465" s="113">
        <f>IFERROR(Tabela_Base_Financeiro[[#This Row],[Item code]],0)</f>
        <v>0</v>
      </c>
      <c r="K465" s="293">
        <f>IFERROR(Tabela_Base_Financeiro[[#This Row],[Unit Price]],0)</f>
        <v>0</v>
      </c>
      <c r="L465" s="36">
        <f>IFERROR(Tabela_Base_Financeiro[[#This Row],[AC Qty,]],0)</f>
        <v>0</v>
      </c>
      <c r="M465" s="60">
        <f>Tabela6[[#This Row],[Qty]]*Tabela6[[#This Row],[Preço]]</f>
        <v>0</v>
      </c>
      <c r="N465" s="37">
        <f>IFERROR(Tabela_Base_Financeiro[[#This Row],[Proportion]],0)</f>
        <v>0</v>
      </c>
      <c r="O465" s="60">
        <f>Tabela6[[#This Row],[Proporção]]*Tabela6[[#This Row],[Total]]</f>
        <v>0</v>
      </c>
      <c r="P465"/>
      <c r="Q465" s="59"/>
      <c r="R465" s="1"/>
    </row>
    <row r="466" spans="1:18">
      <c r="A466" s="122" t="e">
        <f>IF(VLOOKUP(Tabela6[[#This Row],[UF]],'BASE CC'!B:C,2,0)="SP",IF(Tabela6[[#This Row],[OPERADORA]]="TIM","SP TIM","SPI"),VLOOKUP(Tabela6[[#This Row],[UF]],'BASE CC'!B:C,2,0))</f>
        <v>#N/A</v>
      </c>
      <c r="B466" s="36" t="e">
        <f>VLOOKUP(Tabela_Base_Financeiro[[#This Row],[Item code]],'COD.FAT'!B:C,2,0)</f>
        <v>#N/A</v>
      </c>
      <c r="C466" s="292">
        <f>Tabela_Base_Financeiro[[#This Row],[PO Ship TO]]</f>
        <v>0</v>
      </c>
      <c r="D466" s="36" t="str">
        <f>RIGHT(Tabela_Base_Financeiro[[#This Row],[Manufacturer]],2)</f>
        <v/>
      </c>
      <c r="E46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66" s="122" t="e">
        <f>VLOOKUP(Tabela_Base_Financeiro[[#This Row],[Project Code]],'COD. PROJETOS'!B:D,3,0)</f>
        <v>#N/A</v>
      </c>
      <c r="G466" s="36">
        <f>IFERROR(Tabela_Base_Financeiro[[#This Row],[PO No,]],0)</f>
        <v>0</v>
      </c>
      <c r="H466" s="36">
        <f>IFERROR(Tabela_Base_Financeiro[[#This Row],[Line No,]],0)</f>
        <v>0</v>
      </c>
      <c r="I466" s="36" t="str">
        <f>IFERROR(MID(Tabela_Base_Financeiro[[#This Row],[Manufacturer]],19,14),"")</f>
        <v/>
      </c>
      <c r="J466" s="113">
        <f>IFERROR(Tabela_Base_Financeiro[[#This Row],[Item code]],0)</f>
        <v>0</v>
      </c>
      <c r="K466" s="293">
        <f>IFERROR(Tabela_Base_Financeiro[[#This Row],[Unit Price]],0)</f>
        <v>0</v>
      </c>
      <c r="L466" s="36">
        <f>IFERROR(Tabela_Base_Financeiro[[#This Row],[AC Qty,]],0)</f>
        <v>0</v>
      </c>
      <c r="M466" s="60">
        <f>Tabela6[[#This Row],[Qty]]*Tabela6[[#This Row],[Preço]]</f>
        <v>0</v>
      </c>
      <c r="N466" s="37">
        <f>IFERROR(Tabela_Base_Financeiro[[#This Row],[Proportion]],0)</f>
        <v>0</v>
      </c>
      <c r="O466" s="60">
        <f>Tabela6[[#This Row],[Proporção]]*Tabela6[[#This Row],[Total]]</f>
        <v>0</v>
      </c>
      <c r="P466"/>
      <c r="Q466" s="59"/>
      <c r="R466" s="1"/>
    </row>
    <row r="467" spans="1:18">
      <c r="A467" s="122" t="e">
        <f>IF(VLOOKUP(Tabela6[[#This Row],[UF]],'BASE CC'!B:C,2,0)="SP",IF(Tabela6[[#This Row],[OPERADORA]]="TIM","SP TIM","SPI"),VLOOKUP(Tabela6[[#This Row],[UF]],'BASE CC'!B:C,2,0))</f>
        <v>#N/A</v>
      </c>
      <c r="B467" s="36" t="e">
        <f>VLOOKUP(Tabela_Base_Financeiro[[#This Row],[Item code]],'COD.FAT'!B:C,2,0)</f>
        <v>#N/A</v>
      </c>
      <c r="C467" s="292">
        <f>Tabela_Base_Financeiro[[#This Row],[PO Ship TO]]</f>
        <v>0</v>
      </c>
      <c r="D467" s="36" t="str">
        <f>RIGHT(Tabela_Base_Financeiro[[#This Row],[Manufacturer]],2)</f>
        <v/>
      </c>
      <c r="E46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67" s="122" t="e">
        <f>VLOOKUP(Tabela_Base_Financeiro[[#This Row],[Project Code]],'COD. PROJETOS'!B:D,3,0)</f>
        <v>#N/A</v>
      </c>
      <c r="G467" s="36">
        <f>IFERROR(Tabela_Base_Financeiro[[#This Row],[PO No,]],0)</f>
        <v>0</v>
      </c>
      <c r="H467" s="36">
        <f>IFERROR(Tabela_Base_Financeiro[[#This Row],[Line No,]],0)</f>
        <v>0</v>
      </c>
      <c r="I467" s="36" t="str">
        <f>IFERROR(MID(Tabela_Base_Financeiro[[#This Row],[Manufacturer]],19,14),"")</f>
        <v/>
      </c>
      <c r="J467" s="113">
        <f>IFERROR(Tabela_Base_Financeiro[[#This Row],[Item code]],0)</f>
        <v>0</v>
      </c>
      <c r="K467" s="293">
        <f>IFERROR(Tabela_Base_Financeiro[[#This Row],[Unit Price]],0)</f>
        <v>0</v>
      </c>
      <c r="L467" s="36">
        <f>IFERROR(Tabela_Base_Financeiro[[#This Row],[AC Qty,]],0)</f>
        <v>0</v>
      </c>
      <c r="M467" s="60">
        <f>Tabela6[[#This Row],[Qty]]*Tabela6[[#This Row],[Preço]]</f>
        <v>0</v>
      </c>
      <c r="N467" s="37">
        <f>IFERROR(Tabela_Base_Financeiro[[#This Row],[Proportion]],0)</f>
        <v>0</v>
      </c>
      <c r="O467" s="60">
        <f>Tabela6[[#This Row],[Proporção]]*Tabela6[[#This Row],[Total]]</f>
        <v>0</v>
      </c>
      <c r="P467"/>
      <c r="Q467" s="59"/>
      <c r="R467" s="1"/>
    </row>
    <row r="468" spans="1:18">
      <c r="A468" s="122" t="e">
        <f>IF(VLOOKUP(Tabela6[[#This Row],[UF]],'BASE CC'!B:C,2,0)="SP",IF(Tabela6[[#This Row],[OPERADORA]]="TIM","SP TIM","SPI"),VLOOKUP(Tabela6[[#This Row],[UF]],'BASE CC'!B:C,2,0))</f>
        <v>#N/A</v>
      </c>
      <c r="B468" s="36" t="e">
        <f>VLOOKUP(Tabela_Base_Financeiro[[#This Row],[Item code]],'COD.FAT'!B:C,2,0)</f>
        <v>#N/A</v>
      </c>
      <c r="C468" s="292">
        <f>Tabela_Base_Financeiro[[#This Row],[PO Ship TO]]</f>
        <v>0</v>
      </c>
      <c r="D468" s="36" t="str">
        <f>RIGHT(Tabela_Base_Financeiro[[#This Row],[Manufacturer]],2)</f>
        <v/>
      </c>
      <c r="E46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68" s="122" t="e">
        <f>VLOOKUP(Tabela_Base_Financeiro[[#This Row],[Project Code]],'COD. PROJETOS'!B:D,3,0)</f>
        <v>#N/A</v>
      </c>
      <c r="G468" s="36">
        <f>IFERROR(Tabela_Base_Financeiro[[#This Row],[PO No,]],0)</f>
        <v>0</v>
      </c>
      <c r="H468" s="36">
        <f>IFERROR(Tabela_Base_Financeiro[[#This Row],[Line No,]],0)</f>
        <v>0</v>
      </c>
      <c r="I468" s="36" t="str">
        <f>IFERROR(MID(Tabela_Base_Financeiro[[#This Row],[Manufacturer]],19,14),"")</f>
        <v/>
      </c>
      <c r="J468" s="113">
        <f>IFERROR(Tabela_Base_Financeiro[[#This Row],[Item code]],0)</f>
        <v>0</v>
      </c>
      <c r="K468" s="293">
        <f>IFERROR(Tabela_Base_Financeiro[[#This Row],[Unit Price]],0)</f>
        <v>0</v>
      </c>
      <c r="L468" s="36">
        <f>IFERROR(Tabela_Base_Financeiro[[#This Row],[AC Qty,]],0)</f>
        <v>0</v>
      </c>
      <c r="M468" s="60">
        <f>Tabela6[[#This Row],[Qty]]*Tabela6[[#This Row],[Preço]]</f>
        <v>0</v>
      </c>
      <c r="N468" s="37">
        <f>IFERROR(Tabela_Base_Financeiro[[#This Row],[Proportion]],0)</f>
        <v>0</v>
      </c>
      <c r="O468" s="60">
        <f>Tabela6[[#This Row],[Proporção]]*Tabela6[[#This Row],[Total]]</f>
        <v>0</v>
      </c>
      <c r="P468"/>
      <c r="Q468" s="59"/>
      <c r="R468" s="1"/>
    </row>
    <row r="469" spans="1:18">
      <c r="A469" s="122" t="e">
        <f>IF(VLOOKUP(Tabela6[[#This Row],[UF]],'BASE CC'!B:C,2,0)="SP",IF(Tabela6[[#This Row],[OPERADORA]]="TIM","SP TIM","SPI"),VLOOKUP(Tabela6[[#This Row],[UF]],'BASE CC'!B:C,2,0))</f>
        <v>#N/A</v>
      </c>
      <c r="B469" s="36" t="e">
        <f>VLOOKUP(Tabela_Base_Financeiro[[#This Row],[Item code]],'COD.FAT'!B:C,2,0)</f>
        <v>#N/A</v>
      </c>
      <c r="C469" s="292">
        <f>Tabela_Base_Financeiro[[#This Row],[PO Ship TO]]</f>
        <v>0</v>
      </c>
      <c r="D469" s="36" t="str">
        <f>RIGHT(Tabela_Base_Financeiro[[#This Row],[Manufacturer]],2)</f>
        <v/>
      </c>
      <c r="E46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69" s="122" t="e">
        <f>VLOOKUP(Tabela_Base_Financeiro[[#This Row],[Project Code]],'COD. PROJETOS'!B:D,3,0)</f>
        <v>#N/A</v>
      </c>
      <c r="G469" s="36">
        <f>IFERROR(Tabela_Base_Financeiro[[#This Row],[PO No,]],0)</f>
        <v>0</v>
      </c>
      <c r="H469" s="36">
        <f>IFERROR(Tabela_Base_Financeiro[[#This Row],[Line No,]],0)</f>
        <v>0</v>
      </c>
      <c r="I469" s="36" t="str">
        <f>IFERROR(MID(Tabela_Base_Financeiro[[#This Row],[Manufacturer]],19,14),"")</f>
        <v/>
      </c>
      <c r="J469" s="113">
        <f>IFERROR(Tabela_Base_Financeiro[[#This Row],[Item code]],0)</f>
        <v>0</v>
      </c>
      <c r="K469" s="293">
        <f>IFERROR(Tabela_Base_Financeiro[[#This Row],[Unit Price]],0)</f>
        <v>0</v>
      </c>
      <c r="L469" s="36">
        <f>IFERROR(Tabela_Base_Financeiro[[#This Row],[AC Qty,]],0)</f>
        <v>0</v>
      </c>
      <c r="M469" s="60">
        <f>Tabela6[[#This Row],[Qty]]*Tabela6[[#This Row],[Preço]]</f>
        <v>0</v>
      </c>
      <c r="N469" s="37">
        <f>IFERROR(Tabela_Base_Financeiro[[#This Row],[Proportion]],0)</f>
        <v>0</v>
      </c>
      <c r="O469" s="60">
        <f>Tabela6[[#This Row],[Proporção]]*Tabela6[[#This Row],[Total]]</f>
        <v>0</v>
      </c>
      <c r="P469"/>
      <c r="Q469" s="59"/>
      <c r="R469" s="1"/>
    </row>
    <row r="470" spans="1:18">
      <c r="A470" s="122" t="e">
        <f>IF(VLOOKUP(Tabela6[[#This Row],[UF]],'BASE CC'!B:C,2,0)="SP",IF(Tabela6[[#This Row],[OPERADORA]]="TIM","SP TIM","SPI"),VLOOKUP(Tabela6[[#This Row],[UF]],'BASE CC'!B:C,2,0))</f>
        <v>#N/A</v>
      </c>
      <c r="B470" s="36" t="e">
        <f>VLOOKUP(Tabela_Base_Financeiro[[#This Row],[Item code]],'COD.FAT'!B:C,2,0)</f>
        <v>#N/A</v>
      </c>
      <c r="C470" s="292">
        <f>Tabela_Base_Financeiro[[#This Row],[PO Ship TO]]</f>
        <v>0</v>
      </c>
      <c r="D470" s="36" t="str">
        <f>RIGHT(Tabela_Base_Financeiro[[#This Row],[Manufacturer]],2)</f>
        <v/>
      </c>
      <c r="E47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70" s="122" t="e">
        <f>VLOOKUP(Tabela_Base_Financeiro[[#This Row],[Project Code]],'COD. PROJETOS'!B:D,3,0)</f>
        <v>#N/A</v>
      </c>
      <c r="G470" s="36">
        <f>IFERROR(Tabela_Base_Financeiro[[#This Row],[PO No,]],0)</f>
        <v>0</v>
      </c>
      <c r="H470" s="36">
        <f>IFERROR(Tabela_Base_Financeiro[[#This Row],[Line No,]],0)</f>
        <v>0</v>
      </c>
      <c r="I470" s="36" t="str">
        <f>IFERROR(MID(Tabela_Base_Financeiro[[#This Row],[Manufacturer]],19,14),"")</f>
        <v/>
      </c>
      <c r="J470" s="113">
        <f>IFERROR(Tabela_Base_Financeiro[[#This Row],[Item code]],0)</f>
        <v>0</v>
      </c>
      <c r="K470" s="293">
        <f>IFERROR(Tabela_Base_Financeiro[[#This Row],[Unit Price]],0)</f>
        <v>0</v>
      </c>
      <c r="L470" s="36">
        <f>IFERROR(Tabela_Base_Financeiro[[#This Row],[AC Qty,]],0)</f>
        <v>0</v>
      </c>
      <c r="M470" s="60">
        <f>Tabela6[[#This Row],[Qty]]*Tabela6[[#This Row],[Preço]]</f>
        <v>0</v>
      </c>
      <c r="N470" s="37">
        <f>IFERROR(Tabela_Base_Financeiro[[#This Row],[Proportion]],0)</f>
        <v>0</v>
      </c>
      <c r="O470" s="60">
        <f>Tabela6[[#This Row],[Proporção]]*Tabela6[[#This Row],[Total]]</f>
        <v>0</v>
      </c>
      <c r="P470"/>
      <c r="Q470" s="59"/>
      <c r="R470" s="1"/>
    </row>
    <row r="471" spans="1:18">
      <c r="A471" s="122" t="e">
        <f>IF(VLOOKUP(Tabela6[[#This Row],[UF]],'BASE CC'!B:C,2,0)="SP",IF(Tabela6[[#This Row],[OPERADORA]]="TIM","SP TIM","SPI"),VLOOKUP(Tabela6[[#This Row],[UF]],'BASE CC'!B:C,2,0))</f>
        <v>#N/A</v>
      </c>
      <c r="B471" s="36" t="e">
        <f>VLOOKUP(Tabela_Base_Financeiro[[#This Row],[Item code]],'COD.FAT'!B:C,2,0)</f>
        <v>#N/A</v>
      </c>
      <c r="C471" s="292">
        <f>Tabela_Base_Financeiro[[#This Row],[PO Ship TO]]</f>
        <v>0</v>
      </c>
      <c r="D471" s="36" t="str">
        <f>RIGHT(Tabela_Base_Financeiro[[#This Row],[Manufacturer]],2)</f>
        <v/>
      </c>
      <c r="E47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71" s="122" t="e">
        <f>VLOOKUP(Tabela_Base_Financeiro[[#This Row],[Project Code]],'COD. PROJETOS'!B:D,3,0)</f>
        <v>#N/A</v>
      </c>
      <c r="G471" s="36">
        <f>IFERROR(Tabela_Base_Financeiro[[#This Row],[PO No,]],0)</f>
        <v>0</v>
      </c>
      <c r="H471" s="36">
        <f>IFERROR(Tabela_Base_Financeiro[[#This Row],[Line No,]],0)</f>
        <v>0</v>
      </c>
      <c r="I471" s="36" t="str">
        <f>IFERROR(MID(Tabela_Base_Financeiro[[#This Row],[Manufacturer]],19,14),"")</f>
        <v/>
      </c>
      <c r="J471" s="113">
        <f>IFERROR(Tabela_Base_Financeiro[[#This Row],[Item code]],0)</f>
        <v>0</v>
      </c>
      <c r="K471" s="293">
        <f>IFERROR(Tabela_Base_Financeiro[[#This Row],[Unit Price]],0)</f>
        <v>0</v>
      </c>
      <c r="L471" s="36">
        <f>IFERROR(Tabela_Base_Financeiro[[#This Row],[AC Qty,]],0)</f>
        <v>0</v>
      </c>
      <c r="M471" s="60">
        <f>Tabela6[[#This Row],[Qty]]*Tabela6[[#This Row],[Preço]]</f>
        <v>0</v>
      </c>
      <c r="N471" s="37">
        <f>IFERROR(Tabela_Base_Financeiro[[#This Row],[Proportion]],0)</f>
        <v>0</v>
      </c>
      <c r="O471" s="60">
        <f>Tabela6[[#This Row],[Proporção]]*Tabela6[[#This Row],[Total]]</f>
        <v>0</v>
      </c>
      <c r="P471"/>
      <c r="Q471" s="59"/>
      <c r="R471" s="1"/>
    </row>
    <row r="472" spans="1:18">
      <c r="A472" s="122" t="e">
        <f>IF(VLOOKUP(Tabela6[[#This Row],[UF]],'BASE CC'!B:C,2,0)="SP",IF(Tabela6[[#This Row],[OPERADORA]]="TIM","SP TIM","SPI"),VLOOKUP(Tabela6[[#This Row],[UF]],'BASE CC'!B:C,2,0))</f>
        <v>#N/A</v>
      </c>
      <c r="B472" s="36" t="e">
        <f>VLOOKUP(Tabela_Base_Financeiro[[#This Row],[Item code]],'COD.FAT'!B:C,2,0)</f>
        <v>#N/A</v>
      </c>
      <c r="C472" s="292">
        <f>Tabela_Base_Financeiro[[#This Row],[PO Ship TO]]</f>
        <v>0</v>
      </c>
      <c r="D472" s="36" t="str">
        <f>RIGHT(Tabela_Base_Financeiro[[#This Row],[Manufacturer]],2)</f>
        <v/>
      </c>
      <c r="E47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72" s="122" t="e">
        <f>VLOOKUP(Tabela_Base_Financeiro[[#This Row],[Project Code]],'COD. PROJETOS'!B:D,3,0)</f>
        <v>#N/A</v>
      </c>
      <c r="G472" s="36">
        <f>IFERROR(Tabela_Base_Financeiro[[#This Row],[PO No,]],0)</f>
        <v>0</v>
      </c>
      <c r="H472" s="36">
        <f>IFERROR(Tabela_Base_Financeiro[[#This Row],[Line No,]],0)</f>
        <v>0</v>
      </c>
      <c r="I472" s="36" t="str">
        <f>IFERROR(MID(Tabela_Base_Financeiro[[#This Row],[Manufacturer]],19,14),"")</f>
        <v/>
      </c>
      <c r="J472" s="113">
        <f>IFERROR(Tabela_Base_Financeiro[[#This Row],[Item code]],0)</f>
        <v>0</v>
      </c>
      <c r="K472" s="293">
        <f>IFERROR(Tabela_Base_Financeiro[[#This Row],[Unit Price]],0)</f>
        <v>0</v>
      </c>
      <c r="L472" s="36">
        <f>IFERROR(Tabela_Base_Financeiro[[#This Row],[AC Qty,]],0)</f>
        <v>0</v>
      </c>
      <c r="M472" s="60">
        <f>Tabela6[[#This Row],[Qty]]*Tabela6[[#This Row],[Preço]]</f>
        <v>0</v>
      </c>
      <c r="N472" s="37">
        <f>IFERROR(Tabela_Base_Financeiro[[#This Row],[Proportion]],0)</f>
        <v>0</v>
      </c>
      <c r="O472" s="60">
        <f>Tabela6[[#This Row],[Proporção]]*Tabela6[[#This Row],[Total]]</f>
        <v>0</v>
      </c>
      <c r="P472"/>
      <c r="Q472" s="59"/>
      <c r="R472" s="1"/>
    </row>
    <row r="473" spans="1:18">
      <c r="A473" s="122" t="e">
        <f>IF(VLOOKUP(Tabela6[[#This Row],[UF]],'BASE CC'!B:C,2,0)="SP",IF(Tabela6[[#This Row],[OPERADORA]]="TIM","SP TIM","SPI"),VLOOKUP(Tabela6[[#This Row],[UF]],'BASE CC'!B:C,2,0))</f>
        <v>#N/A</v>
      </c>
      <c r="B473" s="36" t="e">
        <f>VLOOKUP(Tabela_Base_Financeiro[[#This Row],[Item code]],'COD.FAT'!B:C,2,0)</f>
        <v>#N/A</v>
      </c>
      <c r="C473" s="292">
        <f>Tabela_Base_Financeiro[[#This Row],[PO Ship TO]]</f>
        <v>0</v>
      </c>
      <c r="D473" s="36" t="str">
        <f>RIGHT(Tabela_Base_Financeiro[[#This Row],[Manufacturer]],2)</f>
        <v/>
      </c>
      <c r="E47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73" s="122" t="e">
        <f>VLOOKUP(Tabela_Base_Financeiro[[#This Row],[Project Code]],'COD. PROJETOS'!B:D,3,0)</f>
        <v>#N/A</v>
      </c>
      <c r="G473" s="36">
        <f>IFERROR(Tabela_Base_Financeiro[[#This Row],[PO No,]],0)</f>
        <v>0</v>
      </c>
      <c r="H473" s="36">
        <f>IFERROR(Tabela_Base_Financeiro[[#This Row],[Line No,]],0)</f>
        <v>0</v>
      </c>
      <c r="I473" s="36" t="str">
        <f>IFERROR(MID(Tabela_Base_Financeiro[[#This Row],[Manufacturer]],19,14),"")</f>
        <v/>
      </c>
      <c r="J473" s="113">
        <f>IFERROR(Tabela_Base_Financeiro[[#This Row],[Item code]],0)</f>
        <v>0</v>
      </c>
      <c r="K473" s="293">
        <f>IFERROR(Tabela_Base_Financeiro[[#This Row],[Unit Price]],0)</f>
        <v>0</v>
      </c>
      <c r="L473" s="36">
        <f>IFERROR(Tabela_Base_Financeiro[[#This Row],[AC Qty,]],0)</f>
        <v>0</v>
      </c>
      <c r="M473" s="60">
        <f>Tabela6[[#This Row],[Qty]]*Tabela6[[#This Row],[Preço]]</f>
        <v>0</v>
      </c>
      <c r="N473" s="37">
        <f>IFERROR(Tabela_Base_Financeiro[[#This Row],[Proportion]],0)</f>
        <v>0</v>
      </c>
      <c r="O473" s="60">
        <f>Tabela6[[#This Row],[Proporção]]*Tabela6[[#This Row],[Total]]</f>
        <v>0</v>
      </c>
      <c r="P473"/>
      <c r="Q473" s="59"/>
      <c r="R473" s="1"/>
    </row>
    <row r="474" spans="1:18">
      <c r="A474" s="122" t="e">
        <f>IF(VLOOKUP(Tabela6[[#This Row],[UF]],'BASE CC'!B:C,2,0)="SP",IF(Tabela6[[#This Row],[OPERADORA]]="TIM","SP TIM","SPI"),VLOOKUP(Tabela6[[#This Row],[UF]],'BASE CC'!B:C,2,0))</f>
        <v>#N/A</v>
      </c>
      <c r="B474" s="36" t="e">
        <f>VLOOKUP(Tabela_Base_Financeiro[[#This Row],[Item code]],'COD.FAT'!B:C,2,0)</f>
        <v>#N/A</v>
      </c>
      <c r="C474" s="292">
        <f>Tabela_Base_Financeiro[[#This Row],[PO Ship TO]]</f>
        <v>0</v>
      </c>
      <c r="D474" s="36" t="str">
        <f>RIGHT(Tabela_Base_Financeiro[[#This Row],[Manufacturer]],2)</f>
        <v/>
      </c>
      <c r="E47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74" s="122" t="e">
        <f>VLOOKUP(Tabela_Base_Financeiro[[#This Row],[Project Code]],'COD. PROJETOS'!B:D,3,0)</f>
        <v>#N/A</v>
      </c>
      <c r="G474" s="36">
        <f>IFERROR(Tabela_Base_Financeiro[[#This Row],[PO No,]],0)</f>
        <v>0</v>
      </c>
      <c r="H474" s="36">
        <f>IFERROR(Tabela_Base_Financeiro[[#This Row],[Line No,]],0)</f>
        <v>0</v>
      </c>
      <c r="I474" s="36" t="str">
        <f>IFERROR(MID(Tabela_Base_Financeiro[[#This Row],[Manufacturer]],19,14),"")</f>
        <v/>
      </c>
      <c r="J474" s="113">
        <f>IFERROR(Tabela_Base_Financeiro[[#This Row],[Item code]],0)</f>
        <v>0</v>
      </c>
      <c r="K474" s="293">
        <f>IFERROR(Tabela_Base_Financeiro[[#This Row],[Unit Price]],0)</f>
        <v>0</v>
      </c>
      <c r="L474" s="36">
        <f>IFERROR(Tabela_Base_Financeiro[[#This Row],[AC Qty,]],0)</f>
        <v>0</v>
      </c>
      <c r="M474" s="60">
        <f>Tabela6[[#This Row],[Qty]]*Tabela6[[#This Row],[Preço]]</f>
        <v>0</v>
      </c>
      <c r="N474" s="37">
        <f>IFERROR(Tabela_Base_Financeiro[[#This Row],[Proportion]],0)</f>
        <v>0</v>
      </c>
      <c r="O474" s="60">
        <f>Tabela6[[#This Row],[Proporção]]*Tabela6[[#This Row],[Total]]</f>
        <v>0</v>
      </c>
      <c r="P474"/>
      <c r="Q474" s="59"/>
      <c r="R474" s="1"/>
    </row>
    <row r="475" spans="1:18">
      <c r="A475" s="122" t="e">
        <f>IF(VLOOKUP(Tabela6[[#This Row],[UF]],'BASE CC'!B:C,2,0)="SP",IF(Tabela6[[#This Row],[OPERADORA]]="TIM","SP TIM","SPI"),VLOOKUP(Tabela6[[#This Row],[UF]],'BASE CC'!B:C,2,0))</f>
        <v>#N/A</v>
      </c>
      <c r="B475" s="36" t="e">
        <f>VLOOKUP(Tabela_Base_Financeiro[[#This Row],[Item code]],'COD.FAT'!B:C,2,0)</f>
        <v>#N/A</v>
      </c>
      <c r="C475" s="292">
        <f>Tabela_Base_Financeiro[[#This Row],[PO Ship TO]]</f>
        <v>0</v>
      </c>
      <c r="D475" s="36" t="str">
        <f>RIGHT(Tabela_Base_Financeiro[[#This Row],[Manufacturer]],2)</f>
        <v/>
      </c>
      <c r="E47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75" s="122" t="e">
        <f>VLOOKUP(Tabela_Base_Financeiro[[#This Row],[Project Code]],'COD. PROJETOS'!B:D,3,0)</f>
        <v>#N/A</v>
      </c>
      <c r="G475" s="36">
        <f>IFERROR(Tabela_Base_Financeiro[[#This Row],[PO No,]],0)</f>
        <v>0</v>
      </c>
      <c r="H475" s="36">
        <f>IFERROR(Tabela_Base_Financeiro[[#This Row],[Line No,]],0)</f>
        <v>0</v>
      </c>
      <c r="I475" s="36" t="str">
        <f>IFERROR(MID(Tabela_Base_Financeiro[[#This Row],[Manufacturer]],19,14),"")</f>
        <v/>
      </c>
      <c r="J475" s="113">
        <f>IFERROR(Tabela_Base_Financeiro[[#This Row],[Item code]],0)</f>
        <v>0</v>
      </c>
      <c r="K475" s="293">
        <f>IFERROR(Tabela_Base_Financeiro[[#This Row],[Unit Price]],0)</f>
        <v>0</v>
      </c>
      <c r="L475" s="36">
        <f>IFERROR(Tabela_Base_Financeiro[[#This Row],[AC Qty,]],0)</f>
        <v>0</v>
      </c>
      <c r="M475" s="60">
        <f>Tabela6[[#This Row],[Qty]]*Tabela6[[#This Row],[Preço]]</f>
        <v>0</v>
      </c>
      <c r="N475" s="37">
        <f>IFERROR(Tabela_Base_Financeiro[[#This Row],[Proportion]],0)</f>
        <v>0</v>
      </c>
      <c r="O475" s="60">
        <f>Tabela6[[#This Row],[Proporção]]*Tabela6[[#This Row],[Total]]</f>
        <v>0</v>
      </c>
      <c r="P475"/>
      <c r="Q475" s="59"/>
      <c r="R475" s="1"/>
    </row>
    <row r="476" spans="1:18">
      <c r="A476" s="122" t="e">
        <f>IF(VLOOKUP(Tabela6[[#This Row],[UF]],'BASE CC'!B:C,2,0)="SP",IF(Tabela6[[#This Row],[OPERADORA]]="TIM","SP TIM","SPI"),VLOOKUP(Tabela6[[#This Row],[UF]],'BASE CC'!B:C,2,0))</f>
        <v>#N/A</v>
      </c>
      <c r="B476" s="36" t="e">
        <f>VLOOKUP(Tabela_Base_Financeiro[[#This Row],[Item code]],'COD.FAT'!B:C,2,0)</f>
        <v>#N/A</v>
      </c>
      <c r="C476" s="292">
        <f>Tabela_Base_Financeiro[[#This Row],[PO Ship TO]]</f>
        <v>0</v>
      </c>
      <c r="D476" s="36" t="str">
        <f>RIGHT(Tabela_Base_Financeiro[[#This Row],[Manufacturer]],2)</f>
        <v/>
      </c>
      <c r="E47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76" s="122" t="e">
        <f>VLOOKUP(Tabela_Base_Financeiro[[#This Row],[Project Code]],'COD. PROJETOS'!B:D,3,0)</f>
        <v>#N/A</v>
      </c>
      <c r="G476" s="36">
        <f>IFERROR(Tabela_Base_Financeiro[[#This Row],[PO No,]],0)</f>
        <v>0</v>
      </c>
      <c r="H476" s="36">
        <f>IFERROR(Tabela_Base_Financeiro[[#This Row],[Line No,]],0)</f>
        <v>0</v>
      </c>
      <c r="I476" s="36" t="str">
        <f>IFERROR(MID(Tabela_Base_Financeiro[[#This Row],[Manufacturer]],19,14),"")</f>
        <v/>
      </c>
      <c r="J476" s="113">
        <f>IFERROR(Tabela_Base_Financeiro[[#This Row],[Item code]],0)</f>
        <v>0</v>
      </c>
      <c r="K476" s="293">
        <f>IFERROR(Tabela_Base_Financeiro[[#This Row],[Unit Price]],0)</f>
        <v>0</v>
      </c>
      <c r="L476" s="36">
        <f>IFERROR(Tabela_Base_Financeiro[[#This Row],[AC Qty,]],0)</f>
        <v>0</v>
      </c>
      <c r="M476" s="60">
        <f>Tabela6[[#This Row],[Qty]]*Tabela6[[#This Row],[Preço]]</f>
        <v>0</v>
      </c>
      <c r="N476" s="37">
        <f>IFERROR(Tabela_Base_Financeiro[[#This Row],[Proportion]],0)</f>
        <v>0</v>
      </c>
      <c r="O476" s="60">
        <f>Tabela6[[#This Row],[Proporção]]*Tabela6[[#This Row],[Total]]</f>
        <v>0</v>
      </c>
      <c r="P476"/>
      <c r="Q476" s="59"/>
      <c r="R476" s="1"/>
    </row>
    <row r="477" spans="1:18">
      <c r="A477" s="122" t="e">
        <f>IF(VLOOKUP(Tabela6[[#This Row],[UF]],'BASE CC'!B:C,2,0)="SP",IF(Tabela6[[#This Row],[OPERADORA]]="TIM","SP TIM","SPI"),VLOOKUP(Tabela6[[#This Row],[UF]],'BASE CC'!B:C,2,0))</f>
        <v>#N/A</v>
      </c>
      <c r="B477" s="36" t="e">
        <f>VLOOKUP(Tabela_Base_Financeiro[[#This Row],[Item code]],'COD.FAT'!B:C,2,0)</f>
        <v>#N/A</v>
      </c>
      <c r="C477" s="292">
        <f>Tabela_Base_Financeiro[[#This Row],[PO Ship TO]]</f>
        <v>0</v>
      </c>
      <c r="D477" s="36" t="str">
        <f>RIGHT(Tabela_Base_Financeiro[[#This Row],[Manufacturer]],2)</f>
        <v/>
      </c>
      <c r="E47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77" s="122" t="e">
        <f>VLOOKUP(Tabela_Base_Financeiro[[#This Row],[Project Code]],'COD. PROJETOS'!B:D,3,0)</f>
        <v>#N/A</v>
      </c>
      <c r="G477" s="36">
        <f>IFERROR(Tabela_Base_Financeiro[[#This Row],[PO No,]],0)</f>
        <v>0</v>
      </c>
      <c r="H477" s="36">
        <f>IFERROR(Tabela_Base_Financeiro[[#This Row],[Line No,]],0)</f>
        <v>0</v>
      </c>
      <c r="I477" s="36" t="str">
        <f>IFERROR(MID(Tabela_Base_Financeiro[[#This Row],[Manufacturer]],19,14),"")</f>
        <v/>
      </c>
      <c r="J477" s="113">
        <f>IFERROR(Tabela_Base_Financeiro[[#This Row],[Item code]],0)</f>
        <v>0</v>
      </c>
      <c r="K477" s="293">
        <f>IFERROR(Tabela_Base_Financeiro[[#This Row],[Unit Price]],0)</f>
        <v>0</v>
      </c>
      <c r="L477" s="36">
        <f>IFERROR(Tabela_Base_Financeiro[[#This Row],[AC Qty,]],0)</f>
        <v>0</v>
      </c>
      <c r="M477" s="60">
        <f>Tabela6[[#This Row],[Qty]]*Tabela6[[#This Row],[Preço]]</f>
        <v>0</v>
      </c>
      <c r="N477" s="37">
        <f>IFERROR(Tabela_Base_Financeiro[[#This Row],[Proportion]],0)</f>
        <v>0</v>
      </c>
      <c r="O477" s="60">
        <f>Tabela6[[#This Row],[Proporção]]*Tabela6[[#This Row],[Total]]</f>
        <v>0</v>
      </c>
      <c r="P477"/>
      <c r="Q477" s="59"/>
      <c r="R477" s="1"/>
    </row>
    <row r="478" spans="1:18">
      <c r="A478" s="122" t="e">
        <f>IF(VLOOKUP(Tabela6[[#This Row],[UF]],'BASE CC'!B:C,2,0)="SP",IF(Tabela6[[#This Row],[OPERADORA]]="TIM","SP TIM","SPI"),VLOOKUP(Tabela6[[#This Row],[UF]],'BASE CC'!B:C,2,0))</f>
        <v>#N/A</v>
      </c>
      <c r="B478" s="36" t="e">
        <f>VLOOKUP(Tabela_Base_Financeiro[[#This Row],[Item code]],'COD.FAT'!B:C,2,0)</f>
        <v>#N/A</v>
      </c>
      <c r="C478" s="292">
        <f>Tabela_Base_Financeiro[[#This Row],[PO Ship TO]]</f>
        <v>0</v>
      </c>
      <c r="D478" s="36" t="str">
        <f>RIGHT(Tabela_Base_Financeiro[[#This Row],[Manufacturer]],2)</f>
        <v/>
      </c>
      <c r="E47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78" s="122" t="e">
        <f>VLOOKUP(Tabela_Base_Financeiro[[#This Row],[Project Code]],'COD. PROJETOS'!B:D,3,0)</f>
        <v>#N/A</v>
      </c>
      <c r="G478" s="36">
        <f>IFERROR(Tabela_Base_Financeiro[[#This Row],[PO No,]],0)</f>
        <v>0</v>
      </c>
      <c r="H478" s="36">
        <f>IFERROR(Tabela_Base_Financeiro[[#This Row],[Line No,]],0)</f>
        <v>0</v>
      </c>
      <c r="I478" s="36" t="str">
        <f>IFERROR(MID(Tabela_Base_Financeiro[[#This Row],[Manufacturer]],19,14),"")</f>
        <v/>
      </c>
      <c r="J478" s="113">
        <f>IFERROR(Tabela_Base_Financeiro[[#This Row],[Item code]],0)</f>
        <v>0</v>
      </c>
      <c r="K478" s="293">
        <f>IFERROR(Tabela_Base_Financeiro[[#This Row],[Unit Price]],0)</f>
        <v>0</v>
      </c>
      <c r="L478" s="36">
        <f>IFERROR(Tabela_Base_Financeiro[[#This Row],[AC Qty,]],0)</f>
        <v>0</v>
      </c>
      <c r="M478" s="60">
        <f>Tabela6[[#This Row],[Qty]]*Tabela6[[#This Row],[Preço]]</f>
        <v>0</v>
      </c>
      <c r="N478" s="37">
        <f>IFERROR(Tabela_Base_Financeiro[[#This Row],[Proportion]],0)</f>
        <v>0</v>
      </c>
      <c r="O478" s="60">
        <f>Tabela6[[#This Row],[Proporção]]*Tabela6[[#This Row],[Total]]</f>
        <v>0</v>
      </c>
      <c r="P478"/>
      <c r="Q478" s="59"/>
      <c r="R478" s="1"/>
    </row>
    <row r="479" spans="1:18">
      <c r="A479" s="122" t="e">
        <f>IF(VLOOKUP(Tabela6[[#This Row],[UF]],'BASE CC'!B:C,2,0)="SP",IF(Tabela6[[#This Row],[OPERADORA]]="TIM","SP TIM","SPI"),VLOOKUP(Tabela6[[#This Row],[UF]],'BASE CC'!B:C,2,0))</f>
        <v>#N/A</v>
      </c>
      <c r="B479" s="36" t="e">
        <f>VLOOKUP(Tabela_Base_Financeiro[[#This Row],[Item code]],'COD.FAT'!B:C,2,0)</f>
        <v>#N/A</v>
      </c>
      <c r="C479" s="292">
        <f>Tabela_Base_Financeiro[[#This Row],[PO Ship TO]]</f>
        <v>0</v>
      </c>
      <c r="D479" s="36" t="str">
        <f>RIGHT(Tabela_Base_Financeiro[[#This Row],[Manufacturer]],2)</f>
        <v/>
      </c>
      <c r="E47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79" s="122" t="e">
        <f>VLOOKUP(Tabela_Base_Financeiro[[#This Row],[Project Code]],'COD. PROJETOS'!B:D,3,0)</f>
        <v>#N/A</v>
      </c>
      <c r="G479" s="36">
        <f>IFERROR(Tabela_Base_Financeiro[[#This Row],[PO No,]],0)</f>
        <v>0</v>
      </c>
      <c r="H479" s="36">
        <f>IFERROR(Tabela_Base_Financeiro[[#This Row],[Line No,]],0)</f>
        <v>0</v>
      </c>
      <c r="I479" s="36" t="str">
        <f>IFERROR(MID(Tabela_Base_Financeiro[[#This Row],[Manufacturer]],19,14),"")</f>
        <v/>
      </c>
      <c r="J479" s="113">
        <f>IFERROR(Tabela_Base_Financeiro[[#This Row],[Item code]],0)</f>
        <v>0</v>
      </c>
      <c r="K479" s="293">
        <f>IFERROR(Tabela_Base_Financeiro[[#This Row],[Unit Price]],0)</f>
        <v>0</v>
      </c>
      <c r="L479" s="36">
        <f>IFERROR(Tabela_Base_Financeiro[[#This Row],[AC Qty,]],0)</f>
        <v>0</v>
      </c>
      <c r="M479" s="60">
        <f>Tabela6[[#This Row],[Qty]]*Tabela6[[#This Row],[Preço]]</f>
        <v>0</v>
      </c>
      <c r="N479" s="37">
        <f>IFERROR(Tabela_Base_Financeiro[[#This Row],[Proportion]],0)</f>
        <v>0</v>
      </c>
      <c r="O479" s="60">
        <f>Tabela6[[#This Row],[Proporção]]*Tabela6[[#This Row],[Total]]</f>
        <v>0</v>
      </c>
      <c r="P479"/>
      <c r="Q479" s="59"/>
      <c r="R479" s="1"/>
    </row>
    <row r="480" spans="1:18">
      <c r="A480" s="122" t="e">
        <f>IF(VLOOKUP(Tabela6[[#This Row],[UF]],'BASE CC'!B:C,2,0)="SP",IF(Tabela6[[#This Row],[OPERADORA]]="TIM","SP TIM","SPI"),VLOOKUP(Tabela6[[#This Row],[UF]],'BASE CC'!B:C,2,0))</f>
        <v>#N/A</v>
      </c>
      <c r="B480" s="36" t="e">
        <f>VLOOKUP(Tabela_Base_Financeiro[[#This Row],[Item code]],'COD.FAT'!B:C,2,0)</f>
        <v>#N/A</v>
      </c>
      <c r="C480" s="292">
        <f>Tabela_Base_Financeiro[[#This Row],[PO Ship TO]]</f>
        <v>0</v>
      </c>
      <c r="D480" s="36" t="str">
        <f>RIGHT(Tabela_Base_Financeiro[[#This Row],[Manufacturer]],2)</f>
        <v/>
      </c>
      <c r="E48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80" s="122" t="e">
        <f>VLOOKUP(Tabela_Base_Financeiro[[#This Row],[Project Code]],'COD. PROJETOS'!B:D,3,0)</f>
        <v>#N/A</v>
      </c>
      <c r="G480" s="36">
        <f>IFERROR(Tabela_Base_Financeiro[[#This Row],[PO No,]],0)</f>
        <v>0</v>
      </c>
      <c r="H480" s="36">
        <f>IFERROR(Tabela_Base_Financeiro[[#This Row],[Line No,]],0)</f>
        <v>0</v>
      </c>
      <c r="I480" s="36" t="str">
        <f>IFERROR(MID(Tabela_Base_Financeiro[[#This Row],[Manufacturer]],19,14),"")</f>
        <v/>
      </c>
      <c r="J480" s="113">
        <f>IFERROR(Tabela_Base_Financeiro[[#This Row],[Item code]],0)</f>
        <v>0</v>
      </c>
      <c r="K480" s="293">
        <f>IFERROR(Tabela_Base_Financeiro[[#This Row],[Unit Price]],0)</f>
        <v>0</v>
      </c>
      <c r="L480" s="36">
        <f>IFERROR(Tabela_Base_Financeiro[[#This Row],[AC Qty,]],0)</f>
        <v>0</v>
      </c>
      <c r="M480" s="60">
        <f>Tabela6[[#This Row],[Qty]]*Tabela6[[#This Row],[Preço]]</f>
        <v>0</v>
      </c>
      <c r="N480" s="37">
        <f>IFERROR(Tabela_Base_Financeiro[[#This Row],[Proportion]],0)</f>
        <v>0</v>
      </c>
      <c r="O480" s="60">
        <f>Tabela6[[#This Row],[Proporção]]*Tabela6[[#This Row],[Total]]</f>
        <v>0</v>
      </c>
      <c r="P480"/>
      <c r="Q480" s="59"/>
      <c r="R480" s="1"/>
    </row>
    <row r="481" spans="1:18">
      <c r="A481" s="122" t="e">
        <f>IF(VLOOKUP(Tabela6[[#This Row],[UF]],'BASE CC'!B:C,2,0)="SP",IF(Tabela6[[#This Row],[OPERADORA]]="TIM","SP TIM","SPI"),VLOOKUP(Tabela6[[#This Row],[UF]],'BASE CC'!B:C,2,0))</f>
        <v>#N/A</v>
      </c>
      <c r="B481" s="36" t="e">
        <f>VLOOKUP(Tabela_Base_Financeiro[[#This Row],[Item code]],'COD.FAT'!B:C,2,0)</f>
        <v>#N/A</v>
      </c>
      <c r="C481" s="292">
        <f>Tabela_Base_Financeiro[[#This Row],[PO Ship TO]]</f>
        <v>0</v>
      </c>
      <c r="D481" s="36" t="str">
        <f>RIGHT(Tabela_Base_Financeiro[[#This Row],[Manufacturer]],2)</f>
        <v/>
      </c>
      <c r="E48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81" s="122" t="e">
        <f>VLOOKUP(Tabela_Base_Financeiro[[#This Row],[Project Code]],'COD. PROJETOS'!B:D,3,0)</f>
        <v>#N/A</v>
      </c>
      <c r="G481" s="36">
        <f>IFERROR(Tabela_Base_Financeiro[[#This Row],[PO No,]],0)</f>
        <v>0</v>
      </c>
      <c r="H481" s="36">
        <f>IFERROR(Tabela_Base_Financeiro[[#This Row],[Line No,]],0)</f>
        <v>0</v>
      </c>
      <c r="I481" s="36" t="str">
        <f>IFERROR(MID(Tabela_Base_Financeiro[[#This Row],[Manufacturer]],19,14),"")</f>
        <v/>
      </c>
      <c r="J481" s="113">
        <f>IFERROR(Tabela_Base_Financeiro[[#This Row],[Item code]],0)</f>
        <v>0</v>
      </c>
      <c r="K481" s="293">
        <f>IFERROR(Tabela_Base_Financeiro[[#This Row],[Unit Price]],0)</f>
        <v>0</v>
      </c>
      <c r="L481" s="36">
        <f>IFERROR(Tabela_Base_Financeiro[[#This Row],[AC Qty,]],0)</f>
        <v>0</v>
      </c>
      <c r="M481" s="60">
        <f>Tabela6[[#This Row],[Qty]]*Tabela6[[#This Row],[Preço]]</f>
        <v>0</v>
      </c>
      <c r="N481" s="37">
        <f>IFERROR(Tabela_Base_Financeiro[[#This Row],[Proportion]],0)</f>
        <v>0</v>
      </c>
      <c r="O481" s="60">
        <f>Tabela6[[#This Row],[Proporção]]*Tabela6[[#This Row],[Total]]</f>
        <v>0</v>
      </c>
      <c r="P481"/>
      <c r="Q481" s="59"/>
      <c r="R481" s="1"/>
    </row>
    <row r="482" spans="1:18">
      <c r="A482" s="122" t="e">
        <f>IF(VLOOKUP(Tabela6[[#This Row],[UF]],'BASE CC'!B:C,2,0)="SP",IF(Tabela6[[#This Row],[OPERADORA]]="TIM","SP TIM","SPI"),VLOOKUP(Tabela6[[#This Row],[UF]],'BASE CC'!B:C,2,0))</f>
        <v>#N/A</v>
      </c>
      <c r="B482" s="36" t="e">
        <f>VLOOKUP(Tabela_Base_Financeiro[[#This Row],[Item code]],'COD.FAT'!B:C,2,0)</f>
        <v>#N/A</v>
      </c>
      <c r="C482" s="292">
        <f>Tabela_Base_Financeiro[[#This Row],[PO Ship TO]]</f>
        <v>0</v>
      </c>
      <c r="D482" s="36" t="str">
        <f>RIGHT(Tabela_Base_Financeiro[[#This Row],[Manufacturer]],2)</f>
        <v/>
      </c>
      <c r="E48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82" s="122" t="e">
        <f>VLOOKUP(Tabela_Base_Financeiro[[#This Row],[Project Code]],'COD. PROJETOS'!B:D,3,0)</f>
        <v>#N/A</v>
      </c>
      <c r="G482" s="36">
        <f>IFERROR(Tabela_Base_Financeiro[[#This Row],[PO No,]],0)</f>
        <v>0</v>
      </c>
      <c r="H482" s="36">
        <f>IFERROR(Tabela_Base_Financeiro[[#This Row],[Line No,]],0)</f>
        <v>0</v>
      </c>
      <c r="I482" s="36" t="str">
        <f>IFERROR(MID(Tabela_Base_Financeiro[[#This Row],[Manufacturer]],19,14),"")</f>
        <v/>
      </c>
      <c r="J482" s="113">
        <f>IFERROR(Tabela_Base_Financeiro[[#This Row],[Item code]],0)</f>
        <v>0</v>
      </c>
      <c r="K482" s="293">
        <f>IFERROR(Tabela_Base_Financeiro[[#This Row],[Unit Price]],0)</f>
        <v>0</v>
      </c>
      <c r="L482" s="36">
        <f>IFERROR(Tabela_Base_Financeiro[[#This Row],[AC Qty,]],0)</f>
        <v>0</v>
      </c>
      <c r="M482" s="60">
        <f>Tabela6[[#This Row],[Qty]]*Tabela6[[#This Row],[Preço]]</f>
        <v>0</v>
      </c>
      <c r="N482" s="37">
        <f>IFERROR(Tabela_Base_Financeiro[[#This Row],[Proportion]],0)</f>
        <v>0</v>
      </c>
      <c r="O482" s="60">
        <f>Tabela6[[#This Row],[Proporção]]*Tabela6[[#This Row],[Total]]</f>
        <v>0</v>
      </c>
      <c r="P482"/>
      <c r="Q482" s="59"/>
      <c r="R482" s="1"/>
    </row>
    <row r="483" spans="1:18">
      <c r="A483" s="122" t="e">
        <f>IF(VLOOKUP(Tabela6[[#This Row],[UF]],'BASE CC'!B:C,2,0)="SP",IF(Tabela6[[#This Row],[OPERADORA]]="TIM","SP TIM","SPI"),VLOOKUP(Tabela6[[#This Row],[UF]],'BASE CC'!B:C,2,0))</f>
        <v>#N/A</v>
      </c>
      <c r="B483" s="36" t="e">
        <f>VLOOKUP(Tabela_Base_Financeiro[[#This Row],[Item code]],'COD.FAT'!B:C,2,0)</f>
        <v>#N/A</v>
      </c>
      <c r="C483" s="292">
        <f>Tabela_Base_Financeiro[[#This Row],[PO Ship TO]]</f>
        <v>0</v>
      </c>
      <c r="D483" s="36" t="str">
        <f>RIGHT(Tabela_Base_Financeiro[[#This Row],[Manufacturer]],2)</f>
        <v/>
      </c>
      <c r="E48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83" s="122" t="e">
        <f>VLOOKUP(Tabela_Base_Financeiro[[#This Row],[Project Code]],'COD. PROJETOS'!B:D,3,0)</f>
        <v>#N/A</v>
      </c>
      <c r="G483" s="36">
        <f>IFERROR(Tabela_Base_Financeiro[[#This Row],[PO No,]],0)</f>
        <v>0</v>
      </c>
      <c r="H483" s="36">
        <f>IFERROR(Tabela_Base_Financeiro[[#This Row],[Line No,]],0)</f>
        <v>0</v>
      </c>
      <c r="I483" s="36" t="str">
        <f>IFERROR(MID(Tabela_Base_Financeiro[[#This Row],[Manufacturer]],19,14),"")</f>
        <v/>
      </c>
      <c r="J483" s="113">
        <f>IFERROR(Tabela_Base_Financeiro[[#This Row],[Item code]],0)</f>
        <v>0</v>
      </c>
      <c r="K483" s="293">
        <f>IFERROR(Tabela_Base_Financeiro[[#This Row],[Unit Price]],0)</f>
        <v>0</v>
      </c>
      <c r="L483" s="36">
        <f>IFERROR(Tabela_Base_Financeiro[[#This Row],[AC Qty,]],0)</f>
        <v>0</v>
      </c>
      <c r="M483" s="60">
        <f>Tabela6[[#This Row],[Qty]]*Tabela6[[#This Row],[Preço]]</f>
        <v>0</v>
      </c>
      <c r="N483" s="37">
        <f>IFERROR(Tabela_Base_Financeiro[[#This Row],[Proportion]],0)</f>
        <v>0</v>
      </c>
      <c r="O483" s="60">
        <f>Tabela6[[#This Row],[Proporção]]*Tabela6[[#This Row],[Total]]</f>
        <v>0</v>
      </c>
      <c r="P483"/>
      <c r="Q483" s="59"/>
      <c r="R483" s="1"/>
    </row>
    <row r="484" spans="1:18">
      <c r="A484" s="122" t="e">
        <f>IF(VLOOKUP(Tabela6[[#This Row],[UF]],'BASE CC'!B:C,2,0)="SP",IF(Tabela6[[#This Row],[OPERADORA]]="TIM","SP TIM","SPI"),VLOOKUP(Tabela6[[#This Row],[UF]],'BASE CC'!B:C,2,0))</f>
        <v>#N/A</v>
      </c>
      <c r="B484" s="36" t="e">
        <f>VLOOKUP(Tabela_Base_Financeiro[[#This Row],[Item code]],'COD.FAT'!B:C,2,0)</f>
        <v>#N/A</v>
      </c>
      <c r="C484" s="292">
        <f>Tabela_Base_Financeiro[[#This Row],[PO Ship TO]]</f>
        <v>0</v>
      </c>
      <c r="D484" s="36" t="str">
        <f>RIGHT(Tabela_Base_Financeiro[[#This Row],[Manufacturer]],2)</f>
        <v/>
      </c>
      <c r="E48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84" s="122" t="e">
        <f>VLOOKUP(Tabela_Base_Financeiro[[#This Row],[Project Code]],'COD. PROJETOS'!B:D,3,0)</f>
        <v>#N/A</v>
      </c>
      <c r="G484" s="36">
        <f>IFERROR(Tabela_Base_Financeiro[[#This Row],[PO No,]],0)</f>
        <v>0</v>
      </c>
      <c r="H484" s="36">
        <f>IFERROR(Tabela_Base_Financeiro[[#This Row],[Line No,]],0)</f>
        <v>0</v>
      </c>
      <c r="I484" s="36" t="str">
        <f>IFERROR(MID(Tabela_Base_Financeiro[[#This Row],[Manufacturer]],19,14),"")</f>
        <v/>
      </c>
      <c r="J484" s="113">
        <f>IFERROR(Tabela_Base_Financeiro[[#This Row],[Item code]],0)</f>
        <v>0</v>
      </c>
      <c r="K484" s="293">
        <f>IFERROR(Tabela_Base_Financeiro[[#This Row],[Unit Price]],0)</f>
        <v>0</v>
      </c>
      <c r="L484" s="36">
        <f>IFERROR(Tabela_Base_Financeiro[[#This Row],[AC Qty,]],0)</f>
        <v>0</v>
      </c>
      <c r="M484" s="60">
        <f>Tabela6[[#This Row],[Qty]]*Tabela6[[#This Row],[Preço]]</f>
        <v>0</v>
      </c>
      <c r="N484" s="37">
        <f>IFERROR(Tabela_Base_Financeiro[[#This Row],[Proportion]],0)</f>
        <v>0</v>
      </c>
      <c r="O484" s="60">
        <f>Tabela6[[#This Row],[Proporção]]*Tabela6[[#This Row],[Total]]</f>
        <v>0</v>
      </c>
      <c r="P484"/>
      <c r="Q484" s="59"/>
      <c r="R484" s="1"/>
    </row>
    <row r="485" spans="1:18">
      <c r="A485" s="122" t="e">
        <f>IF(VLOOKUP(Tabela6[[#This Row],[UF]],'BASE CC'!B:C,2,0)="SP",IF(Tabela6[[#This Row],[OPERADORA]]="TIM","SP TIM","SPI"),VLOOKUP(Tabela6[[#This Row],[UF]],'BASE CC'!B:C,2,0))</f>
        <v>#N/A</v>
      </c>
      <c r="B485" s="36" t="e">
        <f>VLOOKUP(Tabela_Base_Financeiro[[#This Row],[Item code]],'COD.FAT'!B:C,2,0)</f>
        <v>#N/A</v>
      </c>
      <c r="C485" s="292">
        <f>Tabela_Base_Financeiro[[#This Row],[PO Ship TO]]</f>
        <v>0</v>
      </c>
      <c r="D485" s="36" t="str">
        <f>RIGHT(Tabela_Base_Financeiro[[#This Row],[Manufacturer]],2)</f>
        <v/>
      </c>
      <c r="E48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85" s="122" t="e">
        <f>VLOOKUP(Tabela_Base_Financeiro[[#This Row],[Project Code]],'COD. PROJETOS'!B:D,3,0)</f>
        <v>#N/A</v>
      </c>
      <c r="G485" s="36">
        <f>IFERROR(Tabela_Base_Financeiro[[#This Row],[PO No,]],0)</f>
        <v>0</v>
      </c>
      <c r="H485" s="36">
        <f>IFERROR(Tabela_Base_Financeiro[[#This Row],[Line No,]],0)</f>
        <v>0</v>
      </c>
      <c r="I485" s="36" t="str">
        <f>IFERROR(MID(Tabela_Base_Financeiro[[#This Row],[Manufacturer]],19,14),"")</f>
        <v/>
      </c>
      <c r="J485" s="113">
        <f>IFERROR(Tabela_Base_Financeiro[[#This Row],[Item code]],0)</f>
        <v>0</v>
      </c>
      <c r="K485" s="293">
        <f>IFERROR(Tabela_Base_Financeiro[[#This Row],[Unit Price]],0)</f>
        <v>0</v>
      </c>
      <c r="L485" s="36">
        <f>IFERROR(Tabela_Base_Financeiro[[#This Row],[AC Qty,]],0)</f>
        <v>0</v>
      </c>
      <c r="M485" s="60">
        <f>Tabela6[[#This Row],[Qty]]*Tabela6[[#This Row],[Preço]]</f>
        <v>0</v>
      </c>
      <c r="N485" s="37">
        <f>IFERROR(Tabela_Base_Financeiro[[#This Row],[Proportion]],0)</f>
        <v>0</v>
      </c>
      <c r="O485" s="60">
        <f>Tabela6[[#This Row],[Proporção]]*Tabela6[[#This Row],[Total]]</f>
        <v>0</v>
      </c>
      <c r="P485"/>
      <c r="Q485" s="59"/>
      <c r="R485" s="1"/>
    </row>
    <row r="486" spans="1:18">
      <c r="A486" s="122" t="e">
        <f>IF(VLOOKUP(Tabela6[[#This Row],[UF]],'BASE CC'!B:C,2,0)="SP",IF(Tabela6[[#This Row],[OPERADORA]]="TIM","SP TIM","SPI"),VLOOKUP(Tabela6[[#This Row],[UF]],'BASE CC'!B:C,2,0))</f>
        <v>#N/A</v>
      </c>
      <c r="B486" s="36" t="e">
        <f>VLOOKUP(Tabela_Base_Financeiro[[#This Row],[Item code]],'COD.FAT'!B:C,2,0)</f>
        <v>#N/A</v>
      </c>
      <c r="C486" s="292">
        <f>Tabela_Base_Financeiro[[#This Row],[PO Ship TO]]</f>
        <v>0</v>
      </c>
      <c r="D486" s="36" t="str">
        <f>RIGHT(Tabela_Base_Financeiro[[#This Row],[Manufacturer]],2)</f>
        <v/>
      </c>
      <c r="E48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86" s="122" t="e">
        <f>VLOOKUP(Tabela_Base_Financeiro[[#This Row],[Project Code]],'COD. PROJETOS'!B:D,3,0)</f>
        <v>#N/A</v>
      </c>
      <c r="G486" s="36">
        <f>IFERROR(Tabela_Base_Financeiro[[#This Row],[PO No,]],0)</f>
        <v>0</v>
      </c>
      <c r="H486" s="36">
        <f>IFERROR(Tabela_Base_Financeiro[[#This Row],[Line No,]],0)</f>
        <v>0</v>
      </c>
      <c r="I486" s="36" t="str">
        <f>IFERROR(MID(Tabela_Base_Financeiro[[#This Row],[Manufacturer]],19,14),"")</f>
        <v/>
      </c>
      <c r="J486" s="113">
        <f>IFERROR(Tabela_Base_Financeiro[[#This Row],[Item code]],0)</f>
        <v>0</v>
      </c>
      <c r="K486" s="293">
        <f>IFERROR(Tabela_Base_Financeiro[[#This Row],[Unit Price]],0)</f>
        <v>0</v>
      </c>
      <c r="L486" s="36">
        <f>IFERROR(Tabela_Base_Financeiro[[#This Row],[AC Qty,]],0)</f>
        <v>0</v>
      </c>
      <c r="M486" s="60">
        <f>Tabela6[[#This Row],[Qty]]*Tabela6[[#This Row],[Preço]]</f>
        <v>0</v>
      </c>
      <c r="N486" s="37">
        <f>IFERROR(Tabela_Base_Financeiro[[#This Row],[Proportion]],0)</f>
        <v>0</v>
      </c>
      <c r="O486" s="60">
        <f>Tabela6[[#This Row],[Proporção]]*Tabela6[[#This Row],[Total]]</f>
        <v>0</v>
      </c>
      <c r="P486"/>
      <c r="Q486" s="59"/>
      <c r="R486" s="1"/>
    </row>
    <row r="487" spans="1:18">
      <c r="A487" s="122" t="e">
        <f>IF(VLOOKUP(Tabela6[[#This Row],[UF]],'BASE CC'!B:C,2,0)="SP",IF(Tabela6[[#This Row],[OPERADORA]]="TIM","SP TIM","SPI"),VLOOKUP(Tabela6[[#This Row],[UF]],'BASE CC'!B:C,2,0))</f>
        <v>#N/A</v>
      </c>
      <c r="B487" s="36" t="e">
        <f>VLOOKUP(Tabela_Base_Financeiro[[#This Row],[Item code]],'COD.FAT'!B:C,2,0)</f>
        <v>#N/A</v>
      </c>
      <c r="C487" s="292">
        <f>Tabela_Base_Financeiro[[#This Row],[PO Ship TO]]</f>
        <v>0</v>
      </c>
      <c r="D487" s="36" t="str">
        <f>RIGHT(Tabela_Base_Financeiro[[#This Row],[Manufacturer]],2)</f>
        <v/>
      </c>
      <c r="E48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87" s="122" t="e">
        <f>VLOOKUP(Tabela_Base_Financeiro[[#This Row],[Project Code]],'COD. PROJETOS'!B:D,3,0)</f>
        <v>#N/A</v>
      </c>
      <c r="G487" s="36">
        <f>IFERROR(Tabela_Base_Financeiro[[#This Row],[PO No,]],0)</f>
        <v>0</v>
      </c>
      <c r="H487" s="36">
        <f>IFERROR(Tabela_Base_Financeiro[[#This Row],[Line No,]],0)</f>
        <v>0</v>
      </c>
      <c r="I487" s="36" t="str">
        <f>IFERROR(MID(Tabela_Base_Financeiro[[#This Row],[Manufacturer]],19,14),"")</f>
        <v/>
      </c>
      <c r="J487" s="113">
        <f>IFERROR(Tabela_Base_Financeiro[[#This Row],[Item code]],0)</f>
        <v>0</v>
      </c>
      <c r="K487" s="293">
        <f>IFERROR(Tabela_Base_Financeiro[[#This Row],[Unit Price]],0)</f>
        <v>0</v>
      </c>
      <c r="L487" s="36">
        <f>IFERROR(Tabela_Base_Financeiro[[#This Row],[AC Qty,]],0)</f>
        <v>0</v>
      </c>
      <c r="M487" s="60">
        <f>Tabela6[[#This Row],[Qty]]*Tabela6[[#This Row],[Preço]]</f>
        <v>0</v>
      </c>
      <c r="N487" s="37">
        <f>IFERROR(Tabela_Base_Financeiro[[#This Row],[Proportion]],0)</f>
        <v>0</v>
      </c>
      <c r="O487" s="60">
        <f>Tabela6[[#This Row],[Proporção]]*Tabela6[[#This Row],[Total]]</f>
        <v>0</v>
      </c>
      <c r="P487"/>
      <c r="Q487" s="59"/>
      <c r="R487" s="1"/>
    </row>
    <row r="488" spans="1:18">
      <c r="A488" s="122" t="e">
        <f>IF(VLOOKUP(Tabela6[[#This Row],[UF]],'BASE CC'!B:C,2,0)="SP",IF(Tabela6[[#This Row],[OPERADORA]]="TIM","SP TIM","SPI"),VLOOKUP(Tabela6[[#This Row],[UF]],'BASE CC'!B:C,2,0))</f>
        <v>#N/A</v>
      </c>
      <c r="B488" s="36" t="e">
        <f>VLOOKUP(Tabela_Base_Financeiro[[#This Row],[Item code]],'COD.FAT'!B:C,2,0)</f>
        <v>#N/A</v>
      </c>
      <c r="C488" s="292">
        <f>Tabela_Base_Financeiro[[#This Row],[PO Ship TO]]</f>
        <v>0</v>
      </c>
      <c r="D488" s="36" t="str">
        <f>RIGHT(Tabela_Base_Financeiro[[#This Row],[Manufacturer]],2)</f>
        <v/>
      </c>
      <c r="E48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88" s="122" t="e">
        <f>VLOOKUP(Tabela_Base_Financeiro[[#This Row],[Project Code]],'COD. PROJETOS'!B:D,3,0)</f>
        <v>#N/A</v>
      </c>
      <c r="G488" s="36">
        <f>IFERROR(Tabela_Base_Financeiro[[#This Row],[PO No,]],0)</f>
        <v>0</v>
      </c>
      <c r="H488" s="36">
        <f>IFERROR(Tabela_Base_Financeiro[[#This Row],[Line No,]],0)</f>
        <v>0</v>
      </c>
      <c r="I488" s="36" t="str">
        <f>IFERROR(MID(Tabela_Base_Financeiro[[#This Row],[Manufacturer]],19,14),"")</f>
        <v/>
      </c>
      <c r="J488" s="113">
        <f>IFERROR(Tabela_Base_Financeiro[[#This Row],[Item code]],0)</f>
        <v>0</v>
      </c>
      <c r="K488" s="293">
        <f>IFERROR(Tabela_Base_Financeiro[[#This Row],[Unit Price]],0)</f>
        <v>0</v>
      </c>
      <c r="L488" s="36">
        <f>IFERROR(Tabela_Base_Financeiro[[#This Row],[AC Qty,]],0)</f>
        <v>0</v>
      </c>
      <c r="M488" s="60">
        <f>Tabela6[[#This Row],[Qty]]*Tabela6[[#This Row],[Preço]]</f>
        <v>0</v>
      </c>
      <c r="N488" s="37">
        <f>IFERROR(Tabela_Base_Financeiro[[#This Row],[Proportion]],0)</f>
        <v>0</v>
      </c>
      <c r="O488" s="60">
        <f>Tabela6[[#This Row],[Proporção]]*Tabela6[[#This Row],[Total]]</f>
        <v>0</v>
      </c>
      <c r="P488"/>
      <c r="Q488" s="59"/>
      <c r="R488" s="1"/>
    </row>
    <row r="489" spans="1:18">
      <c r="A489" s="122" t="e">
        <f>IF(VLOOKUP(Tabela6[[#This Row],[UF]],'BASE CC'!B:C,2,0)="SP",IF(Tabela6[[#This Row],[OPERADORA]]="TIM","SP TIM","SPI"),VLOOKUP(Tabela6[[#This Row],[UF]],'BASE CC'!B:C,2,0))</f>
        <v>#N/A</v>
      </c>
      <c r="B489" s="36" t="e">
        <f>VLOOKUP(Tabela_Base_Financeiro[[#This Row],[Item code]],'COD.FAT'!B:C,2,0)</f>
        <v>#N/A</v>
      </c>
      <c r="C489" s="292">
        <f>Tabela_Base_Financeiro[[#This Row],[PO Ship TO]]</f>
        <v>0</v>
      </c>
      <c r="D489" s="36" t="str">
        <f>RIGHT(Tabela_Base_Financeiro[[#This Row],[Manufacturer]],2)</f>
        <v/>
      </c>
      <c r="E48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89" s="122" t="e">
        <f>VLOOKUP(Tabela_Base_Financeiro[[#This Row],[Project Code]],'COD. PROJETOS'!B:D,3,0)</f>
        <v>#N/A</v>
      </c>
      <c r="G489" s="36">
        <f>IFERROR(Tabela_Base_Financeiro[[#This Row],[PO No,]],0)</f>
        <v>0</v>
      </c>
      <c r="H489" s="36">
        <f>IFERROR(Tabela_Base_Financeiro[[#This Row],[Line No,]],0)</f>
        <v>0</v>
      </c>
      <c r="I489" s="36" t="str">
        <f>IFERROR(MID(Tabela_Base_Financeiro[[#This Row],[Manufacturer]],19,14),"")</f>
        <v/>
      </c>
      <c r="J489" s="113">
        <f>IFERROR(Tabela_Base_Financeiro[[#This Row],[Item code]],0)</f>
        <v>0</v>
      </c>
      <c r="K489" s="293">
        <f>IFERROR(Tabela_Base_Financeiro[[#This Row],[Unit Price]],0)</f>
        <v>0</v>
      </c>
      <c r="L489" s="36">
        <f>IFERROR(Tabela_Base_Financeiro[[#This Row],[AC Qty,]],0)</f>
        <v>0</v>
      </c>
      <c r="M489" s="60">
        <f>Tabela6[[#This Row],[Qty]]*Tabela6[[#This Row],[Preço]]</f>
        <v>0</v>
      </c>
      <c r="N489" s="37">
        <f>IFERROR(Tabela_Base_Financeiro[[#This Row],[Proportion]],0)</f>
        <v>0</v>
      </c>
      <c r="O489" s="60">
        <f>Tabela6[[#This Row],[Proporção]]*Tabela6[[#This Row],[Total]]</f>
        <v>0</v>
      </c>
      <c r="P489"/>
      <c r="Q489" s="59"/>
      <c r="R489" s="1"/>
    </row>
    <row r="490" spans="1:18">
      <c r="A490" s="122" t="e">
        <f>IF(VLOOKUP(Tabela6[[#This Row],[UF]],'BASE CC'!B:C,2,0)="SP",IF(Tabela6[[#This Row],[OPERADORA]]="TIM","SP TIM","SPI"),VLOOKUP(Tabela6[[#This Row],[UF]],'BASE CC'!B:C,2,0))</f>
        <v>#N/A</v>
      </c>
      <c r="B490" s="36" t="e">
        <f>VLOOKUP(Tabela_Base_Financeiro[[#This Row],[Item code]],'COD.FAT'!B:C,2,0)</f>
        <v>#N/A</v>
      </c>
      <c r="C490" s="292">
        <f>Tabela_Base_Financeiro[[#This Row],[PO Ship TO]]</f>
        <v>0</v>
      </c>
      <c r="D490" s="36" t="str">
        <f>RIGHT(Tabela_Base_Financeiro[[#This Row],[Manufacturer]],2)</f>
        <v/>
      </c>
      <c r="E49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90" s="122" t="e">
        <f>VLOOKUP(Tabela_Base_Financeiro[[#This Row],[Project Code]],'COD. PROJETOS'!B:D,3,0)</f>
        <v>#N/A</v>
      </c>
      <c r="G490" s="36">
        <f>IFERROR(Tabela_Base_Financeiro[[#This Row],[PO No,]],0)</f>
        <v>0</v>
      </c>
      <c r="H490" s="36">
        <f>IFERROR(Tabela_Base_Financeiro[[#This Row],[Line No,]],0)</f>
        <v>0</v>
      </c>
      <c r="I490" s="36" t="str">
        <f>IFERROR(MID(Tabela_Base_Financeiro[[#This Row],[Manufacturer]],19,14),"")</f>
        <v/>
      </c>
      <c r="J490" s="113">
        <f>IFERROR(Tabela_Base_Financeiro[[#This Row],[Item code]],0)</f>
        <v>0</v>
      </c>
      <c r="K490" s="293">
        <f>IFERROR(Tabela_Base_Financeiro[[#This Row],[Unit Price]],0)</f>
        <v>0</v>
      </c>
      <c r="L490" s="36">
        <f>IFERROR(Tabela_Base_Financeiro[[#This Row],[AC Qty,]],0)</f>
        <v>0</v>
      </c>
      <c r="M490" s="60">
        <f>Tabela6[[#This Row],[Qty]]*Tabela6[[#This Row],[Preço]]</f>
        <v>0</v>
      </c>
      <c r="N490" s="37">
        <f>IFERROR(Tabela_Base_Financeiro[[#This Row],[Proportion]],0)</f>
        <v>0</v>
      </c>
      <c r="O490" s="60">
        <f>Tabela6[[#This Row],[Proporção]]*Tabela6[[#This Row],[Total]]</f>
        <v>0</v>
      </c>
      <c r="P490"/>
      <c r="Q490" s="59"/>
      <c r="R490" s="1"/>
    </row>
    <row r="491" spans="1:18">
      <c r="A491" s="122" t="e">
        <f>IF(VLOOKUP(Tabela6[[#This Row],[UF]],'BASE CC'!B:C,2,0)="SP",IF(Tabela6[[#This Row],[OPERADORA]]="TIM","SP TIM","SPI"),VLOOKUP(Tabela6[[#This Row],[UF]],'BASE CC'!B:C,2,0))</f>
        <v>#N/A</v>
      </c>
      <c r="B491" s="36" t="e">
        <f>VLOOKUP(Tabela_Base_Financeiro[[#This Row],[Item code]],'COD.FAT'!B:C,2,0)</f>
        <v>#N/A</v>
      </c>
      <c r="C491" s="292">
        <f>Tabela_Base_Financeiro[[#This Row],[PO Ship TO]]</f>
        <v>0</v>
      </c>
      <c r="D491" s="36" t="str">
        <f>RIGHT(Tabela_Base_Financeiro[[#This Row],[Manufacturer]],2)</f>
        <v/>
      </c>
      <c r="E49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91" s="122" t="e">
        <f>VLOOKUP(Tabela_Base_Financeiro[[#This Row],[Project Code]],'COD. PROJETOS'!B:D,3,0)</f>
        <v>#N/A</v>
      </c>
      <c r="G491" s="36">
        <f>IFERROR(Tabela_Base_Financeiro[[#This Row],[PO No,]],0)</f>
        <v>0</v>
      </c>
      <c r="H491" s="36">
        <f>IFERROR(Tabela_Base_Financeiro[[#This Row],[Line No,]],0)</f>
        <v>0</v>
      </c>
      <c r="I491" s="36" t="str">
        <f>IFERROR(MID(Tabela_Base_Financeiro[[#This Row],[Manufacturer]],19,14),"")</f>
        <v/>
      </c>
      <c r="J491" s="113">
        <f>IFERROR(Tabela_Base_Financeiro[[#This Row],[Item code]],0)</f>
        <v>0</v>
      </c>
      <c r="K491" s="293">
        <f>IFERROR(Tabela_Base_Financeiro[[#This Row],[Unit Price]],0)</f>
        <v>0</v>
      </c>
      <c r="L491" s="36">
        <f>IFERROR(Tabela_Base_Financeiro[[#This Row],[AC Qty,]],0)</f>
        <v>0</v>
      </c>
      <c r="M491" s="60">
        <f>Tabela6[[#This Row],[Qty]]*Tabela6[[#This Row],[Preço]]</f>
        <v>0</v>
      </c>
      <c r="N491" s="37">
        <f>IFERROR(Tabela_Base_Financeiro[[#This Row],[Proportion]],0)</f>
        <v>0</v>
      </c>
      <c r="O491" s="60">
        <f>Tabela6[[#This Row],[Proporção]]*Tabela6[[#This Row],[Total]]</f>
        <v>0</v>
      </c>
      <c r="P491"/>
      <c r="Q491" s="59"/>
      <c r="R491" s="1"/>
    </row>
    <row r="492" spans="1:18">
      <c r="A492" s="122" t="e">
        <f>IF(VLOOKUP(Tabela6[[#This Row],[UF]],'BASE CC'!B:C,2,0)="SP",IF(Tabela6[[#This Row],[OPERADORA]]="TIM","SP TIM","SPI"),VLOOKUP(Tabela6[[#This Row],[UF]],'BASE CC'!B:C,2,0))</f>
        <v>#N/A</v>
      </c>
      <c r="B492" s="36" t="e">
        <f>VLOOKUP(Tabela_Base_Financeiro[[#This Row],[Item code]],'COD.FAT'!B:C,2,0)</f>
        <v>#N/A</v>
      </c>
      <c r="C492" s="292">
        <f>Tabela_Base_Financeiro[[#This Row],[PO Ship TO]]</f>
        <v>0</v>
      </c>
      <c r="D492" s="36" t="str">
        <f>RIGHT(Tabela_Base_Financeiro[[#This Row],[Manufacturer]],2)</f>
        <v/>
      </c>
      <c r="E49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92" s="122" t="e">
        <f>VLOOKUP(Tabela_Base_Financeiro[[#This Row],[Project Code]],'COD. PROJETOS'!B:D,3,0)</f>
        <v>#N/A</v>
      </c>
      <c r="G492" s="36">
        <f>IFERROR(Tabela_Base_Financeiro[[#This Row],[PO No,]],0)</f>
        <v>0</v>
      </c>
      <c r="H492" s="36">
        <f>IFERROR(Tabela_Base_Financeiro[[#This Row],[Line No,]],0)</f>
        <v>0</v>
      </c>
      <c r="I492" s="36" t="str">
        <f>IFERROR(MID(Tabela_Base_Financeiro[[#This Row],[Manufacturer]],19,14),"")</f>
        <v/>
      </c>
      <c r="J492" s="113">
        <f>IFERROR(Tabela_Base_Financeiro[[#This Row],[Item code]],0)</f>
        <v>0</v>
      </c>
      <c r="K492" s="293">
        <f>IFERROR(Tabela_Base_Financeiro[[#This Row],[Unit Price]],0)</f>
        <v>0</v>
      </c>
      <c r="L492" s="36">
        <f>IFERROR(Tabela_Base_Financeiro[[#This Row],[AC Qty,]],0)</f>
        <v>0</v>
      </c>
      <c r="M492" s="60">
        <f>Tabela6[[#This Row],[Qty]]*Tabela6[[#This Row],[Preço]]</f>
        <v>0</v>
      </c>
      <c r="N492" s="37">
        <f>IFERROR(Tabela_Base_Financeiro[[#This Row],[Proportion]],0)</f>
        <v>0</v>
      </c>
      <c r="O492" s="60">
        <f>Tabela6[[#This Row],[Proporção]]*Tabela6[[#This Row],[Total]]</f>
        <v>0</v>
      </c>
      <c r="P492"/>
      <c r="Q492" s="59"/>
      <c r="R492" s="1"/>
    </row>
    <row r="493" spans="1:18">
      <c r="A493" s="122" t="e">
        <f>IF(VLOOKUP(Tabela6[[#This Row],[UF]],'BASE CC'!B:C,2,0)="SP",IF(Tabela6[[#This Row],[OPERADORA]]="TIM","SP TIM","SPI"),VLOOKUP(Tabela6[[#This Row],[UF]],'BASE CC'!B:C,2,0))</f>
        <v>#N/A</v>
      </c>
      <c r="B493" s="36" t="e">
        <f>VLOOKUP(Tabela_Base_Financeiro[[#This Row],[Item code]],'COD.FAT'!B:C,2,0)</f>
        <v>#N/A</v>
      </c>
      <c r="C493" s="292">
        <f>Tabela_Base_Financeiro[[#This Row],[PO Ship TO]]</f>
        <v>0</v>
      </c>
      <c r="D493" s="36" t="str">
        <f>RIGHT(Tabela_Base_Financeiro[[#This Row],[Manufacturer]],2)</f>
        <v/>
      </c>
      <c r="E49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93" s="122" t="e">
        <f>VLOOKUP(Tabela_Base_Financeiro[[#This Row],[Project Code]],'COD. PROJETOS'!B:D,3,0)</f>
        <v>#N/A</v>
      </c>
      <c r="G493" s="36">
        <f>IFERROR(Tabela_Base_Financeiro[[#This Row],[PO No,]],0)</f>
        <v>0</v>
      </c>
      <c r="H493" s="36">
        <f>IFERROR(Tabela_Base_Financeiro[[#This Row],[Line No,]],0)</f>
        <v>0</v>
      </c>
      <c r="I493" s="36" t="str">
        <f>IFERROR(MID(Tabela_Base_Financeiro[[#This Row],[Manufacturer]],19,14),"")</f>
        <v/>
      </c>
      <c r="J493" s="113">
        <f>IFERROR(Tabela_Base_Financeiro[[#This Row],[Item code]],0)</f>
        <v>0</v>
      </c>
      <c r="K493" s="293">
        <f>IFERROR(Tabela_Base_Financeiro[[#This Row],[Unit Price]],0)</f>
        <v>0</v>
      </c>
      <c r="L493" s="36">
        <f>IFERROR(Tabela_Base_Financeiro[[#This Row],[AC Qty,]],0)</f>
        <v>0</v>
      </c>
      <c r="M493" s="60">
        <f>Tabela6[[#This Row],[Qty]]*Tabela6[[#This Row],[Preço]]</f>
        <v>0</v>
      </c>
      <c r="N493" s="37">
        <f>IFERROR(Tabela_Base_Financeiro[[#This Row],[Proportion]],0)</f>
        <v>0</v>
      </c>
      <c r="O493" s="60">
        <f>Tabela6[[#This Row],[Proporção]]*Tabela6[[#This Row],[Total]]</f>
        <v>0</v>
      </c>
      <c r="P493"/>
      <c r="Q493" s="59"/>
      <c r="R493" s="1"/>
    </row>
    <row r="494" spans="1:18">
      <c r="A494" s="122" t="e">
        <f>IF(VLOOKUP(Tabela6[[#This Row],[UF]],'BASE CC'!B:C,2,0)="SP",IF(Tabela6[[#This Row],[OPERADORA]]="TIM","SP TIM","SPI"),VLOOKUP(Tabela6[[#This Row],[UF]],'BASE CC'!B:C,2,0))</f>
        <v>#N/A</v>
      </c>
      <c r="B494" s="36" t="e">
        <f>VLOOKUP(Tabela_Base_Financeiro[[#This Row],[Item code]],'COD.FAT'!B:C,2,0)</f>
        <v>#N/A</v>
      </c>
      <c r="C494" s="292">
        <f>Tabela_Base_Financeiro[[#This Row],[PO Ship TO]]</f>
        <v>0</v>
      </c>
      <c r="D494" s="36" t="str">
        <f>RIGHT(Tabela_Base_Financeiro[[#This Row],[Manufacturer]],2)</f>
        <v/>
      </c>
      <c r="E49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94" s="122" t="e">
        <f>VLOOKUP(Tabela_Base_Financeiro[[#This Row],[Project Code]],'COD. PROJETOS'!B:D,3,0)</f>
        <v>#N/A</v>
      </c>
      <c r="G494" s="36">
        <f>IFERROR(Tabela_Base_Financeiro[[#This Row],[PO No,]],0)</f>
        <v>0</v>
      </c>
      <c r="H494" s="36">
        <f>IFERROR(Tabela_Base_Financeiro[[#This Row],[Line No,]],0)</f>
        <v>0</v>
      </c>
      <c r="I494" s="36" t="str">
        <f>IFERROR(MID(Tabela_Base_Financeiro[[#This Row],[Manufacturer]],19,14),"")</f>
        <v/>
      </c>
      <c r="J494" s="113">
        <f>IFERROR(Tabela_Base_Financeiro[[#This Row],[Item code]],0)</f>
        <v>0</v>
      </c>
      <c r="K494" s="293">
        <f>IFERROR(Tabela_Base_Financeiro[[#This Row],[Unit Price]],0)</f>
        <v>0</v>
      </c>
      <c r="L494" s="36">
        <f>IFERROR(Tabela_Base_Financeiro[[#This Row],[AC Qty,]],0)</f>
        <v>0</v>
      </c>
      <c r="M494" s="60">
        <f>Tabela6[[#This Row],[Qty]]*Tabela6[[#This Row],[Preço]]</f>
        <v>0</v>
      </c>
      <c r="N494" s="37">
        <f>IFERROR(Tabela_Base_Financeiro[[#This Row],[Proportion]],0)</f>
        <v>0</v>
      </c>
      <c r="O494" s="60">
        <f>Tabela6[[#This Row],[Proporção]]*Tabela6[[#This Row],[Total]]</f>
        <v>0</v>
      </c>
      <c r="P494"/>
      <c r="Q494" s="59"/>
      <c r="R494" s="1"/>
    </row>
    <row r="495" spans="1:18">
      <c r="A495" s="122" t="e">
        <f>IF(VLOOKUP(Tabela6[[#This Row],[UF]],'BASE CC'!B:C,2,0)="SP",IF(Tabela6[[#This Row],[OPERADORA]]="TIM","SP TIM","SPI"),VLOOKUP(Tabela6[[#This Row],[UF]],'BASE CC'!B:C,2,0))</f>
        <v>#N/A</v>
      </c>
      <c r="B495" s="36" t="e">
        <f>VLOOKUP(Tabela_Base_Financeiro[[#This Row],[Item code]],'COD.FAT'!B:C,2,0)</f>
        <v>#N/A</v>
      </c>
      <c r="C495" s="292">
        <f>Tabela_Base_Financeiro[[#This Row],[PO Ship TO]]</f>
        <v>0</v>
      </c>
      <c r="D495" s="36" t="str">
        <f>RIGHT(Tabela_Base_Financeiro[[#This Row],[Manufacturer]],2)</f>
        <v/>
      </c>
      <c r="E49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95" s="122" t="e">
        <f>VLOOKUP(Tabela_Base_Financeiro[[#This Row],[Project Code]],'COD. PROJETOS'!B:D,3,0)</f>
        <v>#N/A</v>
      </c>
      <c r="G495" s="36">
        <f>IFERROR(Tabela_Base_Financeiro[[#This Row],[PO No,]],0)</f>
        <v>0</v>
      </c>
      <c r="H495" s="36">
        <f>IFERROR(Tabela_Base_Financeiro[[#This Row],[Line No,]],0)</f>
        <v>0</v>
      </c>
      <c r="I495" s="36" t="str">
        <f>IFERROR(MID(Tabela_Base_Financeiro[[#This Row],[Manufacturer]],19,14),"")</f>
        <v/>
      </c>
      <c r="J495" s="113">
        <f>IFERROR(Tabela_Base_Financeiro[[#This Row],[Item code]],0)</f>
        <v>0</v>
      </c>
      <c r="K495" s="293">
        <f>IFERROR(Tabela_Base_Financeiro[[#This Row],[Unit Price]],0)</f>
        <v>0</v>
      </c>
      <c r="L495" s="36">
        <f>IFERROR(Tabela_Base_Financeiro[[#This Row],[AC Qty,]],0)</f>
        <v>0</v>
      </c>
      <c r="M495" s="60">
        <f>Tabela6[[#This Row],[Qty]]*Tabela6[[#This Row],[Preço]]</f>
        <v>0</v>
      </c>
      <c r="N495" s="37">
        <f>IFERROR(Tabela_Base_Financeiro[[#This Row],[Proportion]],0)</f>
        <v>0</v>
      </c>
      <c r="O495" s="60">
        <f>Tabela6[[#This Row],[Proporção]]*Tabela6[[#This Row],[Total]]</f>
        <v>0</v>
      </c>
      <c r="P495"/>
      <c r="Q495" s="59"/>
      <c r="R495" s="1"/>
    </row>
    <row r="496" spans="1:18">
      <c r="A496" s="122" t="e">
        <f>IF(VLOOKUP(Tabela6[[#This Row],[UF]],'BASE CC'!B:C,2,0)="SP",IF(Tabela6[[#This Row],[OPERADORA]]="TIM","SP TIM","SPI"),VLOOKUP(Tabela6[[#This Row],[UF]],'BASE CC'!B:C,2,0))</f>
        <v>#N/A</v>
      </c>
      <c r="B496" s="36" t="e">
        <f>VLOOKUP(Tabela_Base_Financeiro[[#This Row],[Item code]],'COD.FAT'!B:C,2,0)</f>
        <v>#N/A</v>
      </c>
      <c r="C496" s="292">
        <f>Tabela_Base_Financeiro[[#This Row],[PO Ship TO]]</f>
        <v>0</v>
      </c>
      <c r="D496" s="36" t="str">
        <f>RIGHT(Tabela_Base_Financeiro[[#This Row],[Manufacturer]],2)</f>
        <v/>
      </c>
      <c r="E49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96" s="122" t="e">
        <f>VLOOKUP(Tabela_Base_Financeiro[[#This Row],[Project Code]],'COD. PROJETOS'!B:D,3,0)</f>
        <v>#N/A</v>
      </c>
      <c r="G496" s="36">
        <f>IFERROR(Tabela_Base_Financeiro[[#This Row],[PO No,]],0)</f>
        <v>0</v>
      </c>
      <c r="H496" s="36">
        <f>IFERROR(Tabela_Base_Financeiro[[#This Row],[Line No,]],0)</f>
        <v>0</v>
      </c>
      <c r="I496" s="36" t="str">
        <f>IFERROR(MID(Tabela_Base_Financeiro[[#This Row],[Manufacturer]],19,14),"")</f>
        <v/>
      </c>
      <c r="J496" s="113">
        <f>IFERROR(Tabela_Base_Financeiro[[#This Row],[Item code]],0)</f>
        <v>0</v>
      </c>
      <c r="K496" s="293">
        <f>IFERROR(Tabela_Base_Financeiro[[#This Row],[Unit Price]],0)</f>
        <v>0</v>
      </c>
      <c r="L496" s="36">
        <f>IFERROR(Tabela_Base_Financeiro[[#This Row],[AC Qty,]],0)</f>
        <v>0</v>
      </c>
      <c r="M496" s="60">
        <f>Tabela6[[#This Row],[Qty]]*Tabela6[[#This Row],[Preço]]</f>
        <v>0</v>
      </c>
      <c r="N496" s="37">
        <f>IFERROR(Tabela_Base_Financeiro[[#This Row],[Proportion]],0)</f>
        <v>0</v>
      </c>
      <c r="O496" s="60">
        <f>Tabela6[[#This Row],[Proporção]]*Tabela6[[#This Row],[Total]]</f>
        <v>0</v>
      </c>
      <c r="P496"/>
      <c r="Q496" s="59"/>
      <c r="R496" s="1"/>
    </row>
    <row r="497" spans="1:18">
      <c r="A497" s="122" t="e">
        <f>IF(VLOOKUP(Tabela6[[#This Row],[UF]],'BASE CC'!B:C,2,0)="SP",IF(Tabela6[[#This Row],[OPERADORA]]="TIM","SP TIM","SPI"),VLOOKUP(Tabela6[[#This Row],[UF]],'BASE CC'!B:C,2,0))</f>
        <v>#N/A</v>
      </c>
      <c r="B497" s="36" t="e">
        <f>VLOOKUP(Tabela_Base_Financeiro[[#This Row],[Item code]],'COD.FAT'!B:C,2,0)</f>
        <v>#N/A</v>
      </c>
      <c r="C497" s="292">
        <f>Tabela_Base_Financeiro[[#This Row],[PO Ship TO]]</f>
        <v>0</v>
      </c>
      <c r="D497" s="36" t="str">
        <f>RIGHT(Tabela_Base_Financeiro[[#This Row],[Manufacturer]],2)</f>
        <v/>
      </c>
      <c r="E49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97" s="122" t="e">
        <f>VLOOKUP(Tabela_Base_Financeiro[[#This Row],[Project Code]],'COD. PROJETOS'!B:D,3,0)</f>
        <v>#N/A</v>
      </c>
      <c r="G497" s="36">
        <f>IFERROR(Tabela_Base_Financeiro[[#This Row],[PO No,]],0)</f>
        <v>0</v>
      </c>
      <c r="H497" s="36">
        <f>IFERROR(Tabela_Base_Financeiro[[#This Row],[Line No,]],0)</f>
        <v>0</v>
      </c>
      <c r="I497" s="36" t="str">
        <f>IFERROR(MID(Tabela_Base_Financeiro[[#This Row],[Manufacturer]],19,14),"")</f>
        <v/>
      </c>
      <c r="J497" s="113">
        <f>IFERROR(Tabela_Base_Financeiro[[#This Row],[Item code]],0)</f>
        <v>0</v>
      </c>
      <c r="K497" s="293">
        <f>IFERROR(Tabela_Base_Financeiro[[#This Row],[Unit Price]],0)</f>
        <v>0</v>
      </c>
      <c r="L497" s="36">
        <f>IFERROR(Tabela_Base_Financeiro[[#This Row],[AC Qty,]],0)</f>
        <v>0</v>
      </c>
      <c r="M497" s="60">
        <f>Tabela6[[#This Row],[Qty]]*Tabela6[[#This Row],[Preço]]</f>
        <v>0</v>
      </c>
      <c r="N497" s="37">
        <f>IFERROR(Tabela_Base_Financeiro[[#This Row],[Proportion]],0)</f>
        <v>0</v>
      </c>
      <c r="O497" s="60">
        <f>Tabela6[[#This Row],[Proporção]]*Tabela6[[#This Row],[Total]]</f>
        <v>0</v>
      </c>
      <c r="P497"/>
      <c r="Q497" s="59"/>
      <c r="R497" s="1"/>
    </row>
    <row r="498" spans="1:18">
      <c r="A498" s="122" t="e">
        <f>IF(VLOOKUP(Tabela6[[#This Row],[UF]],'BASE CC'!B:C,2,0)="SP",IF(Tabela6[[#This Row],[OPERADORA]]="TIM","SP TIM","SPI"),VLOOKUP(Tabela6[[#This Row],[UF]],'BASE CC'!B:C,2,0))</f>
        <v>#N/A</v>
      </c>
      <c r="B498" s="36" t="e">
        <f>VLOOKUP(Tabela_Base_Financeiro[[#This Row],[Item code]],'COD.FAT'!B:C,2,0)</f>
        <v>#N/A</v>
      </c>
      <c r="C498" s="292">
        <f>Tabela_Base_Financeiro[[#This Row],[PO Ship TO]]</f>
        <v>0</v>
      </c>
      <c r="D498" s="36" t="str">
        <f>RIGHT(Tabela_Base_Financeiro[[#This Row],[Manufacturer]],2)</f>
        <v/>
      </c>
      <c r="E49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98" s="122" t="e">
        <f>VLOOKUP(Tabela_Base_Financeiro[[#This Row],[Project Code]],'COD. PROJETOS'!B:D,3,0)</f>
        <v>#N/A</v>
      </c>
      <c r="G498" s="36">
        <f>IFERROR(Tabela_Base_Financeiro[[#This Row],[PO No,]],0)</f>
        <v>0</v>
      </c>
      <c r="H498" s="36">
        <f>IFERROR(Tabela_Base_Financeiro[[#This Row],[Line No,]],0)</f>
        <v>0</v>
      </c>
      <c r="I498" s="36" t="str">
        <f>IFERROR(MID(Tabela_Base_Financeiro[[#This Row],[Manufacturer]],19,14),"")</f>
        <v/>
      </c>
      <c r="J498" s="113">
        <f>IFERROR(Tabela_Base_Financeiro[[#This Row],[Item code]],0)</f>
        <v>0</v>
      </c>
      <c r="K498" s="293">
        <f>IFERROR(Tabela_Base_Financeiro[[#This Row],[Unit Price]],0)</f>
        <v>0</v>
      </c>
      <c r="L498" s="36">
        <f>IFERROR(Tabela_Base_Financeiro[[#This Row],[AC Qty,]],0)</f>
        <v>0</v>
      </c>
      <c r="M498" s="60">
        <f>Tabela6[[#This Row],[Qty]]*Tabela6[[#This Row],[Preço]]</f>
        <v>0</v>
      </c>
      <c r="N498" s="37">
        <f>IFERROR(Tabela_Base_Financeiro[[#This Row],[Proportion]],0)</f>
        <v>0</v>
      </c>
      <c r="O498" s="60">
        <f>Tabela6[[#This Row],[Proporção]]*Tabela6[[#This Row],[Total]]</f>
        <v>0</v>
      </c>
      <c r="P498"/>
      <c r="Q498" s="59"/>
      <c r="R498" s="1"/>
    </row>
    <row r="499" spans="1:18">
      <c r="A499" s="122" t="e">
        <f>IF(VLOOKUP(Tabela6[[#This Row],[UF]],'BASE CC'!B:C,2,0)="SP",IF(Tabela6[[#This Row],[OPERADORA]]="TIM","SP TIM","SPI"),VLOOKUP(Tabela6[[#This Row],[UF]],'BASE CC'!B:C,2,0))</f>
        <v>#N/A</v>
      </c>
      <c r="B499" s="36" t="e">
        <f>VLOOKUP(Tabela_Base_Financeiro[[#This Row],[Item code]],'COD.FAT'!B:C,2,0)</f>
        <v>#N/A</v>
      </c>
      <c r="C499" s="292">
        <f>Tabela_Base_Financeiro[[#This Row],[PO Ship TO]]</f>
        <v>0</v>
      </c>
      <c r="D499" s="36" t="str">
        <f>RIGHT(Tabela_Base_Financeiro[[#This Row],[Manufacturer]],2)</f>
        <v/>
      </c>
      <c r="E49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499" s="122" t="e">
        <f>VLOOKUP(Tabela_Base_Financeiro[[#This Row],[Project Code]],'COD. PROJETOS'!B:D,3,0)</f>
        <v>#N/A</v>
      </c>
      <c r="G499" s="36">
        <f>IFERROR(Tabela_Base_Financeiro[[#This Row],[PO No,]],0)</f>
        <v>0</v>
      </c>
      <c r="H499" s="36">
        <f>IFERROR(Tabela_Base_Financeiro[[#This Row],[Line No,]],0)</f>
        <v>0</v>
      </c>
      <c r="I499" s="36" t="str">
        <f>IFERROR(MID(Tabela_Base_Financeiro[[#This Row],[Manufacturer]],19,14),"")</f>
        <v/>
      </c>
      <c r="J499" s="113">
        <f>IFERROR(Tabela_Base_Financeiro[[#This Row],[Item code]],0)</f>
        <v>0</v>
      </c>
      <c r="K499" s="293">
        <f>IFERROR(Tabela_Base_Financeiro[[#This Row],[Unit Price]],0)</f>
        <v>0</v>
      </c>
      <c r="L499" s="36">
        <f>IFERROR(Tabela_Base_Financeiro[[#This Row],[AC Qty,]],0)</f>
        <v>0</v>
      </c>
      <c r="M499" s="60">
        <f>Tabela6[[#This Row],[Qty]]*Tabela6[[#This Row],[Preço]]</f>
        <v>0</v>
      </c>
      <c r="N499" s="37">
        <f>IFERROR(Tabela_Base_Financeiro[[#This Row],[Proportion]],0)</f>
        <v>0</v>
      </c>
      <c r="O499" s="60">
        <f>Tabela6[[#This Row],[Proporção]]*Tabela6[[#This Row],[Total]]</f>
        <v>0</v>
      </c>
      <c r="P499"/>
      <c r="Q499" s="59"/>
      <c r="R499" s="1"/>
    </row>
    <row r="500" spans="1:18">
      <c r="A500" s="122" t="e">
        <f>IF(VLOOKUP(Tabela6[[#This Row],[UF]],'BASE CC'!B:C,2,0)="SP",IF(Tabela6[[#This Row],[OPERADORA]]="TIM","SP TIM","SPI"),VLOOKUP(Tabela6[[#This Row],[UF]],'BASE CC'!B:C,2,0))</f>
        <v>#N/A</v>
      </c>
      <c r="B500" s="36" t="e">
        <f>VLOOKUP(Tabela_Base_Financeiro[[#This Row],[Item code]],'COD.FAT'!B:C,2,0)</f>
        <v>#N/A</v>
      </c>
      <c r="C500" s="292">
        <f>Tabela_Base_Financeiro[[#This Row],[PO Ship TO]]</f>
        <v>0</v>
      </c>
      <c r="D500" s="36" t="str">
        <f>RIGHT(Tabela_Base_Financeiro[[#This Row],[Manufacturer]],2)</f>
        <v/>
      </c>
      <c r="E50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00" s="122" t="e">
        <f>VLOOKUP(Tabela_Base_Financeiro[[#This Row],[Project Code]],'COD. PROJETOS'!B:D,3,0)</f>
        <v>#N/A</v>
      </c>
      <c r="G500" s="36">
        <f>IFERROR(Tabela_Base_Financeiro[[#This Row],[PO No,]],0)</f>
        <v>0</v>
      </c>
      <c r="H500" s="36">
        <f>IFERROR(Tabela_Base_Financeiro[[#This Row],[Line No,]],0)</f>
        <v>0</v>
      </c>
      <c r="I500" s="36" t="str">
        <f>IFERROR(MID(Tabela_Base_Financeiro[[#This Row],[Manufacturer]],19,14),"")</f>
        <v/>
      </c>
      <c r="J500" s="113">
        <f>IFERROR(Tabela_Base_Financeiro[[#This Row],[Item code]],0)</f>
        <v>0</v>
      </c>
      <c r="K500" s="293">
        <f>IFERROR(Tabela_Base_Financeiro[[#This Row],[Unit Price]],0)</f>
        <v>0</v>
      </c>
      <c r="L500" s="36">
        <f>IFERROR(Tabela_Base_Financeiro[[#This Row],[AC Qty,]],0)</f>
        <v>0</v>
      </c>
      <c r="M500" s="60">
        <f>Tabela6[[#This Row],[Qty]]*Tabela6[[#This Row],[Preço]]</f>
        <v>0</v>
      </c>
      <c r="N500" s="37">
        <f>IFERROR(Tabela_Base_Financeiro[[#This Row],[Proportion]],0)</f>
        <v>0</v>
      </c>
      <c r="O500" s="60">
        <f>Tabela6[[#This Row],[Proporção]]*Tabela6[[#This Row],[Total]]</f>
        <v>0</v>
      </c>
      <c r="P500"/>
      <c r="Q500" s="59"/>
      <c r="R500" s="1"/>
    </row>
    <row r="501" spans="1:18">
      <c r="A501" s="122" t="e">
        <f>IF(VLOOKUP(Tabela6[[#This Row],[UF]],'BASE CC'!B:C,2,0)="SP",IF(Tabela6[[#This Row],[OPERADORA]]="TIM","SP TIM","SPI"),VLOOKUP(Tabela6[[#This Row],[UF]],'BASE CC'!B:C,2,0))</f>
        <v>#N/A</v>
      </c>
      <c r="B501" s="36" t="e">
        <f>VLOOKUP(Tabela_Base_Financeiro[[#This Row],[Item code]],'COD.FAT'!B:C,2,0)</f>
        <v>#N/A</v>
      </c>
      <c r="C501" s="292">
        <f>Tabela_Base_Financeiro[[#This Row],[PO Ship TO]]</f>
        <v>0</v>
      </c>
      <c r="D501" s="36" t="str">
        <f>RIGHT(Tabela_Base_Financeiro[[#This Row],[Manufacturer]],2)</f>
        <v/>
      </c>
      <c r="E50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01" s="122" t="e">
        <f>VLOOKUP(Tabela_Base_Financeiro[[#This Row],[Project Code]],'COD. PROJETOS'!B:D,3,0)</f>
        <v>#N/A</v>
      </c>
      <c r="G501" s="36">
        <f>IFERROR(Tabela_Base_Financeiro[[#This Row],[PO No,]],0)</f>
        <v>0</v>
      </c>
      <c r="H501" s="36">
        <f>IFERROR(Tabela_Base_Financeiro[[#This Row],[Line No,]],0)</f>
        <v>0</v>
      </c>
      <c r="I501" s="36" t="str">
        <f>IFERROR(MID(Tabela_Base_Financeiro[[#This Row],[Manufacturer]],19,14),"")</f>
        <v/>
      </c>
      <c r="J501" s="113">
        <f>IFERROR(Tabela_Base_Financeiro[[#This Row],[Item code]],0)</f>
        <v>0</v>
      </c>
      <c r="K501" s="293">
        <f>IFERROR(Tabela_Base_Financeiro[[#This Row],[Unit Price]],0)</f>
        <v>0</v>
      </c>
      <c r="L501" s="36">
        <f>IFERROR(Tabela_Base_Financeiro[[#This Row],[AC Qty,]],0)</f>
        <v>0</v>
      </c>
      <c r="M501" s="60">
        <f>Tabela6[[#This Row],[Qty]]*Tabela6[[#This Row],[Preço]]</f>
        <v>0</v>
      </c>
      <c r="N501" s="37">
        <f>IFERROR(Tabela_Base_Financeiro[[#This Row],[Proportion]],0)</f>
        <v>0</v>
      </c>
      <c r="O501" s="60">
        <f>Tabela6[[#This Row],[Proporção]]*Tabela6[[#This Row],[Total]]</f>
        <v>0</v>
      </c>
      <c r="P501"/>
      <c r="Q501" s="59"/>
      <c r="R501" s="1"/>
    </row>
    <row r="502" spans="1:18">
      <c r="A502" s="122" t="e">
        <f>IF(VLOOKUP(Tabela6[[#This Row],[UF]],'BASE CC'!B:C,2,0)="SP",IF(Tabela6[[#This Row],[OPERADORA]]="TIM","SP TIM","SPI"),VLOOKUP(Tabela6[[#This Row],[UF]],'BASE CC'!B:C,2,0))</f>
        <v>#N/A</v>
      </c>
      <c r="B502" s="36" t="e">
        <f>VLOOKUP(Tabela_Base_Financeiro[[#This Row],[Item code]],'COD.FAT'!B:C,2,0)</f>
        <v>#N/A</v>
      </c>
      <c r="C502" s="292">
        <f>Tabela_Base_Financeiro[[#This Row],[PO Ship TO]]</f>
        <v>0</v>
      </c>
      <c r="D502" s="36" t="str">
        <f>RIGHT(Tabela_Base_Financeiro[[#This Row],[Manufacturer]],2)</f>
        <v/>
      </c>
      <c r="E50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02" s="122" t="e">
        <f>VLOOKUP(Tabela_Base_Financeiro[[#This Row],[Project Code]],'COD. PROJETOS'!B:D,3,0)</f>
        <v>#N/A</v>
      </c>
      <c r="G502" s="36">
        <f>IFERROR(Tabela_Base_Financeiro[[#This Row],[PO No,]],0)</f>
        <v>0</v>
      </c>
      <c r="H502" s="36">
        <f>IFERROR(Tabela_Base_Financeiro[[#This Row],[Line No,]],0)</f>
        <v>0</v>
      </c>
      <c r="I502" s="36" t="str">
        <f>IFERROR(MID(Tabela_Base_Financeiro[[#This Row],[Manufacturer]],19,14),"")</f>
        <v/>
      </c>
      <c r="J502" s="113">
        <f>IFERROR(Tabela_Base_Financeiro[[#This Row],[Item code]],0)</f>
        <v>0</v>
      </c>
      <c r="K502" s="293">
        <f>IFERROR(Tabela_Base_Financeiro[[#This Row],[Unit Price]],0)</f>
        <v>0</v>
      </c>
      <c r="L502" s="36">
        <f>IFERROR(Tabela_Base_Financeiro[[#This Row],[AC Qty,]],0)</f>
        <v>0</v>
      </c>
      <c r="M502" s="60">
        <f>Tabela6[[#This Row],[Qty]]*Tabela6[[#This Row],[Preço]]</f>
        <v>0</v>
      </c>
      <c r="N502" s="37">
        <f>IFERROR(Tabela_Base_Financeiro[[#This Row],[Proportion]],0)</f>
        <v>0</v>
      </c>
      <c r="O502" s="60">
        <f>Tabela6[[#This Row],[Proporção]]*Tabela6[[#This Row],[Total]]</f>
        <v>0</v>
      </c>
      <c r="P502"/>
      <c r="Q502" s="59"/>
      <c r="R502" s="1"/>
    </row>
    <row r="503" spans="1:18">
      <c r="A503" s="122" t="e">
        <f>IF(VLOOKUP(Tabela6[[#This Row],[UF]],'BASE CC'!B:C,2,0)="SP",IF(Tabela6[[#This Row],[OPERADORA]]="TIM","SP TIM","SPI"),VLOOKUP(Tabela6[[#This Row],[UF]],'BASE CC'!B:C,2,0))</f>
        <v>#N/A</v>
      </c>
      <c r="B503" s="36" t="e">
        <f>VLOOKUP(Tabela_Base_Financeiro[[#This Row],[Item code]],'COD.FAT'!B:C,2,0)</f>
        <v>#N/A</v>
      </c>
      <c r="C503" s="292">
        <f>Tabela_Base_Financeiro[[#This Row],[PO Ship TO]]</f>
        <v>0</v>
      </c>
      <c r="D503" s="36" t="str">
        <f>RIGHT(Tabela_Base_Financeiro[[#This Row],[Manufacturer]],2)</f>
        <v/>
      </c>
      <c r="E50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03" s="122" t="e">
        <f>VLOOKUP(Tabela_Base_Financeiro[[#This Row],[Project Code]],'COD. PROJETOS'!B:D,3,0)</f>
        <v>#N/A</v>
      </c>
      <c r="G503" s="36">
        <f>IFERROR(Tabela_Base_Financeiro[[#This Row],[PO No,]],0)</f>
        <v>0</v>
      </c>
      <c r="H503" s="36">
        <f>IFERROR(Tabela_Base_Financeiro[[#This Row],[Line No,]],0)</f>
        <v>0</v>
      </c>
      <c r="I503" s="36" t="str">
        <f>IFERROR(MID(Tabela_Base_Financeiro[[#This Row],[Manufacturer]],19,14),"")</f>
        <v/>
      </c>
      <c r="J503" s="113">
        <f>IFERROR(Tabela_Base_Financeiro[[#This Row],[Item code]],0)</f>
        <v>0</v>
      </c>
      <c r="K503" s="293">
        <f>IFERROR(Tabela_Base_Financeiro[[#This Row],[Unit Price]],0)</f>
        <v>0</v>
      </c>
      <c r="L503" s="36">
        <f>IFERROR(Tabela_Base_Financeiro[[#This Row],[AC Qty,]],0)</f>
        <v>0</v>
      </c>
      <c r="M503" s="60">
        <f>Tabela6[[#This Row],[Qty]]*Tabela6[[#This Row],[Preço]]</f>
        <v>0</v>
      </c>
      <c r="N503" s="37">
        <f>IFERROR(Tabela_Base_Financeiro[[#This Row],[Proportion]],0)</f>
        <v>0</v>
      </c>
      <c r="O503" s="60">
        <f>Tabela6[[#This Row],[Proporção]]*Tabela6[[#This Row],[Total]]</f>
        <v>0</v>
      </c>
      <c r="P503"/>
      <c r="Q503" s="59"/>
      <c r="R503" s="1"/>
    </row>
    <row r="504" spans="1:18">
      <c r="A504" s="122" t="e">
        <f>IF(VLOOKUP(Tabela6[[#This Row],[UF]],'BASE CC'!B:C,2,0)="SP",IF(Tabela6[[#This Row],[OPERADORA]]="TIM","SP TIM","SPI"),VLOOKUP(Tabela6[[#This Row],[UF]],'BASE CC'!B:C,2,0))</f>
        <v>#N/A</v>
      </c>
      <c r="B504" s="36" t="e">
        <f>VLOOKUP(Tabela_Base_Financeiro[[#This Row],[Item code]],'COD.FAT'!B:C,2,0)</f>
        <v>#N/A</v>
      </c>
      <c r="C504" s="292">
        <f>Tabela_Base_Financeiro[[#This Row],[PO Ship TO]]</f>
        <v>0</v>
      </c>
      <c r="D504" s="36" t="str">
        <f>RIGHT(Tabela_Base_Financeiro[[#This Row],[Manufacturer]],2)</f>
        <v/>
      </c>
      <c r="E50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04" s="122" t="e">
        <f>VLOOKUP(Tabela_Base_Financeiro[[#This Row],[Project Code]],'COD. PROJETOS'!B:D,3,0)</f>
        <v>#N/A</v>
      </c>
      <c r="G504" s="36">
        <f>IFERROR(Tabela_Base_Financeiro[[#This Row],[PO No,]],0)</f>
        <v>0</v>
      </c>
      <c r="H504" s="36">
        <f>IFERROR(Tabela_Base_Financeiro[[#This Row],[Line No,]],0)</f>
        <v>0</v>
      </c>
      <c r="I504" s="36" t="str">
        <f>IFERROR(MID(Tabela_Base_Financeiro[[#This Row],[Manufacturer]],19,14),"")</f>
        <v/>
      </c>
      <c r="J504" s="113">
        <f>IFERROR(Tabela_Base_Financeiro[[#This Row],[Item code]],0)</f>
        <v>0</v>
      </c>
      <c r="K504" s="293">
        <f>IFERROR(Tabela_Base_Financeiro[[#This Row],[Unit Price]],0)</f>
        <v>0</v>
      </c>
      <c r="L504" s="36">
        <f>IFERROR(Tabela_Base_Financeiro[[#This Row],[AC Qty,]],0)</f>
        <v>0</v>
      </c>
      <c r="M504" s="60">
        <f>Tabela6[[#This Row],[Qty]]*Tabela6[[#This Row],[Preço]]</f>
        <v>0</v>
      </c>
      <c r="N504" s="37">
        <f>IFERROR(Tabela_Base_Financeiro[[#This Row],[Proportion]],0)</f>
        <v>0</v>
      </c>
      <c r="O504" s="60">
        <f>Tabela6[[#This Row],[Proporção]]*Tabela6[[#This Row],[Total]]</f>
        <v>0</v>
      </c>
      <c r="P504"/>
      <c r="Q504" s="59"/>
      <c r="R504" s="1"/>
    </row>
    <row r="505" spans="1:18">
      <c r="A505" s="122" t="e">
        <f>IF(VLOOKUP(Tabela6[[#This Row],[UF]],'BASE CC'!B:C,2,0)="SP",IF(Tabela6[[#This Row],[OPERADORA]]="TIM","SP TIM","SPI"),VLOOKUP(Tabela6[[#This Row],[UF]],'BASE CC'!B:C,2,0))</f>
        <v>#N/A</v>
      </c>
      <c r="B505" s="36" t="e">
        <f>VLOOKUP(Tabela_Base_Financeiro[[#This Row],[Item code]],'COD.FAT'!B:C,2,0)</f>
        <v>#N/A</v>
      </c>
      <c r="C505" s="292">
        <f>Tabela_Base_Financeiro[[#This Row],[PO Ship TO]]</f>
        <v>0</v>
      </c>
      <c r="D505" s="36" t="str">
        <f>RIGHT(Tabela_Base_Financeiro[[#This Row],[Manufacturer]],2)</f>
        <v/>
      </c>
      <c r="E50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05" s="122" t="e">
        <f>VLOOKUP(Tabela_Base_Financeiro[[#This Row],[Project Code]],'COD. PROJETOS'!B:D,3,0)</f>
        <v>#N/A</v>
      </c>
      <c r="G505" s="36">
        <f>IFERROR(Tabela_Base_Financeiro[[#This Row],[PO No,]],0)</f>
        <v>0</v>
      </c>
      <c r="H505" s="36">
        <f>IFERROR(Tabela_Base_Financeiro[[#This Row],[Line No,]],0)</f>
        <v>0</v>
      </c>
      <c r="I505" s="36" t="str">
        <f>IFERROR(MID(Tabela_Base_Financeiro[[#This Row],[Manufacturer]],19,14),"")</f>
        <v/>
      </c>
      <c r="J505" s="113">
        <f>IFERROR(Tabela_Base_Financeiro[[#This Row],[Item code]],0)</f>
        <v>0</v>
      </c>
      <c r="K505" s="293">
        <f>IFERROR(Tabela_Base_Financeiro[[#This Row],[Unit Price]],0)</f>
        <v>0</v>
      </c>
      <c r="L505" s="36">
        <f>IFERROR(Tabela_Base_Financeiro[[#This Row],[AC Qty,]],0)</f>
        <v>0</v>
      </c>
      <c r="M505" s="60">
        <f>Tabela6[[#This Row],[Qty]]*Tabela6[[#This Row],[Preço]]</f>
        <v>0</v>
      </c>
      <c r="N505" s="37">
        <f>IFERROR(Tabela_Base_Financeiro[[#This Row],[Proportion]],0)</f>
        <v>0</v>
      </c>
      <c r="O505" s="60">
        <f>Tabela6[[#This Row],[Proporção]]*Tabela6[[#This Row],[Total]]</f>
        <v>0</v>
      </c>
      <c r="P505"/>
      <c r="Q505" s="59"/>
      <c r="R505" s="1"/>
    </row>
    <row r="506" spans="1:18">
      <c r="A506" s="122" t="e">
        <f>IF(VLOOKUP(Tabela6[[#This Row],[UF]],'BASE CC'!B:C,2,0)="SP",IF(Tabela6[[#This Row],[OPERADORA]]="TIM","SP TIM","SPI"),VLOOKUP(Tabela6[[#This Row],[UF]],'BASE CC'!B:C,2,0))</f>
        <v>#N/A</v>
      </c>
      <c r="B506" s="36" t="e">
        <f>VLOOKUP(Tabela_Base_Financeiro[[#This Row],[Item code]],'COD.FAT'!B:C,2,0)</f>
        <v>#N/A</v>
      </c>
      <c r="C506" s="292">
        <f>Tabela_Base_Financeiro[[#This Row],[PO Ship TO]]</f>
        <v>0</v>
      </c>
      <c r="D506" s="36" t="str">
        <f>RIGHT(Tabela_Base_Financeiro[[#This Row],[Manufacturer]],2)</f>
        <v/>
      </c>
      <c r="E50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06" s="122" t="e">
        <f>VLOOKUP(Tabela_Base_Financeiro[[#This Row],[Project Code]],'COD. PROJETOS'!B:D,3,0)</f>
        <v>#N/A</v>
      </c>
      <c r="G506" s="36">
        <f>IFERROR(Tabela_Base_Financeiro[[#This Row],[PO No,]],0)</f>
        <v>0</v>
      </c>
      <c r="H506" s="36">
        <f>IFERROR(Tabela_Base_Financeiro[[#This Row],[Line No,]],0)</f>
        <v>0</v>
      </c>
      <c r="I506" s="36" t="str">
        <f>IFERROR(MID(Tabela_Base_Financeiro[[#This Row],[Manufacturer]],19,14),"")</f>
        <v/>
      </c>
      <c r="J506" s="113">
        <f>IFERROR(Tabela_Base_Financeiro[[#This Row],[Item code]],0)</f>
        <v>0</v>
      </c>
      <c r="K506" s="293">
        <f>IFERROR(Tabela_Base_Financeiro[[#This Row],[Unit Price]],0)</f>
        <v>0</v>
      </c>
      <c r="L506" s="36">
        <f>IFERROR(Tabela_Base_Financeiro[[#This Row],[AC Qty,]],0)</f>
        <v>0</v>
      </c>
      <c r="M506" s="60">
        <f>Tabela6[[#This Row],[Qty]]*Tabela6[[#This Row],[Preço]]</f>
        <v>0</v>
      </c>
      <c r="N506" s="37">
        <f>IFERROR(Tabela_Base_Financeiro[[#This Row],[Proportion]],0)</f>
        <v>0</v>
      </c>
      <c r="O506" s="60">
        <f>Tabela6[[#This Row],[Proporção]]*Tabela6[[#This Row],[Total]]</f>
        <v>0</v>
      </c>
      <c r="P506"/>
      <c r="Q506" s="59"/>
      <c r="R506" s="1"/>
    </row>
    <row r="507" spans="1:18">
      <c r="A507" s="122" t="e">
        <f>IF(VLOOKUP(Tabela6[[#This Row],[UF]],'BASE CC'!B:C,2,0)="SP",IF(Tabela6[[#This Row],[OPERADORA]]="TIM","SP TIM","SPI"),VLOOKUP(Tabela6[[#This Row],[UF]],'BASE CC'!B:C,2,0))</f>
        <v>#N/A</v>
      </c>
      <c r="B507" s="36" t="e">
        <f>VLOOKUP(Tabela_Base_Financeiro[[#This Row],[Item code]],'COD.FAT'!B:C,2,0)</f>
        <v>#N/A</v>
      </c>
      <c r="C507" s="292">
        <f>Tabela_Base_Financeiro[[#This Row],[PO Ship TO]]</f>
        <v>0</v>
      </c>
      <c r="D507" s="36" t="str">
        <f>RIGHT(Tabela_Base_Financeiro[[#This Row],[Manufacturer]],2)</f>
        <v/>
      </c>
      <c r="E50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07" s="122" t="e">
        <f>VLOOKUP(Tabela_Base_Financeiro[[#This Row],[Project Code]],'COD. PROJETOS'!B:D,3,0)</f>
        <v>#N/A</v>
      </c>
      <c r="G507" s="36">
        <f>IFERROR(Tabela_Base_Financeiro[[#This Row],[PO No,]],0)</f>
        <v>0</v>
      </c>
      <c r="H507" s="36">
        <f>IFERROR(Tabela_Base_Financeiro[[#This Row],[Line No,]],0)</f>
        <v>0</v>
      </c>
      <c r="I507" s="36" t="str">
        <f>IFERROR(MID(Tabela_Base_Financeiro[[#This Row],[Manufacturer]],19,14),"")</f>
        <v/>
      </c>
      <c r="J507" s="113">
        <f>IFERROR(Tabela_Base_Financeiro[[#This Row],[Item code]],0)</f>
        <v>0</v>
      </c>
      <c r="K507" s="293">
        <f>IFERROR(Tabela_Base_Financeiro[[#This Row],[Unit Price]],0)</f>
        <v>0</v>
      </c>
      <c r="L507" s="36">
        <f>IFERROR(Tabela_Base_Financeiro[[#This Row],[AC Qty,]],0)</f>
        <v>0</v>
      </c>
      <c r="M507" s="60">
        <f>Tabela6[[#This Row],[Qty]]*Tabela6[[#This Row],[Preço]]</f>
        <v>0</v>
      </c>
      <c r="N507" s="37">
        <f>IFERROR(Tabela_Base_Financeiro[[#This Row],[Proportion]],0)</f>
        <v>0</v>
      </c>
      <c r="O507" s="60">
        <f>Tabela6[[#This Row],[Proporção]]*Tabela6[[#This Row],[Total]]</f>
        <v>0</v>
      </c>
      <c r="P507"/>
      <c r="Q507" s="59"/>
      <c r="R507" s="1"/>
    </row>
    <row r="508" spans="1:18">
      <c r="A508" s="122" t="e">
        <f>IF(VLOOKUP(Tabela6[[#This Row],[UF]],'BASE CC'!B:C,2,0)="SP",IF(Tabela6[[#This Row],[OPERADORA]]="TIM","SP TIM","SPI"),VLOOKUP(Tabela6[[#This Row],[UF]],'BASE CC'!B:C,2,0))</f>
        <v>#N/A</v>
      </c>
      <c r="B508" s="36" t="e">
        <f>VLOOKUP(Tabela_Base_Financeiro[[#This Row],[Item code]],'COD.FAT'!B:C,2,0)</f>
        <v>#N/A</v>
      </c>
      <c r="C508" s="292">
        <f>Tabela_Base_Financeiro[[#This Row],[PO Ship TO]]</f>
        <v>0</v>
      </c>
      <c r="D508" s="36" t="str">
        <f>RIGHT(Tabela_Base_Financeiro[[#This Row],[Manufacturer]],2)</f>
        <v/>
      </c>
      <c r="E50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08" s="122" t="e">
        <f>VLOOKUP(Tabela_Base_Financeiro[[#This Row],[Project Code]],'COD. PROJETOS'!B:D,3,0)</f>
        <v>#N/A</v>
      </c>
      <c r="G508" s="36">
        <f>IFERROR(Tabela_Base_Financeiro[[#This Row],[PO No,]],0)</f>
        <v>0</v>
      </c>
      <c r="H508" s="36">
        <f>IFERROR(Tabela_Base_Financeiro[[#This Row],[Line No,]],0)</f>
        <v>0</v>
      </c>
      <c r="I508" s="36" t="str">
        <f>IFERROR(MID(Tabela_Base_Financeiro[[#This Row],[Manufacturer]],19,14),"")</f>
        <v/>
      </c>
      <c r="J508" s="113">
        <f>IFERROR(Tabela_Base_Financeiro[[#This Row],[Item code]],0)</f>
        <v>0</v>
      </c>
      <c r="K508" s="293">
        <f>IFERROR(Tabela_Base_Financeiro[[#This Row],[Unit Price]],0)</f>
        <v>0</v>
      </c>
      <c r="L508" s="36">
        <f>IFERROR(Tabela_Base_Financeiro[[#This Row],[AC Qty,]],0)</f>
        <v>0</v>
      </c>
      <c r="M508" s="60">
        <f>Tabela6[[#This Row],[Qty]]*Tabela6[[#This Row],[Preço]]</f>
        <v>0</v>
      </c>
      <c r="N508" s="37">
        <f>IFERROR(Tabela_Base_Financeiro[[#This Row],[Proportion]],0)</f>
        <v>0</v>
      </c>
      <c r="O508" s="60">
        <f>Tabela6[[#This Row],[Proporção]]*Tabela6[[#This Row],[Total]]</f>
        <v>0</v>
      </c>
      <c r="P508"/>
      <c r="Q508" s="59"/>
      <c r="R508" s="1"/>
    </row>
    <row r="509" spans="1:18">
      <c r="A509" s="122" t="e">
        <f>IF(VLOOKUP(Tabela6[[#This Row],[UF]],'BASE CC'!B:C,2,0)="SP",IF(Tabela6[[#This Row],[OPERADORA]]="TIM","SP TIM","SPI"),VLOOKUP(Tabela6[[#This Row],[UF]],'BASE CC'!B:C,2,0))</f>
        <v>#N/A</v>
      </c>
      <c r="B509" s="36" t="e">
        <f>VLOOKUP(Tabela_Base_Financeiro[[#This Row],[Item code]],'COD.FAT'!B:C,2,0)</f>
        <v>#N/A</v>
      </c>
      <c r="C509" s="292">
        <f>Tabela_Base_Financeiro[[#This Row],[PO Ship TO]]</f>
        <v>0</v>
      </c>
      <c r="D509" s="36" t="str">
        <f>RIGHT(Tabela_Base_Financeiro[[#This Row],[Manufacturer]],2)</f>
        <v/>
      </c>
      <c r="E50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09" s="122" t="e">
        <f>VLOOKUP(Tabela_Base_Financeiro[[#This Row],[Project Code]],'COD. PROJETOS'!B:D,3,0)</f>
        <v>#N/A</v>
      </c>
      <c r="G509" s="36">
        <f>IFERROR(Tabela_Base_Financeiro[[#This Row],[PO No,]],0)</f>
        <v>0</v>
      </c>
      <c r="H509" s="36">
        <f>IFERROR(Tabela_Base_Financeiro[[#This Row],[Line No,]],0)</f>
        <v>0</v>
      </c>
      <c r="I509" s="36" t="str">
        <f>IFERROR(MID(Tabela_Base_Financeiro[[#This Row],[Manufacturer]],19,14),"")</f>
        <v/>
      </c>
      <c r="J509" s="113">
        <f>IFERROR(Tabela_Base_Financeiro[[#This Row],[Item code]],0)</f>
        <v>0</v>
      </c>
      <c r="K509" s="293">
        <f>IFERROR(Tabela_Base_Financeiro[[#This Row],[Unit Price]],0)</f>
        <v>0</v>
      </c>
      <c r="L509" s="36">
        <f>IFERROR(Tabela_Base_Financeiro[[#This Row],[AC Qty,]],0)</f>
        <v>0</v>
      </c>
      <c r="M509" s="60">
        <f>Tabela6[[#This Row],[Qty]]*Tabela6[[#This Row],[Preço]]</f>
        <v>0</v>
      </c>
      <c r="N509" s="37">
        <f>IFERROR(Tabela_Base_Financeiro[[#This Row],[Proportion]],0)</f>
        <v>0</v>
      </c>
      <c r="O509" s="60">
        <f>Tabela6[[#This Row],[Proporção]]*Tabela6[[#This Row],[Total]]</f>
        <v>0</v>
      </c>
      <c r="P509"/>
      <c r="Q509" s="59"/>
      <c r="R509" s="1"/>
    </row>
    <row r="510" spans="1:18">
      <c r="A510" s="122" t="e">
        <f>IF(VLOOKUP(Tabela6[[#This Row],[UF]],'BASE CC'!B:C,2,0)="SP",IF(Tabela6[[#This Row],[OPERADORA]]="TIM","SP TIM","SPI"),VLOOKUP(Tabela6[[#This Row],[UF]],'BASE CC'!B:C,2,0))</f>
        <v>#N/A</v>
      </c>
      <c r="B510" s="36" t="e">
        <f>VLOOKUP(Tabela_Base_Financeiro[[#This Row],[Item code]],'COD.FAT'!B:C,2,0)</f>
        <v>#N/A</v>
      </c>
      <c r="C510" s="292">
        <f>Tabela_Base_Financeiro[[#This Row],[PO Ship TO]]</f>
        <v>0</v>
      </c>
      <c r="D510" s="36" t="str">
        <f>RIGHT(Tabela_Base_Financeiro[[#This Row],[Manufacturer]],2)</f>
        <v/>
      </c>
      <c r="E51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10" s="122" t="e">
        <f>VLOOKUP(Tabela_Base_Financeiro[[#This Row],[Project Code]],'COD. PROJETOS'!B:D,3,0)</f>
        <v>#N/A</v>
      </c>
      <c r="G510" s="36">
        <f>IFERROR(Tabela_Base_Financeiro[[#This Row],[PO No,]],0)</f>
        <v>0</v>
      </c>
      <c r="H510" s="36">
        <f>IFERROR(Tabela_Base_Financeiro[[#This Row],[Line No,]],0)</f>
        <v>0</v>
      </c>
      <c r="I510" s="36" t="str">
        <f>IFERROR(MID(Tabela_Base_Financeiro[[#This Row],[Manufacturer]],19,14),"")</f>
        <v/>
      </c>
      <c r="J510" s="113">
        <f>IFERROR(Tabela_Base_Financeiro[[#This Row],[Item code]],0)</f>
        <v>0</v>
      </c>
      <c r="K510" s="293">
        <f>IFERROR(Tabela_Base_Financeiro[[#This Row],[Unit Price]],0)</f>
        <v>0</v>
      </c>
      <c r="L510" s="36">
        <f>IFERROR(Tabela_Base_Financeiro[[#This Row],[AC Qty,]],0)</f>
        <v>0</v>
      </c>
      <c r="M510" s="60">
        <f>Tabela6[[#This Row],[Qty]]*Tabela6[[#This Row],[Preço]]</f>
        <v>0</v>
      </c>
      <c r="N510" s="37">
        <f>IFERROR(Tabela_Base_Financeiro[[#This Row],[Proportion]],0)</f>
        <v>0</v>
      </c>
      <c r="O510" s="60">
        <f>Tabela6[[#This Row],[Proporção]]*Tabela6[[#This Row],[Total]]</f>
        <v>0</v>
      </c>
      <c r="P510"/>
      <c r="Q510" s="59"/>
      <c r="R510" s="1"/>
    </row>
    <row r="511" spans="1:18">
      <c r="A511" s="122" t="e">
        <f>IF(VLOOKUP(Tabela6[[#This Row],[UF]],'BASE CC'!B:C,2,0)="SP",IF(Tabela6[[#This Row],[OPERADORA]]="TIM","SP TIM","SPI"),VLOOKUP(Tabela6[[#This Row],[UF]],'BASE CC'!B:C,2,0))</f>
        <v>#N/A</v>
      </c>
      <c r="B511" s="36" t="e">
        <f>VLOOKUP(Tabela_Base_Financeiro[[#This Row],[Item code]],'COD.FAT'!B:C,2,0)</f>
        <v>#N/A</v>
      </c>
      <c r="C511" s="292">
        <f>Tabela_Base_Financeiro[[#This Row],[PO Ship TO]]</f>
        <v>0</v>
      </c>
      <c r="D511" s="36" t="str">
        <f>RIGHT(Tabela_Base_Financeiro[[#This Row],[Manufacturer]],2)</f>
        <v/>
      </c>
      <c r="E51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11" s="122" t="e">
        <f>VLOOKUP(Tabela_Base_Financeiro[[#This Row],[Project Code]],'COD. PROJETOS'!B:D,3,0)</f>
        <v>#N/A</v>
      </c>
      <c r="G511" s="36">
        <f>IFERROR(Tabela_Base_Financeiro[[#This Row],[PO No,]],0)</f>
        <v>0</v>
      </c>
      <c r="H511" s="36">
        <f>IFERROR(Tabela_Base_Financeiro[[#This Row],[Line No,]],0)</f>
        <v>0</v>
      </c>
      <c r="I511" s="36" t="str">
        <f>IFERROR(MID(Tabela_Base_Financeiro[[#This Row],[Manufacturer]],19,14),"")</f>
        <v/>
      </c>
      <c r="J511" s="113">
        <f>IFERROR(Tabela_Base_Financeiro[[#This Row],[Item code]],0)</f>
        <v>0</v>
      </c>
      <c r="K511" s="293">
        <f>IFERROR(Tabela_Base_Financeiro[[#This Row],[Unit Price]],0)</f>
        <v>0</v>
      </c>
      <c r="L511" s="36">
        <f>IFERROR(Tabela_Base_Financeiro[[#This Row],[AC Qty,]],0)</f>
        <v>0</v>
      </c>
      <c r="M511" s="60">
        <f>Tabela6[[#This Row],[Qty]]*Tabela6[[#This Row],[Preço]]</f>
        <v>0</v>
      </c>
      <c r="N511" s="37">
        <f>IFERROR(Tabela_Base_Financeiro[[#This Row],[Proportion]],0)</f>
        <v>0</v>
      </c>
      <c r="O511" s="60">
        <f>Tabela6[[#This Row],[Proporção]]*Tabela6[[#This Row],[Total]]</f>
        <v>0</v>
      </c>
      <c r="P511"/>
      <c r="Q511" s="59"/>
      <c r="R511" s="1"/>
    </row>
    <row r="512" spans="1:18">
      <c r="A512" s="122" t="e">
        <f>IF(VLOOKUP(Tabela6[[#This Row],[UF]],'BASE CC'!B:C,2,0)="SP",IF(Tabela6[[#This Row],[OPERADORA]]="TIM","SP TIM","SPI"),VLOOKUP(Tabela6[[#This Row],[UF]],'BASE CC'!B:C,2,0))</f>
        <v>#N/A</v>
      </c>
      <c r="B512" s="36" t="e">
        <f>VLOOKUP(Tabela_Base_Financeiro[[#This Row],[Item code]],'COD.FAT'!B:C,2,0)</f>
        <v>#N/A</v>
      </c>
      <c r="C512" s="292">
        <f>Tabela_Base_Financeiro[[#This Row],[PO Ship TO]]</f>
        <v>0</v>
      </c>
      <c r="D512" s="36" t="str">
        <f>RIGHT(Tabela_Base_Financeiro[[#This Row],[Manufacturer]],2)</f>
        <v/>
      </c>
      <c r="E51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12" s="122" t="e">
        <f>VLOOKUP(Tabela_Base_Financeiro[[#This Row],[Project Code]],'COD. PROJETOS'!B:D,3,0)</f>
        <v>#N/A</v>
      </c>
      <c r="G512" s="36">
        <f>IFERROR(Tabela_Base_Financeiro[[#This Row],[PO No,]],0)</f>
        <v>0</v>
      </c>
      <c r="H512" s="36">
        <f>IFERROR(Tabela_Base_Financeiro[[#This Row],[Line No,]],0)</f>
        <v>0</v>
      </c>
      <c r="I512" s="36" t="str">
        <f>IFERROR(MID(Tabela_Base_Financeiro[[#This Row],[Manufacturer]],19,14),"")</f>
        <v/>
      </c>
      <c r="J512" s="113">
        <f>IFERROR(Tabela_Base_Financeiro[[#This Row],[Item code]],0)</f>
        <v>0</v>
      </c>
      <c r="K512" s="293">
        <f>IFERROR(Tabela_Base_Financeiro[[#This Row],[Unit Price]],0)</f>
        <v>0</v>
      </c>
      <c r="L512" s="36">
        <f>IFERROR(Tabela_Base_Financeiro[[#This Row],[AC Qty,]],0)</f>
        <v>0</v>
      </c>
      <c r="M512" s="60">
        <f>Tabela6[[#This Row],[Qty]]*Tabela6[[#This Row],[Preço]]</f>
        <v>0</v>
      </c>
      <c r="N512" s="37">
        <f>IFERROR(Tabela_Base_Financeiro[[#This Row],[Proportion]],0)</f>
        <v>0</v>
      </c>
      <c r="O512" s="60">
        <f>Tabela6[[#This Row],[Proporção]]*Tabela6[[#This Row],[Total]]</f>
        <v>0</v>
      </c>
      <c r="P512"/>
      <c r="Q512" s="59"/>
      <c r="R512" s="1"/>
    </row>
    <row r="513" spans="1:18">
      <c r="A513" s="122" t="e">
        <f>IF(VLOOKUP(Tabela6[[#This Row],[UF]],'BASE CC'!B:C,2,0)="SP",IF(Tabela6[[#This Row],[OPERADORA]]="TIM","SP TIM","SPI"),VLOOKUP(Tabela6[[#This Row],[UF]],'BASE CC'!B:C,2,0))</f>
        <v>#N/A</v>
      </c>
      <c r="B513" s="36" t="e">
        <f>VLOOKUP(Tabela_Base_Financeiro[[#This Row],[Item code]],'COD.FAT'!B:C,2,0)</f>
        <v>#N/A</v>
      </c>
      <c r="C513" s="292">
        <f>Tabela_Base_Financeiro[[#This Row],[PO Ship TO]]</f>
        <v>0</v>
      </c>
      <c r="D513" s="36" t="str">
        <f>RIGHT(Tabela_Base_Financeiro[[#This Row],[Manufacturer]],2)</f>
        <v/>
      </c>
      <c r="E51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13" s="122" t="e">
        <f>VLOOKUP(Tabela_Base_Financeiro[[#This Row],[Project Code]],'COD. PROJETOS'!B:D,3,0)</f>
        <v>#N/A</v>
      </c>
      <c r="G513" s="36">
        <f>IFERROR(Tabela_Base_Financeiro[[#This Row],[PO No,]],0)</f>
        <v>0</v>
      </c>
      <c r="H513" s="36">
        <f>IFERROR(Tabela_Base_Financeiro[[#This Row],[Line No,]],0)</f>
        <v>0</v>
      </c>
      <c r="I513" s="36" t="str">
        <f>IFERROR(MID(Tabela_Base_Financeiro[[#This Row],[Manufacturer]],19,14),"")</f>
        <v/>
      </c>
      <c r="J513" s="113">
        <f>IFERROR(Tabela_Base_Financeiro[[#This Row],[Item code]],0)</f>
        <v>0</v>
      </c>
      <c r="K513" s="293">
        <f>IFERROR(Tabela_Base_Financeiro[[#This Row],[Unit Price]],0)</f>
        <v>0</v>
      </c>
      <c r="L513" s="36">
        <f>IFERROR(Tabela_Base_Financeiro[[#This Row],[AC Qty,]],0)</f>
        <v>0</v>
      </c>
      <c r="M513" s="60">
        <f>Tabela6[[#This Row],[Qty]]*Tabela6[[#This Row],[Preço]]</f>
        <v>0</v>
      </c>
      <c r="N513" s="37">
        <f>IFERROR(Tabela_Base_Financeiro[[#This Row],[Proportion]],0)</f>
        <v>0</v>
      </c>
      <c r="O513" s="60">
        <f>Tabela6[[#This Row],[Proporção]]*Tabela6[[#This Row],[Total]]</f>
        <v>0</v>
      </c>
      <c r="P513"/>
      <c r="Q513" s="59"/>
      <c r="R513" s="1"/>
    </row>
    <row r="514" spans="1:18">
      <c r="A514" s="122" t="e">
        <f>IF(VLOOKUP(Tabela6[[#This Row],[UF]],'BASE CC'!B:C,2,0)="SP",IF(Tabela6[[#This Row],[OPERADORA]]="TIM","SP TIM","SPI"),VLOOKUP(Tabela6[[#This Row],[UF]],'BASE CC'!B:C,2,0))</f>
        <v>#N/A</v>
      </c>
      <c r="B514" s="36" t="e">
        <f>VLOOKUP(Tabela_Base_Financeiro[[#This Row],[Item code]],'COD.FAT'!B:C,2,0)</f>
        <v>#N/A</v>
      </c>
      <c r="C514" s="292">
        <f>Tabela_Base_Financeiro[[#This Row],[PO Ship TO]]</f>
        <v>0</v>
      </c>
      <c r="D514" s="36" t="str">
        <f>RIGHT(Tabela_Base_Financeiro[[#This Row],[Manufacturer]],2)</f>
        <v/>
      </c>
      <c r="E51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14" s="122" t="e">
        <f>VLOOKUP(Tabela_Base_Financeiro[[#This Row],[Project Code]],'COD. PROJETOS'!B:D,3,0)</f>
        <v>#N/A</v>
      </c>
      <c r="G514" s="36">
        <f>IFERROR(Tabela_Base_Financeiro[[#This Row],[PO No,]],0)</f>
        <v>0</v>
      </c>
      <c r="H514" s="36">
        <f>IFERROR(Tabela_Base_Financeiro[[#This Row],[Line No,]],0)</f>
        <v>0</v>
      </c>
      <c r="I514" s="36" t="str">
        <f>IFERROR(MID(Tabela_Base_Financeiro[[#This Row],[Manufacturer]],19,14),"")</f>
        <v/>
      </c>
      <c r="J514" s="113">
        <f>IFERROR(Tabela_Base_Financeiro[[#This Row],[Item code]],0)</f>
        <v>0</v>
      </c>
      <c r="K514" s="293">
        <f>IFERROR(Tabela_Base_Financeiro[[#This Row],[Unit Price]],0)</f>
        <v>0</v>
      </c>
      <c r="L514" s="36">
        <f>IFERROR(Tabela_Base_Financeiro[[#This Row],[AC Qty,]],0)</f>
        <v>0</v>
      </c>
      <c r="M514" s="60">
        <f>Tabela6[[#This Row],[Qty]]*Tabela6[[#This Row],[Preço]]</f>
        <v>0</v>
      </c>
      <c r="N514" s="37">
        <f>IFERROR(Tabela_Base_Financeiro[[#This Row],[Proportion]],0)</f>
        <v>0</v>
      </c>
      <c r="O514" s="60">
        <f>Tabela6[[#This Row],[Proporção]]*Tabela6[[#This Row],[Total]]</f>
        <v>0</v>
      </c>
      <c r="P514"/>
      <c r="Q514" s="59"/>
      <c r="R514" s="1"/>
    </row>
    <row r="515" spans="1:18">
      <c r="A515" s="122" t="e">
        <f>IF(VLOOKUP(Tabela6[[#This Row],[UF]],'BASE CC'!B:C,2,0)="SP",IF(Tabela6[[#This Row],[OPERADORA]]="TIM","SP TIM","SPI"),VLOOKUP(Tabela6[[#This Row],[UF]],'BASE CC'!B:C,2,0))</f>
        <v>#N/A</v>
      </c>
      <c r="B515" s="36" t="e">
        <f>VLOOKUP(Tabela_Base_Financeiro[[#This Row],[Item code]],'COD.FAT'!B:C,2,0)</f>
        <v>#N/A</v>
      </c>
      <c r="C515" s="292">
        <f>Tabela_Base_Financeiro[[#This Row],[PO Ship TO]]</f>
        <v>0</v>
      </c>
      <c r="D515" s="36" t="str">
        <f>RIGHT(Tabela_Base_Financeiro[[#This Row],[Manufacturer]],2)</f>
        <v/>
      </c>
      <c r="E51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15" s="122" t="e">
        <f>VLOOKUP(Tabela_Base_Financeiro[[#This Row],[Project Code]],'COD. PROJETOS'!B:D,3,0)</f>
        <v>#N/A</v>
      </c>
      <c r="G515" s="36">
        <f>IFERROR(Tabela_Base_Financeiro[[#This Row],[PO No,]],0)</f>
        <v>0</v>
      </c>
      <c r="H515" s="36">
        <f>IFERROR(Tabela_Base_Financeiro[[#This Row],[Line No,]],0)</f>
        <v>0</v>
      </c>
      <c r="I515" s="36" t="str">
        <f>IFERROR(MID(Tabela_Base_Financeiro[[#This Row],[Manufacturer]],19,14),"")</f>
        <v/>
      </c>
      <c r="J515" s="113">
        <f>IFERROR(Tabela_Base_Financeiro[[#This Row],[Item code]],0)</f>
        <v>0</v>
      </c>
      <c r="K515" s="293">
        <f>IFERROR(Tabela_Base_Financeiro[[#This Row],[Unit Price]],0)</f>
        <v>0</v>
      </c>
      <c r="L515" s="36">
        <f>IFERROR(Tabela_Base_Financeiro[[#This Row],[AC Qty,]],0)</f>
        <v>0</v>
      </c>
      <c r="M515" s="60">
        <f>Tabela6[[#This Row],[Qty]]*Tabela6[[#This Row],[Preço]]</f>
        <v>0</v>
      </c>
      <c r="N515" s="37">
        <f>IFERROR(Tabela_Base_Financeiro[[#This Row],[Proportion]],0)</f>
        <v>0</v>
      </c>
      <c r="O515" s="60">
        <f>Tabela6[[#This Row],[Proporção]]*Tabela6[[#This Row],[Total]]</f>
        <v>0</v>
      </c>
      <c r="P515"/>
      <c r="Q515" s="59"/>
      <c r="R515" s="1"/>
    </row>
    <row r="516" spans="1:18">
      <c r="A516" s="122" t="e">
        <f>IF(VLOOKUP(Tabela6[[#This Row],[UF]],'BASE CC'!B:C,2,0)="SP",IF(Tabela6[[#This Row],[OPERADORA]]="TIM","SP TIM","SPI"),VLOOKUP(Tabela6[[#This Row],[UF]],'BASE CC'!B:C,2,0))</f>
        <v>#N/A</v>
      </c>
      <c r="B516" s="36" t="e">
        <f>VLOOKUP(Tabela_Base_Financeiro[[#This Row],[Item code]],'COD.FAT'!B:C,2,0)</f>
        <v>#N/A</v>
      </c>
      <c r="C516" s="292">
        <f>Tabela_Base_Financeiro[[#This Row],[PO Ship TO]]</f>
        <v>0</v>
      </c>
      <c r="D516" s="36" t="str">
        <f>RIGHT(Tabela_Base_Financeiro[[#This Row],[Manufacturer]],2)</f>
        <v/>
      </c>
      <c r="E51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16" s="122" t="e">
        <f>VLOOKUP(Tabela_Base_Financeiro[[#This Row],[Project Code]],'COD. PROJETOS'!B:D,3,0)</f>
        <v>#N/A</v>
      </c>
      <c r="G516" s="36">
        <f>IFERROR(Tabela_Base_Financeiro[[#This Row],[PO No,]],0)</f>
        <v>0</v>
      </c>
      <c r="H516" s="36">
        <f>IFERROR(Tabela_Base_Financeiro[[#This Row],[Line No,]],0)</f>
        <v>0</v>
      </c>
      <c r="I516" s="36" t="str">
        <f>IFERROR(MID(Tabela_Base_Financeiro[[#This Row],[Manufacturer]],19,14),"")</f>
        <v/>
      </c>
      <c r="J516" s="113">
        <f>IFERROR(Tabela_Base_Financeiro[[#This Row],[Item code]],0)</f>
        <v>0</v>
      </c>
      <c r="K516" s="293">
        <f>IFERROR(Tabela_Base_Financeiro[[#This Row],[Unit Price]],0)</f>
        <v>0</v>
      </c>
      <c r="L516" s="36">
        <f>IFERROR(Tabela_Base_Financeiro[[#This Row],[AC Qty,]],0)</f>
        <v>0</v>
      </c>
      <c r="M516" s="60">
        <f>Tabela6[[#This Row],[Qty]]*Tabela6[[#This Row],[Preço]]</f>
        <v>0</v>
      </c>
      <c r="N516" s="37">
        <f>IFERROR(Tabela_Base_Financeiro[[#This Row],[Proportion]],0)</f>
        <v>0</v>
      </c>
      <c r="O516" s="60">
        <f>Tabela6[[#This Row],[Proporção]]*Tabela6[[#This Row],[Total]]</f>
        <v>0</v>
      </c>
      <c r="P516"/>
      <c r="Q516" s="59"/>
      <c r="R516" s="1"/>
    </row>
    <row r="517" spans="1:18">
      <c r="A517" s="122" t="e">
        <f>IF(VLOOKUP(Tabela6[[#This Row],[UF]],'BASE CC'!B:C,2,0)="SP",IF(Tabela6[[#This Row],[OPERADORA]]="TIM","SP TIM","SPI"),VLOOKUP(Tabela6[[#This Row],[UF]],'BASE CC'!B:C,2,0))</f>
        <v>#N/A</v>
      </c>
      <c r="B517" s="36" t="e">
        <f>VLOOKUP(Tabela_Base_Financeiro[[#This Row],[Item code]],'COD.FAT'!B:C,2,0)</f>
        <v>#N/A</v>
      </c>
      <c r="C517" s="292">
        <f>Tabela_Base_Financeiro[[#This Row],[PO Ship TO]]</f>
        <v>0</v>
      </c>
      <c r="D517" s="36" t="str">
        <f>RIGHT(Tabela_Base_Financeiro[[#This Row],[Manufacturer]],2)</f>
        <v/>
      </c>
      <c r="E51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17" s="122" t="e">
        <f>VLOOKUP(Tabela_Base_Financeiro[[#This Row],[Project Code]],'COD. PROJETOS'!B:D,3,0)</f>
        <v>#N/A</v>
      </c>
      <c r="G517" s="36">
        <f>IFERROR(Tabela_Base_Financeiro[[#This Row],[PO No,]],0)</f>
        <v>0</v>
      </c>
      <c r="H517" s="36">
        <f>IFERROR(Tabela_Base_Financeiro[[#This Row],[Line No,]],0)</f>
        <v>0</v>
      </c>
      <c r="I517" s="36" t="str">
        <f>IFERROR(MID(Tabela_Base_Financeiro[[#This Row],[Manufacturer]],19,14),"")</f>
        <v/>
      </c>
      <c r="J517" s="113">
        <f>IFERROR(Tabela_Base_Financeiro[[#This Row],[Item code]],0)</f>
        <v>0</v>
      </c>
      <c r="K517" s="293">
        <f>IFERROR(Tabela_Base_Financeiro[[#This Row],[Unit Price]],0)</f>
        <v>0</v>
      </c>
      <c r="L517" s="36">
        <f>IFERROR(Tabela_Base_Financeiro[[#This Row],[AC Qty,]],0)</f>
        <v>0</v>
      </c>
      <c r="M517" s="60">
        <f>Tabela6[[#This Row],[Qty]]*Tabela6[[#This Row],[Preço]]</f>
        <v>0</v>
      </c>
      <c r="N517" s="37">
        <f>IFERROR(Tabela_Base_Financeiro[[#This Row],[Proportion]],0)</f>
        <v>0</v>
      </c>
      <c r="O517" s="60">
        <f>Tabela6[[#This Row],[Proporção]]*Tabela6[[#This Row],[Total]]</f>
        <v>0</v>
      </c>
      <c r="P517"/>
      <c r="Q517" s="59"/>
      <c r="R517" s="1"/>
    </row>
    <row r="518" spans="1:18">
      <c r="A518" s="122" t="e">
        <f>IF(VLOOKUP(Tabela6[[#This Row],[UF]],'BASE CC'!B:C,2,0)="SP",IF(Tabela6[[#This Row],[OPERADORA]]="TIM","SP TIM","SPI"),VLOOKUP(Tabela6[[#This Row],[UF]],'BASE CC'!B:C,2,0))</f>
        <v>#N/A</v>
      </c>
      <c r="B518" s="36" t="e">
        <f>VLOOKUP(Tabela_Base_Financeiro[[#This Row],[Item code]],'COD.FAT'!B:C,2,0)</f>
        <v>#N/A</v>
      </c>
      <c r="C518" s="292">
        <f>Tabela_Base_Financeiro[[#This Row],[PO Ship TO]]</f>
        <v>0</v>
      </c>
      <c r="D518" s="36" t="str">
        <f>RIGHT(Tabela_Base_Financeiro[[#This Row],[Manufacturer]],2)</f>
        <v/>
      </c>
      <c r="E51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18" s="122" t="e">
        <f>VLOOKUP(Tabela_Base_Financeiro[[#This Row],[Project Code]],'COD. PROJETOS'!B:D,3,0)</f>
        <v>#N/A</v>
      </c>
      <c r="G518" s="36">
        <f>IFERROR(Tabela_Base_Financeiro[[#This Row],[PO No,]],0)</f>
        <v>0</v>
      </c>
      <c r="H518" s="36">
        <f>IFERROR(Tabela_Base_Financeiro[[#This Row],[Line No,]],0)</f>
        <v>0</v>
      </c>
      <c r="I518" s="36" t="str">
        <f>IFERROR(MID(Tabela_Base_Financeiro[[#This Row],[Manufacturer]],19,14),"")</f>
        <v/>
      </c>
      <c r="J518" s="113">
        <f>IFERROR(Tabela_Base_Financeiro[[#This Row],[Item code]],0)</f>
        <v>0</v>
      </c>
      <c r="K518" s="293">
        <f>IFERROR(Tabela_Base_Financeiro[[#This Row],[Unit Price]],0)</f>
        <v>0</v>
      </c>
      <c r="L518" s="36">
        <f>IFERROR(Tabela_Base_Financeiro[[#This Row],[AC Qty,]],0)</f>
        <v>0</v>
      </c>
      <c r="M518" s="60">
        <f>Tabela6[[#This Row],[Qty]]*Tabela6[[#This Row],[Preço]]</f>
        <v>0</v>
      </c>
      <c r="N518" s="37">
        <f>IFERROR(Tabela_Base_Financeiro[[#This Row],[Proportion]],0)</f>
        <v>0</v>
      </c>
      <c r="O518" s="60">
        <f>Tabela6[[#This Row],[Proporção]]*Tabela6[[#This Row],[Total]]</f>
        <v>0</v>
      </c>
      <c r="P518"/>
      <c r="Q518" s="59"/>
      <c r="R518" s="1"/>
    </row>
    <row r="519" spans="1:18">
      <c r="A519" s="122" t="e">
        <f>IF(VLOOKUP(Tabela6[[#This Row],[UF]],'BASE CC'!B:C,2,0)="SP",IF(Tabela6[[#This Row],[OPERADORA]]="TIM","SP TIM","SPI"),VLOOKUP(Tabela6[[#This Row],[UF]],'BASE CC'!B:C,2,0))</f>
        <v>#N/A</v>
      </c>
      <c r="B519" s="36" t="e">
        <f>VLOOKUP(Tabela_Base_Financeiro[[#This Row],[Item code]],'COD.FAT'!B:C,2,0)</f>
        <v>#N/A</v>
      </c>
      <c r="C519" s="292">
        <f>Tabela_Base_Financeiro[[#This Row],[PO Ship TO]]</f>
        <v>0</v>
      </c>
      <c r="D519" s="36" t="str">
        <f>RIGHT(Tabela_Base_Financeiro[[#This Row],[Manufacturer]],2)</f>
        <v/>
      </c>
      <c r="E51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19" s="122" t="e">
        <f>VLOOKUP(Tabela_Base_Financeiro[[#This Row],[Project Code]],'COD. PROJETOS'!B:D,3,0)</f>
        <v>#N/A</v>
      </c>
      <c r="G519" s="36">
        <f>IFERROR(Tabela_Base_Financeiro[[#This Row],[PO No,]],0)</f>
        <v>0</v>
      </c>
      <c r="H519" s="36">
        <f>IFERROR(Tabela_Base_Financeiro[[#This Row],[Line No,]],0)</f>
        <v>0</v>
      </c>
      <c r="I519" s="36" t="str">
        <f>IFERROR(MID(Tabela_Base_Financeiro[[#This Row],[Manufacturer]],19,14),"")</f>
        <v/>
      </c>
      <c r="J519" s="113">
        <f>IFERROR(Tabela_Base_Financeiro[[#This Row],[Item code]],0)</f>
        <v>0</v>
      </c>
      <c r="K519" s="293">
        <f>IFERROR(Tabela_Base_Financeiro[[#This Row],[Unit Price]],0)</f>
        <v>0</v>
      </c>
      <c r="L519" s="36">
        <f>IFERROR(Tabela_Base_Financeiro[[#This Row],[AC Qty,]],0)</f>
        <v>0</v>
      </c>
      <c r="M519" s="60">
        <f>Tabela6[[#This Row],[Qty]]*Tabela6[[#This Row],[Preço]]</f>
        <v>0</v>
      </c>
      <c r="N519" s="37">
        <f>IFERROR(Tabela_Base_Financeiro[[#This Row],[Proportion]],0)</f>
        <v>0</v>
      </c>
      <c r="O519" s="60">
        <f>Tabela6[[#This Row],[Proporção]]*Tabela6[[#This Row],[Total]]</f>
        <v>0</v>
      </c>
      <c r="P519"/>
      <c r="Q519" s="59"/>
      <c r="R519" s="1"/>
    </row>
    <row r="520" spans="1:18">
      <c r="A520" s="122" t="e">
        <f>IF(VLOOKUP(Tabela6[[#This Row],[UF]],'BASE CC'!B:C,2,0)="SP",IF(Tabela6[[#This Row],[OPERADORA]]="TIM","SP TIM","SPI"),VLOOKUP(Tabela6[[#This Row],[UF]],'BASE CC'!B:C,2,0))</f>
        <v>#N/A</v>
      </c>
      <c r="B520" s="36" t="e">
        <f>VLOOKUP(Tabela_Base_Financeiro[[#This Row],[Item code]],'COD.FAT'!B:C,2,0)</f>
        <v>#N/A</v>
      </c>
      <c r="C520" s="292">
        <f>Tabela_Base_Financeiro[[#This Row],[PO Ship TO]]</f>
        <v>0</v>
      </c>
      <c r="D520" s="36" t="str">
        <f>RIGHT(Tabela_Base_Financeiro[[#This Row],[Manufacturer]],2)</f>
        <v/>
      </c>
      <c r="E52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20" s="122" t="e">
        <f>VLOOKUP(Tabela_Base_Financeiro[[#This Row],[Project Code]],'COD. PROJETOS'!B:D,3,0)</f>
        <v>#N/A</v>
      </c>
      <c r="G520" s="36">
        <f>IFERROR(Tabela_Base_Financeiro[[#This Row],[PO No,]],0)</f>
        <v>0</v>
      </c>
      <c r="H520" s="36">
        <f>IFERROR(Tabela_Base_Financeiro[[#This Row],[Line No,]],0)</f>
        <v>0</v>
      </c>
      <c r="I520" s="36" t="str">
        <f>IFERROR(MID(Tabela_Base_Financeiro[[#This Row],[Manufacturer]],19,14),"")</f>
        <v/>
      </c>
      <c r="J520" s="113">
        <f>IFERROR(Tabela_Base_Financeiro[[#This Row],[Item code]],0)</f>
        <v>0</v>
      </c>
      <c r="K520" s="293">
        <f>IFERROR(Tabela_Base_Financeiro[[#This Row],[Unit Price]],0)</f>
        <v>0</v>
      </c>
      <c r="L520" s="36">
        <f>IFERROR(Tabela_Base_Financeiro[[#This Row],[AC Qty,]],0)</f>
        <v>0</v>
      </c>
      <c r="M520" s="60">
        <f>Tabela6[[#This Row],[Qty]]*Tabela6[[#This Row],[Preço]]</f>
        <v>0</v>
      </c>
      <c r="N520" s="37">
        <f>IFERROR(Tabela_Base_Financeiro[[#This Row],[Proportion]],0)</f>
        <v>0</v>
      </c>
      <c r="O520" s="60">
        <f>Tabela6[[#This Row],[Proporção]]*Tabela6[[#This Row],[Total]]</f>
        <v>0</v>
      </c>
      <c r="P520"/>
      <c r="Q520" s="59"/>
      <c r="R520" s="1"/>
    </row>
    <row r="521" spans="1:18">
      <c r="A521" s="122" t="e">
        <f>IF(VLOOKUP(Tabela6[[#This Row],[UF]],'BASE CC'!B:C,2,0)="SP",IF(Tabela6[[#This Row],[OPERADORA]]="TIM","SP TIM","SPI"),VLOOKUP(Tabela6[[#This Row],[UF]],'BASE CC'!B:C,2,0))</f>
        <v>#N/A</v>
      </c>
      <c r="B521" s="36" t="e">
        <f>VLOOKUP(Tabela_Base_Financeiro[[#This Row],[Item code]],'COD.FAT'!B:C,2,0)</f>
        <v>#N/A</v>
      </c>
      <c r="C521" s="292">
        <f>Tabela_Base_Financeiro[[#This Row],[PO Ship TO]]</f>
        <v>0</v>
      </c>
      <c r="D521" s="36" t="str">
        <f>RIGHT(Tabela_Base_Financeiro[[#This Row],[Manufacturer]],2)</f>
        <v/>
      </c>
      <c r="E52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21" s="122" t="e">
        <f>VLOOKUP(Tabela_Base_Financeiro[[#This Row],[Project Code]],'COD. PROJETOS'!B:D,3,0)</f>
        <v>#N/A</v>
      </c>
      <c r="G521" s="36">
        <f>IFERROR(Tabela_Base_Financeiro[[#This Row],[PO No,]],0)</f>
        <v>0</v>
      </c>
      <c r="H521" s="36">
        <f>IFERROR(Tabela_Base_Financeiro[[#This Row],[Line No,]],0)</f>
        <v>0</v>
      </c>
      <c r="I521" s="36" t="str">
        <f>IFERROR(MID(Tabela_Base_Financeiro[[#This Row],[Manufacturer]],19,14),"")</f>
        <v/>
      </c>
      <c r="J521" s="113">
        <f>IFERROR(Tabela_Base_Financeiro[[#This Row],[Item code]],0)</f>
        <v>0</v>
      </c>
      <c r="K521" s="293">
        <f>IFERROR(Tabela_Base_Financeiro[[#This Row],[Unit Price]],0)</f>
        <v>0</v>
      </c>
      <c r="L521" s="36">
        <f>IFERROR(Tabela_Base_Financeiro[[#This Row],[AC Qty,]],0)</f>
        <v>0</v>
      </c>
      <c r="M521" s="60">
        <f>Tabela6[[#This Row],[Qty]]*Tabela6[[#This Row],[Preço]]</f>
        <v>0</v>
      </c>
      <c r="N521" s="37">
        <f>IFERROR(Tabela_Base_Financeiro[[#This Row],[Proportion]],0)</f>
        <v>0</v>
      </c>
      <c r="O521" s="60">
        <f>Tabela6[[#This Row],[Proporção]]*Tabela6[[#This Row],[Total]]</f>
        <v>0</v>
      </c>
      <c r="P521"/>
      <c r="Q521" s="59"/>
      <c r="R521" s="1"/>
    </row>
    <row r="522" spans="1:18">
      <c r="A522" s="122" t="e">
        <f>IF(VLOOKUP(Tabela6[[#This Row],[UF]],'BASE CC'!B:C,2,0)="SP",IF(Tabela6[[#This Row],[OPERADORA]]="TIM","SP TIM","SPI"),VLOOKUP(Tabela6[[#This Row],[UF]],'BASE CC'!B:C,2,0))</f>
        <v>#N/A</v>
      </c>
      <c r="B522" s="36" t="e">
        <f>VLOOKUP(Tabela_Base_Financeiro[[#This Row],[Item code]],'COD.FAT'!B:C,2,0)</f>
        <v>#N/A</v>
      </c>
      <c r="C522" s="292">
        <f>Tabela_Base_Financeiro[[#This Row],[PO Ship TO]]</f>
        <v>0</v>
      </c>
      <c r="D522" s="36" t="str">
        <f>RIGHT(Tabela_Base_Financeiro[[#This Row],[Manufacturer]],2)</f>
        <v/>
      </c>
      <c r="E52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22" s="122" t="e">
        <f>VLOOKUP(Tabela_Base_Financeiro[[#This Row],[Project Code]],'COD. PROJETOS'!B:D,3,0)</f>
        <v>#N/A</v>
      </c>
      <c r="G522" s="36">
        <f>IFERROR(Tabela_Base_Financeiro[[#This Row],[PO No,]],0)</f>
        <v>0</v>
      </c>
      <c r="H522" s="36">
        <f>IFERROR(Tabela_Base_Financeiro[[#This Row],[Line No,]],0)</f>
        <v>0</v>
      </c>
      <c r="I522" s="36" t="str">
        <f>IFERROR(MID(Tabela_Base_Financeiro[[#This Row],[Manufacturer]],19,14),"")</f>
        <v/>
      </c>
      <c r="J522" s="113">
        <f>IFERROR(Tabela_Base_Financeiro[[#This Row],[Item code]],0)</f>
        <v>0</v>
      </c>
      <c r="K522" s="293">
        <f>IFERROR(Tabela_Base_Financeiro[[#This Row],[Unit Price]],0)</f>
        <v>0</v>
      </c>
      <c r="L522" s="36">
        <f>IFERROR(Tabela_Base_Financeiro[[#This Row],[AC Qty,]],0)</f>
        <v>0</v>
      </c>
      <c r="M522" s="60">
        <f>Tabela6[[#This Row],[Qty]]*Tabela6[[#This Row],[Preço]]</f>
        <v>0</v>
      </c>
      <c r="N522" s="37">
        <f>IFERROR(Tabela_Base_Financeiro[[#This Row],[Proportion]],0)</f>
        <v>0</v>
      </c>
      <c r="O522" s="60">
        <f>Tabela6[[#This Row],[Proporção]]*Tabela6[[#This Row],[Total]]</f>
        <v>0</v>
      </c>
      <c r="P522"/>
      <c r="Q522" s="59"/>
      <c r="R522" s="1"/>
    </row>
    <row r="523" spans="1:18">
      <c r="A523" s="122" t="e">
        <f>IF(VLOOKUP(Tabela6[[#This Row],[UF]],'BASE CC'!B:C,2,0)="SP",IF(Tabela6[[#This Row],[OPERADORA]]="TIM","SP TIM","SPI"),VLOOKUP(Tabela6[[#This Row],[UF]],'BASE CC'!B:C,2,0))</f>
        <v>#N/A</v>
      </c>
      <c r="B523" s="36" t="e">
        <f>VLOOKUP(Tabela_Base_Financeiro[[#This Row],[Item code]],'COD.FAT'!B:C,2,0)</f>
        <v>#N/A</v>
      </c>
      <c r="C523" s="292">
        <f>Tabela_Base_Financeiro[[#This Row],[PO Ship TO]]</f>
        <v>0</v>
      </c>
      <c r="D523" s="36" t="str">
        <f>RIGHT(Tabela_Base_Financeiro[[#This Row],[Manufacturer]],2)</f>
        <v/>
      </c>
      <c r="E52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23" s="122" t="e">
        <f>VLOOKUP(Tabela_Base_Financeiro[[#This Row],[Project Code]],'COD. PROJETOS'!B:D,3,0)</f>
        <v>#N/A</v>
      </c>
      <c r="G523" s="36">
        <f>IFERROR(Tabela_Base_Financeiro[[#This Row],[PO No,]],0)</f>
        <v>0</v>
      </c>
      <c r="H523" s="36">
        <f>IFERROR(Tabela_Base_Financeiro[[#This Row],[Line No,]],0)</f>
        <v>0</v>
      </c>
      <c r="I523" s="36" t="str">
        <f>IFERROR(MID(Tabela_Base_Financeiro[[#This Row],[Manufacturer]],19,14),"")</f>
        <v/>
      </c>
      <c r="J523" s="113">
        <f>IFERROR(Tabela_Base_Financeiro[[#This Row],[Item code]],0)</f>
        <v>0</v>
      </c>
      <c r="K523" s="293">
        <f>IFERROR(Tabela_Base_Financeiro[[#This Row],[Unit Price]],0)</f>
        <v>0</v>
      </c>
      <c r="L523" s="36">
        <f>IFERROR(Tabela_Base_Financeiro[[#This Row],[AC Qty,]],0)</f>
        <v>0</v>
      </c>
      <c r="M523" s="60">
        <f>Tabela6[[#This Row],[Qty]]*Tabela6[[#This Row],[Preço]]</f>
        <v>0</v>
      </c>
      <c r="N523" s="37">
        <f>IFERROR(Tabela_Base_Financeiro[[#This Row],[Proportion]],0)</f>
        <v>0</v>
      </c>
      <c r="O523" s="60">
        <f>Tabela6[[#This Row],[Proporção]]*Tabela6[[#This Row],[Total]]</f>
        <v>0</v>
      </c>
      <c r="P523"/>
      <c r="Q523" s="59"/>
      <c r="R523" s="1"/>
    </row>
    <row r="524" spans="1:18">
      <c r="A524" s="122" t="e">
        <f>IF(VLOOKUP(Tabela6[[#This Row],[UF]],'BASE CC'!B:C,2,0)="SP",IF(Tabela6[[#This Row],[OPERADORA]]="TIM","SP TIM","SPI"),VLOOKUP(Tabela6[[#This Row],[UF]],'BASE CC'!B:C,2,0))</f>
        <v>#N/A</v>
      </c>
      <c r="B524" s="36" t="e">
        <f>VLOOKUP(Tabela_Base_Financeiro[[#This Row],[Item code]],'COD.FAT'!B:C,2,0)</f>
        <v>#N/A</v>
      </c>
      <c r="C524" s="292">
        <f>Tabela_Base_Financeiro[[#This Row],[PO Ship TO]]</f>
        <v>0</v>
      </c>
      <c r="D524" s="36" t="str">
        <f>RIGHT(Tabela_Base_Financeiro[[#This Row],[Manufacturer]],2)</f>
        <v/>
      </c>
      <c r="E52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24" s="122" t="e">
        <f>VLOOKUP(Tabela_Base_Financeiro[[#This Row],[Project Code]],'COD. PROJETOS'!B:D,3,0)</f>
        <v>#N/A</v>
      </c>
      <c r="G524" s="36">
        <f>IFERROR(Tabela_Base_Financeiro[[#This Row],[PO No,]],0)</f>
        <v>0</v>
      </c>
      <c r="H524" s="36">
        <f>IFERROR(Tabela_Base_Financeiro[[#This Row],[Line No,]],0)</f>
        <v>0</v>
      </c>
      <c r="I524" s="36" t="str">
        <f>IFERROR(MID(Tabela_Base_Financeiro[[#This Row],[Manufacturer]],19,14),"")</f>
        <v/>
      </c>
      <c r="J524" s="113">
        <f>IFERROR(Tabela_Base_Financeiro[[#This Row],[Item code]],0)</f>
        <v>0</v>
      </c>
      <c r="K524" s="293">
        <f>IFERROR(Tabela_Base_Financeiro[[#This Row],[Unit Price]],0)</f>
        <v>0</v>
      </c>
      <c r="L524" s="36">
        <f>IFERROR(Tabela_Base_Financeiro[[#This Row],[AC Qty,]],0)</f>
        <v>0</v>
      </c>
      <c r="M524" s="60">
        <f>Tabela6[[#This Row],[Qty]]*Tabela6[[#This Row],[Preço]]</f>
        <v>0</v>
      </c>
      <c r="N524" s="37">
        <f>IFERROR(Tabela_Base_Financeiro[[#This Row],[Proportion]],0)</f>
        <v>0</v>
      </c>
      <c r="O524" s="60">
        <f>Tabela6[[#This Row],[Proporção]]*Tabela6[[#This Row],[Total]]</f>
        <v>0</v>
      </c>
      <c r="P524"/>
      <c r="Q524" s="59"/>
      <c r="R524" s="1"/>
    </row>
    <row r="525" spans="1:18">
      <c r="A525" s="122" t="e">
        <f>IF(VLOOKUP(Tabela6[[#This Row],[UF]],'BASE CC'!B:C,2,0)="SP",IF(Tabela6[[#This Row],[OPERADORA]]="TIM","SP TIM","SPI"),VLOOKUP(Tabela6[[#This Row],[UF]],'BASE CC'!B:C,2,0))</f>
        <v>#N/A</v>
      </c>
      <c r="B525" s="36" t="e">
        <f>VLOOKUP(Tabela_Base_Financeiro[[#This Row],[Item code]],'COD.FAT'!B:C,2,0)</f>
        <v>#N/A</v>
      </c>
      <c r="C525" s="292">
        <f>Tabela_Base_Financeiro[[#This Row],[PO Ship TO]]</f>
        <v>0</v>
      </c>
      <c r="D525" s="36" t="str">
        <f>RIGHT(Tabela_Base_Financeiro[[#This Row],[Manufacturer]],2)</f>
        <v/>
      </c>
      <c r="E52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25" s="122" t="e">
        <f>VLOOKUP(Tabela_Base_Financeiro[[#This Row],[Project Code]],'COD. PROJETOS'!B:D,3,0)</f>
        <v>#N/A</v>
      </c>
      <c r="G525" s="36">
        <f>IFERROR(Tabela_Base_Financeiro[[#This Row],[PO No,]],0)</f>
        <v>0</v>
      </c>
      <c r="H525" s="36">
        <f>IFERROR(Tabela_Base_Financeiro[[#This Row],[Line No,]],0)</f>
        <v>0</v>
      </c>
      <c r="I525" s="36" t="str">
        <f>IFERROR(MID(Tabela_Base_Financeiro[[#This Row],[Manufacturer]],19,14),"")</f>
        <v/>
      </c>
      <c r="J525" s="113">
        <f>IFERROR(Tabela_Base_Financeiro[[#This Row],[Item code]],0)</f>
        <v>0</v>
      </c>
      <c r="K525" s="293">
        <f>IFERROR(Tabela_Base_Financeiro[[#This Row],[Unit Price]],0)</f>
        <v>0</v>
      </c>
      <c r="L525" s="36">
        <f>IFERROR(Tabela_Base_Financeiro[[#This Row],[AC Qty,]],0)</f>
        <v>0</v>
      </c>
      <c r="M525" s="60">
        <f>Tabela6[[#This Row],[Qty]]*Tabela6[[#This Row],[Preço]]</f>
        <v>0</v>
      </c>
      <c r="N525" s="37">
        <f>IFERROR(Tabela_Base_Financeiro[[#This Row],[Proportion]],0)</f>
        <v>0</v>
      </c>
      <c r="O525" s="60">
        <f>Tabela6[[#This Row],[Proporção]]*Tabela6[[#This Row],[Total]]</f>
        <v>0</v>
      </c>
      <c r="P525"/>
      <c r="Q525" s="59"/>
      <c r="R525" s="1"/>
    </row>
    <row r="526" spans="1:18">
      <c r="A526" s="122" t="e">
        <f>IF(VLOOKUP(Tabela6[[#This Row],[UF]],'BASE CC'!B:C,2,0)="SP",IF(Tabela6[[#This Row],[OPERADORA]]="TIM","SP TIM","SPI"),VLOOKUP(Tabela6[[#This Row],[UF]],'BASE CC'!B:C,2,0))</f>
        <v>#N/A</v>
      </c>
      <c r="B526" s="36" t="e">
        <f>VLOOKUP(Tabela_Base_Financeiro[[#This Row],[Item code]],'COD.FAT'!B:C,2,0)</f>
        <v>#N/A</v>
      </c>
      <c r="C526" s="292">
        <f>Tabela_Base_Financeiro[[#This Row],[PO Ship TO]]</f>
        <v>0</v>
      </c>
      <c r="D526" s="36" t="str">
        <f>RIGHT(Tabela_Base_Financeiro[[#This Row],[Manufacturer]],2)</f>
        <v/>
      </c>
      <c r="E52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26" s="122" t="e">
        <f>VLOOKUP(Tabela_Base_Financeiro[[#This Row],[Project Code]],'COD. PROJETOS'!B:D,3,0)</f>
        <v>#N/A</v>
      </c>
      <c r="G526" s="36">
        <f>IFERROR(Tabela_Base_Financeiro[[#This Row],[PO No,]],0)</f>
        <v>0</v>
      </c>
      <c r="H526" s="36">
        <f>IFERROR(Tabela_Base_Financeiro[[#This Row],[Line No,]],0)</f>
        <v>0</v>
      </c>
      <c r="I526" s="36" t="str">
        <f>IFERROR(MID(Tabela_Base_Financeiro[[#This Row],[Manufacturer]],19,14),"")</f>
        <v/>
      </c>
      <c r="J526" s="113">
        <f>IFERROR(Tabela_Base_Financeiro[[#This Row],[Item code]],0)</f>
        <v>0</v>
      </c>
      <c r="K526" s="293">
        <f>IFERROR(Tabela_Base_Financeiro[[#This Row],[Unit Price]],0)</f>
        <v>0</v>
      </c>
      <c r="L526" s="36">
        <f>IFERROR(Tabela_Base_Financeiro[[#This Row],[AC Qty,]],0)</f>
        <v>0</v>
      </c>
      <c r="M526" s="60">
        <f>Tabela6[[#This Row],[Qty]]*Tabela6[[#This Row],[Preço]]</f>
        <v>0</v>
      </c>
      <c r="N526" s="37">
        <f>IFERROR(Tabela_Base_Financeiro[[#This Row],[Proportion]],0)</f>
        <v>0</v>
      </c>
      <c r="O526" s="60">
        <f>Tabela6[[#This Row],[Proporção]]*Tabela6[[#This Row],[Total]]</f>
        <v>0</v>
      </c>
      <c r="P526"/>
      <c r="Q526" s="59"/>
      <c r="R526" s="1"/>
    </row>
    <row r="527" spans="1:18">
      <c r="A527" s="122" t="e">
        <f>IF(VLOOKUP(Tabela6[[#This Row],[UF]],'BASE CC'!B:C,2,0)="SP",IF(Tabela6[[#This Row],[OPERADORA]]="TIM","SP TIM","SPI"),VLOOKUP(Tabela6[[#This Row],[UF]],'BASE CC'!B:C,2,0))</f>
        <v>#N/A</v>
      </c>
      <c r="B527" s="36" t="e">
        <f>VLOOKUP(Tabela_Base_Financeiro[[#This Row],[Item code]],'COD.FAT'!B:C,2,0)</f>
        <v>#N/A</v>
      </c>
      <c r="C527" s="292">
        <f>Tabela_Base_Financeiro[[#This Row],[PO Ship TO]]</f>
        <v>0</v>
      </c>
      <c r="D527" s="36" t="str">
        <f>RIGHT(Tabela_Base_Financeiro[[#This Row],[Manufacturer]],2)</f>
        <v/>
      </c>
      <c r="E52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27" s="122" t="e">
        <f>VLOOKUP(Tabela_Base_Financeiro[[#This Row],[Project Code]],'COD. PROJETOS'!B:D,3,0)</f>
        <v>#N/A</v>
      </c>
      <c r="G527" s="36">
        <f>IFERROR(Tabela_Base_Financeiro[[#This Row],[PO No,]],0)</f>
        <v>0</v>
      </c>
      <c r="H527" s="36">
        <f>IFERROR(Tabela_Base_Financeiro[[#This Row],[Line No,]],0)</f>
        <v>0</v>
      </c>
      <c r="I527" s="36" t="str">
        <f>IFERROR(MID(Tabela_Base_Financeiro[[#This Row],[Manufacturer]],19,14),"")</f>
        <v/>
      </c>
      <c r="J527" s="113">
        <f>IFERROR(Tabela_Base_Financeiro[[#This Row],[Item code]],0)</f>
        <v>0</v>
      </c>
      <c r="K527" s="293">
        <f>IFERROR(Tabela_Base_Financeiro[[#This Row],[Unit Price]],0)</f>
        <v>0</v>
      </c>
      <c r="L527" s="36">
        <f>IFERROR(Tabela_Base_Financeiro[[#This Row],[AC Qty,]],0)</f>
        <v>0</v>
      </c>
      <c r="M527" s="60">
        <f>Tabela6[[#This Row],[Qty]]*Tabela6[[#This Row],[Preço]]</f>
        <v>0</v>
      </c>
      <c r="N527" s="37">
        <f>IFERROR(Tabela_Base_Financeiro[[#This Row],[Proportion]],0)</f>
        <v>0</v>
      </c>
      <c r="O527" s="60">
        <f>Tabela6[[#This Row],[Proporção]]*Tabela6[[#This Row],[Total]]</f>
        <v>0</v>
      </c>
      <c r="P527"/>
      <c r="Q527" s="59"/>
      <c r="R527" s="1"/>
    </row>
    <row r="528" spans="1:18">
      <c r="A528" s="122" t="e">
        <f>IF(VLOOKUP(Tabela6[[#This Row],[UF]],'BASE CC'!B:C,2,0)="SP",IF(Tabela6[[#This Row],[OPERADORA]]="TIM","SP TIM","SPI"),VLOOKUP(Tabela6[[#This Row],[UF]],'BASE CC'!B:C,2,0))</f>
        <v>#N/A</v>
      </c>
      <c r="B528" s="36" t="e">
        <f>VLOOKUP(Tabela_Base_Financeiro[[#This Row],[Item code]],'COD.FAT'!B:C,2,0)</f>
        <v>#N/A</v>
      </c>
      <c r="C528" s="292">
        <f>Tabela_Base_Financeiro[[#This Row],[PO Ship TO]]</f>
        <v>0</v>
      </c>
      <c r="D528" s="36" t="str">
        <f>RIGHT(Tabela_Base_Financeiro[[#This Row],[Manufacturer]],2)</f>
        <v/>
      </c>
      <c r="E52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28" s="122" t="e">
        <f>VLOOKUP(Tabela_Base_Financeiro[[#This Row],[Project Code]],'COD. PROJETOS'!B:D,3,0)</f>
        <v>#N/A</v>
      </c>
      <c r="G528" s="36">
        <f>IFERROR(Tabela_Base_Financeiro[[#This Row],[PO No,]],0)</f>
        <v>0</v>
      </c>
      <c r="H528" s="36">
        <f>IFERROR(Tabela_Base_Financeiro[[#This Row],[Line No,]],0)</f>
        <v>0</v>
      </c>
      <c r="I528" s="36" t="str">
        <f>IFERROR(MID(Tabela_Base_Financeiro[[#This Row],[Manufacturer]],19,14),"")</f>
        <v/>
      </c>
      <c r="J528" s="113">
        <f>IFERROR(Tabela_Base_Financeiro[[#This Row],[Item code]],0)</f>
        <v>0</v>
      </c>
      <c r="K528" s="293">
        <f>IFERROR(Tabela_Base_Financeiro[[#This Row],[Unit Price]],0)</f>
        <v>0</v>
      </c>
      <c r="L528" s="36">
        <f>IFERROR(Tabela_Base_Financeiro[[#This Row],[AC Qty,]],0)</f>
        <v>0</v>
      </c>
      <c r="M528" s="60">
        <f>Tabela6[[#This Row],[Qty]]*Tabela6[[#This Row],[Preço]]</f>
        <v>0</v>
      </c>
      <c r="N528" s="37">
        <f>IFERROR(Tabela_Base_Financeiro[[#This Row],[Proportion]],0)</f>
        <v>0</v>
      </c>
      <c r="O528" s="60">
        <f>Tabela6[[#This Row],[Proporção]]*Tabela6[[#This Row],[Total]]</f>
        <v>0</v>
      </c>
      <c r="P528"/>
      <c r="Q528" s="59"/>
      <c r="R528" s="1"/>
    </row>
    <row r="529" spans="1:18">
      <c r="A529" s="122" t="e">
        <f>IF(VLOOKUP(Tabela6[[#This Row],[UF]],'BASE CC'!B:C,2,0)="SP",IF(Tabela6[[#This Row],[OPERADORA]]="TIM","SP TIM","SPI"),VLOOKUP(Tabela6[[#This Row],[UF]],'BASE CC'!B:C,2,0))</f>
        <v>#N/A</v>
      </c>
      <c r="B529" s="36" t="e">
        <f>VLOOKUP(Tabela_Base_Financeiro[[#This Row],[Item code]],'COD.FAT'!B:C,2,0)</f>
        <v>#N/A</v>
      </c>
      <c r="C529" s="292">
        <f>Tabela_Base_Financeiro[[#This Row],[PO Ship TO]]</f>
        <v>0</v>
      </c>
      <c r="D529" s="36" t="str">
        <f>RIGHT(Tabela_Base_Financeiro[[#This Row],[Manufacturer]],2)</f>
        <v/>
      </c>
      <c r="E52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29" s="122" t="e">
        <f>VLOOKUP(Tabela_Base_Financeiro[[#This Row],[Project Code]],'COD. PROJETOS'!B:D,3,0)</f>
        <v>#N/A</v>
      </c>
      <c r="G529" s="36">
        <f>IFERROR(Tabela_Base_Financeiro[[#This Row],[PO No,]],0)</f>
        <v>0</v>
      </c>
      <c r="H529" s="36">
        <f>IFERROR(Tabela_Base_Financeiro[[#This Row],[Line No,]],0)</f>
        <v>0</v>
      </c>
      <c r="I529" s="36" t="str">
        <f>IFERROR(MID(Tabela_Base_Financeiro[[#This Row],[Manufacturer]],19,14),"")</f>
        <v/>
      </c>
      <c r="J529" s="113">
        <f>IFERROR(Tabela_Base_Financeiro[[#This Row],[Item code]],0)</f>
        <v>0</v>
      </c>
      <c r="K529" s="293">
        <f>IFERROR(Tabela_Base_Financeiro[[#This Row],[Unit Price]],0)</f>
        <v>0</v>
      </c>
      <c r="L529" s="36">
        <f>IFERROR(Tabela_Base_Financeiro[[#This Row],[AC Qty,]],0)</f>
        <v>0</v>
      </c>
      <c r="M529" s="60">
        <f>Tabela6[[#This Row],[Qty]]*Tabela6[[#This Row],[Preço]]</f>
        <v>0</v>
      </c>
      <c r="N529" s="37">
        <f>IFERROR(Tabela_Base_Financeiro[[#This Row],[Proportion]],0)</f>
        <v>0</v>
      </c>
      <c r="O529" s="60">
        <f>Tabela6[[#This Row],[Proporção]]*Tabela6[[#This Row],[Total]]</f>
        <v>0</v>
      </c>
      <c r="P529"/>
      <c r="Q529" s="59"/>
      <c r="R529" s="1"/>
    </row>
    <row r="530" spans="1:18">
      <c r="A530" s="122" t="e">
        <f>IF(VLOOKUP(Tabela6[[#This Row],[UF]],'BASE CC'!B:C,2,0)="SP",IF(Tabela6[[#This Row],[OPERADORA]]="TIM","SP TIM","SPI"),VLOOKUP(Tabela6[[#This Row],[UF]],'BASE CC'!B:C,2,0))</f>
        <v>#N/A</v>
      </c>
      <c r="B530" s="36" t="e">
        <f>VLOOKUP(Tabela_Base_Financeiro[[#This Row],[Item code]],'COD.FAT'!B:C,2,0)</f>
        <v>#N/A</v>
      </c>
      <c r="C530" s="292">
        <f>Tabela_Base_Financeiro[[#This Row],[PO Ship TO]]</f>
        <v>0</v>
      </c>
      <c r="D530" s="36" t="str">
        <f>RIGHT(Tabela_Base_Financeiro[[#This Row],[Manufacturer]],2)</f>
        <v/>
      </c>
      <c r="E53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30" s="122" t="e">
        <f>VLOOKUP(Tabela_Base_Financeiro[[#This Row],[Project Code]],'COD. PROJETOS'!B:D,3,0)</f>
        <v>#N/A</v>
      </c>
      <c r="G530" s="36">
        <f>IFERROR(Tabela_Base_Financeiro[[#This Row],[PO No,]],0)</f>
        <v>0</v>
      </c>
      <c r="H530" s="36">
        <f>IFERROR(Tabela_Base_Financeiro[[#This Row],[Line No,]],0)</f>
        <v>0</v>
      </c>
      <c r="I530" s="36" t="str">
        <f>IFERROR(MID(Tabela_Base_Financeiro[[#This Row],[Manufacturer]],19,14),"")</f>
        <v/>
      </c>
      <c r="J530" s="113">
        <f>IFERROR(Tabela_Base_Financeiro[[#This Row],[Item code]],0)</f>
        <v>0</v>
      </c>
      <c r="K530" s="293">
        <f>IFERROR(Tabela_Base_Financeiro[[#This Row],[Unit Price]],0)</f>
        <v>0</v>
      </c>
      <c r="L530" s="36">
        <f>IFERROR(Tabela_Base_Financeiro[[#This Row],[AC Qty,]],0)</f>
        <v>0</v>
      </c>
      <c r="M530" s="60">
        <f>Tabela6[[#This Row],[Qty]]*Tabela6[[#This Row],[Preço]]</f>
        <v>0</v>
      </c>
      <c r="N530" s="37">
        <f>IFERROR(Tabela_Base_Financeiro[[#This Row],[Proportion]],0)</f>
        <v>0</v>
      </c>
      <c r="O530" s="60">
        <f>Tabela6[[#This Row],[Proporção]]*Tabela6[[#This Row],[Total]]</f>
        <v>0</v>
      </c>
      <c r="P530"/>
      <c r="Q530" s="59"/>
      <c r="R530" s="1"/>
    </row>
    <row r="531" spans="1:18">
      <c r="A531" s="122" t="e">
        <f>IF(VLOOKUP(Tabela6[[#This Row],[UF]],'BASE CC'!B:C,2,0)="SP",IF(Tabela6[[#This Row],[OPERADORA]]="TIM","SP TIM","SPI"),VLOOKUP(Tabela6[[#This Row],[UF]],'BASE CC'!B:C,2,0))</f>
        <v>#N/A</v>
      </c>
      <c r="B531" s="36" t="e">
        <f>VLOOKUP(Tabela_Base_Financeiro[[#This Row],[Item code]],'COD.FAT'!B:C,2,0)</f>
        <v>#N/A</v>
      </c>
      <c r="C531" s="292">
        <f>Tabela_Base_Financeiro[[#This Row],[PO Ship TO]]</f>
        <v>0</v>
      </c>
      <c r="D531" s="36" t="str">
        <f>RIGHT(Tabela_Base_Financeiro[[#This Row],[Manufacturer]],2)</f>
        <v/>
      </c>
      <c r="E53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31" s="122" t="e">
        <f>VLOOKUP(Tabela_Base_Financeiro[[#This Row],[Project Code]],'COD. PROJETOS'!B:D,3,0)</f>
        <v>#N/A</v>
      </c>
      <c r="G531" s="36">
        <f>IFERROR(Tabela_Base_Financeiro[[#This Row],[PO No,]],0)</f>
        <v>0</v>
      </c>
      <c r="H531" s="36">
        <f>IFERROR(Tabela_Base_Financeiro[[#This Row],[Line No,]],0)</f>
        <v>0</v>
      </c>
      <c r="I531" s="36" t="str">
        <f>IFERROR(MID(Tabela_Base_Financeiro[[#This Row],[Manufacturer]],19,14),"")</f>
        <v/>
      </c>
      <c r="J531" s="113">
        <f>IFERROR(Tabela_Base_Financeiro[[#This Row],[Item code]],0)</f>
        <v>0</v>
      </c>
      <c r="K531" s="293">
        <f>IFERROR(Tabela_Base_Financeiro[[#This Row],[Unit Price]],0)</f>
        <v>0</v>
      </c>
      <c r="L531" s="36">
        <f>IFERROR(Tabela_Base_Financeiro[[#This Row],[AC Qty,]],0)</f>
        <v>0</v>
      </c>
      <c r="M531" s="60">
        <f>Tabela6[[#This Row],[Qty]]*Tabela6[[#This Row],[Preço]]</f>
        <v>0</v>
      </c>
      <c r="N531" s="37">
        <f>IFERROR(Tabela_Base_Financeiro[[#This Row],[Proportion]],0)</f>
        <v>0</v>
      </c>
      <c r="O531" s="60">
        <f>Tabela6[[#This Row],[Proporção]]*Tabela6[[#This Row],[Total]]</f>
        <v>0</v>
      </c>
      <c r="P531"/>
      <c r="Q531" s="59"/>
      <c r="R531" s="1"/>
    </row>
    <row r="532" spans="1:18">
      <c r="A532" s="122" t="e">
        <f>IF(VLOOKUP(Tabela6[[#This Row],[UF]],'BASE CC'!B:C,2,0)="SP",IF(Tabela6[[#This Row],[OPERADORA]]="TIM","SP TIM","SPI"),VLOOKUP(Tabela6[[#This Row],[UF]],'BASE CC'!B:C,2,0))</f>
        <v>#N/A</v>
      </c>
      <c r="B532" s="36" t="e">
        <f>VLOOKUP(Tabela_Base_Financeiro[[#This Row],[Item code]],'COD.FAT'!B:C,2,0)</f>
        <v>#N/A</v>
      </c>
      <c r="C532" s="292">
        <f>Tabela_Base_Financeiro[[#This Row],[PO Ship TO]]</f>
        <v>0</v>
      </c>
      <c r="D532" s="36" t="str">
        <f>RIGHT(Tabela_Base_Financeiro[[#This Row],[Manufacturer]],2)</f>
        <v/>
      </c>
      <c r="E53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32" s="122" t="e">
        <f>VLOOKUP(Tabela_Base_Financeiro[[#This Row],[Project Code]],'COD. PROJETOS'!B:D,3,0)</f>
        <v>#N/A</v>
      </c>
      <c r="G532" s="36">
        <f>IFERROR(Tabela_Base_Financeiro[[#This Row],[PO No,]],0)</f>
        <v>0</v>
      </c>
      <c r="H532" s="36">
        <f>IFERROR(Tabela_Base_Financeiro[[#This Row],[Line No,]],0)</f>
        <v>0</v>
      </c>
      <c r="I532" s="36" t="str">
        <f>IFERROR(MID(Tabela_Base_Financeiro[[#This Row],[Manufacturer]],19,14),"")</f>
        <v/>
      </c>
      <c r="J532" s="113">
        <f>IFERROR(Tabela_Base_Financeiro[[#This Row],[Item code]],0)</f>
        <v>0</v>
      </c>
      <c r="K532" s="293">
        <f>IFERROR(Tabela_Base_Financeiro[[#This Row],[Unit Price]],0)</f>
        <v>0</v>
      </c>
      <c r="L532" s="36">
        <f>IFERROR(Tabela_Base_Financeiro[[#This Row],[AC Qty,]],0)</f>
        <v>0</v>
      </c>
      <c r="M532" s="60">
        <f>Tabela6[[#This Row],[Qty]]*Tabela6[[#This Row],[Preço]]</f>
        <v>0</v>
      </c>
      <c r="N532" s="37">
        <f>IFERROR(Tabela_Base_Financeiro[[#This Row],[Proportion]],0)</f>
        <v>0</v>
      </c>
      <c r="O532" s="60">
        <f>Tabela6[[#This Row],[Proporção]]*Tabela6[[#This Row],[Total]]</f>
        <v>0</v>
      </c>
      <c r="P532"/>
      <c r="Q532" s="59"/>
      <c r="R532" s="1"/>
    </row>
    <row r="533" spans="1:18">
      <c r="A533" s="122" t="e">
        <f>IF(VLOOKUP(Tabela6[[#This Row],[UF]],'BASE CC'!B:C,2,0)="SP",IF(Tabela6[[#This Row],[OPERADORA]]="TIM","SP TIM","SPI"),VLOOKUP(Tabela6[[#This Row],[UF]],'BASE CC'!B:C,2,0))</f>
        <v>#N/A</v>
      </c>
      <c r="B533" s="36" t="e">
        <f>VLOOKUP(Tabela_Base_Financeiro[[#This Row],[Item code]],'COD.FAT'!B:C,2,0)</f>
        <v>#N/A</v>
      </c>
      <c r="C533" s="292">
        <f>Tabela_Base_Financeiro[[#This Row],[PO Ship TO]]</f>
        <v>0</v>
      </c>
      <c r="D533" s="36" t="str">
        <f>RIGHT(Tabela_Base_Financeiro[[#This Row],[Manufacturer]],2)</f>
        <v/>
      </c>
      <c r="E53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33" s="122" t="e">
        <f>VLOOKUP(Tabela_Base_Financeiro[[#This Row],[Project Code]],'COD. PROJETOS'!B:D,3,0)</f>
        <v>#N/A</v>
      </c>
      <c r="G533" s="36">
        <f>IFERROR(Tabela_Base_Financeiro[[#This Row],[PO No,]],0)</f>
        <v>0</v>
      </c>
      <c r="H533" s="36">
        <f>IFERROR(Tabela_Base_Financeiro[[#This Row],[Line No,]],0)</f>
        <v>0</v>
      </c>
      <c r="I533" s="36" t="str">
        <f>IFERROR(MID(Tabela_Base_Financeiro[[#This Row],[Manufacturer]],19,14),"")</f>
        <v/>
      </c>
      <c r="J533" s="113">
        <f>IFERROR(Tabela_Base_Financeiro[[#This Row],[Item code]],0)</f>
        <v>0</v>
      </c>
      <c r="K533" s="293">
        <f>IFERROR(Tabela_Base_Financeiro[[#This Row],[Unit Price]],0)</f>
        <v>0</v>
      </c>
      <c r="L533" s="36">
        <f>IFERROR(Tabela_Base_Financeiro[[#This Row],[AC Qty,]],0)</f>
        <v>0</v>
      </c>
      <c r="M533" s="60">
        <f>Tabela6[[#This Row],[Qty]]*Tabela6[[#This Row],[Preço]]</f>
        <v>0</v>
      </c>
      <c r="N533" s="37">
        <f>IFERROR(Tabela_Base_Financeiro[[#This Row],[Proportion]],0)</f>
        <v>0</v>
      </c>
      <c r="O533" s="60">
        <f>Tabela6[[#This Row],[Proporção]]*Tabela6[[#This Row],[Total]]</f>
        <v>0</v>
      </c>
      <c r="P533"/>
      <c r="Q533" s="59"/>
      <c r="R533" s="1"/>
    </row>
    <row r="534" spans="1:18">
      <c r="A534" s="122" t="e">
        <f>IF(VLOOKUP(Tabela6[[#This Row],[UF]],'BASE CC'!B:C,2,0)="SP",IF(Tabela6[[#This Row],[OPERADORA]]="TIM","SP TIM","SPI"),VLOOKUP(Tabela6[[#This Row],[UF]],'BASE CC'!B:C,2,0))</f>
        <v>#N/A</v>
      </c>
      <c r="B534" s="36" t="e">
        <f>VLOOKUP(Tabela_Base_Financeiro[[#This Row],[Item code]],'COD.FAT'!B:C,2,0)</f>
        <v>#N/A</v>
      </c>
      <c r="C534" s="292">
        <f>Tabela_Base_Financeiro[[#This Row],[PO Ship TO]]</f>
        <v>0</v>
      </c>
      <c r="D534" s="36" t="str">
        <f>RIGHT(Tabela_Base_Financeiro[[#This Row],[Manufacturer]],2)</f>
        <v/>
      </c>
      <c r="E53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34" s="122" t="e">
        <f>VLOOKUP(Tabela_Base_Financeiro[[#This Row],[Project Code]],'COD. PROJETOS'!B:D,3,0)</f>
        <v>#N/A</v>
      </c>
      <c r="G534" s="36">
        <f>IFERROR(Tabela_Base_Financeiro[[#This Row],[PO No,]],0)</f>
        <v>0</v>
      </c>
      <c r="H534" s="36">
        <f>IFERROR(Tabela_Base_Financeiro[[#This Row],[Line No,]],0)</f>
        <v>0</v>
      </c>
      <c r="I534" s="36" t="str">
        <f>IFERROR(MID(Tabela_Base_Financeiro[[#This Row],[Manufacturer]],19,14),"")</f>
        <v/>
      </c>
      <c r="J534" s="113">
        <f>IFERROR(Tabela_Base_Financeiro[[#This Row],[Item code]],0)</f>
        <v>0</v>
      </c>
      <c r="K534" s="293">
        <f>IFERROR(Tabela_Base_Financeiro[[#This Row],[Unit Price]],0)</f>
        <v>0</v>
      </c>
      <c r="L534" s="36">
        <f>IFERROR(Tabela_Base_Financeiro[[#This Row],[AC Qty,]],0)</f>
        <v>0</v>
      </c>
      <c r="M534" s="60">
        <f>Tabela6[[#This Row],[Qty]]*Tabela6[[#This Row],[Preço]]</f>
        <v>0</v>
      </c>
      <c r="N534" s="37">
        <f>IFERROR(Tabela_Base_Financeiro[[#This Row],[Proportion]],0)</f>
        <v>0</v>
      </c>
      <c r="O534" s="60">
        <f>Tabela6[[#This Row],[Proporção]]*Tabela6[[#This Row],[Total]]</f>
        <v>0</v>
      </c>
      <c r="P534"/>
      <c r="Q534" s="59"/>
      <c r="R534" s="1"/>
    </row>
    <row r="535" spans="1:18">
      <c r="A535" s="122" t="e">
        <f>IF(VLOOKUP(Tabela6[[#This Row],[UF]],'BASE CC'!B:C,2,0)="SP",IF(Tabela6[[#This Row],[OPERADORA]]="TIM","SP TIM","SPI"),VLOOKUP(Tabela6[[#This Row],[UF]],'BASE CC'!B:C,2,0))</f>
        <v>#N/A</v>
      </c>
      <c r="B535" s="36" t="e">
        <f>VLOOKUP(Tabela_Base_Financeiro[[#This Row],[Item code]],'COD.FAT'!B:C,2,0)</f>
        <v>#N/A</v>
      </c>
      <c r="C535" s="292">
        <f>Tabela_Base_Financeiro[[#This Row],[PO Ship TO]]</f>
        <v>0</v>
      </c>
      <c r="D535" s="36" t="str">
        <f>RIGHT(Tabela_Base_Financeiro[[#This Row],[Manufacturer]],2)</f>
        <v/>
      </c>
      <c r="E53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35" s="122" t="e">
        <f>VLOOKUP(Tabela_Base_Financeiro[[#This Row],[Project Code]],'COD. PROJETOS'!B:D,3,0)</f>
        <v>#N/A</v>
      </c>
      <c r="G535" s="36">
        <f>IFERROR(Tabela_Base_Financeiro[[#This Row],[PO No,]],0)</f>
        <v>0</v>
      </c>
      <c r="H535" s="36">
        <f>IFERROR(Tabela_Base_Financeiro[[#This Row],[Line No,]],0)</f>
        <v>0</v>
      </c>
      <c r="I535" s="36" t="str">
        <f>IFERROR(MID(Tabela_Base_Financeiro[[#This Row],[Manufacturer]],19,14),"")</f>
        <v/>
      </c>
      <c r="J535" s="113">
        <f>IFERROR(Tabela_Base_Financeiro[[#This Row],[Item code]],0)</f>
        <v>0</v>
      </c>
      <c r="K535" s="293">
        <f>IFERROR(Tabela_Base_Financeiro[[#This Row],[Unit Price]],0)</f>
        <v>0</v>
      </c>
      <c r="L535" s="36">
        <f>IFERROR(Tabela_Base_Financeiro[[#This Row],[AC Qty,]],0)</f>
        <v>0</v>
      </c>
      <c r="M535" s="60">
        <f>Tabela6[[#This Row],[Qty]]*Tabela6[[#This Row],[Preço]]</f>
        <v>0</v>
      </c>
      <c r="N535" s="37">
        <f>IFERROR(Tabela_Base_Financeiro[[#This Row],[Proportion]],0)</f>
        <v>0</v>
      </c>
      <c r="O535" s="60">
        <f>Tabela6[[#This Row],[Proporção]]*Tabela6[[#This Row],[Total]]</f>
        <v>0</v>
      </c>
      <c r="P535"/>
      <c r="Q535" s="59"/>
      <c r="R535" s="1"/>
    </row>
    <row r="536" spans="1:18">
      <c r="A536" s="122" t="e">
        <f>IF(VLOOKUP(Tabela6[[#This Row],[UF]],'BASE CC'!B:C,2,0)="SP",IF(Tabela6[[#This Row],[OPERADORA]]="TIM","SP TIM","SPI"),VLOOKUP(Tabela6[[#This Row],[UF]],'BASE CC'!B:C,2,0))</f>
        <v>#N/A</v>
      </c>
      <c r="B536" s="36" t="e">
        <f>VLOOKUP(Tabela_Base_Financeiro[[#This Row],[Item code]],'COD.FAT'!B:C,2,0)</f>
        <v>#N/A</v>
      </c>
      <c r="C536" s="292">
        <f>Tabela_Base_Financeiro[[#This Row],[PO Ship TO]]</f>
        <v>0</v>
      </c>
      <c r="D536" s="36" t="str">
        <f>RIGHT(Tabela_Base_Financeiro[[#This Row],[Manufacturer]],2)</f>
        <v/>
      </c>
      <c r="E53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36" s="122" t="e">
        <f>VLOOKUP(Tabela_Base_Financeiro[[#This Row],[Project Code]],'COD. PROJETOS'!B:D,3,0)</f>
        <v>#N/A</v>
      </c>
      <c r="G536" s="36">
        <f>IFERROR(Tabela_Base_Financeiro[[#This Row],[PO No,]],0)</f>
        <v>0</v>
      </c>
      <c r="H536" s="36">
        <f>IFERROR(Tabela_Base_Financeiro[[#This Row],[Line No,]],0)</f>
        <v>0</v>
      </c>
      <c r="I536" s="36" t="str">
        <f>IFERROR(MID(Tabela_Base_Financeiro[[#This Row],[Manufacturer]],19,14),"")</f>
        <v/>
      </c>
      <c r="J536" s="113">
        <f>IFERROR(Tabela_Base_Financeiro[[#This Row],[Item code]],0)</f>
        <v>0</v>
      </c>
      <c r="K536" s="293">
        <f>IFERROR(Tabela_Base_Financeiro[[#This Row],[Unit Price]],0)</f>
        <v>0</v>
      </c>
      <c r="L536" s="36">
        <f>IFERROR(Tabela_Base_Financeiro[[#This Row],[AC Qty,]],0)</f>
        <v>0</v>
      </c>
      <c r="M536" s="60">
        <f>Tabela6[[#This Row],[Qty]]*Tabela6[[#This Row],[Preço]]</f>
        <v>0</v>
      </c>
      <c r="N536" s="37">
        <f>IFERROR(Tabela_Base_Financeiro[[#This Row],[Proportion]],0)</f>
        <v>0</v>
      </c>
      <c r="O536" s="60">
        <f>Tabela6[[#This Row],[Proporção]]*Tabela6[[#This Row],[Total]]</f>
        <v>0</v>
      </c>
      <c r="P536"/>
      <c r="Q536" s="59"/>
      <c r="R536" s="1"/>
    </row>
    <row r="537" spans="1:18">
      <c r="A537" s="122" t="e">
        <f>IF(VLOOKUP(Tabela6[[#This Row],[UF]],'BASE CC'!B:C,2,0)="SP",IF(Tabela6[[#This Row],[OPERADORA]]="TIM","SP TIM","SPI"),VLOOKUP(Tabela6[[#This Row],[UF]],'BASE CC'!B:C,2,0))</f>
        <v>#N/A</v>
      </c>
      <c r="B537" s="36" t="e">
        <f>VLOOKUP(Tabela_Base_Financeiro[[#This Row],[Item code]],'COD.FAT'!B:C,2,0)</f>
        <v>#N/A</v>
      </c>
      <c r="C537" s="292">
        <f>Tabela_Base_Financeiro[[#This Row],[PO Ship TO]]</f>
        <v>0</v>
      </c>
      <c r="D537" s="36" t="str">
        <f>RIGHT(Tabela_Base_Financeiro[[#This Row],[Manufacturer]],2)</f>
        <v/>
      </c>
      <c r="E53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37" s="122" t="e">
        <f>VLOOKUP(Tabela_Base_Financeiro[[#This Row],[Project Code]],'COD. PROJETOS'!B:D,3,0)</f>
        <v>#N/A</v>
      </c>
      <c r="G537" s="36">
        <f>IFERROR(Tabela_Base_Financeiro[[#This Row],[PO No,]],0)</f>
        <v>0</v>
      </c>
      <c r="H537" s="36">
        <f>IFERROR(Tabela_Base_Financeiro[[#This Row],[Line No,]],0)</f>
        <v>0</v>
      </c>
      <c r="I537" s="36" t="str">
        <f>IFERROR(MID(Tabela_Base_Financeiro[[#This Row],[Manufacturer]],19,14),"")</f>
        <v/>
      </c>
      <c r="J537" s="113">
        <f>IFERROR(Tabela_Base_Financeiro[[#This Row],[Item code]],0)</f>
        <v>0</v>
      </c>
      <c r="K537" s="293">
        <f>IFERROR(Tabela_Base_Financeiro[[#This Row],[Unit Price]],0)</f>
        <v>0</v>
      </c>
      <c r="L537" s="36">
        <f>IFERROR(Tabela_Base_Financeiro[[#This Row],[AC Qty,]],0)</f>
        <v>0</v>
      </c>
      <c r="M537" s="60">
        <f>Tabela6[[#This Row],[Qty]]*Tabela6[[#This Row],[Preço]]</f>
        <v>0</v>
      </c>
      <c r="N537" s="37">
        <f>IFERROR(Tabela_Base_Financeiro[[#This Row],[Proportion]],0)</f>
        <v>0</v>
      </c>
      <c r="O537" s="60">
        <f>Tabela6[[#This Row],[Proporção]]*Tabela6[[#This Row],[Total]]</f>
        <v>0</v>
      </c>
      <c r="P537"/>
      <c r="Q537" s="59"/>
      <c r="R537" s="1"/>
    </row>
    <row r="538" spans="1:18">
      <c r="A538" s="122" t="e">
        <f>IF(VLOOKUP(Tabela6[[#This Row],[UF]],'BASE CC'!B:C,2,0)="SP",IF(Tabela6[[#This Row],[OPERADORA]]="TIM","SP TIM","SPI"),VLOOKUP(Tabela6[[#This Row],[UF]],'BASE CC'!B:C,2,0))</f>
        <v>#N/A</v>
      </c>
      <c r="B538" s="36" t="e">
        <f>VLOOKUP(Tabela_Base_Financeiro[[#This Row],[Item code]],'COD.FAT'!B:C,2,0)</f>
        <v>#N/A</v>
      </c>
      <c r="C538" s="292">
        <f>Tabela_Base_Financeiro[[#This Row],[PO Ship TO]]</f>
        <v>0</v>
      </c>
      <c r="D538" s="36" t="str">
        <f>RIGHT(Tabela_Base_Financeiro[[#This Row],[Manufacturer]],2)</f>
        <v/>
      </c>
      <c r="E53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38" s="122" t="e">
        <f>VLOOKUP(Tabela_Base_Financeiro[[#This Row],[Project Code]],'COD. PROJETOS'!B:D,3,0)</f>
        <v>#N/A</v>
      </c>
      <c r="G538" s="36">
        <f>IFERROR(Tabela_Base_Financeiro[[#This Row],[PO No,]],0)</f>
        <v>0</v>
      </c>
      <c r="H538" s="36">
        <f>IFERROR(Tabela_Base_Financeiro[[#This Row],[Line No,]],0)</f>
        <v>0</v>
      </c>
      <c r="I538" s="36" t="str">
        <f>IFERROR(MID(Tabela_Base_Financeiro[[#This Row],[Manufacturer]],19,14),"")</f>
        <v/>
      </c>
      <c r="J538" s="113">
        <f>IFERROR(Tabela_Base_Financeiro[[#This Row],[Item code]],0)</f>
        <v>0</v>
      </c>
      <c r="K538" s="293">
        <f>IFERROR(Tabela_Base_Financeiro[[#This Row],[Unit Price]],0)</f>
        <v>0</v>
      </c>
      <c r="L538" s="36">
        <f>IFERROR(Tabela_Base_Financeiro[[#This Row],[AC Qty,]],0)</f>
        <v>0</v>
      </c>
      <c r="M538" s="60">
        <f>Tabela6[[#This Row],[Qty]]*Tabela6[[#This Row],[Preço]]</f>
        <v>0</v>
      </c>
      <c r="N538" s="37">
        <f>IFERROR(Tabela_Base_Financeiro[[#This Row],[Proportion]],0)</f>
        <v>0</v>
      </c>
      <c r="O538" s="60">
        <f>Tabela6[[#This Row],[Proporção]]*Tabela6[[#This Row],[Total]]</f>
        <v>0</v>
      </c>
      <c r="P538"/>
      <c r="Q538" s="59"/>
      <c r="R538" s="1"/>
    </row>
    <row r="539" spans="1:18">
      <c r="A539" s="122" t="e">
        <f>IF(VLOOKUP(Tabela6[[#This Row],[UF]],'BASE CC'!B:C,2,0)="SP",IF(Tabela6[[#This Row],[OPERADORA]]="TIM","SP TIM","SPI"),VLOOKUP(Tabela6[[#This Row],[UF]],'BASE CC'!B:C,2,0))</f>
        <v>#N/A</v>
      </c>
      <c r="B539" s="36" t="e">
        <f>VLOOKUP(Tabela_Base_Financeiro[[#This Row],[Item code]],'COD.FAT'!B:C,2,0)</f>
        <v>#N/A</v>
      </c>
      <c r="C539" s="292">
        <f>Tabela_Base_Financeiro[[#This Row],[PO Ship TO]]</f>
        <v>0</v>
      </c>
      <c r="D539" s="36" t="str">
        <f>RIGHT(Tabela_Base_Financeiro[[#This Row],[Manufacturer]],2)</f>
        <v/>
      </c>
      <c r="E53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39" s="122" t="e">
        <f>VLOOKUP(Tabela_Base_Financeiro[[#This Row],[Project Code]],'COD. PROJETOS'!B:D,3,0)</f>
        <v>#N/A</v>
      </c>
      <c r="G539" s="36">
        <f>IFERROR(Tabela_Base_Financeiro[[#This Row],[PO No,]],0)</f>
        <v>0</v>
      </c>
      <c r="H539" s="36">
        <f>IFERROR(Tabela_Base_Financeiro[[#This Row],[Line No,]],0)</f>
        <v>0</v>
      </c>
      <c r="I539" s="36" t="str">
        <f>IFERROR(MID(Tabela_Base_Financeiro[[#This Row],[Manufacturer]],19,14),"")</f>
        <v/>
      </c>
      <c r="J539" s="113">
        <f>IFERROR(Tabela_Base_Financeiro[[#This Row],[Item code]],0)</f>
        <v>0</v>
      </c>
      <c r="K539" s="293">
        <f>IFERROR(Tabela_Base_Financeiro[[#This Row],[Unit Price]],0)</f>
        <v>0</v>
      </c>
      <c r="L539" s="36">
        <f>IFERROR(Tabela_Base_Financeiro[[#This Row],[AC Qty,]],0)</f>
        <v>0</v>
      </c>
      <c r="M539" s="60">
        <f>Tabela6[[#This Row],[Qty]]*Tabela6[[#This Row],[Preço]]</f>
        <v>0</v>
      </c>
      <c r="N539" s="37">
        <f>IFERROR(Tabela_Base_Financeiro[[#This Row],[Proportion]],0)</f>
        <v>0</v>
      </c>
      <c r="O539" s="60">
        <f>Tabela6[[#This Row],[Proporção]]*Tabela6[[#This Row],[Total]]</f>
        <v>0</v>
      </c>
      <c r="P539"/>
      <c r="Q539" s="59"/>
      <c r="R539" s="1"/>
    </row>
    <row r="540" spans="1:18">
      <c r="A540" s="122" t="e">
        <f>IF(VLOOKUP(Tabela6[[#This Row],[UF]],'BASE CC'!B:C,2,0)="SP",IF(Tabela6[[#This Row],[OPERADORA]]="TIM","SP TIM","SPI"),VLOOKUP(Tabela6[[#This Row],[UF]],'BASE CC'!B:C,2,0))</f>
        <v>#N/A</v>
      </c>
      <c r="B540" s="36" t="e">
        <f>VLOOKUP(Tabela_Base_Financeiro[[#This Row],[Item code]],'COD.FAT'!B:C,2,0)</f>
        <v>#N/A</v>
      </c>
      <c r="C540" s="292">
        <f>Tabela_Base_Financeiro[[#This Row],[PO Ship TO]]</f>
        <v>0</v>
      </c>
      <c r="D540" s="36" t="str">
        <f>RIGHT(Tabela_Base_Financeiro[[#This Row],[Manufacturer]],2)</f>
        <v/>
      </c>
      <c r="E54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40" s="122" t="e">
        <f>VLOOKUP(Tabela_Base_Financeiro[[#This Row],[Project Code]],'COD. PROJETOS'!B:D,3,0)</f>
        <v>#N/A</v>
      </c>
      <c r="G540" s="36">
        <f>IFERROR(Tabela_Base_Financeiro[[#This Row],[PO No,]],0)</f>
        <v>0</v>
      </c>
      <c r="H540" s="36">
        <f>IFERROR(Tabela_Base_Financeiro[[#This Row],[Line No,]],0)</f>
        <v>0</v>
      </c>
      <c r="I540" s="36" t="str">
        <f>IFERROR(MID(Tabela_Base_Financeiro[[#This Row],[Manufacturer]],19,14),"")</f>
        <v/>
      </c>
      <c r="J540" s="113">
        <f>IFERROR(Tabela_Base_Financeiro[[#This Row],[Item code]],0)</f>
        <v>0</v>
      </c>
      <c r="K540" s="293">
        <f>IFERROR(Tabela_Base_Financeiro[[#This Row],[Unit Price]],0)</f>
        <v>0</v>
      </c>
      <c r="L540" s="36">
        <f>IFERROR(Tabela_Base_Financeiro[[#This Row],[AC Qty,]],0)</f>
        <v>0</v>
      </c>
      <c r="M540" s="60">
        <f>Tabela6[[#This Row],[Qty]]*Tabela6[[#This Row],[Preço]]</f>
        <v>0</v>
      </c>
      <c r="N540" s="37">
        <f>IFERROR(Tabela_Base_Financeiro[[#This Row],[Proportion]],0)</f>
        <v>0</v>
      </c>
      <c r="O540" s="60">
        <f>Tabela6[[#This Row],[Proporção]]*Tabela6[[#This Row],[Total]]</f>
        <v>0</v>
      </c>
      <c r="P540"/>
      <c r="Q540" s="59"/>
      <c r="R540" s="1"/>
    </row>
    <row r="541" spans="1:18">
      <c r="A541" s="122" t="e">
        <f>IF(VLOOKUP(Tabela6[[#This Row],[UF]],'BASE CC'!B:C,2,0)="SP",IF(Tabela6[[#This Row],[OPERADORA]]="TIM","SP TIM","SPI"),VLOOKUP(Tabela6[[#This Row],[UF]],'BASE CC'!B:C,2,0))</f>
        <v>#N/A</v>
      </c>
      <c r="B541" s="36" t="e">
        <f>VLOOKUP(Tabela_Base_Financeiro[[#This Row],[Item code]],'COD.FAT'!B:C,2,0)</f>
        <v>#N/A</v>
      </c>
      <c r="C541" s="292">
        <f>Tabela_Base_Financeiro[[#This Row],[PO Ship TO]]</f>
        <v>0</v>
      </c>
      <c r="D541" s="36" t="str">
        <f>RIGHT(Tabela_Base_Financeiro[[#This Row],[Manufacturer]],2)</f>
        <v/>
      </c>
      <c r="E54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41" s="122" t="e">
        <f>VLOOKUP(Tabela_Base_Financeiro[[#This Row],[Project Code]],'COD. PROJETOS'!B:D,3,0)</f>
        <v>#N/A</v>
      </c>
      <c r="G541" s="36">
        <f>IFERROR(Tabela_Base_Financeiro[[#This Row],[PO No,]],0)</f>
        <v>0</v>
      </c>
      <c r="H541" s="36">
        <f>IFERROR(Tabela_Base_Financeiro[[#This Row],[Line No,]],0)</f>
        <v>0</v>
      </c>
      <c r="I541" s="36" t="str">
        <f>IFERROR(MID(Tabela_Base_Financeiro[[#This Row],[Manufacturer]],19,14),"")</f>
        <v/>
      </c>
      <c r="J541" s="113">
        <f>IFERROR(Tabela_Base_Financeiro[[#This Row],[Item code]],0)</f>
        <v>0</v>
      </c>
      <c r="K541" s="293">
        <f>IFERROR(Tabela_Base_Financeiro[[#This Row],[Unit Price]],0)</f>
        <v>0</v>
      </c>
      <c r="L541" s="36">
        <f>IFERROR(Tabela_Base_Financeiro[[#This Row],[AC Qty,]],0)</f>
        <v>0</v>
      </c>
      <c r="M541" s="60">
        <f>Tabela6[[#This Row],[Qty]]*Tabela6[[#This Row],[Preço]]</f>
        <v>0</v>
      </c>
      <c r="N541" s="37">
        <f>IFERROR(Tabela_Base_Financeiro[[#This Row],[Proportion]],0)</f>
        <v>0</v>
      </c>
      <c r="O541" s="60">
        <f>Tabela6[[#This Row],[Proporção]]*Tabela6[[#This Row],[Total]]</f>
        <v>0</v>
      </c>
      <c r="P541"/>
      <c r="Q541" s="59"/>
      <c r="R541" s="1"/>
    </row>
    <row r="542" spans="1:18">
      <c r="A542" s="122" t="e">
        <f>IF(VLOOKUP(Tabela6[[#This Row],[UF]],'BASE CC'!B:C,2,0)="SP",IF(Tabela6[[#This Row],[OPERADORA]]="TIM","SP TIM","SPI"),VLOOKUP(Tabela6[[#This Row],[UF]],'BASE CC'!B:C,2,0))</f>
        <v>#N/A</v>
      </c>
      <c r="B542" s="36" t="e">
        <f>VLOOKUP(Tabela_Base_Financeiro[[#This Row],[Item code]],'COD.FAT'!B:C,2,0)</f>
        <v>#N/A</v>
      </c>
      <c r="C542" s="292">
        <f>Tabela_Base_Financeiro[[#This Row],[PO Ship TO]]</f>
        <v>0</v>
      </c>
      <c r="D542" s="36" t="str">
        <f>RIGHT(Tabela_Base_Financeiro[[#This Row],[Manufacturer]],2)</f>
        <v/>
      </c>
      <c r="E54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42" s="122" t="e">
        <f>VLOOKUP(Tabela_Base_Financeiro[[#This Row],[Project Code]],'COD. PROJETOS'!B:D,3,0)</f>
        <v>#N/A</v>
      </c>
      <c r="G542" s="36">
        <f>IFERROR(Tabela_Base_Financeiro[[#This Row],[PO No,]],0)</f>
        <v>0</v>
      </c>
      <c r="H542" s="36">
        <f>IFERROR(Tabela_Base_Financeiro[[#This Row],[Line No,]],0)</f>
        <v>0</v>
      </c>
      <c r="I542" s="36" t="str">
        <f>IFERROR(MID(Tabela_Base_Financeiro[[#This Row],[Manufacturer]],19,14),"")</f>
        <v/>
      </c>
      <c r="J542" s="113">
        <f>IFERROR(Tabela_Base_Financeiro[[#This Row],[Item code]],0)</f>
        <v>0</v>
      </c>
      <c r="K542" s="293">
        <f>IFERROR(Tabela_Base_Financeiro[[#This Row],[Unit Price]],0)</f>
        <v>0</v>
      </c>
      <c r="L542" s="36">
        <f>IFERROR(Tabela_Base_Financeiro[[#This Row],[AC Qty,]],0)</f>
        <v>0</v>
      </c>
      <c r="M542" s="60">
        <f>Tabela6[[#This Row],[Qty]]*Tabela6[[#This Row],[Preço]]</f>
        <v>0</v>
      </c>
      <c r="N542" s="37">
        <f>IFERROR(Tabela_Base_Financeiro[[#This Row],[Proportion]],0)</f>
        <v>0</v>
      </c>
      <c r="O542" s="60">
        <f>Tabela6[[#This Row],[Proporção]]*Tabela6[[#This Row],[Total]]</f>
        <v>0</v>
      </c>
      <c r="P542"/>
      <c r="Q542" s="59"/>
      <c r="R542" s="1"/>
    </row>
    <row r="543" spans="1:18">
      <c r="A543" s="122" t="e">
        <f>IF(VLOOKUP(Tabela6[[#This Row],[UF]],'BASE CC'!B:C,2,0)="SP",IF(Tabela6[[#This Row],[OPERADORA]]="TIM","SP TIM","SPI"),VLOOKUP(Tabela6[[#This Row],[UF]],'BASE CC'!B:C,2,0))</f>
        <v>#N/A</v>
      </c>
      <c r="B543" s="36" t="e">
        <f>VLOOKUP(Tabela_Base_Financeiro[[#This Row],[Item code]],'COD.FAT'!B:C,2,0)</f>
        <v>#N/A</v>
      </c>
      <c r="C543" s="292">
        <f>Tabela_Base_Financeiro[[#This Row],[PO Ship TO]]</f>
        <v>0</v>
      </c>
      <c r="D543" s="36" t="str">
        <f>RIGHT(Tabela_Base_Financeiro[[#This Row],[Manufacturer]],2)</f>
        <v/>
      </c>
      <c r="E54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43" s="122" t="e">
        <f>VLOOKUP(Tabela_Base_Financeiro[[#This Row],[Project Code]],'COD. PROJETOS'!B:D,3,0)</f>
        <v>#N/A</v>
      </c>
      <c r="G543" s="36">
        <f>IFERROR(Tabela_Base_Financeiro[[#This Row],[PO No,]],0)</f>
        <v>0</v>
      </c>
      <c r="H543" s="36">
        <f>IFERROR(Tabela_Base_Financeiro[[#This Row],[Line No,]],0)</f>
        <v>0</v>
      </c>
      <c r="I543" s="36" t="str">
        <f>IFERROR(MID(Tabela_Base_Financeiro[[#This Row],[Manufacturer]],19,14),"")</f>
        <v/>
      </c>
      <c r="J543" s="113">
        <f>IFERROR(Tabela_Base_Financeiro[[#This Row],[Item code]],0)</f>
        <v>0</v>
      </c>
      <c r="K543" s="293">
        <f>IFERROR(Tabela_Base_Financeiro[[#This Row],[Unit Price]],0)</f>
        <v>0</v>
      </c>
      <c r="L543" s="36">
        <f>IFERROR(Tabela_Base_Financeiro[[#This Row],[AC Qty,]],0)</f>
        <v>0</v>
      </c>
      <c r="M543" s="60">
        <f>Tabela6[[#This Row],[Qty]]*Tabela6[[#This Row],[Preço]]</f>
        <v>0</v>
      </c>
      <c r="N543" s="37">
        <f>IFERROR(Tabela_Base_Financeiro[[#This Row],[Proportion]],0)</f>
        <v>0</v>
      </c>
      <c r="O543" s="60">
        <f>Tabela6[[#This Row],[Proporção]]*Tabela6[[#This Row],[Total]]</f>
        <v>0</v>
      </c>
      <c r="P543"/>
      <c r="Q543" s="59"/>
      <c r="R543" s="1"/>
    </row>
    <row r="544" spans="1:18">
      <c r="A544" s="122" t="e">
        <f>IF(VLOOKUP(Tabela6[[#This Row],[UF]],'BASE CC'!B:C,2,0)="SP",IF(Tabela6[[#This Row],[OPERADORA]]="TIM","SP TIM","SPI"),VLOOKUP(Tabela6[[#This Row],[UF]],'BASE CC'!B:C,2,0))</f>
        <v>#N/A</v>
      </c>
      <c r="B544" s="36" t="e">
        <f>VLOOKUP(Tabela_Base_Financeiro[[#This Row],[Item code]],'COD.FAT'!B:C,2,0)</f>
        <v>#N/A</v>
      </c>
      <c r="C544" s="292">
        <f>Tabela_Base_Financeiro[[#This Row],[PO Ship TO]]</f>
        <v>0</v>
      </c>
      <c r="D544" s="36" t="str">
        <f>RIGHT(Tabela_Base_Financeiro[[#This Row],[Manufacturer]],2)</f>
        <v/>
      </c>
      <c r="E54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44" s="122" t="e">
        <f>VLOOKUP(Tabela_Base_Financeiro[[#This Row],[Project Code]],'COD. PROJETOS'!B:D,3,0)</f>
        <v>#N/A</v>
      </c>
      <c r="G544" s="36">
        <f>IFERROR(Tabela_Base_Financeiro[[#This Row],[PO No,]],0)</f>
        <v>0</v>
      </c>
      <c r="H544" s="36">
        <f>IFERROR(Tabela_Base_Financeiro[[#This Row],[Line No,]],0)</f>
        <v>0</v>
      </c>
      <c r="I544" s="36" t="str">
        <f>IFERROR(MID(Tabela_Base_Financeiro[[#This Row],[Manufacturer]],19,14),"")</f>
        <v/>
      </c>
      <c r="J544" s="113">
        <f>IFERROR(Tabela_Base_Financeiro[[#This Row],[Item code]],0)</f>
        <v>0</v>
      </c>
      <c r="K544" s="293">
        <f>IFERROR(Tabela_Base_Financeiro[[#This Row],[Unit Price]],0)</f>
        <v>0</v>
      </c>
      <c r="L544" s="36">
        <f>IFERROR(Tabela_Base_Financeiro[[#This Row],[AC Qty,]],0)</f>
        <v>0</v>
      </c>
      <c r="M544" s="60">
        <f>Tabela6[[#This Row],[Qty]]*Tabela6[[#This Row],[Preço]]</f>
        <v>0</v>
      </c>
      <c r="N544" s="37">
        <f>IFERROR(Tabela_Base_Financeiro[[#This Row],[Proportion]],0)</f>
        <v>0</v>
      </c>
      <c r="O544" s="60">
        <f>Tabela6[[#This Row],[Proporção]]*Tabela6[[#This Row],[Total]]</f>
        <v>0</v>
      </c>
      <c r="P544"/>
      <c r="Q544" s="59"/>
      <c r="R544" s="1"/>
    </row>
    <row r="545" spans="1:18">
      <c r="A545" s="122" t="e">
        <f>IF(VLOOKUP(Tabela6[[#This Row],[UF]],'BASE CC'!B:C,2,0)="SP",IF(Tabela6[[#This Row],[OPERADORA]]="TIM","SP TIM","SPI"),VLOOKUP(Tabela6[[#This Row],[UF]],'BASE CC'!B:C,2,0))</f>
        <v>#N/A</v>
      </c>
      <c r="B545" s="36" t="e">
        <f>VLOOKUP(Tabela_Base_Financeiro[[#This Row],[Item code]],'COD.FAT'!B:C,2,0)</f>
        <v>#N/A</v>
      </c>
      <c r="C545" s="292">
        <f>Tabela_Base_Financeiro[[#This Row],[PO Ship TO]]</f>
        <v>0</v>
      </c>
      <c r="D545" s="36" t="str">
        <f>RIGHT(Tabela_Base_Financeiro[[#This Row],[Manufacturer]],2)</f>
        <v/>
      </c>
      <c r="E54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45" s="122" t="e">
        <f>VLOOKUP(Tabela_Base_Financeiro[[#This Row],[Project Code]],'COD. PROJETOS'!B:D,3,0)</f>
        <v>#N/A</v>
      </c>
      <c r="G545" s="36">
        <f>IFERROR(Tabela_Base_Financeiro[[#This Row],[PO No,]],0)</f>
        <v>0</v>
      </c>
      <c r="H545" s="36">
        <f>IFERROR(Tabela_Base_Financeiro[[#This Row],[Line No,]],0)</f>
        <v>0</v>
      </c>
      <c r="I545" s="36" t="str">
        <f>IFERROR(MID(Tabela_Base_Financeiro[[#This Row],[Manufacturer]],19,14),"")</f>
        <v/>
      </c>
      <c r="J545" s="113">
        <f>IFERROR(Tabela_Base_Financeiro[[#This Row],[Item code]],0)</f>
        <v>0</v>
      </c>
      <c r="K545" s="293">
        <f>IFERROR(Tabela_Base_Financeiro[[#This Row],[Unit Price]],0)</f>
        <v>0</v>
      </c>
      <c r="L545" s="36">
        <f>IFERROR(Tabela_Base_Financeiro[[#This Row],[AC Qty,]],0)</f>
        <v>0</v>
      </c>
      <c r="M545" s="60">
        <f>Tabela6[[#This Row],[Qty]]*Tabela6[[#This Row],[Preço]]</f>
        <v>0</v>
      </c>
      <c r="N545" s="37">
        <f>IFERROR(Tabela_Base_Financeiro[[#This Row],[Proportion]],0)</f>
        <v>0</v>
      </c>
      <c r="O545" s="60">
        <f>Tabela6[[#This Row],[Proporção]]*Tabela6[[#This Row],[Total]]</f>
        <v>0</v>
      </c>
      <c r="P545"/>
      <c r="Q545" s="59"/>
      <c r="R545" s="1"/>
    </row>
    <row r="546" spans="1:18">
      <c r="A546" s="122" t="e">
        <f>IF(VLOOKUP(Tabela6[[#This Row],[UF]],'BASE CC'!B:C,2,0)="SP",IF(Tabela6[[#This Row],[OPERADORA]]="TIM","SP TIM","SPI"),VLOOKUP(Tabela6[[#This Row],[UF]],'BASE CC'!B:C,2,0))</f>
        <v>#N/A</v>
      </c>
      <c r="B546" s="36" t="e">
        <f>VLOOKUP(Tabela_Base_Financeiro[[#This Row],[Item code]],'COD.FAT'!B:C,2,0)</f>
        <v>#N/A</v>
      </c>
      <c r="C546" s="292">
        <f>Tabela_Base_Financeiro[[#This Row],[PO Ship TO]]</f>
        <v>0</v>
      </c>
      <c r="D546" s="36" t="str">
        <f>RIGHT(Tabela_Base_Financeiro[[#This Row],[Manufacturer]],2)</f>
        <v/>
      </c>
      <c r="E54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46" s="122" t="e">
        <f>VLOOKUP(Tabela_Base_Financeiro[[#This Row],[Project Code]],'COD. PROJETOS'!B:D,3,0)</f>
        <v>#N/A</v>
      </c>
      <c r="G546" s="36">
        <f>IFERROR(Tabela_Base_Financeiro[[#This Row],[PO No,]],0)</f>
        <v>0</v>
      </c>
      <c r="H546" s="36">
        <f>IFERROR(Tabela_Base_Financeiro[[#This Row],[Line No,]],0)</f>
        <v>0</v>
      </c>
      <c r="I546" s="36" t="str">
        <f>IFERROR(MID(Tabela_Base_Financeiro[[#This Row],[Manufacturer]],19,14),"")</f>
        <v/>
      </c>
      <c r="J546" s="113">
        <f>IFERROR(Tabela_Base_Financeiro[[#This Row],[Item code]],0)</f>
        <v>0</v>
      </c>
      <c r="K546" s="293">
        <f>IFERROR(Tabela_Base_Financeiro[[#This Row],[Unit Price]],0)</f>
        <v>0</v>
      </c>
      <c r="L546" s="36">
        <f>IFERROR(Tabela_Base_Financeiro[[#This Row],[AC Qty,]],0)</f>
        <v>0</v>
      </c>
      <c r="M546" s="60">
        <f>Tabela6[[#This Row],[Qty]]*Tabela6[[#This Row],[Preço]]</f>
        <v>0</v>
      </c>
      <c r="N546" s="37">
        <f>IFERROR(Tabela_Base_Financeiro[[#This Row],[Proportion]],0)</f>
        <v>0</v>
      </c>
      <c r="O546" s="60">
        <f>Tabela6[[#This Row],[Proporção]]*Tabela6[[#This Row],[Total]]</f>
        <v>0</v>
      </c>
      <c r="P546"/>
      <c r="Q546" s="59"/>
      <c r="R546" s="1"/>
    </row>
    <row r="547" spans="1:18">
      <c r="A547" s="122" t="e">
        <f>IF(VLOOKUP(Tabela6[[#This Row],[UF]],'BASE CC'!B:C,2,0)="SP",IF(Tabela6[[#This Row],[OPERADORA]]="TIM","SP TIM","SPI"),VLOOKUP(Tabela6[[#This Row],[UF]],'BASE CC'!B:C,2,0))</f>
        <v>#N/A</v>
      </c>
      <c r="B547" s="36" t="e">
        <f>VLOOKUP(Tabela_Base_Financeiro[[#This Row],[Item code]],'COD.FAT'!B:C,2,0)</f>
        <v>#N/A</v>
      </c>
      <c r="C547" s="292">
        <f>Tabela_Base_Financeiro[[#This Row],[PO Ship TO]]</f>
        <v>0</v>
      </c>
      <c r="D547" s="36" t="str">
        <f>RIGHT(Tabela_Base_Financeiro[[#This Row],[Manufacturer]],2)</f>
        <v/>
      </c>
      <c r="E54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47" s="122" t="e">
        <f>VLOOKUP(Tabela_Base_Financeiro[[#This Row],[Project Code]],'COD. PROJETOS'!B:D,3,0)</f>
        <v>#N/A</v>
      </c>
      <c r="G547" s="36">
        <f>IFERROR(Tabela_Base_Financeiro[[#This Row],[PO No,]],0)</f>
        <v>0</v>
      </c>
      <c r="H547" s="36">
        <f>IFERROR(Tabela_Base_Financeiro[[#This Row],[Line No,]],0)</f>
        <v>0</v>
      </c>
      <c r="I547" s="36" t="str">
        <f>IFERROR(MID(Tabela_Base_Financeiro[[#This Row],[Manufacturer]],19,14),"")</f>
        <v/>
      </c>
      <c r="J547" s="113">
        <f>IFERROR(Tabela_Base_Financeiro[[#This Row],[Item code]],0)</f>
        <v>0</v>
      </c>
      <c r="K547" s="293">
        <f>IFERROR(Tabela_Base_Financeiro[[#This Row],[Unit Price]],0)</f>
        <v>0</v>
      </c>
      <c r="L547" s="36">
        <f>IFERROR(Tabela_Base_Financeiro[[#This Row],[AC Qty,]],0)</f>
        <v>0</v>
      </c>
      <c r="M547" s="60">
        <f>Tabela6[[#This Row],[Qty]]*Tabela6[[#This Row],[Preço]]</f>
        <v>0</v>
      </c>
      <c r="N547" s="37">
        <f>IFERROR(Tabela_Base_Financeiro[[#This Row],[Proportion]],0)</f>
        <v>0</v>
      </c>
      <c r="O547" s="60">
        <f>Tabela6[[#This Row],[Proporção]]*Tabela6[[#This Row],[Total]]</f>
        <v>0</v>
      </c>
      <c r="P547"/>
      <c r="Q547" s="59"/>
      <c r="R547" s="1"/>
    </row>
    <row r="548" spans="1:18">
      <c r="A548" s="122" t="e">
        <f>IF(VLOOKUP(Tabela6[[#This Row],[UF]],'BASE CC'!B:C,2,0)="SP",IF(Tabela6[[#This Row],[OPERADORA]]="TIM","SP TIM","SPI"),VLOOKUP(Tabela6[[#This Row],[UF]],'BASE CC'!B:C,2,0))</f>
        <v>#N/A</v>
      </c>
      <c r="B548" s="36" t="e">
        <f>VLOOKUP(Tabela_Base_Financeiro[[#This Row],[Item code]],'COD.FAT'!B:C,2,0)</f>
        <v>#N/A</v>
      </c>
      <c r="C548" s="292">
        <f>Tabela_Base_Financeiro[[#This Row],[PO Ship TO]]</f>
        <v>0</v>
      </c>
      <c r="D548" s="36" t="str">
        <f>RIGHT(Tabela_Base_Financeiro[[#This Row],[Manufacturer]],2)</f>
        <v/>
      </c>
      <c r="E54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48" s="122" t="e">
        <f>VLOOKUP(Tabela_Base_Financeiro[[#This Row],[Project Code]],'COD. PROJETOS'!B:D,3,0)</f>
        <v>#N/A</v>
      </c>
      <c r="G548" s="36">
        <f>IFERROR(Tabela_Base_Financeiro[[#This Row],[PO No,]],0)</f>
        <v>0</v>
      </c>
      <c r="H548" s="36">
        <f>IFERROR(Tabela_Base_Financeiro[[#This Row],[Line No,]],0)</f>
        <v>0</v>
      </c>
      <c r="I548" s="36" t="str">
        <f>IFERROR(MID(Tabela_Base_Financeiro[[#This Row],[Manufacturer]],19,14),"")</f>
        <v/>
      </c>
      <c r="J548" s="113">
        <f>IFERROR(Tabela_Base_Financeiro[[#This Row],[Item code]],0)</f>
        <v>0</v>
      </c>
      <c r="K548" s="293">
        <f>IFERROR(Tabela_Base_Financeiro[[#This Row],[Unit Price]],0)</f>
        <v>0</v>
      </c>
      <c r="L548" s="36">
        <f>IFERROR(Tabela_Base_Financeiro[[#This Row],[AC Qty,]],0)</f>
        <v>0</v>
      </c>
      <c r="M548" s="60">
        <f>Tabela6[[#This Row],[Qty]]*Tabela6[[#This Row],[Preço]]</f>
        <v>0</v>
      </c>
      <c r="N548" s="37">
        <f>IFERROR(Tabela_Base_Financeiro[[#This Row],[Proportion]],0)</f>
        <v>0</v>
      </c>
      <c r="O548" s="60">
        <f>Tabela6[[#This Row],[Proporção]]*Tabela6[[#This Row],[Total]]</f>
        <v>0</v>
      </c>
      <c r="P548"/>
      <c r="Q548" s="59"/>
      <c r="R548" s="1"/>
    </row>
    <row r="549" spans="1:18">
      <c r="A549" s="122" t="e">
        <f>IF(VLOOKUP(Tabela6[[#This Row],[UF]],'BASE CC'!B:C,2,0)="SP",IF(Tabela6[[#This Row],[OPERADORA]]="TIM","SP TIM","SPI"),VLOOKUP(Tabela6[[#This Row],[UF]],'BASE CC'!B:C,2,0))</f>
        <v>#N/A</v>
      </c>
      <c r="B549" s="36" t="e">
        <f>VLOOKUP(Tabela_Base_Financeiro[[#This Row],[Item code]],'COD.FAT'!B:C,2,0)</f>
        <v>#N/A</v>
      </c>
      <c r="C549" s="292">
        <f>Tabela_Base_Financeiro[[#This Row],[PO Ship TO]]</f>
        <v>0</v>
      </c>
      <c r="D549" s="36" t="str">
        <f>RIGHT(Tabela_Base_Financeiro[[#This Row],[Manufacturer]],2)</f>
        <v/>
      </c>
      <c r="E54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49" s="122" t="e">
        <f>VLOOKUP(Tabela_Base_Financeiro[[#This Row],[Project Code]],'COD. PROJETOS'!B:D,3,0)</f>
        <v>#N/A</v>
      </c>
      <c r="G549" s="36">
        <f>IFERROR(Tabela_Base_Financeiro[[#This Row],[PO No,]],0)</f>
        <v>0</v>
      </c>
      <c r="H549" s="36">
        <f>IFERROR(Tabela_Base_Financeiro[[#This Row],[Line No,]],0)</f>
        <v>0</v>
      </c>
      <c r="I549" s="36" t="str">
        <f>IFERROR(MID(Tabela_Base_Financeiro[[#This Row],[Manufacturer]],19,14),"")</f>
        <v/>
      </c>
      <c r="J549" s="113">
        <f>IFERROR(Tabela_Base_Financeiro[[#This Row],[Item code]],0)</f>
        <v>0</v>
      </c>
      <c r="K549" s="293">
        <f>IFERROR(Tabela_Base_Financeiro[[#This Row],[Unit Price]],0)</f>
        <v>0</v>
      </c>
      <c r="L549" s="36">
        <f>IFERROR(Tabela_Base_Financeiro[[#This Row],[AC Qty,]],0)</f>
        <v>0</v>
      </c>
      <c r="M549" s="60">
        <f>Tabela6[[#This Row],[Qty]]*Tabela6[[#This Row],[Preço]]</f>
        <v>0</v>
      </c>
      <c r="N549" s="37">
        <f>IFERROR(Tabela_Base_Financeiro[[#This Row],[Proportion]],0)</f>
        <v>0</v>
      </c>
      <c r="O549" s="60">
        <f>Tabela6[[#This Row],[Proporção]]*Tabela6[[#This Row],[Total]]</f>
        <v>0</v>
      </c>
      <c r="P549"/>
      <c r="Q549" s="59"/>
      <c r="R549" s="1"/>
    </row>
    <row r="550" spans="1:18">
      <c r="A550" s="122" t="e">
        <f>IF(VLOOKUP(Tabela6[[#This Row],[UF]],'BASE CC'!B:C,2,0)="SP",IF(Tabela6[[#This Row],[OPERADORA]]="TIM","SP TIM","SPI"),VLOOKUP(Tabela6[[#This Row],[UF]],'BASE CC'!B:C,2,0))</f>
        <v>#N/A</v>
      </c>
      <c r="B550" s="36" t="e">
        <f>VLOOKUP(Tabela_Base_Financeiro[[#This Row],[Item code]],'COD.FAT'!B:C,2,0)</f>
        <v>#N/A</v>
      </c>
      <c r="C550" s="292">
        <f>Tabela_Base_Financeiro[[#This Row],[PO Ship TO]]</f>
        <v>0</v>
      </c>
      <c r="D550" s="36" t="str">
        <f>RIGHT(Tabela_Base_Financeiro[[#This Row],[Manufacturer]],2)</f>
        <v/>
      </c>
      <c r="E55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50" s="122" t="e">
        <f>VLOOKUP(Tabela_Base_Financeiro[[#This Row],[Project Code]],'COD. PROJETOS'!B:D,3,0)</f>
        <v>#N/A</v>
      </c>
      <c r="G550" s="36">
        <f>IFERROR(Tabela_Base_Financeiro[[#This Row],[PO No,]],0)</f>
        <v>0</v>
      </c>
      <c r="H550" s="36">
        <f>IFERROR(Tabela_Base_Financeiro[[#This Row],[Line No,]],0)</f>
        <v>0</v>
      </c>
      <c r="I550" s="36" t="str">
        <f>IFERROR(MID(Tabela_Base_Financeiro[[#This Row],[Manufacturer]],19,14),"")</f>
        <v/>
      </c>
      <c r="J550" s="113">
        <f>IFERROR(Tabela_Base_Financeiro[[#This Row],[Item code]],0)</f>
        <v>0</v>
      </c>
      <c r="K550" s="293">
        <f>IFERROR(Tabela_Base_Financeiro[[#This Row],[Unit Price]],0)</f>
        <v>0</v>
      </c>
      <c r="L550" s="36">
        <f>IFERROR(Tabela_Base_Financeiro[[#This Row],[AC Qty,]],0)</f>
        <v>0</v>
      </c>
      <c r="M550" s="60">
        <f>Tabela6[[#This Row],[Qty]]*Tabela6[[#This Row],[Preço]]</f>
        <v>0</v>
      </c>
      <c r="N550" s="37">
        <f>IFERROR(Tabela_Base_Financeiro[[#This Row],[Proportion]],0)</f>
        <v>0</v>
      </c>
      <c r="O550" s="60">
        <f>Tabela6[[#This Row],[Proporção]]*Tabela6[[#This Row],[Total]]</f>
        <v>0</v>
      </c>
      <c r="P550"/>
      <c r="Q550" s="59"/>
      <c r="R550" s="1"/>
    </row>
    <row r="551" spans="1:18">
      <c r="A551" s="122" t="e">
        <f>IF(VLOOKUP(Tabela6[[#This Row],[UF]],'BASE CC'!B:C,2,0)="SP",IF(Tabela6[[#This Row],[OPERADORA]]="TIM","SP TIM","SPI"),VLOOKUP(Tabela6[[#This Row],[UF]],'BASE CC'!B:C,2,0))</f>
        <v>#N/A</v>
      </c>
      <c r="B551" s="36" t="e">
        <f>VLOOKUP(Tabela_Base_Financeiro[[#This Row],[Item code]],'COD.FAT'!B:C,2,0)</f>
        <v>#N/A</v>
      </c>
      <c r="C551" s="292">
        <f>Tabela_Base_Financeiro[[#This Row],[PO Ship TO]]</f>
        <v>0</v>
      </c>
      <c r="D551" s="36" t="str">
        <f>RIGHT(Tabela_Base_Financeiro[[#This Row],[Manufacturer]],2)</f>
        <v/>
      </c>
      <c r="E55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51" s="122" t="e">
        <f>VLOOKUP(Tabela_Base_Financeiro[[#This Row],[Project Code]],'COD. PROJETOS'!B:D,3,0)</f>
        <v>#N/A</v>
      </c>
      <c r="G551" s="36">
        <f>IFERROR(Tabela_Base_Financeiro[[#This Row],[PO No,]],0)</f>
        <v>0</v>
      </c>
      <c r="H551" s="36">
        <f>IFERROR(Tabela_Base_Financeiro[[#This Row],[Line No,]],0)</f>
        <v>0</v>
      </c>
      <c r="I551" s="36" t="str">
        <f>IFERROR(MID(Tabela_Base_Financeiro[[#This Row],[Manufacturer]],19,14),"")</f>
        <v/>
      </c>
      <c r="J551" s="113">
        <f>IFERROR(Tabela_Base_Financeiro[[#This Row],[Item code]],0)</f>
        <v>0</v>
      </c>
      <c r="K551" s="293">
        <f>IFERROR(Tabela_Base_Financeiro[[#This Row],[Unit Price]],0)</f>
        <v>0</v>
      </c>
      <c r="L551" s="36">
        <f>IFERROR(Tabela_Base_Financeiro[[#This Row],[AC Qty,]],0)</f>
        <v>0</v>
      </c>
      <c r="M551" s="60">
        <f>Tabela6[[#This Row],[Qty]]*Tabela6[[#This Row],[Preço]]</f>
        <v>0</v>
      </c>
      <c r="N551" s="37">
        <f>IFERROR(Tabela_Base_Financeiro[[#This Row],[Proportion]],0)</f>
        <v>0</v>
      </c>
      <c r="O551" s="60">
        <f>Tabela6[[#This Row],[Proporção]]*Tabela6[[#This Row],[Total]]</f>
        <v>0</v>
      </c>
      <c r="P551"/>
      <c r="Q551" s="59"/>
      <c r="R551" s="1"/>
    </row>
    <row r="552" spans="1:18">
      <c r="A552" s="122" t="e">
        <f>IF(VLOOKUP(Tabela6[[#This Row],[UF]],'BASE CC'!B:C,2,0)="SP",IF(Tabela6[[#This Row],[OPERADORA]]="TIM","SP TIM","SPI"),VLOOKUP(Tabela6[[#This Row],[UF]],'BASE CC'!B:C,2,0))</f>
        <v>#N/A</v>
      </c>
      <c r="B552" s="36" t="e">
        <f>VLOOKUP(Tabela_Base_Financeiro[[#This Row],[Item code]],'COD.FAT'!B:C,2,0)</f>
        <v>#N/A</v>
      </c>
      <c r="C552" s="292">
        <f>Tabela_Base_Financeiro[[#This Row],[PO Ship TO]]</f>
        <v>0</v>
      </c>
      <c r="D552" s="36" t="str">
        <f>RIGHT(Tabela_Base_Financeiro[[#This Row],[Manufacturer]],2)</f>
        <v/>
      </c>
      <c r="E55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52" s="122" t="e">
        <f>VLOOKUP(Tabela_Base_Financeiro[[#This Row],[Project Code]],'COD. PROJETOS'!B:D,3,0)</f>
        <v>#N/A</v>
      </c>
      <c r="G552" s="36">
        <f>IFERROR(Tabela_Base_Financeiro[[#This Row],[PO No,]],0)</f>
        <v>0</v>
      </c>
      <c r="H552" s="36">
        <f>IFERROR(Tabela_Base_Financeiro[[#This Row],[Line No,]],0)</f>
        <v>0</v>
      </c>
      <c r="I552" s="36" t="str">
        <f>IFERROR(MID(Tabela_Base_Financeiro[[#This Row],[Manufacturer]],19,14),"")</f>
        <v/>
      </c>
      <c r="J552" s="113">
        <f>IFERROR(Tabela_Base_Financeiro[[#This Row],[Item code]],0)</f>
        <v>0</v>
      </c>
      <c r="K552" s="293">
        <f>IFERROR(Tabela_Base_Financeiro[[#This Row],[Unit Price]],0)</f>
        <v>0</v>
      </c>
      <c r="L552" s="36">
        <f>IFERROR(Tabela_Base_Financeiro[[#This Row],[AC Qty,]],0)</f>
        <v>0</v>
      </c>
      <c r="M552" s="60">
        <f>Tabela6[[#This Row],[Qty]]*Tabela6[[#This Row],[Preço]]</f>
        <v>0</v>
      </c>
      <c r="N552" s="37">
        <f>IFERROR(Tabela_Base_Financeiro[[#This Row],[Proportion]],0)</f>
        <v>0</v>
      </c>
      <c r="O552" s="60">
        <f>Tabela6[[#This Row],[Proporção]]*Tabela6[[#This Row],[Total]]</f>
        <v>0</v>
      </c>
      <c r="P552"/>
      <c r="Q552" s="59"/>
      <c r="R552" s="1"/>
    </row>
    <row r="553" spans="1:18">
      <c r="A553" s="122" t="e">
        <f>IF(VLOOKUP(Tabela6[[#This Row],[UF]],'BASE CC'!B:C,2,0)="SP",IF(Tabela6[[#This Row],[OPERADORA]]="TIM","SP TIM","SPI"),VLOOKUP(Tabela6[[#This Row],[UF]],'BASE CC'!B:C,2,0))</f>
        <v>#N/A</v>
      </c>
      <c r="B553" s="36" t="e">
        <f>VLOOKUP(Tabela_Base_Financeiro[[#This Row],[Item code]],'COD.FAT'!B:C,2,0)</f>
        <v>#N/A</v>
      </c>
      <c r="C553" s="292">
        <f>Tabela_Base_Financeiro[[#This Row],[PO Ship TO]]</f>
        <v>0</v>
      </c>
      <c r="D553" s="36" t="str">
        <f>RIGHT(Tabela_Base_Financeiro[[#This Row],[Manufacturer]],2)</f>
        <v/>
      </c>
      <c r="E55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53" s="122" t="e">
        <f>VLOOKUP(Tabela_Base_Financeiro[[#This Row],[Project Code]],'COD. PROJETOS'!B:D,3,0)</f>
        <v>#N/A</v>
      </c>
      <c r="G553" s="36">
        <f>IFERROR(Tabela_Base_Financeiro[[#This Row],[PO No,]],0)</f>
        <v>0</v>
      </c>
      <c r="H553" s="36">
        <f>IFERROR(Tabela_Base_Financeiro[[#This Row],[Line No,]],0)</f>
        <v>0</v>
      </c>
      <c r="I553" s="36" t="str">
        <f>IFERROR(MID(Tabela_Base_Financeiro[[#This Row],[Manufacturer]],19,14),"")</f>
        <v/>
      </c>
      <c r="J553" s="113">
        <f>IFERROR(Tabela_Base_Financeiro[[#This Row],[Item code]],0)</f>
        <v>0</v>
      </c>
      <c r="K553" s="293">
        <f>IFERROR(Tabela_Base_Financeiro[[#This Row],[Unit Price]],0)</f>
        <v>0</v>
      </c>
      <c r="L553" s="36">
        <f>IFERROR(Tabela_Base_Financeiro[[#This Row],[AC Qty,]],0)</f>
        <v>0</v>
      </c>
      <c r="M553" s="60">
        <f>Tabela6[[#This Row],[Qty]]*Tabela6[[#This Row],[Preço]]</f>
        <v>0</v>
      </c>
      <c r="N553" s="37">
        <f>IFERROR(Tabela_Base_Financeiro[[#This Row],[Proportion]],0)</f>
        <v>0</v>
      </c>
      <c r="O553" s="60">
        <f>Tabela6[[#This Row],[Proporção]]*Tabela6[[#This Row],[Total]]</f>
        <v>0</v>
      </c>
      <c r="P553"/>
      <c r="Q553" s="59"/>
      <c r="R553" s="1"/>
    </row>
    <row r="554" spans="1:18">
      <c r="A554" s="122" t="e">
        <f>IF(VLOOKUP(Tabela6[[#This Row],[UF]],'BASE CC'!B:C,2,0)="SP",IF(Tabela6[[#This Row],[OPERADORA]]="TIM","SP TIM","SPI"),VLOOKUP(Tabela6[[#This Row],[UF]],'BASE CC'!B:C,2,0))</f>
        <v>#N/A</v>
      </c>
      <c r="B554" s="36" t="e">
        <f>VLOOKUP(Tabela_Base_Financeiro[[#This Row],[Item code]],'COD.FAT'!B:C,2,0)</f>
        <v>#N/A</v>
      </c>
      <c r="C554" s="292">
        <f>Tabela_Base_Financeiro[[#This Row],[PO Ship TO]]</f>
        <v>0</v>
      </c>
      <c r="D554" s="36" t="str">
        <f>RIGHT(Tabela_Base_Financeiro[[#This Row],[Manufacturer]],2)</f>
        <v/>
      </c>
      <c r="E55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54" s="122" t="e">
        <f>VLOOKUP(Tabela_Base_Financeiro[[#This Row],[Project Code]],'COD. PROJETOS'!B:D,3,0)</f>
        <v>#N/A</v>
      </c>
      <c r="G554" s="36">
        <f>IFERROR(Tabela_Base_Financeiro[[#This Row],[PO No,]],0)</f>
        <v>0</v>
      </c>
      <c r="H554" s="36">
        <f>IFERROR(Tabela_Base_Financeiro[[#This Row],[Line No,]],0)</f>
        <v>0</v>
      </c>
      <c r="I554" s="36" t="str">
        <f>IFERROR(MID(Tabela_Base_Financeiro[[#This Row],[Manufacturer]],19,14),"")</f>
        <v/>
      </c>
      <c r="J554" s="113">
        <f>IFERROR(Tabela_Base_Financeiro[[#This Row],[Item code]],0)</f>
        <v>0</v>
      </c>
      <c r="K554" s="293">
        <f>IFERROR(Tabela_Base_Financeiro[[#This Row],[Unit Price]],0)</f>
        <v>0</v>
      </c>
      <c r="L554" s="36">
        <f>IFERROR(Tabela_Base_Financeiro[[#This Row],[AC Qty,]],0)</f>
        <v>0</v>
      </c>
      <c r="M554" s="60">
        <f>Tabela6[[#This Row],[Qty]]*Tabela6[[#This Row],[Preço]]</f>
        <v>0</v>
      </c>
      <c r="N554" s="37">
        <f>IFERROR(Tabela_Base_Financeiro[[#This Row],[Proportion]],0)</f>
        <v>0</v>
      </c>
      <c r="O554" s="60">
        <f>Tabela6[[#This Row],[Proporção]]*Tabela6[[#This Row],[Total]]</f>
        <v>0</v>
      </c>
      <c r="P554"/>
      <c r="Q554" s="59"/>
      <c r="R554" s="1"/>
    </row>
    <row r="555" spans="1:18">
      <c r="A555" s="122" t="e">
        <f>IF(VLOOKUP(Tabela6[[#This Row],[UF]],'BASE CC'!B:C,2,0)="SP",IF(Tabela6[[#This Row],[OPERADORA]]="TIM","SP TIM","SPI"),VLOOKUP(Tabela6[[#This Row],[UF]],'BASE CC'!B:C,2,0))</f>
        <v>#N/A</v>
      </c>
      <c r="B555" s="36" t="e">
        <f>VLOOKUP(Tabela_Base_Financeiro[[#This Row],[Item code]],'COD.FAT'!B:C,2,0)</f>
        <v>#N/A</v>
      </c>
      <c r="C555" s="292">
        <f>Tabela_Base_Financeiro[[#This Row],[PO Ship TO]]</f>
        <v>0</v>
      </c>
      <c r="D555" s="36" t="str">
        <f>RIGHT(Tabela_Base_Financeiro[[#This Row],[Manufacturer]],2)</f>
        <v/>
      </c>
      <c r="E55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55" s="122" t="e">
        <f>VLOOKUP(Tabela_Base_Financeiro[[#This Row],[Project Code]],'COD. PROJETOS'!B:D,3,0)</f>
        <v>#N/A</v>
      </c>
      <c r="G555" s="36">
        <f>IFERROR(Tabela_Base_Financeiro[[#This Row],[PO No,]],0)</f>
        <v>0</v>
      </c>
      <c r="H555" s="36">
        <f>IFERROR(Tabela_Base_Financeiro[[#This Row],[Line No,]],0)</f>
        <v>0</v>
      </c>
      <c r="I555" s="36" t="str">
        <f>IFERROR(MID(Tabela_Base_Financeiro[[#This Row],[Manufacturer]],19,14),"")</f>
        <v/>
      </c>
      <c r="J555" s="113">
        <f>IFERROR(Tabela_Base_Financeiro[[#This Row],[Item code]],0)</f>
        <v>0</v>
      </c>
      <c r="K555" s="293">
        <f>IFERROR(Tabela_Base_Financeiro[[#This Row],[Unit Price]],0)</f>
        <v>0</v>
      </c>
      <c r="L555" s="36">
        <f>IFERROR(Tabela_Base_Financeiro[[#This Row],[AC Qty,]],0)</f>
        <v>0</v>
      </c>
      <c r="M555" s="60">
        <f>Tabela6[[#This Row],[Qty]]*Tabela6[[#This Row],[Preço]]</f>
        <v>0</v>
      </c>
      <c r="N555" s="37">
        <f>IFERROR(Tabela_Base_Financeiro[[#This Row],[Proportion]],0)</f>
        <v>0</v>
      </c>
      <c r="O555" s="60">
        <f>Tabela6[[#This Row],[Proporção]]*Tabela6[[#This Row],[Total]]</f>
        <v>0</v>
      </c>
      <c r="P555"/>
      <c r="Q555" s="59"/>
      <c r="R555" s="1"/>
    </row>
    <row r="556" spans="1:18">
      <c r="A556" s="122" t="e">
        <f>IF(VLOOKUP(Tabela6[[#This Row],[UF]],'BASE CC'!B:C,2,0)="SP",IF(Tabela6[[#This Row],[OPERADORA]]="TIM","SP TIM","SPI"),VLOOKUP(Tabela6[[#This Row],[UF]],'BASE CC'!B:C,2,0))</f>
        <v>#N/A</v>
      </c>
      <c r="B556" s="36" t="e">
        <f>VLOOKUP(Tabela_Base_Financeiro[[#This Row],[Item code]],'COD.FAT'!B:C,2,0)</f>
        <v>#N/A</v>
      </c>
      <c r="C556" s="292">
        <f>Tabela_Base_Financeiro[[#This Row],[PO Ship TO]]</f>
        <v>0</v>
      </c>
      <c r="D556" s="36" t="str">
        <f>RIGHT(Tabela_Base_Financeiro[[#This Row],[Manufacturer]],2)</f>
        <v/>
      </c>
      <c r="E55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56" s="122" t="e">
        <f>VLOOKUP(Tabela_Base_Financeiro[[#This Row],[Project Code]],'COD. PROJETOS'!B:D,3,0)</f>
        <v>#N/A</v>
      </c>
      <c r="G556" s="36">
        <f>IFERROR(Tabela_Base_Financeiro[[#This Row],[PO No,]],0)</f>
        <v>0</v>
      </c>
      <c r="H556" s="36">
        <f>IFERROR(Tabela_Base_Financeiro[[#This Row],[Line No,]],0)</f>
        <v>0</v>
      </c>
      <c r="I556" s="36" t="str">
        <f>IFERROR(MID(Tabela_Base_Financeiro[[#This Row],[Manufacturer]],19,14),"")</f>
        <v/>
      </c>
      <c r="J556" s="113">
        <f>IFERROR(Tabela_Base_Financeiro[[#This Row],[Item code]],0)</f>
        <v>0</v>
      </c>
      <c r="K556" s="293">
        <f>IFERROR(Tabela_Base_Financeiro[[#This Row],[Unit Price]],0)</f>
        <v>0</v>
      </c>
      <c r="L556" s="36">
        <f>IFERROR(Tabela_Base_Financeiro[[#This Row],[AC Qty,]],0)</f>
        <v>0</v>
      </c>
      <c r="M556" s="60">
        <f>Tabela6[[#This Row],[Qty]]*Tabela6[[#This Row],[Preço]]</f>
        <v>0</v>
      </c>
      <c r="N556" s="37">
        <f>IFERROR(Tabela_Base_Financeiro[[#This Row],[Proportion]],0)</f>
        <v>0</v>
      </c>
      <c r="O556" s="60">
        <f>Tabela6[[#This Row],[Proporção]]*Tabela6[[#This Row],[Total]]</f>
        <v>0</v>
      </c>
      <c r="P556"/>
      <c r="Q556" s="59"/>
      <c r="R556" s="1"/>
    </row>
    <row r="557" spans="1:18">
      <c r="A557" s="122" t="e">
        <f>IF(VLOOKUP(Tabela6[[#This Row],[UF]],'BASE CC'!B:C,2,0)="SP",IF(Tabela6[[#This Row],[OPERADORA]]="TIM","SP TIM","SPI"),VLOOKUP(Tabela6[[#This Row],[UF]],'BASE CC'!B:C,2,0))</f>
        <v>#N/A</v>
      </c>
      <c r="B557" s="36" t="e">
        <f>VLOOKUP(Tabela_Base_Financeiro[[#This Row],[Item code]],'COD.FAT'!B:C,2,0)</f>
        <v>#N/A</v>
      </c>
      <c r="C557" s="292">
        <f>Tabela_Base_Financeiro[[#This Row],[PO Ship TO]]</f>
        <v>0</v>
      </c>
      <c r="D557" s="36" t="str">
        <f>RIGHT(Tabela_Base_Financeiro[[#This Row],[Manufacturer]],2)</f>
        <v/>
      </c>
      <c r="E55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57" s="122" t="e">
        <f>VLOOKUP(Tabela_Base_Financeiro[[#This Row],[Project Code]],'COD. PROJETOS'!B:D,3,0)</f>
        <v>#N/A</v>
      </c>
      <c r="G557" s="36">
        <f>IFERROR(Tabela_Base_Financeiro[[#This Row],[PO No,]],0)</f>
        <v>0</v>
      </c>
      <c r="H557" s="36">
        <f>IFERROR(Tabela_Base_Financeiro[[#This Row],[Line No,]],0)</f>
        <v>0</v>
      </c>
      <c r="I557" s="36" t="str">
        <f>IFERROR(MID(Tabela_Base_Financeiro[[#This Row],[Manufacturer]],19,14),"")</f>
        <v/>
      </c>
      <c r="J557" s="113">
        <f>IFERROR(Tabela_Base_Financeiro[[#This Row],[Item code]],0)</f>
        <v>0</v>
      </c>
      <c r="K557" s="293">
        <f>IFERROR(Tabela_Base_Financeiro[[#This Row],[Unit Price]],0)</f>
        <v>0</v>
      </c>
      <c r="L557" s="36">
        <f>IFERROR(Tabela_Base_Financeiro[[#This Row],[AC Qty,]],0)</f>
        <v>0</v>
      </c>
      <c r="M557" s="60">
        <f>Tabela6[[#This Row],[Qty]]*Tabela6[[#This Row],[Preço]]</f>
        <v>0</v>
      </c>
      <c r="N557" s="37">
        <f>IFERROR(Tabela_Base_Financeiro[[#This Row],[Proportion]],0)</f>
        <v>0</v>
      </c>
      <c r="O557" s="60">
        <f>Tabela6[[#This Row],[Proporção]]*Tabela6[[#This Row],[Total]]</f>
        <v>0</v>
      </c>
      <c r="P557"/>
      <c r="Q557" s="59"/>
      <c r="R557" s="1"/>
    </row>
    <row r="558" spans="1:18">
      <c r="A558" s="122" t="e">
        <f>IF(VLOOKUP(Tabela6[[#This Row],[UF]],'BASE CC'!B:C,2,0)="SP",IF(Tabela6[[#This Row],[OPERADORA]]="TIM","SP TIM","SPI"),VLOOKUP(Tabela6[[#This Row],[UF]],'BASE CC'!B:C,2,0))</f>
        <v>#N/A</v>
      </c>
      <c r="B558" s="36" t="e">
        <f>VLOOKUP(Tabela_Base_Financeiro[[#This Row],[Item code]],'COD.FAT'!B:C,2,0)</f>
        <v>#N/A</v>
      </c>
      <c r="C558" s="292">
        <f>Tabela_Base_Financeiro[[#This Row],[PO Ship TO]]</f>
        <v>0</v>
      </c>
      <c r="D558" s="36" t="str">
        <f>RIGHT(Tabela_Base_Financeiro[[#This Row],[Manufacturer]],2)</f>
        <v/>
      </c>
      <c r="E55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58" s="122" t="e">
        <f>VLOOKUP(Tabela_Base_Financeiro[[#This Row],[Project Code]],'COD. PROJETOS'!B:D,3,0)</f>
        <v>#N/A</v>
      </c>
      <c r="G558" s="36">
        <f>IFERROR(Tabela_Base_Financeiro[[#This Row],[PO No,]],0)</f>
        <v>0</v>
      </c>
      <c r="H558" s="36">
        <f>IFERROR(Tabela_Base_Financeiro[[#This Row],[Line No,]],0)</f>
        <v>0</v>
      </c>
      <c r="I558" s="36" t="str">
        <f>IFERROR(MID(Tabela_Base_Financeiro[[#This Row],[Manufacturer]],19,14),"")</f>
        <v/>
      </c>
      <c r="J558" s="113">
        <f>IFERROR(Tabela_Base_Financeiro[[#This Row],[Item code]],0)</f>
        <v>0</v>
      </c>
      <c r="K558" s="293">
        <f>IFERROR(Tabela_Base_Financeiro[[#This Row],[Unit Price]],0)</f>
        <v>0</v>
      </c>
      <c r="L558" s="36">
        <f>IFERROR(Tabela_Base_Financeiro[[#This Row],[AC Qty,]],0)</f>
        <v>0</v>
      </c>
      <c r="M558" s="60">
        <f>Tabela6[[#This Row],[Qty]]*Tabela6[[#This Row],[Preço]]</f>
        <v>0</v>
      </c>
      <c r="N558" s="37">
        <f>IFERROR(Tabela_Base_Financeiro[[#This Row],[Proportion]],0)</f>
        <v>0</v>
      </c>
      <c r="O558" s="60">
        <f>Tabela6[[#This Row],[Proporção]]*Tabela6[[#This Row],[Total]]</f>
        <v>0</v>
      </c>
      <c r="P558"/>
      <c r="Q558" s="59"/>
      <c r="R558" s="1"/>
    </row>
    <row r="559" spans="1:18">
      <c r="A559" s="122" t="e">
        <f>IF(VLOOKUP(Tabela6[[#This Row],[UF]],'BASE CC'!B:C,2,0)="SP",IF(Tabela6[[#This Row],[OPERADORA]]="TIM","SP TIM","SPI"),VLOOKUP(Tabela6[[#This Row],[UF]],'BASE CC'!B:C,2,0))</f>
        <v>#N/A</v>
      </c>
      <c r="B559" s="36" t="e">
        <f>VLOOKUP(Tabela_Base_Financeiro[[#This Row],[Item code]],'COD.FAT'!B:C,2,0)</f>
        <v>#N/A</v>
      </c>
      <c r="C559" s="292">
        <f>Tabela_Base_Financeiro[[#This Row],[PO Ship TO]]</f>
        <v>0</v>
      </c>
      <c r="D559" s="36" t="str">
        <f>RIGHT(Tabela_Base_Financeiro[[#This Row],[Manufacturer]],2)</f>
        <v/>
      </c>
      <c r="E55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59" s="122" t="e">
        <f>VLOOKUP(Tabela_Base_Financeiro[[#This Row],[Project Code]],'COD. PROJETOS'!B:D,3,0)</f>
        <v>#N/A</v>
      </c>
      <c r="G559" s="36">
        <f>IFERROR(Tabela_Base_Financeiro[[#This Row],[PO No,]],0)</f>
        <v>0</v>
      </c>
      <c r="H559" s="36">
        <f>IFERROR(Tabela_Base_Financeiro[[#This Row],[Line No,]],0)</f>
        <v>0</v>
      </c>
      <c r="I559" s="36" t="str">
        <f>IFERROR(MID(Tabela_Base_Financeiro[[#This Row],[Manufacturer]],19,14),"")</f>
        <v/>
      </c>
      <c r="J559" s="113">
        <f>IFERROR(Tabela_Base_Financeiro[[#This Row],[Item code]],0)</f>
        <v>0</v>
      </c>
      <c r="K559" s="293">
        <f>IFERROR(Tabela_Base_Financeiro[[#This Row],[Unit Price]],0)</f>
        <v>0</v>
      </c>
      <c r="L559" s="36">
        <f>IFERROR(Tabela_Base_Financeiro[[#This Row],[AC Qty,]],0)</f>
        <v>0</v>
      </c>
      <c r="M559" s="60">
        <f>Tabela6[[#This Row],[Qty]]*Tabela6[[#This Row],[Preço]]</f>
        <v>0</v>
      </c>
      <c r="N559" s="37">
        <f>IFERROR(Tabela_Base_Financeiro[[#This Row],[Proportion]],0)</f>
        <v>0</v>
      </c>
      <c r="O559" s="60">
        <f>Tabela6[[#This Row],[Proporção]]*Tabela6[[#This Row],[Total]]</f>
        <v>0</v>
      </c>
      <c r="P559"/>
      <c r="Q559" s="59"/>
      <c r="R559" s="1"/>
    </row>
    <row r="560" spans="1:18">
      <c r="A560" s="122" t="e">
        <f>IF(VLOOKUP(Tabela6[[#This Row],[UF]],'BASE CC'!B:C,2,0)="SP",IF(Tabela6[[#This Row],[OPERADORA]]="TIM","SP TIM","SPI"),VLOOKUP(Tabela6[[#This Row],[UF]],'BASE CC'!B:C,2,0))</f>
        <v>#N/A</v>
      </c>
      <c r="B560" s="36" t="e">
        <f>VLOOKUP(Tabela_Base_Financeiro[[#This Row],[Item code]],'COD.FAT'!B:C,2,0)</f>
        <v>#N/A</v>
      </c>
      <c r="C560" s="292">
        <f>Tabela_Base_Financeiro[[#This Row],[PO Ship TO]]</f>
        <v>0</v>
      </c>
      <c r="D560" s="36" t="str">
        <f>RIGHT(Tabela_Base_Financeiro[[#This Row],[Manufacturer]],2)</f>
        <v/>
      </c>
      <c r="E56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60" s="122" t="e">
        <f>VLOOKUP(Tabela_Base_Financeiro[[#This Row],[Project Code]],'COD. PROJETOS'!B:D,3,0)</f>
        <v>#N/A</v>
      </c>
      <c r="G560" s="36">
        <f>IFERROR(Tabela_Base_Financeiro[[#This Row],[PO No,]],0)</f>
        <v>0</v>
      </c>
      <c r="H560" s="36">
        <f>IFERROR(Tabela_Base_Financeiro[[#This Row],[Line No,]],0)</f>
        <v>0</v>
      </c>
      <c r="I560" s="36" t="str">
        <f>IFERROR(MID(Tabela_Base_Financeiro[[#This Row],[Manufacturer]],19,14),"")</f>
        <v/>
      </c>
      <c r="J560" s="113">
        <f>IFERROR(Tabela_Base_Financeiro[[#This Row],[Item code]],0)</f>
        <v>0</v>
      </c>
      <c r="K560" s="293">
        <f>IFERROR(Tabela_Base_Financeiro[[#This Row],[Unit Price]],0)</f>
        <v>0</v>
      </c>
      <c r="L560" s="36">
        <f>IFERROR(Tabela_Base_Financeiro[[#This Row],[AC Qty,]],0)</f>
        <v>0</v>
      </c>
      <c r="M560" s="60">
        <f>Tabela6[[#This Row],[Qty]]*Tabela6[[#This Row],[Preço]]</f>
        <v>0</v>
      </c>
      <c r="N560" s="37">
        <f>IFERROR(Tabela_Base_Financeiro[[#This Row],[Proportion]],0)</f>
        <v>0</v>
      </c>
      <c r="O560" s="60">
        <f>Tabela6[[#This Row],[Proporção]]*Tabela6[[#This Row],[Total]]</f>
        <v>0</v>
      </c>
      <c r="P560"/>
      <c r="Q560" s="59"/>
      <c r="R560" s="1"/>
    </row>
    <row r="561" spans="1:18">
      <c r="A561" s="122" t="e">
        <f>IF(VLOOKUP(Tabela6[[#This Row],[UF]],'BASE CC'!B:C,2,0)="SP",IF(Tabela6[[#This Row],[OPERADORA]]="TIM","SP TIM","SPI"),VLOOKUP(Tabela6[[#This Row],[UF]],'BASE CC'!B:C,2,0))</f>
        <v>#N/A</v>
      </c>
      <c r="B561" s="36" t="e">
        <f>VLOOKUP(Tabela_Base_Financeiro[[#This Row],[Item code]],'COD.FAT'!B:C,2,0)</f>
        <v>#N/A</v>
      </c>
      <c r="C561" s="292">
        <f>Tabela_Base_Financeiro[[#This Row],[PO Ship TO]]</f>
        <v>0</v>
      </c>
      <c r="D561" s="36" t="str">
        <f>RIGHT(Tabela_Base_Financeiro[[#This Row],[Manufacturer]],2)</f>
        <v/>
      </c>
      <c r="E56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61" s="122" t="e">
        <f>VLOOKUP(Tabela_Base_Financeiro[[#This Row],[Project Code]],'COD. PROJETOS'!B:D,3,0)</f>
        <v>#N/A</v>
      </c>
      <c r="G561" s="36">
        <f>IFERROR(Tabela_Base_Financeiro[[#This Row],[PO No,]],0)</f>
        <v>0</v>
      </c>
      <c r="H561" s="36">
        <f>IFERROR(Tabela_Base_Financeiro[[#This Row],[Line No,]],0)</f>
        <v>0</v>
      </c>
      <c r="I561" s="36" t="str">
        <f>IFERROR(MID(Tabela_Base_Financeiro[[#This Row],[Manufacturer]],19,14),"")</f>
        <v/>
      </c>
      <c r="J561" s="113">
        <f>IFERROR(Tabela_Base_Financeiro[[#This Row],[Item code]],0)</f>
        <v>0</v>
      </c>
      <c r="K561" s="293">
        <f>IFERROR(Tabela_Base_Financeiro[[#This Row],[Unit Price]],0)</f>
        <v>0</v>
      </c>
      <c r="L561" s="36">
        <f>IFERROR(Tabela_Base_Financeiro[[#This Row],[AC Qty,]],0)</f>
        <v>0</v>
      </c>
      <c r="M561" s="60">
        <f>Tabela6[[#This Row],[Qty]]*Tabela6[[#This Row],[Preço]]</f>
        <v>0</v>
      </c>
      <c r="N561" s="37">
        <f>IFERROR(Tabela_Base_Financeiro[[#This Row],[Proportion]],0)</f>
        <v>0</v>
      </c>
      <c r="O561" s="60">
        <f>Tabela6[[#This Row],[Proporção]]*Tabela6[[#This Row],[Total]]</f>
        <v>0</v>
      </c>
      <c r="P561"/>
      <c r="Q561" s="59"/>
      <c r="R561" s="1"/>
    </row>
    <row r="562" spans="1:18">
      <c r="A562" s="122" t="e">
        <f>IF(VLOOKUP(Tabela6[[#This Row],[UF]],'BASE CC'!B:C,2,0)="SP",IF(Tabela6[[#This Row],[OPERADORA]]="TIM","SP TIM","SPI"),VLOOKUP(Tabela6[[#This Row],[UF]],'BASE CC'!B:C,2,0))</f>
        <v>#N/A</v>
      </c>
      <c r="B562" s="36" t="e">
        <f>VLOOKUP(Tabela_Base_Financeiro[[#This Row],[Item code]],'COD.FAT'!B:C,2,0)</f>
        <v>#N/A</v>
      </c>
      <c r="C562" s="292">
        <f>Tabela_Base_Financeiro[[#This Row],[PO Ship TO]]</f>
        <v>0</v>
      </c>
      <c r="D562" s="36" t="str">
        <f>RIGHT(Tabela_Base_Financeiro[[#This Row],[Manufacturer]],2)</f>
        <v/>
      </c>
      <c r="E56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62" s="122" t="e">
        <f>VLOOKUP(Tabela_Base_Financeiro[[#This Row],[Project Code]],'COD. PROJETOS'!B:D,3,0)</f>
        <v>#N/A</v>
      </c>
      <c r="G562" s="36">
        <f>IFERROR(Tabela_Base_Financeiro[[#This Row],[PO No,]],0)</f>
        <v>0</v>
      </c>
      <c r="H562" s="36">
        <f>IFERROR(Tabela_Base_Financeiro[[#This Row],[Line No,]],0)</f>
        <v>0</v>
      </c>
      <c r="I562" s="36" t="str">
        <f>IFERROR(MID(Tabela_Base_Financeiro[[#This Row],[Manufacturer]],19,14),"")</f>
        <v/>
      </c>
      <c r="J562" s="113">
        <f>IFERROR(Tabela_Base_Financeiro[[#This Row],[Item code]],0)</f>
        <v>0</v>
      </c>
      <c r="K562" s="293">
        <f>IFERROR(Tabela_Base_Financeiro[[#This Row],[Unit Price]],0)</f>
        <v>0</v>
      </c>
      <c r="L562" s="36">
        <f>IFERROR(Tabela_Base_Financeiro[[#This Row],[AC Qty,]],0)</f>
        <v>0</v>
      </c>
      <c r="M562" s="60">
        <f>Tabela6[[#This Row],[Qty]]*Tabela6[[#This Row],[Preço]]</f>
        <v>0</v>
      </c>
      <c r="N562" s="37">
        <f>IFERROR(Tabela_Base_Financeiro[[#This Row],[Proportion]],0)</f>
        <v>0</v>
      </c>
      <c r="O562" s="60">
        <f>Tabela6[[#This Row],[Proporção]]*Tabela6[[#This Row],[Total]]</f>
        <v>0</v>
      </c>
      <c r="P562"/>
      <c r="Q562" s="59"/>
      <c r="R562" s="1"/>
    </row>
    <row r="563" spans="1:18">
      <c r="A563" s="122" t="e">
        <f>IF(VLOOKUP(Tabela6[[#This Row],[UF]],'BASE CC'!B:C,2,0)="SP",IF(Tabela6[[#This Row],[OPERADORA]]="TIM","SP TIM","SPI"),VLOOKUP(Tabela6[[#This Row],[UF]],'BASE CC'!B:C,2,0))</f>
        <v>#N/A</v>
      </c>
      <c r="B563" s="36" t="e">
        <f>VLOOKUP(Tabela_Base_Financeiro[[#This Row],[Item code]],'COD.FAT'!B:C,2,0)</f>
        <v>#N/A</v>
      </c>
      <c r="C563" s="292">
        <f>Tabela_Base_Financeiro[[#This Row],[PO Ship TO]]</f>
        <v>0</v>
      </c>
      <c r="D563" s="36" t="str">
        <f>RIGHT(Tabela_Base_Financeiro[[#This Row],[Manufacturer]],2)</f>
        <v/>
      </c>
      <c r="E56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63" s="122" t="e">
        <f>VLOOKUP(Tabela_Base_Financeiro[[#This Row],[Project Code]],'COD. PROJETOS'!B:D,3,0)</f>
        <v>#N/A</v>
      </c>
      <c r="G563" s="36">
        <f>IFERROR(Tabela_Base_Financeiro[[#This Row],[PO No,]],0)</f>
        <v>0</v>
      </c>
      <c r="H563" s="36">
        <f>IFERROR(Tabela_Base_Financeiro[[#This Row],[Line No,]],0)</f>
        <v>0</v>
      </c>
      <c r="I563" s="36" t="str">
        <f>IFERROR(MID(Tabela_Base_Financeiro[[#This Row],[Manufacturer]],19,14),"")</f>
        <v/>
      </c>
      <c r="J563" s="113">
        <f>IFERROR(Tabela_Base_Financeiro[[#This Row],[Item code]],0)</f>
        <v>0</v>
      </c>
      <c r="K563" s="293">
        <f>IFERROR(Tabela_Base_Financeiro[[#This Row],[Unit Price]],0)</f>
        <v>0</v>
      </c>
      <c r="L563" s="36">
        <f>IFERROR(Tabela_Base_Financeiro[[#This Row],[AC Qty,]],0)</f>
        <v>0</v>
      </c>
      <c r="M563" s="60">
        <f>Tabela6[[#This Row],[Qty]]*Tabela6[[#This Row],[Preço]]</f>
        <v>0</v>
      </c>
      <c r="N563" s="37">
        <f>IFERROR(Tabela_Base_Financeiro[[#This Row],[Proportion]],0)</f>
        <v>0</v>
      </c>
      <c r="O563" s="60">
        <f>Tabela6[[#This Row],[Proporção]]*Tabela6[[#This Row],[Total]]</f>
        <v>0</v>
      </c>
      <c r="P563"/>
      <c r="Q563" s="59"/>
      <c r="R563" s="1"/>
    </row>
    <row r="564" spans="1:18">
      <c r="A564" s="122" t="e">
        <f>IF(VLOOKUP(Tabela6[[#This Row],[UF]],'BASE CC'!B:C,2,0)="SP",IF(Tabela6[[#This Row],[OPERADORA]]="TIM","SP TIM","SPI"),VLOOKUP(Tabela6[[#This Row],[UF]],'BASE CC'!B:C,2,0))</f>
        <v>#N/A</v>
      </c>
      <c r="B564" s="36" t="e">
        <f>VLOOKUP(Tabela_Base_Financeiro[[#This Row],[Item code]],'COD.FAT'!B:C,2,0)</f>
        <v>#N/A</v>
      </c>
      <c r="C564" s="292">
        <f>Tabela_Base_Financeiro[[#This Row],[PO Ship TO]]</f>
        <v>0</v>
      </c>
      <c r="D564" s="36" t="str">
        <f>RIGHT(Tabela_Base_Financeiro[[#This Row],[Manufacturer]],2)</f>
        <v/>
      </c>
      <c r="E56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64" s="122" t="e">
        <f>VLOOKUP(Tabela_Base_Financeiro[[#This Row],[Project Code]],'COD. PROJETOS'!B:D,3,0)</f>
        <v>#N/A</v>
      </c>
      <c r="G564" s="36">
        <f>IFERROR(Tabela_Base_Financeiro[[#This Row],[PO No,]],0)</f>
        <v>0</v>
      </c>
      <c r="H564" s="36">
        <f>IFERROR(Tabela_Base_Financeiro[[#This Row],[Line No,]],0)</f>
        <v>0</v>
      </c>
      <c r="I564" s="36" t="str">
        <f>IFERROR(MID(Tabela_Base_Financeiro[[#This Row],[Manufacturer]],19,14),"")</f>
        <v/>
      </c>
      <c r="J564" s="113">
        <f>IFERROR(Tabela_Base_Financeiro[[#This Row],[Item code]],0)</f>
        <v>0</v>
      </c>
      <c r="K564" s="293">
        <f>IFERROR(Tabela_Base_Financeiro[[#This Row],[Unit Price]],0)</f>
        <v>0</v>
      </c>
      <c r="L564" s="36">
        <f>IFERROR(Tabela_Base_Financeiro[[#This Row],[AC Qty,]],0)</f>
        <v>0</v>
      </c>
      <c r="M564" s="60">
        <f>Tabela6[[#This Row],[Qty]]*Tabela6[[#This Row],[Preço]]</f>
        <v>0</v>
      </c>
      <c r="N564" s="37">
        <f>IFERROR(Tabela_Base_Financeiro[[#This Row],[Proportion]],0)</f>
        <v>0</v>
      </c>
      <c r="O564" s="60">
        <f>Tabela6[[#This Row],[Proporção]]*Tabela6[[#This Row],[Total]]</f>
        <v>0</v>
      </c>
      <c r="P564"/>
      <c r="Q564" s="59"/>
      <c r="R564" s="1"/>
    </row>
    <row r="565" spans="1:18">
      <c r="A565" s="122" t="e">
        <f>IF(VLOOKUP(Tabela6[[#This Row],[UF]],'BASE CC'!B:C,2,0)="SP",IF(Tabela6[[#This Row],[OPERADORA]]="TIM","SP TIM","SPI"),VLOOKUP(Tabela6[[#This Row],[UF]],'BASE CC'!B:C,2,0))</f>
        <v>#N/A</v>
      </c>
      <c r="B565" s="36" t="e">
        <f>VLOOKUP(Tabela_Base_Financeiro[[#This Row],[Item code]],'COD.FAT'!B:C,2,0)</f>
        <v>#N/A</v>
      </c>
      <c r="C565" s="292">
        <f>Tabela_Base_Financeiro[[#This Row],[PO Ship TO]]</f>
        <v>0</v>
      </c>
      <c r="D565" s="36" t="str">
        <f>RIGHT(Tabela_Base_Financeiro[[#This Row],[Manufacturer]],2)</f>
        <v/>
      </c>
      <c r="E56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65" s="122" t="e">
        <f>VLOOKUP(Tabela_Base_Financeiro[[#This Row],[Project Code]],'COD. PROJETOS'!B:D,3,0)</f>
        <v>#N/A</v>
      </c>
      <c r="G565" s="36">
        <f>IFERROR(Tabela_Base_Financeiro[[#This Row],[PO No,]],0)</f>
        <v>0</v>
      </c>
      <c r="H565" s="36">
        <f>IFERROR(Tabela_Base_Financeiro[[#This Row],[Line No,]],0)</f>
        <v>0</v>
      </c>
      <c r="I565" s="36" t="str">
        <f>IFERROR(MID(Tabela_Base_Financeiro[[#This Row],[Manufacturer]],19,14),"")</f>
        <v/>
      </c>
      <c r="J565" s="113">
        <f>IFERROR(Tabela_Base_Financeiro[[#This Row],[Item code]],0)</f>
        <v>0</v>
      </c>
      <c r="K565" s="293">
        <f>IFERROR(Tabela_Base_Financeiro[[#This Row],[Unit Price]],0)</f>
        <v>0</v>
      </c>
      <c r="L565" s="36">
        <f>IFERROR(Tabela_Base_Financeiro[[#This Row],[AC Qty,]],0)</f>
        <v>0</v>
      </c>
      <c r="M565" s="60">
        <f>Tabela6[[#This Row],[Qty]]*Tabela6[[#This Row],[Preço]]</f>
        <v>0</v>
      </c>
      <c r="N565" s="37">
        <f>IFERROR(Tabela_Base_Financeiro[[#This Row],[Proportion]],0)</f>
        <v>0</v>
      </c>
      <c r="O565" s="60">
        <f>Tabela6[[#This Row],[Proporção]]*Tabela6[[#This Row],[Total]]</f>
        <v>0</v>
      </c>
      <c r="P565"/>
      <c r="Q565" s="59"/>
      <c r="R565" s="1"/>
    </row>
    <row r="566" spans="1:18">
      <c r="A566" s="122" t="e">
        <f>IF(VLOOKUP(Tabela6[[#This Row],[UF]],'BASE CC'!B:C,2,0)="SP",IF(Tabela6[[#This Row],[OPERADORA]]="TIM","SP TIM","SPI"),VLOOKUP(Tabela6[[#This Row],[UF]],'BASE CC'!B:C,2,0))</f>
        <v>#N/A</v>
      </c>
      <c r="B566" s="36" t="e">
        <f>VLOOKUP(Tabela_Base_Financeiro[[#This Row],[Item code]],'COD.FAT'!B:C,2,0)</f>
        <v>#N/A</v>
      </c>
      <c r="C566" s="292">
        <f>Tabela_Base_Financeiro[[#This Row],[PO Ship TO]]</f>
        <v>0</v>
      </c>
      <c r="D566" s="36" t="str">
        <f>RIGHT(Tabela_Base_Financeiro[[#This Row],[Manufacturer]],2)</f>
        <v/>
      </c>
      <c r="E56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66" s="122" t="e">
        <f>VLOOKUP(Tabela_Base_Financeiro[[#This Row],[Project Code]],'COD. PROJETOS'!B:D,3,0)</f>
        <v>#N/A</v>
      </c>
      <c r="G566" s="36">
        <f>IFERROR(Tabela_Base_Financeiro[[#This Row],[PO No,]],0)</f>
        <v>0</v>
      </c>
      <c r="H566" s="36">
        <f>IFERROR(Tabela_Base_Financeiro[[#This Row],[Line No,]],0)</f>
        <v>0</v>
      </c>
      <c r="I566" s="36" t="str">
        <f>IFERROR(MID(Tabela_Base_Financeiro[[#This Row],[Manufacturer]],19,14),"")</f>
        <v/>
      </c>
      <c r="J566" s="113">
        <f>IFERROR(Tabela_Base_Financeiro[[#This Row],[Item code]],0)</f>
        <v>0</v>
      </c>
      <c r="K566" s="293">
        <f>IFERROR(Tabela_Base_Financeiro[[#This Row],[Unit Price]],0)</f>
        <v>0</v>
      </c>
      <c r="L566" s="36">
        <f>IFERROR(Tabela_Base_Financeiro[[#This Row],[AC Qty,]],0)</f>
        <v>0</v>
      </c>
      <c r="M566" s="60">
        <f>Tabela6[[#This Row],[Qty]]*Tabela6[[#This Row],[Preço]]</f>
        <v>0</v>
      </c>
      <c r="N566" s="37">
        <f>IFERROR(Tabela_Base_Financeiro[[#This Row],[Proportion]],0)</f>
        <v>0</v>
      </c>
      <c r="O566" s="60">
        <f>Tabela6[[#This Row],[Proporção]]*Tabela6[[#This Row],[Total]]</f>
        <v>0</v>
      </c>
      <c r="P566"/>
      <c r="Q566" s="59"/>
      <c r="R566" s="1"/>
    </row>
    <row r="567" spans="1:18">
      <c r="A567" s="122" t="e">
        <f>IF(VLOOKUP(Tabela6[[#This Row],[UF]],'BASE CC'!B:C,2,0)="SP",IF(Tabela6[[#This Row],[OPERADORA]]="TIM","SP TIM","SPI"),VLOOKUP(Tabela6[[#This Row],[UF]],'BASE CC'!B:C,2,0))</f>
        <v>#N/A</v>
      </c>
      <c r="B567" s="36" t="e">
        <f>VLOOKUP(Tabela_Base_Financeiro[[#This Row],[Item code]],'COD.FAT'!B:C,2,0)</f>
        <v>#N/A</v>
      </c>
      <c r="C567" s="292">
        <f>Tabela_Base_Financeiro[[#This Row],[PO Ship TO]]</f>
        <v>0</v>
      </c>
      <c r="D567" s="36" t="str">
        <f>RIGHT(Tabela_Base_Financeiro[[#This Row],[Manufacturer]],2)</f>
        <v/>
      </c>
      <c r="E56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67" s="122" t="e">
        <f>VLOOKUP(Tabela_Base_Financeiro[[#This Row],[Project Code]],'COD. PROJETOS'!B:D,3,0)</f>
        <v>#N/A</v>
      </c>
      <c r="G567" s="36">
        <f>IFERROR(Tabela_Base_Financeiro[[#This Row],[PO No,]],0)</f>
        <v>0</v>
      </c>
      <c r="H567" s="36">
        <f>IFERROR(Tabela_Base_Financeiro[[#This Row],[Line No,]],0)</f>
        <v>0</v>
      </c>
      <c r="I567" s="36" t="str">
        <f>IFERROR(MID(Tabela_Base_Financeiro[[#This Row],[Manufacturer]],19,14),"")</f>
        <v/>
      </c>
      <c r="J567" s="113">
        <f>IFERROR(Tabela_Base_Financeiro[[#This Row],[Item code]],0)</f>
        <v>0</v>
      </c>
      <c r="K567" s="293">
        <f>IFERROR(Tabela_Base_Financeiro[[#This Row],[Unit Price]],0)</f>
        <v>0</v>
      </c>
      <c r="L567" s="36">
        <f>IFERROR(Tabela_Base_Financeiro[[#This Row],[AC Qty,]],0)</f>
        <v>0</v>
      </c>
      <c r="M567" s="60">
        <f>Tabela6[[#This Row],[Qty]]*Tabela6[[#This Row],[Preço]]</f>
        <v>0</v>
      </c>
      <c r="N567" s="37">
        <f>IFERROR(Tabela_Base_Financeiro[[#This Row],[Proportion]],0)</f>
        <v>0</v>
      </c>
      <c r="O567" s="60">
        <f>Tabela6[[#This Row],[Proporção]]*Tabela6[[#This Row],[Total]]</f>
        <v>0</v>
      </c>
      <c r="P567"/>
      <c r="Q567" s="59"/>
      <c r="R567" s="1"/>
    </row>
    <row r="568" spans="1:18">
      <c r="A568" s="122" t="e">
        <f>IF(VLOOKUP(Tabela6[[#This Row],[UF]],'BASE CC'!B:C,2,0)="SP",IF(Tabela6[[#This Row],[OPERADORA]]="TIM","SP TIM","SPI"),VLOOKUP(Tabela6[[#This Row],[UF]],'BASE CC'!B:C,2,0))</f>
        <v>#N/A</v>
      </c>
      <c r="B568" s="36" t="e">
        <f>VLOOKUP(Tabela_Base_Financeiro[[#This Row],[Item code]],'COD.FAT'!B:C,2,0)</f>
        <v>#N/A</v>
      </c>
      <c r="C568" s="292">
        <f>Tabela_Base_Financeiro[[#This Row],[PO Ship TO]]</f>
        <v>0</v>
      </c>
      <c r="D568" s="36" t="str">
        <f>RIGHT(Tabela_Base_Financeiro[[#This Row],[Manufacturer]],2)</f>
        <v/>
      </c>
      <c r="E56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68" s="122" t="e">
        <f>VLOOKUP(Tabela_Base_Financeiro[[#This Row],[Project Code]],'COD. PROJETOS'!B:D,3,0)</f>
        <v>#N/A</v>
      </c>
      <c r="G568" s="36">
        <f>IFERROR(Tabela_Base_Financeiro[[#This Row],[PO No,]],0)</f>
        <v>0</v>
      </c>
      <c r="H568" s="36">
        <f>IFERROR(Tabela_Base_Financeiro[[#This Row],[Line No,]],0)</f>
        <v>0</v>
      </c>
      <c r="I568" s="36" t="str">
        <f>IFERROR(MID(Tabela_Base_Financeiro[[#This Row],[Manufacturer]],19,14),"")</f>
        <v/>
      </c>
      <c r="J568" s="113">
        <f>IFERROR(Tabela_Base_Financeiro[[#This Row],[Item code]],0)</f>
        <v>0</v>
      </c>
      <c r="K568" s="293">
        <f>IFERROR(Tabela_Base_Financeiro[[#This Row],[Unit Price]],0)</f>
        <v>0</v>
      </c>
      <c r="L568" s="36">
        <f>IFERROR(Tabela_Base_Financeiro[[#This Row],[AC Qty,]],0)</f>
        <v>0</v>
      </c>
      <c r="M568" s="60">
        <f>Tabela6[[#This Row],[Qty]]*Tabela6[[#This Row],[Preço]]</f>
        <v>0</v>
      </c>
      <c r="N568" s="37">
        <f>IFERROR(Tabela_Base_Financeiro[[#This Row],[Proportion]],0)</f>
        <v>0</v>
      </c>
      <c r="O568" s="60">
        <f>Tabela6[[#This Row],[Proporção]]*Tabela6[[#This Row],[Total]]</f>
        <v>0</v>
      </c>
      <c r="P568"/>
      <c r="Q568" s="59"/>
      <c r="R568" s="1"/>
    </row>
    <row r="569" spans="1:18">
      <c r="A569" s="122" t="e">
        <f>IF(VLOOKUP(Tabela6[[#This Row],[UF]],'BASE CC'!B:C,2,0)="SP",IF(Tabela6[[#This Row],[OPERADORA]]="TIM","SP TIM","SPI"),VLOOKUP(Tabela6[[#This Row],[UF]],'BASE CC'!B:C,2,0))</f>
        <v>#N/A</v>
      </c>
      <c r="B569" s="36" t="e">
        <f>VLOOKUP(Tabela_Base_Financeiro[[#This Row],[Item code]],'COD.FAT'!B:C,2,0)</f>
        <v>#N/A</v>
      </c>
      <c r="C569" s="292">
        <f>Tabela_Base_Financeiro[[#This Row],[PO Ship TO]]</f>
        <v>0</v>
      </c>
      <c r="D569" s="36" t="str">
        <f>RIGHT(Tabela_Base_Financeiro[[#This Row],[Manufacturer]],2)</f>
        <v/>
      </c>
      <c r="E56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69" s="122" t="e">
        <f>VLOOKUP(Tabela_Base_Financeiro[[#This Row],[Project Code]],'COD. PROJETOS'!B:D,3,0)</f>
        <v>#N/A</v>
      </c>
      <c r="G569" s="36">
        <f>IFERROR(Tabela_Base_Financeiro[[#This Row],[PO No,]],0)</f>
        <v>0</v>
      </c>
      <c r="H569" s="36">
        <f>IFERROR(Tabela_Base_Financeiro[[#This Row],[Line No,]],0)</f>
        <v>0</v>
      </c>
      <c r="I569" s="36" t="str">
        <f>IFERROR(MID(Tabela_Base_Financeiro[[#This Row],[Manufacturer]],19,14),"")</f>
        <v/>
      </c>
      <c r="J569" s="113">
        <f>IFERROR(Tabela_Base_Financeiro[[#This Row],[Item code]],0)</f>
        <v>0</v>
      </c>
      <c r="K569" s="293">
        <f>IFERROR(Tabela_Base_Financeiro[[#This Row],[Unit Price]],0)</f>
        <v>0</v>
      </c>
      <c r="L569" s="36">
        <f>IFERROR(Tabela_Base_Financeiro[[#This Row],[AC Qty,]],0)</f>
        <v>0</v>
      </c>
      <c r="M569" s="60">
        <f>Tabela6[[#This Row],[Qty]]*Tabela6[[#This Row],[Preço]]</f>
        <v>0</v>
      </c>
      <c r="N569" s="37">
        <f>IFERROR(Tabela_Base_Financeiro[[#This Row],[Proportion]],0)</f>
        <v>0</v>
      </c>
      <c r="O569" s="60">
        <f>Tabela6[[#This Row],[Proporção]]*Tabela6[[#This Row],[Total]]</f>
        <v>0</v>
      </c>
      <c r="P569"/>
      <c r="Q569" s="59"/>
      <c r="R569" s="1"/>
    </row>
    <row r="570" spans="1:18">
      <c r="A570" s="122" t="e">
        <f>IF(VLOOKUP(Tabela6[[#This Row],[UF]],'BASE CC'!B:C,2,0)="SP",IF(Tabela6[[#This Row],[OPERADORA]]="TIM","SP TIM","SPI"),VLOOKUP(Tabela6[[#This Row],[UF]],'BASE CC'!B:C,2,0))</f>
        <v>#N/A</v>
      </c>
      <c r="B570" s="36" t="e">
        <f>VLOOKUP(Tabela_Base_Financeiro[[#This Row],[Item code]],'COD.FAT'!B:C,2,0)</f>
        <v>#N/A</v>
      </c>
      <c r="C570" s="292">
        <f>Tabela_Base_Financeiro[[#This Row],[PO Ship TO]]</f>
        <v>0</v>
      </c>
      <c r="D570" s="36" t="str">
        <f>RIGHT(Tabela_Base_Financeiro[[#This Row],[Manufacturer]],2)</f>
        <v/>
      </c>
      <c r="E57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70" s="122" t="e">
        <f>VLOOKUP(Tabela_Base_Financeiro[[#This Row],[Project Code]],'COD. PROJETOS'!B:D,3,0)</f>
        <v>#N/A</v>
      </c>
      <c r="G570" s="36">
        <f>IFERROR(Tabela_Base_Financeiro[[#This Row],[PO No,]],0)</f>
        <v>0</v>
      </c>
      <c r="H570" s="36">
        <f>IFERROR(Tabela_Base_Financeiro[[#This Row],[Line No,]],0)</f>
        <v>0</v>
      </c>
      <c r="I570" s="36" t="str">
        <f>IFERROR(MID(Tabela_Base_Financeiro[[#This Row],[Manufacturer]],19,14),"")</f>
        <v/>
      </c>
      <c r="J570" s="113">
        <f>IFERROR(Tabela_Base_Financeiro[[#This Row],[Item code]],0)</f>
        <v>0</v>
      </c>
      <c r="K570" s="293">
        <f>IFERROR(Tabela_Base_Financeiro[[#This Row],[Unit Price]],0)</f>
        <v>0</v>
      </c>
      <c r="L570" s="36">
        <f>IFERROR(Tabela_Base_Financeiro[[#This Row],[AC Qty,]],0)</f>
        <v>0</v>
      </c>
      <c r="M570" s="60">
        <f>Tabela6[[#This Row],[Qty]]*Tabela6[[#This Row],[Preço]]</f>
        <v>0</v>
      </c>
      <c r="N570" s="37">
        <f>IFERROR(Tabela_Base_Financeiro[[#This Row],[Proportion]],0)</f>
        <v>0</v>
      </c>
      <c r="O570" s="60">
        <f>Tabela6[[#This Row],[Proporção]]*Tabela6[[#This Row],[Total]]</f>
        <v>0</v>
      </c>
      <c r="P570"/>
      <c r="Q570" s="59"/>
      <c r="R570" s="1"/>
    </row>
    <row r="571" spans="1:18">
      <c r="A571" s="122" t="e">
        <f>IF(VLOOKUP(Tabela6[[#This Row],[UF]],'BASE CC'!B:C,2,0)="SP",IF(Tabela6[[#This Row],[OPERADORA]]="TIM","SP TIM","SPI"),VLOOKUP(Tabela6[[#This Row],[UF]],'BASE CC'!B:C,2,0))</f>
        <v>#N/A</v>
      </c>
      <c r="B571" s="36" t="e">
        <f>VLOOKUP(Tabela_Base_Financeiro[[#This Row],[Item code]],'COD.FAT'!B:C,2,0)</f>
        <v>#N/A</v>
      </c>
      <c r="C571" s="292">
        <f>Tabela_Base_Financeiro[[#This Row],[PO Ship TO]]</f>
        <v>0</v>
      </c>
      <c r="D571" s="36" t="str">
        <f>RIGHT(Tabela_Base_Financeiro[[#This Row],[Manufacturer]],2)</f>
        <v/>
      </c>
      <c r="E57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71" s="122" t="e">
        <f>VLOOKUP(Tabela_Base_Financeiro[[#This Row],[Project Code]],'COD. PROJETOS'!B:D,3,0)</f>
        <v>#N/A</v>
      </c>
      <c r="G571" s="36">
        <f>IFERROR(Tabela_Base_Financeiro[[#This Row],[PO No,]],0)</f>
        <v>0</v>
      </c>
      <c r="H571" s="36">
        <f>IFERROR(Tabela_Base_Financeiro[[#This Row],[Line No,]],0)</f>
        <v>0</v>
      </c>
      <c r="I571" s="36" t="str">
        <f>IFERROR(MID(Tabela_Base_Financeiro[[#This Row],[Manufacturer]],19,14),"")</f>
        <v/>
      </c>
      <c r="J571" s="113">
        <f>IFERROR(Tabela_Base_Financeiro[[#This Row],[Item code]],0)</f>
        <v>0</v>
      </c>
      <c r="K571" s="293">
        <f>IFERROR(Tabela_Base_Financeiro[[#This Row],[Unit Price]],0)</f>
        <v>0</v>
      </c>
      <c r="L571" s="36">
        <f>IFERROR(Tabela_Base_Financeiro[[#This Row],[AC Qty,]],0)</f>
        <v>0</v>
      </c>
      <c r="M571" s="60">
        <f>Tabela6[[#This Row],[Qty]]*Tabela6[[#This Row],[Preço]]</f>
        <v>0</v>
      </c>
      <c r="N571" s="37">
        <f>IFERROR(Tabela_Base_Financeiro[[#This Row],[Proportion]],0)</f>
        <v>0</v>
      </c>
      <c r="O571" s="60">
        <f>Tabela6[[#This Row],[Proporção]]*Tabela6[[#This Row],[Total]]</f>
        <v>0</v>
      </c>
      <c r="P571"/>
      <c r="Q571" s="59"/>
      <c r="R571" s="1"/>
    </row>
    <row r="572" spans="1:18">
      <c r="A572" s="122" t="e">
        <f>IF(VLOOKUP(Tabela6[[#This Row],[UF]],'BASE CC'!B:C,2,0)="SP",IF(Tabela6[[#This Row],[OPERADORA]]="TIM","SP TIM","SPI"),VLOOKUP(Tabela6[[#This Row],[UF]],'BASE CC'!B:C,2,0))</f>
        <v>#N/A</v>
      </c>
      <c r="B572" s="36" t="e">
        <f>VLOOKUP(Tabela_Base_Financeiro[[#This Row],[Item code]],'COD.FAT'!B:C,2,0)</f>
        <v>#N/A</v>
      </c>
      <c r="C572" s="292">
        <f>Tabela_Base_Financeiro[[#This Row],[PO Ship TO]]</f>
        <v>0</v>
      </c>
      <c r="D572" s="36" t="str">
        <f>RIGHT(Tabela_Base_Financeiro[[#This Row],[Manufacturer]],2)</f>
        <v/>
      </c>
      <c r="E57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72" s="122" t="e">
        <f>VLOOKUP(Tabela_Base_Financeiro[[#This Row],[Project Code]],'COD. PROJETOS'!B:D,3,0)</f>
        <v>#N/A</v>
      </c>
      <c r="G572" s="36">
        <f>IFERROR(Tabela_Base_Financeiro[[#This Row],[PO No,]],0)</f>
        <v>0</v>
      </c>
      <c r="H572" s="36">
        <f>IFERROR(Tabela_Base_Financeiro[[#This Row],[Line No,]],0)</f>
        <v>0</v>
      </c>
      <c r="I572" s="36" t="str">
        <f>IFERROR(MID(Tabela_Base_Financeiro[[#This Row],[Manufacturer]],19,14),"")</f>
        <v/>
      </c>
      <c r="J572" s="113">
        <f>IFERROR(Tabela_Base_Financeiro[[#This Row],[Item code]],0)</f>
        <v>0</v>
      </c>
      <c r="K572" s="293">
        <f>IFERROR(Tabela_Base_Financeiro[[#This Row],[Unit Price]],0)</f>
        <v>0</v>
      </c>
      <c r="L572" s="36">
        <f>IFERROR(Tabela_Base_Financeiro[[#This Row],[AC Qty,]],0)</f>
        <v>0</v>
      </c>
      <c r="M572" s="60">
        <f>Tabela6[[#This Row],[Qty]]*Tabela6[[#This Row],[Preço]]</f>
        <v>0</v>
      </c>
      <c r="N572" s="37">
        <f>IFERROR(Tabela_Base_Financeiro[[#This Row],[Proportion]],0)</f>
        <v>0</v>
      </c>
      <c r="O572" s="60">
        <f>Tabela6[[#This Row],[Proporção]]*Tabela6[[#This Row],[Total]]</f>
        <v>0</v>
      </c>
      <c r="P572"/>
      <c r="Q572" s="59"/>
      <c r="R572" s="1"/>
    </row>
    <row r="573" spans="1:18">
      <c r="A573" s="122" t="e">
        <f>IF(VLOOKUP(Tabela6[[#This Row],[UF]],'BASE CC'!B:C,2,0)="SP",IF(Tabela6[[#This Row],[OPERADORA]]="TIM","SP TIM","SPI"),VLOOKUP(Tabela6[[#This Row],[UF]],'BASE CC'!B:C,2,0))</f>
        <v>#N/A</v>
      </c>
      <c r="B573" s="36" t="e">
        <f>VLOOKUP(Tabela_Base_Financeiro[[#This Row],[Item code]],'COD.FAT'!B:C,2,0)</f>
        <v>#N/A</v>
      </c>
      <c r="C573" s="292">
        <f>Tabela_Base_Financeiro[[#This Row],[PO Ship TO]]</f>
        <v>0</v>
      </c>
      <c r="D573" s="36" t="str">
        <f>RIGHT(Tabela_Base_Financeiro[[#This Row],[Manufacturer]],2)</f>
        <v/>
      </c>
      <c r="E57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73" s="122" t="e">
        <f>VLOOKUP(Tabela_Base_Financeiro[[#This Row],[Project Code]],'COD. PROJETOS'!B:D,3,0)</f>
        <v>#N/A</v>
      </c>
      <c r="G573" s="36">
        <f>IFERROR(Tabela_Base_Financeiro[[#This Row],[PO No,]],0)</f>
        <v>0</v>
      </c>
      <c r="H573" s="36">
        <f>IFERROR(Tabela_Base_Financeiro[[#This Row],[Line No,]],0)</f>
        <v>0</v>
      </c>
      <c r="I573" s="36" t="str">
        <f>IFERROR(MID(Tabela_Base_Financeiro[[#This Row],[Manufacturer]],19,14),"")</f>
        <v/>
      </c>
      <c r="J573" s="113">
        <f>IFERROR(Tabela_Base_Financeiro[[#This Row],[Item code]],0)</f>
        <v>0</v>
      </c>
      <c r="K573" s="293">
        <f>IFERROR(Tabela_Base_Financeiro[[#This Row],[Unit Price]],0)</f>
        <v>0</v>
      </c>
      <c r="L573" s="36">
        <f>IFERROR(Tabela_Base_Financeiro[[#This Row],[AC Qty,]],0)</f>
        <v>0</v>
      </c>
      <c r="M573" s="60">
        <f>Tabela6[[#This Row],[Qty]]*Tabela6[[#This Row],[Preço]]</f>
        <v>0</v>
      </c>
      <c r="N573" s="37">
        <f>IFERROR(Tabela_Base_Financeiro[[#This Row],[Proportion]],0)</f>
        <v>0</v>
      </c>
      <c r="O573" s="60">
        <f>Tabela6[[#This Row],[Proporção]]*Tabela6[[#This Row],[Total]]</f>
        <v>0</v>
      </c>
      <c r="P573"/>
      <c r="Q573" s="59"/>
      <c r="R573" s="1"/>
    </row>
    <row r="574" spans="1:18">
      <c r="A574" s="122" t="e">
        <f>IF(VLOOKUP(Tabela6[[#This Row],[UF]],'BASE CC'!B:C,2,0)="SP",IF(Tabela6[[#This Row],[OPERADORA]]="TIM","SP TIM","SPI"),VLOOKUP(Tabela6[[#This Row],[UF]],'BASE CC'!B:C,2,0))</f>
        <v>#N/A</v>
      </c>
      <c r="B574" s="36" t="e">
        <f>VLOOKUP(Tabela_Base_Financeiro[[#This Row],[Item code]],'COD.FAT'!B:C,2,0)</f>
        <v>#N/A</v>
      </c>
      <c r="C574" s="292">
        <f>Tabela_Base_Financeiro[[#This Row],[PO Ship TO]]</f>
        <v>0</v>
      </c>
      <c r="D574" s="36" t="str">
        <f>RIGHT(Tabela_Base_Financeiro[[#This Row],[Manufacturer]],2)</f>
        <v/>
      </c>
      <c r="E57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74" s="122" t="e">
        <f>VLOOKUP(Tabela_Base_Financeiro[[#This Row],[Project Code]],'COD. PROJETOS'!B:D,3,0)</f>
        <v>#N/A</v>
      </c>
      <c r="G574" s="36">
        <f>IFERROR(Tabela_Base_Financeiro[[#This Row],[PO No,]],0)</f>
        <v>0</v>
      </c>
      <c r="H574" s="36">
        <f>IFERROR(Tabela_Base_Financeiro[[#This Row],[Line No,]],0)</f>
        <v>0</v>
      </c>
      <c r="I574" s="36" t="str">
        <f>IFERROR(MID(Tabela_Base_Financeiro[[#This Row],[Manufacturer]],19,14),"")</f>
        <v/>
      </c>
      <c r="J574" s="113">
        <f>IFERROR(Tabela_Base_Financeiro[[#This Row],[Item code]],0)</f>
        <v>0</v>
      </c>
      <c r="K574" s="293">
        <f>IFERROR(Tabela_Base_Financeiro[[#This Row],[Unit Price]],0)</f>
        <v>0</v>
      </c>
      <c r="L574" s="36">
        <f>IFERROR(Tabela_Base_Financeiro[[#This Row],[AC Qty,]],0)</f>
        <v>0</v>
      </c>
      <c r="M574" s="60">
        <f>Tabela6[[#This Row],[Qty]]*Tabela6[[#This Row],[Preço]]</f>
        <v>0</v>
      </c>
      <c r="N574" s="37">
        <f>IFERROR(Tabela_Base_Financeiro[[#This Row],[Proportion]],0)</f>
        <v>0</v>
      </c>
      <c r="O574" s="60">
        <f>Tabela6[[#This Row],[Proporção]]*Tabela6[[#This Row],[Total]]</f>
        <v>0</v>
      </c>
      <c r="P574"/>
      <c r="Q574" s="59"/>
      <c r="R574" s="1"/>
    </row>
    <row r="575" spans="1:18">
      <c r="A575" s="122" t="e">
        <f>IF(VLOOKUP(Tabela6[[#This Row],[UF]],'BASE CC'!B:C,2,0)="SP",IF(Tabela6[[#This Row],[OPERADORA]]="TIM","SP TIM","SPI"),VLOOKUP(Tabela6[[#This Row],[UF]],'BASE CC'!B:C,2,0))</f>
        <v>#N/A</v>
      </c>
      <c r="B575" s="36" t="e">
        <f>VLOOKUP(Tabela_Base_Financeiro[[#This Row],[Item code]],'COD.FAT'!B:C,2,0)</f>
        <v>#N/A</v>
      </c>
      <c r="C575" s="292">
        <f>Tabela_Base_Financeiro[[#This Row],[PO Ship TO]]</f>
        <v>0</v>
      </c>
      <c r="D575" s="36" t="str">
        <f>RIGHT(Tabela_Base_Financeiro[[#This Row],[Manufacturer]],2)</f>
        <v/>
      </c>
      <c r="E57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75" s="122" t="e">
        <f>VLOOKUP(Tabela_Base_Financeiro[[#This Row],[Project Code]],'COD. PROJETOS'!B:D,3,0)</f>
        <v>#N/A</v>
      </c>
      <c r="G575" s="36">
        <f>IFERROR(Tabela_Base_Financeiro[[#This Row],[PO No,]],0)</f>
        <v>0</v>
      </c>
      <c r="H575" s="36">
        <f>IFERROR(Tabela_Base_Financeiro[[#This Row],[Line No,]],0)</f>
        <v>0</v>
      </c>
      <c r="I575" s="36" t="str">
        <f>IFERROR(MID(Tabela_Base_Financeiro[[#This Row],[Manufacturer]],19,14),"")</f>
        <v/>
      </c>
      <c r="J575" s="113">
        <f>IFERROR(Tabela_Base_Financeiro[[#This Row],[Item code]],0)</f>
        <v>0</v>
      </c>
      <c r="K575" s="293">
        <f>IFERROR(Tabela_Base_Financeiro[[#This Row],[Unit Price]],0)</f>
        <v>0</v>
      </c>
      <c r="L575" s="36">
        <f>IFERROR(Tabela_Base_Financeiro[[#This Row],[AC Qty,]],0)</f>
        <v>0</v>
      </c>
      <c r="M575" s="60">
        <f>Tabela6[[#This Row],[Qty]]*Tabela6[[#This Row],[Preço]]</f>
        <v>0</v>
      </c>
      <c r="N575" s="37">
        <f>IFERROR(Tabela_Base_Financeiro[[#This Row],[Proportion]],0)</f>
        <v>0</v>
      </c>
      <c r="O575" s="60">
        <f>Tabela6[[#This Row],[Proporção]]*Tabela6[[#This Row],[Total]]</f>
        <v>0</v>
      </c>
      <c r="P575"/>
      <c r="Q575" s="59"/>
      <c r="R575" s="1"/>
    </row>
    <row r="576" spans="1:18">
      <c r="A576" s="122" t="e">
        <f>IF(VLOOKUP(Tabela6[[#This Row],[UF]],'BASE CC'!B:C,2,0)="SP",IF(Tabela6[[#This Row],[OPERADORA]]="TIM","SP TIM","SPI"),VLOOKUP(Tabela6[[#This Row],[UF]],'BASE CC'!B:C,2,0))</f>
        <v>#N/A</v>
      </c>
      <c r="B576" s="36" t="e">
        <f>VLOOKUP(Tabela_Base_Financeiro[[#This Row],[Item code]],'COD.FAT'!B:C,2,0)</f>
        <v>#N/A</v>
      </c>
      <c r="C576" s="292">
        <f>Tabela_Base_Financeiro[[#This Row],[PO Ship TO]]</f>
        <v>0</v>
      </c>
      <c r="D576" s="36" t="str">
        <f>RIGHT(Tabela_Base_Financeiro[[#This Row],[Manufacturer]],2)</f>
        <v/>
      </c>
      <c r="E57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76" s="122" t="e">
        <f>VLOOKUP(Tabela_Base_Financeiro[[#This Row],[Project Code]],'COD. PROJETOS'!B:D,3,0)</f>
        <v>#N/A</v>
      </c>
      <c r="G576" s="36">
        <f>IFERROR(Tabela_Base_Financeiro[[#This Row],[PO No,]],0)</f>
        <v>0</v>
      </c>
      <c r="H576" s="36">
        <f>IFERROR(Tabela_Base_Financeiro[[#This Row],[Line No,]],0)</f>
        <v>0</v>
      </c>
      <c r="I576" s="36" t="str">
        <f>IFERROR(MID(Tabela_Base_Financeiro[[#This Row],[Manufacturer]],19,14),"")</f>
        <v/>
      </c>
      <c r="J576" s="113">
        <f>IFERROR(Tabela_Base_Financeiro[[#This Row],[Item code]],0)</f>
        <v>0</v>
      </c>
      <c r="K576" s="293">
        <f>IFERROR(Tabela_Base_Financeiro[[#This Row],[Unit Price]],0)</f>
        <v>0</v>
      </c>
      <c r="L576" s="36">
        <f>IFERROR(Tabela_Base_Financeiro[[#This Row],[AC Qty,]],0)</f>
        <v>0</v>
      </c>
      <c r="M576" s="60">
        <f>Tabela6[[#This Row],[Qty]]*Tabela6[[#This Row],[Preço]]</f>
        <v>0</v>
      </c>
      <c r="N576" s="37">
        <f>IFERROR(Tabela_Base_Financeiro[[#This Row],[Proportion]],0)</f>
        <v>0</v>
      </c>
      <c r="O576" s="60">
        <f>Tabela6[[#This Row],[Proporção]]*Tabela6[[#This Row],[Total]]</f>
        <v>0</v>
      </c>
      <c r="P576"/>
      <c r="Q576" s="59"/>
      <c r="R576" s="1"/>
    </row>
    <row r="577" spans="1:18">
      <c r="A577" s="122" t="e">
        <f>IF(VLOOKUP(Tabela6[[#This Row],[UF]],'BASE CC'!B:C,2,0)="SP",IF(Tabela6[[#This Row],[OPERADORA]]="TIM","SP TIM","SPI"),VLOOKUP(Tabela6[[#This Row],[UF]],'BASE CC'!B:C,2,0))</f>
        <v>#N/A</v>
      </c>
      <c r="B577" s="36" t="e">
        <f>VLOOKUP(Tabela_Base_Financeiro[[#This Row],[Item code]],'COD.FAT'!B:C,2,0)</f>
        <v>#N/A</v>
      </c>
      <c r="C577" s="292">
        <f>Tabela_Base_Financeiro[[#This Row],[PO Ship TO]]</f>
        <v>0</v>
      </c>
      <c r="D577" s="36" t="str">
        <f>RIGHT(Tabela_Base_Financeiro[[#This Row],[Manufacturer]],2)</f>
        <v/>
      </c>
      <c r="E57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77" s="122" t="e">
        <f>VLOOKUP(Tabela_Base_Financeiro[[#This Row],[Project Code]],'COD. PROJETOS'!B:D,3,0)</f>
        <v>#N/A</v>
      </c>
      <c r="G577" s="36">
        <f>IFERROR(Tabela_Base_Financeiro[[#This Row],[PO No,]],0)</f>
        <v>0</v>
      </c>
      <c r="H577" s="36">
        <f>IFERROR(Tabela_Base_Financeiro[[#This Row],[Line No,]],0)</f>
        <v>0</v>
      </c>
      <c r="I577" s="36" t="str">
        <f>IFERROR(MID(Tabela_Base_Financeiro[[#This Row],[Manufacturer]],19,14),"")</f>
        <v/>
      </c>
      <c r="J577" s="113">
        <f>IFERROR(Tabela_Base_Financeiro[[#This Row],[Item code]],0)</f>
        <v>0</v>
      </c>
      <c r="K577" s="293">
        <f>IFERROR(Tabela_Base_Financeiro[[#This Row],[Unit Price]],0)</f>
        <v>0</v>
      </c>
      <c r="L577" s="36">
        <f>IFERROR(Tabela_Base_Financeiro[[#This Row],[AC Qty,]],0)</f>
        <v>0</v>
      </c>
      <c r="M577" s="60">
        <f>Tabela6[[#This Row],[Qty]]*Tabela6[[#This Row],[Preço]]</f>
        <v>0</v>
      </c>
      <c r="N577" s="37">
        <f>IFERROR(Tabela_Base_Financeiro[[#This Row],[Proportion]],0)</f>
        <v>0</v>
      </c>
      <c r="O577" s="60">
        <f>Tabela6[[#This Row],[Proporção]]*Tabela6[[#This Row],[Total]]</f>
        <v>0</v>
      </c>
      <c r="P577"/>
      <c r="Q577" s="59"/>
      <c r="R577" s="1"/>
    </row>
    <row r="578" spans="1:18">
      <c r="A578" s="122" t="e">
        <f>IF(VLOOKUP(Tabela6[[#This Row],[UF]],'BASE CC'!B:C,2,0)="SP",IF(Tabela6[[#This Row],[OPERADORA]]="TIM","SP TIM","SPI"),VLOOKUP(Tabela6[[#This Row],[UF]],'BASE CC'!B:C,2,0))</f>
        <v>#N/A</v>
      </c>
      <c r="B578" s="36" t="e">
        <f>VLOOKUP(Tabela_Base_Financeiro[[#This Row],[Item code]],'COD.FAT'!B:C,2,0)</f>
        <v>#N/A</v>
      </c>
      <c r="C578" s="292">
        <f>Tabela_Base_Financeiro[[#This Row],[PO Ship TO]]</f>
        <v>0</v>
      </c>
      <c r="D578" s="36" t="str">
        <f>RIGHT(Tabela_Base_Financeiro[[#This Row],[Manufacturer]],2)</f>
        <v/>
      </c>
      <c r="E57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78" s="122" t="e">
        <f>VLOOKUP(Tabela_Base_Financeiro[[#This Row],[Project Code]],'COD. PROJETOS'!B:D,3,0)</f>
        <v>#N/A</v>
      </c>
      <c r="G578" s="36">
        <f>IFERROR(Tabela_Base_Financeiro[[#This Row],[PO No,]],0)</f>
        <v>0</v>
      </c>
      <c r="H578" s="36">
        <f>IFERROR(Tabela_Base_Financeiro[[#This Row],[Line No,]],0)</f>
        <v>0</v>
      </c>
      <c r="I578" s="36" t="str">
        <f>IFERROR(MID(Tabela_Base_Financeiro[[#This Row],[Manufacturer]],19,14),"")</f>
        <v/>
      </c>
      <c r="J578" s="113">
        <f>IFERROR(Tabela_Base_Financeiro[[#This Row],[Item code]],0)</f>
        <v>0</v>
      </c>
      <c r="K578" s="293">
        <f>IFERROR(Tabela_Base_Financeiro[[#This Row],[Unit Price]],0)</f>
        <v>0</v>
      </c>
      <c r="L578" s="36">
        <f>IFERROR(Tabela_Base_Financeiro[[#This Row],[AC Qty,]],0)</f>
        <v>0</v>
      </c>
      <c r="M578" s="60">
        <f>Tabela6[[#This Row],[Qty]]*Tabela6[[#This Row],[Preço]]</f>
        <v>0</v>
      </c>
      <c r="N578" s="37">
        <f>IFERROR(Tabela_Base_Financeiro[[#This Row],[Proportion]],0)</f>
        <v>0</v>
      </c>
      <c r="O578" s="60">
        <f>Tabela6[[#This Row],[Proporção]]*Tabela6[[#This Row],[Total]]</f>
        <v>0</v>
      </c>
      <c r="P578"/>
      <c r="Q578" s="59"/>
      <c r="R578" s="1"/>
    </row>
    <row r="579" spans="1:18">
      <c r="A579" s="122" t="e">
        <f>IF(VLOOKUP(Tabela6[[#This Row],[UF]],'BASE CC'!B:C,2,0)="SP",IF(Tabela6[[#This Row],[OPERADORA]]="TIM","SP TIM","SPI"),VLOOKUP(Tabela6[[#This Row],[UF]],'BASE CC'!B:C,2,0))</f>
        <v>#N/A</v>
      </c>
      <c r="B579" s="36" t="e">
        <f>VLOOKUP(Tabela_Base_Financeiro[[#This Row],[Item code]],'COD.FAT'!B:C,2,0)</f>
        <v>#N/A</v>
      </c>
      <c r="C579" s="292">
        <f>Tabela_Base_Financeiro[[#This Row],[PO Ship TO]]</f>
        <v>0</v>
      </c>
      <c r="D579" s="36" t="str">
        <f>RIGHT(Tabela_Base_Financeiro[[#This Row],[Manufacturer]],2)</f>
        <v/>
      </c>
      <c r="E57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79" s="122" t="e">
        <f>VLOOKUP(Tabela_Base_Financeiro[[#This Row],[Project Code]],'COD. PROJETOS'!B:D,3,0)</f>
        <v>#N/A</v>
      </c>
      <c r="G579" s="36">
        <f>IFERROR(Tabela_Base_Financeiro[[#This Row],[PO No,]],0)</f>
        <v>0</v>
      </c>
      <c r="H579" s="36">
        <f>IFERROR(Tabela_Base_Financeiro[[#This Row],[Line No,]],0)</f>
        <v>0</v>
      </c>
      <c r="I579" s="36" t="str">
        <f>IFERROR(MID(Tabela_Base_Financeiro[[#This Row],[Manufacturer]],19,14),"")</f>
        <v/>
      </c>
      <c r="J579" s="113">
        <f>IFERROR(Tabela_Base_Financeiro[[#This Row],[Item code]],0)</f>
        <v>0</v>
      </c>
      <c r="K579" s="293">
        <f>IFERROR(Tabela_Base_Financeiro[[#This Row],[Unit Price]],0)</f>
        <v>0</v>
      </c>
      <c r="L579" s="36">
        <f>IFERROR(Tabela_Base_Financeiro[[#This Row],[AC Qty,]],0)</f>
        <v>0</v>
      </c>
      <c r="M579" s="60">
        <f>Tabela6[[#This Row],[Qty]]*Tabela6[[#This Row],[Preço]]</f>
        <v>0</v>
      </c>
      <c r="N579" s="37">
        <f>IFERROR(Tabela_Base_Financeiro[[#This Row],[Proportion]],0)</f>
        <v>0</v>
      </c>
      <c r="O579" s="60">
        <f>Tabela6[[#This Row],[Proporção]]*Tabela6[[#This Row],[Total]]</f>
        <v>0</v>
      </c>
      <c r="P579"/>
      <c r="Q579" s="59"/>
      <c r="R579" s="1"/>
    </row>
    <row r="580" spans="1:18">
      <c r="A580" s="122" t="e">
        <f>IF(VLOOKUP(Tabela6[[#This Row],[UF]],'BASE CC'!B:C,2,0)="SP",IF(Tabela6[[#This Row],[OPERADORA]]="TIM","SP TIM","SPI"),VLOOKUP(Tabela6[[#This Row],[UF]],'BASE CC'!B:C,2,0))</f>
        <v>#N/A</v>
      </c>
      <c r="B580" s="36" t="e">
        <f>VLOOKUP(Tabela_Base_Financeiro[[#This Row],[Item code]],'COD.FAT'!B:C,2,0)</f>
        <v>#N/A</v>
      </c>
      <c r="C580" s="292">
        <f>Tabela_Base_Financeiro[[#This Row],[PO Ship TO]]</f>
        <v>0</v>
      </c>
      <c r="D580" s="36" t="str">
        <f>RIGHT(Tabela_Base_Financeiro[[#This Row],[Manufacturer]],2)</f>
        <v/>
      </c>
      <c r="E58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80" s="122" t="e">
        <f>VLOOKUP(Tabela_Base_Financeiro[[#This Row],[Project Code]],'COD. PROJETOS'!B:D,3,0)</f>
        <v>#N/A</v>
      </c>
      <c r="G580" s="36">
        <f>IFERROR(Tabela_Base_Financeiro[[#This Row],[PO No,]],0)</f>
        <v>0</v>
      </c>
      <c r="H580" s="36">
        <f>IFERROR(Tabela_Base_Financeiro[[#This Row],[Line No,]],0)</f>
        <v>0</v>
      </c>
      <c r="I580" s="36" t="str">
        <f>IFERROR(MID(Tabela_Base_Financeiro[[#This Row],[Manufacturer]],19,14),"")</f>
        <v/>
      </c>
      <c r="J580" s="113">
        <f>IFERROR(Tabela_Base_Financeiro[[#This Row],[Item code]],0)</f>
        <v>0</v>
      </c>
      <c r="K580" s="293">
        <f>IFERROR(Tabela_Base_Financeiro[[#This Row],[Unit Price]],0)</f>
        <v>0</v>
      </c>
      <c r="L580" s="36">
        <f>IFERROR(Tabela_Base_Financeiro[[#This Row],[AC Qty,]],0)</f>
        <v>0</v>
      </c>
      <c r="M580" s="60">
        <f>Tabela6[[#This Row],[Qty]]*Tabela6[[#This Row],[Preço]]</f>
        <v>0</v>
      </c>
      <c r="N580" s="37">
        <f>IFERROR(Tabela_Base_Financeiro[[#This Row],[Proportion]],0)</f>
        <v>0</v>
      </c>
      <c r="O580" s="60">
        <f>Tabela6[[#This Row],[Proporção]]*Tabela6[[#This Row],[Total]]</f>
        <v>0</v>
      </c>
      <c r="P580"/>
      <c r="Q580" s="59"/>
      <c r="R580" s="1"/>
    </row>
    <row r="581" spans="1:18">
      <c r="A581" s="122" t="e">
        <f>IF(VLOOKUP(Tabela6[[#This Row],[UF]],'BASE CC'!B:C,2,0)="SP",IF(Tabela6[[#This Row],[OPERADORA]]="TIM","SP TIM","SPI"),VLOOKUP(Tabela6[[#This Row],[UF]],'BASE CC'!B:C,2,0))</f>
        <v>#N/A</v>
      </c>
      <c r="B581" s="36" t="e">
        <f>VLOOKUP(Tabela_Base_Financeiro[[#This Row],[Item code]],'COD.FAT'!B:C,2,0)</f>
        <v>#N/A</v>
      </c>
      <c r="C581" s="292">
        <f>Tabela_Base_Financeiro[[#This Row],[PO Ship TO]]</f>
        <v>0</v>
      </c>
      <c r="D581" s="36" t="str">
        <f>RIGHT(Tabela_Base_Financeiro[[#This Row],[Manufacturer]],2)</f>
        <v/>
      </c>
      <c r="E58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81" s="122" t="e">
        <f>VLOOKUP(Tabela_Base_Financeiro[[#This Row],[Project Code]],'COD. PROJETOS'!B:D,3,0)</f>
        <v>#N/A</v>
      </c>
      <c r="G581" s="36">
        <f>IFERROR(Tabela_Base_Financeiro[[#This Row],[PO No,]],0)</f>
        <v>0</v>
      </c>
      <c r="H581" s="36">
        <f>IFERROR(Tabela_Base_Financeiro[[#This Row],[Line No,]],0)</f>
        <v>0</v>
      </c>
      <c r="I581" s="36" t="str">
        <f>IFERROR(MID(Tabela_Base_Financeiro[[#This Row],[Manufacturer]],19,14),"")</f>
        <v/>
      </c>
      <c r="J581" s="113">
        <f>IFERROR(Tabela_Base_Financeiro[[#This Row],[Item code]],0)</f>
        <v>0</v>
      </c>
      <c r="K581" s="293">
        <f>IFERROR(Tabela_Base_Financeiro[[#This Row],[Unit Price]],0)</f>
        <v>0</v>
      </c>
      <c r="L581" s="36">
        <f>IFERROR(Tabela_Base_Financeiro[[#This Row],[AC Qty,]],0)</f>
        <v>0</v>
      </c>
      <c r="M581" s="60">
        <f>Tabela6[[#This Row],[Qty]]*Tabela6[[#This Row],[Preço]]</f>
        <v>0</v>
      </c>
      <c r="N581" s="37">
        <f>IFERROR(Tabela_Base_Financeiro[[#This Row],[Proportion]],0)</f>
        <v>0</v>
      </c>
      <c r="O581" s="60">
        <f>Tabela6[[#This Row],[Proporção]]*Tabela6[[#This Row],[Total]]</f>
        <v>0</v>
      </c>
      <c r="P581"/>
      <c r="Q581" s="59"/>
      <c r="R581" s="1"/>
    </row>
    <row r="582" spans="1:18">
      <c r="A582" s="122" t="e">
        <f>IF(VLOOKUP(Tabela6[[#This Row],[UF]],'BASE CC'!B:C,2,0)="SP",IF(Tabela6[[#This Row],[OPERADORA]]="TIM","SP TIM","SPI"),VLOOKUP(Tabela6[[#This Row],[UF]],'BASE CC'!B:C,2,0))</f>
        <v>#N/A</v>
      </c>
      <c r="B582" s="36" t="e">
        <f>VLOOKUP(Tabela_Base_Financeiro[[#This Row],[Item code]],'COD.FAT'!B:C,2,0)</f>
        <v>#N/A</v>
      </c>
      <c r="C582" s="292">
        <f>Tabela_Base_Financeiro[[#This Row],[PO Ship TO]]</f>
        <v>0</v>
      </c>
      <c r="D582" s="36" t="str">
        <f>RIGHT(Tabela_Base_Financeiro[[#This Row],[Manufacturer]],2)</f>
        <v/>
      </c>
      <c r="E58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82" s="122" t="e">
        <f>VLOOKUP(Tabela_Base_Financeiro[[#This Row],[Project Code]],'COD. PROJETOS'!B:D,3,0)</f>
        <v>#N/A</v>
      </c>
      <c r="G582" s="36">
        <f>IFERROR(Tabela_Base_Financeiro[[#This Row],[PO No,]],0)</f>
        <v>0</v>
      </c>
      <c r="H582" s="36">
        <f>IFERROR(Tabela_Base_Financeiro[[#This Row],[Line No,]],0)</f>
        <v>0</v>
      </c>
      <c r="I582" s="36" t="str">
        <f>IFERROR(MID(Tabela_Base_Financeiro[[#This Row],[Manufacturer]],19,14),"")</f>
        <v/>
      </c>
      <c r="J582" s="113">
        <f>IFERROR(Tabela_Base_Financeiro[[#This Row],[Item code]],0)</f>
        <v>0</v>
      </c>
      <c r="K582" s="293">
        <f>IFERROR(Tabela_Base_Financeiro[[#This Row],[Unit Price]],0)</f>
        <v>0</v>
      </c>
      <c r="L582" s="36">
        <f>IFERROR(Tabela_Base_Financeiro[[#This Row],[AC Qty,]],0)</f>
        <v>0</v>
      </c>
      <c r="M582" s="60">
        <f>Tabela6[[#This Row],[Qty]]*Tabela6[[#This Row],[Preço]]</f>
        <v>0</v>
      </c>
      <c r="N582" s="37">
        <f>IFERROR(Tabela_Base_Financeiro[[#This Row],[Proportion]],0)</f>
        <v>0</v>
      </c>
      <c r="O582" s="60">
        <f>Tabela6[[#This Row],[Proporção]]*Tabela6[[#This Row],[Total]]</f>
        <v>0</v>
      </c>
      <c r="P582"/>
      <c r="Q582" s="59"/>
      <c r="R582" s="1"/>
    </row>
    <row r="583" spans="1:18">
      <c r="A583" s="122" t="e">
        <f>IF(VLOOKUP(Tabela6[[#This Row],[UF]],'BASE CC'!B:C,2,0)="SP",IF(Tabela6[[#This Row],[OPERADORA]]="TIM","SP TIM","SPI"),VLOOKUP(Tabela6[[#This Row],[UF]],'BASE CC'!B:C,2,0))</f>
        <v>#N/A</v>
      </c>
      <c r="B583" s="36" t="e">
        <f>VLOOKUP(Tabela_Base_Financeiro[[#This Row],[Item code]],'COD.FAT'!B:C,2,0)</f>
        <v>#N/A</v>
      </c>
      <c r="C583" s="292">
        <f>Tabela_Base_Financeiro[[#This Row],[PO Ship TO]]</f>
        <v>0</v>
      </c>
      <c r="D583" s="36" t="str">
        <f>RIGHT(Tabela_Base_Financeiro[[#This Row],[Manufacturer]],2)</f>
        <v/>
      </c>
      <c r="E58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83" s="122" t="e">
        <f>VLOOKUP(Tabela_Base_Financeiro[[#This Row],[Project Code]],'COD. PROJETOS'!B:D,3,0)</f>
        <v>#N/A</v>
      </c>
      <c r="G583" s="36">
        <f>IFERROR(Tabela_Base_Financeiro[[#This Row],[PO No,]],0)</f>
        <v>0</v>
      </c>
      <c r="H583" s="36">
        <f>IFERROR(Tabela_Base_Financeiro[[#This Row],[Line No,]],0)</f>
        <v>0</v>
      </c>
      <c r="I583" s="36" t="str">
        <f>IFERROR(MID(Tabela_Base_Financeiro[[#This Row],[Manufacturer]],19,14),"")</f>
        <v/>
      </c>
      <c r="J583" s="113">
        <f>IFERROR(Tabela_Base_Financeiro[[#This Row],[Item code]],0)</f>
        <v>0</v>
      </c>
      <c r="K583" s="293">
        <f>IFERROR(Tabela_Base_Financeiro[[#This Row],[Unit Price]],0)</f>
        <v>0</v>
      </c>
      <c r="L583" s="36">
        <f>IFERROR(Tabela_Base_Financeiro[[#This Row],[AC Qty,]],0)</f>
        <v>0</v>
      </c>
      <c r="M583" s="60">
        <f>Tabela6[[#This Row],[Qty]]*Tabela6[[#This Row],[Preço]]</f>
        <v>0</v>
      </c>
      <c r="N583" s="37">
        <f>IFERROR(Tabela_Base_Financeiro[[#This Row],[Proportion]],0)</f>
        <v>0</v>
      </c>
      <c r="O583" s="60">
        <f>Tabela6[[#This Row],[Proporção]]*Tabela6[[#This Row],[Total]]</f>
        <v>0</v>
      </c>
      <c r="P583"/>
      <c r="Q583" s="59"/>
      <c r="R583" s="1"/>
    </row>
    <row r="584" spans="1:18">
      <c r="A584" s="122" t="e">
        <f>IF(VLOOKUP(Tabela6[[#This Row],[UF]],'BASE CC'!B:C,2,0)="SP",IF(Tabela6[[#This Row],[OPERADORA]]="TIM","SP TIM","SPI"),VLOOKUP(Tabela6[[#This Row],[UF]],'BASE CC'!B:C,2,0))</f>
        <v>#N/A</v>
      </c>
      <c r="B584" s="36" t="e">
        <f>VLOOKUP(Tabela_Base_Financeiro[[#This Row],[Item code]],'COD.FAT'!B:C,2,0)</f>
        <v>#N/A</v>
      </c>
      <c r="C584" s="292">
        <f>Tabela_Base_Financeiro[[#This Row],[PO Ship TO]]</f>
        <v>0</v>
      </c>
      <c r="D584" s="36" t="str">
        <f>RIGHT(Tabela_Base_Financeiro[[#This Row],[Manufacturer]],2)</f>
        <v/>
      </c>
      <c r="E58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84" s="122" t="e">
        <f>VLOOKUP(Tabela_Base_Financeiro[[#This Row],[Project Code]],'COD. PROJETOS'!B:D,3,0)</f>
        <v>#N/A</v>
      </c>
      <c r="G584" s="36">
        <f>IFERROR(Tabela_Base_Financeiro[[#This Row],[PO No,]],0)</f>
        <v>0</v>
      </c>
      <c r="H584" s="36">
        <f>IFERROR(Tabela_Base_Financeiro[[#This Row],[Line No,]],0)</f>
        <v>0</v>
      </c>
      <c r="I584" s="36" t="str">
        <f>IFERROR(MID(Tabela_Base_Financeiro[[#This Row],[Manufacturer]],19,14),"")</f>
        <v/>
      </c>
      <c r="J584" s="113">
        <f>IFERROR(Tabela_Base_Financeiro[[#This Row],[Item code]],0)</f>
        <v>0</v>
      </c>
      <c r="K584" s="293">
        <f>IFERROR(Tabela_Base_Financeiro[[#This Row],[Unit Price]],0)</f>
        <v>0</v>
      </c>
      <c r="L584" s="36">
        <f>IFERROR(Tabela_Base_Financeiro[[#This Row],[AC Qty,]],0)</f>
        <v>0</v>
      </c>
      <c r="M584" s="60">
        <f>Tabela6[[#This Row],[Qty]]*Tabela6[[#This Row],[Preço]]</f>
        <v>0</v>
      </c>
      <c r="N584" s="37">
        <f>IFERROR(Tabela_Base_Financeiro[[#This Row],[Proportion]],0)</f>
        <v>0</v>
      </c>
      <c r="O584" s="60">
        <f>Tabela6[[#This Row],[Proporção]]*Tabela6[[#This Row],[Total]]</f>
        <v>0</v>
      </c>
      <c r="P584"/>
      <c r="Q584" s="59"/>
      <c r="R584" s="1"/>
    </row>
    <row r="585" spans="1:18">
      <c r="A585" s="122" t="e">
        <f>IF(VLOOKUP(Tabela6[[#This Row],[UF]],'BASE CC'!B:C,2,0)="SP",IF(Tabela6[[#This Row],[OPERADORA]]="TIM","SP TIM","SPI"),VLOOKUP(Tabela6[[#This Row],[UF]],'BASE CC'!B:C,2,0))</f>
        <v>#N/A</v>
      </c>
      <c r="B585" s="36" t="e">
        <f>VLOOKUP(Tabela_Base_Financeiro[[#This Row],[Item code]],'COD.FAT'!B:C,2,0)</f>
        <v>#N/A</v>
      </c>
      <c r="C585" s="292">
        <f>Tabela_Base_Financeiro[[#This Row],[PO Ship TO]]</f>
        <v>0</v>
      </c>
      <c r="D585" s="36" t="str">
        <f>RIGHT(Tabela_Base_Financeiro[[#This Row],[Manufacturer]],2)</f>
        <v/>
      </c>
      <c r="E58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85" s="122" t="e">
        <f>VLOOKUP(Tabela_Base_Financeiro[[#This Row],[Project Code]],'COD. PROJETOS'!B:D,3,0)</f>
        <v>#N/A</v>
      </c>
      <c r="G585" s="36">
        <f>IFERROR(Tabela_Base_Financeiro[[#This Row],[PO No,]],0)</f>
        <v>0</v>
      </c>
      <c r="H585" s="36">
        <f>IFERROR(Tabela_Base_Financeiro[[#This Row],[Line No,]],0)</f>
        <v>0</v>
      </c>
      <c r="I585" s="36" t="str">
        <f>IFERROR(MID(Tabela_Base_Financeiro[[#This Row],[Manufacturer]],19,14),"")</f>
        <v/>
      </c>
      <c r="J585" s="113">
        <f>IFERROR(Tabela_Base_Financeiro[[#This Row],[Item code]],0)</f>
        <v>0</v>
      </c>
      <c r="K585" s="293">
        <f>IFERROR(Tabela_Base_Financeiro[[#This Row],[Unit Price]],0)</f>
        <v>0</v>
      </c>
      <c r="L585" s="36">
        <f>IFERROR(Tabela_Base_Financeiro[[#This Row],[AC Qty,]],0)</f>
        <v>0</v>
      </c>
      <c r="M585" s="60">
        <f>Tabela6[[#This Row],[Qty]]*Tabela6[[#This Row],[Preço]]</f>
        <v>0</v>
      </c>
      <c r="N585" s="37">
        <f>IFERROR(Tabela_Base_Financeiro[[#This Row],[Proportion]],0)</f>
        <v>0</v>
      </c>
      <c r="O585" s="60">
        <f>Tabela6[[#This Row],[Proporção]]*Tabela6[[#This Row],[Total]]</f>
        <v>0</v>
      </c>
      <c r="P585"/>
      <c r="Q585" s="59"/>
      <c r="R585" s="1"/>
    </row>
    <row r="586" spans="1:18">
      <c r="A586" s="122" t="e">
        <f>IF(VLOOKUP(Tabela6[[#This Row],[UF]],'BASE CC'!B:C,2,0)="SP",IF(Tabela6[[#This Row],[OPERADORA]]="TIM","SP TIM","SPI"),VLOOKUP(Tabela6[[#This Row],[UF]],'BASE CC'!B:C,2,0))</f>
        <v>#N/A</v>
      </c>
      <c r="B586" s="36" t="e">
        <f>VLOOKUP(Tabela_Base_Financeiro[[#This Row],[Item code]],'COD.FAT'!B:C,2,0)</f>
        <v>#N/A</v>
      </c>
      <c r="C586" s="292">
        <f>Tabela_Base_Financeiro[[#This Row],[PO Ship TO]]</f>
        <v>0</v>
      </c>
      <c r="D586" s="36" t="str">
        <f>RIGHT(Tabela_Base_Financeiro[[#This Row],[Manufacturer]],2)</f>
        <v/>
      </c>
      <c r="E58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86" s="122" t="e">
        <f>VLOOKUP(Tabela_Base_Financeiro[[#This Row],[Project Code]],'COD. PROJETOS'!B:D,3,0)</f>
        <v>#N/A</v>
      </c>
      <c r="G586" s="36">
        <f>IFERROR(Tabela_Base_Financeiro[[#This Row],[PO No,]],0)</f>
        <v>0</v>
      </c>
      <c r="H586" s="36">
        <f>IFERROR(Tabela_Base_Financeiro[[#This Row],[Line No,]],0)</f>
        <v>0</v>
      </c>
      <c r="I586" s="36" t="str">
        <f>IFERROR(MID(Tabela_Base_Financeiro[[#This Row],[Manufacturer]],19,14),"")</f>
        <v/>
      </c>
      <c r="J586" s="113">
        <f>IFERROR(Tabela_Base_Financeiro[[#This Row],[Item code]],0)</f>
        <v>0</v>
      </c>
      <c r="K586" s="293">
        <f>IFERROR(Tabela_Base_Financeiro[[#This Row],[Unit Price]],0)</f>
        <v>0</v>
      </c>
      <c r="L586" s="36">
        <f>IFERROR(Tabela_Base_Financeiro[[#This Row],[AC Qty,]],0)</f>
        <v>0</v>
      </c>
      <c r="M586" s="60">
        <f>Tabela6[[#This Row],[Qty]]*Tabela6[[#This Row],[Preço]]</f>
        <v>0</v>
      </c>
      <c r="N586" s="37">
        <f>IFERROR(Tabela_Base_Financeiro[[#This Row],[Proportion]],0)</f>
        <v>0</v>
      </c>
      <c r="O586" s="60">
        <f>Tabela6[[#This Row],[Proporção]]*Tabela6[[#This Row],[Total]]</f>
        <v>0</v>
      </c>
      <c r="P586"/>
      <c r="Q586" s="59"/>
      <c r="R586" s="1"/>
    </row>
    <row r="587" spans="1:18">
      <c r="A587" s="122" t="e">
        <f>IF(VLOOKUP(Tabela6[[#This Row],[UF]],'BASE CC'!B:C,2,0)="SP",IF(Tabela6[[#This Row],[OPERADORA]]="TIM","SP TIM","SPI"),VLOOKUP(Tabela6[[#This Row],[UF]],'BASE CC'!B:C,2,0))</f>
        <v>#N/A</v>
      </c>
      <c r="B587" s="36" t="e">
        <f>VLOOKUP(Tabela_Base_Financeiro[[#This Row],[Item code]],'COD.FAT'!B:C,2,0)</f>
        <v>#N/A</v>
      </c>
      <c r="C587" s="292">
        <f>Tabela_Base_Financeiro[[#This Row],[PO Ship TO]]</f>
        <v>0</v>
      </c>
      <c r="D587" s="36" t="str">
        <f>RIGHT(Tabela_Base_Financeiro[[#This Row],[Manufacturer]],2)</f>
        <v/>
      </c>
      <c r="E58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87" s="122" t="e">
        <f>VLOOKUP(Tabela_Base_Financeiro[[#This Row],[Project Code]],'COD. PROJETOS'!B:D,3,0)</f>
        <v>#N/A</v>
      </c>
      <c r="G587" s="36">
        <f>IFERROR(Tabela_Base_Financeiro[[#This Row],[PO No,]],0)</f>
        <v>0</v>
      </c>
      <c r="H587" s="36">
        <f>IFERROR(Tabela_Base_Financeiro[[#This Row],[Line No,]],0)</f>
        <v>0</v>
      </c>
      <c r="I587" s="36" t="str">
        <f>IFERROR(MID(Tabela_Base_Financeiro[[#This Row],[Manufacturer]],19,14),"")</f>
        <v/>
      </c>
      <c r="J587" s="113">
        <f>IFERROR(Tabela_Base_Financeiro[[#This Row],[Item code]],0)</f>
        <v>0</v>
      </c>
      <c r="K587" s="293">
        <f>IFERROR(Tabela_Base_Financeiro[[#This Row],[Unit Price]],0)</f>
        <v>0</v>
      </c>
      <c r="L587" s="36">
        <f>IFERROR(Tabela_Base_Financeiro[[#This Row],[AC Qty,]],0)</f>
        <v>0</v>
      </c>
      <c r="M587" s="60">
        <f>Tabela6[[#This Row],[Qty]]*Tabela6[[#This Row],[Preço]]</f>
        <v>0</v>
      </c>
      <c r="N587" s="37">
        <f>IFERROR(Tabela_Base_Financeiro[[#This Row],[Proportion]],0)</f>
        <v>0</v>
      </c>
      <c r="O587" s="60">
        <f>Tabela6[[#This Row],[Proporção]]*Tabela6[[#This Row],[Total]]</f>
        <v>0</v>
      </c>
      <c r="P587"/>
      <c r="Q587" s="59"/>
      <c r="R587" s="1"/>
    </row>
    <row r="588" spans="1:18">
      <c r="A588" s="122" t="e">
        <f>IF(VLOOKUP(Tabela6[[#This Row],[UF]],'BASE CC'!B:C,2,0)="SP",IF(Tabela6[[#This Row],[OPERADORA]]="TIM","SP TIM","SPI"),VLOOKUP(Tabela6[[#This Row],[UF]],'BASE CC'!B:C,2,0))</f>
        <v>#N/A</v>
      </c>
      <c r="B588" s="36" t="e">
        <f>VLOOKUP(Tabela_Base_Financeiro[[#This Row],[Item code]],'COD.FAT'!B:C,2,0)</f>
        <v>#N/A</v>
      </c>
      <c r="C588" s="292">
        <f>Tabela_Base_Financeiro[[#This Row],[PO Ship TO]]</f>
        <v>0</v>
      </c>
      <c r="D588" s="36" t="str">
        <f>RIGHT(Tabela_Base_Financeiro[[#This Row],[Manufacturer]],2)</f>
        <v/>
      </c>
      <c r="E58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88" s="122" t="e">
        <f>VLOOKUP(Tabela_Base_Financeiro[[#This Row],[Project Code]],'COD. PROJETOS'!B:D,3,0)</f>
        <v>#N/A</v>
      </c>
      <c r="G588" s="36">
        <f>IFERROR(Tabela_Base_Financeiro[[#This Row],[PO No,]],0)</f>
        <v>0</v>
      </c>
      <c r="H588" s="36">
        <f>IFERROR(Tabela_Base_Financeiro[[#This Row],[Line No,]],0)</f>
        <v>0</v>
      </c>
      <c r="I588" s="36" t="str">
        <f>IFERROR(MID(Tabela_Base_Financeiro[[#This Row],[Manufacturer]],19,14),"")</f>
        <v/>
      </c>
      <c r="J588" s="113">
        <f>IFERROR(Tabela_Base_Financeiro[[#This Row],[Item code]],0)</f>
        <v>0</v>
      </c>
      <c r="K588" s="293">
        <f>IFERROR(Tabela_Base_Financeiro[[#This Row],[Unit Price]],0)</f>
        <v>0</v>
      </c>
      <c r="L588" s="36">
        <f>IFERROR(Tabela_Base_Financeiro[[#This Row],[AC Qty,]],0)</f>
        <v>0</v>
      </c>
      <c r="M588" s="60">
        <f>Tabela6[[#This Row],[Qty]]*Tabela6[[#This Row],[Preço]]</f>
        <v>0</v>
      </c>
      <c r="N588" s="37">
        <f>IFERROR(Tabela_Base_Financeiro[[#This Row],[Proportion]],0)</f>
        <v>0</v>
      </c>
      <c r="O588" s="60">
        <f>Tabela6[[#This Row],[Proporção]]*Tabela6[[#This Row],[Total]]</f>
        <v>0</v>
      </c>
      <c r="P588"/>
      <c r="Q588" s="59"/>
      <c r="R588" s="1"/>
    </row>
    <row r="589" spans="1:18">
      <c r="A589" s="122" t="e">
        <f>IF(VLOOKUP(Tabela6[[#This Row],[UF]],'BASE CC'!B:C,2,0)="SP",IF(Tabela6[[#This Row],[OPERADORA]]="TIM","SP TIM","SPI"),VLOOKUP(Tabela6[[#This Row],[UF]],'BASE CC'!B:C,2,0))</f>
        <v>#N/A</v>
      </c>
      <c r="B589" s="36" t="e">
        <f>VLOOKUP(Tabela_Base_Financeiro[[#This Row],[Item code]],'COD.FAT'!B:C,2,0)</f>
        <v>#N/A</v>
      </c>
      <c r="C589" s="292">
        <f>Tabela_Base_Financeiro[[#This Row],[PO Ship TO]]</f>
        <v>0</v>
      </c>
      <c r="D589" s="36" t="str">
        <f>RIGHT(Tabela_Base_Financeiro[[#This Row],[Manufacturer]],2)</f>
        <v/>
      </c>
      <c r="E58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89" s="122" t="e">
        <f>VLOOKUP(Tabela_Base_Financeiro[[#This Row],[Project Code]],'COD. PROJETOS'!B:D,3,0)</f>
        <v>#N/A</v>
      </c>
      <c r="G589" s="36">
        <f>IFERROR(Tabela_Base_Financeiro[[#This Row],[PO No,]],0)</f>
        <v>0</v>
      </c>
      <c r="H589" s="36">
        <f>IFERROR(Tabela_Base_Financeiro[[#This Row],[Line No,]],0)</f>
        <v>0</v>
      </c>
      <c r="I589" s="36" t="str">
        <f>IFERROR(MID(Tabela_Base_Financeiro[[#This Row],[Manufacturer]],19,14),"")</f>
        <v/>
      </c>
      <c r="J589" s="113">
        <f>IFERROR(Tabela_Base_Financeiro[[#This Row],[Item code]],0)</f>
        <v>0</v>
      </c>
      <c r="K589" s="293">
        <f>IFERROR(Tabela_Base_Financeiro[[#This Row],[Unit Price]],0)</f>
        <v>0</v>
      </c>
      <c r="L589" s="36">
        <f>IFERROR(Tabela_Base_Financeiro[[#This Row],[AC Qty,]],0)</f>
        <v>0</v>
      </c>
      <c r="M589" s="60">
        <f>Tabela6[[#This Row],[Qty]]*Tabela6[[#This Row],[Preço]]</f>
        <v>0</v>
      </c>
      <c r="N589" s="37">
        <f>IFERROR(Tabela_Base_Financeiro[[#This Row],[Proportion]],0)</f>
        <v>0</v>
      </c>
      <c r="O589" s="60">
        <f>Tabela6[[#This Row],[Proporção]]*Tabela6[[#This Row],[Total]]</f>
        <v>0</v>
      </c>
      <c r="P589"/>
      <c r="Q589" s="59"/>
      <c r="R589" s="1"/>
    </row>
    <row r="590" spans="1:18">
      <c r="A590" s="122" t="e">
        <f>IF(VLOOKUP(Tabela6[[#This Row],[UF]],'BASE CC'!B:C,2,0)="SP",IF(Tabela6[[#This Row],[OPERADORA]]="TIM","SP TIM","SPI"),VLOOKUP(Tabela6[[#This Row],[UF]],'BASE CC'!B:C,2,0))</f>
        <v>#N/A</v>
      </c>
      <c r="B590" s="36" t="e">
        <f>VLOOKUP(Tabela_Base_Financeiro[[#This Row],[Item code]],'COD.FAT'!B:C,2,0)</f>
        <v>#N/A</v>
      </c>
      <c r="C590" s="292">
        <f>Tabela_Base_Financeiro[[#This Row],[PO Ship TO]]</f>
        <v>0</v>
      </c>
      <c r="D590" s="36" t="str">
        <f>RIGHT(Tabela_Base_Financeiro[[#This Row],[Manufacturer]],2)</f>
        <v/>
      </c>
      <c r="E59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90" s="122" t="e">
        <f>VLOOKUP(Tabela_Base_Financeiro[[#This Row],[Project Code]],'COD. PROJETOS'!B:D,3,0)</f>
        <v>#N/A</v>
      </c>
      <c r="G590" s="36">
        <f>IFERROR(Tabela_Base_Financeiro[[#This Row],[PO No,]],0)</f>
        <v>0</v>
      </c>
      <c r="H590" s="36">
        <f>IFERROR(Tabela_Base_Financeiro[[#This Row],[Line No,]],0)</f>
        <v>0</v>
      </c>
      <c r="I590" s="36" t="str">
        <f>IFERROR(MID(Tabela_Base_Financeiro[[#This Row],[Manufacturer]],19,14),"")</f>
        <v/>
      </c>
      <c r="J590" s="113">
        <f>IFERROR(Tabela_Base_Financeiro[[#This Row],[Item code]],0)</f>
        <v>0</v>
      </c>
      <c r="K590" s="293">
        <f>IFERROR(Tabela_Base_Financeiro[[#This Row],[Unit Price]],0)</f>
        <v>0</v>
      </c>
      <c r="L590" s="36">
        <f>IFERROR(Tabela_Base_Financeiro[[#This Row],[AC Qty,]],0)</f>
        <v>0</v>
      </c>
      <c r="M590" s="60">
        <f>Tabela6[[#This Row],[Qty]]*Tabela6[[#This Row],[Preço]]</f>
        <v>0</v>
      </c>
      <c r="N590" s="37">
        <f>IFERROR(Tabela_Base_Financeiro[[#This Row],[Proportion]],0)</f>
        <v>0</v>
      </c>
      <c r="O590" s="60">
        <f>Tabela6[[#This Row],[Proporção]]*Tabela6[[#This Row],[Total]]</f>
        <v>0</v>
      </c>
      <c r="P590"/>
      <c r="Q590" s="59"/>
      <c r="R590" s="1"/>
    </row>
    <row r="591" spans="1:18">
      <c r="A591" s="122" t="e">
        <f>IF(VLOOKUP(Tabela6[[#This Row],[UF]],'BASE CC'!B:C,2,0)="SP",IF(Tabela6[[#This Row],[OPERADORA]]="TIM","SP TIM","SPI"),VLOOKUP(Tabela6[[#This Row],[UF]],'BASE CC'!B:C,2,0))</f>
        <v>#N/A</v>
      </c>
      <c r="B591" s="36" t="e">
        <f>VLOOKUP(Tabela_Base_Financeiro[[#This Row],[Item code]],'COD.FAT'!B:C,2,0)</f>
        <v>#N/A</v>
      </c>
      <c r="C591" s="292">
        <f>Tabela_Base_Financeiro[[#This Row],[PO Ship TO]]</f>
        <v>0</v>
      </c>
      <c r="D591" s="36" t="str">
        <f>RIGHT(Tabela_Base_Financeiro[[#This Row],[Manufacturer]],2)</f>
        <v/>
      </c>
      <c r="E59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91" s="122" t="e">
        <f>VLOOKUP(Tabela_Base_Financeiro[[#This Row],[Project Code]],'COD. PROJETOS'!B:D,3,0)</f>
        <v>#N/A</v>
      </c>
      <c r="G591" s="36">
        <f>IFERROR(Tabela_Base_Financeiro[[#This Row],[PO No,]],0)</f>
        <v>0</v>
      </c>
      <c r="H591" s="36">
        <f>IFERROR(Tabela_Base_Financeiro[[#This Row],[Line No,]],0)</f>
        <v>0</v>
      </c>
      <c r="I591" s="36" t="str">
        <f>IFERROR(MID(Tabela_Base_Financeiro[[#This Row],[Manufacturer]],19,14),"")</f>
        <v/>
      </c>
      <c r="J591" s="113">
        <f>IFERROR(Tabela_Base_Financeiro[[#This Row],[Item code]],0)</f>
        <v>0</v>
      </c>
      <c r="K591" s="293">
        <f>IFERROR(Tabela_Base_Financeiro[[#This Row],[Unit Price]],0)</f>
        <v>0</v>
      </c>
      <c r="L591" s="36">
        <f>IFERROR(Tabela_Base_Financeiro[[#This Row],[AC Qty,]],0)</f>
        <v>0</v>
      </c>
      <c r="M591" s="60">
        <f>Tabela6[[#This Row],[Qty]]*Tabela6[[#This Row],[Preço]]</f>
        <v>0</v>
      </c>
      <c r="N591" s="37">
        <f>IFERROR(Tabela_Base_Financeiro[[#This Row],[Proportion]],0)</f>
        <v>0</v>
      </c>
      <c r="O591" s="60">
        <f>Tabela6[[#This Row],[Proporção]]*Tabela6[[#This Row],[Total]]</f>
        <v>0</v>
      </c>
      <c r="P591"/>
      <c r="Q591" s="59"/>
      <c r="R591" s="1"/>
    </row>
    <row r="592" spans="1:18">
      <c r="A592" s="122" t="e">
        <f>IF(VLOOKUP(Tabela6[[#This Row],[UF]],'BASE CC'!B:C,2,0)="SP",IF(Tabela6[[#This Row],[OPERADORA]]="TIM","SP TIM","SPI"),VLOOKUP(Tabela6[[#This Row],[UF]],'BASE CC'!B:C,2,0))</f>
        <v>#N/A</v>
      </c>
      <c r="B592" s="36" t="e">
        <f>VLOOKUP(Tabela_Base_Financeiro[[#This Row],[Item code]],'COD.FAT'!B:C,2,0)</f>
        <v>#N/A</v>
      </c>
      <c r="C592" s="292">
        <f>Tabela_Base_Financeiro[[#This Row],[PO Ship TO]]</f>
        <v>0</v>
      </c>
      <c r="D592" s="36" t="str">
        <f>RIGHT(Tabela_Base_Financeiro[[#This Row],[Manufacturer]],2)</f>
        <v/>
      </c>
      <c r="E59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92" s="122" t="e">
        <f>VLOOKUP(Tabela_Base_Financeiro[[#This Row],[Project Code]],'COD. PROJETOS'!B:D,3,0)</f>
        <v>#N/A</v>
      </c>
      <c r="G592" s="36">
        <f>IFERROR(Tabela_Base_Financeiro[[#This Row],[PO No,]],0)</f>
        <v>0</v>
      </c>
      <c r="H592" s="36">
        <f>IFERROR(Tabela_Base_Financeiro[[#This Row],[Line No,]],0)</f>
        <v>0</v>
      </c>
      <c r="I592" s="36" t="str">
        <f>IFERROR(MID(Tabela_Base_Financeiro[[#This Row],[Manufacturer]],19,14),"")</f>
        <v/>
      </c>
      <c r="J592" s="113">
        <f>IFERROR(Tabela_Base_Financeiro[[#This Row],[Item code]],0)</f>
        <v>0</v>
      </c>
      <c r="K592" s="293">
        <f>IFERROR(Tabela_Base_Financeiro[[#This Row],[Unit Price]],0)</f>
        <v>0</v>
      </c>
      <c r="L592" s="36">
        <f>IFERROR(Tabela_Base_Financeiro[[#This Row],[AC Qty,]],0)</f>
        <v>0</v>
      </c>
      <c r="M592" s="60">
        <f>Tabela6[[#This Row],[Qty]]*Tabela6[[#This Row],[Preço]]</f>
        <v>0</v>
      </c>
      <c r="N592" s="37">
        <f>IFERROR(Tabela_Base_Financeiro[[#This Row],[Proportion]],0)</f>
        <v>0</v>
      </c>
      <c r="O592" s="60">
        <f>Tabela6[[#This Row],[Proporção]]*Tabela6[[#This Row],[Total]]</f>
        <v>0</v>
      </c>
      <c r="P592"/>
      <c r="Q592" s="59"/>
      <c r="R592" s="1"/>
    </row>
    <row r="593" spans="1:18">
      <c r="A593" s="122" t="e">
        <f>IF(VLOOKUP(Tabela6[[#This Row],[UF]],'BASE CC'!B:C,2,0)="SP",IF(Tabela6[[#This Row],[OPERADORA]]="TIM","SP TIM","SPI"),VLOOKUP(Tabela6[[#This Row],[UF]],'BASE CC'!B:C,2,0))</f>
        <v>#N/A</v>
      </c>
      <c r="B593" s="36" t="e">
        <f>VLOOKUP(Tabela_Base_Financeiro[[#This Row],[Item code]],'COD.FAT'!B:C,2,0)</f>
        <v>#N/A</v>
      </c>
      <c r="C593" s="292">
        <f>Tabela_Base_Financeiro[[#This Row],[PO Ship TO]]</f>
        <v>0</v>
      </c>
      <c r="D593" s="36" t="str">
        <f>RIGHT(Tabela_Base_Financeiro[[#This Row],[Manufacturer]],2)</f>
        <v/>
      </c>
      <c r="E59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93" s="122" t="e">
        <f>VLOOKUP(Tabela_Base_Financeiro[[#This Row],[Project Code]],'COD. PROJETOS'!B:D,3,0)</f>
        <v>#N/A</v>
      </c>
      <c r="G593" s="36">
        <f>IFERROR(Tabela_Base_Financeiro[[#This Row],[PO No,]],0)</f>
        <v>0</v>
      </c>
      <c r="H593" s="36">
        <f>IFERROR(Tabela_Base_Financeiro[[#This Row],[Line No,]],0)</f>
        <v>0</v>
      </c>
      <c r="I593" s="36" t="str">
        <f>IFERROR(MID(Tabela_Base_Financeiro[[#This Row],[Manufacturer]],19,14),"")</f>
        <v/>
      </c>
      <c r="J593" s="113">
        <f>IFERROR(Tabela_Base_Financeiro[[#This Row],[Item code]],0)</f>
        <v>0</v>
      </c>
      <c r="K593" s="293">
        <f>IFERROR(Tabela_Base_Financeiro[[#This Row],[Unit Price]],0)</f>
        <v>0</v>
      </c>
      <c r="L593" s="36">
        <f>IFERROR(Tabela_Base_Financeiro[[#This Row],[AC Qty,]],0)</f>
        <v>0</v>
      </c>
      <c r="M593" s="60">
        <f>Tabela6[[#This Row],[Qty]]*Tabela6[[#This Row],[Preço]]</f>
        <v>0</v>
      </c>
      <c r="N593" s="37">
        <f>IFERROR(Tabela_Base_Financeiro[[#This Row],[Proportion]],0)</f>
        <v>0</v>
      </c>
      <c r="O593" s="60">
        <f>Tabela6[[#This Row],[Proporção]]*Tabela6[[#This Row],[Total]]</f>
        <v>0</v>
      </c>
      <c r="P593"/>
      <c r="Q593" s="59"/>
      <c r="R593" s="1"/>
    </row>
    <row r="594" spans="1:18">
      <c r="A594" s="122" t="e">
        <f>IF(VLOOKUP(Tabela6[[#This Row],[UF]],'BASE CC'!B:C,2,0)="SP",IF(Tabela6[[#This Row],[OPERADORA]]="TIM","SP TIM","SPI"),VLOOKUP(Tabela6[[#This Row],[UF]],'BASE CC'!B:C,2,0))</f>
        <v>#N/A</v>
      </c>
      <c r="B594" s="36" t="e">
        <f>VLOOKUP(Tabela_Base_Financeiro[[#This Row],[Item code]],'COD.FAT'!B:C,2,0)</f>
        <v>#N/A</v>
      </c>
      <c r="C594" s="292">
        <f>Tabela_Base_Financeiro[[#This Row],[PO Ship TO]]</f>
        <v>0</v>
      </c>
      <c r="D594" s="36" t="str">
        <f>RIGHT(Tabela_Base_Financeiro[[#This Row],[Manufacturer]],2)</f>
        <v/>
      </c>
      <c r="E59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94" s="122" t="e">
        <f>VLOOKUP(Tabela_Base_Financeiro[[#This Row],[Project Code]],'COD. PROJETOS'!B:D,3,0)</f>
        <v>#N/A</v>
      </c>
      <c r="G594" s="36">
        <f>IFERROR(Tabela_Base_Financeiro[[#This Row],[PO No,]],0)</f>
        <v>0</v>
      </c>
      <c r="H594" s="36">
        <f>IFERROR(Tabela_Base_Financeiro[[#This Row],[Line No,]],0)</f>
        <v>0</v>
      </c>
      <c r="I594" s="36" t="str">
        <f>IFERROR(MID(Tabela_Base_Financeiro[[#This Row],[Manufacturer]],19,14),"")</f>
        <v/>
      </c>
      <c r="J594" s="113">
        <f>IFERROR(Tabela_Base_Financeiro[[#This Row],[Item code]],0)</f>
        <v>0</v>
      </c>
      <c r="K594" s="293">
        <f>IFERROR(Tabela_Base_Financeiro[[#This Row],[Unit Price]],0)</f>
        <v>0</v>
      </c>
      <c r="L594" s="36">
        <f>IFERROR(Tabela_Base_Financeiro[[#This Row],[AC Qty,]],0)</f>
        <v>0</v>
      </c>
      <c r="M594" s="60">
        <f>Tabela6[[#This Row],[Qty]]*Tabela6[[#This Row],[Preço]]</f>
        <v>0</v>
      </c>
      <c r="N594" s="37">
        <f>IFERROR(Tabela_Base_Financeiro[[#This Row],[Proportion]],0)</f>
        <v>0</v>
      </c>
      <c r="O594" s="60">
        <f>Tabela6[[#This Row],[Proporção]]*Tabela6[[#This Row],[Total]]</f>
        <v>0</v>
      </c>
      <c r="P594"/>
      <c r="Q594" s="59"/>
      <c r="R594" s="1"/>
    </row>
    <row r="595" spans="1:18">
      <c r="A595" s="122" t="e">
        <f>IF(VLOOKUP(Tabela6[[#This Row],[UF]],'BASE CC'!B:C,2,0)="SP",IF(Tabela6[[#This Row],[OPERADORA]]="TIM","SP TIM","SPI"),VLOOKUP(Tabela6[[#This Row],[UF]],'BASE CC'!B:C,2,0))</f>
        <v>#N/A</v>
      </c>
      <c r="B595" s="36" t="e">
        <f>VLOOKUP(Tabela_Base_Financeiro[[#This Row],[Item code]],'COD.FAT'!B:C,2,0)</f>
        <v>#N/A</v>
      </c>
      <c r="C595" s="292">
        <f>Tabela_Base_Financeiro[[#This Row],[PO Ship TO]]</f>
        <v>0</v>
      </c>
      <c r="D595" s="36" t="str">
        <f>RIGHT(Tabela_Base_Financeiro[[#This Row],[Manufacturer]],2)</f>
        <v/>
      </c>
      <c r="E59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95" s="122" t="e">
        <f>VLOOKUP(Tabela_Base_Financeiro[[#This Row],[Project Code]],'COD. PROJETOS'!B:D,3,0)</f>
        <v>#N/A</v>
      </c>
      <c r="G595" s="36">
        <f>IFERROR(Tabela_Base_Financeiro[[#This Row],[PO No,]],0)</f>
        <v>0</v>
      </c>
      <c r="H595" s="36">
        <f>IFERROR(Tabela_Base_Financeiro[[#This Row],[Line No,]],0)</f>
        <v>0</v>
      </c>
      <c r="I595" s="36" t="str">
        <f>IFERROR(MID(Tabela_Base_Financeiro[[#This Row],[Manufacturer]],19,14),"")</f>
        <v/>
      </c>
      <c r="J595" s="113">
        <f>IFERROR(Tabela_Base_Financeiro[[#This Row],[Item code]],0)</f>
        <v>0</v>
      </c>
      <c r="K595" s="293">
        <f>IFERROR(Tabela_Base_Financeiro[[#This Row],[Unit Price]],0)</f>
        <v>0</v>
      </c>
      <c r="L595" s="36">
        <f>IFERROR(Tabela_Base_Financeiro[[#This Row],[AC Qty,]],0)</f>
        <v>0</v>
      </c>
      <c r="M595" s="60">
        <f>Tabela6[[#This Row],[Qty]]*Tabela6[[#This Row],[Preço]]</f>
        <v>0</v>
      </c>
      <c r="N595" s="37">
        <f>IFERROR(Tabela_Base_Financeiro[[#This Row],[Proportion]],0)</f>
        <v>0</v>
      </c>
      <c r="O595" s="60">
        <f>Tabela6[[#This Row],[Proporção]]*Tabela6[[#This Row],[Total]]</f>
        <v>0</v>
      </c>
      <c r="P595"/>
      <c r="Q595" s="59"/>
      <c r="R595" s="1"/>
    </row>
    <row r="596" spans="1:18">
      <c r="A596" s="122" t="e">
        <f>IF(VLOOKUP(Tabela6[[#This Row],[UF]],'BASE CC'!B:C,2,0)="SP",IF(Tabela6[[#This Row],[OPERADORA]]="TIM","SP TIM","SPI"),VLOOKUP(Tabela6[[#This Row],[UF]],'BASE CC'!B:C,2,0))</f>
        <v>#N/A</v>
      </c>
      <c r="B596" s="36" t="e">
        <f>VLOOKUP(Tabela_Base_Financeiro[[#This Row],[Item code]],'COD.FAT'!B:C,2,0)</f>
        <v>#N/A</v>
      </c>
      <c r="C596" s="292">
        <f>Tabela_Base_Financeiro[[#This Row],[PO Ship TO]]</f>
        <v>0</v>
      </c>
      <c r="D596" s="36" t="str">
        <f>RIGHT(Tabela_Base_Financeiro[[#This Row],[Manufacturer]],2)</f>
        <v/>
      </c>
      <c r="E59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96" s="122" t="e">
        <f>VLOOKUP(Tabela_Base_Financeiro[[#This Row],[Project Code]],'COD. PROJETOS'!B:D,3,0)</f>
        <v>#N/A</v>
      </c>
      <c r="G596" s="36">
        <f>IFERROR(Tabela_Base_Financeiro[[#This Row],[PO No,]],0)</f>
        <v>0</v>
      </c>
      <c r="H596" s="36">
        <f>IFERROR(Tabela_Base_Financeiro[[#This Row],[Line No,]],0)</f>
        <v>0</v>
      </c>
      <c r="I596" s="36" t="str">
        <f>IFERROR(MID(Tabela_Base_Financeiro[[#This Row],[Manufacturer]],19,14),"")</f>
        <v/>
      </c>
      <c r="J596" s="113">
        <f>IFERROR(Tabela_Base_Financeiro[[#This Row],[Item code]],0)</f>
        <v>0</v>
      </c>
      <c r="K596" s="293">
        <f>IFERROR(Tabela_Base_Financeiro[[#This Row],[Unit Price]],0)</f>
        <v>0</v>
      </c>
      <c r="L596" s="36">
        <f>IFERROR(Tabela_Base_Financeiro[[#This Row],[AC Qty,]],0)</f>
        <v>0</v>
      </c>
      <c r="M596" s="60">
        <f>Tabela6[[#This Row],[Qty]]*Tabela6[[#This Row],[Preço]]</f>
        <v>0</v>
      </c>
      <c r="N596" s="37">
        <f>IFERROR(Tabela_Base_Financeiro[[#This Row],[Proportion]],0)</f>
        <v>0</v>
      </c>
      <c r="O596" s="60">
        <f>Tabela6[[#This Row],[Proporção]]*Tabela6[[#This Row],[Total]]</f>
        <v>0</v>
      </c>
      <c r="P596"/>
      <c r="Q596" s="59"/>
      <c r="R596" s="1"/>
    </row>
    <row r="597" spans="1:18">
      <c r="A597" s="122" t="e">
        <f>IF(VLOOKUP(Tabela6[[#This Row],[UF]],'BASE CC'!B:C,2,0)="SP",IF(Tabela6[[#This Row],[OPERADORA]]="TIM","SP TIM","SPI"),VLOOKUP(Tabela6[[#This Row],[UF]],'BASE CC'!B:C,2,0))</f>
        <v>#N/A</v>
      </c>
      <c r="B597" s="36" t="e">
        <f>VLOOKUP(Tabela_Base_Financeiro[[#This Row],[Item code]],'COD.FAT'!B:C,2,0)</f>
        <v>#N/A</v>
      </c>
      <c r="C597" s="292">
        <f>Tabela_Base_Financeiro[[#This Row],[PO Ship TO]]</f>
        <v>0</v>
      </c>
      <c r="D597" s="36" t="str">
        <f>RIGHT(Tabela_Base_Financeiro[[#This Row],[Manufacturer]],2)</f>
        <v/>
      </c>
      <c r="E59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97" s="122" t="e">
        <f>VLOOKUP(Tabela_Base_Financeiro[[#This Row],[Project Code]],'COD. PROJETOS'!B:D,3,0)</f>
        <v>#N/A</v>
      </c>
      <c r="G597" s="36">
        <f>IFERROR(Tabela_Base_Financeiro[[#This Row],[PO No,]],0)</f>
        <v>0</v>
      </c>
      <c r="H597" s="36">
        <f>IFERROR(Tabela_Base_Financeiro[[#This Row],[Line No,]],0)</f>
        <v>0</v>
      </c>
      <c r="I597" s="36" t="str">
        <f>IFERROR(MID(Tabela_Base_Financeiro[[#This Row],[Manufacturer]],19,14),"")</f>
        <v/>
      </c>
      <c r="J597" s="113">
        <f>IFERROR(Tabela_Base_Financeiro[[#This Row],[Item code]],0)</f>
        <v>0</v>
      </c>
      <c r="K597" s="293">
        <f>IFERROR(Tabela_Base_Financeiro[[#This Row],[Unit Price]],0)</f>
        <v>0</v>
      </c>
      <c r="L597" s="36">
        <f>IFERROR(Tabela_Base_Financeiro[[#This Row],[AC Qty,]],0)</f>
        <v>0</v>
      </c>
      <c r="M597" s="60">
        <f>Tabela6[[#This Row],[Qty]]*Tabela6[[#This Row],[Preço]]</f>
        <v>0</v>
      </c>
      <c r="N597" s="37">
        <f>IFERROR(Tabela_Base_Financeiro[[#This Row],[Proportion]],0)</f>
        <v>0</v>
      </c>
      <c r="O597" s="60">
        <f>Tabela6[[#This Row],[Proporção]]*Tabela6[[#This Row],[Total]]</f>
        <v>0</v>
      </c>
      <c r="P597"/>
      <c r="Q597" s="59"/>
      <c r="R597" s="1"/>
    </row>
    <row r="598" spans="1:18">
      <c r="A598" s="122" t="e">
        <f>IF(VLOOKUP(Tabela6[[#This Row],[UF]],'BASE CC'!B:C,2,0)="SP",IF(Tabela6[[#This Row],[OPERADORA]]="TIM","SP TIM","SPI"),VLOOKUP(Tabela6[[#This Row],[UF]],'BASE CC'!B:C,2,0))</f>
        <v>#N/A</v>
      </c>
      <c r="B598" s="36" t="e">
        <f>VLOOKUP(Tabela_Base_Financeiro[[#This Row],[Item code]],'COD.FAT'!B:C,2,0)</f>
        <v>#N/A</v>
      </c>
      <c r="C598" s="292">
        <f>Tabela_Base_Financeiro[[#This Row],[PO Ship TO]]</f>
        <v>0</v>
      </c>
      <c r="D598" s="36" t="str">
        <f>RIGHT(Tabela_Base_Financeiro[[#This Row],[Manufacturer]],2)</f>
        <v/>
      </c>
      <c r="E59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98" s="122" t="e">
        <f>VLOOKUP(Tabela_Base_Financeiro[[#This Row],[Project Code]],'COD. PROJETOS'!B:D,3,0)</f>
        <v>#N/A</v>
      </c>
      <c r="G598" s="36">
        <f>IFERROR(Tabela_Base_Financeiro[[#This Row],[PO No,]],0)</f>
        <v>0</v>
      </c>
      <c r="H598" s="36">
        <f>IFERROR(Tabela_Base_Financeiro[[#This Row],[Line No,]],0)</f>
        <v>0</v>
      </c>
      <c r="I598" s="36" t="str">
        <f>IFERROR(MID(Tabela_Base_Financeiro[[#This Row],[Manufacturer]],19,14),"")</f>
        <v/>
      </c>
      <c r="J598" s="113">
        <f>IFERROR(Tabela_Base_Financeiro[[#This Row],[Item code]],0)</f>
        <v>0</v>
      </c>
      <c r="K598" s="293">
        <f>IFERROR(Tabela_Base_Financeiro[[#This Row],[Unit Price]],0)</f>
        <v>0</v>
      </c>
      <c r="L598" s="36">
        <f>IFERROR(Tabela_Base_Financeiro[[#This Row],[AC Qty,]],0)</f>
        <v>0</v>
      </c>
      <c r="M598" s="60">
        <f>Tabela6[[#This Row],[Qty]]*Tabela6[[#This Row],[Preço]]</f>
        <v>0</v>
      </c>
      <c r="N598" s="37">
        <f>IFERROR(Tabela_Base_Financeiro[[#This Row],[Proportion]],0)</f>
        <v>0</v>
      </c>
      <c r="O598" s="60">
        <f>Tabela6[[#This Row],[Proporção]]*Tabela6[[#This Row],[Total]]</f>
        <v>0</v>
      </c>
      <c r="P598"/>
      <c r="Q598" s="59"/>
      <c r="R598" s="1"/>
    </row>
    <row r="599" spans="1:18">
      <c r="A599" s="122" t="e">
        <f>IF(VLOOKUP(Tabela6[[#This Row],[UF]],'BASE CC'!B:C,2,0)="SP",IF(Tabela6[[#This Row],[OPERADORA]]="TIM","SP TIM","SPI"),VLOOKUP(Tabela6[[#This Row],[UF]],'BASE CC'!B:C,2,0))</f>
        <v>#N/A</v>
      </c>
      <c r="B599" s="36" t="e">
        <f>VLOOKUP(Tabela_Base_Financeiro[[#This Row],[Item code]],'COD.FAT'!B:C,2,0)</f>
        <v>#N/A</v>
      </c>
      <c r="C599" s="292">
        <f>Tabela_Base_Financeiro[[#This Row],[PO Ship TO]]</f>
        <v>0</v>
      </c>
      <c r="D599" s="36" t="str">
        <f>RIGHT(Tabela_Base_Financeiro[[#This Row],[Manufacturer]],2)</f>
        <v/>
      </c>
      <c r="E59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599" s="122" t="e">
        <f>VLOOKUP(Tabela_Base_Financeiro[[#This Row],[Project Code]],'COD. PROJETOS'!B:D,3,0)</f>
        <v>#N/A</v>
      </c>
      <c r="G599" s="36">
        <f>IFERROR(Tabela_Base_Financeiro[[#This Row],[PO No,]],0)</f>
        <v>0</v>
      </c>
      <c r="H599" s="36">
        <f>IFERROR(Tabela_Base_Financeiro[[#This Row],[Line No,]],0)</f>
        <v>0</v>
      </c>
      <c r="I599" s="36" t="str">
        <f>IFERROR(MID(Tabela_Base_Financeiro[[#This Row],[Manufacturer]],19,14),"")</f>
        <v/>
      </c>
      <c r="J599" s="113">
        <f>IFERROR(Tabela_Base_Financeiro[[#This Row],[Item code]],0)</f>
        <v>0</v>
      </c>
      <c r="K599" s="293">
        <f>IFERROR(Tabela_Base_Financeiro[[#This Row],[Unit Price]],0)</f>
        <v>0</v>
      </c>
      <c r="L599" s="36">
        <f>IFERROR(Tabela_Base_Financeiro[[#This Row],[AC Qty,]],0)</f>
        <v>0</v>
      </c>
      <c r="M599" s="60">
        <f>Tabela6[[#This Row],[Qty]]*Tabela6[[#This Row],[Preço]]</f>
        <v>0</v>
      </c>
      <c r="N599" s="37">
        <f>IFERROR(Tabela_Base_Financeiro[[#This Row],[Proportion]],0)</f>
        <v>0</v>
      </c>
      <c r="O599" s="60">
        <f>Tabela6[[#This Row],[Proporção]]*Tabela6[[#This Row],[Total]]</f>
        <v>0</v>
      </c>
      <c r="P599"/>
      <c r="Q599" s="59"/>
      <c r="R599" s="1"/>
    </row>
    <row r="600" spans="1:18">
      <c r="A600" s="122" t="e">
        <f>IF(VLOOKUP(Tabela6[[#This Row],[UF]],'BASE CC'!B:C,2,0)="SP",IF(Tabela6[[#This Row],[OPERADORA]]="TIM","SP TIM","SPI"),VLOOKUP(Tabela6[[#This Row],[UF]],'BASE CC'!B:C,2,0))</f>
        <v>#N/A</v>
      </c>
      <c r="B600" s="36" t="e">
        <f>VLOOKUP(Tabela_Base_Financeiro[[#This Row],[Item code]],'COD.FAT'!B:C,2,0)</f>
        <v>#N/A</v>
      </c>
      <c r="C600" s="292">
        <f>Tabela_Base_Financeiro[[#This Row],[PO Ship TO]]</f>
        <v>0</v>
      </c>
      <c r="D600" s="36" t="str">
        <f>RIGHT(Tabela_Base_Financeiro[[#This Row],[Manufacturer]],2)</f>
        <v/>
      </c>
      <c r="E60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00" s="122" t="e">
        <f>VLOOKUP(Tabela_Base_Financeiro[[#This Row],[Project Code]],'COD. PROJETOS'!B:D,3,0)</f>
        <v>#N/A</v>
      </c>
      <c r="G600" s="36">
        <f>IFERROR(Tabela_Base_Financeiro[[#This Row],[PO No,]],0)</f>
        <v>0</v>
      </c>
      <c r="H600" s="36">
        <f>IFERROR(Tabela_Base_Financeiro[[#This Row],[Line No,]],0)</f>
        <v>0</v>
      </c>
      <c r="I600" s="36" t="str">
        <f>IFERROR(MID(Tabela_Base_Financeiro[[#This Row],[Manufacturer]],19,14),"")</f>
        <v/>
      </c>
      <c r="J600" s="113">
        <f>IFERROR(Tabela_Base_Financeiro[[#This Row],[Item code]],0)</f>
        <v>0</v>
      </c>
      <c r="K600" s="293">
        <f>IFERROR(Tabela_Base_Financeiro[[#This Row],[Unit Price]],0)</f>
        <v>0</v>
      </c>
      <c r="L600" s="36">
        <f>IFERROR(Tabela_Base_Financeiro[[#This Row],[AC Qty,]],0)</f>
        <v>0</v>
      </c>
      <c r="M600" s="60">
        <f>Tabela6[[#This Row],[Qty]]*Tabela6[[#This Row],[Preço]]</f>
        <v>0</v>
      </c>
      <c r="N600" s="37">
        <f>IFERROR(Tabela_Base_Financeiro[[#This Row],[Proportion]],0)</f>
        <v>0</v>
      </c>
      <c r="O600" s="60">
        <f>Tabela6[[#This Row],[Proporção]]*Tabela6[[#This Row],[Total]]</f>
        <v>0</v>
      </c>
      <c r="P600"/>
      <c r="Q600" s="59"/>
      <c r="R600" s="1"/>
    </row>
    <row r="601" spans="1:18">
      <c r="A601" s="122" t="e">
        <f>IF(VLOOKUP(Tabela6[[#This Row],[UF]],'BASE CC'!B:C,2,0)="SP",IF(Tabela6[[#This Row],[OPERADORA]]="TIM","SP TIM","SPI"),VLOOKUP(Tabela6[[#This Row],[UF]],'BASE CC'!B:C,2,0))</f>
        <v>#N/A</v>
      </c>
      <c r="B601" s="36" t="e">
        <f>VLOOKUP(Tabela_Base_Financeiro[[#This Row],[Item code]],'COD.FAT'!B:C,2,0)</f>
        <v>#N/A</v>
      </c>
      <c r="C601" s="292">
        <f>Tabela_Base_Financeiro[[#This Row],[PO Ship TO]]</f>
        <v>0</v>
      </c>
      <c r="D601" s="36" t="str">
        <f>RIGHT(Tabela_Base_Financeiro[[#This Row],[Manufacturer]],2)</f>
        <v/>
      </c>
      <c r="E60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01" s="122" t="e">
        <f>VLOOKUP(Tabela_Base_Financeiro[[#This Row],[Project Code]],'COD. PROJETOS'!B:D,3,0)</f>
        <v>#N/A</v>
      </c>
      <c r="G601" s="36">
        <f>IFERROR(Tabela_Base_Financeiro[[#This Row],[PO No,]],0)</f>
        <v>0</v>
      </c>
      <c r="H601" s="36">
        <f>IFERROR(Tabela_Base_Financeiro[[#This Row],[Line No,]],0)</f>
        <v>0</v>
      </c>
      <c r="I601" s="36" t="str">
        <f>IFERROR(MID(Tabela_Base_Financeiro[[#This Row],[Manufacturer]],19,14),"")</f>
        <v/>
      </c>
      <c r="J601" s="113">
        <f>IFERROR(Tabela_Base_Financeiro[[#This Row],[Item code]],0)</f>
        <v>0</v>
      </c>
      <c r="K601" s="293">
        <f>IFERROR(Tabela_Base_Financeiro[[#This Row],[Unit Price]],0)</f>
        <v>0</v>
      </c>
      <c r="L601" s="36">
        <f>IFERROR(Tabela_Base_Financeiro[[#This Row],[AC Qty,]],0)</f>
        <v>0</v>
      </c>
      <c r="M601" s="60">
        <f>Tabela6[[#This Row],[Qty]]*Tabela6[[#This Row],[Preço]]</f>
        <v>0</v>
      </c>
      <c r="N601" s="37">
        <f>IFERROR(Tabela_Base_Financeiro[[#This Row],[Proportion]],0)</f>
        <v>0</v>
      </c>
      <c r="O601" s="60">
        <f>Tabela6[[#This Row],[Proporção]]*Tabela6[[#This Row],[Total]]</f>
        <v>0</v>
      </c>
      <c r="P601"/>
      <c r="Q601" s="59"/>
      <c r="R601" s="1"/>
    </row>
    <row r="602" spans="1:18">
      <c r="A602" s="122" t="e">
        <f>IF(VLOOKUP(Tabela6[[#This Row],[UF]],'BASE CC'!B:C,2,0)="SP",IF(Tabela6[[#This Row],[OPERADORA]]="TIM","SP TIM","SPI"),VLOOKUP(Tabela6[[#This Row],[UF]],'BASE CC'!B:C,2,0))</f>
        <v>#N/A</v>
      </c>
      <c r="B602" s="36" t="e">
        <f>VLOOKUP(Tabela_Base_Financeiro[[#This Row],[Item code]],'COD.FAT'!B:C,2,0)</f>
        <v>#N/A</v>
      </c>
      <c r="C602" s="292">
        <f>Tabela_Base_Financeiro[[#This Row],[PO Ship TO]]</f>
        <v>0</v>
      </c>
      <c r="D602" s="36" t="str">
        <f>RIGHT(Tabela_Base_Financeiro[[#This Row],[Manufacturer]],2)</f>
        <v/>
      </c>
      <c r="E60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02" s="122" t="e">
        <f>VLOOKUP(Tabela_Base_Financeiro[[#This Row],[Project Code]],'COD. PROJETOS'!B:D,3,0)</f>
        <v>#N/A</v>
      </c>
      <c r="G602" s="36">
        <f>IFERROR(Tabela_Base_Financeiro[[#This Row],[PO No,]],0)</f>
        <v>0</v>
      </c>
      <c r="H602" s="36">
        <f>IFERROR(Tabela_Base_Financeiro[[#This Row],[Line No,]],0)</f>
        <v>0</v>
      </c>
      <c r="I602" s="36" t="str">
        <f>IFERROR(MID(Tabela_Base_Financeiro[[#This Row],[Manufacturer]],19,14),"")</f>
        <v/>
      </c>
      <c r="J602" s="113">
        <f>IFERROR(Tabela_Base_Financeiro[[#This Row],[Item code]],0)</f>
        <v>0</v>
      </c>
      <c r="K602" s="293">
        <f>IFERROR(Tabela_Base_Financeiro[[#This Row],[Unit Price]],0)</f>
        <v>0</v>
      </c>
      <c r="L602" s="36">
        <f>IFERROR(Tabela_Base_Financeiro[[#This Row],[AC Qty,]],0)</f>
        <v>0</v>
      </c>
      <c r="M602" s="60">
        <f>Tabela6[[#This Row],[Qty]]*Tabela6[[#This Row],[Preço]]</f>
        <v>0</v>
      </c>
      <c r="N602" s="37">
        <f>IFERROR(Tabela_Base_Financeiro[[#This Row],[Proportion]],0)</f>
        <v>0</v>
      </c>
      <c r="O602" s="60">
        <f>Tabela6[[#This Row],[Proporção]]*Tabela6[[#This Row],[Total]]</f>
        <v>0</v>
      </c>
      <c r="P602"/>
      <c r="Q602" s="59"/>
      <c r="R602" s="1"/>
    </row>
    <row r="603" spans="1:18">
      <c r="A603" s="122" t="e">
        <f>IF(VLOOKUP(Tabela6[[#This Row],[UF]],'BASE CC'!B:C,2,0)="SP",IF(Tabela6[[#This Row],[OPERADORA]]="TIM","SP TIM","SPI"),VLOOKUP(Tabela6[[#This Row],[UF]],'BASE CC'!B:C,2,0))</f>
        <v>#N/A</v>
      </c>
      <c r="B603" s="36" t="e">
        <f>VLOOKUP(Tabela_Base_Financeiro[[#This Row],[Item code]],'COD.FAT'!B:C,2,0)</f>
        <v>#N/A</v>
      </c>
      <c r="C603" s="292">
        <f>Tabela_Base_Financeiro[[#This Row],[PO Ship TO]]</f>
        <v>0</v>
      </c>
      <c r="D603" s="36" t="str">
        <f>RIGHT(Tabela_Base_Financeiro[[#This Row],[Manufacturer]],2)</f>
        <v/>
      </c>
      <c r="E60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03" s="122" t="e">
        <f>VLOOKUP(Tabela_Base_Financeiro[[#This Row],[Project Code]],'COD. PROJETOS'!B:D,3,0)</f>
        <v>#N/A</v>
      </c>
      <c r="G603" s="36">
        <f>IFERROR(Tabela_Base_Financeiro[[#This Row],[PO No,]],0)</f>
        <v>0</v>
      </c>
      <c r="H603" s="36">
        <f>IFERROR(Tabela_Base_Financeiro[[#This Row],[Line No,]],0)</f>
        <v>0</v>
      </c>
      <c r="I603" s="36" t="str">
        <f>IFERROR(MID(Tabela_Base_Financeiro[[#This Row],[Manufacturer]],19,14),"")</f>
        <v/>
      </c>
      <c r="J603" s="113">
        <f>IFERROR(Tabela_Base_Financeiro[[#This Row],[Item code]],0)</f>
        <v>0</v>
      </c>
      <c r="K603" s="293">
        <f>IFERROR(Tabela_Base_Financeiro[[#This Row],[Unit Price]],0)</f>
        <v>0</v>
      </c>
      <c r="L603" s="36">
        <f>IFERROR(Tabela_Base_Financeiro[[#This Row],[AC Qty,]],0)</f>
        <v>0</v>
      </c>
      <c r="M603" s="60">
        <f>Tabela6[[#This Row],[Qty]]*Tabela6[[#This Row],[Preço]]</f>
        <v>0</v>
      </c>
      <c r="N603" s="37">
        <f>IFERROR(Tabela_Base_Financeiro[[#This Row],[Proportion]],0)</f>
        <v>0</v>
      </c>
      <c r="O603" s="60">
        <f>Tabela6[[#This Row],[Proporção]]*Tabela6[[#This Row],[Total]]</f>
        <v>0</v>
      </c>
      <c r="P603"/>
      <c r="Q603" s="59"/>
      <c r="R603" s="1"/>
    </row>
    <row r="604" spans="1:18">
      <c r="A604" s="122" t="e">
        <f>IF(VLOOKUP(Tabela6[[#This Row],[UF]],'BASE CC'!B:C,2,0)="SP",IF(Tabela6[[#This Row],[OPERADORA]]="TIM","SP TIM","SPI"),VLOOKUP(Tabela6[[#This Row],[UF]],'BASE CC'!B:C,2,0))</f>
        <v>#N/A</v>
      </c>
      <c r="B604" s="36" t="e">
        <f>VLOOKUP(Tabela_Base_Financeiro[[#This Row],[Item code]],'COD.FAT'!B:C,2,0)</f>
        <v>#N/A</v>
      </c>
      <c r="C604" s="292">
        <f>Tabela_Base_Financeiro[[#This Row],[PO Ship TO]]</f>
        <v>0</v>
      </c>
      <c r="D604" s="36" t="str">
        <f>RIGHT(Tabela_Base_Financeiro[[#This Row],[Manufacturer]],2)</f>
        <v/>
      </c>
      <c r="E60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04" s="122" t="e">
        <f>VLOOKUP(Tabela_Base_Financeiro[[#This Row],[Project Code]],'COD. PROJETOS'!B:D,3,0)</f>
        <v>#N/A</v>
      </c>
      <c r="G604" s="36">
        <f>IFERROR(Tabela_Base_Financeiro[[#This Row],[PO No,]],0)</f>
        <v>0</v>
      </c>
      <c r="H604" s="36">
        <f>IFERROR(Tabela_Base_Financeiro[[#This Row],[Line No,]],0)</f>
        <v>0</v>
      </c>
      <c r="I604" s="36" t="str">
        <f>IFERROR(MID(Tabela_Base_Financeiro[[#This Row],[Manufacturer]],19,14),"")</f>
        <v/>
      </c>
      <c r="J604" s="113">
        <f>IFERROR(Tabela_Base_Financeiro[[#This Row],[Item code]],0)</f>
        <v>0</v>
      </c>
      <c r="K604" s="293">
        <f>IFERROR(Tabela_Base_Financeiro[[#This Row],[Unit Price]],0)</f>
        <v>0</v>
      </c>
      <c r="L604" s="36">
        <f>IFERROR(Tabela_Base_Financeiro[[#This Row],[AC Qty,]],0)</f>
        <v>0</v>
      </c>
      <c r="M604" s="60">
        <f>Tabela6[[#This Row],[Qty]]*Tabela6[[#This Row],[Preço]]</f>
        <v>0</v>
      </c>
      <c r="N604" s="37">
        <f>IFERROR(Tabela_Base_Financeiro[[#This Row],[Proportion]],0)</f>
        <v>0</v>
      </c>
      <c r="O604" s="60">
        <f>Tabela6[[#This Row],[Proporção]]*Tabela6[[#This Row],[Total]]</f>
        <v>0</v>
      </c>
      <c r="P604"/>
      <c r="Q604" s="59"/>
      <c r="R604" s="1"/>
    </row>
    <row r="605" spans="1:18">
      <c r="A605" s="122" t="e">
        <f>IF(VLOOKUP(Tabela6[[#This Row],[UF]],'BASE CC'!B:C,2,0)="SP",IF(Tabela6[[#This Row],[OPERADORA]]="TIM","SP TIM","SPI"),VLOOKUP(Tabela6[[#This Row],[UF]],'BASE CC'!B:C,2,0))</f>
        <v>#N/A</v>
      </c>
      <c r="B605" s="36" t="e">
        <f>VLOOKUP(Tabela_Base_Financeiro[[#This Row],[Item code]],'COD.FAT'!B:C,2,0)</f>
        <v>#N/A</v>
      </c>
      <c r="C605" s="292">
        <f>Tabela_Base_Financeiro[[#This Row],[PO Ship TO]]</f>
        <v>0</v>
      </c>
      <c r="D605" s="36" t="str">
        <f>RIGHT(Tabela_Base_Financeiro[[#This Row],[Manufacturer]],2)</f>
        <v/>
      </c>
      <c r="E60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05" s="122" t="e">
        <f>VLOOKUP(Tabela_Base_Financeiro[[#This Row],[Project Code]],'COD. PROJETOS'!B:D,3,0)</f>
        <v>#N/A</v>
      </c>
      <c r="G605" s="36">
        <f>IFERROR(Tabela_Base_Financeiro[[#This Row],[PO No,]],0)</f>
        <v>0</v>
      </c>
      <c r="H605" s="36">
        <f>IFERROR(Tabela_Base_Financeiro[[#This Row],[Line No,]],0)</f>
        <v>0</v>
      </c>
      <c r="I605" s="36" t="str">
        <f>IFERROR(MID(Tabela_Base_Financeiro[[#This Row],[Manufacturer]],19,14),"")</f>
        <v/>
      </c>
      <c r="J605" s="113">
        <f>IFERROR(Tabela_Base_Financeiro[[#This Row],[Item code]],0)</f>
        <v>0</v>
      </c>
      <c r="K605" s="293">
        <f>IFERROR(Tabela_Base_Financeiro[[#This Row],[Unit Price]],0)</f>
        <v>0</v>
      </c>
      <c r="L605" s="36">
        <f>IFERROR(Tabela_Base_Financeiro[[#This Row],[AC Qty,]],0)</f>
        <v>0</v>
      </c>
      <c r="M605" s="60">
        <f>Tabela6[[#This Row],[Qty]]*Tabela6[[#This Row],[Preço]]</f>
        <v>0</v>
      </c>
      <c r="N605" s="37">
        <f>IFERROR(Tabela_Base_Financeiro[[#This Row],[Proportion]],0)</f>
        <v>0</v>
      </c>
      <c r="O605" s="60">
        <f>Tabela6[[#This Row],[Proporção]]*Tabela6[[#This Row],[Total]]</f>
        <v>0</v>
      </c>
      <c r="P605"/>
      <c r="Q605" s="59"/>
      <c r="R605" s="1"/>
    </row>
    <row r="606" spans="1:18">
      <c r="A606" s="122" t="e">
        <f>IF(VLOOKUP(Tabela6[[#This Row],[UF]],'BASE CC'!B:C,2,0)="SP",IF(Tabela6[[#This Row],[OPERADORA]]="TIM","SP TIM","SPI"),VLOOKUP(Tabela6[[#This Row],[UF]],'BASE CC'!B:C,2,0))</f>
        <v>#N/A</v>
      </c>
      <c r="B606" s="36" t="e">
        <f>VLOOKUP(Tabela_Base_Financeiro[[#This Row],[Item code]],'COD.FAT'!B:C,2,0)</f>
        <v>#N/A</v>
      </c>
      <c r="C606" s="292">
        <f>Tabela_Base_Financeiro[[#This Row],[PO Ship TO]]</f>
        <v>0</v>
      </c>
      <c r="D606" s="36" t="str">
        <f>RIGHT(Tabela_Base_Financeiro[[#This Row],[Manufacturer]],2)</f>
        <v/>
      </c>
      <c r="E60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06" s="122" t="e">
        <f>VLOOKUP(Tabela_Base_Financeiro[[#This Row],[Project Code]],'COD. PROJETOS'!B:D,3,0)</f>
        <v>#N/A</v>
      </c>
      <c r="G606" s="36">
        <f>IFERROR(Tabela_Base_Financeiro[[#This Row],[PO No,]],0)</f>
        <v>0</v>
      </c>
      <c r="H606" s="36">
        <f>IFERROR(Tabela_Base_Financeiro[[#This Row],[Line No,]],0)</f>
        <v>0</v>
      </c>
      <c r="I606" s="36" t="str">
        <f>IFERROR(MID(Tabela_Base_Financeiro[[#This Row],[Manufacturer]],19,14),"")</f>
        <v/>
      </c>
      <c r="J606" s="113">
        <f>IFERROR(Tabela_Base_Financeiro[[#This Row],[Item code]],0)</f>
        <v>0</v>
      </c>
      <c r="K606" s="293">
        <f>IFERROR(Tabela_Base_Financeiro[[#This Row],[Unit Price]],0)</f>
        <v>0</v>
      </c>
      <c r="L606" s="36">
        <f>IFERROR(Tabela_Base_Financeiro[[#This Row],[AC Qty,]],0)</f>
        <v>0</v>
      </c>
      <c r="M606" s="60">
        <f>Tabela6[[#This Row],[Qty]]*Tabela6[[#This Row],[Preço]]</f>
        <v>0</v>
      </c>
      <c r="N606" s="37">
        <f>IFERROR(Tabela_Base_Financeiro[[#This Row],[Proportion]],0)</f>
        <v>0</v>
      </c>
      <c r="O606" s="60">
        <f>Tabela6[[#This Row],[Proporção]]*Tabela6[[#This Row],[Total]]</f>
        <v>0</v>
      </c>
      <c r="P606"/>
      <c r="Q606" s="59"/>
      <c r="R606" s="1"/>
    </row>
    <row r="607" spans="1:18">
      <c r="A607" s="122" t="e">
        <f>IF(VLOOKUP(Tabela6[[#This Row],[UF]],'BASE CC'!B:C,2,0)="SP",IF(Tabela6[[#This Row],[OPERADORA]]="TIM","SP TIM","SPI"),VLOOKUP(Tabela6[[#This Row],[UF]],'BASE CC'!B:C,2,0))</f>
        <v>#N/A</v>
      </c>
      <c r="B607" s="36" t="e">
        <f>VLOOKUP(Tabela_Base_Financeiro[[#This Row],[Item code]],'COD.FAT'!B:C,2,0)</f>
        <v>#N/A</v>
      </c>
      <c r="C607" s="292">
        <f>Tabela_Base_Financeiro[[#This Row],[PO Ship TO]]</f>
        <v>0</v>
      </c>
      <c r="D607" s="36" t="str">
        <f>RIGHT(Tabela_Base_Financeiro[[#This Row],[Manufacturer]],2)</f>
        <v/>
      </c>
      <c r="E60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07" s="122" t="e">
        <f>VLOOKUP(Tabela_Base_Financeiro[[#This Row],[Project Code]],'COD. PROJETOS'!B:D,3,0)</f>
        <v>#N/A</v>
      </c>
      <c r="G607" s="36">
        <f>IFERROR(Tabela_Base_Financeiro[[#This Row],[PO No,]],0)</f>
        <v>0</v>
      </c>
      <c r="H607" s="36">
        <f>IFERROR(Tabela_Base_Financeiro[[#This Row],[Line No,]],0)</f>
        <v>0</v>
      </c>
      <c r="I607" s="36" t="str">
        <f>IFERROR(MID(Tabela_Base_Financeiro[[#This Row],[Manufacturer]],19,14),"")</f>
        <v/>
      </c>
      <c r="J607" s="113">
        <f>IFERROR(Tabela_Base_Financeiro[[#This Row],[Item code]],0)</f>
        <v>0</v>
      </c>
      <c r="K607" s="293">
        <f>IFERROR(Tabela_Base_Financeiro[[#This Row],[Unit Price]],0)</f>
        <v>0</v>
      </c>
      <c r="L607" s="36">
        <f>IFERROR(Tabela_Base_Financeiro[[#This Row],[AC Qty,]],0)</f>
        <v>0</v>
      </c>
      <c r="M607" s="60">
        <f>Tabela6[[#This Row],[Qty]]*Tabela6[[#This Row],[Preço]]</f>
        <v>0</v>
      </c>
      <c r="N607" s="37">
        <f>IFERROR(Tabela_Base_Financeiro[[#This Row],[Proportion]],0)</f>
        <v>0</v>
      </c>
      <c r="O607" s="60">
        <f>Tabela6[[#This Row],[Proporção]]*Tabela6[[#This Row],[Total]]</f>
        <v>0</v>
      </c>
      <c r="P607"/>
      <c r="Q607" s="59"/>
      <c r="R607" s="1"/>
    </row>
    <row r="608" spans="1:18">
      <c r="A608" s="122" t="e">
        <f>IF(VLOOKUP(Tabela6[[#This Row],[UF]],'BASE CC'!B:C,2,0)="SP",IF(Tabela6[[#This Row],[OPERADORA]]="TIM","SP TIM","SPI"),VLOOKUP(Tabela6[[#This Row],[UF]],'BASE CC'!B:C,2,0))</f>
        <v>#N/A</v>
      </c>
      <c r="B608" s="36" t="e">
        <f>VLOOKUP(Tabela_Base_Financeiro[[#This Row],[Item code]],'COD.FAT'!B:C,2,0)</f>
        <v>#N/A</v>
      </c>
      <c r="C608" s="292">
        <f>Tabela_Base_Financeiro[[#This Row],[PO Ship TO]]</f>
        <v>0</v>
      </c>
      <c r="D608" s="36" t="str">
        <f>RIGHT(Tabela_Base_Financeiro[[#This Row],[Manufacturer]],2)</f>
        <v/>
      </c>
      <c r="E60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08" s="122" t="e">
        <f>VLOOKUP(Tabela_Base_Financeiro[[#This Row],[Project Code]],'COD. PROJETOS'!B:D,3,0)</f>
        <v>#N/A</v>
      </c>
      <c r="G608" s="36">
        <f>IFERROR(Tabela_Base_Financeiro[[#This Row],[PO No,]],0)</f>
        <v>0</v>
      </c>
      <c r="H608" s="36">
        <f>IFERROR(Tabela_Base_Financeiro[[#This Row],[Line No,]],0)</f>
        <v>0</v>
      </c>
      <c r="I608" s="36" t="str">
        <f>IFERROR(MID(Tabela_Base_Financeiro[[#This Row],[Manufacturer]],19,14),"")</f>
        <v/>
      </c>
      <c r="J608" s="113">
        <f>IFERROR(Tabela_Base_Financeiro[[#This Row],[Item code]],0)</f>
        <v>0</v>
      </c>
      <c r="K608" s="293">
        <f>IFERROR(Tabela_Base_Financeiro[[#This Row],[Unit Price]],0)</f>
        <v>0</v>
      </c>
      <c r="L608" s="36">
        <f>IFERROR(Tabela_Base_Financeiro[[#This Row],[AC Qty,]],0)</f>
        <v>0</v>
      </c>
      <c r="M608" s="60">
        <f>Tabela6[[#This Row],[Qty]]*Tabela6[[#This Row],[Preço]]</f>
        <v>0</v>
      </c>
      <c r="N608" s="37">
        <f>IFERROR(Tabela_Base_Financeiro[[#This Row],[Proportion]],0)</f>
        <v>0</v>
      </c>
      <c r="O608" s="60">
        <f>Tabela6[[#This Row],[Proporção]]*Tabela6[[#This Row],[Total]]</f>
        <v>0</v>
      </c>
      <c r="P608"/>
      <c r="Q608" s="59"/>
      <c r="R608" s="1"/>
    </row>
    <row r="609" spans="1:18">
      <c r="A609" s="122" t="e">
        <f>IF(VLOOKUP(Tabela6[[#This Row],[UF]],'BASE CC'!B:C,2,0)="SP",IF(Tabela6[[#This Row],[OPERADORA]]="TIM","SP TIM","SPI"),VLOOKUP(Tabela6[[#This Row],[UF]],'BASE CC'!B:C,2,0))</f>
        <v>#N/A</v>
      </c>
      <c r="B609" s="36" t="e">
        <f>VLOOKUP(Tabela_Base_Financeiro[[#This Row],[Item code]],'COD.FAT'!B:C,2,0)</f>
        <v>#N/A</v>
      </c>
      <c r="C609" s="292">
        <f>Tabela_Base_Financeiro[[#This Row],[PO Ship TO]]</f>
        <v>0</v>
      </c>
      <c r="D609" s="36" t="str">
        <f>RIGHT(Tabela_Base_Financeiro[[#This Row],[Manufacturer]],2)</f>
        <v/>
      </c>
      <c r="E60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09" s="122" t="e">
        <f>VLOOKUP(Tabela_Base_Financeiro[[#This Row],[Project Code]],'COD. PROJETOS'!B:D,3,0)</f>
        <v>#N/A</v>
      </c>
      <c r="G609" s="36">
        <f>IFERROR(Tabela_Base_Financeiro[[#This Row],[PO No,]],0)</f>
        <v>0</v>
      </c>
      <c r="H609" s="36">
        <f>IFERROR(Tabela_Base_Financeiro[[#This Row],[Line No,]],0)</f>
        <v>0</v>
      </c>
      <c r="I609" s="36" t="str">
        <f>IFERROR(MID(Tabela_Base_Financeiro[[#This Row],[Manufacturer]],19,14),"")</f>
        <v/>
      </c>
      <c r="J609" s="113">
        <f>IFERROR(Tabela_Base_Financeiro[[#This Row],[Item code]],0)</f>
        <v>0</v>
      </c>
      <c r="K609" s="293">
        <f>IFERROR(Tabela_Base_Financeiro[[#This Row],[Unit Price]],0)</f>
        <v>0</v>
      </c>
      <c r="L609" s="36">
        <f>IFERROR(Tabela_Base_Financeiro[[#This Row],[AC Qty,]],0)</f>
        <v>0</v>
      </c>
      <c r="M609" s="60">
        <f>Tabela6[[#This Row],[Qty]]*Tabela6[[#This Row],[Preço]]</f>
        <v>0</v>
      </c>
      <c r="N609" s="37">
        <f>IFERROR(Tabela_Base_Financeiro[[#This Row],[Proportion]],0)</f>
        <v>0</v>
      </c>
      <c r="O609" s="60">
        <f>Tabela6[[#This Row],[Proporção]]*Tabela6[[#This Row],[Total]]</f>
        <v>0</v>
      </c>
      <c r="P609"/>
      <c r="Q609" s="59"/>
      <c r="R609" s="1"/>
    </row>
    <row r="610" spans="1:18">
      <c r="A610" s="122" t="e">
        <f>IF(VLOOKUP(Tabela6[[#This Row],[UF]],'BASE CC'!B:C,2,0)="SP",IF(Tabela6[[#This Row],[OPERADORA]]="TIM","SP TIM","SPI"),VLOOKUP(Tabela6[[#This Row],[UF]],'BASE CC'!B:C,2,0))</f>
        <v>#N/A</v>
      </c>
      <c r="B610" s="36" t="e">
        <f>VLOOKUP(Tabela_Base_Financeiro[[#This Row],[Item code]],'COD.FAT'!B:C,2,0)</f>
        <v>#N/A</v>
      </c>
      <c r="C610" s="292">
        <f>Tabela_Base_Financeiro[[#This Row],[PO Ship TO]]</f>
        <v>0</v>
      </c>
      <c r="D610" s="36" t="str">
        <f>RIGHT(Tabela_Base_Financeiro[[#This Row],[Manufacturer]],2)</f>
        <v/>
      </c>
      <c r="E61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10" s="122" t="e">
        <f>VLOOKUP(Tabela_Base_Financeiro[[#This Row],[Project Code]],'COD. PROJETOS'!B:D,3,0)</f>
        <v>#N/A</v>
      </c>
      <c r="G610" s="36">
        <f>IFERROR(Tabela_Base_Financeiro[[#This Row],[PO No,]],0)</f>
        <v>0</v>
      </c>
      <c r="H610" s="36">
        <f>IFERROR(Tabela_Base_Financeiro[[#This Row],[Line No,]],0)</f>
        <v>0</v>
      </c>
      <c r="I610" s="36" t="str">
        <f>IFERROR(MID(Tabela_Base_Financeiro[[#This Row],[Manufacturer]],19,14),"")</f>
        <v/>
      </c>
      <c r="J610" s="113">
        <f>IFERROR(Tabela_Base_Financeiro[[#This Row],[Item code]],0)</f>
        <v>0</v>
      </c>
      <c r="K610" s="293">
        <f>IFERROR(Tabela_Base_Financeiro[[#This Row],[Unit Price]],0)</f>
        <v>0</v>
      </c>
      <c r="L610" s="36">
        <f>IFERROR(Tabela_Base_Financeiro[[#This Row],[AC Qty,]],0)</f>
        <v>0</v>
      </c>
      <c r="M610" s="60">
        <f>Tabela6[[#This Row],[Qty]]*Tabela6[[#This Row],[Preço]]</f>
        <v>0</v>
      </c>
      <c r="N610" s="37">
        <f>IFERROR(Tabela_Base_Financeiro[[#This Row],[Proportion]],0)</f>
        <v>0</v>
      </c>
      <c r="O610" s="60">
        <f>Tabela6[[#This Row],[Proporção]]*Tabela6[[#This Row],[Total]]</f>
        <v>0</v>
      </c>
      <c r="P610"/>
      <c r="Q610" s="59"/>
      <c r="R610" s="1"/>
    </row>
    <row r="611" spans="1:18">
      <c r="A611" s="122" t="e">
        <f>IF(VLOOKUP(Tabela6[[#This Row],[UF]],'BASE CC'!B:C,2,0)="SP",IF(Tabela6[[#This Row],[OPERADORA]]="TIM","SP TIM","SPI"),VLOOKUP(Tabela6[[#This Row],[UF]],'BASE CC'!B:C,2,0))</f>
        <v>#N/A</v>
      </c>
      <c r="B611" s="36" t="e">
        <f>VLOOKUP(Tabela_Base_Financeiro[[#This Row],[Item code]],'COD.FAT'!B:C,2,0)</f>
        <v>#N/A</v>
      </c>
      <c r="C611" s="292">
        <f>Tabela_Base_Financeiro[[#This Row],[PO Ship TO]]</f>
        <v>0</v>
      </c>
      <c r="D611" s="36" t="str">
        <f>RIGHT(Tabela_Base_Financeiro[[#This Row],[Manufacturer]],2)</f>
        <v/>
      </c>
      <c r="E61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11" s="122" t="e">
        <f>VLOOKUP(Tabela_Base_Financeiro[[#This Row],[Project Code]],'COD. PROJETOS'!B:D,3,0)</f>
        <v>#N/A</v>
      </c>
      <c r="G611" s="36">
        <f>IFERROR(Tabela_Base_Financeiro[[#This Row],[PO No,]],0)</f>
        <v>0</v>
      </c>
      <c r="H611" s="36">
        <f>IFERROR(Tabela_Base_Financeiro[[#This Row],[Line No,]],0)</f>
        <v>0</v>
      </c>
      <c r="I611" s="36" t="str">
        <f>IFERROR(MID(Tabela_Base_Financeiro[[#This Row],[Manufacturer]],19,14),"")</f>
        <v/>
      </c>
      <c r="J611" s="113">
        <f>IFERROR(Tabela_Base_Financeiro[[#This Row],[Item code]],0)</f>
        <v>0</v>
      </c>
      <c r="K611" s="293">
        <f>IFERROR(Tabela_Base_Financeiro[[#This Row],[Unit Price]],0)</f>
        <v>0</v>
      </c>
      <c r="L611" s="36">
        <f>IFERROR(Tabela_Base_Financeiro[[#This Row],[AC Qty,]],0)</f>
        <v>0</v>
      </c>
      <c r="M611" s="60">
        <f>Tabela6[[#This Row],[Qty]]*Tabela6[[#This Row],[Preço]]</f>
        <v>0</v>
      </c>
      <c r="N611" s="37">
        <f>IFERROR(Tabela_Base_Financeiro[[#This Row],[Proportion]],0)</f>
        <v>0</v>
      </c>
      <c r="O611" s="60">
        <f>Tabela6[[#This Row],[Proporção]]*Tabela6[[#This Row],[Total]]</f>
        <v>0</v>
      </c>
      <c r="P611"/>
      <c r="Q611" s="59"/>
      <c r="R611" s="1"/>
    </row>
    <row r="612" spans="1:18">
      <c r="A612" s="122" t="e">
        <f>IF(VLOOKUP(Tabela6[[#This Row],[UF]],'BASE CC'!B:C,2,0)="SP",IF(Tabela6[[#This Row],[OPERADORA]]="TIM","SP TIM","SPI"),VLOOKUP(Tabela6[[#This Row],[UF]],'BASE CC'!B:C,2,0))</f>
        <v>#N/A</v>
      </c>
      <c r="B612" s="36" t="e">
        <f>VLOOKUP(Tabela_Base_Financeiro[[#This Row],[Item code]],'COD.FAT'!B:C,2,0)</f>
        <v>#N/A</v>
      </c>
      <c r="C612" s="292">
        <f>Tabela_Base_Financeiro[[#This Row],[PO Ship TO]]</f>
        <v>0</v>
      </c>
      <c r="D612" s="36" t="str">
        <f>RIGHT(Tabela_Base_Financeiro[[#This Row],[Manufacturer]],2)</f>
        <v/>
      </c>
      <c r="E61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12" s="122" t="e">
        <f>VLOOKUP(Tabela_Base_Financeiro[[#This Row],[Project Code]],'COD. PROJETOS'!B:D,3,0)</f>
        <v>#N/A</v>
      </c>
      <c r="G612" s="36">
        <f>IFERROR(Tabela_Base_Financeiro[[#This Row],[PO No,]],0)</f>
        <v>0</v>
      </c>
      <c r="H612" s="36">
        <f>IFERROR(Tabela_Base_Financeiro[[#This Row],[Line No,]],0)</f>
        <v>0</v>
      </c>
      <c r="I612" s="36" t="str">
        <f>IFERROR(MID(Tabela_Base_Financeiro[[#This Row],[Manufacturer]],19,14),"")</f>
        <v/>
      </c>
      <c r="J612" s="113">
        <f>IFERROR(Tabela_Base_Financeiro[[#This Row],[Item code]],0)</f>
        <v>0</v>
      </c>
      <c r="K612" s="293">
        <f>IFERROR(Tabela_Base_Financeiro[[#This Row],[Unit Price]],0)</f>
        <v>0</v>
      </c>
      <c r="L612" s="36">
        <f>IFERROR(Tabela_Base_Financeiro[[#This Row],[AC Qty,]],0)</f>
        <v>0</v>
      </c>
      <c r="M612" s="60">
        <f>Tabela6[[#This Row],[Qty]]*Tabela6[[#This Row],[Preço]]</f>
        <v>0</v>
      </c>
      <c r="N612" s="37">
        <f>IFERROR(Tabela_Base_Financeiro[[#This Row],[Proportion]],0)</f>
        <v>0</v>
      </c>
      <c r="O612" s="60">
        <f>Tabela6[[#This Row],[Proporção]]*Tabela6[[#This Row],[Total]]</f>
        <v>0</v>
      </c>
      <c r="P612"/>
      <c r="Q612" s="59"/>
      <c r="R612" s="1"/>
    </row>
    <row r="613" spans="1:18">
      <c r="A613" s="122" t="e">
        <f>IF(VLOOKUP(Tabela6[[#This Row],[UF]],'BASE CC'!B:C,2,0)="SP",IF(Tabela6[[#This Row],[OPERADORA]]="TIM","SP TIM","SPI"),VLOOKUP(Tabela6[[#This Row],[UF]],'BASE CC'!B:C,2,0))</f>
        <v>#N/A</v>
      </c>
      <c r="B613" s="36" t="e">
        <f>VLOOKUP(Tabela_Base_Financeiro[[#This Row],[Item code]],'COD.FAT'!B:C,2,0)</f>
        <v>#N/A</v>
      </c>
      <c r="C613" s="292">
        <f>Tabela_Base_Financeiro[[#This Row],[PO Ship TO]]</f>
        <v>0</v>
      </c>
      <c r="D613" s="36" t="str">
        <f>RIGHT(Tabela_Base_Financeiro[[#This Row],[Manufacturer]],2)</f>
        <v/>
      </c>
      <c r="E61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13" s="122" t="e">
        <f>VLOOKUP(Tabela_Base_Financeiro[[#This Row],[Project Code]],'COD. PROJETOS'!B:D,3,0)</f>
        <v>#N/A</v>
      </c>
      <c r="G613" s="36">
        <f>IFERROR(Tabela_Base_Financeiro[[#This Row],[PO No,]],0)</f>
        <v>0</v>
      </c>
      <c r="H613" s="36">
        <f>IFERROR(Tabela_Base_Financeiro[[#This Row],[Line No,]],0)</f>
        <v>0</v>
      </c>
      <c r="I613" s="36" t="str">
        <f>IFERROR(MID(Tabela_Base_Financeiro[[#This Row],[Manufacturer]],19,14),"")</f>
        <v/>
      </c>
      <c r="J613" s="113">
        <f>IFERROR(Tabela_Base_Financeiro[[#This Row],[Item code]],0)</f>
        <v>0</v>
      </c>
      <c r="K613" s="293">
        <f>IFERROR(Tabela_Base_Financeiro[[#This Row],[Unit Price]],0)</f>
        <v>0</v>
      </c>
      <c r="L613" s="36">
        <f>IFERROR(Tabela_Base_Financeiro[[#This Row],[AC Qty,]],0)</f>
        <v>0</v>
      </c>
      <c r="M613" s="60">
        <f>Tabela6[[#This Row],[Qty]]*Tabela6[[#This Row],[Preço]]</f>
        <v>0</v>
      </c>
      <c r="N613" s="37">
        <f>IFERROR(Tabela_Base_Financeiro[[#This Row],[Proportion]],0)</f>
        <v>0</v>
      </c>
      <c r="O613" s="60">
        <f>Tabela6[[#This Row],[Proporção]]*Tabela6[[#This Row],[Total]]</f>
        <v>0</v>
      </c>
      <c r="P613"/>
      <c r="Q613" s="59"/>
      <c r="R613" s="1"/>
    </row>
    <row r="614" spans="1:18">
      <c r="A614" s="122" t="e">
        <f>IF(VLOOKUP(Tabela6[[#This Row],[UF]],'BASE CC'!B:C,2,0)="SP",IF(Tabela6[[#This Row],[OPERADORA]]="TIM","SP TIM","SPI"),VLOOKUP(Tabela6[[#This Row],[UF]],'BASE CC'!B:C,2,0))</f>
        <v>#N/A</v>
      </c>
      <c r="B614" s="36" t="e">
        <f>VLOOKUP(Tabela_Base_Financeiro[[#This Row],[Item code]],'COD.FAT'!B:C,2,0)</f>
        <v>#N/A</v>
      </c>
      <c r="C614" s="292">
        <f>Tabela_Base_Financeiro[[#This Row],[PO Ship TO]]</f>
        <v>0</v>
      </c>
      <c r="D614" s="36" t="str">
        <f>RIGHT(Tabela_Base_Financeiro[[#This Row],[Manufacturer]],2)</f>
        <v/>
      </c>
      <c r="E61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14" s="122" t="e">
        <f>VLOOKUP(Tabela_Base_Financeiro[[#This Row],[Project Code]],'COD. PROJETOS'!B:D,3,0)</f>
        <v>#N/A</v>
      </c>
      <c r="G614" s="36">
        <f>IFERROR(Tabela_Base_Financeiro[[#This Row],[PO No,]],0)</f>
        <v>0</v>
      </c>
      <c r="H614" s="36">
        <f>IFERROR(Tabela_Base_Financeiro[[#This Row],[Line No,]],0)</f>
        <v>0</v>
      </c>
      <c r="I614" s="36" t="str">
        <f>IFERROR(MID(Tabela_Base_Financeiro[[#This Row],[Manufacturer]],19,14),"")</f>
        <v/>
      </c>
      <c r="J614" s="113">
        <f>IFERROR(Tabela_Base_Financeiro[[#This Row],[Item code]],0)</f>
        <v>0</v>
      </c>
      <c r="K614" s="293">
        <f>IFERROR(Tabela_Base_Financeiro[[#This Row],[Unit Price]],0)</f>
        <v>0</v>
      </c>
      <c r="L614" s="36">
        <f>IFERROR(Tabela_Base_Financeiro[[#This Row],[AC Qty,]],0)</f>
        <v>0</v>
      </c>
      <c r="M614" s="60">
        <f>Tabela6[[#This Row],[Qty]]*Tabela6[[#This Row],[Preço]]</f>
        <v>0</v>
      </c>
      <c r="N614" s="37">
        <f>IFERROR(Tabela_Base_Financeiro[[#This Row],[Proportion]],0)</f>
        <v>0</v>
      </c>
      <c r="O614" s="60">
        <f>Tabela6[[#This Row],[Proporção]]*Tabela6[[#This Row],[Total]]</f>
        <v>0</v>
      </c>
      <c r="P614"/>
      <c r="Q614" s="59"/>
      <c r="R614" s="1"/>
    </row>
    <row r="615" spans="1:18">
      <c r="A615" s="122" t="e">
        <f>IF(VLOOKUP(Tabela6[[#This Row],[UF]],'BASE CC'!B:C,2,0)="SP",IF(Tabela6[[#This Row],[OPERADORA]]="TIM","SP TIM","SPI"),VLOOKUP(Tabela6[[#This Row],[UF]],'BASE CC'!B:C,2,0))</f>
        <v>#N/A</v>
      </c>
      <c r="B615" s="36" t="e">
        <f>VLOOKUP(Tabela_Base_Financeiro[[#This Row],[Item code]],'COD.FAT'!B:C,2,0)</f>
        <v>#N/A</v>
      </c>
      <c r="C615" s="292">
        <f>Tabela_Base_Financeiro[[#This Row],[PO Ship TO]]</f>
        <v>0</v>
      </c>
      <c r="D615" s="36" t="str">
        <f>RIGHT(Tabela_Base_Financeiro[[#This Row],[Manufacturer]],2)</f>
        <v/>
      </c>
      <c r="E61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15" s="122" t="e">
        <f>VLOOKUP(Tabela_Base_Financeiro[[#This Row],[Project Code]],'COD. PROJETOS'!B:D,3,0)</f>
        <v>#N/A</v>
      </c>
      <c r="G615" s="36">
        <f>IFERROR(Tabela_Base_Financeiro[[#This Row],[PO No,]],0)</f>
        <v>0</v>
      </c>
      <c r="H615" s="36">
        <f>IFERROR(Tabela_Base_Financeiro[[#This Row],[Line No,]],0)</f>
        <v>0</v>
      </c>
      <c r="I615" s="36" t="str">
        <f>IFERROR(MID(Tabela_Base_Financeiro[[#This Row],[Manufacturer]],19,14),"")</f>
        <v/>
      </c>
      <c r="J615" s="113">
        <f>IFERROR(Tabela_Base_Financeiro[[#This Row],[Item code]],0)</f>
        <v>0</v>
      </c>
      <c r="K615" s="293">
        <f>IFERROR(Tabela_Base_Financeiro[[#This Row],[Unit Price]],0)</f>
        <v>0</v>
      </c>
      <c r="L615" s="36">
        <f>IFERROR(Tabela_Base_Financeiro[[#This Row],[AC Qty,]],0)</f>
        <v>0</v>
      </c>
      <c r="M615" s="60">
        <f>Tabela6[[#This Row],[Qty]]*Tabela6[[#This Row],[Preço]]</f>
        <v>0</v>
      </c>
      <c r="N615" s="37">
        <f>IFERROR(Tabela_Base_Financeiro[[#This Row],[Proportion]],0)</f>
        <v>0</v>
      </c>
      <c r="O615" s="60">
        <f>Tabela6[[#This Row],[Proporção]]*Tabela6[[#This Row],[Total]]</f>
        <v>0</v>
      </c>
      <c r="P615"/>
      <c r="Q615" s="59"/>
      <c r="R615" s="1"/>
    </row>
    <row r="616" spans="1:18">
      <c r="A616" s="122" t="e">
        <f>IF(VLOOKUP(Tabela6[[#This Row],[UF]],'BASE CC'!B:C,2,0)="SP",IF(Tabela6[[#This Row],[OPERADORA]]="TIM","SP TIM","SPI"),VLOOKUP(Tabela6[[#This Row],[UF]],'BASE CC'!B:C,2,0))</f>
        <v>#N/A</v>
      </c>
      <c r="B616" s="36" t="e">
        <f>VLOOKUP(Tabela_Base_Financeiro[[#This Row],[Item code]],'COD.FAT'!B:C,2,0)</f>
        <v>#N/A</v>
      </c>
      <c r="C616" s="292">
        <f>Tabela_Base_Financeiro[[#This Row],[PO Ship TO]]</f>
        <v>0</v>
      </c>
      <c r="D616" s="36" t="str">
        <f>RIGHT(Tabela_Base_Financeiro[[#This Row],[Manufacturer]],2)</f>
        <v/>
      </c>
      <c r="E61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16" s="122" t="e">
        <f>VLOOKUP(Tabela_Base_Financeiro[[#This Row],[Project Code]],'COD. PROJETOS'!B:D,3,0)</f>
        <v>#N/A</v>
      </c>
      <c r="G616" s="36">
        <f>IFERROR(Tabela_Base_Financeiro[[#This Row],[PO No,]],0)</f>
        <v>0</v>
      </c>
      <c r="H616" s="36">
        <f>IFERROR(Tabela_Base_Financeiro[[#This Row],[Line No,]],0)</f>
        <v>0</v>
      </c>
      <c r="I616" s="36" t="str">
        <f>IFERROR(MID(Tabela_Base_Financeiro[[#This Row],[Manufacturer]],19,14),"")</f>
        <v/>
      </c>
      <c r="J616" s="113">
        <f>IFERROR(Tabela_Base_Financeiro[[#This Row],[Item code]],0)</f>
        <v>0</v>
      </c>
      <c r="K616" s="293">
        <f>IFERROR(Tabela_Base_Financeiro[[#This Row],[Unit Price]],0)</f>
        <v>0</v>
      </c>
      <c r="L616" s="36">
        <f>IFERROR(Tabela_Base_Financeiro[[#This Row],[AC Qty,]],0)</f>
        <v>0</v>
      </c>
      <c r="M616" s="60">
        <f>Tabela6[[#This Row],[Qty]]*Tabela6[[#This Row],[Preço]]</f>
        <v>0</v>
      </c>
      <c r="N616" s="37">
        <f>IFERROR(Tabela_Base_Financeiro[[#This Row],[Proportion]],0)</f>
        <v>0</v>
      </c>
      <c r="O616" s="60">
        <f>Tabela6[[#This Row],[Proporção]]*Tabela6[[#This Row],[Total]]</f>
        <v>0</v>
      </c>
      <c r="P616"/>
      <c r="Q616" s="59"/>
      <c r="R616" s="1"/>
    </row>
    <row r="617" spans="1:18">
      <c r="A617" s="122" t="e">
        <f>IF(VLOOKUP(Tabela6[[#This Row],[UF]],'BASE CC'!B:C,2,0)="SP",IF(Tabela6[[#This Row],[OPERADORA]]="TIM","SP TIM","SPI"),VLOOKUP(Tabela6[[#This Row],[UF]],'BASE CC'!B:C,2,0))</f>
        <v>#N/A</v>
      </c>
      <c r="B617" s="36" t="e">
        <f>VLOOKUP(Tabela_Base_Financeiro[[#This Row],[Item code]],'COD.FAT'!B:C,2,0)</f>
        <v>#N/A</v>
      </c>
      <c r="C617" s="292">
        <f>Tabela_Base_Financeiro[[#This Row],[PO Ship TO]]</f>
        <v>0</v>
      </c>
      <c r="D617" s="36" t="str">
        <f>RIGHT(Tabela_Base_Financeiro[[#This Row],[Manufacturer]],2)</f>
        <v/>
      </c>
      <c r="E61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17" s="122" t="e">
        <f>VLOOKUP(Tabela_Base_Financeiro[[#This Row],[Project Code]],'COD. PROJETOS'!B:D,3,0)</f>
        <v>#N/A</v>
      </c>
      <c r="G617" s="36">
        <f>IFERROR(Tabela_Base_Financeiro[[#This Row],[PO No,]],0)</f>
        <v>0</v>
      </c>
      <c r="H617" s="36">
        <f>IFERROR(Tabela_Base_Financeiro[[#This Row],[Line No,]],0)</f>
        <v>0</v>
      </c>
      <c r="I617" s="36" t="str">
        <f>IFERROR(MID(Tabela_Base_Financeiro[[#This Row],[Manufacturer]],19,14),"")</f>
        <v/>
      </c>
      <c r="J617" s="113">
        <f>IFERROR(Tabela_Base_Financeiro[[#This Row],[Item code]],0)</f>
        <v>0</v>
      </c>
      <c r="K617" s="293">
        <f>IFERROR(Tabela_Base_Financeiro[[#This Row],[Unit Price]],0)</f>
        <v>0</v>
      </c>
      <c r="L617" s="36">
        <f>IFERROR(Tabela_Base_Financeiro[[#This Row],[AC Qty,]],0)</f>
        <v>0</v>
      </c>
      <c r="M617" s="60">
        <f>Tabela6[[#This Row],[Qty]]*Tabela6[[#This Row],[Preço]]</f>
        <v>0</v>
      </c>
      <c r="N617" s="37">
        <f>IFERROR(Tabela_Base_Financeiro[[#This Row],[Proportion]],0)</f>
        <v>0</v>
      </c>
      <c r="O617" s="60">
        <f>Tabela6[[#This Row],[Proporção]]*Tabela6[[#This Row],[Total]]</f>
        <v>0</v>
      </c>
      <c r="P617"/>
      <c r="Q617" s="59"/>
      <c r="R617" s="1"/>
    </row>
    <row r="618" spans="1:18">
      <c r="A618" s="122" t="e">
        <f>IF(VLOOKUP(Tabela6[[#This Row],[UF]],'BASE CC'!B:C,2,0)="SP",IF(Tabela6[[#This Row],[OPERADORA]]="TIM","SP TIM","SPI"),VLOOKUP(Tabela6[[#This Row],[UF]],'BASE CC'!B:C,2,0))</f>
        <v>#N/A</v>
      </c>
      <c r="B618" s="36" t="e">
        <f>VLOOKUP(Tabela_Base_Financeiro[[#This Row],[Item code]],'COD.FAT'!B:C,2,0)</f>
        <v>#N/A</v>
      </c>
      <c r="C618" s="292">
        <f>Tabela_Base_Financeiro[[#This Row],[PO Ship TO]]</f>
        <v>0</v>
      </c>
      <c r="D618" s="36" t="str">
        <f>RIGHT(Tabela_Base_Financeiro[[#This Row],[Manufacturer]],2)</f>
        <v/>
      </c>
      <c r="E61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18" s="122" t="e">
        <f>VLOOKUP(Tabela_Base_Financeiro[[#This Row],[Project Code]],'COD. PROJETOS'!B:D,3,0)</f>
        <v>#N/A</v>
      </c>
      <c r="G618" s="36">
        <f>IFERROR(Tabela_Base_Financeiro[[#This Row],[PO No,]],0)</f>
        <v>0</v>
      </c>
      <c r="H618" s="36">
        <f>IFERROR(Tabela_Base_Financeiro[[#This Row],[Line No,]],0)</f>
        <v>0</v>
      </c>
      <c r="I618" s="36" t="str">
        <f>IFERROR(MID(Tabela_Base_Financeiro[[#This Row],[Manufacturer]],19,14),"")</f>
        <v/>
      </c>
      <c r="J618" s="113">
        <f>IFERROR(Tabela_Base_Financeiro[[#This Row],[Item code]],0)</f>
        <v>0</v>
      </c>
      <c r="K618" s="293">
        <f>IFERROR(Tabela_Base_Financeiro[[#This Row],[Unit Price]],0)</f>
        <v>0</v>
      </c>
      <c r="L618" s="36">
        <f>IFERROR(Tabela_Base_Financeiro[[#This Row],[AC Qty,]],0)</f>
        <v>0</v>
      </c>
      <c r="M618" s="60">
        <f>Tabela6[[#This Row],[Qty]]*Tabela6[[#This Row],[Preço]]</f>
        <v>0</v>
      </c>
      <c r="N618" s="37">
        <f>IFERROR(Tabela_Base_Financeiro[[#This Row],[Proportion]],0)</f>
        <v>0</v>
      </c>
      <c r="O618" s="60">
        <f>Tabela6[[#This Row],[Proporção]]*Tabela6[[#This Row],[Total]]</f>
        <v>0</v>
      </c>
      <c r="P618"/>
      <c r="Q618" s="59"/>
      <c r="R618" s="1"/>
    </row>
    <row r="619" spans="1:18">
      <c r="A619" s="122" t="e">
        <f>IF(VLOOKUP(Tabela6[[#This Row],[UF]],'BASE CC'!B:C,2,0)="SP",IF(Tabela6[[#This Row],[OPERADORA]]="TIM","SP TIM","SPI"),VLOOKUP(Tabela6[[#This Row],[UF]],'BASE CC'!B:C,2,0))</f>
        <v>#N/A</v>
      </c>
      <c r="B619" s="36" t="e">
        <f>VLOOKUP(Tabela_Base_Financeiro[[#This Row],[Item code]],'COD.FAT'!B:C,2,0)</f>
        <v>#N/A</v>
      </c>
      <c r="C619" s="292">
        <f>Tabela_Base_Financeiro[[#This Row],[PO Ship TO]]</f>
        <v>0</v>
      </c>
      <c r="D619" s="36" t="str">
        <f>RIGHT(Tabela_Base_Financeiro[[#This Row],[Manufacturer]],2)</f>
        <v/>
      </c>
      <c r="E61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19" s="122" t="e">
        <f>VLOOKUP(Tabela_Base_Financeiro[[#This Row],[Project Code]],'COD. PROJETOS'!B:D,3,0)</f>
        <v>#N/A</v>
      </c>
      <c r="G619" s="36">
        <f>IFERROR(Tabela_Base_Financeiro[[#This Row],[PO No,]],0)</f>
        <v>0</v>
      </c>
      <c r="H619" s="36">
        <f>IFERROR(Tabela_Base_Financeiro[[#This Row],[Line No,]],0)</f>
        <v>0</v>
      </c>
      <c r="I619" s="36" t="str">
        <f>IFERROR(MID(Tabela_Base_Financeiro[[#This Row],[Manufacturer]],19,14),"")</f>
        <v/>
      </c>
      <c r="J619" s="113">
        <f>IFERROR(Tabela_Base_Financeiro[[#This Row],[Item code]],0)</f>
        <v>0</v>
      </c>
      <c r="K619" s="293">
        <f>IFERROR(Tabela_Base_Financeiro[[#This Row],[Unit Price]],0)</f>
        <v>0</v>
      </c>
      <c r="L619" s="36">
        <f>IFERROR(Tabela_Base_Financeiro[[#This Row],[AC Qty,]],0)</f>
        <v>0</v>
      </c>
      <c r="M619" s="60">
        <f>Tabela6[[#This Row],[Qty]]*Tabela6[[#This Row],[Preço]]</f>
        <v>0</v>
      </c>
      <c r="N619" s="37">
        <f>IFERROR(Tabela_Base_Financeiro[[#This Row],[Proportion]],0)</f>
        <v>0</v>
      </c>
      <c r="O619" s="60">
        <f>Tabela6[[#This Row],[Proporção]]*Tabela6[[#This Row],[Total]]</f>
        <v>0</v>
      </c>
      <c r="P619"/>
      <c r="Q619" s="59"/>
      <c r="R619" s="1"/>
    </row>
    <row r="620" spans="1:18">
      <c r="A620" s="122" t="e">
        <f>IF(VLOOKUP(Tabela6[[#This Row],[UF]],'BASE CC'!B:C,2,0)="SP",IF(Tabela6[[#This Row],[OPERADORA]]="TIM","SP TIM","SPI"),VLOOKUP(Tabela6[[#This Row],[UF]],'BASE CC'!B:C,2,0))</f>
        <v>#N/A</v>
      </c>
      <c r="B620" s="36" t="e">
        <f>VLOOKUP(Tabela_Base_Financeiro[[#This Row],[Item code]],'COD.FAT'!B:C,2,0)</f>
        <v>#N/A</v>
      </c>
      <c r="C620" s="292">
        <f>Tabela_Base_Financeiro[[#This Row],[PO Ship TO]]</f>
        <v>0</v>
      </c>
      <c r="D620" s="36" t="str">
        <f>RIGHT(Tabela_Base_Financeiro[[#This Row],[Manufacturer]],2)</f>
        <v/>
      </c>
      <c r="E62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20" s="122" t="e">
        <f>VLOOKUP(Tabela_Base_Financeiro[[#This Row],[Project Code]],'COD. PROJETOS'!B:D,3,0)</f>
        <v>#N/A</v>
      </c>
      <c r="G620" s="36">
        <f>IFERROR(Tabela_Base_Financeiro[[#This Row],[PO No,]],0)</f>
        <v>0</v>
      </c>
      <c r="H620" s="36">
        <f>IFERROR(Tabela_Base_Financeiro[[#This Row],[Line No,]],0)</f>
        <v>0</v>
      </c>
      <c r="I620" s="36" t="str">
        <f>IFERROR(MID(Tabela_Base_Financeiro[[#This Row],[Manufacturer]],19,14),"")</f>
        <v/>
      </c>
      <c r="J620" s="113">
        <f>IFERROR(Tabela_Base_Financeiro[[#This Row],[Item code]],0)</f>
        <v>0</v>
      </c>
      <c r="K620" s="293">
        <f>IFERROR(Tabela_Base_Financeiro[[#This Row],[Unit Price]],0)</f>
        <v>0</v>
      </c>
      <c r="L620" s="36">
        <f>IFERROR(Tabela_Base_Financeiro[[#This Row],[AC Qty,]],0)</f>
        <v>0</v>
      </c>
      <c r="M620" s="60">
        <f>Tabela6[[#This Row],[Qty]]*Tabela6[[#This Row],[Preço]]</f>
        <v>0</v>
      </c>
      <c r="N620" s="37">
        <f>IFERROR(Tabela_Base_Financeiro[[#This Row],[Proportion]],0)</f>
        <v>0</v>
      </c>
      <c r="O620" s="60">
        <f>Tabela6[[#This Row],[Proporção]]*Tabela6[[#This Row],[Total]]</f>
        <v>0</v>
      </c>
      <c r="P620"/>
      <c r="Q620" s="59"/>
      <c r="R620" s="1"/>
    </row>
    <row r="621" spans="1:18">
      <c r="A621" s="122" t="e">
        <f>IF(VLOOKUP(Tabela6[[#This Row],[UF]],'BASE CC'!B:C,2,0)="SP",IF(Tabela6[[#This Row],[OPERADORA]]="TIM","SP TIM","SPI"),VLOOKUP(Tabela6[[#This Row],[UF]],'BASE CC'!B:C,2,0))</f>
        <v>#N/A</v>
      </c>
      <c r="B621" s="36" t="e">
        <f>VLOOKUP(Tabela_Base_Financeiro[[#This Row],[Item code]],'COD.FAT'!B:C,2,0)</f>
        <v>#N/A</v>
      </c>
      <c r="C621" s="292">
        <f>Tabela_Base_Financeiro[[#This Row],[PO Ship TO]]</f>
        <v>0</v>
      </c>
      <c r="D621" s="36" t="str">
        <f>RIGHT(Tabela_Base_Financeiro[[#This Row],[Manufacturer]],2)</f>
        <v/>
      </c>
      <c r="E62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21" s="122" t="e">
        <f>VLOOKUP(Tabela_Base_Financeiro[[#This Row],[Project Code]],'COD. PROJETOS'!B:D,3,0)</f>
        <v>#N/A</v>
      </c>
      <c r="G621" s="36">
        <f>IFERROR(Tabela_Base_Financeiro[[#This Row],[PO No,]],0)</f>
        <v>0</v>
      </c>
      <c r="H621" s="36">
        <f>IFERROR(Tabela_Base_Financeiro[[#This Row],[Line No,]],0)</f>
        <v>0</v>
      </c>
      <c r="I621" s="36" t="str">
        <f>IFERROR(MID(Tabela_Base_Financeiro[[#This Row],[Manufacturer]],19,14),"")</f>
        <v/>
      </c>
      <c r="J621" s="113">
        <f>IFERROR(Tabela_Base_Financeiro[[#This Row],[Item code]],0)</f>
        <v>0</v>
      </c>
      <c r="K621" s="293">
        <f>IFERROR(Tabela_Base_Financeiro[[#This Row],[Unit Price]],0)</f>
        <v>0</v>
      </c>
      <c r="L621" s="36">
        <f>IFERROR(Tabela_Base_Financeiro[[#This Row],[AC Qty,]],0)</f>
        <v>0</v>
      </c>
      <c r="M621" s="60">
        <f>Tabela6[[#This Row],[Qty]]*Tabela6[[#This Row],[Preço]]</f>
        <v>0</v>
      </c>
      <c r="N621" s="37">
        <f>IFERROR(Tabela_Base_Financeiro[[#This Row],[Proportion]],0)</f>
        <v>0</v>
      </c>
      <c r="O621" s="60">
        <f>Tabela6[[#This Row],[Proporção]]*Tabela6[[#This Row],[Total]]</f>
        <v>0</v>
      </c>
      <c r="P621"/>
      <c r="Q621" s="59"/>
      <c r="R621" s="1"/>
    </row>
    <row r="622" spans="1:18">
      <c r="A622" s="122" t="e">
        <f>IF(VLOOKUP(Tabela6[[#This Row],[UF]],'BASE CC'!B:C,2,0)="SP",IF(Tabela6[[#This Row],[OPERADORA]]="TIM","SP TIM","SPI"),VLOOKUP(Tabela6[[#This Row],[UF]],'BASE CC'!B:C,2,0))</f>
        <v>#N/A</v>
      </c>
      <c r="B622" s="36" t="e">
        <f>VLOOKUP(Tabela_Base_Financeiro[[#This Row],[Item code]],'COD.FAT'!B:C,2,0)</f>
        <v>#N/A</v>
      </c>
      <c r="C622" s="292">
        <f>Tabela_Base_Financeiro[[#This Row],[PO Ship TO]]</f>
        <v>0</v>
      </c>
      <c r="D622" s="36" t="str">
        <f>RIGHT(Tabela_Base_Financeiro[[#This Row],[Manufacturer]],2)</f>
        <v/>
      </c>
      <c r="E62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22" s="122" t="e">
        <f>VLOOKUP(Tabela_Base_Financeiro[[#This Row],[Project Code]],'COD. PROJETOS'!B:D,3,0)</f>
        <v>#N/A</v>
      </c>
      <c r="G622" s="36">
        <f>IFERROR(Tabela_Base_Financeiro[[#This Row],[PO No,]],0)</f>
        <v>0</v>
      </c>
      <c r="H622" s="36">
        <f>IFERROR(Tabela_Base_Financeiro[[#This Row],[Line No,]],0)</f>
        <v>0</v>
      </c>
      <c r="I622" s="36" t="str">
        <f>IFERROR(MID(Tabela_Base_Financeiro[[#This Row],[Manufacturer]],19,14),"")</f>
        <v/>
      </c>
      <c r="J622" s="113">
        <f>IFERROR(Tabela_Base_Financeiro[[#This Row],[Item code]],0)</f>
        <v>0</v>
      </c>
      <c r="K622" s="293">
        <f>IFERROR(Tabela_Base_Financeiro[[#This Row],[Unit Price]],0)</f>
        <v>0</v>
      </c>
      <c r="L622" s="36">
        <f>IFERROR(Tabela_Base_Financeiro[[#This Row],[AC Qty,]],0)</f>
        <v>0</v>
      </c>
      <c r="M622" s="60">
        <f>Tabela6[[#This Row],[Qty]]*Tabela6[[#This Row],[Preço]]</f>
        <v>0</v>
      </c>
      <c r="N622" s="37">
        <f>IFERROR(Tabela_Base_Financeiro[[#This Row],[Proportion]],0)</f>
        <v>0</v>
      </c>
      <c r="O622" s="60">
        <f>Tabela6[[#This Row],[Proporção]]*Tabela6[[#This Row],[Total]]</f>
        <v>0</v>
      </c>
      <c r="P622"/>
      <c r="Q622" s="59"/>
      <c r="R622" s="1"/>
    </row>
    <row r="623" spans="1:18">
      <c r="A623" s="122" t="e">
        <f>IF(VLOOKUP(Tabela6[[#This Row],[UF]],'BASE CC'!B:C,2,0)="SP",IF(Tabela6[[#This Row],[OPERADORA]]="TIM","SP TIM","SPI"),VLOOKUP(Tabela6[[#This Row],[UF]],'BASE CC'!B:C,2,0))</f>
        <v>#N/A</v>
      </c>
      <c r="B623" s="36" t="e">
        <f>VLOOKUP(Tabela_Base_Financeiro[[#This Row],[Item code]],'COD.FAT'!B:C,2,0)</f>
        <v>#N/A</v>
      </c>
      <c r="C623" s="292">
        <f>Tabela_Base_Financeiro[[#This Row],[PO Ship TO]]</f>
        <v>0</v>
      </c>
      <c r="D623" s="36" t="str">
        <f>RIGHT(Tabela_Base_Financeiro[[#This Row],[Manufacturer]],2)</f>
        <v/>
      </c>
      <c r="E62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23" s="122" t="e">
        <f>VLOOKUP(Tabela_Base_Financeiro[[#This Row],[Project Code]],'COD. PROJETOS'!B:D,3,0)</f>
        <v>#N/A</v>
      </c>
      <c r="G623" s="36">
        <f>IFERROR(Tabela_Base_Financeiro[[#This Row],[PO No,]],0)</f>
        <v>0</v>
      </c>
      <c r="H623" s="36">
        <f>IFERROR(Tabela_Base_Financeiro[[#This Row],[Line No,]],0)</f>
        <v>0</v>
      </c>
      <c r="I623" s="36" t="str">
        <f>IFERROR(MID(Tabela_Base_Financeiro[[#This Row],[Manufacturer]],19,14),"")</f>
        <v/>
      </c>
      <c r="J623" s="113">
        <f>IFERROR(Tabela_Base_Financeiro[[#This Row],[Item code]],0)</f>
        <v>0</v>
      </c>
      <c r="K623" s="293">
        <f>IFERROR(Tabela_Base_Financeiro[[#This Row],[Unit Price]],0)</f>
        <v>0</v>
      </c>
      <c r="L623" s="36">
        <f>IFERROR(Tabela_Base_Financeiro[[#This Row],[AC Qty,]],0)</f>
        <v>0</v>
      </c>
      <c r="M623" s="60">
        <f>Tabela6[[#This Row],[Qty]]*Tabela6[[#This Row],[Preço]]</f>
        <v>0</v>
      </c>
      <c r="N623" s="37">
        <f>IFERROR(Tabela_Base_Financeiro[[#This Row],[Proportion]],0)</f>
        <v>0</v>
      </c>
      <c r="O623" s="60">
        <f>Tabela6[[#This Row],[Proporção]]*Tabela6[[#This Row],[Total]]</f>
        <v>0</v>
      </c>
      <c r="P623"/>
      <c r="Q623" s="59"/>
      <c r="R623" s="1"/>
    </row>
    <row r="624" spans="1:18">
      <c r="A624" s="122" t="e">
        <f>IF(VLOOKUP(Tabela6[[#This Row],[UF]],'BASE CC'!B:C,2,0)="SP",IF(Tabela6[[#This Row],[OPERADORA]]="TIM","SP TIM","SPI"),VLOOKUP(Tabela6[[#This Row],[UF]],'BASE CC'!B:C,2,0))</f>
        <v>#N/A</v>
      </c>
      <c r="B624" s="36" t="e">
        <f>VLOOKUP(Tabela_Base_Financeiro[[#This Row],[Item code]],'COD.FAT'!B:C,2,0)</f>
        <v>#N/A</v>
      </c>
      <c r="C624" s="292">
        <f>Tabela_Base_Financeiro[[#This Row],[PO Ship TO]]</f>
        <v>0</v>
      </c>
      <c r="D624" s="36" t="str">
        <f>RIGHT(Tabela_Base_Financeiro[[#This Row],[Manufacturer]],2)</f>
        <v/>
      </c>
      <c r="E62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24" s="122" t="e">
        <f>VLOOKUP(Tabela_Base_Financeiro[[#This Row],[Project Code]],'COD. PROJETOS'!B:D,3,0)</f>
        <v>#N/A</v>
      </c>
      <c r="G624" s="36">
        <f>IFERROR(Tabela_Base_Financeiro[[#This Row],[PO No,]],0)</f>
        <v>0</v>
      </c>
      <c r="H624" s="36">
        <f>IFERROR(Tabela_Base_Financeiro[[#This Row],[Line No,]],0)</f>
        <v>0</v>
      </c>
      <c r="I624" s="36" t="str">
        <f>IFERROR(MID(Tabela_Base_Financeiro[[#This Row],[Manufacturer]],19,14),"")</f>
        <v/>
      </c>
      <c r="J624" s="113">
        <f>IFERROR(Tabela_Base_Financeiro[[#This Row],[Item code]],0)</f>
        <v>0</v>
      </c>
      <c r="K624" s="293">
        <f>IFERROR(Tabela_Base_Financeiro[[#This Row],[Unit Price]],0)</f>
        <v>0</v>
      </c>
      <c r="L624" s="36">
        <f>IFERROR(Tabela_Base_Financeiro[[#This Row],[AC Qty,]],0)</f>
        <v>0</v>
      </c>
      <c r="M624" s="60">
        <f>Tabela6[[#This Row],[Qty]]*Tabela6[[#This Row],[Preço]]</f>
        <v>0</v>
      </c>
      <c r="N624" s="37">
        <f>IFERROR(Tabela_Base_Financeiro[[#This Row],[Proportion]],0)</f>
        <v>0</v>
      </c>
      <c r="O624" s="60">
        <f>Tabela6[[#This Row],[Proporção]]*Tabela6[[#This Row],[Total]]</f>
        <v>0</v>
      </c>
      <c r="P624"/>
      <c r="Q624" s="59"/>
      <c r="R624" s="1"/>
    </row>
    <row r="625" spans="1:18">
      <c r="A625" s="122" t="e">
        <f>IF(VLOOKUP(Tabela6[[#This Row],[UF]],'BASE CC'!B:C,2,0)="SP",IF(Tabela6[[#This Row],[OPERADORA]]="TIM","SP TIM","SPI"),VLOOKUP(Tabela6[[#This Row],[UF]],'BASE CC'!B:C,2,0))</f>
        <v>#N/A</v>
      </c>
      <c r="B625" s="36" t="e">
        <f>VLOOKUP(Tabela_Base_Financeiro[[#This Row],[Item code]],'COD.FAT'!B:C,2,0)</f>
        <v>#N/A</v>
      </c>
      <c r="C625" s="292">
        <f>Tabela_Base_Financeiro[[#This Row],[PO Ship TO]]</f>
        <v>0</v>
      </c>
      <c r="D625" s="36" t="str">
        <f>RIGHT(Tabela_Base_Financeiro[[#This Row],[Manufacturer]],2)</f>
        <v/>
      </c>
      <c r="E62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25" s="122" t="e">
        <f>VLOOKUP(Tabela_Base_Financeiro[[#This Row],[Project Code]],'COD. PROJETOS'!B:D,3,0)</f>
        <v>#N/A</v>
      </c>
      <c r="G625" s="36">
        <f>IFERROR(Tabela_Base_Financeiro[[#This Row],[PO No,]],0)</f>
        <v>0</v>
      </c>
      <c r="H625" s="36">
        <f>IFERROR(Tabela_Base_Financeiro[[#This Row],[Line No,]],0)</f>
        <v>0</v>
      </c>
      <c r="I625" s="36" t="str">
        <f>IFERROR(MID(Tabela_Base_Financeiro[[#This Row],[Manufacturer]],19,14),"")</f>
        <v/>
      </c>
      <c r="J625" s="113">
        <f>IFERROR(Tabela_Base_Financeiro[[#This Row],[Item code]],0)</f>
        <v>0</v>
      </c>
      <c r="K625" s="293">
        <f>IFERROR(Tabela_Base_Financeiro[[#This Row],[Unit Price]],0)</f>
        <v>0</v>
      </c>
      <c r="L625" s="36">
        <f>IFERROR(Tabela_Base_Financeiro[[#This Row],[AC Qty,]],0)</f>
        <v>0</v>
      </c>
      <c r="M625" s="60">
        <f>Tabela6[[#This Row],[Qty]]*Tabela6[[#This Row],[Preço]]</f>
        <v>0</v>
      </c>
      <c r="N625" s="37">
        <f>IFERROR(Tabela_Base_Financeiro[[#This Row],[Proportion]],0)</f>
        <v>0</v>
      </c>
      <c r="O625" s="60">
        <f>Tabela6[[#This Row],[Proporção]]*Tabela6[[#This Row],[Total]]</f>
        <v>0</v>
      </c>
      <c r="P625"/>
      <c r="Q625" s="59"/>
      <c r="R625" s="1"/>
    </row>
    <row r="626" spans="1:18">
      <c r="A626" s="122" t="e">
        <f>IF(VLOOKUP(Tabela6[[#This Row],[UF]],'BASE CC'!B:C,2,0)="SP",IF(Tabela6[[#This Row],[OPERADORA]]="TIM","SP TIM","SPI"),VLOOKUP(Tabela6[[#This Row],[UF]],'BASE CC'!B:C,2,0))</f>
        <v>#N/A</v>
      </c>
      <c r="B626" s="36" t="e">
        <f>VLOOKUP(Tabela_Base_Financeiro[[#This Row],[Item code]],'COD.FAT'!B:C,2,0)</f>
        <v>#N/A</v>
      </c>
      <c r="C626" s="292">
        <f>Tabela_Base_Financeiro[[#This Row],[PO Ship TO]]</f>
        <v>0</v>
      </c>
      <c r="D626" s="36" t="str">
        <f>RIGHT(Tabela_Base_Financeiro[[#This Row],[Manufacturer]],2)</f>
        <v/>
      </c>
      <c r="E62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26" s="122" t="e">
        <f>VLOOKUP(Tabela_Base_Financeiro[[#This Row],[Project Code]],'COD. PROJETOS'!B:D,3,0)</f>
        <v>#N/A</v>
      </c>
      <c r="G626" s="36">
        <f>IFERROR(Tabela_Base_Financeiro[[#This Row],[PO No,]],0)</f>
        <v>0</v>
      </c>
      <c r="H626" s="36">
        <f>IFERROR(Tabela_Base_Financeiro[[#This Row],[Line No,]],0)</f>
        <v>0</v>
      </c>
      <c r="I626" s="36" t="str">
        <f>IFERROR(MID(Tabela_Base_Financeiro[[#This Row],[Manufacturer]],19,14),"")</f>
        <v/>
      </c>
      <c r="J626" s="113">
        <f>IFERROR(Tabela_Base_Financeiro[[#This Row],[Item code]],0)</f>
        <v>0</v>
      </c>
      <c r="K626" s="293">
        <f>IFERROR(Tabela_Base_Financeiro[[#This Row],[Unit Price]],0)</f>
        <v>0</v>
      </c>
      <c r="L626" s="36">
        <f>IFERROR(Tabela_Base_Financeiro[[#This Row],[AC Qty,]],0)</f>
        <v>0</v>
      </c>
      <c r="M626" s="60">
        <f>Tabela6[[#This Row],[Qty]]*Tabela6[[#This Row],[Preço]]</f>
        <v>0</v>
      </c>
      <c r="N626" s="37">
        <f>IFERROR(Tabela_Base_Financeiro[[#This Row],[Proportion]],0)</f>
        <v>0</v>
      </c>
      <c r="O626" s="60">
        <f>Tabela6[[#This Row],[Proporção]]*Tabela6[[#This Row],[Total]]</f>
        <v>0</v>
      </c>
      <c r="P626"/>
      <c r="Q626" s="59"/>
      <c r="R626" s="1"/>
    </row>
    <row r="627" spans="1:18">
      <c r="A627" s="122" t="e">
        <f>IF(VLOOKUP(Tabela6[[#This Row],[UF]],'BASE CC'!B:C,2,0)="SP",IF(Tabela6[[#This Row],[OPERADORA]]="TIM","SP TIM","SPI"),VLOOKUP(Tabela6[[#This Row],[UF]],'BASE CC'!B:C,2,0))</f>
        <v>#N/A</v>
      </c>
      <c r="B627" s="36" t="e">
        <f>VLOOKUP(Tabela_Base_Financeiro[[#This Row],[Item code]],'COD.FAT'!B:C,2,0)</f>
        <v>#N/A</v>
      </c>
      <c r="C627" s="292">
        <f>Tabela_Base_Financeiro[[#This Row],[PO Ship TO]]</f>
        <v>0</v>
      </c>
      <c r="D627" s="36" t="str">
        <f>RIGHT(Tabela_Base_Financeiro[[#This Row],[Manufacturer]],2)</f>
        <v/>
      </c>
      <c r="E62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27" s="122" t="e">
        <f>VLOOKUP(Tabela_Base_Financeiro[[#This Row],[Project Code]],'COD. PROJETOS'!B:D,3,0)</f>
        <v>#N/A</v>
      </c>
      <c r="G627" s="36">
        <f>IFERROR(Tabela_Base_Financeiro[[#This Row],[PO No,]],0)</f>
        <v>0</v>
      </c>
      <c r="H627" s="36">
        <f>IFERROR(Tabela_Base_Financeiro[[#This Row],[Line No,]],0)</f>
        <v>0</v>
      </c>
      <c r="I627" s="36" t="str">
        <f>IFERROR(MID(Tabela_Base_Financeiro[[#This Row],[Manufacturer]],19,14),"")</f>
        <v/>
      </c>
      <c r="J627" s="113">
        <f>IFERROR(Tabela_Base_Financeiro[[#This Row],[Item code]],0)</f>
        <v>0</v>
      </c>
      <c r="K627" s="293">
        <f>IFERROR(Tabela_Base_Financeiro[[#This Row],[Unit Price]],0)</f>
        <v>0</v>
      </c>
      <c r="L627" s="36">
        <f>IFERROR(Tabela_Base_Financeiro[[#This Row],[AC Qty,]],0)</f>
        <v>0</v>
      </c>
      <c r="M627" s="60">
        <f>Tabela6[[#This Row],[Qty]]*Tabela6[[#This Row],[Preço]]</f>
        <v>0</v>
      </c>
      <c r="N627" s="37">
        <f>IFERROR(Tabela_Base_Financeiro[[#This Row],[Proportion]],0)</f>
        <v>0</v>
      </c>
      <c r="O627" s="60">
        <f>Tabela6[[#This Row],[Proporção]]*Tabela6[[#This Row],[Total]]</f>
        <v>0</v>
      </c>
      <c r="P627"/>
      <c r="Q627" s="59"/>
      <c r="R627" s="1"/>
    </row>
    <row r="628" spans="1:18">
      <c r="A628" s="122" t="e">
        <f>IF(VLOOKUP(Tabela6[[#This Row],[UF]],'BASE CC'!B:C,2,0)="SP",IF(Tabela6[[#This Row],[OPERADORA]]="TIM","SP TIM","SPI"),VLOOKUP(Tabela6[[#This Row],[UF]],'BASE CC'!B:C,2,0))</f>
        <v>#N/A</v>
      </c>
      <c r="B628" s="36" t="e">
        <f>VLOOKUP(Tabela_Base_Financeiro[[#This Row],[Item code]],'COD.FAT'!B:C,2,0)</f>
        <v>#N/A</v>
      </c>
      <c r="C628" s="292">
        <f>Tabela_Base_Financeiro[[#This Row],[PO Ship TO]]</f>
        <v>0</v>
      </c>
      <c r="D628" s="36" t="str">
        <f>RIGHT(Tabela_Base_Financeiro[[#This Row],[Manufacturer]],2)</f>
        <v/>
      </c>
      <c r="E62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28" s="122" t="e">
        <f>VLOOKUP(Tabela_Base_Financeiro[[#This Row],[Project Code]],'COD. PROJETOS'!B:D,3,0)</f>
        <v>#N/A</v>
      </c>
      <c r="G628" s="36">
        <f>IFERROR(Tabela_Base_Financeiro[[#This Row],[PO No,]],0)</f>
        <v>0</v>
      </c>
      <c r="H628" s="36">
        <f>IFERROR(Tabela_Base_Financeiro[[#This Row],[Line No,]],0)</f>
        <v>0</v>
      </c>
      <c r="I628" s="36" t="str">
        <f>IFERROR(MID(Tabela_Base_Financeiro[[#This Row],[Manufacturer]],19,14),"")</f>
        <v/>
      </c>
      <c r="J628" s="113">
        <f>IFERROR(Tabela_Base_Financeiro[[#This Row],[Item code]],0)</f>
        <v>0</v>
      </c>
      <c r="K628" s="293">
        <f>IFERROR(Tabela_Base_Financeiro[[#This Row],[Unit Price]],0)</f>
        <v>0</v>
      </c>
      <c r="L628" s="36">
        <f>IFERROR(Tabela_Base_Financeiro[[#This Row],[AC Qty,]],0)</f>
        <v>0</v>
      </c>
      <c r="M628" s="60">
        <f>Tabela6[[#This Row],[Qty]]*Tabela6[[#This Row],[Preço]]</f>
        <v>0</v>
      </c>
      <c r="N628" s="37">
        <f>IFERROR(Tabela_Base_Financeiro[[#This Row],[Proportion]],0)</f>
        <v>0</v>
      </c>
      <c r="O628" s="60">
        <f>Tabela6[[#This Row],[Proporção]]*Tabela6[[#This Row],[Total]]</f>
        <v>0</v>
      </c>
      <c r="P628"/>
      <c r="Q628" s="59"/>
      <c r="R628" s="1"/>
    </row>
    <row r="629" spans="1:18">
      <c r="A629" s="122" t="e">
        <f>IF(VLOOKUP(Tabela6[[#This Row],[UF]],'BASE CC'!B:C,2,0)="SP",IF(Tabela6[[#This Row],[OPERADORA]]="TIM","SP TIM","SPI"),VLOOKUP(Tabela6[[#This Row],[UF]],'BASE CC'!B:C,2,0))</f>
        <v>#N/A</v>
      </c>
      <c r="B629" s="36" t="e">
        <f>VLOOKUP(Tabela_Base_Financeiro[[#This Row],[Item code]],'COD.FAT'!B:C,2,0)</f>
        <v>#N/A</v>
      </c>
      <c r="C629" s="292">
        <f>Tabela_Base_Financeiro[[#This Row],[PO Ship TO]]</f>
        <v>0</v>
      </c>
      <c r="D629" s="36" t="str">
        <f>RIGHT(Tabela_Base_Financeiro[[#This Row],[Manufacturer]],2)</f>
        <v/>
      </c>
      <c r="E62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29" s="122" t="e">
        <f>VLOOKUP(Tabela_Base_Financeiro[[#This Row],[Project Code]],'COD. PROJETOS'!B:D,3,0)</f>
        <v>#N/A</v>
      </c>
      <c r="G629" s="36">
        <f>IFERROR(Tabela_Base_Financeiro[[#This Row],[PO No,]],0)</f>
        <v>0</v>
      </c>
      <c r="H629" s="36">
        <f>IFERROR(Tabela_Base_Financeiro[[#This Row],[Line No,]],0)</f>
        <v>0</v>
      </c>
      <c r="I629" s="36" t="str">
        <f>IFERROR(MID(Tabela_Base_Financeiro[[#This Row],[Manufacturer]],19,14),"")</f>
        <v/>
      </c>
      <c r="J629" s="113">
        <f>IFERROR(Tabela_Base_Financeiro[[#This Row],[Item code]],0)</f>
        <v>0</v>
      </c>
      <c r="K629" s="293">
        <f>IFERROR(Tabela_Base_Financeiro[[#This Row],[Unit Price]],0)</f>
        <v>0</v>
      </c>
      <c r="L629" s="36">
        <f>IFERROR(Tabela_Base_Financeiro[[#This Row],[AC Qty,]],0)</f>
        <v>0</v>
      </c>
      <c r="M629" s="60">
        <f>Tabela6[[#This Row],[Qty]]*Tabela6[[#This Row],[Preço]]</f>
        <v>0</v>
      </c>
      <c r="N629" s="37">
        <f>IFERROR(Tabela_Base_Financeiro[[#This Row],[Proportion]],0)</f>
        <v>0</v>
      </c>
      <c r="O629" s="60">
        <f>Tabela6[[#This Row],[Proporção]]*Tabela6[[#This Row],[Total]]</f>
        <v>0</v>
      </c>
      <c r="P629"/>
      <c r="Q629" s="59"/>
      <c r="R629" s="1"/>
    </row>
    <row r="630" spans="1:18">
      <c r="A630" s="122" t="e">
        <f>IF(VLOOKUP(Tabela6[[#This Row],[UF]],'BASE CC'!B:C,2,0)="SP",IF(Tabela6[[#This Row],[OPERADORA]]="TIM","SP TIM","SPI"),VLOOKUP(Tabela6[[#This Row],[UF]],'BASE CC'!B:C,2,0))</f>
        <v>#N/A</v>
      </c>
      <c r="B630" s="36" t="e">
        <f>VLOOKUP(Tabela_Base_Financeiro[[#This Row],[Item code]],'COD.FAT'!B:C,2,0)</f>
        <v>#N/A</v>
      </c>
      <c r="C630" s="292">
        <f>Tabela_Base_Financeiro[[#This Row],[PO Ship TO]]</f>
        <v>0</v>
      </c>
      <c r="D630" s="36" t="str">
        <f>RIGHT(Tabela_Base_Financeiro[[#This Row],[Manufacturer]],2)</f>
        <v/>
      </c>
      <c r="E63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30" s="122" t="e">
        <f>VLOOKUP(Tabela_Base_Financeiro[[#This Row],[Project Code]],'COD. PROJETOS'!B:D,3,0)</f>
        <v>#N/A</v>
      </c>
      <c r="G630" s="36">
        <f>IFERROR(Tabela_Base_Financeiro[[#This Row],[PO No,]],0)</f>
        <v>0</v>
      </c>
      <c r="H630" s="36">
        <f>IFERROR(Tabela_Base_Financeiro[[#This Row],[Line No,]],0)</f>
        <v>0</v>
      </c>
      <c r="I630" s="36" t="str">
        <f>IFERROR(MID(Tabela_Base_Financeiro[[#This Row],[Manufacturer]],19,14),"")</f>
        <v/>
      </c>
      <c r="J630" s="113">
        <f>IFERROR(Tabela_Base_Financeiro[[#This Row],[Item code]],0)</f>
        <v>0</v>
      </c>
      <c r="K630" s="293">
        <f>IFERROR(Tabela_Base_Financeiro[[#This Row],[Unit Price]],0)</f>
        <v>0</v>
      </c>
      <c r="L630" s="36">
        <f>IFERROR(Tabela_Base_Financeiro[[#This Row],[AC Qty,]],0)</f>
        <v>0</v>
      </c>
      <c r="M630" s="60">
        <f>Tabela6[[#This Row],[Qty]]*Tabela6[[#This Row],[Preço]]</f>
        <v>0</v>
      </c>
      <c r="N630" s="37">
        <f>IFERROR(Tabela_Base_Financeiro[[#This Row],[Proportion]],0)</f>
        <v>0</v>
      </c>
      <c r="O630" s="60">
        <f>Tabela6[[#This Row],[Proporção]]*Tabela6[[#This Row],[Total]]</f>
        <v>0</v>
      </c>
      <c r="P630"/>
      <c r="Q630" s="59"/>
      <c r="R630" s="1"/>
    </row>
    <row r="631" spans="1:18">
      <c r="A631" s="122" t="e">
        <f>IF(VLOOKUP(Tabela6[[#This Row],[UF]],'BASE CC'!B:C,2,0)="SP",IF(Tabela6[[#This Row],[OPERADORA]]="TIM","SP TIM","SPI"),VLOOKUP(Tabela6[[#This Row],[UF]],'BASE CC'!B:C,2,0))</f>
        <v>#N/A</v>
      </c>
      <c r="B631" s="36" t="e">
        <f>VLOOKUP(Tabela_Base_Financeiro[[#This Row],[Item code]],'COD.FAT'!B:C,2,0)</f>
        <v>#N/A</v>
      </c>
      <c r="C631" s="292">
        <f>Tabela_Base_Financeiro[[#This Row],[PO Ship TO]]</f>
        <v>0</v>
      </c>
      <c r="D631" s="36" t="str">
        <f>RIGHT(Tabela_Base_Financeiro[[#This Row],[Manufacturer]],2)</f>
        <v/>
      </c>
      <c r="E63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31" s="122" t="e">
        <f>VLOOKUP(Tabela_Base_Financeiro[[#This Row],[Project Code]],'COD. PROJETOS'!B:D,3,0)</f>
        <v>#N/A</v>
      </c>
      <c r="G631" s="36">
        <f>IFERROR(Tabela_Base_Financeiro[[#This Row],[PO No,]],0)</f>
        <v>0</v>
      </c>
      <c r="H631" s="36">
        <f>IFERROR(Tabela_Base_Financeiro[[#This Row],[Line No,]],0)</f>
        <v>0</v>
      </c>
      <c r="I631" s="36" t="str">
        <f>IFERROR(MID(Tabela_Base_Financeiro[[#This Row],[Manufacturer]],19,14),"")</f>
        <v/>
      </c>
      <c r="J631" s="113">
        <f>IFERROR(Tabela_Base_Financeiro[[#This Row],[Item code]],0)</f>
        <v>0</v>
      </c>
      <c r="K631" s="293">
        <f>IFERROR(Tabela_Base_Financeiro[[#This Row],[Unit Price]],0)</f>
        <v>0</v>
      </c>
      <c r="L631" s="36">
        <f>IFERROR(Tabela_Base_Financeiro[[#This Row],[AC Qty,]],0)</f>
        <v>0</v>
      </c>
      <c r="M631" s="60">
        <f>Tabela6[[#This Row],[Qty]]*Tabela6[[#This Row],[Preço]]</f>
        <v>0</v>
      </c>
      <c r="N631" s="37">
        <f>IFERROR(Tabela_Base_Financeiro[[#This Row],[Proportion]],0)</f>
        <v>0</v>
      </c>
      <c r="O631" s="60">
        <f>Tabela6[[#This Row],[Proporção]]*Tabela6[[#This Row],[Total]]</f>
        <v>0</v>
      </c>
      <c r="P631"/>
      <c r="Q631" s="59"/>
      <c r="R631" s="1"/>
    </row>
    <row r="632" spans="1:18">
      <c r="A632" s="122" t="e">
        <f>IF(VLOOKUP(Tabela6[[#This Row],[UF]],'BASE CC'!B:C,2,0)="SP",IF(Tabela6[[#This Row],[OPERADORA]]="TIM","SP TIM","SPI"),VLOOKUP(Tabela6[[#This Row],[UF]],'BASE CC'!B:C,2,0))</f>
        <v>#N/A</v>
      </c>
      <c r="B632" s="36" t="e">
        <f>VLOOKUP(Tabela_Base_Financeiro[[#This Row],[Item code]],'COD.FAT'!B:C,2,0)</f>
        <v>#N/A</v>
      </c>
      <c r="C632" s="292">
        <f>Tabela_Base_Financeiro[[#This Row],[PO Ship TO]]</f>
        <v>0</v>
      </c>
      <c r="D632" s="36" t="str">
        <f>RIGHT(Tabela_Base_Financeiro[[#This Row],[Manufacturer]],2)</f>
        <v/>
      </c>
      <c r="E63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32" s="122" t="e">
        <f>VLOOKUP(Tabela_Base_Financeiro[[#This Row],[Project Code]],'COD. PROJETOS'!B:D,3,0)</f>
        <v>#N/A</v>
      </c>
      <c r="G632" s="36">
        <f>IFERROR(Tabela_Base_Financeiro[[#This Row],[PO No,]],0)</f>
        <v>0</v>
      </c>
      <c r="H632" s="36">
        <f>IFERROR(Tabela_Base_Financeiro[[#This Row],[Line No,]],0)</f>
        <v>0</v>
      </c>
      <c r="I632" s="36" t="str">
        <f>IFERROR(MID(Tabela_Base_Financeiro[[#This Row],[Manufacturer]],19,14),"")</f>
        <v/>
      </c>
      <c r="J632" s="113">
        <f>IFERROR(Tabela_Base_Financeiro[[#This Row],[Item code]],0)</f>
        <v>0</v>
      </c>
      <c r="K632" s="293">
        <f>IFERROR(Tabela_Base_Financeiro[[#This Row],[Unit Price]],0)</f>
        <v>0</v>
      </c>
      <c r="L632" s="36">
        <f>IFERROR(Tabela_Base_Financeiro[[#This Row],[AC Qty,]],0)</f>
        <v>0</v>
      </c>
      <c r="M632" s="60">
        <f>Tabela6[[#This Row],[Qty]]*Tabela6[[#This Row],[Preço]]</f>
        <v>0</v>
      </c>
      <c r="N632" s="37">
        <f>IFERROR(Tabela_Base_Financeiro[[#This Row],[Proportion]],0)</f>
        <v>0</v>
      </c>
      <c r="O632" s="60">
        <f>Tabela6[[#This Row],[Proporção]]*Tabela6[[#This Row],[Total]]</f>
        <v>0</v>
      </c>
      <c r="P632"/>
      <c r="Q632" s="59"/>
      <c r="R632" s="1"/>
    </row>
    <row r="633" spans="1:18">
      <c r="A633" s="122" t="e">
        <f>IF(VLOOKUP(Tabela6[[#This Row],[UF]],'BASE CC'!B:C,2,0)="SP",IF(Tabela6[[#This Row],[OPERADORA]]="TIM","SP TIM","SPI"),VLOOKUP(Tabela6[[#This Row],[UF]],'BASE CC'!B:C,2,0))</f>
        <v>#N/A</v>
      </c>
      <c r="B633" s="36" t="e">
        <f>VLOOKUP(Tabela_Base_Financeiro[[#This Row],[Item code]],'COD.FAT'!B:C,2,0)</f>
        <v>#N/A</v>
      </c>
      <c r="C633" s="292">
        <f>Tabela_Base_Financeiro[[#This Row],[PO Ship TO]]</f>
        <v>0</v>
      </c>
      <c r="D633" s="36" t="str">
        <f>RIGHT(Tabela_Base_Financeiro[[#This Row],[Manufacturer]],2)</f>
        <v/>
      </c>
      <c r="E63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33" s="122" t="e">
        <f>VLOOKUP(Tabela_Base_Financeiro[[#This Row],[Project Code]],'COD. PROJETOS'!B:D,3,0)</f>
        <v>#N/A</v>
      </c>
      <c r="G633" s="36">
        <f>IFERROR(Tabela_Base_Financeiro[[#This Row],[PO No,]],0)</f>
        <v>0</v>
      </c>
      <c r="H633" s="36">
        <f>IFERROR(Tabela_Base_Financeiro[[#This Row],[Line No,]],0)</f>
        <v>0</v>
      </c>
      <c r="I633" s="36" t="str">
        <f>IFERROR(MID(Tabela_Base_Financeiro[[#This Row],[Manufacturer]],19,14),"")</f>
        <v/>
      </c>
      <c r="J633" s="113">
        <f>IFERROR(Tabela_Base_Financeiro[[#This Row],[Item code]],0)</f>
        <v>0</v>
      </c>
      <c r="K633" s="293">
        <f>IFERROR(Tabela_Base_Financeiro[[#This Row],[Unit Price]],0)</f>
        <v>0</v>
      </c>
      <c r="L633" s="36">
        <f>IFERROR(Tabela_Base_Financeiro[[#This Row],[AC Qty,]],0)</f>
        <v>0</v>
      </c>
      <c r="M633" s="60">
        <f>Tabela6[[#This Row],[Qty]]*Tabela6[[#This Row],[Preço]]</f>
        <v>0</v>
      </c>
      <c r="N633" s="37">
        <f>IFERROR(Tabela_Base_Financeiro[[#This Row],[Proportion]],0)</f>
        <v>0</v>
      </c>
      <c r="O633" s="60">
        <f>Tabela6[[#This Row],[Proporção]]*Tabela6[[#This Row],[Total]]</f>
        <v>0</v>
      </c>
      <c r="P633"/>
      <c r="Q633" s="59"/>
      <c r="R633" s="1"/>
    </row>
    <row r="634" spans="1:18">
      <c r="A634" s="122" t="e">
        <f>IF(VLOOKUP(Tabela6[[#This Row],[UF]],'BASE CC'!B:C,2,0)="SP",IF(Tabela6[[#This Row],[OPERADORA]]="TIM","SP TIM","SPI"),VLOOKUP(Tabela6[[#This Row],[UF]],'BASE CC'!B:C,2,0))</f>
        <v>#N/A</v>
      </c>
      <c r="B634" s="36" t="e">
        <f>VLOOKUP(Tabela_Base_Financeiro[[#This Row],[Item code]],'COD.FAT'!B:C,2,0)</f>
        <v>#N/A</v>
      </c>
      <c r="C634" s="292">
        <f>Tabela_Base_Financeiro[[#This Row],[PO Ship TO]]</f>
        <v>0</v>
      </c>
      <c r="D634" s="36" t="str">
        <f>RIGHT(Tabela_Base_Financeiro[[#This Row],[Manufacturer]],2)</f>
        <v/>
      </c>
      <c r="E63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34" s="122" t="e">
        <f>VLOOKUP(Tabela_Base_Financeiro[[#This Row],[Project Code]],'COD. PROJETOS'!B:D,3,0)</f>
        <v>#N/A</v>
      </c>
      <c r="G634" s="36">
        <f>IFERROR(Tabela_Base_Financeiro[[#This Row],[PO No,]],0)</f>
        <v>0</v>
      </c>
      <c r="H634" s="36">
        <f>IFERROR(Tabela_Base_Financeiro[[#This Row],[Line No,]],0)</f>
        <v>0</v>
      </c>
      <c r="I634" s="36" t="str">
        <f>IFERROR(MID(Tabela_Base_Financeiro[[#This Row],[Manufacturer]],19,14),"")</f>
        <v/>
      </c>
      <c r="J634" s="113">
        <f>IFERROR(Tabela_Base_Financeiro[[#This Row],[Item code]],0)</f>
        <v>0</v>
      </c>
      <c r="K634" s="293">
        <f>IFERROR(Tabela_Base_Financeiro[[#This Row],[Unit Price]],0)</f>
        <v>0</v>
      </c>
      <c r="L634" s="36">
        <f>IFERROR(Tabela_Base_Financeiro[[#This Row],[AC Qty,]],0)</f>
        <v>0</v>
      </c>
      <c r="M634" s="60">
        <f>Tabela6[[#This Row],[Qty]]*Tabela6[[#This Row],[Preço]]</f>
        <v>0</v>
      </c>
      <c r="N634" s="37">
        <f>IFERROR(Tabela_Base_Financeiro[[#This Row],[Proportion]],0)</f>
        <v>0</v>
      </c>
      <c r="O634" s="60">
        <f>Tabela6[[#This Row],[Proporção]]*Tabela6[[#This Row],[Total]]</f>
        <v>0</v>
      </c>
      <c r="P634"/>
      <c r="Q634" s="59"/>
      <c r="R634" s="1"/>
    </row>
    <row r="635" spans="1:18">
      <c r="A635" s="122" t="e">
        <f>IF(VLOOKUP(Tabela6[[#This Row],[UF]],'BASE CC'!B:C,2,0)="SP",IF(Tabela6[[#This Row],[OPERADORA]]="TIM","SP TIM","SPI"),VLOOKUP(Tabela6[[#This Row],[UF]],'BASE CC'!B:C,2,0))</f>
        <v>#N/A</v>
      </c>
      <c r="B635" s="36" t="e">
        <f>VLOOKUP(Tabela_Base_Financeiro[[#This Row],[Item code]],'COD.FAT'!B:C,2,0)</f>
        <v>#N/A</v>
      </c>
      <c r="C635" s="292">
        <f>Tabela_Base_Financeiro[[#This Row],[PO Ship TO]]</f>
        <v>0</v>
      </c>
      <c r="D635" s="36" t="str">
        <f>RIGHT(Tabela_Base_Financeiro[[#This Row],[Manufacturer]],2)</f>
        <v/>
      </c>
      <c r="E63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35" s="122" t="e">
        <f>VLOOKUP(Tabela_Base_Financeiro[[#This Row],[Project Code]],'COD. PROJETOS'!B:D,3,0)</f>
        <v>#N/A</v>
      </c>
      <c r="G635" s="36">
        <f>IFERROR(Tabela_Base_Financeiro[[#This Row],[PO No,]],0)</f>
        <v>0</v>
      </c>
      <c r="H635" s="36">
        <f>IFERROR(Tabela_Base_Financeiro[[#This Row],[Line No,]],0)</f>
        <v>0</v>
      </c>
      <c r="I635" s="36" t="str">
        <f>IFERROR(MID(Tabela_Base_Financeiro[[#This Row],[Manufacturer]],19,14),"")</f>
        <v/>
      </c>
      <c r="J635" s="113">
        <f>IFERROR(Tabela_Base_Financeiro[[#This Row],[Item code]],0)</f>
        <v>0</v>
      </c>
      <c r="K635" s="293">
        <f>IFERROR(Tabela_Base_Financeiro[[#This Row],[Unit Price]],0)</f>
        <v>0</v>
      </c>
      <c r="L635" s="36">
        <f>IFERROR(Tabela_Base_Financeiro[[#This Row],[AC Qty,]],0)</f>
        <v>0</v>
      </c>
      <c r="M635" s="60">
        <f>Tabela6[[#This Row],[Qty]]*Tabela6[[#This Row],[Preço]]</f>
        <v>0</v>
      </c>
      <c r="N635" s="37">
        <f>IFERROR(Tabela_Base_Financeiro[[#This Row],[Proportion]],0)</f>
        <v>0</v>
      </c>
      <c r="O635" s="60">
        <f>Tabela6[[#This Row],[Proporção]]*Tabela6[[#This Row],[Total]]</f>
        <v>0</v>
      </c>
      <c r="P635"/>
      <c r="Q635" s="59"/>
      <c r="R635" s="1"/>
    </row>
    <row r="636" spans="1:18">
      <c r="A636" s="122" t="e">
        <f>IF(VLOOKUP(Tabela6[[#This Row],[UF]],'BASE CC'!B:C,2,0)="SP",IF(Tabela6[[#This Row],[OPERADORA]]="TIM","SP TIM","SPI"),VLOOKUP(Tabela6[[#This Row],[UF]],'BASE CC'!B:C,2,0))</f>
        <v>#N/A</v>
      </c>
      <c r="B636" s="36" t="e">
        <f>VLOOKUP(Tabela_Base_Financeiro[[#This Row],[Item code]],'COD.FAT'!B:C,2,0)</f>
        <v>#N/A</v>
      </c>
      <c r="C636" s="292">
        <f>Tabela_Base_Financeiro[[#This Row],[PO Ship TO]]</f>
        <v>0</v>
      </c>
      <c r="D636" s="36" t="str">
        <f>RIGHT(Tabela_Base_Financeiro[[#This Row],[Manufacturer]],2)</f>
        <v/>
      </c>
      <c r="E63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36" s="122" t="e">
        <f>VLOOKUP(Tabela_Base_Financeiro[[#This Row],[Project Code]],'COD. PROJETOS'!B:D,3,0)</f>
        <v>#N/A</v>
      </c>
      <c r="G636" s="36">
        <f>IFERROR(Tabela_Base_Financeiro[[#This Row],[PO No,]],0)</f>
        <v>0</v>
      </c>
      <c r="H636" s="36">
        <f>IFERROR(Tabela_Base_Financeiro[[#This Row],[Line No,]],0)</f>
        <v>0</v>
      </c>
      <c r="I636" s="36" t="str">
        <f>IFERROR(MID(Tabela_Base_Financeiro[[#This Row],[Manufacturer]],19,14),"")</f>
        <v/>
      </c>
      <c r="J636" s="113">
        <f>IFERROR(Tabela_Base_Financeiro[[#This Row],[Item code]],0)</f>
        <v>0</v>
      </c>
      <c r="K636" s="293">
        <f>IFERROR(Tabela_Base_Financeiro[[#This Row],[Unit Price]],0)</f>
        <v>0</v>
      </c>
      <c r="L636" s="36">
        <f>IFERROR(Tabela_Base_Financeiro[[#This Row],[AC Qty,]],0)</f>
        <v>0</v>
      </c>
      <c r="M636" s="60">
        <f>Tabela6[[#This Row],[Qty]]*Tabela6[[#This Row],[Preço]]</f>
        <v>0</v>
      </c>
      <c r="N636" s="37">
        <f>IFERROR(Tabela_Base_Financeiro[[#This Row],[Proportion]],0)</f>
        <v>0</v>
      </c>
      <c r="O636" s="60">
        <f>Tabela6[[#This Row],[Proporção]]*Tabela6[[#This Row],[Total]]</f>
        <v>0</v>
      </c>
      <c r="P636"/>
      <c r="Q636" s="59"/>
      <c r="R636" s="1"/>
    </row>
    <row r="637" spans="1:18">
      <c r="A637" s="122" t="e">
        <f>IF(VLOOKUP(Tabela6[[#This Row],[UF]],'BASE CC'!B:C,2,0)="SP",IF(Tabela6[[#This Row],[OPERADORA]]="TIM","SP TIM","SPI"),VLOOKUP(Tabela6[[#This Row],[UF]],'BASE CC'!B:C,2,0))</f>
        <v>#N/A</v>
      </c>
      <c r="B637" s="36" t="e">
        <f>VLOOKUP(Tabela_Base_Financeiro[[#This Row],[Item code]],'COD.FAT'!B:C,2,0)</f>
        <v>#N/A</v>
      </c>
      <c r="C637" s="292">
        <f>Tabela_Base_Financeiro[[#This Row],[PO Ship TO]]</f>
        <v>0</v>
      </c>
      <c r="D637" s="36" t="str">
        <f>RIGHT(Tabela_Base_Financeiro[[#This Row],[Manufacturer]],2)</f>
        <v/>
      </c>
      <c r="E63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37" s="122" t="e">
        <f>VLOOKUP(Tabela_Base_Financeiro[[#This Row],[Project Code]],'COD. PROJETOS'!B:D,3,0)</f>
        <v>#N/A</v>
      </c>
      <c r="G637" s="36">
        <f>IFERROR(Tabela_Base_Financeiro[[#This Row],[PO No,]],0)</f>
        <v>0</v>
      </c>
      <c r="H637" s="36">
        <f>IFERROR(Tabela_Base_Financeiro[[#This Row],[Line No,]],0)</f>
        <v>0</v>
      </c>
      <c r="I637" s="36" t="str">
        <f>IFERROR(MID(Tabela_Base_Financeiro[[#This Row],[Manufacturer]],19,14),"")</f>
        <v/>
      </c>
      <c r="J637" s="113">
        <f>IFERROR(Tabela_Base_Financeiro[[#This Row],[Item code]],0)</f>
        <v>0</v>
      </c>
      <c r="K637" s="293">
        <f>IFERROR(Tabela_Base_Financeiro[[#This Row],[Unit Price]],0)</f>
        <v>0</v>
      </c>
      <c r="L637" s="36">
        <f>IFERROR(Tabela_Base_Financeiro[[#This Row],[AC Qty,]],0)</f>
        <v>0</v>
      </c>
      <c r="M637" s="60">
        <f>Tabela6[[#This Row],[Qty]]*Tabela6[[#This Row],[Preço]]</f>
        <v>0</v>
      </c>
      <c r="N637" s="37">
        <f>IFERROR(Tabela_Base_Financeiro[[#This Row],[Proportion]],0)</f>
        <v>0</v>
      </c>
      <c r="O637" s="60">
        <f>Tabela6[[#This Row],[Proporção]]*Tabela6[[#This Row],[Total]]</f>
        <v>0</v>
      </c>
      <c r="P637"/>
      <c r="Q637" s="59"/>
      <c r="R637" s="1"/>
    </row>
    <row r="638" spans="1:18">
      <c r="A638" s="122" t="e">
        <f>IF(VLOOKUP(Tabela6[[#This Row],[UF]],'BASE CC'!B:C,2,0)="SP",IF(Tabela6[[#This Row],[OPERADORA]]="TIM","SP TIM","SPI"),VLOOKUP(Tabela6[[#This Row],[UF]],'BASE CC'!B:C,2,0))</f>
        <v>#N/A</v>
      </c>
      <c r="B638" s="36" t="e">
        <f>VLOOKUP(Tabela_Base_Financeiro[[#This Row],[Item code]],'COD.FAT'!B:C,2,0)</f>
        <v>#N/A</v>
      </c>
      <c r="C638" s="292">
        <f>Tabela_Base_Financeiro[[#This Row],[PO Ship TO]]</f>
        <v>0</v>
      </c>
      <c r="D638" s="36" t="str">
        <f>RIGHT(Tabela_Base_Financeiro[[#This Row],[Manufacturer]],2)</f>
        <v/>
      </c>
      <c r="E63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38" s="122" t="e">
        <f>VLOOKUP(Tabela_Base_Financeiro[[#This Row],[Project Code]],'COD. PROJETOS'!B:D,3,0)</f>
        <v>#N/A</v>
      </c>
      <c r="G638" s="36">
        <f>IFERROR(Tabela_Base_Financeiro[[#This Row],[PO No,]],0)</f>
        <v>0</v>
      </c>
      <c r="H638" s="36">
        <f>IFERROR(Tabela_Base_Financeiro[[#This Row],[Line No,]],0)</f>
        <v>0</v>
      </c>
      <c r="I638" s="36" t="str">
        <f>IFERROR(MID(Tabela_Base_Financeiro[[#This Row],[Manufacturer]],19,14),"")</f>
        <v/>
      </c>
      <c r="J638" s="113">
        <f>IFERROR(Tabela_Base_Financeiro[[#This Row],[Item code]],0)</f>
        <v>0</v>
      </c>
      <c r="K638" s="293">
        <f>IFERROR(Tabela_Base_Financeiro[[#This Row],[Unit Price]],0)</f>
        <v>0</v>
      </c>
      <c r="L638" s="36">
        <f>IFERROR(Tabela_Base_Financeiro[[#This Row],[AC Qty,]],0)</f>
        <v>0</v>
      </c>
      <c r="M638" s="60">
        <f>Tabela6[[#This Row],[Qty]]*Tabela6[[#This Row],[Preço]]</f>
        <v>0</v>
      </c>
      <c r="N638" s="37">
        <f>IFERROR(Tabela_Base_Financeiro[[#This Row],[Proportion]],0)</f>
        <v>0</v>
      </c>
      <c r="O638" s="60">
        <f>Tabela6[[#This Row],[Proporção]]*Tabela6[[#This Row],[Total]]</f>
        <v>0</v>
      </c>
      <c r="P638"/>
      <c r="Q638" s="59"/>
      <c r="R638" s="1"/>
    </row>
    <row r="639" spans="1:18">
      <c r="A639" s="122" t="e">
        <f>IF(VLOOKUP(Tabela6[[#This Row],[UF]],'BASE CC'!B:C,2,0)="SP",IF(Tabela6[[#This Row],[OPERADORA]]="TIM","SP TIM","SPI"),VLOOKUP(Tabela6[[#This Row],[UF]],'BASE CC'!B:C,2,0))</f>
        <v>#N/A</v>
      </c>
      <c r="B639" s="36" t="e">
        <f>VLOOKUP(Tabela_Base_Financeiro[[#This Row],[Item code]],'COD.FAT'!B:C,2,0)</f>
        <v>#N/A</v>
      </c>
      <c r="C639" s="292">
        <f>Tabela_Base_Financeiro[[#This Row],[PO Ship TO]]</f>
        <v>0</v>
      </c>
      <c r="D639" s="36" t="str">
        <f>RIGHT(Tabela_Base_Financeiro[[#This Row],[Manufacturer]],2)</f>
        <v/>
      </c>
      <c r="E63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39" s="122" t="e">
        <f>VLOOKUP(Tabela_Base_Financeiro[[#This Row],[Project Code]],'COD. PROJETOS'!B:D,3,0)</f>
        <v>#N/A</v>
      </c>
      <c r="G639" s="36">
        <f>IFERROR(Tabela_Base_Financeiro[[#This Row],[PO No,]],0)</f>
        <v>0</v>
      </c>
      <c r="H639" s="36">
        <f>IFERROR(Tabela_Base_Financeiro[[#This Row],[Line No,]],0)</f>
        <v>0</v>
      </c>
      <c r="I639" s="36" t="str">
        <f>IFERROR(MID(Tabela_Base_Financeiro[[#This Row],[Manufacturer]],19,14),"")</f>
        <v/>
      </c>
      <c r="J639" s="113">
        <f>IFERROR(Tabela_Base_Financeiro[[#This Row],[Item code]],0)</f>
        <v>0</v>
      </c>
      <c r="K639" s="293">
        <f>IFERROR(Tabela_Base_Financeiro[[#This Row],[Unit Price]],0)</f>
        <v>0</v>
      </c>
      <c r="L639" s="36">
        <f>IFERROR(Tabela_Base_Financeiro[[#This Row],[AC Qty,]],0)</f>
        <v>0</v>
      </c>
      <c r="M639" s="60">
        <f>Tabela6[[#This Row],[Qty]]*Tabela6[[#This Row],[Preço]]</f>
        <v>0</v>
      </c>
      <c r="N639" s="37">
        <f>IFERROR(Tabela_Base_Financeiro[[#This Row],[Proportion]],0)</f>
        <v>0</v>
      </c>
      <c r="O639" s="60">
        <f>Tabela6[[#This Row],[Proporção]]*Tabela6[[#This Row],[Total]]</f>
        <v>0</v>
      </c>
      <c r="P639"/>
      <c r="Q639" s="59"/>
      <c r="R639" s="1"/>
    </row>
    <row r="640" spans="1:18">
      <c r="A640" s="122" t="e">
        <f>IF(VLOOKUP(Tabela6[[#This Row],[UF]],'BASE CC'!B:C,2,0)="SP",IF(Tabela6[[#This Row],[OPERADORA]]="TIM","SP TIM","SPI"),VLOOKUP(Tabela6[[#This Row],[UF]],'BASE CC'!B:C,2,0))</f>
        <v>#N/A</v>
      </c>
      <c r="B640" s="36" t="e">
        <f>VLOOKUP(Tabela_Base_Financeiro[[#This Row],[Item code]],'COD.FAT'!B:C,2,0)</f>
        <v>#N/A</v>
      </c>
      <c r="C640" s="292">
        <f>Tabela_Base_Financeiro[[#This Row],[PO Ship TO]]</f>
        <v>0</v>
      </c>
      <c r="D640" s="36" t="str">
        <f>RIGHT(Tabela_Base_Financeiro[[#This Row],[Manufacturer]],2)</f>
        <v/>
      </c>
      <c r="E64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40" s="122" t="e">
        <f>VLOOKUP(Tabela_Base_Financeiro[[#This Row],[Project Code]],'COD. PROJETOS'!B:D,3,0)</f>
        <v>#N/A</v>
      </c>
      <c r="G640" s="36">
        <f>IFERROR(Tabela_Base_Financeiro[[#This Row],[PO No,]],0)</f>
        <v>0</v>
      </c>
      <c r="H640" s="36">
        <f>IFERROR(Tabela_Base_Financeiro[[#This Row],[Line No,]],0)</f>
        <v>0</v>
      </c>
      <c r="I640" s="36" t="str">
        <f>IFERROR(MID(Tabela_Base_Financeiro[[#This Row],[Manufacturer]],19,14),"")</f>
        <v/>
      </c>
      <c r="J640" s="113">
        <f>IFERROR(Tabela_Base_Financeiro[[#This Row],[Item code]],0)</f>
        <v>0</v>
      </c>
      <c r="K640" s="293">
        <f>IFERROR(Tabela_Base_Financeiro[[#This Row],[Unit Price]],0)</f>
        <v>0</v>
      </c>
      <c r="L640" s="36">
        <f>IFERROR(Tabela_Base_Financeiro[[#This Row],[AC Qty,]],0)</f>
        <v>0</v>
      </c>
      <c r="M640" s="60">
        <f>Tabela6[[#This Row],[Qty]]*Tabela6[[#This Row],[Preço]]</f>
        <v>0</v>
      </c>
      <c r="N640" s="37">
        <f>IFERROR(Tabela_Base_Financeiro[[#This Row],[Proportion]],0)</f>
        <v>0</v>
      </c>
      <c r="O640" s="60">
        <f>Tabela6[[#This Row],[Proporção]]*Tabela6[[#This Row],[Total]]</f>
        <v>0</v>
      </c>
      <c r="P640"/>
      <c r="Q640" s="59"/>
      <c r="R640" s="1"/>
    </row>
    <row r="641" spans="1:18">
      <c r="A641" s="122" t="e">
        <f>IF(VLOOKUP(Tabela6[[#This Row],[UF]],'BASE CC'!B:C,2,0)="SP",IF(Tabela6[[#This Row],[OPERADORA]]="TIM","SP TIM","SPI"),VLOOKUP(Tabela6[[#This Row],[UF]],'BASE CC'!B:C,2,0))</f>
        <v>#N/A</v>
      </c>
      <c r="B641" s="36" t="e">
        <f>VLOOKUP(Tabela_Base_Financeiro[[#This Row],[Item code]],'COD.FAT'!B:C,2,0)</f>
        <v>#N/A</v>
      </c>
      <c r="C641" s="292">
        <f>Tabela_Base_Financeiro[[#This Row],[PO Ship TO]]</f>
        <v>0</v>
      </c>
      <c r="D641" s="36" t="str">
        <f>RIGHT(Tabela_Base_Financeiro[[#This Row],[Manufacturer]],2)</f>
        <v/>
      </c>
      <c r="E64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41" s="122" t="e">
        <f>VLOOKUP(Tabela_Base_Financeiro[[#This Row],[Project Code]],'COD. PROJETOS'!B:D,3,0)</f>
        <v>#N/A</v>
      </c>
      <c r="G641" s="36">
        <f>IFERROR(Tabela_Base_Financeiro[[#This Row],[PO No,]],0)</f>
        <v>0</v>
      </c>
      <c r="H641" s="36">
        <f>IFERROR(Tabela_Base_Financeiro[[#This Row],[Line No,]],0)</f>
        <v>0</v>
      </c>
      <c r="I641" s="36" t="str">
        <f>IFERROR(MID(Tabela_Base_Financeiro[[#This Row],[Manufacturer]],19,14),"")</f>
        <v/>
      </c>
      <c r="J641" s="113">
        <f>IFERROR(Tabela_Base_Financeiro[[#This Row],[Item code]],0)</f>
        <v>0</v>
      </c>
      <c r="K641" s="293">
        <f>IFERROR(Tabela_Base_Financeiro[[#This Row],[Unit Price]],0)</f>
        <v>0</v>
      </c>
      <c r="L641" s="36">
        <f>IFERROR(Tabela_Base_Financeiro[[#This Row],[AC Qty,]],0)</f>
        <v>0</v>
      </c>
      <c r="M641" s="60">
        <f>Tabela6[[#This Row],[Qty]]*Tabela6[[#This Row],[Preço]]</f>
        <v>0</v>
      </c>
      <c r="N641" s="37">
        <f>IFERROR(Tabela_Base_Financeiro[[#This Row],[Proportion]],0)</f>
        <v>0</v>
      </c>
      <c r="O641" s="60">
        <f>Tabela6[[#This Row],[Proporção]]*Tabela6[[#This Row],[Total]]</f>
        <v>0</v>
      </c>
      <c r="P641"/>
      <c r="Q641" s="59"/>
      <c r="R641" s="1"/>
    </row>
    <row r="642" spans="1:18">
      <c r="A642" s="122" t="e">
        <f>IF(VLOOKUP(Tabela6[[#This Row],[UF]],'BASE CC'!B:C,2,0)="SP",IF(Tabela6[[#This Row],[OPERADORA]]="TIM","SP TIM","SPI"),VLOOKUP(Tabela6[[#This Row],[UF]],'BASE CC'!B:C,2,0))</f>
        <v>#N/A</v>
      </c>
      <c r="B642" s="36" t="e">
        <f>VLOOKUP(Tabela_Base_Financeiro[[#This Row],[Item code]],'COD.FAT'!B:C,2,0)</f>
        <v>#N/A</v>
      </c>
      <c r="C642" s="292">
        <f>Tabela_Base_Financeiro[[#This Row],[PO Ship TO]]</f>
        <v>0</v>
      </c>
      <c r="D642" s="36" t="str">
        <f>RIGHT(Tabela_Base_Financeiro[[#This Row],[Manufacturer]],2)</f>
        <v/>
      </c>
      <c r="E64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42" s="122" t="e">
        <f>VLOOKUP(Tabela_Base_Financeiro[[#This Row],[Project Code]],'COD. PROJETOS'!B:D,3,0)</f>
        <v>#N/A</v>
      </c>
      <c r="G642" s="36">
        <f>IFERROR(Tabela_Base_Financeiro[[#This Row],[PO No,]],0)</f>
        <v>0</v>
      </c>
      <c r="H642" s="36">
        <f>IFERROR(Tabela_Base_Financeiro[[#This Row],[Line No,]],0)</f>
        <v>0</v>
      </c>
      <c r="I642" s="36" t="str">
        <f>IFERROR(MID(Tabela_Base_Financeiro[[#This Row],[Manufacturer]],19,14),"")</f>
        <v/>
      </c>
      <c r="J642" s="113">
        <f>IFERROR(Tabela_Base_Financeiro[[#This Row],[Item code]],0)</f>
        <v>0</v>
      </c>
      <c r="K642" s="293">
        <f>IFERROR(Tabela_Base_Financeiro[[#This Row],[Unit Price]],0)</f>
        <v>0</v>
      </c>
      <c r="L642" s="36">
        <f>IFERROR(Tabela_Base_Financeiro[[#This Row],[AC Qty,]],0)</f>
        <v>0</v>
      </c>
      <c r="M642" s="60">
        <f>Tabela6[[#This Row],[Qty]]*Tabela6[[#This Row],[Preço]]</f>
        <v>0</v>
      </c>
      <c r="N642" s="37">
        <f>IFERROR(Tabela_Base_Financeiro[[#This Row],[Proportion]],0)</f>
        <v>0</v>
      </c>
      <c r="O642" s="60">
        <f>Tabela6[[#This Row],[Proporção]]*Tabela6[[#This Row],[Total]]</f>
        <v>0</v>
      </c>
      <c r="P642"/>
      <c r="Q642" s="59"/>
      <c r="R642" s="1"/>
    </row>
    <row r="643" spans="1:18">
      <c r="A643" s="122" t="e">
        <f>IF(VLOOKUP(Tabela6[[#This Row],[UF]],'BASE CC'!B:C,2,0)="SP",IF(Tabela6[[#This Row],[OPERADORA]]="TIM","SP TIM","SPI"),VLOOKUP(Tabela6[[#This Row],[UF]],'BASE CC'!B:C,2,0))</f>
        <v>#N/A</v>
      </c>
      <c r="B643" s="36" t="e">
        <f>VLOOKUP(Tabela_Base_Financeiro[[#This Row],[Item code]],'COD.FAT'!B:C,2,0)</f>
        <v>#N/A</v>
      </c>
      <c r="C643" s="292">
        <f>Tabela_Base_Financeiro[[#This Row],[PO Ship TO]]</f>
        <v>0</v>
      </c>
      <c r="D643" s="36" t="str">
        <f>RIGHT(Tabela_Base_Financeiro[[#This Row],[Manufacturer]],2)</f>
        <v/>
      </c>
      <c r="E64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43" s="122" t="e">
        <f>VLOOKUP(Tabela_Base_Financeiro[[#This Row],[Project Code]],'COD. PROJETOS'!B:D,3,0)</f>
        <v>#N/A</v>
      </c>
      <c r="G643" s="36">
        <f>IFERROR(Tabela_Base_Financeiro[[#This Row],[PO No,]],0)</f>
        <v>0</v>
      </c>
      <c r="H643" s="36">
        <f>IFERROR(Tabela_Base_Financeiro[[#This Row],[Line No,]],0)</f>
        <v>0</v>
      </c>
      <c r="I643" s="36" t="str">
        <f>IFERROR(MID(Tabela_Base_Financeiro[[#This Row],[Manufacturer]],19,14),"")</f>
        <v/>
      </c>
      <c r="J643" s="113">
        <f>IFERROR(Tabela_Base_Financeiro[[#This Row],[Item code]],0)</f>
        <v>0</v>
      </c>
      <c r="K643" s="293">
        <f>IFERROR(Tabela_Base_Financeiro[[#This Row],[Unit Price]],0)</f>
        <v>0</v>
      </c>
      <c r="L643" s="36">
        <f>IFERROR(Tabela_Base_Financeiro[[#This Row],[AC Qty,]],0)</f>
        <v>0</v>
      </c>
      <c r="M643" s="60">
        <f>Tabela6[[#This Row],[Qty]]*Tabela6[[#This Row],[Preço]]</f>
        <v>0</v>
      </c>
      <c r="N643" s="37">
        <f>IFERROR(Tabela_Base_Financeiro[[#This Row],[Proportion]],0)</f>
        <v>0</v>
      </c>
      <c r="O643" s="60">
        <f>Tabela6[[#This Row],[Proporção]]*Tabela6[[#This Row],[Total]]</f>
        <v>0</v>
      </c>
      <c r="P643"/>
      <c r="Q643" s="59"/>
      <c r="R643" s="1"/>
    </row>
    <row r="644" spans="1:18">
      <c r="A644" s="122" t="e">
        <f>IF(VLOOKUP(Tabela6[[#This Row],[UF]],'BASE CC'!B:C,2,0)="SP",IF(Tabela6[[#This Row],[OPERADORA]]="TIM","SP TIM","SPI"),VLOOKUP(Tabela6[[#This Row],[UF]],'BASE CC'!B:C,2,0))</f>
        <v>#N/A</v>
      </c>
      <c r="B644" s="36" t="e">
        <f>VLOOKUP(Tabela_Base_Financeiro[[#This Row],[Item code]],'COD.FAT'!B:C,2,0)</f>
        <v>#N/A</v>
      </c>
      <c r="C644" s="292">
        <f>Tabela_Base_Financeiro[[#This Row],[PO Ship TO]]</f>
        <v>0</v>
      </c>
      <c r="D644" s="36" t="str">
        <f>RIGHT(Tabela_Base_Financeiro[[#This Row],[Manufacturer]],2)</f>
        <v/>
      </c>
      <c r="E64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44" s="122" t="e">
        <f>VLOOKUP(Tabela_Base_Financeiro[[#This Row],[Project Code]],'COD. PROJETOS'!B:D,3,0)</f>
        <v>#N/A</v>
      </c>
      <c r="G644" s="36">
        <f>IFERROR(Tabela_Base_Financeiro[[#This Row],[PO No,]],0)</f>
        <v>0</v>
      </c>
      <c r="H644" s="36">
        <f>IFERROR(Tabela_Base_Financeiro[[#This Row],[Line No,]],0)</f>
        <v>0</v>
      </c>
      <c r="I644" s="36" t="str">
        <f>IFERROR(MID(Tabela_Base_Financeiro[[#This Row],[Manufacturer]],19,14),"")</f>
        <v/>
      </c>
      <c r="J644" s="113">
        <f>IFERROR(Tabela_Base_Financeiro[[#This Row],[Item code]],0)</f>
        <v>0</v>
      </c>
      <c r="K644" s="293">
        <f>IFERROR(Tabela_Base_Financeiro[[#This Row],[Unit Price]],0)</f>
        <v>0</v>
      </c>
      <c r="L644" s="36">
        <f>IFERROR(Tabela_Base_Financeiro[[#This Row],[AC Qty,]],0)</f>
        <v>0</v>
      </c>
      <c r="M644" s="60">
        <f>Tabela6[[#This Row],[Qty]]*Tabela6[[#This Row],[Preço]]</f>
        <v>0</v>
      </c>
      <c r="N644" s="37">
        <f>IFERROR(Tabela_Base_Financeiro[[#This Row],[Proportion]],0)</f>
        <v>0</v>
      </c>
      <c r="O644" s="60">
        <f>Tabela6[[#This Row],[Proporção]]*Tabela6[[#This Row],[Total]]</f>
        <v>0</v>
      </c>
      <c r="P644"/>
      <c r="Q644" s="59"/>
      <c r="R644" s="1"/>
    </row>
    <row r="645" spans="1:18">
      <c r="A645" s="122" t="e">
        <f>IF(VLOOKUP(Tabela6[[#This Row],[UF]],'BASE CC'!B:C,2,0)="SP",IF(Tabela6[[#This Row],[OPERADORA]]="TIM","SP TIM","SPI"),VLOOKUP(Tabela6[[#This Row],[UF]],'BASE CC'!B:C,2,0))</f>
        <v>#N/A</v>
      </c>
      <c r="B645" s="36" t="e">
        <f>VLOOKUP(Tabela_Base_Financeiro[[#This Row],[Item code]],'COD.FAT'!B:C,2,0)</f>
        <v>#N/A</v>
      </c>
      <c r="C645" s="292">
        <f>Tabela_Base_Financeiro[[#This Row],[PO Ship TO]]</f>
        <v>0</v>
      </c>
      <c r="D645" s="36" t="str">
        <f>RIGHT(Tabela_Base_Financeiro[[#This Row],[Manufacturer]],2)</f>
        <v/>
      </c>
      <c r="E64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45" s="122" t="e">
        <f>VLOOKUP(Tabela_Base_Financeiro[[#This Row],[Project Code]],'COD. PROJETOS'!B:D,3,0)</f>
        <v>#N/A</v>
      </c>
      <c r="G645" s="36">
        <f>IFERROR(Tabela_Base_Financeiro[[#This Row],[PO No,]],0)</f>
        <v>0</v>
      </c>
      <c r="H645" s="36">
        <f>IFERROR(Tabela_Base_Financeiro[[#This Row],[Line No,]],0)</f>
        <v>0</v>
      </c>
      <c r="I645" s="36" t="str">
        <f>IFERROR(MID(Tabela_Base_Financeiro[[#This Row],[Manufacturer]],19,14),"")</f>
        <v/>
      </c>
      <c r="J645" s="113">
        <f>IFERROR(Tabela_Base_Financeiro[[#This Row],[Item code]],0)</f>
        <v>0</v>
      </c>
      <c r="K645" s="293">
        <f>IFERROR(Tabela_Base_Financeiro[[#This Row],[Unit Price]],0)</f>
        <v>0</v>
      </c>
      <c r="L645" s="36">
        <f>IFERROR(Tabela_Base_Financeiro[[#This Row],[AC Qty,]],0)</f>
        <v>0</v>
      </c>
      <c r="M645" s="60">
        <f>Tabela6[[#This Row],[Qty]]*Tabela6[[#This Row],[Preço]]</f>
        <v>0</v>
      </c>
      <c r="N645" s="37">
        <f>IFERROR(Tabela_Base_Financeiro[[#This Row],[Proportion]],0)</f>
        <v>0</v>
      </c>
      <c r="O645" s="60">
        <f>Tabela6[[#This Row],[Proporção]]*Tabela6[[#This Row],[Total]]</f>
        <v>0</v>
      </c>
      <c r="P645"/>
      <c r="Q645" s="59"/>
      <c r="R645" s="1"/>
    </row>
    <row r="646" spans="1:18">
      <c r="A646" s="122" t="e">
        <f>IF(VLOOKUP(Tabela6[[#This Row],[UF]],'BASE CC'!B:C,2,0)="SP",IF(Tabela6[[#This Row],[OPERADORA]]="TIM","SP TIM","SPI"),VLOOKUP(Tabela6[[#This Row],[UF]],'BASE CC'!B:C,2,0))</f>
        <v>#N/A</v>
      </c>
      <c r="B646" s="36" t="e">
        <f>VLOOKUP(Tabela_Base_Financeiro[[#This Row],[Item code]],'COD.FAT'!B:C,2,0)</f>
        <v>#N/A</v>
      </c>
      <c r="C646" s="292">
        <f>Tabela_Base_Financeiro[[#This Row],[PO Ship TO]]</f>
        <v>0</v>
      </c>
      <c r="D646" s="36" t="str">
        <f>RIGHT(Tabela_Base_Financeiro[[#This Row],[Manufacturer]],2)</f>
        <v/>
      </c>
      <c r="E64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46" s="122" t="e">
        <f>VLOOKUP(Tabela_Base_Financeiro[[#This Row],[Project Code]],'COD. PROJETOS'!B:D,3,0)</f>
        <v>#N/A</v>
      </c>
      <c r="G646" s="36">
        <f>IFERROR(Tabela_Base_Financeiro[[#This Row],[PO No,]],0)</f>
        <v>0</v>
      </c>
      <c r="H646" s="36">
        <f>IFERROR(Tabela_Base_Financeiro[[#This Row],[Line No,]],0)</f>
        <v>0</v>
      </c>
      <c r="I646" s="36" t="str">
        <f>IFERROR(MID(Tabela_Base_Financeiro[[#This Row],[Manufacturer]],19,14),"")</f>
        <v/>
      </c>
      <c r="J646" s="113">
        <f>IFERROR(Tabela_Base_Financeiro[[#This Row],[Item code]],0)</f>
        <v>0</v>
      </c>
      <c r="K646" s="293">
        <f>IFERROR(Tabela_Base_Financeiro[[#This Row],[Unit Price]],0)</f>
        <v>0</v>
      </c>
      <c r="L646" s="36">
        <f>IFERROR(Tabela_Base_Financeiro[[#This Row],[AC Qty,]],0)</f>
        <v>0</v>
      </c>
      <c r="M646" s="60">
        <f>Tabela6[[#This Row],[Qty]]*Tabela6[[#This Row],[Preço]]</f>
        <v>0</v>
      </c>
      <c r="N646" s="37">
        <f>IFERROR(Tabela_Base_Financeiro[[#This Row],[Proportion]],0)</f>
        <v>0</v>
      </c>
      <c r="O646" s="60">
        <f>Tabela6[[#This Row],[Proporção]]*Tabela6[[#This Row],[Total]]</f>
        <v>0</v>
      </c>
      <c r="P646"/>
      <c r="Q646" s="59"/>
      <c r="R646" s="1"/>
    </row>
    <row r="647" spans="1:18">
      <c r="A647" s="122" t="e">
        <f>IF(VLOOKUP(Tabela6[[#This Row],[UF]],'BASE CC'!B:C,2,0)="SP",IF(Tabela6[[#This Row],[OPERADORA]]="TIM","SP TIM","SPI"),VLOOKUP(Tabela6[[#This Row],[UF]],'BASE CC'!B:C,2,0))</f>
        <v>#N/A</v>
      </c>
      <c r="B647" s="36" t="e">
        <f>VLOOKUP(Tabela_Base_Financeiro[[#This Row],[Item code]],'COD.FAT'!B:C,2,0)</f>
        <v>#N/A</v>
      </c>
      <c r="C647" s="292">
        <f>Tabela_Base_Financeiro[[#This Row],[PO Ship TO]]</f>
        <v>0</v>
      </c>
      <c r="D647" s="36" t="str">
        <f>RIGHT(Tabela_Base_Financeiro[[#This Row],[Manufacturer]],2)</f>
        <v/>
      </c>
      <c r="E64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47" s="122" t="e">
        <f>VLOOKUP(Tabela_Base_Financeiro[[#This Row],[Project Code]],'COD. PROJETOS'!B:D,3,0)</f>
        <v>#N/A</v>
      </c>
      <c r="G647" s="36">
        <f>IFERROR(Tabela_Base_Financeiro[[#This Row],[PO No,]],0)</f>
        <v>0</v>
      </c>
      <c r="H647" s="36">
        <f>IFERROR(Tabela_Base_Financeiro[[#This Row],[Line No,]],0)</f>
        <v>0</v>
      </c>
      <c r="I647" s="36" t="str">
        <f>IFERROR(MID(Tabela_Base_Financeiro[[#This Row],[Manufacturer]],19,14),"")</f>
        <v/>
      </c>
      <c r="J647" s="113">
        <f>IFERROR(Tabela_Base_Financeiro[[#This Row],[Item code]],0)</f>
        <v>0</v>
      </c>
      <c r="K647" s="293">
        <f>IFERROR(Tabela_Base_Financeiro[[#This Row],[Unit Price]],0)</f>
        <v>0</v>
      </c>
      <c r="L647" s="36">
        <f>IFERROR(Tabela_Base_Financeiro[[#This Row],[AC Qty,]],0)</f>
        <v>0</v>
      </c>
      <c r="M647" s="60">
        <f>Tabela6[[#This Row],[Qty]]*Tabela6[[#This Row],[Preço]]</f>
        <v>0</v>
      </c>
      <c r="N647" s="37">
        <f>IFERROR(Tabela_Base_Financeiro[[#This Row],[Proportion]],0)</f>
        <v>0</v>
      </c>
      <c r="O647" s="60">
        <f>Tabela6[[#This Row],[Proporção]]*Tabela6[[#This Row],[Total]]</f>
        <v>0</v>
      </c>
      <c r="P647"/>
      <c r="Q647" s="59"/>
      <c r="R647" s="1"/>
    </row>
    <row r="648" spans="1:18">
      <c r="A648" s="122" t="e">
        <f>IF(VLOOKUP(Tabela6[[#This Row],[UF]],'BASE CC'!B:C,2,0)="SP",IF(Tabela6[[#This Row],[OPERADORA]]="TIM","SP TIM","SPI"),VLOOKUP(Tabela6[[#This Row],[UF]],'BASE CC'!B:C,2,0))</f>
        <v>#N/A</v>
      </c>
      <c r="B648" s="36" t="e">
        <f>VLOOKUP(Tabela_Base_Financeiro[[#This Row],[Item code]],'COD.FAT'!B:C,2,0)</f>
        <v>#N/A</v>
      </c>
      <c r="C648" s="292">
        <f>Tabela_Base_Financeiro[[#This Row],[PO Ship TO]]</f>
        <v>0</v>
      </c>
      <c r="D648" s="36" t="str">
        <f>RIGHT(Tabela_Base_Financeiro[[#This Row],[Manufacturer]],2)</f>
        <v/>
      </c>
      <c r="E64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48" s="122" t="e">
        <f>VLOOKUP(Tabela_Base_Financeiro[[#This Row],[Project Code]],'COD. PROJETOS'!B:D,3,0)</f>
        <v>#N/A</v>
      </c>
      <c r="G648" s="36">
        <f>IFERROR(Tabela_Base_Financeiro[[#This Row],[PO No,]],0)</f>
        <v>0</v>
      </c>
      <c r="H648" s="36">
        <f>IFERROR(Tabela_Base_Financeiro[[#This Row],[Line No,]],0)</f>
        <v>0</v>
      </c>
      <c r="I648" s="36" t="str">
        <f>IFERROR(MID(Tabela_Base_Financeiro[[#This Row],[Manufacturer]],19,14),"")</f>
        <v/>
      </c>
      <c r="J648" s="113">
        <f>IFERROR(Tabela_Base_Financeiro[[#This Row],[Item code]],0)</f>
        <v>0</v>
      </c>
      <c r="K648" s="293">
        <f>IFERROR(Tabela_Base_Financeiro[[#This Row],[Unit Price]],0)</f>
        <v>0</v>
      </c>
      <c r="L648" s="36">
        <f>IFERROR(Tabela_Base_Financeiro[[#This Row],[AC Qty,]],0)</f>
        <v>0</v>
      </c>
      <c r="M648" s="60">
        <f>Tabela6[[#This Row],[Qty]]*Tabela6[[#This Row],[Preço]]</f>
        <v>0</v>
      </c>
      <c r="N648" s="37">
        <f>IFERROR(Tabela_Base_Financeiro[[#This Row],[Proportion]],0)</f>
        <v>0</v>
      </c>
      <c r="O648" s="60">
        <f>Tabela6[[#This Row],[Proporção]]*Tabela6[[#This Row],[Total]]</f>
        <v>0</v>
      </c>
      <c r="P648"/>
      <c r="Q648" s="59"/>
      <c r="R648" s="1"/>
    </row>
    <row r="649" spans="1:18">
      <c r="A649" s="122" t="e">
        <f>IF(VLOOKUP(Tabela6[[#This Row],[UF]],'BASE CC'!B:C,2,0)="SP",IF(Tabela6[[#This Row],[OPERADORA]]="TIM","SP TIM","SPI"),VLOOKUP(Tabela6[[#This Row],[UF]],'BASE CC'!B:C,2,0))</f>
        <v>#N/A</v>
      </c>
      <c r="B649" s="36" t="e">
        <f>VLOOKUP(Tabela_Base_Financeiro[[#This Row],[Item code]],'COD.FAT'!B:C,2,0)</f>
        <v>#N/A</v>
      </c>
      <c r="C649" s="292">
        <f>Tabela_Base_Financeiro[[#This Row],[PO Ship TO]]</f>
        <v>0</v>
      </c>
      <c r="D649" s="36" t="str">
        <f>RIGHT(Tabela_Base_Financeiro[[#This Row],[Manufacturer]],2)</f>
        <v/>
      </c>
      <c r="E64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49" s="122" t="e">
        <f>VLOOKUP(Tabela_Base_Financeiro[[#This Row],[Project Code]],'COD. PROJETOS'!B:D,3,0)</f>
        <v>#N/A</v>
      </c>
      <c r="G649" s="36">
        <f>IFERROR(Tabela_Base_Financeiro[[#This Row],[PO No,]],0)</f>
        <v>0</v>
      </c>
      <c r="H649" s="36">
        <f>IFERROR(Tabela_Base_Financeiro[[#This Row],[Line No,]],0)</f>
        <v>0</v>
      </c>
      <c r="I649" s="36" t="str">
        <f>IFERROR(MID(Tabela_Base_Financeiro[[#This Row],[Manufacturer]],19,14),"")</f>
        <v/>
      </c>
      <c r="J649" s="113">
        <f>IFERROR(Tabela_Base_Financeiro[[#This Row],[Item code]],0)</f>
        <v>0</v>
      </c>
      <c r="K649" s="293">
        <f>IFERROR(Tabela_Base_Financeiro[[#This Row],[Unit Price]],0)</f>
        <v>0</v>
      </c>
      <c r="L649" s="36">
        <f>IFERROR(Tabela_Base_Financeiro[[#This Row],[AC Qty,]],0)</f>
        <v>0</v>
      </c>
      <c r="M649" s="60">
        <f>Tabela6[[#This Row],[Qty]]*Tabela6[[#This Row],[Preço]]</f>
        <v>0</v>
      </c>
      <c r="N649" s="37">
        <f>IFERROR(Tabela_Base_Financeiro[[#This Row],[Proportion]],0)</f>
        <v>0</v>
      </c>
      <c r="O649" s="60">
        <f>Tabela6[[#This Row],[Proporção]]*Tabela6[[#This Row],[Total]]</f>
        <v>0</v>
      </c>
      <c r="P649"/>
      <c r="Q649" s="59"/>
      <c r="R649" s="1"/>
    </row>
    <row r="650" spans="1:18">
      <c r="A650" s="122" t="e">
        <f>IF(VLOOKUP(Tabela6[[#This Row],[UF]],'BASE CC'!B:C,2,0)="SP",IF(Tabela6[[#This Row],[OPERADORA]]="TIM","SP TIM","SPI"),VLOOKUP(Tabela6[[#This Row],[UF]],'BASE CC'!B:C,2,0))</f>
        <v>#N/A</v>
      </c>
      <c r="B650" s="36" t="e">
        <f>VLOOKUP(Tabela_Base_Financeiro[[#This Row],[Item code]],'COD.FAT'!B:C,2,0)</f>
        <v>#N/A</v>
      </c>
      <c r="C650" s="292">
        <f>Tabela_Base_Financeiro[[#This Row],[PO Ship TO]]</f>
        <v>0</v>
      </c>
      <c r="D650" s="36" t="str">
        <f>RIGHT(Tabela_Base_Financeiro[[#This Row],[Manufacturer]],2)</f>
        <v/>
      </c>
      <c r="E65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50" s="122" t="e">
        <f>VLOOKUP(Tabela_Base_Financeiro[[#This Row],[Project Code]],'COD. PROJETOS'!B:D,3,0)</f>
        <v>#N/A</v>
      </c>
      <c r="G650" s="36">
        <f>IFERROR(Tabela_Base_Financeiro[[#This Row],[PO No,]],0)</f>
        <v>0</v>
      </c>
      <c r="H650" s="36">
        <f>IFERROR(Tabela_Base_Financeiro[[#This Row],[Line No,]],0)</f>
        <v>0</v>
      </c>
      <c r="I650" s="36" t="str">
        <f>IFERROR(MID(Tabela_Base_Financeiro[[#This Row],[Manufacturer]],19,14),"")</f>
        <v/>
      </c>
      <c r="J650" s="113">
        <f>IFERROR(Tabela_Base_Financeiro[[#This Row],[Item code]],0)</f>
        <v>0</v>
      </c>
      <c r="K650" s="293">
        <f>IFERROR(Tabela_Base_Financeiro[[#This Row],[Unit Price]],0)</f>
        <v>0</v>
      </c>
      <c r="L650" s="36">
        <f>IFERROR(Tabela_Base_Financeiro[[#This Row],[AC Qty,]],0)</f>
        <v>0</v>
      </c>
      <c r="M650" s="60">
        <f>Tabela6[[#This Row],[Qty]]*Tabela6[[#This Row],[Preço]]</f>
        <v>0</v>
      </c>
      <c r="N650" s="37">
        <f>IFERROR(Tabela_Base_Financeiro[[#This Row],[Proportion]],0)</f>
        <v>0</v>
      </c>
      <c r="O650" s="60">
        <f>Tabela6[[#This Row],[Proporção]]*Tabela6[[#This Row],[Total]]</f>
        <v>0</v>
      </c>
      <c r="P650"/>
      <c r="Q650" s="59"/>
      <c r="R650" s="1"/>
    </row>
    <row r="651" spans="1:18">
      <c r="A651" s="122" t="e">
        <f>IF(VLOOKUP(Tabela6[[#This Row],[UF]],'BASE CC'!B:C,2,0)="SP",IF(Tabela6[[#This Row],[OPERADORA]]="TIM","SP TIM","SPI"),VLOOKUP(Tabela6[[#This Row],[UF]],'BASE CC'!B:C,2,0))</f>
        <v>#N/A</v>
      </c>
      <c r="B651" s="36" t="e">
        <f>VLOOKUP(Tabela_Base_Financeiro[[#This Row],[Item code]],'COD.FAT'!B:C,2,0)</f>
        <v>#N/A</v>
      </c>
      <c r="C651" s="292">
        <f>Tabela_Base_Financeiro[[#This Row],[PO Ship TO]]</f>
        <v>0</v>
      </c>
      <c r="D651" s="36" t="str">
        <f>RIGHT(Tabela_Base_Financeiro[[#This Row],[Manufacturer]],2)</f>
        <v/>
      </c>
      <c r="E65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51" s="122" t="e">
        <f>VLOOKUP(Tabela_Base_Financeiro[[#This Row],[Project Code]],'COD. PROJETOS'!B:D,3,0)</f>
        <v>#N/A</v>
      </c>
      <c r="G651" s="36">
        <f>IFERROR(Tabela_Base_Financeiro[[#This Row],[PO No,]],0)</f>
        <v>0</v>
      </c>
      <c r="H651" s="36">
        <f>IFERROR(Tabela_Base_Financeiro[[#This Row],[Line No,]],0)</f>
        <v>0</v>
      </c>
      <c r="I651" s="36" t="str">
        <f>IFERROR(MID(Tabela_Base_Financeiro[[#This Row],[Manufacturer]],19,14),"")</f>
        <v/>
      </c>
      <c r="J651" s="113">
        <f>IFERROR(Tabela_Base_Financeiro[[#This Row],[Item code]],0)</f>
        <v>0</v>
      </c>
      <c r="K651" s="293">
        <f>IFERROR(Tabela_Base_Financeiro[[#This Row],[Unit Price]],0)</f>
        <v>0</v>
      </c>
      <c r="L651" s="36">
        <f>IFERROR(Tabela_Base_Financeiro[[#This Row],[AC Qty,]],0)</f>
        <v>0</v>
      </c>
      <c r="M651" s="60">
        <f>Tabela6[[#This Row],[Qty]]*Tabela6[[#This Row],[Preço]]</f>
        <v>0</v>
      </c>
      <c r="N651" s="37">
        <f>IFERROR(Tabela_Base_Financeiro[[#This Row],[Proportion]],0)</f>
        <v>0</v>
      </c>
      <c r="O651" s="60">
        <f>Tabela6[[#This Row],[Proporção]]*Tabela6[[#This Row],[Total]]</f>
        <v>0</v>
      </c>
      <c r="P651"/>
      <c r="Q651" s="59"/>
      <c r="R651" s="1"/>
    </row>
    <row r="652" spans="1:18">
      <c r="A652" s="122" t="e">
        <f>IF(VLOOKUP(Tabela6[[#This Row],[UF]],'BASE CC'!B:C,2,0)="SP",IF(Tabela6[[#This Row],[OPERADORA]]="TIM","SP TIM","SPI"),VLOOKUP(Tabela6[[#This Row],[UF]],'BASE CC'!B:C,2,0))</f>
        <v>#N/A</v>
      </c>
      <c r="B652" s="36" t="e">
        <f>VLOOKUP(Tabela_Base_Financeiro[[#This Row],[Item code]],'COD.FAT'!B:C,2,0)</f>
        <v>#N/A</v>
      </c>
      <c r="C652" s="292">
        <f>Tabela_Base_Financeiro[[#This Row],[PO Ship TO]]</f>
        <v>0</v>
      </c>
      <c r="D652" s="36" t="str">
        <f>RIGHT(Tabela_Base_Financeiro[[#This Row],[Manufacturer]],2)</f>
        <v/>
      </c>
      <c r="E65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52" s="122" t="e">
        <f>VLOOKUP(Tabela_Base_Financeiro[[#This Row],[Project Code]],'COD. PROJETOS'!B:D,3,0)</f>
        <v>#N/A</v>
      </c>
      <c r="G652" s="36">
        <f>IFERROR(Tabela_Base_Financeiro[[#This Row],[PO No,]],0)</f>
        <v>0</v>
      </c>
      <c r="H652" s="36">
        <f>IFERROR(Tabela_Base_Financeiro[[#This Row],[Line No,]],0)</f>
        <v>0</v>
      </c>
      <c r="I652" s="36" t="str">
        <f>IFERROR(MID(Tabela_Base_Financeiro[[#This Row],[Manufacturer]],19,14),"")</f>
        <v/>
      </c>
      <c r="J652" s="113">
        <f>IFERROR(Tabela_Base_Financeiro[[#This Row],[Item code]],0)</f>
        <v>0</v>
      </c>
      <c r="K652" s="293">
        <f>IFERROR(Tabela_Base_Financeiro[[#This Row],[Unit Price]],0)</f>
        <v>0</v>
      </c>
      <c r="L652" s="36">
        <f>IFERROR(Tabela_Base_Financeiro[[#This Row],[AC Qty,]],0)</f>
        <v>0</v>
      </c>
      <c r="M652" s="60">
        <f>Tabela6[[#This Row],[Qty]]*Tabela6[[#This Row],[Preço]]</f>
        <v>0</v>
      </c>
      <c r="N652" s="37">
        <f>IFERROR(Tabela_Base_Financeiro[[#This Row],[Proportion]],0)</f>
        <v>0</v>
      </c>
      <c r="O652" s="60">
        <f>Tabela6[[#This Row],[Proporção]]*Tabela6[[#This Row],[Total]]</f>
        <v>0</v>
      </c>
      <c r="P652"/>
      <c r="Q652" s="59"/>
      <c r="R652" s="1"/>
    </row>
    <row r="653" spans="1:18">
      <c r="A653" s="122" t="e">
        <f>IF(VLOOKUP(Tabela6[[#This Row],[UF]],'BASE CC'!B:C,2,0)="SP",IF(Tabela6[[#This Row],[OPERADORA]]="TIM","SP TIM","SPI"),VLOOKUP(Tabela6[[#This Row],[UF]],'BASE CC'!B:C,2,0))</f>
        <v>#N/A</v>
      </c>
      <c r="B653" s="36" t="e">
        <f>VLOOKUP(Tabela_Base_Financeiro[[#This Row],[Item code]],'COD.FAT'!B:C,2,0)</f>
        <v>#N/A</v>
      </c>
      <c r="C653" s="292">
        <f>Tabela_Base_Financeiro[[#This Row],[PO Ship TO]]</f>
        <v>0</v>
      </c>
      <c r="D653" s="36" t="str">
        <f>RIGHT(Tabela_Base_Financeiro[[#This Row],[Manufacturer]],2)</f>
        <v/>
      </c>
      <c r="E65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53" s="122" t="e">
        <f>VLOOKUP(Tabela_Base_Financeiro[[#This Row],[Project Code]],'COD. PROJETOS'!B:D,3,0)</f>
        <v>#N/A</v>
      </c>
      <c r="G653" s="36">
        <f>IFERROR(Tabela_Base_Financeiro[[#This Row],[PO No,]],0)</f>
        <v>0</v>
      </c>
      <c r="H653" s="36">
        <f>IFERROR(Tabela_Base_Financeiro[[#This Row],[Line No,]],0)</f>
        <v>0</v>
      </c>
      <c r="I653" s="36" t="str">
        <f>IFERROR(MID(Tabela_Base_Financeiro[[#This Row],[Manufacturer]],19,14),"")</f>
        <v/>
      </c>
      <c r="J653" s="113">
        <f>IFERROR(Tabela_Base_Financeiro[[#This Row],[Item code]],0)</f>
        <v>0</v>
      </c>
      <c r="K653" s="293">
        <f>IFERROR(Tabela_Base_Financeiro[[#This Row],[Unit Price]],0)</f>
        <v>0</v>
      </c>
      <c r="L653" s="36">
        <f>IFERROR(Tabela_Base_Financeiro[[#This Row],[AC Qty,]],0)</f>
        <v>0</v>
      </c>
      <c r="M653" s="60">
        <f>Tabela6[[#This Row],[Qty]]*Tabela6[[#This Row],[Preço]]</f>
        <v>0</v>
      </c>
      <c r="N653" s="37">
        <f>IFERROR(Tabela_Base_Financeiro[[#This Row],[Proportion]],0)</f>
        <v>0</v>
      </c>
      <c r="O653" s="60">
        <f>Tabela6[[#This Row],[Proporção]]*Tabela6[[#This Row],[Total]]</f>
        <v>0</v>
      </c>
      <c r="P653"/>
      <c r="Q653" s="59"/>
      <c r="R653" s="1"/>
    </row>
    <row r="654" spans="1:18">
      <c r="A654" s="122" t="e">
        <f>IF(VLOOKUP(Tabela6[[#This Row],[UF]],'BASE CC'!B:C,2,0)="SP",IF(Tabela6[[#This Row],[OPERADORA]]="TIM","SP TIM","SPI"),VLOOKUP(Tabela6[[#This Row],[UF]],'BASE CC'!B:C,2,0))</f>
        <v>#N/A</v>
      </c>
      <c r="B654" s="36" t="e">
        <f>VLOOKUP(Tabela_Base_Financeiro[[#This Row],[Item code]],'COD.FAT'!B:C,2,0)</f>
        <v>#N/A</v>
      </c>
      <c r="C654" s="292">
        <f>Tabela_Base_Financeiro[[#This Row],[PO Ship TO]]</f>
        <v>0</v>
      </c>
      <c r="D654" s="36" t="str">
        <f>RIGHT(Tabela_Base_Financeiro[[#This Row],[Manufacturer]],2)</f>
        <v/>
      </c>
      <c r="E65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54" s="122" t="e">
        <f>VLOOKUP(Tabela_Base_Financeiro[[#This Row],[Project Code]],'COD. PROJETOS'!B:D,3,0)</f>
        <v>#N/A</v>
      </c>
      <c r="G654" s="36">
        <f>IFERROR(Tabela_Base_Financeiro[[#This Row],[PO No,]],0)</f>
        <v>0</v>
      </c>
      <c r="H654" s="36">
        <f>IFERROR(Tabela_Base_Financeiro[[#This Row],[Line No,]],0)</f>
        <v>0</v>
      </c>
      <c r="I654" s="36" t="str">
        <f>IFERROR(MID(Tabela_Base_Financeiro[[#This Row],[Manufacturer]],19,14),"")</f>
        <v/>
      </c>
      <c r="J654" s="113">
        <f>IFERROR(Tabela_Base_Financeiro[[#This Row],[Item code]],0)</f>
        <v>0</v>
      </c>
      <c r="K654" s="293">
        <f>IFERROR(Tabela_Base_Financeiro[[#This Row],[Unit Price]],0)</f>
        <v>0</v>
      </c>
      <c r="L654" s="36">
        <f>IFERROR(Tabela_Base_Financeiro[[#This Row],[AC Qty,]],0)</f>
        <v>0</v>
      </c>
      <c r="M654" s="60">
        <f>Tabela6[[#This Row],[Qty]]*Tabela6[[#This Row],[Preço]]</f>
        <v>0</v>
      </c>
      <c r="N654" s="37">
        <f>IFERROR(Tabela_Base_Financeiro[[#This Row],[Proportion]],0)</f>
        <v>0</v>
      </c>
      <c r="O654" s="60">
        <f>Tabela6[[#This Row],[Proporção]]*Tabela6[[#This Row],[Total]]</f>
        <v>0</v>
      </c>
      <c r="P654"/>
      <c r="Q654" s="59"/>
      <c r="R654" s="1"/>
    </row>
    <row r="655" spans="1:18">
      <c r="A655" s="122" t="e">
        <f>IF(VLOOKUP(Tabela6[[#This Row],[UF]],'BASE CC'!B:C,2,0)="SP",IF(Tabela6[[#This Row],[OPERADORA]]="TIM","SP TIM","SPI"),VLOOKUP(Tabela6[[#This Row],[UF]],'BASE CC'!B:C,2,0))</f>
        <v>#N/A</v>
      </c>
      <c r="B655" s="36" t="e">
        <f>VLOOKUP(Tabela_Base_Financeiro[[#This Row],[Item code]],'COD.FAT'!B:C,2,0)</f>
        <v>#N/A</v>
      </c>
      <c r="C655" s="292">
        <f>Tabela_Base_Financeiro[[#This Row],[PO Ship TO]]</f>
        <v>0</v>
      </c>
      <c r="D655" s="36" t="str">
        <f>RIGHT(Tabela_Base_Financeiro[[#This Row],[Manufacturer]],2)</f>
        <v/>
      </c>
      <c r="E65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55" s="122" t="e">
        <f>VLOOKUP(Tabela_Base_Financeiro[[#This Row],[Project Code]],'COD. PROJETOS'!B:D,3,0)</f>
        <v>#N/A</v>
      </c>
      <c r="G655" s="36">
        <f>IFERROR(Tabela_Base_Financeiro[[#This Row],[PO No,]],0)</f>
        <v>0</v>
      </c>
      <c r="H655" s="36">
        <f>IFERROR(Tabela_Base_Financeiro[[#This Row],[Line No,]],0)</f>
        <v>0</v>
      </c>
      <c r="I655" s="36" t="str">
        <f>IFERROR(MID(Tabela_Base_Financeiro[[#This Row],[Manufacturer]],19,14),"")</f>
        <v/>
      </c>
      <c r="J655" s="113">
        <f>IFERROR(Tabela_Base_Financeiro[[#This Row],[Item code]],0)</f>
        <v>0</v>
      </c>
      <c r="K655" s="293">
        <f>IFERROR(Tabela_Base_Financeiro[[#This Row],[Unit Price]],0)</f>
        <v>0</v>
      </c>
      <c r="L655" s="36">
        <f>IFERROR(Tabela_Base_Financeiro[[#This Row],[AC Qty,]],0)</f>
        <v>0</v>
      </c>
      <c r="M655" s="60">
        <f>Tabela6[[#This Row],[Qty]]*Tabela6[[#This Row],[Preço]]</f>
        <v>0</v>
      </c>
      <c r="N655" s="37">
        <f>IFERROR(Tabela_Base_Financeiro[[#This Row],[Proportion]],0)</f>
        <v>0</v>
      </c>
      <c r="O655" s="60">
        <f>Tabela6[[#This Row],[Proporção]]*Tabela6[[#This Row],[Total]]</f>
        <v>0</v>
      </c>
      <c r="P655"/>
      <c r="Q655" s="59"/>
      <c r="R655" s="1"/>
    </row>
    <row r="656" spans="1:18">
      <c r="A656" s="122" t="e">
        <f>IF(VLOOKUP(Tabela6[[#This Row],[UF]],'BASE CC'!B:C,2,0)="SP",IF(Tabela6[[#This Row],[OPERADORA]]="TIM","SP TIM","SPI"),VLOOKUP(Tabela6[[#This Row],[UF]],'BASE CC'!B:C,2,0))</f>
        <v>#N/A</v>
      </c>
      <c r="B656" s="36" t="e">
        <f>VLOOKUP(Tabela_Base_Financeiro[[#This Row],[Item code]],'COD.FAT'!B:C,2,0)</f>
        <v>#N/A</v>
      </c>
      <c r="C656" s="292">
        <f>Tabela_Base_Financeiro[[#This Row],[PO Ship TO]]</f>
        <v>0</v>
      </c>
      <c r="D656" s="36" t="str">
        <f>RIGHT(Tabela_Base_Financeiro[[#This Row],[Manufacturer]],2)</f>
        <v/>
      </c>
      <c r="E65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56" s="122" t="e">
        <f>VLOOKUP(Tabela_Base_Financeiro[[#This Row],[Project Code]],'COD. PROJETOS'!B:D,3,0)</f>
        <v>#N/A</v>
      </c>
      <c r="G656" s="36">
        <f>IFERROR(Tabela_Base_Financeiro[[#This Row],[PO No,]],0)</f>
        <v>0</v>
      </c>
      <c r="H656" s="36">
        <f>IFERROR(Tabela_Base_Financeiro[[#This Row],[Line No,]],0)</f>
        <v>0</v>
      </c>
      <c r="I656" s="36" t="str">
        <f>IFERROR(MID(Tabela_Base_Financeiro[[#This Row],[Manufacturer]],19,14),"")</f>
        <v/>
      </c>
      <c r="J656" s="113">
        <f>IFERROR(Tabela_Base_Financeiro[[#This Row],[Item code]],0)</f>
        <v>0</v>
      </c>
      <c r="K656" s="293">
        <f>IFERROR(Tabela_Base_Financeiro[[#This Row],[Unit Price]],0)</f>
        <v>0</v>
      </c>
      <c r="L656" s="36">
        <f>IFERROR(Tabela_Base_Financeiro[[#This Row],[AC Qty,]],0)</f>
        <v>0</v>
      </c>
      <c r="M656" s="60">
        <f>Tabela6[[#This Row],[Qty]]*Tabela6[[#This Row],[Preço]]</f>
        <v>0</v>
      </c>
      <c r="N656" s="37">
        <f>IFERROR(Tabela_Base_Financeiro[[#This Row],[Proportion]],0)</f>
        <v>0</v>
      </c>
      <c r="O656" s="60">
        <f>Tabela6[[#This Row],[Proporção]]*Tabela6[[#This Row],[Total]]</f>
        <v>0</v>
      </c>
      <c r="P656"/>
      <c r="Q656" s="59"/>
      <c r="R656" s="1"/>
    </row>
    <row r="657" spans="1:18">
      <c r="A657" s="122" t="e">
        <f>IF(VLOOKUP(Tabela6[[#This Row],[UF]],'BASE CC'!B:C,2,0)="SP",IF(Tabela6[[#This Row],[OPERADORA]]="TIM","SP TIM","SPI"),VLOOKUP(Tabela6[[#This Row],[UF]],'BASE CC'!B:C,2,0))</f>
        <v>#N/A</v>
      </c>
      <c r="B657" s="36" t="e">
        <f>VLOOKUP(Tabela_Base_Financeiro[[#This Row],[Item code]],'COD.FAT'!B:C,2,0)</f>
        <v>#N/A</v>
      </c>
      <c r="C657" s="292">
        <f>Tabela_Base_Financeiro[[#This Row],[PO Ship TO]]</f>
        <v>0</v>
      </c>
      <c r="D657" s="36" t="str">
        <f>RIGHT(Tabela_Base_Financeiro[[#This Row],[Manufacturer]],2)</f>
        <v/>
      </c>
      <c r="E65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57" s="122" t="e">
        <f>VLOOKUP(Tabela_Base_Financeiro[[#This Row],[Project Code]],'COD. PROJETOS'!B:D,3,0)</f>
        <v>#N/A</v>
      </c>
      <c r="G657" s="36">
        <f>IFERROR(Tabela_Base_Financeiro[[#This Row],[PO No,]],0)</f>
        <v>0</v>
      </c>
      <c r="H657" s="36">
        <f>IFERROR(Tabela_Base_Financeiro[[#This Row],[Line No,]],0)</f>
        <v>0</v>
      </c>
      <c r="I657" s="36" t="str">
        <f>IFERROR(MID(Tabela_Base_Financeiro[[#This Row],[Manufacturer]],19,14),"")</f>
        <v/>
      </c>
      <c r="J657" s="113">
        <f>IFERROR(Tabela_Base_Financeiro[[#This Row],[Item code]],0)</f>
        <v>0</v>
      </c>
      <c r="K657" s="293">
        <f>IFERROR(Tabela_Base_Financeiro[[#This Row],[Unit Price]],0)</f>
        <v>0</v>
      </c>
      <c r="L657" s="36">
        <f>IFERROR(Tabela_Base_Financeiro[[#This Row],[AC Qty,]],0)</f>
        <v>0</v>
      </c>
      <c r="M657" s="60">
        <f>Tabela6[[#This Row],[Qty]]*Tabela6[[#This Row],[Preço]]</f>
        <v>0</v>
      </c>
      <c r="N657" s="37">
        <f>IFERROR(Tabela_Base_Financeiro[[#This Row],[Proportion]],0)</f>
        <v>0</v>
      </c>
      <c r="O657" s="60">
        <f>Tabela6[[#This Row],[Proporção]]*Tabela6[[#This Row],[Total]]</f>
        <v>0</v>
      </c>
      <c r="P657"/>
      <c r="Q657" s="59"/>
      <c r="R657" s="1"/>
    </row>
    <row r="658" spans="1:18">
      <c r="A658" s="122" t="e">
        <f>IF(VLOOKUP(Tabela6[[#This Row],[UF]],'BASE CC'!B:C,2,0)="SP",IF(Tabela6[[#This Row],[OPERADORA]]="TIM","SP TIM","SPI"),VLOOKUP(Tabela6[[#This Row],[UF]],'BASE CC'!B:C,2,0))</f>
        <v>#N/A</v>
      </c>
      <c r="B658" s="36" t="e">
        <f>VLOOKUP(Tabela_Base_Financeiro[[#This Row],[Item code]],'COD.FAT'!B:C,2,0)</f>
        <v>#N/A</v>
      </c>
      <c r="C658" s="292">
        <f>Tabela_Base_Financeiro[[#This Row],[PO Ship TO]]</f>
        <v>0</v>
      </c>
      <c r="D658" s="36" t="str">
        <f>RIGHT(Tabela_Base_Financeiro[[#This Row],[Manufacturer]],2)</f>
        <v/>
      </c>
      <c r="E65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58" s="122" t="e">
        <f>VLOOKUP(Tabela_Base_Financeiro[[#This Row],[Project Code]],'COD. PROJETOS'!B:D,3,0)</f>
        <v>#N/A</v>
      </c>
      <c r="G658" s="36">
        <f>IFERROR(Tabela_Base_Financeiro[[#This Row],[PO No,]],0)</f>
        <v>0</v>
      </c>
      <c r="H658" s="36">
        <f>IFERROR(Tabela_Base_Financeiro[[#This Row],[Line No,]],0)</f>
        <v>0</v>
      </c>
      <c r="I658" s="36" t="str">
        <f>IFERROR(MID(Tabela_Base_Financeiro[[#This Row],[Manufacturer]],19,14),"")</f>
        <v/>
      </c>
      <c r="J658" s="113">
        <f>IFERROR(Tabela_Base_Financeiro[[#This Row],[Item code]],0)</f>
        <v>0</v>
      </c>
      <c r="K658" s="293">
        <f>IFERROR(Tabela_Base_Financeiro[[#This Row],[Unit Price]],0)</f>
        <v>0</v>
      </c>
      <c r="L658" s="36">
        <f>IFERROR(Tabela_Base_Financeiro[[#This Row],[AC Qty,]],0)</f>
        <v>0</v>
      </c>
      <c r="M658" s="60">
        <f>Tabela6[[#This Row],[Qty]]*Tabela6[[#This Row],[Preço]]</f>
        <v>0</v>
      </c>
      <c r="N658" s="37">
        <f>IFERROR(Tabela_Base_Financeiro[[#This Row],[Proportion]],0)</f>
        <v>0</v>
      </c>
      <c r="O658" s="60">
        <f>Tabela6[[#This Row],[Proporção]]*Tabela6[[#This Row],[Total]]</f>
        <v>0</v>
      </c>
      <c r="P658"/>
      <c r="Q658" s="59"/>
      <c r="R658" s="1"/>
    </row>
    <row r="659" spans="1:18">
      <c r="A659" s="122" t="e">
        <f>IF(VLOOKUP(Tabela6[[#This Row],[UF]],'BASE CC'!B:C,2,0)="SP",IF(Tabela6[[#This Row],[OPERADORA]]="TIM","SP TIM","SPI"),VLOOKUP(Tabela6[[#This Row],[UF]],'BASE CC'!B:C,2,0))</f>
        <v>#N/A</v>
      </c>
      <c r="B659" s="36" t="e">
        <f>VLOOKUP(Tabela_Base_Financeiro[[#This Row],[Item code]],'COD.FAT'!B:C,2,0)</f>
        <v>#N/A</v>
      </c>
      <c r="C659" s="292">
        <f>Tabela_Base_Financeiro[[#This Row],[PO Ship TO]]</f>
        <v>0</v>
      </c>
      <c r="D659" s="36" t="str">
        <f>RIGHT(Tabela_Base_Financeiro[[#This Row],[Manufacturer]],2)</f>
        <v/>
      </c>
      <c r="E65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59" s="122" t="e">
        <f>VLOOKUP(Tabela_Base_Financeiro[[#This Row],[Project Code]],'COD. PROJETOS'!B:D,3,0)</f>
        <v>#N/A</v>
      </c>
      <c r="G659" s="36">
        <f>IFERROR(Tabela_Base_Financeiro[[#This Row],[PO No,]],0)</f>
        <v>0</v>
      </c>
      <c r="H659" s="36">
        <f>IFERROR(Tabela_Base_Financeiro[[#This Row],[Line No,]],0)</f>
        <v>0</v>
      </c>
      <c r="I659" s="36" t="str">
        <f>IFERROR(MID(Tabela_Base_Financeiro[[#This Row],[Manufacturer]],19,14),"")</f>
        <v/>
      </c>
      <c r="J659" s="113">
        <f>IFERROR(Tabela_Base_Financeiro[[#This Row],[Item code]],0)</f>
        <v>0</v>
      </c>
      <c r="K659" s="293">
        <f>IFERROR(Tabela_Base_Financeiro[[#This Row],[Unit Price]],0)</f>
        <v>0</v>
      </c>
      <c r="L659" s="36">
        <f>IFERROR(Tabela_Base_Financeiro[[#This Row],[AC Qty,]],0)</f>
        <v>0</v>
      </c>
      <c r="M659" s="60">
        <f>Tabela6[[#This Row],[Qty]]*Tabela6[[#This Row],[Preço]]</f>
        <v>0</v>
      </c>
      <c r="N659" s="37">
        <f>IFERROR(Tabela_Base_Financeiro[[#This Row],[Proportion]],0)</f>
        <v>0</v>
      </c>
      <c r="O659" s="60">
        <f>Tabela6[[#This Row],[Proporção]]*Tabela6[[#This Row],[Total]]</f>
        <v>0</v>
      </c>
      <c r="P659"/>
      <c r="Q659" s="59"/>
      <c r="R659" s="1"/>
    </row>
    <row r="660" spans="1:18">
      <c r="A660" s="122" t="e">
        <f>IF(VLOOKUP(Tabela6[[#This Row],[UF]],'BASE CC'!B:C,2,0)="SP",IF(Tabela6[[#This Row],[OPERADORA]]="TIM","SP TIM","SPI"),VLOOKUP(Tabela6[[#This Row],[UF]],'BASE CC'!B:C,2,0))</f>
        <v>#N/A</v>
      </c>
      <c r="B660" s="36" t="e">
        <f>VLOOKUP(Tabela_Base_Financeiro[[#This Row],[Item code]],'COD.FAT'!B:C,2,0)</f>
        <v>#N/A</v>
      </c>
      <c r="C660" s="292">
        <f>Tabela_Base_Financeiro[[#This Row],[PO Ship TO]]</f>
        <v>0</v>
      </c>
      <c r="D660" s="36" t="str">
        <f>RIGHT(Tabela_Base_Financeiro[[#This Row],[Manufacturer]],2)</f>
        <v/>
      </c>
      <c r="E66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60" s="122" t="e">
        <f>VLOOKUP(Tabela_Base_Financeiro[[#This Row],[Project Code]],'COD. PROJETOS'!B:D,3,0)</f>
        <v>#N/A</v>
      </c>
      <c r="G660" s="36">
        <f>IFERROR(Tabela_Base_Financeiro[[#This Row],[PO No,]],0)</f>
        <v>0</v>
      </c>
      <c r="H660" s="36">
        <f>IFERROR(Tabela_Base_Financeiro[[#This Row],[Line No,]],0)</f>
        <v>0</v>
      </c>
      <c r="I660" s="36" t="str">
        <f>IFERROR(MID(Tabela_Base_Financeiro[[#This Row],[Manufacturer]],19,14),"")</f>
        <v/>
      </c>
      <c r="J660" s="113">
        <f>IFERROR(Tabela_Base_Financeiro[[#This Row],[Item code]],0)</f>
        <v>0</v>
      </c>
      <c r="K660" s="293">
        <f>IFERROR(Tabela_Base_Financeiro[[#This Row],[Unit Price]],0)</f>
        <v>0</v>
      </c>
      <c r="L660" s="36">
        <f>IFERROR(Tabela_Base_Financeiro[[#This Row],[AC Qty,]],0)</f>
        <v>0</v>
      </c>
      <c r="M660" s="60">
        <f>Tabela6[[#This Row],[Qty]]*Tabela6[[#This Row],[Preço]]</f>
        <v>0</v>
      </c>
      <c r="N660" s="37">
        <f>IFERROR(Tabela_Base_Financeiro[[#This Row],[Proportion]],0)</f>
        <v>0</v>
      </c>
      <c r="O660" s="60">
        <f>Tabela6[[#This Row],[Proporção]]*Tabela6[[#This Row],[Total]]</f>
        <v>0</v>
      </c>
      <c r="P660"/>
      <c r="Q660" s="59"/>
      <c r="R660" s="1"/>
    </row>
    <row r="661" spans="1:18">
      <c r="A661" s="122" t="e">
        <f>IF(VLOOKUP(Tabela6[[#This Row],[UF]],'BASE CC'!B:C,2,0)="SP",IF(Tabela6[[#This Row],[OPERADORA]]="TIM","SP TIM","SPI"),VLOOKUP(Tabela6[[#This Row],[UF]],'BASE CC'!B:C,2,0))</f>
        <v>#N/A</v>
      </c>
      <c r="B661" s="36" t="e">
        <f>VLOOKUP(Tabela_Base_Financeiro[[#This Row],[Item code]],'COD.FAT'!B:C,2,0)</f>
        <v>#N/A</v>
      </c>
      <c r="C661" s="292">
        <f>Tabela_Base_Financeiro[[#This Row],[PO Ship TO]]</f>
        <v>0</v>
      </c>
      <c r="D661" s="36" t="str">
        <f>RIGHT(Tabela_Base_Financeiro[[#This Row],[Manufacturer]],2)</f>
        <v/>
      </c>
      <c r="E66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61" s="122" t="e">
        <f>VLOOKUP(Tabela_Base_Financeiro[[#This Row],[Project Code]],'COD. PROJETOS'!B:D,3,0)</f>
        <v>#N/A</v>
      </c>
      <c r="G661" s="36">
        <f>IFERROR(Tabela_Base_Financeiro[[#This Row],[PO No,]],0)</f>
        <v>0</v>
      </c>
      <c r="H661" s="36">
        <f>IFERROR(Tabela_Base_Financeiro[[#This Row],[Line No,]],0)</f>
        <v>0</v>
      </c>
      <c r="I661" s="36" t="str">
        <f>IFERROR(MID(Tabela_Base_Financeiro[[#This Row],[Manufacturer]],19,14),"")</f>
        <v/>
      </c>
      <c r="J661" s="113">
        <f>IFERROR(Tabela_Base_Financeiro[[#This Row],[Item code]],0)</f>
        <v>0</v>
      </c>
      <c r="K661" s="293">
        <f>IFERROR(Tabela_Base_Financeiro[[#This Row],[Unit Price]],0)</f>
        <v>0</v>
      </c>
      <c r="L661" s="36">
        <f>IFERROR(Tabela_Base_Financeiro[[#This Row],[AC Qty,]],0)</f>
        <v>0</v>
      </c>
      <c r="M661" s="60">
        <f>Tabela6[[#This Row],[Qty]]*Tabela6[[#This Row],[Preço]]</f>
        <v>0</v>
      </c>
      <c r="N661" s="37">
        <f>IFERROR(Tabela_Base_Financeiro[[#This Row],[Proportion]],0)</f>
        <v>0</v>
      </c>
      <c r="O661" s="60">
        <f>Tabela6[[#This Row],[Proporção]]*Tabela6[[#This Row],[Total]]</f>
        <v>0</v>
      </c>
      <c r="P661"/>
      <c r="Q661" s="59"/>
      <c r="R661" s="1"/>
    </row>
    <row r="662" spans="1:18">
      <c r="A662" s="122" t="e">
        <f>IF(VLOOKUP(Tabela6[[#This Row],[UF]],'BASE CC'!B:C,2,0)="SP",IF(Tabela6[[#This Row],[OPERADORA]]="TIM","SP TIM","SPI"),VLOOKUP(Tabela6[[#This Row],[UF]],'BASE CC'!B:C,2,0))</f>
        <v>#N/A</v>
      </c>
      <c r="B662" s="36" t="e">
        <f>VLOOKUP(Tabela_Base_Financeiro[[#This Row],[Item code]],'COD.FAT'!B:C,2,0)</f>
        <v>#N/A</v>
      </c>
      <c r="C662" s="292">
        <f>Tabela_Base_Financeiro[[#This Row],[PO Ship TO]]</f>
        <v>0</v>
      </c>
      <c r="D662" s="36" t="str">
        <f>RIGHT(Tabela_Base_Financeiro[[#This Row],[Manufacturer]],2)</f>
        <v/>
      </c>
      <c r="E66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62" s="122" t="e">
        <f>VLOOKUP(Tabela_Base_Financeiro[[#This Row],[Project Code]],'COD. PROJETOS'!B:D,3,0)</f>
        <v>#N/A</v>
      </c>
      <c r="G662" s="36">
        <f>IFERROR(Tabela_Base_Financeiro[[#This Row],[PO No,]],0)</f>
        <v>0</v>
      </c>
      <c r="H662" s="36">
        <f>IFERROR(Tabela_Base_Financeiro[[#This Row],[Line No,]],0)</f>
        <v>0</v>
      </c>
      <c r="I662" s="36" t="str">
        <f>IFERROR(MID(Tabela_Base_Financeiro[[#This Row],[Manufacturer]],19,14),"")</f>
        <v/>
      </c>
      <c r="J662" s="113">
        <f>IFERROR(Tabela_Base_Financeiro[[#This Row],[Item code]],0)</f>
        <v>0</v>
      </c>
      <c r="K662" s="293">
        <f>IFERROR(Tabela_Base_Financeiro[[#This Row],[Unit Price]],0)</f>
        <v>0</v>
      </c>
      <c r="L662" s="36">
        <f>IFERROR(Tabela_Base_Financeiro[[#This Row],[AC Qty,]],0)</f>
        <v>0</v>
      </c>
      <c r="M662" s="60">
        <f>Tabela6[[#This Row],[Qty]]*Tabela6[[#This Row],[Preço]]</f>
        <v>0</v>
      </c>
      <c r="N662" s="37">
        <f>IFERROR(Tabela_Base_Financeiro[[#This Row],[Proportion]],0)</f>
        <v>0</v>
      </c>
      <c r="O662" s="60">
        <f>Tabela6[[#This Row],[Proporção]]*Tabela6[[#This Row],[Total]]</f>
        <v>0</v>
      </c>
      <c r="P662"/>
      <c r="Q662" s="59"/>
      <c r="R662" s="1"/>
    </row>
    <row r="663" spans="1:18">
      <c r="A663" s="122" t="e">
        <f>IF(VLOOKUP(Tabela6[[#This Row],[UF]],'BASE CC'!B:C,2,0)="SP",IF(Tabela6[[#This Row],[OPERADORA]]="TIM","SP TIM","SPI"),VLOOKUP(Tabela6[[#This Row],[UF]],'BASE CC'!B:C,2,0))</f>
        <v>#N/A</v>
      </c>
      <c r="B663" s="36" t="e">
        <f>VLOOKUP(Tabela_Base_Financeiro[[#This Row],[Item code]],'COD.FAT'!B:C,2,0)</f>
        <v>#N/A</v>
      </c>
      <c r="C663" s="292">
        <f>Tabela_Base_Financeiro[[#This Row],[PO Ship TO]]</f>
        <v>0</v>
      </c>
      <c r="D663" s="36" t="str">
        <f>RIGHT(Tabela_Base_Financeiro[[#This Row],[Manufacturer]],2)</f>
        <v/>
      </c>
      <c r="E66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63" s="122" t="e">
        <f>VLOOKUP(Tabela_Base_Financeiro[[#This Row],[Project Code]],'COD. PROJETOS'!B:D,3,0)</f>
        <v>#N/A</v>
      </c>
      <c r="G663" s="36">
        <f>IFERROR(Tabela_Base_Financeiro[[#This Row],[PO No,]],0)</f>
        <v>0</v>
      </c>
      <c r="H663" s="36">
        <f>IFERROR(Tabela_Base_Financeiro[[#This Row],[Line No,]],0)</f>
        <v>0</v>
      </c>
      <c r="I663" s="36" t="str">
        <f>IFERROR(MID(Tabela_Base_Financeiro[[#This Row],[Manufacturer]],19,14),"")</f>
        <v/>
      </c>
      <c r="J663" s="113">
        <f>IFERROR(Tabela_Base_Financeiro[[#This Row],[Item code]],0)</f>
        <v>0</v>
      </c>
      <c r="K663" s="293">
        <f>IFERROR(Tabela_Base_Financeiro[[#This Row],[Unit Price]],0)</f>
        <v>0</v>
      </c>
      <c r="L663" s="36">
        <f>IFERROR(Tabela_Base_Financeiro[[#This Row],[AC Qty,]],0)</f>
        <v>0</v>
      </c>
      <c r="M663" s="60">
        <f>Tabela6[[#This Row],[Qty]]*Tabela6[[#This Row],[Preço]]</f>
        <v>0</v>
      </c>
      <c r="N663" s="37">
        <f>IFERROR(Tabela_Base_Financeiro[[#This Row],[Proportion]],0)</f>
        <v>0</v>
      </c>
      <c r="O663" s="60">
        <f>Tabela6[[#This Row],[Proporção]]*Tabela6[[#This Row],[Total]]</f>
        <v>0</v>
      </c>
      <c r="P663"/>
      <c r="Q663" s="59"/>
      <c r="R663" s="1"/>
    </row>
    <row r="664" spans="1:18">
      <c r="A664" s="122" t="e">
        <f>IF(VLOOKUP(Tabela6[[#This Row],[UF]],'BASE CC'!B:C,2,0)="SP",IF(Tabela6[[#This Row],[OPERADORA]]="TIM","SP TIM","SPI"),VLOOKUP(Tabela6[[#This Row],[UF]],'BASE CC'!B:C,2,0))</f>
        <v>#N/A</v>
      </c>
      <c r="B664" s="36" t="e">
        <f>VLOOKUP(Tabela_Base_Financeiro[[#This Row],[Item code]],'COD.FAT'!B:C,2,0)</f>
        <v>#N/A</v>
      </c>
      <c r="C664" s="292">
        <f>Tabela_Base_Financeiro[[#This Row],[PO Ship TO]]</f>
        <v>0</v>
      </c>
      <c r="D664" s="36" t="str">
        <f>RIGHT(Tabela_Base_Financeiro[[#This Row],[Manufacturer]],2)</f>
        <v/>
      </c>
      <c r="E66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64" s="122" t="e">
        <f>VLOOKUP(Tabela_Base_Financeiro[[#This Row],[Project Code]],'COD. PROJETOS'!B:D,3,0)</f>
        <v>#N/A</v>
      </c>
      <c r="G664" s="36">
        <f>IFERROR(Tabela_Base_Financeiro[[#This Row],[PO No,]],0)</f>
        <v>0</v>
      </c>
      <c r="H664" s="36">
        <f>IFERROR(Tabela_Base_Financeiro[[#This Row],[Line No,]],0)</f>
        <v>0</v>
      </c>
      <c r="I664" s="36" t="str">
        <f>IFERROR(MID(Tabela_Base_Financeiro[[#This Row],[Manufacturer]],19,14),"")</f>
        <v/>
      </c>
      <c r="J664" s="113">
        <f>IFERROR(Tabela_Base_Financeiro[[#This Row],[Item code]],0)</f>
        <v>0</v>
      </c>
      <c r="K664" s="293">
        <f>IFERROR(Tabela_Base_Financeiro[[#This Row],[Unit Price]],0)</f>
        <v>0</v>
      </c>
      <c r="L664" s="36">
        <f>IFERROR(Tabela_Base_Financeiro[[#This Row],[AC Qty,]],0)</f>
        <v>0</v>
      </c>
      <c r="M664" s="60">
        <f>Tabela6[[#This Row],[Qty]]*Tabela6[[#This Row],[Preço]]</f>
        <v>0</v>
      </c>
      <c r="N664" s="37">
        <f>IFERROR(Tabela_Base_Financeiro[[#This Row],[Proportion]],0)</f>
        <v>0</v>
      </c>
      <c r="O664" s="60">
        <f>Tabela6[[#This Row],[Proporção]]*Tabela6[[#This Row],[Total]]</f>
        <v>0</v>
      </c>
      <c r="P664"/>
      <c r="Q664" s="59"/>
      <c r="R664" s="1"/>
    </row>
    <row r="665" spans="1:18">
      <c r="A665" s="122" t="e">
        <f>IF(VLOOKUP(Tabela6[[#This Row],[UF]],'BASE CC'!B:C,2,0)="SP",IF(Tabela6[[#This Row],[OPERADORA]]="TIM","SP TIM","SPI"),VLOOKUP(Tabela6[[#This Row],[UF]],'BASE CC'!B:C,2,0))</f>
        <v>#N/A</v>
      </c>
      <c r="B665" s="36" t="e">
        <f>VLOOKUP(Tabela_Base_Financeiro[[#This Row],[Item code]],'COD.FAT'!B:C,2,0)</f>
        <v>#N/A</v>
      </c>
      <c r="C665" s="292">
        <f>Tabela_Base_Financeiro[[#This Row],[PO Ship TO]]</f>
        <v>0</v>
      </c>
      <c r="D665" s="36" t="str">
        <f>RIGHT(Tabela_Base_Financeiro[[#This Row],[Manufacturer]],2)</f>
        <v/>
      </c>
      <c r="E66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65" s="122" t="e">
        <f>VLOOKUP(Tabela_Base_Financeiro[[#This Row],[Project Code]],'COD. PROJETOS'!B:D,3,0)</f>
        <v>#N/A</v>
      </c>
      <c r="G665" s="36">
        <f>IFERROR(Tabela_Base_Financeiro[[#This Row],[PO No,]],0)</f>
        <v>0</v>
      </c>
      <c r="H665" s="36">
        <f>IFERROR(Tabela_Base_Financeiro[[#This Row],[Line No,]],0)</f>
        <v>0</v>
      </c>
      <c r="I665" s="36" t="str">
        <f>IFERROR(MID(Tabela_Base_Financeiro[[#This Row],[Manufacturer]],19,14),"")</f>
        <v/>
      </c>
      <c r="J665" s="113">
        <f>IFERROR(Tabela_Base_Financeiro[[#This Row],[Item code]],0)</f>
        <v>0</v>
      </c>
      <c r="K665" s="293">
        <f>IFERROR(Tabela_Base_Financeiro[[#This Row],[Unit Price]],0)</f>
        <v>0</v>
      </c>
      <c r="L665" s="36">
        <f>IFERROR(Tabela_Base_Financeiro[[#This Row],[AC Qty,]],0)</f>
        <v>0</v>
      </c>
      <c r="M665" s="60">
        <f>Tabela6[[#This Row],[Qty]]*Tabela6[[#This Row],[Preço]]</f>
        <v>0</v>
      </c>
      <c r="N665" s="37">
        <f>IFERROR(Tabela_Base_Financeiro[[#This Row],[Proportion]],0)</f>
        <v>0</v>
      </c>
      <c r="O665" s="60">
        <f>Tabela6[[#This Row],[Proporção]]*Tabela6[[#This Row],[Total]]</f>
        <v>0</v>
      </c>
      <c r="P665"/>
      <c r="Q665" s="59"/>
      <c r="R665" s="1"/>
    </row>
    <row r="666" spans="1:18">
      <c r="A666" s="122" t="e">
        <f>IF(VLOOKUP(Tabela6[[#This Row],[UF]],'BASE CC'!B:C,2,0)="SP",IF(Tabela6[[#This Row],[OPERADORA]]="TIM","SP TIM","SPI"),VLOOKUP(Tabela6[[#This Row],[UF]],'BASE CC'!B:C,2,0))</f>
        <v>#N/A</v>
      </c>
      <c r="B666" s="36" t="e">
        <f>VLOOKUP(Tabela_Base_Financeiro[[#This Row],[Item code]],'COD.FAT'!B:C,2,0)</f>
        <v>#N/A</v>
      </c>
      <c r="C666" s="292">
        <f>Tabela_Base_Financeiro[[#This Row],[PO Ship TO]]</f>
        <v>0</v>
      </c>
      <c r="D666" s="36" t="str">
        <f>RIGHT(Tabela_Base_Financeiro[[#This Row],[Manufacturer]],2)</f>
        <v/>
      </c>
      <c r="E66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66" s="122" t="e">
        <f>VLOOKUP(Tabela_Base_Financeiro[[#This Row],[Project Code]],'COD. PROJETOS'!B:D,3,0)</f>
        <v>#N/A</v>
      </c>
      <c r="G666" s="36">
        <f>IFERROR(Tabela_Base_Financeiro[[#This Row],[PO No,]],0)</f>
        <v>0</v>
      </c>
      <c r="H666" s="36">
        <f>IFERROR(Tabela_Base_Financeiro[[#This Row],[Line No,]],0)</f>
        <v>0</v>
      </c>
      <c r="I666" s="36" t="str">
        <f>IFERROR(MID(Tabela_Base_Financeiro[[#This Row],[Manufacturer]],19,14),"")</f>
        <v/>
      </c>
      <c r="J666" s="113">
        <f>IFERROR(Tabela_Base_Financeiro[[#This Row],[Item code]],0)</f>
        <v>0</v>
      </c>
      <c r="K666" s="293">
        <f>IFERROR(Tabela_Base_Financeiro[[#This Row],[Unit Price]],0)</f>
        <v>0</v>
      </c>
      <c r="L666" s="36">
        <f>IFERROR(Tabela_Base_Financeiro[[#This Row],[AC Qty,]],0)</f>
        <v>0</v>
      </c>
      <c r="M666" s="60">
        <f>Tabela6[[#This Row],[Qty]]*Tabela6[[#This Row],[Preço]]</f>
        <v>0</v>
      </c>
      <c r="N666" s="37">
        <f>IFERROR(Tabela_Base_Financeiro[[#This Row],[Proportion]],0)</f>
        <v>0</v>
      </c>
      <c r="O666" s="60">
        <f>Tabela6[[#This Row],[Proporção]]*Tabela6[[#This Row],[Total]]</f>
        <v>0</v>
      </c>
      <c r="P666"/>
      <c r="Q666" s="59"/>
      <c r="R666" s="1"/>
    </row>
    <row r="667" spans="1:18">
      <c r="A667" s="122" t="e">
        <f>IF(VLOOKUP(Tabela6[[#This Row],[UF]],'BASE CC'!B:C,2,0)="SP",IF(Tabela6[[#This Row],[OPERADORA]]="TIM","SP TIM","SPI"),VLOOKUP(Tabela6[[#This Row],[UF]],'BASE CC'!B:C,2,0))</f>
        <v>#N/A</v>
      </c>
      <c r="B667" s="36" t="e">
        <f>VLOOKUP(Tabela_Base_Financeiro[[#This Row],[Item code]],'COD.FAT'!B:C,2,0)</f>
        <v>#N/A</v>
      </c>
      <c r="C667" s="292">
        <f>Tabela_Base_Financeiro[[#This Row],[PO Ship TO]]</f>
        <v>0</v>
      </c>
      <c r="D667" s="36" t="str">
        <f>RIGHT(Tabela_Base_Financeiro[[#This Row],[Manufacturer]],2)</f>
        <v/>
      </c>
      <c r="E66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67" s="122" t="e">
        <f>VLOOKUP(Tabela_Base_Financeiro[[#This Row],[Project Code]],'COD. PROJETOS'!B:D,3,0)</f>
        <v>#N/A</v>
      </c>
      <c r="G667" s="36">
        <f>IFERROR(Tabela_Base_Financeiro[[#This Row],[PO No,]],0)</f>
        <v>0</v>
      </c>
      <c r="H667" s="36">
        <f>IFERROR(Tabela_Base_Financeiro[[#This Row],[Line No,]],0)</f>
        <v>0</v>
      </c>
      <c r="I667" s="36" t="str">
        <f>IFERROR(MID(Tabela_Base_Financeiro[[#This Row],[Manufacturer]],19,14),"")</f>
        <v/>
      </c>
      <c r="J667" s="113">
        <f>IFERROR(Tabela_Base_Financeiro[[#This Row],[Item code]],0)</f>
        <v>0</v>
      </c>
      <c r="K667" s="293">
        <f>IFERROR(Tabela_Base_Financeiro[[#This Row],[Unit Price]],0)</f>
        <v>0</v>
      </c>
      <c r="L667" s="36">
        <f>IFERROR(Tabela_Base_Financeiro[[#This Row],[AC Qty,]],0)</f>
        <v>0</v>
      </c>
      <c r="M667" s="60">
        <f>Tabela6[[#This Row],[Qty]]*Tabela6[[#This Row],[Preço]]</f>
        <v>0</v>
      </c>
      <c r="N667" s="37">
        <f>IFERROR(Tabela_Base_Financeiro[[#This Row],[Proportion]],0)</f>
        <v>0</v>
      </c>
      <c r="O667" s="60">
        <f>Tabela6[[#This Row],[Proporção]]*Tabela6[[#This Row],[Total]]</f>
        <v>0</v>
      </c>
      <c r="P667"/>
      <c r="Q667" s="59"/>
      <c r="R667" s="1"/>
    </row>
    <row r="668" spans="1:18">
      <c r="A668" s="122" t="e">
        <f>IF(VLOOKUP(Tabela6[[#This Row],[UF]],'BASE CC'!B:C,2,0)="SP",IF(Tabela6[[#This Row],[OPERADORA]]="TIM","SP TIM","SPI"),VLOOKUP(Tabela6[[#This Row],[UF]],'BASE CC'!B:C,2,0))</f>
        <v>#N/A</v>
      </c>
      <c r="B668" s="36" t="e">
        <f>VLOOKUP(Tabela_Base_Financeiro[[#This Row],[Item code]],'COD.FAT'!B:C,2,0)</f>
        <v>#N/A</v>
      </c>
      <c r="C668" s="292">
        <f>Tabela_Base_Financeiro[[#This Row],[PO Ship TO]]</f>
        <v>0</v>
      </c>
      <c r="D668" s="36" t="str">
        <f>RIGHT(Tabela_Base_Financeiro[[#This Row],[Manufacturer]],2)</f>
        <v/>
      </c>
      <c r="E66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68" s="122" t="e">
        <f>VLOOKUP(Tabela_Base_Financeiro[[#This Row],[Project Code]],'COD. PROJETOS'!B:D,3,0)</f>
        <v>#N/A</v>
      </c>
      <c r="G668" s="36">
        <f>IFERROR(Tabela_Base_Financeiro[[#This Row],[PO No,]],0)</f>
        <v>0</v>
      </c>
      <c r="H668" s="36">
        <f>IFERROR(Tabela_Base_Financeiro[[#This Row],[Line No,]],0)</f>
        <v>0</v>
      </c>
      <c r="I668" s="36" t="str">
        <f>IFERROR(MID(Tabela_Base_Financeiro[[#This Row],[Manufacturer]],19,14),"")</f>
        <v/>
      </c>
      <c r="J668" s="113">
        <f>IFERROR(Tabela_Base_Financeiro[[#This Row],[Item code]],0)</f>
        <v>0</v>
      </c>
      <c r="K668" s="293">
        <f>IFERROR(Tabela_Base_Financeiro[[#This Row],[Unit Price]],0)</f>
        <v>0</v>
      </c>
      <c r="L668" s="36">
        <f>IFERROR(Tabela_Base_Financeiro[[#This Row],[AC Qty,]],0)</f>
        <v>0</v>
      </c>
      <c r="M668" s="60">
        <f>Tabela6[[#This Row],[Qty]]*Tabela6[[#This Row],[Preço]]</f>
        <v>0</v>
      </c>
      <c r="N668" s="37">
        <f>IFERROR(Tabela_Base_Financeiro[[#This Row],[Proportion]],0)</f>
        <v>0</v>
      </c>
      <c r="O668" s="60">
        <f>Tabela6[[#This Row],[Proporção]]*Tabela6[[#This Row],[Total]]</f>
        <v>0</v>
      </c>
      <c r="P668"/>
      <c r="Q668" s="59"/>
      <c r="R668" s="1"/>
    </row>
    <row r="669" spans="1:18">
      <c r="A669" s="122" t="e">
        <f>IF(VLOOKUP(Tabela6[[#This Row],[UF]],'BASE CC'!B:C,2,0)="SP",IF(Tabela6[[#This Row],[OPERADORA]]="TIM","SP TIM","SPI"),VLOOKUP(Tabela6[[#This Row],[UF]],'BASE CC'!B:C,2,0))</f>
        <v>#N/A</v>
      </c>
      <c r="B669" s="36" t="e">
        <f>VLOOKUP(Tabela_Base_Financeiro[[#This Row],[Item code]],'COD.FAT'!B:C,2,0)</f>
        <v>#N/A</v>
      </c>
      <c r="C669" s="292">
        <f>Tabela_Base_Financeiro[[#This Row],[PO Ship TO]]</f>
        <v>0</v>
      </c>
      <c r="D669" s="36" t="str">
        <f>RIGHT(Tabela_Base_Financeiro[[#This Row],[Manufacturer]],2)</f>
        <v/>
      </c>
      <c r="E66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69" s="122" t="e">
        <f>VLOOKUP(Tabela_Base_Financeiro[[#This Row],[Project Code]],'COD. PROJETOS'!B:D,3,0)</f>
        <v>#N/A</v>
      </c>
      <c r="G669" s="36">
        <f>IFERROR(Tabela_Base_Financeiro[[#This Row],[PO No,]],0)</f>
        <v>0</v>
      </c>
      <c r="H669" s="36">
        <f>IFERROR(Tabela_Base_Financeiro[[#This Row],[Line No,]],0)</f>
        <v>0</v>
      </c>
      <c r="I669" s="36" t="str">
        <f>IFERROR(MID(Tabela_Base_Financeiro[[#This Row],[Manufacturer]],19,14),"")</f>
        <v/>
      </c>
      <c r="J669" s="113">
        <f>IFERROR(Tabela_Base_Financeiro[[#This Row],[Item code]],0)</f>
        <v>0</v>
      </c>
      <c r="K669" s="293">
        <f>IFERROR(Tabela_Base_Financeiro[[#This Row],[Unit Price]],0)</f>
        <v>0</v>
      </c>
      <c r="L669" s="36">
        <f>IFERROR(Tabela_Base_Financeiro[[#This Row],[AC Qty,]],0)</f>
        <v>0</v>
      </c>
      <c r="M669" s="60">
        <f>Tabela6[[#This Row],[Qty]]*Tabela6[[#This Row],[Preço]]</f>
        <v>0</v>
      </c>
      <c r="N669" s="37">
        <f>IFERROR(Tabela_Base_Financeiro[[#This Row],[Proportion]],0)</f>
        <v>0</v>
      </c>
      <c r="O669" s="60">
        <f>Tabela6[[#This Row],[Proporção]]*Tabela6[[#This Row],[Total]]</f>
        <v>0</v>
      </c>
      <c r="P669"/>
      <c r="Q669" s="59"/>
      <c r="R669" s="1"/>
    </row>
    <row r="670" spans="1:18">
      <c r="A670" s="122" t="e">
        <f>IF(VLOOKUP(Tabela6[[#This Row],[UF]],'BASE CC'!B:C,2,0)="SP",IF(Tabela6[[#This Row],[OPERADORA]]="TIM","SP TIM","SPI"),VLOOKUP(Tabela6[[#This Row],[UF]],'BASE CC'!B:C,2,0))</f>
        <v>#N/A</v>
      </c>
      <c r="B670" s="36" t="e">
        <f>VLOOKUP(Tabela_Base_Financeiro[[#This Row],[Item code]],'COD.FAT'!B:C,2,0)</f>
        <v>#N/A</v>
      </c>
      <c r="C670" s="292">
        <f>Tabela_Base_Financeiro[[#This Row],[PO Ship TO]]</f>
        <v>0</v>
      </c>
      <c r="D670" s="36" t="str">
        <f>RIGHT(Tabela_Base_Financeiro[[#This Row],[Manufacturer]],2)</f>
        <v/>
      </c>
      <c r="E67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70" s="122" t="e">
        <f>VLOOKUP(Tabela_Base_Financeiro[[#This Row],[Project Code]],'COD. PROJETOS'!B:D,3,0)</f>
        <v>#N/A</v>
      </c>
      <c r="G670" s="36">
        <f>IFERROR(Tabela_Base_Financeiro[[#This Row],[PO No,]],0)</f>
        <v>0</v>
      </c>
      <c r="H670" s="36">
        <f>IFERROR(Tabela_Base_Financeiro[[#This Row],[Line No,]],0)</f>
        <v>0</v>
      </c>
      <c r="I670" s="36" t="str">
        <f>IFERROR(MID(Tabela_Base_Financeiro[[#This Row],[Manufacturer]],19,14),"")</f>
        <v/>
      </c>
      <c r="J670" s="113">
        <f>IFERROR(Tabela_Base_Financeiro[[#This Row],[Item code]],0)</f>
        <v>0</v>
      </c>
      <c r="K670" s="293">
        <f>IFERROR(Tabela_Base_Financeiro[[#This Row],[Unit Price]],0)</f>
        <v>0</v>
      </c>
      <c r="L670" s="36">
        <f>IFERROR(Tabela_Base_Financeiro[[#This Row],[AC Qty,]],0)</f>
        <v>0</v>
      </c>
      <c r="M670" s="60">
        <f>Tabela6[[#This Row],[Qty]]*Tabela6[[#This Row],[Preço]]</f>
        <v>0</v>
      </c>
      <c r="N670" s="37">
        <f>IFERROR(Tabela_Base_Financeiro[[#This Row],[Proportion]],0)</f>
        <v>0</v>
      </c>
      <c r="O670" s="60">
        <f>Tabela6[[#This Row],[Proporção]]*Tabela6[[#This Row],[Total]]</f>
        <v>0</v>
      </c>
      <c r="P670"/>
      <c r="Q670" s="59"/>
      <c r="R670" s="1"/>
    </row>
    <row r="671" spans="1:18">
      <c r="A671" s="122" t="e">
        <f>IF(VLOOKUP(Tabela6[[#This Row],[UF]],'BASE CC'!B:C,2,0)="SP",IF(Tabela6[[#This Row],[OPERADORA]]="TIM","SP TIM","SPI"),VLOOKUP(Tabela6[[#This Row],[UF]],'BASE CC'!B:C,2,0))</f>
        <v>#N/A</v>
      </c>
      <c r="B671" s="36" t="e">
        <f>VLOOKUP(Tabela_Base_Financeiro[[#This Row],[Item code]],'COD.FAT'!B:C,2,0)</f>
        <v>#N/A</v>
      </c>
      <c r="C671" s="292">
        <f>Tabela_Base_Financeiro[[#This Row],[PO Ship TO]]</f>
        <v>0</v>
      </c>
      <c r="D671" s="36" t="str">
        <f>RIGHT(Tabela_Base_Financeiro[[#This Row],[Manufacturer]],2)</f>
        <v/>
      </c>
      <c r="E67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71" s="122" t="e">
        <f>VLOOKUP(Tabela_Base_Financeiro[[#This Row],[Project Code]],'COD. PROJETOS'!B:D,3,0)</f>
        <v>#N/A</v>
      </c>
      <c r="G671" s="36">
        <f>IFERROR(Tabela_Base_Financeiro[[#This Row],[PO No,]],0)</f>
        <v>0</v>
      </c>
      <c r="H671" s="36">
        <f>IFERROR(Tabela_Base_Financeiro[[#This Row],[Line No,]],0)</f>
        <v>0</v>
      </c>
      <c r="I671" s="36" t="str">
        <f>IFERROR(MID(Tabela_Base_Financeiro[[#This Row],[Manufacturer]],19,14),"")</f>
        <v/>
      </c>
      <c r="J671" s="113">
        <f>IFERROR(Tabela_Base_Financeiro[[#This Row],[Item code]],0)</f>
        <v>0</v>
      </c>
      <c r="K671" s="293">
        <f>IFERROR(Tabela_Base_Financeiro[[#This Row],[Unit Price]],0)</f>
        <v>0</v>
      </c>
      <c r="L671" s="36">
        <f>IFERROR(Tabela_Base_Financeiro[[#This Row],[AC Qty,]],0)</f>
        <v>0</v>
      </c>
      <c r="M671" s="60">
        <f>Tabela6[[#This Row],[Qty]]*Tabela6[[#This Row],[Preço]]</f>
        <v>0</v>
      </c>
      <c r="N671" s="37">
        <f>IFERROR(Tabela_Base_Financeiro[[#This Row],[Proportion]],0)</f>
        <v>0</v>
      </c>
      <c r="O671" s="60">
        <f>Tabela6[[#This Row],[Proporção]]*Tabela6[[#This Row],[Total]]</f>
        <v>0</v>
      </c>
      <c r="P671"/>
      <c r="Q671" s="59"/>
      <c r="R671" s="1"/>
    </row>
    <row r="672" spans="1:18">
      <c r="A672" s="122" t="e">
        <f>IF(VLOOKUP(Tabela6[[#This Row],[UF]],'BASE CC'!B:C,2,0)="SP",IF(Tabela6[[#This Row],[OPERADORA]]="TIM","SP TIM","SPI"),VLOOKUP(Tabela6[[#This Row],[UF]],'BASE CC'!B:C,2,0))</f>
        <v>#N/A</v>
      </c>
      <c r="B672" s="36" t="e">
        <f>VLOOKUP(Tabela_Base_Financeiro[[#This Row],[Item code]],'COD.FAT'!B:C,2,0)</f>
        <v>#N/A</v>
      </c>
      <c r="C672" s="292">
        <f>Tabela_Base_Financeiro[[#This Row],[PO Ship TO]]</f>
        <v>0</v>
      </c>
      <c r="D672" s="36" t="str">
        <f>RIGHT(Tabela_Base_Financeiro[[#This Row],[Manufacturer]],2)</f>
        <v/>
      </c>
      <c r="E67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72" s="122" t="e">
        <f>VLOOKUP(Tabela_Base_Financeiro[[#This Row],[Project Code]],'COD. PROJETOS'!B:D,3,0)</f>
        <v>#N/A</v>
      </c>
      <c r="G672" s="36">
        <f>IFERROR(Tabela_Base_Financeiro[[#This Row],[PO No,]],0)</f>
        <v>0</v>
      </c>
      <c r="H672" s="36">
        <f>IFERROR(Tabela_Base_Financeiro[[#This Row],[Line No,]],0)</f>
        <v>0</v>
      </c>
      <c r="I672" s="36" t="str">
        <f>IFERROR(MID(Tabela_Base_Financeiro[[#This Row],[Manufacturer]],19,14),"")</f>
        <v/>
      </c>
      <c r="J672" s="113">
        <f>IFERROR(Tabela_Base_Financeiro[[#This Row],[Item code]],0)</f>
        <v>0</v>
      </c>
      <c r="K672" s="293">
        <f>IFERROR(Tabela_Base_Financeiro[[#This Row],[Unit Price]],0)</f>
        <v>0</v>
      </c>
      <c r="L672" s="36">
        <f>IFERROR(Tabela_Base_Financeiro[[#This Row],[AC Qty,]],0)</f>
        <v>0</v>
      </c>
      <c r="M672" s="60">
        <f>Tabela6[[#This Row],[Qty]]*Tabela6[[#This Row],[Preço]]</f>
        <v>0</v>
      </c>
      <c r="N672" s="37">
        <f>IFERROR(Tabela_Base_Financeiro[[#This Row],[Proportion]],0)</f>
        <v>0</v>
      </c>
      <c r="O672" s="60">
        <f>Tabela6[[#This Row],[Proporção]]*Tabela6[[#This Row],[Total]]</f>
        <v>0</v>
      </c>
      <c r="P672"/>
      <c r="Q672" s="59"/>
      <c r="R672" s="1"/>
    </row>
    <row r="673" spans="1:18">
      <c r="A673" s="122" t="e">
        <f>IF(VLOOKUP(Tabela6[[#This Row],[UF]],'BASE CC'!B:C,2,0)="SP",IF(Tabela6[[#This Row],[OPERADORA]]="TIM","SP TIM","SPI"),VLOOKUP(Tabela6[[#This Row],[UF]],'BASE CC'!B:C,2,0))</f>
        <v>#N/A</v>
      </c>
      <c r="B673" s="36" t="e">
        <f>VLOOKUP(Tabela_Base_Financeiro[[#This Row],[Item code]],'COD.FAT'!B:C,2,0)</f>
        <v>#N/A</v>
      </c>
      <c r="C673" s="292">
        <f>Tabela_Base_Financeiro[[#This Row],[PO Ship TO]]</f>
        <v>0</v>
      </c>
      <c r="D673" s="36" t="str">
        <f>RIGHT(Tabela_Base_Financeiro[[#This Row],[Manufacturer]],2)</f>
        <v/>
      </c>
      <c r="E67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73" s="122" t="e">
        <f>VLOOKUP(Tabela_Base_Financeiro[[#This Row],[Project Code]],'COD. PROJETOS'!B:D,3,0)</f>
        <v>#N/A</v>
      </c>
      <c r="G673" s="36">
        <f>IFERROR(Tabela_Base_Financeiro[[#This Row],[PO No,]],0)</f>
        <v>0</v>
      </c>
      <c r="H673" s="36">
        <f>IFERROR(Tabela_Base_Financeiro[[#This Row],[Line No,]],0)</f>
        <v>0</v>
      </c>
      <c r="I673" s="36" t="str">
        <f>IFERROR(MID(Tabela_Base_Financeiro[[#This Row],[Manufacturer]],19,14),"")</f>
        <v/>
      </c>
      <c r="J673" s="113">
        <f>IFERROR(Tabela_Base_Financeiro[[#This Row],[Item code]],0)</f>
        <v>0</v>
      </c>
      <c r="K673" s="293">
        <f>IFERROR(Tabela_Base_Financeiro[[#This Row],[Unit Price]],0)</f>
        <v>0</v>
      </c>
      <c r="L673" s="36">
        <f>IFERROR(Tabela_Base_Financeiro[[#This Row],[AC Qty,]],0)</f>
        <v>0</v>
      </c>
      <c r="M673" s="60">
        <f>Tabela6[[#This Row],[Qty]]*Tabela6[[#This Row],[Preço]]</f>
        <v>0</v>
      </c>
      <c r="N673" s="37">
        <f>IFERROR(Tabela_Base_Financeiro[[#This Row],[Proportion]],0)</f>
        <v>0</v>
      </c>
      <c r="O673" s="60">
        <f>Tabela6[[#This Row],[Proporção]]*Tabela6[[#This Row],[Total]]</f>
        <v>0</v>
      </c>
      <c r="P673"/>
      <c r="Q673" s="59"/>
      <c r="R673" s="1"/>
    </row>
    <row r="674" spans="1:18">
      <c r="A674" s="122" t="e">
        <f>IF(VLOOKUP(Tabela6[[#This Row],[UF]],'BASE CC'!B:C,2,0)="SP",IF(Tabela6[[#This Row],[OPERADORA]]="TIM","SP TIM","SPI"),VLOOKUP(Tabela6[[#This Row],[UF]],'BASE CC'!B:C,2,0))</f>
        <v>#N/A</v>
      </c>
      <c r="B674" s="36" t="e">
        <f>VLOOKUP(Tabela_Base_Financeiro[[#This Row],[Item code]],'COD.FAT'!B:C,2,0)</f>
        <v>#N/A</v>
      </c>
      <c r="C674" s="292">
        <f>Tabela_Base_Financeiro[[#This Row],[PO Ship TO]]</f>
        <v>0</v>
      </c>
      <c r="D674" s="36" t="str">
        <f>RIGHT(Tabela_Base_Financeiro[[#This Row],[Manufacturer]],2)</f>
        <v/>
      </c>
      <c r="E67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74" s="122" t="e">
        <f>VLOOKUP(Tabela_Base_Financeiro[[#This Row],[Project Code]],'COD. PROJETOS'!B:D,3,0)</f>
        <v>#N/A</v>
      </c>
      <c r="G674" s="36">
        <f>IFERROR(Tabela_Base_Financeiro[[#This Row],[PO No,]],0)</f>
        <v>0</v>
      </c>
      <c r="H674" s="36">
        <f>IFERROR(Tabela_Base_Financeiro[[#This Row],[Line No,]],0)</f>
        <v>0</v>
      </c>
      <c r="I674" s="36" t="str">
        <f>IFERROR(MID(Tabela_Base_Financeiro[[#This Row],[Manufacturer]],19,14),"")</f>
        <v/>
      </c>
      <c r="J674" s="113">
        <f>IFERROR(Tabela_Base_Financeiro[[#This Row],[Item code]],0)</f>
        <v>0</v>
      </c>
      <c r="K674" s="293">
        <f>IFERROR(Tabela_Base_Financeiro[[#This Row],[Unit Price]],0)</f>
        <v>0</v>
      </c>
      <c r="L674" s="36">
        <f>IFERROR(Tabela_Base_Financeiro[[#This Row],[AC Qty,]],0)</f>
        <v>0</v>
      </c>
      <c r="M674" s="60">
        <f>Tabela6[[#This Row],[Qty]]*Tabela6[[#This Row],[Preço]]</f>
        <v>0</v>
      </c>
      <c r="N674" s="37">
        <f>IFERROR(Tabela_Base_Financeiro[[#This Row],[Proportion]],0)</f>
        <v>0</v>
      </c>
      <c r="O674" s="60">
        <f>Tabela6[[#This Row],[Proporção]]*Tabela6[[#This Row],[Total]]</f>
        <v>0</v>
      </c>
      <c r="P674"/>
      <c r="Q674" s="59"/>
      <c r="R674" s="1"/>
    </row>
    <row r="675" spans="1:18">
      <c r="A675" s="122" t="e">
        <f>IF(VLOOKUP(Tabela6[[#This Row],[UF]],'BASE CC'!B:C,2,0)="SP",IF(Tabela6[[#This Row],[OPERADORA]]="TIM","SP TIM","SPI"),VLOOKUP(Tabela6[[#This Row],[UF]],'BASE CC'!B:C,2,0))</f>
        <v>#N/A</v>
      </c>
      <c r="B675" s="36" t="e">
        <f>VLOOKUP(Tabela_Base_Financeiro[[#This Row],[Item code]],'COD.FAT'!B:C,2,0)</f>
        <v>#N/A</v>
      </c>
      <c r="C675" s="292">
        <f>Tabela_Base_Financeiro[[#This Row],[PO Ship TO]]</f>
        <v>0</v>
      </c>
      <c r="D675" s="36" t="str">
        <f>RIGHT(Tabela_Base_Financeiro[[#This Row],[Manufacturer]],2)</f>
        <v/>
      </c>
      <c r="E67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75" s="122" t="e">
        <f>VLOOKUP(Tabela_Base_Financeiro[[#This Row],[Project Code]],'COD. PROJETOS'!B:D,3,0)</f>
        <v>#N/A</v>
      </c>
      <c r="G675" s="36">
        <f>IFERROR(Tabela_Base_Financeiro[[#This Row],[PO No,]],0)</f>
        <v>0</v>
      </c>
      <c r="H675" s="36">
        <f>IFERROR(Tabela_Base_Financeiro[[#This Row],[Line No,]],0)</f>
        <v>0</v>
      </c>
      <c r="I675" s="36" t="str">
        <f>IFERROR(MID(Tabela_Base_Financeiro[[#This Row],[Manufacturer]],19,14),"")</f>
        <v/>
      </c>
      <c r="J675" s="113">
        <f>IFERROR(Tabela_Base_Financeiro[[#This Row],[Item code]],0)</f>
        <v>0</v>
      </c>
      <c r="K675" s="293">
        <f>IFERROR(Tabela_Base_Financeiro[[#This Row],[Unit Price]],0)</f>
        <v>0</v>
      </c>
      <c r="L675" s="36">
        <f>IFERROR(Tabela_Base_Financeiro[[#This Row],[AC Qty,]],0)</f>
        <v>0</v>
      </c>
      <c r="M675" s="60">
        <f>Tabela6[[#This Row],[Qty]]*Tabela6[[#This Row],[Preço]]</f>
        <v>0</v>
      </c>
      <c r="N675" s="37">
        <f>IFERROR(Tabela_Base_Financeiro[[#This Row],[Proportion]],0)</f>
        <v>0</v>
      </c>
      <c r="O675" s="60">
        <f>Tabela6[[#This Row],[Proporção]]*Tabela6[[#This Row],[Total]]</f>
        <v>0</v>
      </c>
      <c r="P675"/>
      <c r="Q675" s="59"/>
      <c r="R675" s="1"/>
    </row>
    <row r="676" spans="1:18">
      <c r="A676" s="122" t="e">
        <f>IF(VLOOKUP(Tabela6[[#This Row],[UF]],'BASE CC'!B:C,2,0)="SP",IF(Tabela6[[#This Row],[OPERADORA]]="TIM","SP TIM","SPI"),VLOOKUP(Tabela6[[#This Row],[UF]],'BASE CC'!B:C,2,0))</f>
        <v>#N/A</v>
      </c>
      <c r="B676" s="36" t="e">
        <f>VLOOKUP(Tabela_Base_Financeiro[[#This Row],[Item code]],'COD.FAT'!B:C,2,0)</f>
        <v>#N/A</v>
      </c>
      <c r="C676" s="292">
        <f>Tabela_Base_Financeiro[[#This Row],[PO Ship TO]]</f>
        <v>0</v>
      </c>
      <c r="D676" s="36" t="str">
        <f>RIGHT(Tabela_Base_Financeiro[[#This Row],[Manufacturer]],2)</f>
        <v/>
      </c>
      <c r="E67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76" s="122" t="e">
        <f>VLOOKUP(Tabela_Base_Financeiro[[#This Row],[Project Code]],'COD. PROJETOS'!B:D,3,0)</f>
        <v>#N/A</v>
      </c>
      <c r="G676" s="36">
        <f>IFERROR(Tabela_Base_Financeiro[[#This Row],[PO No,]],0)</f>
        <v>0</v>
      </c>
      <c r="H676" s="36">
        <f>IFERROR(Tabela_Base_Financeiro[[#This Row],[Line No,]],0)</f>
        <v>0</v>
      </c>
      <c r="I676" s="36" t="str">
        <f>IFERROR(MID(Tabela_Base_Financeiro[[#This Row],[Manufacturer]],19,14),"")</f>
        <v/>
      </c>
      <c r="J676" s="113">
        <f>IFERROR(Tabela_Base_Financeiro[[#This Row],[Item code]],0)</f>
        <v>0</v>
      </c>
      <c r="K676" s="293">
        <f>IFERROR(Tabela_Base_Financeiro[[#This Row],[Unit Price]],0)</f>
        <v>0</v>
      </c>
      <c r="L676" s="36">
        <f>IFERROR(Tabela_Base_Financeiro[[#This Row],[AC Qty,]],0)</f>
        <v>0</v>
      </c>
      <c r="M676" s="60">
        <f>Tabela6[[#This Row],[Qty]]*Tabela6[[#This Row],[Preço]]</f>
        <v>0</v>
      </c>
      <c r="N676" s="37">
        <f>IFERROR(Tabela_Base_Financeiro[[#This Row],[Proportion]],0)</f>
        <v>0</v>
      </c>
      <c r="O676" s="60">
        <f>Tabela6[[#This Row],[Proporção]]*Tabela6[[#This Row],[Total]]</f>
        <v>0</v>
      </c>
      <c r="P676"/>
      <c r="Q676" s="59"/>
      <c r="R676" s="1"/>
    </row>
    <row r="677" spans="1:18">
      <c r="A677" s="122" t="e">
        <f>IF(VLOOKUP(Tabela6[[#This Row],[UF]],'BASE CC'!B:C,2,0)="SP",IF(Tabela6[[#This Row],[OPERADORA]]="TIM","SP TIM","SPI"),VLOOKUP(Tabela6[[#This Row],[UF]],'BASE CC'!B:C,2,0))</f>
        <v>#N/A</v>
      </c>
      <c r="B677" s="36" t="e">
        <f>VLOOKUP(Tabela_Base_Financeiro[[#This Row],[Item code]],'COD.FAT'!B:C,2,0)</f>
        <v>#N/A</v>
      </c>
      <c r="C677" s="292">
        <f>Tabela_Base_Financeiro[[#This Row],[PO Ship TO]]</f>
        <v>0</v>
      </c>
      <c r="D677" s="36" t="str">
        <f>RIGHT(Tabela_Base_Financeiro[[#This Row],[Manufacturer]],2)</f>
        <v/>
      </c>
      <c r="E67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77" s="122" t="e">
        <f>VLOOKUP(Tabela_Base_Financeiro[[#This Row],[Project Code]],'COD. PROJETOS'!B:D,3,0)</f>
        <v>#N/A</v>
      </c>
      <c r="G677" s="36">
        <f>IFERROR(Tabela_Base_Financeiro[[#This Row],[PO No,]],0)</f>
        <v>0</v>
      </c>
      <c r="H677" s="36">
        <f>IFERROR(Tabela_Base_Financeiro[[#This Row],[Line No,]],0)</f>
        <v>0</v>
      </c>
      <c r="I677" s="36" t="str">
        <f>IFERROR(MID(Tabela_Base_Financeiro[[#This Row],[Manufacturer]],19,14),"")</f>
        <v/>
      </c>
      <c r="J677" s="113">
        <f>IFERROR(Tabela_Base_Financeiro[[#This Row],[Item code]],0)</f>
        <v>0</v>
      </c>
      <c r="K677" s="293">
        <f>IFERROR(Tabela_Base_Financeiro[[#This Row],[Unit Price]],0)</f>
        <v>0</v>
      </c>
      <c r="L677" s="36">
        <f>IFERROR(Tabela_Base_Financeiro[[#This Row],[AC Qty,]],0)</f>
        <v>0</v>
      </c>
      <c r="M677" s="60">
        <f>Tabela6[[#This Row],[Qty]]*Tabela6[[#This Row],[Preço]]</f>
        <v>0</v>
      </c>
      <c r="N677" s="37">
        <f>IFERROR(Tabela_Base_Financeiro[[#This Row],[Proportion]],0)</f>
        <v>0</v>
      </c>
      <c r="O677" s="60">
        <f>Tabela6[[#This Row],[Proporção]]*Tabela6[[#This Row],[Total]]</f>
        <v>0</v>
      </c>
      <c r="P677"/>
      <c r="Q677" s="59"/>
      <c r="R677" s="1"/>
    </row>
    <row r="678" spans="1:18">
      <c r="A678" s="122" t="e">
        <f>IF(VLOOKUP(Tabela6[[#This Row],[UF]],'BASE CC'!B:C,2,0)="SP",IF(Tabela6[[#This Row],[OPERADORA]]="TIM","SP TIM","SPI"),VLOOKUP(Tabela6[[#This Row],[UF]],'BASE CC'!B:C,2,0))</f>
        <v>#N/A</v>
      </c>
      <c r="B678" s="36" t="e">
        <f>VLOOKUP(Tabela_Base_Financeiro[[#This Row],[Item code]],'COD.FAT'!B:C,2,0)</f>
        <v>#N/A</v>
      </c>
      <c r="C678" s="292">
        <f>Tabela_Base_Financeiro[[#This Row],[PO Ship TO]]</f>
        <v>0</v>
      </c>
      <c r="D678" s="36" t="str">
        <f>RIGHT(Tabela_Base_Financeiro[[#This Row],[Manufacturer]],2)</f>
        <v/>
      </c>
      <c r="E67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78" s="122" t="e">
        <f>VLOOKUP(Tabela_Base_Financeiro[[#This Row],[Project Code]],'COD. PROJETOS'!B:D,3,0)</f>
        <v>#N/A</v>
      </c>
      <c r="G678" s="36">
        <f>IFERROR(Tabela_Base_Financeiro[[#This Row],[PO No,]],0)</f>
        <v>0</v>
      </c>
      <c r="H678" s="36">
        <f>IFERROR(Tabela_Base_Financeiro[[#This Row],[Line No,]],0)</f>
        <v>0</v>
      </c>
      <c r="I678" s="36" t="str">
        <f>IFERROR(MID(Tabela_Base_Financeiro[[#This Row],[Manufacturer]],19,14),"")</f>
        <v/>
      </c>
      <c r="J678" s="113">
        <f>IFERROR(Tabela_Base_Financeiro[[#This Row],[Item code]],0)</f>
        <v>0</v>
      </c>
      <c r="K678" s="293">
        <f>IFERROR(Tabela_Base_Financeiro[[#This Row],[Unit Price]],0)</f>
        <v>0</v>
      </c>
      <c r="L678" s="36">
        <f>IFERROR(Tabela_Base_Financeiro[[#This Row],[AC Qty,]],0)</f>
        <v>0</v>
      </c>
      <c r="M678" s="60">
        <f>Tabela6[[#This Row],[Qty]]*Tabela6[[#This Row],[Preço]]</f>
        <v>0</v>
      </c>
      <c r="N678" s="37">
        <f>IFERROR(Tabela_Base_Financeiro[[#This Row],[Proportion]],0)</f>
        <v>0</v>
      </c>
      <c r="O678" s="60">
        <f>Tabela6[[#This Row],[Proporção]]*Tabela6[[#This Row],[Total]]</f>
        <v>0</v>
      </c>
      <c r="P678"/>
      <c r="Q678" s="59"/>
      <c r="R678" s="1"/>
    </row>
    <row r="679" spans="1:18">
      <c r="A679" s="122" t="e">
        <f>IF(VLOOKUP(Tabela6[[#This Row],[UF]],'BASE CC'!B:C,2,0)="SP",IF(Tabela6[[#This Row],[OPERADORA]]="TIM","SP TIM","SPI"),VLOOKUP(Tabela6[[#This Row],[UF]],'BASE CC'!B:C,2,0))</f>
        <v>#N/A</v>
      </c>
      <c r="B679" s="36" t="e">
        <f>VLOOKUP(Tabela_Base_Financeiro[[#This Row],[Item code]],'COD.FAT'!B:C,2,0)</f>
        <v>#N/A</v>
      </c>
      <c r="C679" s="292">
        <f>Tabela_Base_Financeiro[[#This Row],[PO Ship TO]]</f>
        <v>0</v>
      </c>
      <c r="D679" s="36" t="str">
        <f>RIGHT(Tabela_Base_Financeiro[[#This Row],[Manufacturer]],2)</f>
        <v/>
      </c>
      <c r="E67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79" s="122" t="e">
        <f>VLOOKUP(Tabela_Base_Financeiro[[#This Row],[Project Code]],'COD. PROJETOS'!B:D,3,0)</f>
        <v>#N/A</v>
      </c>
      <c r="G679" s="36">
        <f>IFERROR(Tabela_Base_Financeiro[[#This Row],[PO No,]],0)</f>
        <v>0</v>
      </c>
      <c r="H679" s="36">
        <f>IFERROR(Tabela_Base_Financeiro[[#This Row],[Line No,]],0)</f>
        <v>0</v>
      </c>
      <c r="I679" s="36" t="str">
        <f>IFERROR(MID(Tabela_Base_Financeiro[[#This Row],[Manufacturer]],19,14),"")</f>
        <v/>
      </c>
      <c r="J679" s="113">
        <f>IFERROR(Tabela_Base_Financeiro[[#This Row],[Item code]],0)</f>
        <v>0</v>
      </c>
      <c r="K679" s="293">
        <f>IFERROR(Tabela_Base_Financeiro[[#This Row],[Unit Price]],0)</f>
        <v>0</v>
      </c>
      <c r="L679" s="36">
        <f>IFERROR(Tabela_Base_Financeiro[[#This Row],[AC Qty,]],0)</f>
        <v>0</v>
      </c>
      <c r="M679" s="60">
        <f>Tabela6[[#This Row],[Qty]]*Tabela6[[#This Row],[Preço]]</f>
        <v>0</v>
      </c>
      <c r="N679" s="37">
        <f>IFERROR(Tabela_Base_Financeiro[[#This Row],[Proportion]],0)</f>
        <v>0</v>
      </c>
      <c r="O679" s="60">
        <f>Tabela6[[#This Row],[Proporção]]*Tabela6[[#This Row],[Total]]</f>
        <v>0</v>
      </c>
      <c r="P679"/>
      <c r="Q679" s="59"/>
      <c r="R679" s="1"/>
    </row>
    <row r="680" spans="1:18">
      <c r="A680" s="122" t="e">
        <f>IF(VLOOKUP(Tabela6[[#This Row],[UF]],'BASE CC'!B:C,2,0)="SP",IF(Tabela6[[#This Row],[OPERADORA]]="TIM","SP TIM","SPI"),VLOOKUP(Tabela6[[#This Row],[UF]],'BASE CC'!B:C,2,0))</f>
        <v>#N/A</v>
      </c>
      <c r="B680" s="36" t="e">
        <f>VLOOKUP(Tabela_Base_Financeiro[[#This Row],[Item code]],'COD.FAT'!B:C,2,0)</f>
        <v>#N/A</v>
      </c>
      <c r="C680" s="292">
        <f>Tabela_Base_Financeiro[[#This Row],[PO Ship TO]]</f>
        <v>0</v>
      </c>
      <c r="D680" s="36" t="str">
        <f>RIGHT(Tabela_Base_Financeiro[[#This Row],[Manufacturer]],2)</f>
        <v/>
      </c>
      <c r="E68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80" s="122" t="e">
        <f>VLOOKUP(Tabela_Base_Financeiro[[#This Row],[Project Code]],'COD. PROJETOS'!B:D,3,0)</f>
        <v>#N/A</v>
      </c>
      <c r="G680" s="36">
        <f>IFERROR(Tabela_Base_Financeiro[[#This Row],[PO No,]],0)</f>
        <v>0</v>
      </c>
      <c r="H680" s="36">
        <f>IFERROR(Tabela_Base_Financeiro[[#This Row],[Line No,]],0)</f>
        <v>0</v>
      </c>
      <c r="I680" s="36" t="str">
        <f>IFERROR(MID(Tabela_Base_Financeiro[[#This Row],[Manufacturer]],19,14),"")</f>
        <v/>
      </c>
      <c r="J680" s="113">
        <f>IFERROR(Tabela_Base_Financeiro[[#This Row],[Item code]],0)</f>
        <v>0</v>
      </c>
      <c r="K680" s="293">
        <f>IFERROR(Tabela_Base_Financeiro[[#This Row],[Unit Price]],0)</f>
        <v>0</v>
      </c>
      <c r="L680" s="36">
        <f>IFERROR(Tabela_Base_Financeiro[[#This Row],[AC Qty,]],0)</f>
        <v>0</v>
      </c>
      <c r="M680" s="60">
        <f>Tabela6[[#This Row],[Qty]]*Tabela6[[#This Row],[Preço]]</f>
        <v>0</v>
      </c>
      <c r="N680" s="37">
        <f>IFERROR(Tabela_Base_Financeiro[[#This Row],[Proportion]],0)</f>
        <v>0</v>
      </c>
      <c r="O680" s="60">
        <f>Tabela6[[#This Row],[Proporção]]*Tabela6[[#This Row],[Total]]</f>
        <v>0</v>
      </c>
      <c r="P680"/>
      <c r="Q680" s="59"/>
      <c r="R680" s="1"/>
    </row>
    <row r="681" spans="1:18">
      <c r="A681" s="122" t="e">
        <f>IF(VLOOKUP(Tabela6[[#This Row],[UF]],'BASE CC'!B:C,2,0)="SP",IF(Tabela6[[#This Row],[OPERADORA]]="TIM","SP TIM","SPI"),VLOOKUP(Tabela6[[#This Row],[UF]],'BASE CC'!B:C,2,0))</f>
        <v>#N/A</v>
      </c>
      <c r="B681" s="36" t="e">
        <f>VLOOKUP(Tabela_Base_Financeiro[[#This Row],[Item code]],'COD.FAT'!B:C,2,0)</f>
        <v>#N/A</v>
      </c>
      <c r="C681" s="292">
        <f>Tabela_Base_Financeiro[[#This Row],[PO Ship TO]]</f>
        <v>0</v>
      </c>
      <c r="D681" s="36" t="str">
        <f>RIGHT(Tabela_Base_Financeiro[[#This Row],[Manufacturer]],2)</f>
        <v/>
      </c>
      <c r="E68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81" s="122" t="e">
        <f>VLOOKUP(Tabela_Base_Financeiro[[#This Row],[Project Code]],'COD. PROJETOS'!B:D,3,0)</f>
        <v>#N/A</v>
      </c>
      <c r="G681" s="36">
        <f>IFERROR(Tabela_Base_Financeiro[[#This Row],[PO No,]],0)</f>
        <v>0</v>
      </c>
      <c r="H681" s="36">
        <f>IFERROR(Tabela_Base_Financeiro[[#This Row],[Line No,]],0)</f>
        <v>0</v>
      </c>
      <c r="I681" s="36" t="str">
        <f>IFERROR(MID(Tabela_Base_Financeiro[[#This Row],[Manufacturer]],19,14),"")</f>
        <v/>
      </c>
      <c r="J681" s="113">
        <f>IFERROR(Tabela_Base_Financeiro[[#This Row],[Item code]],0)</f>
        <v>0</v>
      </c>
      <c r="K681" s="293">
        <f>IFERROR(Tabela_Base_Financeiro[[#This Row],[Unit Price]],0)</f>
        <v>0</v>
      </c>
      <c r="L681" s="36">
        <f>IFERROR(Tabela_Base_Financeiro[[#This Row],[AC Qty,]],0)</f>
        <v>0</v>
      </c>
      <c r="M681" s="60">
        <f>Tabela6[[#This Row],[Qty]]*Tabela6[[#This Row],[Preço]]</f>
        <v>0</v>
      </c>
      <c r="N681" s="37">
        <f>IFERROR(Tabela_Base_Financeiro[[#This Row],[Proportion]],0)</f>
        <v>0</v>
      </c>
      <c r="O681" s="60">
        <f>Tabela6[[#This Row],[Proporção]]*Tabela6[[#This Row],[Total]]</f>
        <v>0</v>
      </c>
      <c r="P681"/>
      <c r="Q681" s="59"/>
      <c r="R681" s="1"/>
    </row>
    <row r="682" spans="1:18">
      <c r="A682" s="122" t="e">
        <f>IF(VLOOKUP(Tabela6[[#This Row],[UF]],'BASE CC'!B:C,2,0)="SP",IF(Tabela6[[#This Row],[OPERADORA]]="TIM","SP TIM","SPI"),VLOOKUP(Tabela6[[#This Row],[UF]],'BASE CC'!B:C,2,0))</f>
        <v>#N/A</v>
      </c>
      <c r="B682" s="36" t="e">
        <f>VLOOKUP(Tabela_Base_Financeiro[[#This Row],[Item code]],'COD.FAT'!B:C,2,0)</f>
        <v>#N/A</v>
      </c>
      <c r="C682" s="292">
        <f>Tabela_Base_Financeiro[[#This Row],[PO Ship TO]]</f>
        <v>0</v>
      </c>
      <c r="D682" s="36" t="str">
        <f>RIGHT(Tabela_Base_Financeiro[[#This Row],[Manufacturer]],2)</f>
        <v/>
      </c>
      <c r="E68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82" s="122" t="e">
        <f>VLOOKUP(Tabela_Base_Financeiro[[#This Row],[Project Code]],'COD. PROJETOS'!B:D,3,0)</f>
        <v>#N/A</v>
      </c>
      <c r="G682" s="36">
        <f>IFERROR(Tabela_Base_Financeiro[[#This Row],[PO No,]],0)</f>
        <v>0</v>
      </c>
      <c r="H682" s="36">
        <f>IFERROR(Tabela_Base_Financeiro[[#This Row],[Line No,]],0)</f>
        <v>0</v>
      </c>
      <c r="I682" s="36" t="str">
        <f>IFERROR(MID(Tabela_Base_Financeiro[[#This Row],[Manufacturer]],19,14),"")</f>
        <v/>
      </c>
      <c r="J682" s="113">
        <f>IFERROR(Tabela_Base_Financeiro[[#This Row],[Item code]],0)</f>
        <v>0</v>
      </c>
      <c r="K682" s="293">
        <f>IFERROR(Tabela_Base_Financeiro[[#This Row],[Unit Price]],0)</f>
        <v>0</v>
      </c>
      <c r="L682" s="36">
        <f>IFERROR(Tabela_Base_Financeiro[[#This Row],[AC Qty,]],0)</f>
        <v>0</v>
      </c>
      <c r="M682" s="60">
        <f>Tabela6[[#This Row],[Qty]]*Tabela6[[#This Row],[Preço]]</f>
        <v>0</v>
      </c>
      <c r="N682" s="37">
        <f>IFERROR(Tabela_Base_Financeiro[[#This Row],[Proportion]],0)</f>
        <v>0</v>
      </c>
      <c r="O682" s="60">
        <f>Tabela6[[#This Row],[Proporção]]*Tabela6[[#This Row],[Total]]</f>
        <v>0</v>
      </c>
      <c r="P682"/>
      <c r="Q682" s="59"/>
      <c r="R682" s="1"/>
    </row>
    <row r="683" spans="1:18">
      <c r="A683" s="122" t="e">
        <f>IF(VLOOKUP(Tabela6[[#This Row],[UF]],'BASE CC'!B:C,2,0)="SP",IF(Tabela6[[#This Row],[OPERADORA]]="TIM","SP TIM","SPI"),VLOOKUP(Tabela6[[#This Row],[UF]],'BASE CC'!B:C,2,0))</f>
        <v>#N/A</v>
      </c>
      <c r="B683" s="36" t="e">
        <f>VLOOKUP(Tabela_Base_Financeiro[[#This Row],[Item code]],'COD.FAT'!B:C,2,0)</f>
        <v>#N/A</v>
      </c>
      <c r="C683" s="292">
        <f>Tabela_Base_Financeiro[[#This Row],[PO Ship TO]]</f>
        <v>0</v>
      </c>
      <c r="D683" s="36" t="str">
        <f>RIGHT(Tabela_Base_Financeiro[[#This Row],[Manufacturer]],2)</f>
        <v/>
      </c>
      <c r="E68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83" s="122" t="e">
        <f>VLOOKUP(Tabela_Base_Financeiro[[#This Row],[Project Code]],'COD. PROJETOS'!B:D,3,0)</f>
        <v>#N/A</v>
      </c>
      <c r="G683" s="36">
        <f>IFERROR(Tabela_Base_Financeiro[[#This Row],[PO No,]],0)</f>
        <v>0</v>
      </c>
      <c r="H683" s="36">
        <f>IFERROR(Tabela_Base_Financeiro[[#This Row],[Line No,]],0)</f>
        <v>0</v>
      </c>
      <c r="I683" s="36" t="str">
        <f>IFERROR(MID(Tabela_Base_Financeiro[[#This Row],[Manufacturer]],19,14),"")</f>
        <v/>
      </c>
      <c r="J683" s="113">
        <f>IFERROR(Tabela_Base_Financeiro[[#This Row],[Item code]],0)</f>
        <v>0</v>
      </c>
      <c r="K683" s="293">
        <f>IFERROR(Tabela_Base_Financeiro[[#This Row],[Unit Price]],0)</f>
        <v>0</v>
      </c>
      <c r="L683" s="36">
        <f>IFERROR(Tabela_Base_Financeiro[[#This Row],[AC Qty,]],0)</f>
        <v>0</v>
      </c>
      <c r="M683" s="60">
        <f>Tabela6[[#This Row],[Qty]]*Tabela6[[#This Row],[Preço]]</f>
        <v>0</v>
      </c>
      <c r="N683" s="37">
        <f>IFERROR(Tabela_Base_Financeiro[[#This Row],[Proportion]],0)</f>
        <v>0</v>
      </c>
      <c r="O683" s="60">
        <f>Tabela6[[#This Row],[Proporção]]*Tabela6[[#This Row],[Total]]</f>
        <v>0</v>
      </c>
      <c r="P683"/>
      <c r="Q683" s="59"/>
      <c r="R683" s="1"/>
    </row>
    <row r="684" spans="1:18">
      <c r="A684" s="122" t="e">
        <f>IF(VLOOKUP(Tabela6[[#This Row],[UF]],'BASE CC'!B:C,2,0)="SP",IF(Tabela6[[#This Row],[OPERADORA]]="TIM","SP TIM","SPI"),VLOOKUP(Tabela6[[#This Row],[UF]],'BASE CC'!B:C,2,0))</f>
        <v>#N/A</v>
      </c>
      <c r="B684" s="36" t="e">
        <f>VLOOKUP(Tabela_Base_Financeiro[[#This Row],[Item code]],'COD.FAT'!B:C,2,0)</f>
        <v>#N/A</v>
      </c>
      <c r="C684" s="292">
        <f>Tabela_Base_Financeiro[[#This Row],[PO Ship TO]]</f>
        <v>0</v>
      </c>
      <c r="D684" s="36" t="str">
        <f>RIGHT(Tabela_Base_Financeiro[[#This Row],[Manufacturer]],2)</f>
        <v/>
      </c>
      <c r="E68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84" s="122" t="e">
        <f>VLOOKUP(Tabela_Base_Financeiro[[#This Row],[Project Code]],'COD. PROJETOS'!B:D,3,0)</f>
        <v>#N/A</v>
      </c>
      <c r="G684" s="36">
        <f>IFERROR(Tabela_Base_Financeiro[[#This Row],[PO No,]],0)</f>
        <v>0</v>
      </c>
      <c r="H684" s="36">
        <f>IFERROR(Tabela_Base_Financeiro[[#This Row],[Line No,]],0)</f>
        <v>0</v>
      </c>
      <c r="I684" s="36" t="str">
        <f>IFERROR(MID(Tabela_Base_Financeiro[[#This Row],[Manufacturer]],19,14),"")</f>
        <v/>
      </c>
      <c r="J684" s="113">
        <f>IFERROR(Tabela_Base_Financeiro[[#This Row],[Item code]],0)</f>
        <v>0</v>
      </c>
      <c r="K684" s="293">
        <f>IFERROR(Tabela_Base_Financeiro[[#This Row],[Unit Price]],0)</f>
        <v>0</v>
      </c>
      <c r="L684" s="36">
        <f>IFERROR(Tabela_Base_Financeiro[[#This Row],[AC Qty,]],0)</f>
        <v>0</v>
      </c>
      <c r="M684" s="60">
        <f>Tabela6[[#This Row],[Qty]]*Tabela6[[#This Row],[Preço]]</f>
        <v>0</v>
      </c>
      <c r="N684" s="37">
        <f>IFERROR(Tabela_Base_Financeiro[[#This Row],[Proportion]],0)</f>
        <v>0</v>
      </c>
      <c r="O684" s="60">
        <f>Tabela6[[#This Row],[Proporção]]*Tabela6[[#This Row],[Total]]</f>
        <v>0</v>
      </c>
      <c r="P684"/>
      <c r="Q684" s="59"/>
      <c r="R684" s="1"/>
    </row>
    <row r="685" spans="1:18">
      <c r="A685" s="122" t="e">
        <f>IF(VLOOKUP(Tabela6[[#This Row],[UF]],'BASE CC'!B:C,2,0)="SP",IF(Tabela6[[#This Row],[OPERADORA]]="TIM","SP TIM","SPI"),VLOOKUP(Tabela6[[#This Row],[UF]],'BASE CC'!B:C,2,0))</f>
        <v>#N/A</v>
      </c>
      <c r="B685" s="36" t="e">
        <f>VLOOKUP(Tabela_Base_Financeiro[[#This Row],[Item code]],'COD.FAT'!B:C,2,0)</f>
        <v>#N/A</v>
      </c>
      <c r="C685" s="292">
        <f>Tabela_Base_Financeiro[[#This Row],[PO Ship TO]]</f>
        <v>0</v>
      </c>
      <c r="D685" s="36" t="str">
        <f>RIGHT(Tabela_Base_Financeiro[[#This Row],[Manufacturer]],2)</f>
        <v/>
      </c>
      <c r="E68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85" s="122" t="e">
        <f>VLOOKUP(Tabela_Base_Financeiro[[#This Row],[Project Code]],'COD. PROJETOS'!B:D,3,0)</f>
        <v>#N/A</v>
      </c>
      <c r="G685" s="36">
        <f>IFERROR(Tabela_Base_Financeiro[[#This Row],[PO No,]],0)</f>
        <v>0</v>
      </c>
      <c r="H685" s="36">
        <f>IFERROR(Tabela_Base_Financeiro[[#This Row],[Line No,]],0)</f>
        <v>0</v>
      </c>
      <c r="I685" s="36" t="str">
        <f>IFERROR(MID(Tabela_Base_Financeiro[[#This Row],[Manufacturer]],19,14),"")</f>
        <v/>
      </c>
      <c r="J685" s="113">
        <f>IFERROR(Tabela_Base_Financeiro[[#This Row],[Item code]],0)</f>
        <v>0</v>
      </c>
      <c r="K685" s="293">
        <f>IFERROR(Tabela_Base_Financeiro[[#This Row],[Unit Price]],0)</f>
        <v>0</v>
      </c>
      <c r="L685" s="36">
        <f>IFERROR(Tabela_Base_Financeiro[[#This Row],[AC Qty,]],0)</f>
        <v>0</v>
      </c>
      <c r="M685" s="60">
        <f>Tabela6[[#This Row],[Qty]]*Tabela6[[#This Row],[Preço]]</f>
        <v>0</v>
      </c>
      <c r="N685" s="37">
        <f>IFERROR(Tabela_Base_Financeiro[[#This Row],[Proportion]],0)</f>
        <v>0</v>
      </c>
      <c r="O685" s="60">
        <f>Tabela6[[#This Row],[Proporção]]*Tabela6[[#This Row],[Total]]</f>
        <v>0</v>
      </c>
      <c r="P685"/>
      <c r="Q685" s="59"/>
      <c r="R685" s="1"/>
    </row>
    <row r="686" spans="1:18">
      <c r="A686" s="122" t="e">
        <f>IF(VLOOKUP(Tabela6[[#This Row],[UF]],'BASE CC'!B:C,2,0)="SP",IF(Tabela6[[#This Row],[OPERADORA]]="TIM","SP TIM","SPI"),VLOOKUP(Tabela6[[#This Row],[UF]],'BASE CC'!B:C,2,0))</f>
        <v>#N/A</v>
      </c>
      <c r="B686" s="36" t="e">
        <f>VLOOKUP(Tabela_Base_Financeiro[[#This Row],[Item code]],'COD.FAT'!B:C,2,0)</f>
        <v>#N/A</v>
      </c>
      <c r="C686" s="292">
        <f>Tabela_Base_Financeiro[[#This Row],[PO Ship TO]]</f>
        <v>0</v>
      </c>
      <c r="D686" s="36" t="str">
        <f>RIGHT(Tabela_Base_Financeiro[[#This Row],[Manufacturer]],2)</f>
        <v/>
      </c>
      <c r="E68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86" s="122" t="e">
        <f>VLOOKUP(Tabela_Base_Financeiro[[#This Row],[Project Code]],'COD. PROJETOS'!B:D,3,0)</f>
        <v>#N/A</v>
      </c>
      <c r="G686" s="36">
        <f>IFERROR(Tabela_Base_Financeiro[[#This Row],[PO No,]],0)</f>
        <v>0</v>
      </c>
      <c r="H686" s="36">
        <f>IFERROR(Tabela_Base_Financeiro[[#This Row],[Line No,]],0)</f>
        <v>0</v>
      </c>
      <c r="I686" s="36" t="str">
        <f>IFERROR(MID(Tabela_Base_Financeiro[[#This Row],[Manufacturer]],19,14),"")</f>
        <v/>
      </c>
      <c r="J686" s="113">
        <f>IFERROR(Tabela_Base_Financeiro[[#This Row],[Item code]],0)</f>
        <v>0</v>
      </c>
      <c r="K686" s="293">
        <f>IFERROR(Tabela_Base_Financeiro[[#This Row],[Unit Price]],0)</f>
        <v>0</v>
      </c>
      <c r="L686" s="36">
        <f>IFERROR(Tabela_Base_Financeiro[[#This Row],[AC Qty,]],0)</f>
        <v>0</v>
      </c>
      <c r="M686" s="60">
        <f>Tabela6[[#This Row],[Qty]]*Tabela6[[#This Row],[Preço]]</f>
        <v>0</v>
      </c>
      <c r="N686" s="37">
        <f>IFERROR(Tabela_Base_Financeiro[[#This Row],[Proportion]],0)</f>
        <v>0</v>
      </c>
      <c r="O686" s="60">
        <f>Tabela6[[#This Row],[Proporção]]*Tabela6[[#This Row],[Total]]</f>
        <v>0</v>
      </c>
      <c r="P686"/>
      <c r="Q686" s="59"/>
      <c r="R686" s="1"/>
    </row>
    <row r="687" spans="1:18">
      <c r="A687" s="122" t="e">
        <f>IF(VLOOKUP(Tabela6[[#This Row],[UF]],'BASE CC'!B:C,2,0)="SP",IF(Tabela6[[#This Row],[OPERADORA]]="TIM","SP TIM","SPI"),VLOOKUP(Tabela6[[#This Row],[UF]],'BASE CC'!B:C,2,0))</f>
        <v>#N/A</v>
      </c>
      <c r="B687" s="36" t="e">
        <f>VLOOKUP(Tabela_Base_Financeiro[[#This Row],[Item code]],'COD.FAT'!B:C,2,0)</f>
        <v>#N/A</v>
      </c>
      <c r="C687" s="292">
        <f>Tabela_Base_Financeiro[[#This Row],[PO Ship TO]]</f>
        <v>0</v>
      </c>
      <c r="D687" s="36" t="str">
        <f>RIGHT(Tabela_Base_Financeiro[[#This Row],[Manufacturer]],2)</f>
        <v/>
      </c>
      <c r="E68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87" s="122" t="e">
        <f>VLOOKUP(Tabela_Base_Financeiro[[#This Row],[Project Code]],'COD. PROJETOS'!B:D,3,0)</f>
        <v>#N/A</v>
      </c>
      <c r="G687" s="36">
        <f>IFERROR(Tabela_Base_Financeiro[[#This Row],[PO No,]],0)</f>
        <v>0</v>
      </c>
      <c r="H687" s="36">
        <f>IFERROR(Tabela_Base_Financeiro[[#This Row],[Line No,]],0)</f>
        <v>0</v>
      </c>
      <c r="I687" s="36" t="str">
        <f>IFERROR(MID(Tabela_Base_Financeiro[[#This Row],[Manufacturer]],19,14),"")</f>
        <v/>
      </c>
      <c r="J687" s="113">
        <f>IFERROR(Tabela_Base_Financeiro[[#This Row],[Item code]],0)</f>
        <v>0</v>
      </c>
      <c r="K687" s="293">
        <f>IFERROR(Tabela_Base_Financeiro[[#This Row],[Unit Price]],0)</f>
        <v>0</v>
      </c>
      <c r="L687" s="36">
        <f>IFERROR(Tabela_Base_Financeiro[[#This Row],[AC Qty,]],0)</f>
        <v>0</v>
      </c>
      <c r="M687" s="60">
        <f>Tabela6[[#This Row],[Qty]]*Tabela6[[#This Row],[Preço]]</f>
        <v>0</v>
      </c>
      <c r="N687" s="37">
        <f>IFERROR(Tabela_Base_Financeiro[[#This Row],[Proportion]],0)</f>
        <v>0</v>
      </c>
      <c r="O687" s="60">
        <f>Tabela6[[#This Row],[Proporção]]*Tabela6[[#This Row],[Total]]</f>
        <v>0</v>
      </c>
      <c r="P687"/>
      <c r="Q687" s="59"/>
      <c r="R687" s="1"/>
    </row>
    <row r="688" spans="1:18">
      <c r="A688" s="122" t="e">
        <f>IF(VLOOKUP(Tabela6[[#This Row],[UF]],'BASE CC'!B:C,2,0)="SP",IF(Tabela6[[#This Row],[OPERADORA]]="TIM","SP TIM","SPI"),VLOOKUP(Tabela6[[#This Row],[UF]],'BASE CC'!B:C,2,0))</f>
        <v>#N/A</v>
      </c>
      <c r="B688" s="36" t="e">
        <f>VLOOKUP(Tabela_Base_Financeiro[[#This Row],[Item code]],'COD.FAT'!B:C,2,0)</f>
        <v>#N/A</v>
      </c>
      <c r="C688" s="292">
        <f>Tabela_Base_Financeiro[[#This Row],[PO Ship TO]]</f>
        <v>0</v>
      </c>
      <c r="D688" s="36" t="str">
        <f>RIGHT(Tabela_Base_Financeiro[[#This Row],[Manufacturer]],2)</f>
        <v/>
      </c>
      <c r="E68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88" s="122" t="e">
        <f>VLOOKUP(Tabela_Base_Financeiro[[#This Row],[Project Code]],'COD. PROJETOS'!B:D,3,0)</f>
        <v>#N/A</v>
      </c>
      <c r="G688" s="36">
        <f>IFERROR(Tabela_Base_Financeiro[[#This Row],[PO No,]],0)</f>
        <v>0</v>
      </c>
      <c r="H688" s="36">
        <f>IFERROR(Tabela_Base_Financeiro[[#This Row],[Line No,]],0)</f>
        <v>0</v>
      </c>
      <c r="I688" s="36" t="str">
        <f>IFERROR(MID(Tabela_Base_Financeiro[[#This Row],[Manufacturer]],19,14),"")</f>
        <v/>
      </c>
      <c r="J688" s="113">
        <f>IFERROR(Tabela_Base_Financeiro[[#This Row],[Item code]],0)</f>
        <v>0</v>
      </c>
      <c r="K688" s="293">
        <f>IFERROR(Tabela_Base_Financeiro[[#This Row],[Unit Price]],0)</f>
        <v>0</v>
      </c>
      <c r="L688" s="36">
        <f>IFERROR(Tabela_Base_Financeiro[[#This Row],[AC Qty,]],0)</f>
        <v>0</v>
      </c>
      <c r="M688" s="60">
        <f>Tabela6[[#This Row],[Qty]]*Tabela6[[#This Row],[Preço]]</f>
        <v>0</v>
      </c>
      <c r="N688" s="37">
        <f>IFERROR(Tabela_Base_Financeiro[[#This Row],[Proportion]],0)</f>
        <v>0</v>
      </c>
      <c r="O688" s="60">
        <f>Tabela6[[#This Row],[Proporção]]*Tabela6[[#This Row],[Total]]</f>
        <v>0</v>
      </c>
      <c r="P688"/>
      <c r="Q688" s="59"/>
      <c r="R688" s="1"/>
    </row>
    <row r="689" spans="1:18">
      <c r="A689" s="122" t="e">
        <f>IF(VLOOKUP(Tabela6[[#This Row],[UF]],'BASE CC'!B:C,2,0)="SP",IF(Tabela6[[#This Row],[OPERADORA]]="TIM","SP TIM","SPI"),VLOOKUP(Tabela6[[#This Row],[UF]],'BASE CC'!B:C,2,0))</f>
        <v>#N/A</v>
      </c>
      <c r="B689" s="36" t="e">
        <f>VLOOKUP(Tabela_Base_Financeiro[[#This Row],[Item code]],'COD.FAT'!B:C,2,0)</f>
        <v>#N/A</v>
      </c>
      <c r="C689" s="292">
        <f>Tabela_Base_Financeiro[[#This Row],[PO Ship TO]]</f>
        <v>0</v>
      </c>
      <c r="D689" s="36" t="str">
        <f>RIGHT(Tabela_Base_Financeiro[[#This Row],[Manufacturer]],2)</f>
        <v/>
      </c>
      <c r="E68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89" s="122" t="e">
        <f>VLOOKUP(Tabela_Base_Financeiro[[#This Row],[Project Code]],'COD. PROJETOS'!B:D,3,0)</f>
        <v>#N/A</v>
      </c>
      <c r="G689" s="36">
        <f>IFERROR(Tabela_Base_Financeiro[[#This Row],[PO No,]],0)</f>
        <v>0</v>
      </c>
      <c r="H689" s="36">
        <f>IFERROR(Tabela_Base_Financeiro[[#This Row],[Line No,]],0)</f>
        <v>0</v>
      </c>
      <c r="I689" s="36" t="str">
        <f>IFERROR(MID(Tabela_Base_Financeiro[[#This Row],[Manufacturer]],19,14),"")</f>
        <v/>
      </c>
      <c r="J689" s="113">
        <f>IFERROR(Tabela_Base_Financeiro[[#This Row],[Item code]],0)</f>
        <v>0</v>
      </c>
      <c r="K689" s="293">
        <f>IFERROR(Tabela_Base_Financeiro[[#This Row],[Unit Price]],0)</f>
        <v>0</v>
      </c>
      <c r="L689" s="36">
        <f>IFERROR(Tabela_Base_Financeiro[[#This Row],[AC Qty,]],0)</f>
        <v>0</v>
      </c>
      <c r="M689" s="60">
        <f>Tabela6[[#This Row],[Qty]]*Tabela6[[#This Row],[Preço]]</f>
        <v>0</v>
      </c>
      <c r="N689" s="37">
        <f>IFERROR(Tabela_Base_Financeiro[[#This Row],[Proportion]],0)</f>
        <v>0</v>
      </c>
      <c r="O689" s="60">
        <f>Tabela6[[#This Row],[Proporção]]*Tabela6[[#This Row],[Total]]</f>
        <v>0</v>
      </c>
      <c r="P689"/>
      <c r="Q689" s="59"/>
      <c r="R689" s="1"/>
    </row>
    <row r="690" spans="1:18">
      <c r="A690" s="122" t="e">
        <f>IF(VLOOKUP(Tabela6[[#This Row],[UF]],'BASE CC'!B:C,2,0)="SP",IF(Tabela6[[#This Row],[OPERADORA]]="TIM","SP TIM","SPI"),VLOOKUP(Tabela6[[#This Row],[UF]],'BASE CC'!B:C,2,0))</f>
        <v>#N/A</v>
      </c>
      <c r="B690" s="36" t="e">
        <f>VLOOKUP(Tabela_Base_Financeiro[[#This Row],[Item code]],'COD.FAT'!B:C,2,0)</f>
        <v>#N/A</v>
      </c>
      <c r="C690" s="292">
        <f>Tabela_Base_Financeiro[[#This Row],[PO Ship TO]]</f>
        <v>0</v>
      </c>
      <c r="D690" s="36" t="str">
        <f>RIGHT(Tabela_Base_Financeiro[[#This Row],[Manufacturer]],2)</f>
        <v/>
      </c>
      <c r="E69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90" s="122" t="e">
        <f>VLOOKUP(Tabela_Base_Financeiro[[#This Row],[Project Code]],'COD. PROJETOS'!B:D,3,0)</f>
        <v>#N/A</v>
      </c>
      <c r="G690" s="36">
        <f>IFERROR(Tabela_Base_Financeiro[[#This Row],[PO No,]],0)</f>
        <v>0</v>
      </c>
      <c r="H690" s="36">
        <f>IFERROR(Tabela_Base_Financeiro[[#This Row],[Line No,]],0)</f>
        <v>0</v>
      </c>
      <c r="I690" s="36" t="str">
        <f>IFERROR(MID(Tabela_Base_Financeiro[[#This Row],[Manufacturer]],19,14),"")</f>
        <v/>
      </c>
      <c r="J690" s="113">
        <f>IFERROR(Tabela_Base_Financeiro[[#This Row],[Item code]],0)</f>
        <v>0</v>
      </c>
      <c r="K690" s="293">
        <f>IFERROR(Tabela_Base_Financeiro[[#This Row],[Unit Price]],0)</f>
        <v>0</v>
      </c>
      <c r="L690" s="36">
        <f>IFERROR(Tabela_Base_Financeiro[[#This Row],[AC Qty,]],0)</f>
        <v>0</v>
      </c>
      <c r="M690" s="60">
        <f>Tabela6[[#This Row],[Qty]]*Tabela6[[#This Row],[Preço]]</f>
        <v>0</v>
      </c>
      <c r="N690" s="37">
        <f>IFERROR(Tabela_Base_Financeiro[[#This Row],[Proportion]],0)</f>
        <v>0</v>
      </c>
      <c r="O690" s="60">
        <f>Tabela6[[#This Row],[Proporção]]*Tabela6[[#This Row],[Total]]</f>
        <v>0</v>
      </c>
      <c r="P690"/>
      <c r="Q690" s="59"/>
      <c r="R690" s="1"/>
    </row>
    <row r="691" spans="1:18">
      <c r="A691" s="122" t="e">
        <f>IF(VLOOKUP(Tabela6[[#This Row],[UF]],'BASE CC'!B:C,2,0)="SP",IF(Tabela6[[#This Row],[OPERADORA]]="TIM","SP TIM","SPI"),VLOOKUP(Tabela6[[#This Row],[UF]],'BASE CC'!B:C,2,0))</f>
        <v>#N/A</v>
      </c>
      <c r="B691" s="36" t="e">
        <f>VLOOKUP(Tabela_Base_Financeiro[[#This Row],[Item code]],'COD.FAT'!B:C,2,0)</f>
        <v>#N/A</v>
      </c>
      <c r="C691" s="292">
        <f>Tabela_Base_Financeiro[[#This Row],[PO Ship TO]]</f>
        <v>0</v>
      </c>
      <c r="D691" s="36" t="str">
        <f>RIGHT(Tabela_Base_Financeiro[[#This Row],[Manufacturer]],2)</f>
        <v/>
      </c>
      <c r="E69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91" s="122" t="e">
        <f>VLOOKUP(Tabela_Base_Financeiro[[#This Row],[Project Code]],'COD. PROJETOS'!B:D,3,0)</f>
        <v>#N/A</v>
      </c>
      <c r="G691" s="36">
        <f>IFERROR(Tabela_Base_Financeiro[[#This Row],[PO No,]],0)</f>
        <v>0</v>
      </c>
      <c r="H691" s="36">
        <f>IFERROR(Tabela_Base_Financeiro[[#This Row],[Line No,]],0)</f>
        <v>0</v>
      </c>
      <c r="I691" s="36" t="str">
        <f>IFERROR(MID(Tabela_Base_Financeiro[[#This Row],[Manufacturer]],19,14),"")</f>
        <v/>
      </c>
      <c r="J691" s="113">
        <f>IFERROR(Tabela_Base_Financeiro[[#This Row],[Item code]],0)</f>
        <v>0</v>
      </c>
      <c r="K691" s="293">
        <f>IFERROR(Tabela_Base_Financeiro[[#This Row],[Unit Price]],0)</f>
        <v>0</v>
      </c>
      <c r="L691" s="36">
        <f>IFERROR(Tabela_Base_Financeiro[[#This Row],[AC Qty,]],0)</f>
        <v>0</v>
      </c>
      <c r="M691" s="60">
        <f>Tabela6[[#This Row],[Qty]]*Tabela6[[#This Row],[Preço]]</f>
        <v>0</v>
      </c>
      <c r="N691" s="37">
        <f>IFERROR(Tabela_Base_Financeiro[[#This Row],[Proportion]],0)</f>
        <v>0</v>
      </c>
      <c r="O691" s="60">
        <f>Tabela6[[#This Row],[Proporção]]*Tabela6[[#This Row],[Total]]</f>
        <v>0</v>
      </c>
      <c r="P691"/>
      <c r="Q691" s="59"/>
      <c r="R691" s="1"/>
    </row>
    <row r="692" spans="1:18">
      <c r="A692" s="122" t="e">
        <f>IF(VLOOKUP(Tabela6[[#This Row],[UF]],'BASE CC'!B:C,2,0)="SP",IF(Tabela6[[#This Row],[OPERADORA]]="TIM","SP TIM","SPI"),VLOOKUP(Tabela6[[#This Row],[UF]],'BASE CC'!B:C,2,0))</f>
        <v>#N/A</v>
      </c>
      <c r="B692" s="36" t="e">
        <f>VLOOKUP(Tabela_Base_Financeiro[[#This Row],[Item code]],'COD.FAT'!B:C,2,0)</f>
        <v>#N/A</v>
      </c>
      <c r="C692" s="292">
        <f>Tabela_Base_Financeiro[[#This Row],[PO Ship TO]]</f>
        <v>0</v>
      </c>
      <c r="D692" s="36" t="str">
        <f>RIGHT(Tabela_Base_Financeiro[[#This Row],[Manufacturer]],2)</f>
        <v/>
      </c>
      <c r="E69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92" s="122" t="e">
        <f>VLOOKUP(Tabela_Base_Financeiro[[#This Row],[Project Code]],'COD. PROJETOS'!B:D,3,0)</f>
        <v>#N/A</v>
      </c>
      <c r="G692" s="36">
        <f>IFERROR(Tabela_Base_Financeiro[[#This Row],[PO No,]],0)</f>
        <v>0</v>
      </c>
      <c r="H692" s="36">
        <f>IFERROR(Tabela_Base_Financeiro[[#This Row],[Line No,]],0)</f>
        <v>0</v>
      </c>
      <c r="I692" s="36" t="str">
        <f>IFERROR(MID(Tabela_Base_Financeiro[[#This Row],[Manufacturer]],19,14),"")</f>
        <v/>
      </c>
      <c r="J692" s="113">
        <f>IFERROR(Tabela_Base_Financeiro[[#This Row],[Item code]],0)</f>
        <v>0</v>
      </c>
      <c r="K692" s="293">
        <f>IFERROR(Tabela_Base_Financeiro[[#This Row],[Unit Price]],0)</f>
        <v>0</v>
      </c>
      <c r="L692" s="36">
        <f>IFERROR(Tabela_Base_Financeiro[[#This Row],[AC Qty,]],0)</f>
        <v>0</v>
      </c>
      <c r="M692" s="60">
        <f>Tabela6[[#This Row],[Qty]]*Tabela6[[#This Row],[Preço]]</f>
        <v>0</v>
      </c>
      <c r="N692" s="37">
        <f>IFERROR(Tabela_Base_Financeiro[[#This Row],[Proportion]],0)</f>
        <v>0</v>
      </c>
      <c r="O692" s="60">
        <f>Tabela6[[#This Row],[Proporção]]*Tabela6[[#This Row],[Total]]</f>
        <v>0</v>
      </c>
      <c r="P692"/>
      <c r="Q692" s="59"/>
      <c r="R692" s="1"/>
    </row>
    <row r="693" spans="1:18">
      <c r="A693" s="122" t="e">
        <f>IF(VLOOKUP(Tabela6[[#This Row],[UF]],'BASE CC'!B:C,2,0)="SP",IF(Tabela6[[#This Row],[OPERADORA]]="TIM","SP TIM","SPI"),VLOOKUP(Tabela6[[#This Row],[UF]],'BASE CC'!B:C,2,0))</f>
        <v>#N/A</v>
      </c>
      <c r="B693" s="36" t="e">
        <f>VLOOKUP(Tabela_Base_Financeiro[[#This Row],[Item code]],'COD.FAT'!B:C,2,0)</f>
        <v>#N/A</v>
      </c>
      <c r="C693" s="292">
        <f>Tabela_Base_Financeiro[[#This Row],[PO Ship TO]]</f>
        <v>0</v>
      </c>
      <c r="D693" s="36" t="str">
        <f>RIGHT(Tabela_Base_Financeiro[[#This Row],[Manufacturer]],2)</f>
        <v/>
      </c>
      <c r="E69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93" s="122" t="e">
        <f>VLOOKUP(Tabela_Base_Financeiro[[#This Row],[Project Code]],'COD. PROJETOS'!B:D,3,0)</f>
        <v>#N/A</v>
      </c>
      <c r="G693" s="36">
        <f>IFERROR(Tabela_Base_Financeiro[[#This Row],[PO No,]],0)</f>
        <v>0</v>
      </c>
      <c r="H693" s="36">
        <f>IFERROR(Tabela_Base_Financeiro[[#This Row],[Line No,]],0)</f>
        <v>0</v>
      </c>
      <c r="I693" s="36" t="str">
        <f>IFERROR(MID(Tabela_Base_Financeiro[[#This Row],[Manufacturer]],19,14),"")</f>
        <v/>
      </c>
      <c r="J693" s="113">
        <f>IFERROR(Tabela_Base_Financeiro[[#This Row],[Item code]],0)</f>
        <v>0</v>
      </c>
      <c r="K693" s="293">
        <f>IFERROR(Tabela_Base_Financeiro[[#This Row],[Unit Price]],0)</f>
        <v>0</v>
      </c>
      <c r="L693" s="36">
        <f>IFERROR(Tabela_Base_Financeiro[[#This Row],[AC Qty,]],0)</f>
        <v>0</v>
      </c>
      <c r="M693" s="60">
        <f>Tabela6[[#This Row],[Qty]]*Tabela6[[#This Row],[Preço]]</f>
        <v>0</v>
      </c>
      <c r="N693" s="37">
        <f>IFERROR(Tabela_Base_Financeiro[[#This Row],[Proportion]],0)</f>
        <v>0</v>
      </c>
      <c r="O693" s="60">
        <f>Tabela6[[#This Row],[Proporção]]*Tabela6[[#This Row],[Total]]</f>
        <v>0</v>
      </c>
      <c r="P693"/>
      <c r="Q693" s="59"/>
      <c r="R693" s="1"/>
    </row>
    <row r="694" spans="1:18">
      <c r="A694" s="122" t="e">
        <f>IF(VLOOKUP(Tabela6[[#This Row],[UF]],'BASE CC'!B:C,2,0)="SP",IF(Tabela6[[#This Row],[OPERADORA]]="TIM","SP TIM","SPI"),VLOOKUP(Tabela6[[#This Row],[UF]],'BASE CC'!B:C,2,0))</f>
        <v>#N/A</v>
      </c>
      <c r="B694" s="36" t="e">
        <f>VLOOKUP(Tabela_Base_Financeiro[[#This Row],[Item code]],'COD.FAT'!B:C,2,0)</f>
        <v>#N/A</v>
      </c>
      <c r="C694" s="292">
        <f>Tabela_Base_Financeiro[[#This Row],[PO Ship TO]]</f>
        <v>0</v>
      </c>
      <c r="D694" s="36" t="str">
        <f>RIGHT(Tabela_Base_Financeiro[[#This Row],[Manufacturer]],2)</f>
        <v/>
      </c>
      <c r="E69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94" s="122" t="e">
        <f>VLOOKUP(Tabela_Base_Financeiro[[#This Row],[Project Code]],'COD. PROJETOS'!B:D,3,0)</f>
        <v>#N/A</v>
      </c>
      <c r="G694" s="36">
        <f>IFERROR(Tabela_Base_Financeiro[[#This Row],[PO No,]],0)</f>
        <v>0</v>
      </c>
      <c r="H694" s="36">
        <f>IFERROR(Tabela_Base_Financeiro[[#This Row],[Line No,]],0)</f>
        <v>0</v>
      </c>
      <c r="I694" s="36" t="str">
        <f>IFERROR(MID(Tabela_Base_Financeiro[[#This Row],[Manufacturer]],19,14),"")</f>
        <v/>
      </c>
      <c r="J694" s="113">
        <f>IFERROR(Tabela_Base_Financeiro[[#This Row],[Item code]],0)</f>
        <v>0</v>
      </c>
      <c r="K694" s="293">
        <f>IFERROR(Tabela_Base_Financeiro[[#This Row],[Unit Price]],0)</f>
        <v>0</v>
      </c>
      <c r="L694" s="36">
        <f>IFERROR(Tabela_Base_Financeiro[[#This Row],[AC Qty,]],0)</f>
        <v>0</v>
      </c>
      <c r="M694" s="60">
        <f>Tabela6[[#This Row],[Qty]]*Tabela6[[#This Row],[Preço]]</f>
        <v>0</v>
      </c>
      <c r="N694" s="37">
        <f>IFERROR(Tabela_Base_Financeiro[[#This Row],[Proportion]],0)</f>
        <v>0</v>
      </c>
      <c r="O694" s="60">
        <f>Tabela6[[#This Row],[Proporção]]*Tabela6[[#This Row],[Total]]</f>
        <v>0</v>
      </c>
      <c r="P694"/>
      <c r="Q694" s="59"/>
      <c r="R694" s="1"/>
    </row>
    <row r="695" spans="1:18">
      <c r="A695" s="122" t="e">
        <f>IF(VLOOKUP(Tabela6[[#This Row],[UF]],'BASE CC'!B:C,2,0)="SP",IF(Tabela6[[#This Row],[OPERADORA]]="TIM","SP TIM","SPI"),VLOOKUP(Tabela6[[#This Row],[UF]],'BASE CC'!B:C,2,0))</f>
        <v>#N/A</v>
      </c>
      <c r="B695" s="36" t="e">
        <f>VLOOKUP(Tabela_Base_Financeiro[[#This Row],[Item code]],'COD.FAT'!B:C,2,0)</f>
        <v>#N/A</v>
      </c>
      <c r="C695" s="292">
        <f>Tabela_Base_Financeiro[[#This Row],[PO Ship TO]]</f>
        <v>0</v>
      </c>
      <c r="D695" s="36" t="str">
        <f>RIGHT(Tabela_Base_Financeiro[[#This Row],[Manufacturer]],2)</f>
        <v/>
      </c>
      <c r="E69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95" s="122" t="e">
        <f>VLOOKUP(Tabela_Base_Financeiro[[#This Row],[Project Code]],'COD. PROJETOS'!B:D,3,0)</f>
        <v>#N/A</v>
      </c>
      <c r="G695" s="36">
        <f>IFERROR(Tabela_Base_Financeiro[[#This Row],[PO No,]],0)</f>
        <v>0</v>
      </c>
      <c r="H695" s="36">
        <f>IFERROR(Tabela_Base_Financeiro[[#This Row],[Line No,]],0)</f>
        <v>0</v>
      </c>
      <c r="I695" s="36" t="str">
        <f>IFERROR(MID(Tabela_Base_Financeiro[[#This Row],[Manufacturer]],19,14),"")</f>
        <v/>
      </c>
      <c r="J695" s="113">
        <f>IFERROR(Tabela_Base_Financeiro[[#This Row],[Item code]],0)</f>
        <v>0</v>
      </c>
      <c r="K695" s="293">
        <f>IFERROR(Tabela_Base_Financeiro[[#This Row],[Unit Price]],0)</f>
        <v>0</v>
      </c>
      <c r="L695" s="36">
        <f>IFERROR(Tabela_Base_Financeiro[[#This Row],[AC Qty,]],0)</f>
        <v>0</v>
      </c>
      <c r="M695" s="60">
        <f>Tabela6[[#This Row],[Qty]]*Tabela6[[#This Row],[Preço]]</f>
        <v>0</v>
      </c>
      <c r="N695" s="37">
        <f>IFERROR(Tabela_Base_Financeiro[[#This Row],[Proportion]],0)</f>
        <v>0</v>
      </c>
      <c r="O695" s="60">
        <f>Tabela6[[#This Row],[Proporção]]*Tabela6[[#This Row],[Total]]</f>
        <v>0</v>
      </c>
      <c r="P695"/>
      <c r="Q695" s="59"/>
      <c r="R695" s="1"/>
    </row>
    <row r="696" spans="1:18">
      <c r="A696" s="122" t="e">
        <f>IF(VLOOKUP(Tabela6[[#This Row],[UF]],'BASE CC'!B:C,2,0)="SP",IF(Tabela6[[#This Row],[OPERADORA]]="TIM","SP TIM","SPI"),VLOOKUP(Tabela6[[#This Row],[UF]],'BASE CC'!B:C,2,0))</f>
        <v>#N/A</v>
      </c>
      <c r="B696" s="36" t="e">
        <f>VLOOKUP(Tabela_Base_Financeiro[[#This Row],[Item code]],'COD.FAT'!B:C,2,0)</f>
        <v>#N/A</v>
      </c>
      <c r="C696" s="292">
        <f>Tabela_Base_Financeiro[[#This Row],[PO Ship TO]]</f>
        <v>0</v>
      </c>
      <c r="D696" s="36" t="str">
        <f>RIGHT(Tabela_Base_Financeiro[[#This Row],[Manufacturer]],2)</f>
        <v/>
      </c>
      <c r="E69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96" s="122" t="e">
        <f>VLOOKUP(Tabela_Base_Financeiro[[#This Row],[Project Code]],'COD. PROJETOS'!B:D,3,0)</f>
        <v>#N/A</v>
      </c>
      <c r="G696" s="36">
        <f>IFERROR(Tabela_Base_Financeiro[[#This Row],[PO No,]],0)</f>
        <v>0</v>
      </c>
      <c r="H696" s="36">
        <f>IFERROR(Tabela_Base_Financeiro[[#This Row],[Line No,]],0)</f>
        <v>0</v>
      </c>
      <c r="I696" s="36" t="str">
        <f>IFERROR(MID(Tabela_Base_Financeiro[[#This Row],[Manufacturer]],19,14),"")</f>
        <v/>
      </c>
      <c r="J696" s="113">
        <f>IFERROR(Tabela_Base_Financeiro[[#This Row],[Item code]],0)</f>
        <v>0</v>
      </c>
      <c r="K696" s="293">
        <f>IFERROR(Tabela_Base_Financeiro[[#This Row],[Unit Price]],0)</f>
        <v>0</v>
      </c>
      <c r="L696" s="36">
        <f>IFERROR(Tabela_Base_Financeiro[[#This Row],[AC Qty,]],0)</f>
        <v>0</v>
      </c>
      <c r="M696" s="60">
        <f>Tabela6[[#This Row],[Qty]]*Tabela6[[#This Row],[Preço]]</f>
        <v>0</v>
      </c>
      <c r="N696" s="37">
        <f>IFERROR(Tabela_Base_Financeiro[[#This Row],[Proportion]],0)</f>
        <v>0</v>
      </c>
      <c r="O696" s="60">
        <f>Tabela6[[#This Row],[Proporção]]*Tabela6[[#This Row],[Total]]</f>
        <v>0</v>
      </c>
      <c r="P696"/>
      <c r="Q696" s="59"/>
      <c r="R696" s="1"/>
    </row>
    <row r="697" spans="1:18">
      <c r="A697" s="122" t="e">
        <f>IF(VLOOKUP(Tabela6[[#This Row],[UF]],'BASE CC'!B:C,2,0)="SP",IF(Tabela6[[#This Row],[OPERADORA]]="TIM","SP TIM","SPI"),VLOOKUP(Tabela6[[#This Row],[UF]],'BASE CC'!B:C,2,0))</f>
        <v>#N/A</v>
      </c>
      <c r="B697" s="36" t="e">
        <f>VLOOKUP(Tabela_Base_Financeiro[[#This Row],[Item code]],'COD.FAT'!B:C,2,0)</f>
        <v>#N/A</v>
      </c>
      <c r="C697" s="292">
        <f>Tabela_Base_Financeiro[[#This Row],[PO Ship TO]]</f>
        <v>0</v>
      </c>
      <c r="D697" s="36" t="str">
        <f>RIGHT(Tabela_Base_Financeiro[[#This Row],[Manufacturer]],2)</f>
        <v/>
      </c>
      <c r="E69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97" s="122" t="e">
        <f>VLOOKUP(Tabela_Base_Financeiro[[#This Row],[Project Code]],'COD. PROJETOS'!B:D,3,0)</f>
        <v>#N/A</v>
      </c>
      <c r="G697" s="36">
        <f>IFERROR(Tabela_Base_Financeiro[[#This Row],[PO No,]],0)</f>
        <v>0</v>
      </c>
      <c r="H697" s="36">
        <f>IFERROR(Tabela_Base_Financeiro[[#This Row],[Line No,]],0)</f>
        <v>0</v>
      </c>
      <c r="I697" s="36" t="str">
        <f>IFERROR(MID(Tabela_Base_Financeiro[[#This Row],[Manufacturer]],19,14),"")</f>
        <v/>
      </c>
      <c r="J697" s="113">
        <f>IFERROR(Tabela_Base_Financeiro[[#This Row],[Item code]],0)</f>
        <v>0</v>
      </c>
      <c r="K697" s="293">
        <f>IFERROR(Tabela_Base_Financeiro[[#This Row],[Unit Price]],0)</f>
        <v>0</v>
      </c>
      <c r="L697" s="36">
        <f>IFERROR(Tabela_Base_Financeiro[[#This Row],[AC Qty,]],0)</f>
        <v>0</v>
      </c>
      <c r="M697" s="60">
        <f>Tabela6[[#This Row],[Qty]]*Tabela6[[#This Row],[Preço]]</f>
        <v>0</v>
      </c>
      <c r="N697" s="37">
        <f>IFERROR(Tabela_Base_Financeiro[[#This Row],[Proportion]],0)</f>
        <v>0</v>
      </c>
      <c r="O697" s="60">
        <f>Tabela6[[#This Row],[Proporção]]*Tabela6[[#This Row],[Total]]</f>
        <v>0</v>
      </c>
      <c r="P697"/>
      <c r="Q697" s="59"/>
      <c r="R697" s="1"/>
    </row>
    <row r="698" spans="1:18">
      <c r="A698" s="122" t="e">
        <f>IF(VLOOKUP(Tabela6[[#This Row],[UF]],'BASE CC'!B:C,2,0)="SP",IF(Tabela6[[#This Row],[OPERADORA]]="TIM","SP TIM","SPI"),VLOOKUP(Tabela6[[#This Row],[UF]],'BASE CC'!B:C,2,0))</f>
        <v>#N/A</v>
      </c>
      <c r="B698" s="36" t="e">
        <f>VLOOKUP(Tabela_Base_Financeiro[[#This Row],[Item code]],'COD.FAT'!B:C,2,0)</f>
        <v>#N/A</v>
      </c>
      <c r="C698" s="292">
        <f>Tabela_Base_Financeiro[[#This Row],[PO Ship TO]]</f>
        <v>0</v>
      </c>
      <c r="D698" s="36" t="str">
        <f>RIGHT(Tabela_Base_Financeiro[[#This Row],[Manufacturer]],2)</f>
        <v/>
      </c>
      <c r="E69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98" s="122" t="e">
        <f>VLOOKUP(Tabela_Base_Financeiro[[#This Row],[Project Code]],'COD. PROJETOS'!B:D,3,0)</f>
        <v>#N/A</v>
      </c>
      <c r="G698" s="36">
        <f>IFERROR(Tabela_Base_Financeiro[[#This Row],[PO No,]],0)</f>
        <v>0</v>
      </c>
      <c r="H698" s="36">
        <f>IFERROR(Tabela_Base_Financeiro[[#This Row],[Line No,]],0)</f>
        <v>0</v>
      </c>
      <c r="I698" s="36" t="str">
        <f>IFERROR(MID(Tabela_Base_Financeiro[[#This Row],[Manufacturer]],19,14),"")</f>
        <v/>
      </c>
      <c r="J698" s="113">
        <f>IFERROR(Tabela_Base_Financeiro[[#This Row],[Item code]],0)</f>
        <v>0</v>
      </c>
      <c r="K698" s="293">
        <f>IFERROR(Tabela_Base_Financeiro[[#This Row],[Unit Price]],0)</f>
        <v>0</v>
      </c>
      <c r="L698" s="36">
        <f>IFERROR(Tabela_Base_Financeiro[[#This Row],[AC Qty,]],0)</f>
        <v>0</v>
      </c>
      <c r="M698" s="60">
        <f>Tabela6[[#This Row],[Qty]]*Tabela6[[#This Row],[Preço]]</f>
        <v>0</v>
      </c>
      <c r="N698" s="37">
        <f>IFERROR(Tabela_Base_Financeiro[[#This Row],[Proportion]],0)</f>
        <v>0</v>
      </c>
      <c r="O698" s="60">
        <f>Tabela6[[#This Row],[Proporção]]*Tabela6[[#This Row],[Total]]</f>
        <v>0</v>
      </c>
      <c r="P698"/>
      <c r="Q698" s="59"/>
      <c r="R698" s="1"/>
    </row>
    <row r="699" spans="1:18">
      <c r="A699" s="122" t="e">
        <f>IF(VLOOKUP(Tabela6[[#This Row],[UF]],'BASE CC'!B:C,2,0)="SP",IF(Tabela6[[#This Row],[OPERADORA]]="TIM","SP TIM","SPI"),VLOOKUP(Tabela6[[#This Row],[UF]],'BASE CC'!B:C,2,0))</f>
        <v>#N/A</v>
      </c>
      <c r="B699" s="36" t="e">
        <f>VLOOKUP(Tabela_Base_Financeiro[[#This Row],[Item code]],'COD.FAT'!B:C,2,0)</f>
        <v>#N/A</v>
      </c>
      <c r="C699" s="292">
        <f>Tabela_Base_Financeiro[[#This Row],[PO Ship TO]]</f>
        <v>0</v>
      </c>
      <c r="D699" s="36" t="str">
        <f>RIGHT(Tabela_Base_Financeiro[[#This Row],[Manufacturer]],2)</f>
        <v/>
      </c>
      <c r="E69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699" s="122" t="e">
        <f>VLOOKUP(Tabela_Base_Financeiro[[#This Row],[Project Code]],'COD. PROJETOS'!B:D,3,0)</f>
        <v>#N/A</v>
      </c>
      <c r="G699" s="36">
        <f>IFERROR(Tabela_Base_Financeiro[[#This Row],[PO No,]],0)</f>
        <v>0</v>
      </c>
      <c r="H699" s="36">
        <f>IFERROR(Tabela_Base_Financeiro[[#This Row],[Line No,]],0)</f>
        <v>0</v>
      </c>
      <c r="I699" s="36" t="str">
        <f>IFERROR(MID(Tabela_Base_Financeiro[[#This Row],[Manufacturer]],19,14),"")</f>
        <v/>
      </c>
      <c r="J699" s="113">
        <f>IFERROR(Tabela_Base_Financeiro[[#This Row],[Item code]],0)</f>
        <v>0</v>
      </c>
      <c r="K699" s="293">
        <f>IFERROR(Tabela_Base_Financeiro[[#This Row],[Unit Price]],0)</f>
        <v>0</v>
      </c>
      <c r="L699" s="36">
        <f>IFERROR(Tabela_Base_Financeiro[[#This Row],[AC Qty,]],0)</f>
        <v>0</v>
      </c>
      <c r="M699" s="60">
        <f>Tabela6[[#This Row],[Qty]]*Tabela6[[#This Row],[Preço]]</f>
        <v>0</v>
      </c>
      <c r="N699" s="37">
        <f>IFERROR(Tabela_Base_Financeiro[[#This Row],[Proportion]],0)</f>
        <v>0</v>
      </c>
      <c r="O699" s="60">
        <f>Tabela6[[#This Row],[Proporção]]*Tabela6[[#This Row],[Total]]</f>
        <v>0</v>
      </c>
      <c r="P699"/>
      <c r="Q699" s="59"/>
      <c r="R699" s="1"/>
    </row>
    <row r="700" spans="1:18">
      <c r="A700" s="122" t="e">
        <f>IF(VLOOKUP(Tabela6[[#This Row],[UF]],'BASE CC'!B:C,2,0)="SP",IF(Tabela6[[#This Row],[OPERADORA]]="TIM","SP TIM","SPI"),VLOOKUP(Tabela6[[#This Row],[UF]],'BASE CC'!B:C,2,0))</f>
        <v>#N/A</v>
      </c>
      <c r="B700" s="36" t="e">
        <f>VLOOKUP(Tabela_Base_Financeiro[[#This Row],[Item code]],'COD.FAT'!B:C,2,0)</f>
        <v>#N/A</v>
      </c>
      <c r="C700" s="292">
        <f>Tabela_Base_Financeiro[[#This Row],[PO Ship TO]]</f>
        <v>0</v>
      </c>
      <c r="D700" s="36" t="str">
        <f>RIGHT(Tabela_Base_Financeiro[[#This Row],[Manufacturer]],2)</f>
        <v/>
      </c>
      <c r="E70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00" s="122" t="e">
        <f>VLOOKUP(Tabela_Base_Financeiro[[#This Row],[Project Code]],'COD. PROJETOS'!B:D,3,0)</f>
        <v>#N/A</v>
      </c>
      <c r="G700" s="36">
        <f>IFERROR(Tabela_Base_Financeiro[[#This Row],[PO No,]],0)</f>
        <v>0</v>
      </c>
      <c r="H700" s="36">
        <f>IFERROR(Tabela_Base_Financeiro[[#This Row],[Line No,]],0)</f>
        <v>0</v>
      </c>
      <c r="I700" s="36" t="str">
        <f>IFERROR(MID(Tabela_Base_Financeiro[[#This Row],[Manufacturer]],19,14),"")</f>
        <v/>
      </c>
      <c r="J700" s="113">
        <f>IFERROR(Tabela_Base_Financeiro[[#This Row],[Item code]],0)</f>
        <v>0</v>
      </c>
      <c r="K700" s="293">
        <f>IFERROR(Tabela_Base_Financeiro[[#This Row],[Unit Price]],0)</f>
        <v>0</v>
      </c>
      <c r="L700" s="36">
        <f>IFERROR(Tabela_Base_Financeiro[[#This Row],[AC Qty,]],0)</f>
        <v>0</v>
      </c>
      <c r="M700" s="60">
        <f>Tabela6[[#This Row],[Qty]]*Tabela6[[#This Row],[Preço]]</f>
        <v>0</v>
      </c>
      <c r="N700" s="37">
        <f>IFERROR(Tabela_Base_Financeiro[[#This Row],[Proportion]],0)</f>
        <v>0</v>
      </c>
      <c r="O700" s="60">
        <f>Tabela6[[#This Row],[Proporção]]*Tabela6[[#This Row],[Total]]</f>
        <v>0</v>
      </c>
      <c r="P700"/>
      <c r="Q700" s="59"/>
      <c r="R700" s="1"/>
    </row>
    <row r="701" spans="1:18">
      <c r="A701" s="122" t="e">
        <f>IF(VLOOKUP(Tabela6[[#This Row],[UF]],'BASE CC'!B:C,2,0)="SP",IF(Tabela6[[#This Row],[OPERADORA]]="TIM","SP TIM","SPI"),VLOOKUP(Tabela6[[#This Row],[UF]],'BASE CC'!B:C,2,0))</f>
        <v>#N/A</v>
      </c>
      <c r="B701" s="36" t="e">
        <f>VLOOKUP(Tabela_Base_Financeiro[[#This Row],[Item code]],'COD.FAT'!B:C,2,0)</f>
        <v>#N/A</v>
      </c>
      <c r="C701" s="292">
        <f>Tabela_Base_Financeiro[[#This Row],[PO Ship TO]]</f>
        <v>0</v>
      </c>
      <c r="D701" s="36" t="str">
        <f>RIGHT(Tabela_Base_Financeiro[[#This Row],[Manufacturer]],2)</f>
        <v/>
      </c>
      <c r="E70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01" s="122" t="e">
        <f>VLOOKUP(Tabela_Base_Financeiro[[#This Row],[Project Code]],'COD. PROJETOS'!B:D,3,0)</f>
        <v>#N/A</v>
      </c>
      <c r="G701" s="36">
        <f>IFERROR(Tabela_Base_Financeiro[[#This Row],[PO No,]],0)</f>
        <v>0</v>
      </c>
      <c r="H701" s="36">
        <f>IFERROR(Tabela_Base_Financeiro[[#This Row],[Line No,]],0)</f>
        <v>0</v>
      </c>
      <c r="I701" s="36" t="str">
        <f>IFERROR(MID(Tabela_Base_Financeiro[[#This Row],[Manufacturer]],19,14),"")</f>
        <v/>
      </c>
      <c r="J701" s="113">
        <f>IFERROR(Tabela_Base_Financeiro[[#This Row],[Item code]],0)</f>
        <v>0</v>
      </c>
      <c r="K701" s="293">
        <f>IFERROR(Tabela_Base_Financeiro[[#This Row],[Unit Price]],0)</f>
        <v>0</v>
      </c>
      <c r="L701" s="36">
        <f>IFERROR(Tabela_Base_Financeiro[[#This Row],[AC Qty,]],0)</f>
        <v>0</v>
      </c>
      <c r="M701" s="60">
        <f>Tabela6[[#This Row],[Qty]]*Tabela6[[#This Row],[Preço]]</f>
        <v>0</v>
      </c>
      <c r="N701" s="37">
        <f>IFERROR(Tabela_Base_Financeiro[[#This Row],[Proportion]],0)</f>
        <v>0</v>
      </c>
      <c r="O701" s="60">
        <f>Tabela6[[#This Row],[Proporção]]*Tabela6[[#This Row],[Total]]</f>
        <v>0</v>
      </c>
      <c r="P701"/>
      <c r="Q701" s="59"/>
      <c r="R701" s="1"/>
    </row>
    <row r="702" spans="1:18">
      <c r="A702" s="122" t="e">
        <f>IF(VLOOKUP(Tabela6[[#This Row],[UF]],'BASE CC'!B:C,2,0)="SP",IF(Tabela6[[#This Row],[OPERADORA]]="TIM","SP TIM","SPI"),VLOOKUP(Tabela6[[#This Row],[UF]],'BASE CC'!B:C,2,0))</f>
        <v>#N/A</v>
      </c>
      <c r="B702" s="36" t="e">
        <f>VLOOKUP(Tabela_Base_Financeiro[[#This Row],[Item code]],'COD.FAT'!B:C,2,0)</f>
        <v>#N/A</v>
      </c>
      <c r="C702" s="292">
        <f>Tabela_Base_Financeiro[[#This Row],[PO Ship TO]]</f>
        <v>0</v>
      </c>
      <c r="D702" s="36" t="str">
        <f>RIGHT(Tabela_Base_Financeiro[[#This Row],[Manufacturer]],2)</f>
        <v/>
      </c>
      <c r="E70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02" s="122" t="e">
        <f>VLOOKUP(Tabela_Base_Financeiro[[#This Row],[Project Code]],'COD. PROJETOS'!B:D,3,0)</f>
        <v>#N/A</v>
      </c>
      <c r="G702" s="36">
        <f>IFERROR(Tabela_Base_Financeiro[[#This Row],[PO No,]],0)</f>
        <v>0</v>
      </c>
      <c r="H702" s="36">
        <f>IFERROR(Tabela_Base_Financeiro[[#This Row],[Line No,]],0)</f>
        <v>0</v>
      </c>
      <c r="I702" s="36" t="str">
        <f>IFERROR(MID(Tabela_Base_Financeiro[[#This Row],[Manufacturer]],19,14),"")</f>
        <v/>
      </c>
      <c r="J702" s="113">
        <f>IFERROR(Tabela_Base_Financeiro[[#This Row],[Item code]],0)</f>
        <v>0</v>
      </c>
      <c r="K702" s="293">
        <f>IFERROR(Tabela_Base_Financeiro[[#This Row],[Unit Price]],0)</f>
        <v>0</v>
      </c>
      <c r="L702" s="36">
        <f>IFERROR(Tabela_Base_Financeiro[[#This Row],[AC Qty,]],0)</f>
        <v>0</v>
      </c>
      <c r="M702" s="60">
        <f>Tabela6[[#This Row],[Qty]]*Tabela6[[#This Row],[Preço]]</f>
        <v>0</v>
      </c>
      <c r="N702" s="37">
        <f>IFERROR(Tabela_Base_Financeiro[[#This Row],[Proportion]],0)</f>
        <v>0</v>
      </c>
      <c r="O702" s="60">
        <f>Tabela6[[#This Row],[Proporção]]*Tabela6[[#This Row],[Total]]</f>
        <v>0</v>
      </c>
      <c r="P702"/>
      <c r="Q702" s="59"/>
      <c r="R702" s="1"/>
    </row>
    <row r="703" spans="1:18">
      <c r="A703" s="122" t="e">
        <f>IF(VLOOKUP(Tabela6[[#This Row],[UF]],'BASE CC'!B:C,2,0)="SP",IF(Tabela6[[#This Row],[OPERADORA]]="TIM","SP TIM","SPI"),VLOOKUP(Tabela6[[#This Row],[UF]],'BASE CC'!B:C,2,0))</f>
        <v>#N/A</v>
      </c>
      <c r="B703" s="36" t="e">
        <f>VLOOKUP(Tabela_Base_Financeiro[[#This Row],[Item code]],'COD.FAT'!B:C,2,0)</f>
        <v>#N/A</v>
      </c>
      <c r="C703" s="292">
        <f>Tabela_Base_Financeiro[[#This Row],[PO Ship TO]]</f>
        <v>0</v>
      </c>
      <c r="D703" s="36" t="str">
        <f>RIGHT(Tabela_Base_Financeiro[[#This Row],[Manufacturer]],2)</f>
        <v/>
      </c>
      <c r="E70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03" s="122" t="e">
        <f>VLOOKUP(Tabela_Base_Financeiro[[#This Row],[Project Code]],'COD. PROJETOS'!B:D,3,0)</f>
        <v>#N/A</v>
      </c>
      <c r="G703" s="36">
        <f>IFERROR(Tabela_Base_Financeiro[[#This Row],[PO No,]],0)</f>
        <v>0</v>
      </c>
      <c r="H703" s="36">
        <f>IFERROR(Tabela_Base_Financeiro[[#This Row],[Line No,]],0)</f>
        <v>0</v>
      </c>
      <c r="I703" s="36" t="str">
        <f>IFERROR(MID(Tabela_Base_Financeiro[[#This Row],[Manufacturer]],19,14),"")</f>
        <v/>
      </c>
      <c r="J703" s="113">
        <f>IFERROR(Tabela_Base_Financeiro[[#This Row],[Item code]],0)</f>
        <v>0</v>
      </c>
      <c r="K703" s="293">
        <f>IFERROR(Tabela_Base_Financeiro[[#This Row],[Unit Price]],0)</f>
        <v>0</v>
      </c>
      <c r="L703" s="36">
        <f>IFERROR(Tabela_Base_Financeiro[[#This Row],[AC Qty,]],0)</f>
        <v>0</v>
      </c>
      <c r="M703" s="60">
        <f>Tabela6[[#This Row],[Qty]]*Tabela6[[#This Row],[Preço]]</f>
        <v>0</v>
      </c>
      <c r="N703" s="37">
        <f>IFERROR(Tabela_Base_Financeiro[[#This Row],[Proportion]],0)</f>
        <v>0</v>
      </c>
      <c r="O703" s="60">
        <f>Tabela6[[#This Row],[Proporção]]*Tabela6[[#This Row],[Total]]</f>
        <v>0</v>
      </c>
      <c r="P703"/>
      <c r="Q703" s="59"/>
      <c r="R703" s="1"/>
    </row>
    <row r="704" spans="1:18">
      <c r="A704" s="122" t="e">
        <f>IF(VLOOKUP(Tabela6[[#This Row],[UF]],'BASE CC'!B:C,2,0)="SP",IF(Tabela6[[#This Row],[OPERADORA]]="TIM","SP TIM","SPI"),VLOOKUP(Tabela6[[#This Row],[UF]],'BASE CC'!B:C,2,0))</f>
        <v>#N/A</v>
      </c>
      <c r="B704" s="36" t="e">
        <f>VLOOKUP(Tabela_Base_Financeiro[[#This Row],[Item code]],'COD.FAT'!B:C,2,0)</f>
        <v>#N/A</v>
      </c>
      <c r="C704" s="292">
        <f>Tabela_Base_Financeiro[[#This Row],[PO Ship TO]]</f>
        <v>0</v>
      </c>
      <c r="D704" s="36" t="str">
        <f>RIGHT(Tabela_Base_Financeiro[[#This Row],[Manufacturer]],2)</f>
        <v/>
      </c>
      <c r="E70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04" s="122" t="e">
        <f>VLOOKUP(Tabela_Base_Financeiro[[#This Row],[Project Code]],'COD. PROJETOS'!B:D,3,0)</f>
        <v>#N/A</v>
      </c>
      <c r="G704" s="36">
        <f>IFERROR(Tabela_Base_Financeiro[[#This Row],[PO No,]],0)</f>
        <v>0</v>
      </c>
      <c r="H704" s="36">
        <f>IFERROR(Tabela_Base_Financeiro[[#This Row],[Line No,]],0)</f>
        <v>0</v>
      </c>
      <c r="I704" s="36" t="str">
        <f>IFERROR(MID(Tabela_Base_Financeiro[[#This Row],[Manufacturer]],19,14),"")</f>
        <v/>
      </c>
      <c r="J704" s="113">
        <f>IFERROR(Tabela_Base_Financeiro[[#This Row],[Item code]],0)</f>
        <v>0</v>
      </c>
      <c r="K704" s="293">
        <f>IFERROR(Tabela_Base_Financeiro[[#This Row],[Unit Price]],0)</f>
        <v>0</v>
      </c>
      <c r="L704" s="36">
        <f>IFERROR(Tabela_Base_Financeiro[[#This Row],[AC Qty,]],0)</f>
        <v>0</v>
      </c>
      <c r="M704" s="60">
        <f>Tabela6[[#This Row],[Qty]]*Tabela6[[#This Row],[Preço]]</f>
        <v>0</v>
      </c>
      <c r="N704" s="37">
        <f>IFERROR(Tabela_Base_Financeiro[[#This Row],[Proportion]],0)</f>
        <v>0</v>
      </c>
      <c r="O704" s="60">
        <f>Tabela6[[#This Row],[Proporção]]*Tabela6[[#This Row],[Total]]</f>
        <v>0</v>
      </c>
      <c r="P704"/>
      <c r="Q704" s="59"/>
      <c r="R704" s="1"/>
    </row>
    <row r="705" spans="1:18">
      <c r="A705" s="122" t="e">
        <f>IF(VLOOKUP(Tabela6[[#This Row],[UF]],'BASE CC'!B:C,2,0)="SP",IF(Tabela6[[#This Row],[OPERADORA]]="TIM","SP TIM","SPI"),VLOOKUP(Tabela6[[#This Row],[UF]],'BASE CC'!B:C,2,0))</f>
        <v>#N/A</v>
      </c>
      <c r="B705" s="36" t="e">
        <f>VLOOKUP(Tabela_Base_Financeiro[[#This Row],[Item code]],'COD.FAT'!B:C,2,0)</f>
        <v>#N/A</v>
      </c>
      <c r="C705" s="292">
        <f>Tabela_Base_Financeiro[[#This Row],[PO Ship TO]]</f>
        <v>0</v>
      </c>
      <c r="D705" s="36" t="str">
        <f>RIGHT(Tabela_Base_Financeiro[[#This Row],[Manufacturer]],2)</f>
        <v/>
      </c>
      <c r="E70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05" s="122" t="e">
        <f>VLOOKUP(Tabela_Base_Financeiro[[#This Row],[Project Code]],'COD. PROJETOS'!B:D,3,0)</f>
        <v>#N/A</v>
      </c>
      <c r="G705" s="36">
        <f>IFERROR(Tabela_Base_Financeiro[[#This Row],[PO No,]],0)</f>
        <v>0</v>
      </c>
      <c r="H705" s="36">
        <f>IFERROR(Tabela_Base_Financeiro[[#This Row],[Line No,]],0)</f>
        <v>0</v>
      </c>
      <c r="I705" s="36" t="str">
        <f>IFERROR(MID(Tabela_Base_Financeiro[[#This Row],[Manufacturer]],19,14),"")</f>
        <v/>
      </c>
      <c r="J705" s="113">
        <f>IFERROR(Tabela_Base_Financeiro[[#This Row],[Item code]],0)</f>
        <v>0</v>
      </c>
      <c r="K705" s="293">
        <f>IFERROR(Tabela_Base_Financeiro[[#This Row],[Unit Price]],0)</f>
        <v>0</v>
      </c>
      <c r="L705" s="36">
        <f>IFERROR(Tabela_Base_Financeiro[[#This Row],[AC Qty,]],0)</f>
        <v>0</v>
      </c>
      <c r="M705" s="60">
        <f>Tabela6[[#This Row],[Qty]]*Tabela6[[#This Row],[Preço]]</f>
        <v>0</v>
      </c>
      <c r="N705" s="37">
        <f>IFERROR(Tabela_Base_Financeiro[[#This Row],[Proportion]],0)</f>
        <v>0</v>
      </c>
      <c r="O705" s="60">
        <f>Tabela6[[#This Row],[Proporção]]*Tabela6[[#This Row],[Total]]</f>
        <v>0</v>
      </c>
      <c r="P705"/>
      <c r="Q705" s="59"/>
      <c r="R705" s="1"/>
    </row>
    <row r="706" spans="1:18">
      <c r="A706" s="122" t="e">
        <f>IF(VLOOKUP(Tabela6[[#This Row],[UF]],'BASE CC'!B:C,2,0)="SP",IF(Tabela6[[#This Row],[OPERADORA]]="TIM","SP TIM","SPI"),VLOOKUP(Tabela6[[#This Row],[UF]],'BASE CC'!B:C,2,0))</f>
        <v>#N/A</v>
      </c>
      <c r="B706" s="36" t="e">
        <f>VLOOKUP(Tabela_Base_Financeiro[[#This Row],[Item code]],'COD.FAT'!B:C,2,0)</f>
        <v>#N/A</v>
      </c>
      <c r="C706" s="292">
        <f>Tabela_Base_Financeiro[[#This Row],[PO Ship TO]]</f>
        <v>0</v>
      </c>
      <c r="D706" s="36" t="str">
        <f>RIGHT(Tabela_Base_Financeiro[[#This Row],[Manufacturer]],2)</f>
        <v/>
      </c>
      <c r="E70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06" s="122" t="e">
        <f>VLOOKUP(Tabela_Base_Financeiro[[#This Row],[Project Code]],'COD. PROJETOS'!B:D,3,0)</f>
        <v>#N/A</v>
      </c>
      <c r="G706" s="36">
        <f>IFERROR(Tabela_Base_Financeiro[[#This Row],[PO No,]],0)</f>
        <v>0</v>
      </c>
      <c r="H706" s="36">
        <f>IFERROR(Tabela_Base_Financeiro[[#This Row],[Line No,]],0)</f>
        <v>0</v>
      </c>
      <c r="I706" s="36" t="str">
        <f>IFERROR(MID(Tabela_Base_Financeiro[[#This Row],[Manufacturer]],19,14),"")</f>
        <v/>
      </c>
      <c r="J706" s="113">
        <f>IFERROR(Tabela_Base_Financeiro[[#This Row],[Item code]],0)</f>
        <v>0</v>
      </c>
      <c r="K706" s="293">
        <f>IFERROR(Tabela_Base_Financeiro[[#This Row],[Unit Price]],0)</f>
        <v>0</v>
      </c>
      <c r="L706" s="36">
        <f>IFERROR(Tabela_Base_Financeiro[[#This Row],[AC Qty,]],0)</f>
        <v>0</v>
      </c>
      <c r="M706" s="60">
        <f>Tabela6[[#This Row],[Qty]]*Tabela6[[#This Row],[Preço]]</f>
        <v>0</v>
      </c>
      <c r="N706" s="37">
        <f>IFERROR(Tabela_Base_Financeiro[[#This Row],[Proportion]],0)</f>
        <v>0</v>
      </c>
      <c r="O706" s="60">
        <f>Tabela6[[#This Row],[Proporção]]*Tabela6[[#This Row],[Total]]</f>
        <v>0</v>
      </c>
      <c r="P706"/>
      <c r="Q706" s="59"/>
      <c r="R706" s="1"/>
    </row>
    <row r="707" spans="1:18">
      <c r="A707" s="122" t="e">
        <f>IF(VLOOKUP(Tabela6[[#This Row],[UF]],'BASE CC'!B:C,2,0)="SP",IF(Tabela6[[#This Row],[OPERADORA]]="TIM","SP TIM","SPI"),VLOOKUP(Tabela6[[#This Row],[UF]],'BASE CC'!B:C,2,0))</f>
        <v>#N/A</v>
      </c>
      <c r="B707" s="36" t="e">
        <f>VLOOKUP(Tabela_Base_Financeiro[[#This Row],[Item code]],'COD.FAT'!B:C,2,0)</f>
        <v>#N/A</v>
      </c>
      <c r="C707" s="292">
        <f>Tabela_Base_Financeiro[[#This Row],[PO Ship TO]]</f>
        <v>0</v>
      </c>
      <c r="D707" s="36" t="str">
        <f>RIGHT(Tabela_Base_Financeiro[[#This Row],[Manufacturer]],2)</f>
        <v/>
      </c>
      <c r="E70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07" s="122" t="e">
        <f>VLOOKUP(Tabela_Base_Financeiro[[#This Row],[Project Code]],'COD. PROJETOS'!B:D,3,0)</f>
        <v>#N/A</v>
      </c>
      <c r="G707" s="36">
        <f>IFERROR(Tabela_Base_Financeiro[[#This Row],[PO No,]],0)</f>
        <v>0</v>
      </c>
      <c r="H707" s="36">
        <f>IFERROR(Tabela_Base_Financeiro[[#This Row],[Line No,]],0)</f>
        <v>0</v>
      </c>
      <c r="I707" s="36" t="str">
        <f>IFERROR(MID(Tabela_Base_Financeiro[[#This Row],[Manufacturer]],19,14),"")</f>
        <v/>
      </c>
      <c r="J707" s="113">
        <f>IFERROR(Tabela_Base_Financeiro[[#This Row],[Item code]],0)</f>
        <v>0</v>
      </c>
      <c r="K707" s="293">
        <f>IFERROR(Tabela_Base_Financeiro[[#This Row],[Unit Price]],0)</f>
        <v>0</v>
      </c>
      <c r="L707" s="36">
        <f>IFERROR(Tabela_Base_Financeiro[[#This Row],[AC Qty,]],0)</f>
        <v>0</v>
      </c>
      <c r="M707" s="60">
        <f>Tabela6[[#This Row],[Qty]]*Tabela6[[#This Row],[Preço]]</f>
        <v>0</v>
      </c>
      <c r="N707" s="37">
        <f>IFERROR(Tabela_Base_Financeiro[[#This Row],[Proportion]],0)</f>
        <v>0</v>
      </c>
      <c r="O707" s="60">
        <f>Tabela6[[#This Row],[Proporção]]*Tabela6[[#This Row],[Total]]</f>
        <v>0</v>
      </c>
      <c r="P707"/>
      <c r="Q707" s="59"/>
      <c r="R707" s="1"/>
    </row>
    <row r="708" spans="1:18">
      <c r="A708" s="122" t="e">
        <f>IF(VLOOKUP(Tabela6[[#This Row],[UF]],'BASE CC'!B:C,2,0)="SP",IF(Tabela6[[#This Row],[OPERADORA]]="TIM","SP TIM","SPI"),VLOOKUP(Tabela6[[#This Row],[UF]],'BASE CC'!B:C,2,0))</f>
        <v>#N/A</v>
      </c>
      <c r="B708" s="36" t="e">
        <f>VLOOKUP(Tabela_Base_Financeiro[[#This Row],[Item code]],'COD.FAT'!B:C,2,0)</f>
        <v>#N/A</v>
      </c>
      <c r="C708" s="292">
        <f>Tabela_Base_Financeiro[[#This Row],[PO Ship TO]]</f>
        <v>0</v>
      </c>
      <c r="D708" s="36" t="str">
        <f>RIGHT(Tabela_Base_Financeiro[[#This Row],[Manufacturer]],2)</f>
        <v/>
      </c>
      <c r="E70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08" s="122" t="e">
        <f>VLOOKUP(Tabela_Base_Financeiro[[#This Row],[Project Code]],'COD. PROJETOS'!B:D,3,0)</f>
        <v>#N/A</v>
      </c>
      <c r="G708" s="36">
        <f>IFERROR(Tabela_Base_Financeiro[[#This Row],[PO No,]],0)</f>
        <v>0</v>
      </c>
      <c r="H708" s="36">
        <f>IFERROR(Tabela_Base_Financeiro[[#This Row],[Line No,]],0)</f>
        <v>0</v>
      </c>
      <c r="I708" s="36" t="str">
        <f>IFERROR(MID(Tabela_Base_Financeiro[[#This Row],[Manufacturer]],19,14),"")</f>
        <v/>
      </c>
      <c r="J708" s="113">
        <f>IFERROR(Tabela_Base_Financeiro[[#This Row],[Item code]],0)</f>
        <v>0</v>
      </c>
      <c r="K708" s="293">
        <f>IFERROR(Tabela_Base_Financeiro[[#This Row],[Unit Price]],0)</f>
        <v>0</v>
      </c>
      <c r="L708" s="36">
        <f>IFERROR(Tabela_Base_Financeiro[[#This Row],[AC Qty,]],0)</f>
        <v>0</v>
      </c>
      <c r="M708" s="60">
        <f>Tabela6[[#This Row],[Qty]]*Tabela6[[#This Row],[Preço]]</f>
        <v>0</v>
      </c>
      <c r="N708" s="37">
        <f>IFERROR(Tabela_Base_Financeiro[[#This Row],[Proportion]],0)</f>
        <v>0</v>
      </c>
      <c r="O708" s="60">
        <f>Tabela6[[#This Row],[Proporção]]*Tabela6[[#This Row],[Total]]</f>
        <v>0</v>
      </c>
      <c r="P708"/>
      <c r="Q708" s="59"/>
      <c r="R708" s="1"/>
    </row>
    <row r="709" spans="1:18">
      <c r="A709" s="122" t="e">
        <f>IF(VLOOKUP(Tabela6[[#This Row],[UF]],'BASE CC'!B:C,2,0)="SP",IF(Tabela6[[#This Row],[OPERADORA]]="TIM","SP TIM","SPI"),VLOOKUP(Tabela6[[#This Row],[UF]],'BASE CC'!B:C,2,0))</f>
        <v>#N/A</v>
      </c>
      <c r="B709" s="36" t="e">
        <f>VLOOKUP(Tabela_Base_Financeiro[[#This Row],[Item code]],'COD.FAT'!B:C,2,0)</f>
        <v>#N/A</v>
      </c>
      <c r="C709" s="292">
        <f>Tabela_Base_Financeiro[[#This Row],[PO Ship TO]]</f>
        <v>0</v>
      </c>
      <c r="D709" s="36" t="str">
        <f>RIGHT(Tabela_Base_Financeiro[[#This Row],[Manufacturer]],2)</f>
        <v/>
      </c>
      <c r="E70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09" s="122" t="e">
        <f>VLOOKUP(Tabela_Base_Financeiro[[#This Row],[Project Code]],'COD. PROJETOS'!B:D,3,0)</f>
        <v>#N/A</v>
      </c>
      <c r="G709" s="36">
        <f>IFERROR(Tabela_Base_Financeiro[[#This Row],[PO No,]],0)</f>
        <v>0</v>
      </c>
      <c r="H709" s="36">
        <f>IFERROR(Tabela_Base_Financeiro[[#This Row],[Line No,]],0)</f>
        <v>0</v>
      </c>
      <c r="I709" s="36" t="str">
        <f>IFERROR(MID(Tabela_Base_Financeiro[[#This Row],[Manufacturer]],19,14),"")</f>
        <v/>
      </c>
      <c r="J709" s="113">
        <f>IFERROR(Tabela_Base_Financeiro[[#This Row],[Item code]],0)</f>
        <v>0</v>
      </c>
      <c r="K709" s="293">
        <f>IFERROR(Tabela_Base_Financeiro[[#This Row],[Unit Price]],0)</f>
        <v>0</v>
      </c>
      <c r="L709" s="36">
        <f>IFERROR(Tabela_Base_Financeiro[[#This Row],[AC Qty,]],0)</f>
        <v>0</v>
      </c>
      <c r="M709" s="60">
        <f>Tabela6[[#This Row],[Qty]]*Tabela6[[#This Row],[Preço]]</f>
        <v>0</v>
      </c>
      <c r="N709" s="37">
        <f>IFERROR(Tabela_Base_Financeiro[[#This Row],[Proportion]],0)</f>
        <v>0</v>
      </c>
      <c r="O709" s="60">
        <f>Tabela6[[#This Row],[Proporção]]*Tabela6[[#This Row],[Total]]</f>
        <v>0</v>
      </c>
      <c r="P709"/>
      <c r="Q709" s="59"/>
      <c r="R709" s="1"/>
    </row>
    <row r="710" spans="1:18">
      <c r="A710" s="122" t="e">
        <f>IF(VLOOKUP(Tabela6[[#This Row],[UF]],'BASE CC'!B:C,2,0)="SP",IF(Tabela6[[#This Row],[OPERADORA]]="TIM","SP TIM","SPI"),VLOOKUP(Tabela6[[#This Row],[UF]],'BASE CC'!B:C,2,0))</f>
        <v>#N/A</v>
      </c>
      <c r="B710" s="36" t="e">
        <f>VLOOKUP(Tabela_Base_Financeiro[[#This Row],[Item code]],'COD.FAT'!B:C,2,0)</f>
        <v>#N/A</v>
      </c>
      <c r="C710" s="292">
        <f>Tabela_Base_Financeiro[[#This Row],[PO Ship TO]]</f>
        <v>0</v>
      </c>
      <c r="D710" s="36" t="str">
        <f>RIGHT(Tabela_Base_Financeiro[[#This Row],[Manufacturer]],2)</f>
        <v/>
      </c>
      <c r="E71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10" s="122" t="e">
        <f>VLOOKUP(Tabela_Base_Financeiro[[#This Row],[Project Code]],'COD. PROJETOS'!B:D,3,0)</f>
        <v>#N/A</v>
      </c>
      <c r="G710" s="36">
        <f>IFERROR(Tabela_Base_Financeiro[[#This Row],[PO No,]],0)</f>
        <v>0</v>
      </c>
      <c r="H710" s="36">
        <f>IFERROR(Tabela_Base_Financeiro[[#This Row],[Line No,]],0)</f>
        <v>0</v>
      </c>
      <c r="I710" s="36" t="str">
        <f>IFERROR(MID(Tabela_Base_Financeiro[[#This Row],[Manufacturer]],19,14),"")</f>
        <v/>
      </c>
      <c r="J710" s="113">
        <f>IFERROR(Tabela_Base_Financeiro[[#This Row],[Item code]],0)</f>
        <v>0</v>
      </c>
      <c r="K710" s="293">
        <f>IFERROR(Tabela_Base_Financeiro[[#This Row],[Unit Price]],0)</f>
        <v>0</v>
      </c>
      <c r="L710" s="36">
        <f>IFERROR(Tabela_Base_Financeiro[[#This Row],[AC Qty,]],0)</f>
        <v>0</v>
      </c>
      <c r="M710" s="60">
        <f>Tabela6[[#This Row],[Qty]]*Tabela6[[#This Row],[Preço]]</f>
        <v>0</v>
      </c>
      <c r="N710" s="37">
        <f>IFERROR(Tabela_Base_Financeiro[[#This Row],[Proportion]],0)</f>
        <v>0</v>
      </c>
      <c r="O710" s="60">
        <f>Tabela6[[#This Row],[Proporção]]*Tabela6[[#This Row],[Total]]</f>
        <v>0</v>
      </c>
      <c r="P710"/>
      <c r="Q710" s="59"/>
      <c r="R710" s="1"/>
    </row>
    <row r="711" spans="1:18">
      <c r="A711" s="122" t="e">
        <f>IF(VLOOKUP(Tabela6[[#This Row],[UF]],'BASE CC'!B:C,2,0)="SP",IF(Tabela6[[#This Row],[OPERADORA]]="TIM","SP TIM","SPI"),VLOOKUP(Tabela6[[#This Row],[UF]],'BASE CC'!B:C,2,0))</f>
        <v>#N/A</v>
      </c>
      <c r="B711" s="36" t="e">
        <f>VLOOKUP(Tabela_Base_Financeiro[[#This Row],[Item code]],'COD.FAT'!B:C,2,0)</f>
        <v>#N/A</v>
      </c>
      <c r="C711" s="292">
        <f>Tabela_Base_Financeiro[[#This Row],[PO Ship TO]]</f>
        <v>0</v>
      </c>
      <c r="D711" s="36" t="str">
        <f>RIGHT(Tabela_Base_Financeiro[[#This Row],[Manufacturer]],2)</f>
        <v/>
      </c>
      <c r="E71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11" s="122" t="e">
        <f>VLOOKUP(Tabela_Base_Financeiro[[#This Row],[Project Code]],'COD. PROJETOS'!B:D,3,0)</f>
        <v>#N/A</v>
      </c>
      <c r="G711" s="36">
        <f>IFERROR(Tabela_Base_Financeiro[[#This Row],[PO No,]],0)</f>
        <v>0</v>
      </c>
      <c r="H711" s="36">
        <f>IFERROR(Tabela_Base_Financeiro[[#This Row],[Line No,]],0)</f>
        <v>0</v>
      </c>
      <c r="I711" s="36" t="str">
        <f>IFERROR(MID(Tabela_Base_Financeiro[[#This Row],[Manufacturer]],19,14),"")</f>
        <v/>
      </c>
      <c r="J711" s="113">
        <f>IFERROR(Tabela_Base_Financeiro[[#This Row],[Item code]],0)</f>
        <v>0</v>
      </c>
      <c r="K711" s="293">
        <f>IFERROR(Tabela_Base_Financeiro[[#This Row],[Unit Price]],0)</f>
        <v>0</v>
      </c>
      <c r="L711" s="36">
        <f>IFERROR(Tabela_Base_Financeiro[[#This Row],[AC Qty,]],0)</f>
        <v>0</v>
      </c>
      <c r="M711" s="60">
        <f>Tabela6[[#This Row],[Qty]]*Tabela6[[#This Row],[Preço]]</f>
        <v>0</v>
      </c>
      <c r="N711" s="37">
        <f>IFERROR(Tabela_Base_Financeiro[[#This Row],[Proportion]],0)</f>
        <v>0</v>
      </c>
      <c r="O711" s="60">
        <f>Tabela6[[#This Row],[Proporção]]*Tabela6[[#This Row],[Total]]</f>
        <v>0</v>
      </c>
      <c r="P711"/>
      <c r="Q711" s="59"/>
      <c r="R711" s="1"/>
    </row>
    <row r="712" spans="1:18">
      <c r="A712" s="122" t="e">
        <f>IF(VLOOKUP(Tabela6[[#This Row],[UF]],'BASE CC'!B:C,2,0)="SP",IF(Tabela6[[#This Row],[OPERADORA]]="TIM","SP TIM","SPI"),VLOOKUP(Tabela6[[#This Row],[UF]],'BASE CC'!B:C,2,0))</f>
        <v>#N/A</v>
      </c>
      <c r="B712" s="36" t="e">
        <f>VLOOKUP(Tabela_Base_Financeiro[[#This Row],[Item code]],'COD.FAT'!B:C,2,0)</f>
        <v>#N/A</v>
      </c>
      <c r="C712" s="292">
        <f>Tabela_Base_Financeiro[[#This Row],[PO Ship TO]]</f>
        <v>0</v>
      </c>
      <c r="D712" s="36" t="str">
        <f>RIGHT(Tabela_Base_Financeiro[[#This Row],[Manufacturer]],2)</f>
        <v/>
      </c>
      <c r="E71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12" s="122" t="e">
        <f>VLOOKUP(Tabela_Base_Financeiro[[#This Row],[Project Code]],'COD. PROJETOS'!B:D,3,0)</f>
        <v>#N/A</v>
      </c>
      <c r="G712" s="36">
        <f>IFERROR(Tabela_Base_Financeiro[[#This Row],[PO No,]],0)</f>
        <v>0</v>
      </c>
      <c r="H712" s="36">
        <f>IFERROR(Tabela_Base_Financeiro[[#This Row],[Line No,]],0)</f>
        <v>0</v>
      </c>
      <c r="I712" s="36" t="str">
        <f>IFERROR(MID(Tabela_Base_Financeiro[[#This Row],[Manufacturer]],19,14),"")</f>
        <v/>
      </c>
      <c r="J712" s="113">
        <f>IFERROR(Tabela_Base_Financeiro[[#This Row],[Item code]],0)</f>
        <v>0</v>
      </c>
      <c r="K712" s="293">
        <f>IFERROR(Tabela_Base_Financeiro[[#This Row],[Unit Price]],0)</f>
        <v>0</v>
      </c>
      <c r="L712" s="36">
        <f>IFERROR(Tabela_Base_Financeiro[[#This Row],[AC Qty,]],0)</f>
        <v>0</v>
      </c>
      <c r="M712" s="60">
        <f>Tabela6[[#This Row],[Qty]]*Tabela6[[#This Row],[Preço]]</f>
        <v>0</v>
      </c>
      <c r="N712" s="37">
        <f>IFERROR(Tabela_Base_Financeiro[[#This Row],[Proportion]],0)</f>
        <v>0</v>
      </c>
      <c r="O712" s="60">
        <f>Tabela6[[#This Row],[Proporção]]*Tabela6[[#This Row],[Total]]</f>
        <v>0</v>
      </c>
      <c r="P712"/>
      <c r="Q712" s="59"/>
      <c r="R712" s="1"/>
    </row>
    <row r="713" spans="1:18">
      <c r="A713" s="122" t="e">
        <f>IF(VLOOKUP(Tabela6[[#This Row],[UF]],'BASE CC'!B:C,2,0)="SP",IF(Tabela6[[#This Row],[OPERADORA]]="TIM","SP TIM","SPI"),VLOOKUP(Tabela6[[#This Row],[UF]],'BASE CC'!B:C,2,0))</f>
        <v>#N/A</v>
      </c>
      <c r="B713" s="36" t="e">
        <f>VLOOKUP(Tabela_Base_Financeiro[[#This Row],[Item code]],'COD.FAT'!B:C,2,0)</f>
        <v>#N/A</v>
      </c>
      <c r="C713" s="292">
        <f>Tabela_Base_Financeiro[[#This Row],[PO Ship TO]]</f>
        <v>0</v>
      </c>
      <c r="D713" s="36" t="str">
        <f>RIGHT(Tabela_Base_Financeiro[[#This Row],[Manufacturer]],2)</f>
        <v/>
      </c>
      <c r="E71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13" s="122" t="e">
        <f>VLOOKUP(Tabela_Base_Financeiro[[#This Row],[Project Code]],'COD. PROJETOS'!B:D,3,0)</f>
        <v>#N/A</v>
      </c>
      <c r="G713" s="36">
        <f>IFERROR(Tabela_Base_Financeiro[[#This Row],[PO No,]],0)</f>
        <v>0</v>
      </c>
      <c r="H713" s="36">
        <f>IFERROR(Tabela_Base_Financeiro[[#This Row],[Line No,]],0)</f>
        <v>0</v>
      </c>
      <c r="I713" s="36" t="str">
        <f>IFERROR(MID(Tabela_Base_Financeiro[[#This Row],[Manufacturer]],19,14),"")</f>
        <v/>
      </c>
      <c r="J713" s="113">
        <f>IFERROR(Tabela_Base_Financeiro[[#This Row],[Item code]],0)</f>
        <v>0</v>
      </c>
      <c r="K713" s="293">
        <f>IFERROR(Tabela_Base_Financeiro[[#This Row],[Unit Price]],0)</f>
        <v>0</v>
      </c>
      <c r="L713" s="36">
        <f>IFERROR(Tabela_Base_Financeiro[[#This Row],[AC Qty,]],0)</f>
        <v>0</v>
      </c>
      <c r="M713" s="60">
        <f>Tabela6[[#This Row],[Qty]]*Tabela6[[#This Row],[Preço]]</f>
        <v>0</v>
      </c>
      <c r="N713" s="37">
        <f>IFERROR(Tabela_Base_Financeiro[[#This Row],[Proportion]],0)</f>
        <v>0</v>
      </c>
      <c r="O713" s="60">
        <f>Tabela6[[#This Row],[Proporção]]*Tabela6[[#This Row],[Total]]</f>
        <v>0</v>
      </c>
      <c r="P713"/>
      <c r="Q713" s="59"/>
      <c r="R713" s="1"/>
    </row>
    <row r="714" spans="1:18">
      <c r="A714" s="122" t="e">
        <f>IF(VLOOKUP(Tabela6[[#This Row],[UF]],'BASE CC'!B:C,2,0)="SP",IF(Tabela6[[#This Row],[OPERADORA]]="TIM","SP TIM","SPI"),VLOOKUP(Tabela6[[#This Row],[UF]],'BASE CC'!B:C,2,0))</f>
        <v>#N/A</v>
      </c>
      <c r="B714" s="36" t="e">
        <f>VLOOKUP(Tabela_Base_Financeiro[[#This Row],[Item code]],'COD.FAT'!B:C,2,0)</f>
        <v>#N/A</v>
      </c>
      <c r="C714" s="292">
        <f>Tabela_Base_Financeiro[[#This Row],[PO Ship TO]]</f>
        <v>0</v>
      </c>
      <c r="D714" s="36" t="str">
        <f>RIGHT(Tabela_Base_Financeiro[[#This Row],[Manufacturer]],2)</f>
        <v/>
      </c>
      <c r="E71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14" s="122" t="e">
        <f>VLOOKUP(Tabela_Base_Financeiro[[#This Row],[Project Code]],'COD. PROJETOS'!B:D,3,0)</f>
        <v>#N/A</v>
      </c>
      <c r="G714" s="36">
        <f>IFERROR(Tabela_Base_Financeiro[[#This Row],[PO No,]],0)</f>
        <v>0</v>
      </c>
      <c r="H714" s="36">
        <f>IFERROR(Tabela_Base_Financeiro[[#This Row],[Line No,]],0)</f>
        <v>0</v>
      </c>
      <c r="I714" s="36" t="str">
        <f>IFERROR(MID(Tabela_Base_Financeiro[[#This Row],[Manufacturer]],19,14),"")</f>
        <v/>
      </c>
      <c r="J714" s="113">
        <f>IFERROR(Tabela_Base_Financeiro[[#This Row],[Item code]],0)</f>
        <v>0</v>
      </c>
      <c r="K714" s="293">
        <f>IFERROR(Tabela_Base_Financeiro[[#This Row],[Unit Price]],0)</f>
        <v>0</v>
      </c>
      <c r="L714" s="36">
        <f>IFERROR(Tabela_Base_Financeiro[[#This Row],[AC Qty,]],0)</f>
        <v>0</v>
      </c>
      <c r="M714" s="60">
        <f>Tabela6[[#This Row],[Qty]]*Tabela6[[#This Row],[Preço]]</f>
        <v>0</v>
      </c>
      <c r="N714" s="37">
        <f>IFERROR(Tabela_Base_Financeiro[[#This Row],[Proportion]],0)</f>
        <v>0</v>
      </c>
      <c r="O714" s="60">
        <f>Tabela6[[#This Row],[Proporção]]*Tabela6[[#This Row],[Total]]</f>
        <v>0</v>
      </c>
      <c r="P714"/>
      <c r="Q714" s="59"/>
      <c r="R714" s="1"/>
    </row>
    <row r="715" spans="1:18">
      <c r="A715" s="122" t="e">
        <f>IF(VLOOKUP(Tabela6[[#This Row],[UF]],'BASE CC'!B:C,2,0)="SP",IF(Tabela6[[#This Row],[OPERADORA]]="TIM","SP TIM","SPI"),VLOOKUP(Tabela6[[#This Row],[UF]],'BASE CC'!B:C,2,0))</f>
        <v>#N/A</v>
      </c>
      <c r="B715" s="36" t="e">
        <f>VLOOKUP(Tabela_Base_Financeiro[[#This Row],[Item code]],'COD.FAT'!B:C,2,0)</f>
        <v>#N/A</v>
      </c>
      <c r="C715" s="292">
        <f>Tabela_Base_Financeiro[[#This Row],[PO Ship TO]]</f>
        <v>0</v>
      </c>
      <c r="D715" s="36" t="str">
        <f>RIGHT(Tabela_Base_Financeiro[[#This Row],[Manufacturer]],2)</f>
        <v/>
      </c>
      <c r="E71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15" s="122" t="e">
        <f>VLOOKUP(Tabela_Base_Financeiro[[#This Row],[Project Code]],'COD. PROJETOS'!B:D,3,0)</f>
        <v>#N/A</v>
      </c>
      <c r="G715" s="36">
        <f>IFERROR(Tabela_Base_Financeiro[[#This Row],[PO No,]],0)</f>
        <v>0</v>
      </c>
      <c r="H715" s="36">
        <f>IFERROR(Tabela_Base_Financeiro[[#This Row],[Line No,]],0)</f>
        <v>0</v>
      </c>
      <c r="I715" s="36" t="str">
        <f>IFERROR(MID(Tabela_Base_Financeiro[[#This Row],[Manufacturer]],19,14),"")</f>
        <v/>
      </c>
      <c r="J715" s="113">
        <f>IFERROR(Tabela_Base_Financeiro[[#This Row],[Item code]],0)</f>
        <v>0</v>
      </c>
      <c r="K715" s="293">
        <f>IFERROR(Tabela_Base_Financeiro[[#This Row],[Unit Price]],0)</f>
        <v>0</v>
      </c>
      <c r="L715" s="36">
        <f>IFERROR(Tabela_Base_Financeiro[[#This Row],[AC Qty,]],0)</f>
        <v>0</v>
      </c>
      <c r="M715" s="60">
        <f>Tabela6[[#This Row],[Qty]]*Tabela6[[#This Row],[Preço]]</f>
        <v>0</v>
      </c>
      <c r="N715" s="37">
        <f>IFERROR(Tabela_Base_Financeiro[[#This Row],[Proportion]],0)</f>
        <v>0</v>
      </c>
      <c r="O715" s="60">
        <f>Tabela6[[#This Row],[Proporção]]*Tabela6[[#This Row],[Total]]</f>
        <v>0</v>
      </c>
      <c r="P715"/>
      <c r="Q715" s="59"/>
      <c r="R715" s="1"/>
    </row>
    <row r="716" spans="1:18">
      <c r="A716" s="122" t="e">
        <f>IF(VLOOKUP(Tabela6[[#This Row],[UF]],'BASE CC'!B:C,2,0)="SP",IF(Tabela6[[#This Row],[OPERADORA]]="TIM","SP TIM","SPI"),VLOOKUP(Tabela6[[#This Row],[UF]],'BASE CC'!B:C,2,0))</f>
        <v>#N/A</v>
      </c>
      <c r="B716" s="36" t="e">
        <f>VLOOKUP(Tabela_Base_Financeiro[[#This Row],[Item code]],'COD.FAT'!B:C,2,0)</f>
        <v>#N/A</v>
      </c>
      <c r="C716" s="292">
        <f>Tabela_Base_Financeiro[[#This Row],[PO Ship TO]]</f>
        <v>0</v>
      </c>
      <c r="D716" s="36" t="str">
        <f>RIGHT(Tabela_Base_Financeiro[[#This Row],[Manufacturer]],2)</f>
        <v/>
      </c>
      <c r="E71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16" s="122" t="e">
        <f>VLOOKUP(Tabela_Base_Financeiro[[#This Row],[Project Code]],'COD. PROJETOS'!B:D,3,0)</f>
        <v>#N/A</v>
      </c>
      <c r="G716" s="36">
        <f>IFERROR(Tabela_Base_Financeiro[[#This Row],[PO No,]],0)</f>
        <v>0</v>
      </c>
      <c r="H716" s="36">
        <f>IFERROR(Tabela_Base_Financeiro[[#This Row],[Line No,]],0)</f>
        <v>0</v>
      </c>
      <c r="I716" s="36" t="str">
        <f>IFERROR(MID(Tabela_Base_Financeiro[[#This Row],[Manufacturer]],19,14),"")</f>
        <v/>
      </c>
      <c r="J716" s="113">
        <f>IFERROR(Tabela_Base_Financeiro[[#This Row],[Item code]],0)</f>
        <v>0</v>
      </c>
      <c r="K716" s="293">
        <f>IFERROR(Tabela_Base_Financeiro[[#This Row],[Unit Price]],0)</f>
        <v>0</v>
      </c>
      <c r="L716" s="36">
        <f>IFERROR(Tabela_Base_Financeiro[[#This Row],[AC Qty,]],0)</f>
        <v>0</v>
      </c>
      <c r="M716" s="60">
        <f>Tabela6[[#This Row],[Qty]]*Tabela6[[#This Row],[Preço]]</f>
        <v>0</v>
      </c>
      <c r="N716" s="37">
        <f>IFERROR(Tabela_Base_Financeiro[[#This Row],[Proportion]],0)</f>
        <v>0</v>
      </c>
      <c r="O716" s="60">
        <f>Tabela6[[#This Row],[Proporção]]*Tabela6[[#This Row],[Total]]</f>
        <v>0</v>
      </c>
      <c r="P716"/>
      <c r="Q716" s="59"/>
      <c r="R716" s="1"/>
    </row>
    <row r="717" spans="1:18">
      <c r="A717" s="122" t="e">
        <f>IF(VLOOKUP(Tabela6[[#This Row],[UF]],'BASE CC'!B:C,2,0)="SP",IF(Tabela6[[#This Row],[OPERADORA]]="TIM","SP TIM","SPI"),VLOOKUP(Tabela6[[#This Row],[UF]],'BASE CC'!B:C,2,0))</f>
        <v>#N/A</v>
      </c>
      <c r="B717" s="36" t="e">
        <f>VLOOKUP(Tabela_Base_Financeiro[[#This Row],[Item code]],'COD.FAT'!B:C,2,0)</f>
        <v>#N/A</v>
      </c>
      <c r="C717" s="292">
        <f>Tabela_Base_Financeiro[[#This Row],[PO Ship TO]]</f>
        <v>0</v>
      </c>
      <c r="D717" s="36" t="str">
        <f>RIGHT(Tabela_Base_Financeiro[[#This Row],[Manufacturer]],2)</f>
        <v/>
      </c>
      <c r="E71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17" s="122" t="e">
        <f>VLOOKUP(Tabela_Base_Financeiro[[#This Row],[Project Code]],'COD. PROJETOS'!B:D,3,0)</f>
        <v>#N/A</v>
      </c>
      <c r="G717" s="36">
        <f>IFERROR(Tabela_Base_Financeiro[[#This Row],[PO No,]],0)</f>
        <v>0</v>
      </c>
      <c r="H717" s="36">
        <f>IFERROR(Tabela_Base_Financeiro[[#This Row],[Line No,]],0)</f>
        <v>0</v>
      </c>
      <c r="I717" s="36" t="str">
        <f>IFERROR(MID(Tabela_Base_Financeiro[[#This Row],[Manufacturer]],19,14),"")</f>
        <v/>
      </c>
      <c r="J717" s="113">
        <f>IFERROR(Tabela_Base_Financeiro[[#This Row],[Item code]],0)</f>
        <v>0</v>
      </c>
      <c r="K717" s="293">
        <f>IFERROR(Tabela_Base_Financeiro[[#This Row],[Unit Price]],0)</f>
        <v>0</v>
      </c>
      <c r="L717" s="36">
        <f>IFERROR(Tabela_Base_Financeiro[[#This Row],[AC Qty,]],0)</f>
        <v>0</v>
      </c>
      <c r="M717" s="60">
        <f>Tabela6[[#This Row],[Qty]]*Tabela6[[#This Row],[Preço]]</f>
        <v>0</v>
      </c>
      <c r="N717" s="37">
        <f>IFERROR(Tabela_Base_Financeiro[[#This Row],[Proportion]],0)</f>
        <v>0</v>
      </c>
      <c r="O717" s="60">
        <f>Tabela6[[#This Row],[Proporção]]*Tabela6[[#This Row],[Total]]</f>
        <v>0</v>
      </c>
      <c r="P717"/>
      <c r="Q717" s="59"/>
      <c r="R717" s="1"/>
    </row>
    <row r="718" spans="1:18">
      <c r="A718" s="122" t="e">
        <f>IF(VLOOKUP(Tabela6[[#This Row],[UF]],'BASE CC'!B:C,2,0)="SP",IF(Tabela6[[#This Row],[OPERADORA]]="TIM","SP TIM","SPI"),VLOOKUP(Tabela6[[#This Row],[UF]],'BASE CC'!B:C,2,0))</f>
        <v>#N/A</v>
      </c>
      <c r="B718" s="36" t="e">
        <f>VLOOKUP(Tabela_Base_Financeiro[[#This Row],[Item code]],'COD.FAT'!B:C,2,0)</f>
        <v>#N/A</v>
      </c>
      <c r="C718" s="292">
        <f>Tabela_Base_Financeiro[[#This Row],[PO Ship TO]]</f>
        <v>0</v>
      </c>
      <c r="D718" s="36" t="str">
        <f>RIGHT(Tabela_Base_Financeiro[[#This Row],[Manufacturer]],2)</f>
        <v/>
      </c>
      <c r="E71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18" s="122" t="e">
        <f>VLOOKUP(Tabela_Base_Financeiro[[#This Row],[Project Code]],'COD. PROJETOS'!B:D,3,0)</f>
        <v>#N/A</v>
      </c>
      <c r="G718" s="36">
        <f>IFERROR(Tabela_Base_Financeiro[[#This Row],[PO No,]],0)</f>
        <v>0</v>
      </c>
      <c r="H718" s="36">
        <f>IFERROR(Tabela_Base_Financeiro[[#This Row],[Line No,]],0)</f>
        <v>0</v>
      </c>
      <c r="I718" s="36" t="str">
        <f>IFERROR(MID(Tabela_Base_Financeiro[[#This Row],[Manufacturer]],19,14),"")</f>
        <v/>
      </c>
      <c r="J718" s="113">
        <f>IFERROR(Tabela_Base_Financeiro[[#This Row],[Item code]],0)</f>
        <v>0</v>
      </c>
      <c r="K718" s="293">
        <f>IFERROR(Tabela_Base_Financeiro[[#This Row],[Unit Price]],0)</f>
        <v>0</v>
      </c>
      <c r="L718" s="36">
        <f>IFERROR(Tabela_Base_Financeiro[[#This Row],[AC Qty,]],0)</f>
        <v>0</v>
      </c>
      <c r="M718" s="60">
        <f>Tabela6[[#This Row],[Qty]]*Tabela6[[#This Row],[Preço]]</f>
        <v>0</v>
      </c>
      <c r="N718" s="37">
        <f>IFERROR(Tabela_Base_Financeiro[[#This Row],[Proportion]],0)</f>
        <v>0</v>
      </c>
      <c r="O718" s="60">
        <f>Tabela6[[#This Row],[Proporção]]*Tabela6[[#This Row],[Total]]</f>
        <v>0</v>
      </c>
      <c r="P718"/>
      <c r="Q718" s="59"/>
      <c r="R718" s="1"/>
    </row>
    <row r="719" spans="1:18">
      <c r="A719" s="122" t="e">
        <f>IF(VLOOKUP(Tabela6[[#This Row],[UF]],'BASE CC'!B:C,2,0)="SP",IF(Tabela6[[#This Row],[OPERADORA]]="TIM","SP TIM","SPI"),VLOOKUP(Tabela6[[#This Row],[UF]],'BASE CC'!B:C,2,0))</f>
        <v>#N/A</v>
      </c>
      <c r="B719" s="36" t="e">
        <f>VLOOKUP(Tabela_Base_Financeiro[[#This Row],[Item code]],'COD.FAT'!B:C,2,0)</f>
        <v>#N/A</v>
      </c>
      <c r="C719" s="292">
        <f>Tabela_Base_Financeiro[[#This Row],[PO Ship TO]]</f>
        <v>0</v>
      </c>
      <c r="D719" s="36" t="str">
        <f>RIGHT(Tabela_Base_Financeiro[[#This Row],[Manufacturer]],2)</f>
        <v/>
      </c>
      <c r="E71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19" s="122" t="e">
        <f>VLOOKUP(Tabela_Base_Financeiro[[#This Row],[Project Code]],'COD. PROJETOS'!B:D,3,0)</f>
        <v>#N/A</v>
      </c>
      <c r="G719" s="36">
        <f>IFERROR(Tabela_Base_Financeiro[[#This Row],[PO No,]],0)</f>
        <v>0</v>
      </c>
      <c r="H719" s="36">
        <f>IFERROR(Tabela_Base_Financeiro[[#This Row],[Line No,]],0)</f>
        <v>0</v>
      </c>
      <c r="I719" s="36" t="str">
        <f>IFERROR(MID(Tabela_Base_Financeiro[[#This Row],[Manufacturer]],19,14),"")</f>
        <v/>
      </c>
      <c r="J719" s="113">
        <f>IFERROR(Tabela_Base_Financeiro[[#This Row],[Item code]],0)</f>
        <v>0</v>
      </c>
      <c r="K719" s="293">
        <f>IFERROR(Tabela_Base_Financeiro[[#This Row],[Unit Price]],0)</f>
        <v>0</v>
      </c>
      <c r="L719" s="36">
        <f>IFERROR(Tabela_Base_Financeiro[[#This Row],[AC Qty,]],0)</f>
        <v>0</v>
      </c>
      <c r="M719" s="60">
        <f>Tabela6[[#This Row],[Qty]]*Tabela6[[#This Row],[Preço]]</f>
        <v>0</v>
      </c>
      <c r="N719" s="37">
        <f>IFERROR(Tabela_Base_Financeiro[[#This Row],[Proportion]],0)</f>
        <v>0</v>
      </c>
      <c r="O719" s="60">
        <f>Tabela6[[#This Row],[Proporção]]*Tabela6[[#This Row],[Total]]</f>
        <v>0</v>
      </c>
      <c r="P719"/>
      <c r="Q719" s="59"/>
      <c r="R719" s="1"/>
    </row>
    <row r="720" spans="1:18">
      <c r="A720" s="122" t="e">
        <f>IF(VLOOKUP(Tabela6[[#This Row],[UF]],'BASE CC'!B:C,2,0)="SP",IF(Tabela6[[#This Row],[OPERADORA]]="TIM","SP TIM","SPI"),VLOOKUP(Tabela6[[#This Row],[UF]],'BASE CC'!B:C,2,0))</f>
        <v>#N/A</v>
      </c>
      <c r="B720" s="36" t="e">
        <f>VLOOKUP(Tabela_Base_Financeiro[[#This Row],[Item code]],'COD.FAT'!B:C,2,0)</f>
        <v>#N/A</v>
      </c>
      <c r="C720" s="292">
        <f>Tabela_Base_Financeiro[[#This Row],[PO Ship TO]]</f>
        <v>0</v>
      </c>
      <c r="D720" s="36" t="str">
        <f>RIGHT(Tabela_Base_Financeiro[[#This Row],[Manufacturer]],2)</f>
        <v/>
      </c>
      <c r="E72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20" s="122" t="e">
        <f>VLOOKUP(Tabela_Base_Financeiro[[#This Row],[Project Code]],'COD. PROJETOS'!B:D,3,0)</f>
        <v>#N/A</v>
      </c>
      <c r="G720" s="36">
        <f>IFERROR(Tabela_Base_Financeiro[[#This Row],[PO No,]],0)</f>
        <v>0</v>
      </c>
      <c r="H720" s="36">
        <f>IFERROR(Tabela_Base_Financeiro[[#This Row],[Line No,]],0)</f>
        <v>0</v>
      </c>
      <c r="I720" s="36" t="str">
        <f>IFERROR(MID(Tabela_Base_Financeiro[[#This Row],[Manufacturer]],19,14),"")</f>
        <v/>
      </c>
      <c r="J720" s="113">
        <f>IFERROR(Tabela_Base_Financeiro[[#This Row],[Item code]],0)</f>
        <v>0</v>
      </c>
      <c r="K720" s="293">
        <f>IFERROR(Tabela_Base_Financeiro[[#This Row],[Unit Price]],0)</f>
        <v>0</v>
      </c>
      <c r="L720" s="36">
        <f>IFERROR(Tabela_Base_Financeiro[[#This Row],[AC Qty,]],0)</f>
        <v>0</v>
      </c>
      <c r="M720" s="60">
        <f>Tabela6[[#This Row],[Qty]]*Tabela6[[#This Row],[Preço]]</f>
        <v>0</v>
      </c>
      <c r="N720" s="37">
        <f>IFERROR(Tabela_Base_Financeiro[[#This Row],[Proportion]],0)</f>
        <v>0</v>
      </c>
      <c r="O720" s="60">
        <f>Tabela6[[#This Row],[Proporção]]*Tabela6[[#This Row],[Total]]</f>
        <v>0</v>
      </c>
      <c r="P720"/>
      <c r="Q720" s="59"/>
      <c r="R720" s="1"/>
    </row>
    <row r="721" spans="1:18">
      <c r="A721" s="122" t="e">
        <f>IF(VLOOKUP(Tabela6[[#This Row],[UF]],'BASE CC'!B:C,2,0)="SP",IF(Tabela6[[#This Row],[OPERADORA]]="TIM","SP TIM","SPI"),VLOOKUP(Tabela6[[#This Row],[UF]],'BASE CC'!B:C,2,0))</f>
        <v>#N/A</v>
      </c>
      <c r="B721" s="36" t="e">
        <f>VLOOKUP(Tabela_Base_Financeiro[[#This Row],[Item code]],'COD.FAT'!B:C,2,0)</f>
        <v>#N/A</v>
      </c>
      <c r="C721" s="292">
        <f>Tabela_Base_Financeiro[[#This Row],[PO Ship TO]]</f>
        <v>0</v>
      </c>
      <c r="D721" s="36" t="str">
        <f>RIGHT(Tabela_Base_Financeiro[[#This Row],[Manufacturer]],2)</f>
        <v/>
      </c>
      <c r="E72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21" s="122" t="e">
        <f>VLOOKUP(Tabela_Base_Financeiro[[#This Row],[Project Code]],'COD. PROJETOS'!B:D,3,0)</f>
        <v>#N/A</v>
      </c>
      <c r="G721" s="36">
        <f>IFERROR(Tabela_Base_Financeiro[[#This Row],[PO No,]],0)</f>
        <v>0</v>
      </c>
      <c r="H721" s="36">
        <f>IFERROR(Tabela_Base_Financeiro[[#This Row],[Line No,]],0)</f>
        <v>0</v>
      </c>
      <c r="I721" s="36" t="str">
        <f>IFERROR(MID(Tabela_Base_Financeiro[[#This Row],[Manufacturer]],19,14),"")</f>
        <v/>
      </c>
      <c r="J721" s="113">
        <f>IFERROR(Tabela_Base_Financeiro[[#This Row],[Item code]],0)</f>
        <v>0</v>
      </c>
      <c r="K721" s="293">
        <f>IFERROR(Tabela_Base_Financeiro[[#This Row],[Unit Price]],0)</f>
        <v>0</v>
      </c>
      <c r="L721" s="36">
        <f>IFERROR(Tabela_Base_Financeiro[[#This Row],[AC Qty,]],0)</f>
        <v>0</v>
      </c>
      <c r="M721" s="60">
        <f>Tabela6[[#This Row],[Qty]]*Tabela6[[#This Row],[Preço]]</f>
        <v>0</v>
      </c>
      <c r="N721" s="37">
        <f>IFERROR(Tabela_Base_Financeiro[[#This Row],[Proportion]],0)</f>
        <v>0</v>
      </c>
      <c r="O721" s="60">
        <f>Tabela6[[#This Row],[Proporção]]*Tabela6[[#This Row],[Total]]</f>
        <v>0</v>
      </c>
      <c r="P721"/>
      <c r="Q721" s="59"/>
      <c r="R721" s="1"/>
    </row>
    <row r="722" spans="1:18">
      <c r="A722" s="122" t="e">
        <f>IF(VLOOKUP(Tabela6[[#This Row],[UF]],'BASE CC'!B:C,2,0)="SP",IF(Tabela6[[#This Row],[OPERADORA]]="TIM","SP TIM","SPI"),VLOOKUP(Tabela6[[#This Row],[UF]],'BASE CC'!B:C,2,0))</f>
        <v>#N/A</v>
      </c>
      <c r="B722" s="36" t="e">
        <f>VLOOKUP(Tabela_Base_Financeiro[[#This Row],[Item code]],'COD.FAT'!B:C,2,0)</f>
        <v>#N/A</v>
      </c>
      <c r="C722" s="292">
        <f>Tabela_Base_Financeiro[[#This Row],[PO Ship TO]]</f>
        <v>0</v>
      </c>
      <c r="D722" s="36" t="str">
        <f>RIGHT(Tabela_Base_Financeiro[[#This Row],[Manufacturer]],2)</f>
        <v/>
      </c>
      <c r="E72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22" s="122" t="e">
        <f>VLOOKUP(Tabela_Base_Financeiro[[#This Row],[Project Code]],'COD. PROJETOS'!B:D,3,0)</f>
        <v>#N/A</v>
      </c>
      <c r="G722" s="36">
        <f>IFERROR(Tabela_Base_Financeiro[[#This Row],[PO No,]],0)</f>
        <v>0</v>
      </c>
      <c r="H722" s="36">
        <f>IFERROR(Tabela_Base_Financeiro[[#This Row],[Line No,]],0)</f>
        <v>0</v>
      </c>
      <c r="I722" s="36" t="str">
        <f>IFERROR(MID(Tabela_Base_Financeiro[[#This Row],[Manufacturer]],19,14),"")</f>
        <v/>
      </c>
      <c r="J722" s="113">
        <f>IFERROR(Tabela_Base_Financeiro[[#This Row],[Item code]],0)</f>
        <v>0</v>
      </c>
      <c r="K722" s="293">
        <f>IFERROR(Tabela_Base_Financeiro[[#This Row],[Unit Price]],0)</f>
        <v>0</v>
      </c>
      <c r="L722" s="36">
        <f>IFERROR(Tabela_Base_Financeiro[[#This Row],[AC Qty,]],0)</f>
        <v>0</v>
      </c>
      <c r="M722" s="60">
        <f>Tabela6[[#This Row],[Qty]]*Tabela6[[#This Row],[Preço]]</f>
        <v>0</v>
      </c>
      <c r="N722" s="37">
        <f>IFERROR(Tabela_Base_Financeiro[[#This Row],[Proportion]],0)</f>
        <v>0</v>
      </c>
      <c r="O722" s="60">
        <f>Tabela6[[#This Row],[Proporção]]*Tabela6[[#This Row],[Total]]</f>
        <v>0</v>
      </c>
      <c r="P722"/>
      <c r="Q722" s="59"/>
      <c r="R722" s="1"/>
    </row>
    <row r="723" spans="1:18">
      <c r="A723" s="122" t="e">
        <f>IF(VLOOKUP(Tabela6[[#This Row],[UF]],'BASE CC'!B:C,2,0)="SP",IF(Tabela6[[#This Row],[OPERADORA]]="TIM","SP TIM","SPI"),VLOOKUP(Tabela6[[#This Row],[UF]],'BASE CC'!B:C,2,0))</f>
        <v>#N/A</v>
      </c>
      <c r="B723" s="36" t="e">
        <f>VLOOKUP(Tabela_Base_Financeiro[[#This Row],[Item code]],'COD.FAT'!B:C,2,0)</f>
        <v>#N/A</v>
      </c>
      <c r="C723" s="292">
        <f>Tabela_Base_Financeiro[[#This Row],[PO Ship TO]]</f>
        <v>0</v>
      </c>
      <c r="D723" s="36" t="str">
        <f>RIGHT(Tabela_Base_Financeiro[[#This Row],[Manufacturer]],2)</f>
        <v/>
      </c>
      <c r="E72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23" s="122" t="e">
        <f>VLOOKUP(Tabela_Base_Financeiro[[#This Row],[Project Code]],'COD. PROJETOS'!B:D,3,0)</f>
        <v>#N/A</v>
      </c>
      <c r="G723" s="36">
        <f>IFERROR(Tabela_Base_Financeiro[[#This Row],[PO No,]],0)</f>
        <v>0</v>
      </c>
      <c r="H723" s="36">
        <f>IFERROR(Tabela_Base_Financeiro[[#This Row],[Line No,]],0)</f>
        <v>0</v>
      </c>
      <c r="I723" s="36" t="str">
        <f>IFERROR(MID(Tabela_Base_Financeiro[[#This Row],[Manufacturer]],19,14),"")</f>
        <v/>
      </c>
      <c r="J723" s="113">
        <f>IFERROR(Tabela_Base_Financeiro[[#This Row],[Item code]],0)</f>
        <v>0</v>
      </c>
      <c r="K723" s="293">
        <f>IFERROR(Tabela_Base_Financeiro[[#This Row],[Unit Price]],0)</f>
        <v>0</v>
      </c>
      <c r="L723" s="36">
        <f>IFERROR(Tabela_Base_Financeiro[[#This Row],[AC Qty,]],0)</f>
        <v>0</v>
      </c>
      <c r="M723" s="60">
        <f>Tabela6[[#This Row],[Qty]]*Tabela6[[#This Row],[Preço]]</f>
        <v>0</v>
      </c>
      <c r="N723" s="37">
        <f>IFERROR(Tabela_Base_Financeiro[[#This Row],[Proportion]],0)</f>
        <v>0</v>
      </c>
      <c r="O723" s="60">
        <f>Tabela6[[#This Row],[Proporção]]*Tabela6[[#This Row],[Total]]</f>
        <v>0</v>
      </c>
      <c r="P723"/>
      <c r="Q723" s="59"/>
      <c r="R723" s="1"/>
    </row>
    <row r="724" spans="1:18">
      <c r="A724" s="122" t="e">
        <f>IF(VLOOKUP(Tabela6[[#This Row],[UF]],'BASE CC'!B:C,2,0)="SP",IF(Tabela6[[#This Row],[OPERADORA]]="TIM","SP TIM","SPI"),VLOOKUP(Tabela6[[#This Row],[UF]],'BASE CC'!B:C,2,0))</f>
        <v>#N/A</v>
      </c>
      <c r="B724" s="36" t="e">
        <f>VLOOKUP(Tabela_Base_Financeiro[[#This Row],[Item code]],'COD.FAT'!B:C,2,0)</f>
        <v>#N/A</v>
      </c>
      <c r="C724" s="292">
        <f>Tabela_Base_Financeiro[[#This Row],[PO Ship TO]]</f>
        <v>0</v>
      </c>
      <c r="D724" s="36" t="str">
        <f>RIGHT(Tabela_Base_Financeiro[[#This Row],[Manufacturer]],2)</f>
        <v/>
      </c>
      <c r="E72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24" s="122" t="e">
        <f>VLOOKUP(Tabela_Base_Financeiro[[#This Row],[Project Code]],'COD. PROJETOS'!B:D,3,0)</f>
        <v>#N/A</v>
      </c>
      <c r="G724" s="36">
        <f>IFERROR(Tabela_Base_Financeiro[[#This Row],[PO No,]],0)</f>
        <v>0</v>
      </c>
      <c r="H724" s="36">
        <f>IFERROR(Tabela_Base_Financeiro[[#This Row],[Line No,]],0)</f>
        <v>0</v>
      </c>
      <c r="I724" s="36" t="str">
        <f>IFERROR(MID(Tabela_Base_Financeiro[[#This Row],[Manufacturer]],19,14),"")</f>
        <v/>
      </c>
      <c r="J724" s="113">
        <f>IFERROR(Tabela_Base_Financeiro[[#This Row],[Item code]],0)</f>
        <v>0</v>
      </c>
      <c r="K724" s="293">
        <f>IFERROR(Tabela_Base_Financeiro[[#This Row],[Unit Price]],0)</f>
        <v>0</v>
      </c>
      <c r="L724" s="36">
        <f>IFERROR(Tabela_Base_Financeiro[[#This Row],[AC Qty,]],0)</f>
        <v>0</v>
      </c>
      <c r="M724" s="60">
        <f>Tabela6[[#This Row],[Qty]]*Tabela6[[#This Row],[Preço]]</f>
        <v>0</v>
      </c>
      <c r="N724" s="37">
        <f>IFERROR(Tabela_Base_Financeiro[[#This Row],[Proportion]],0)</f>
        <v>0</v>
      </c>
      <c r="O724" s="60">
        <f>Tabela6[[#This Row],[Proporção]]*Tabela6[[#This Row],[Total]]</f>
        <v>0</v>
      </c>
      <c r="P724"/>
      <c r="Q724" s="59"/>
      <c r="R724" s="1"/>
    </row>
    <row r="725" spans="1:18">
      <c r="A725" s="122" t="e">
        <f>IF(VLOOKUP(Tabela6[[#This Row],[UF]],'BASE CC'!B:C,2,0)="SP",IF(Tabela6[[#This Row],[OPERADORA]]="TIM","SP TIM","SPI"),VLOOKUP(Tabela6[[#This Row],[UF]],'BASE CC'!B:C,2,0))</f>
        <v>#N/A</v>
      </c>
      <c r="B725" s="36" t="e">
        <f>VLOOKUP(Tabela_Base_Financeiro[[#This Row],[Item code]],'COD.FAT'!B:C,2,0)</f>
        <v>#N/A</v>
      </c>
      <c r="C725" s="292">
        <f>Tabela_Base_Financeiro[[#This Row],[PO Ship TO]]</f>
        <v>0</v>
      </c>
      <c r="D725" s="36" t="str">
        <f>RIGHT(Tabela_Base_Financeiro[[#This Row],[Manufacturer]],2)</f>
        <v/>
      </c>
      <c r="E72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25" s="122" t="e">
        <f>VLOOKUP(Tabela_Base_Financeiro[[#This Row],[Project Code]],'COD. PROJETOS'!B:D,3,0)</f>
        <v>#N/A</v>
      </c>
      <c r="G725" s="36">
        <f>IFERROR(Tabela_Base_Financeiro[[#This Row],[PO No,]],0)</f>
        <v>0</v>
      </c>
      <c r="H725" s="36">
        <f>IFERROR(Tabela_Base_Financeiro[[#This Row],[Line No,]],0)</f>
        <v>0</v>
      </c>
      <c r="I725" s="36" t="str">
        <f>IFERROR(MID(Tabela_Base_Financeiro[[#This Row],[Manufacturer]],19,14),"")</f>
        <v/>
      </c>
      <c r="J725" s="113">
        <f>IFERROR(Tabela_Base_Financeiro[[#This Row],[Item code]],0)</f>
        <v>0</v>
      </c>
      <c r="K725" s="293">
        <f>IFERROR(Tabela_Base_Financeiro[[#This Row],[Unit Price]],0)</f>
        <v>0</v>
      </c>
      <c r="L725" s="36">
        <f>IFERROR(Tabela_Base_Financeiro[[#This Row],[AC Qty,]],0)</f>
        <v>0</v>
      </c>
      <c r="M725" s="60">
        <f>Tabela6[[#This Row],[Qty]]*Tabela6[[#This Row],[Preço]]</f>
        <v>0</v>
      </c>
      <c r="N725" s="37">
        <f>IFERROR(Tabela_Base_Financeiro[[#This Row],[Proportion]],0)</f>
        <v>0</v>
      </c>
      <c r="O725" s="60">
        <f>Tabela6[[#This Row],[Proporção]]*Tabela6[[#This Row],[Total]]</f>
        <v>0</v>
      </c>
      <c r="P725"/>
      <c r="Q725" s="59"/>
      <c r="R725" s="1"/>
    </row>
    <row r="726" spans="1:18">
      <c r="A726" s="122" t="e">
        <f>IF(VLOOKUP(Tabela6[[#This Row],[UF]],'BASE CC'!B:C,2,0)="SP",IF(Tabela6[[#This Row],[OPERADORA]]="TIM","SP TIM","SPI"),VLOOKUP(Tabela6[[#This Row],[UF]],'BASE CC'!B:C,2,0))</f>
        <v>#N/A</v>
      </c>
      <c r="B726" s="36" t="e">
        <f>VLOOKUP(Tabela_Base_Financeiro[[#This Row],[Item code]],'COD.FAT'!B:C,2,0)</f>
        <v>#N/A</v>
      </c>
      <c r="C726" s="292">
        <f>Tabela_Base_Financeiro[[#This Row],[PO Ship TO]]</f>
        <v>0</v>
      </c>
      <c r="D726" s="36" t="str">
        <f>RIGHT(Tabela_Base_Financeiro[[#This Row],[Manufacturer]],2)</f>
        <v/>
      </c>
      <c r="E72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26" s="122" t="e">
        <f>VLOOKUP(Tabela_Base_Financeiro[[#This Row],[Project Code]],'COD. PROJETOS'!B:D,3,0)</f>
        <v>#N/A</v>
      </c>
      <c r="G726" s="36">
        <f>IFERROR(Tabela_Base_Financeiro[[#This Row],[PO No,]],0)</f>
        <v>0</v>
      </c>
      <c r="H726" s="36">
        <f>IFERROR(Tabela_Base_Financeiro[[#This Row],[Line No,]],0)</f>
        <v>0</v>
      </c>
      <c r="I726" s="36" t="str">
        <f>IFERROR(MID(Tabela_Base_Financeiro[[#This Row],[Manufacturer]],19,14),"")</f>
        <v/>
      </c>
      <c r="J726" s="113">
        <f>IFERROR(Tabela_Base_Financeiro[[#This Row],[Item code]],0)</f>
        <v>0</v>
      </c>
      <c r="K726" s="293">
        <f>IFERROR(Tabela_Base_Financeiro[[#This Row],[Unit Price]],0)</f>
        <v>0</v>
      </c>
      <c r="L726" s="36">
        <f>IFERROR(Tabela_Base_Financeiro[[#This Row],[AC Qty,]],0)</f>
        <v>0</v>
      </c>
      <c r="M726" s="60">
        <f>Tabela6[[#This Row],[Qty]]*Tabela6[[#This Row],[Preço]]</f>
        <v>0</v>
      </c>
      <c r="N726" s="37">
        <f>IFERROR(Tabela_Base_Financeiro[[#This Row],[Proportion]],0)</f>
        <v>0</v>
      </c>
      <c r="O726" s="60">
        <f>Tabela6[[#This Row],[Proporção]]*Tabela6[[#This Row],[Total]]</f>
        <v>0</v>
      </c>
      <c r="P726"/>
      <c r="Q726" s="59"/>
      <c r="R726" s="1"/>
    </row>
    <row r="727" spans="1:18">
      <c r="A727" s="122" t="e">
        <f>IF(VLOOKUP(Tabela6[[#This Row],[UF]],'BASE CC'!B:C,2,0)="SP",IF(Tabela6[[#This Row],[OPERADORA]]="TIM","SP TIM","SPI"),VLOOKUP(Tabela6[[#This Row],[UF]],'BASE CC'!B:C,2,0))</f>
        <v>#N/A</v>
      </c>
      <c r="B727" s="36" t="e">
        <f>VLOOKUP(Tabela_Base_Financeiro[[#This Row],[Item code]],'COD.FAT'!B:C,2,0)</f>
        <v>#N/A</v>
      </c>
      <c r="C727" s="292">
        <f>Tabela_Base_Financeiro[[#This Row],[PO Ship TO]]</f>
        <v>0</v>
      </c>
      <c r="D727" s="36" t="str">
        <f>RIGHT(Tabela_Base_Financeiro[[#This Row],[Manufacturer]],2)</f>
        <v/>
      </c>
      <c r="E72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27" s="122" t="e">
        <f>VLOOKUP(Tabela_Base_Financeiro[[#This Row],[Project Code]],'COD. PROJETOS'!B:D,3,0)</f>
        <v>#N/A</v>
      </c>
      <c r="G727" s="36">
        <f>IFERROR(Tabela_Base_Financeiro[[#This Row],[PO No,]],0)</f>
        <v>0</v>
      </c>
      <c r="H727" s="36">
        <f>IFERROR(Tabela_Base_Financeiro[[#This Row],[Line No,]],0)</f>
        <v>0</v>
      </c>
      <c r="I727" s="36" t="str">
        <f>IFERROR(MID(Tabela_Base_Financeiro[[#This Row],[Manufacturer]],19,14),"")</f>
        <v/>
      </c>
      <c r="J727" s="113">
        <f>IFERROR(Tabela_Base_Financeiro[[#This Row],[Item code]],0)</f>
        <v>0</v>
      </c>
      <c r="K727" s="293">
        <f>IFERROR(Tabela_Base_Financeiro[[#This Row],[Unit Price]],0)</f>
        <v>0</v>
      </c>
      <c r="L727" s="36">
        <f>IFERROR(Tabela_Base_Financeiro[[#This Row],[AC Qty,]],0)</f>
        <v>0</v>
      </c>
      <c r="M727" s="60">
        <f>Tabela6[[#This Row],[Qty]]*Tabela6[[#This Row],[Preço]]</f>
        <v>0</v>
      </c>
      <c r="N727" s="37">
        <f>IFERROR(Tabela_Base_Financeiro[[#This Row],[Proportion]],0)</f>
        <v>0</v>
      </c>
      <c r="O727" s="60">
        <f>Tabela6[[#This Row],[Proporção]]*Tabela6[[#This Row],[Total]]</f>
        <v>0</v>
      </c>
      <c r="P727"/>
      <c r="Q727" s="59"/>
      <c r="R727" s="1"/>
    </row>
    <row r="728" spans="1:18">
      <c r="A728" s="122" t="e">
        <f>IF(VLOOKUP(Tabela6[[#This Row],[UF]],'BASE CC'!B:C,2,0)="SP",IF(Tabela6[[#This Row],[OPERADORA]]="TIM","SP TIM","SPI"),VLOOKUP(Tabela6[[#This Row],[UF]],'BASE CC'!B:C,2,0))</f>
        <v>#N/A</v>
      </c>
      <c r="B728" s="36" t="e">
        <f>VLOOKUP(Tabela_Base_Financeiro[[#This Row],[Item code]],'COD.FAT'!B:C,2,0)</f>
        <v>#N/A</v>
      </c>
      <c r="C728" s="292">
        <f>Tabela_Base_Financeiro[[#This Row],[PO Ship TO]]</f>
        <v>0</v>
      </c>
      <c r="D728" s="36" t="str">
        <f>RIGHT(Tabela_Base_Financeiro[[#This Row],[Manufacturer]],2)</f>
        <v/>
      </c>
      <c r="E72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28" s="122" t="e">
        <f>VLOOKUP(Tabela_Base_Financeiro[[#This Row],[Project Code]],'COD. PROJETOS'!B:D,3,0)</f>
        <v>#N/A</v>
      </c>
      <c r="G728" s="36">
        <f>IFERROR(Tabela_Base_Financeiro[[#This Row],[PO No,]],0)</f>
        <v>0</v>
      </c>
      <c r="H728" s="36">
        <f>IFERROR(Tabela_Base_Financeiro[[#This Row],[Line No,]],0)</f>
        <v>0</v>
      </c>
      <c r="I728" s="36" t="str">
        <f>IFERROR(MID(Tabela_Base_Financeiro[[#This Row],[Manufacturer]],19,14),"")</f>
        <v/>
      </c>
      <c r="J728" s="113">
        <f>IFERROR(Tabela_Base_Financeiro[[#This Row],[Item code]],0)</f>
        <v>0</v>
      </c>
      <c r="K728" s="293">
        <f>IFERROR(Tabela_Base_Financeiro[[#This Row],[Unit Price]],0)</f>
        <v>0</v>
      </c>
      <c r="L728" s="36">
        <f>IFERROR(Tabela_Base_Financeiro[[#This Row],[AC Qty,]],0)</f>
        <v>0</v>
      </c>
      <c r="M728" s="60">
        <f>Tabela6[[#This Row],[Qty]]*Tabela6[[#This Row],[Preço]]</f>
        <v>0</v>
      </c>
      <c r="N728" s="37">
        <f>IFERROR(Tabela_Base_Financeiro[[#This Row],[Proportion]],0)</f>
        <v>0</v>
      </c>
      <c r="O728" s="60">
        <f>Tabela6[[#This Row],[Proporção]]*Tabela6[[#This Row],[Total]]</f>
        <v>0</v>
      </c>
      <c r="P728"/>
      <c r="Q728" s="59"/>
      <c r="R728" s="1"/>
    </row>
    <row r="729" spans="1:18">
      <c r="A729" s="122" t="e">
        <f>IF(VLOOKUP(Tabela6[[#This Row],[UF]],'BASE CC'!B:C,2,0)="SP",IF(Tabela6[[#This Row],[OPERADORA]]="TIM","SP TIM","SPI"),VLOOKUP(Tabela6[[#This Row],[UF]],'BASE CC'!B:C,2,0))</f>
        <v>#N/A</v>
      </c>
      <c r="B729" s="36" t="e">
        <f>VLOOKUP(Tabela_Base_Financeiro[[#This Row],[Item code]],'COD.FAT'!B:C,2,0)</f>
        <v>#N/A</v>
      </c>
      <c r="C729" s="292">
        <f>Tabela_Base_Financeiro[[#This Row],[PO Ship TO]]</f>
        <v>0</v>
      </c>
      <c r="D729" s="36" t="str">
        <f>RIGHT(Tabela_Base_Financeiro[[#This Row],[Manufacturer]],2)</f>
        <v/>
      </c>
      <c r="E72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29" s="122" t="e">
        <f>VLOOKUP(Tabela_Base_Financeiro[[#This Row],[Project Code]],'COD. PROJETOS'!B:D,3,0)</f>
        <v>#N/A</v>
      </c>
      <c r="G729" s="36">
        <f>IFERROR(Tabela_Base_Financeiro[[#This Row],[PO No,]],0)</f>
        <v>0</v>
      </c>
      <c r="H729" s="36">
        <f>IFERROR(Tabela_Base_Financeiro[[#This Row],[Line No,]],0)</f>
        <v>0</v>
      </c>
      <c r="I729" s="36" t="str">
        <f>IFERROR(MID(Tabela_Base_Financeiro[[#This Row],[Manufacturer]],19,14),"")</f>
        <v/>
      </c>
      <c r="J729" s="113">
        <f>IFERROR(Tabela_Base_Financeiro[[#This Row],[Item code]],0)</f>
        <v>0</v>
      </c>
      <c r="K729" s="293">
        <f>IFERROR(Tabela_Base_Financeiro[[#This Row],[Unit Price]],0)</f>
        <v>0</v>
      </c>
      <c r="L729" s="36">
        <f>IFERROR(Tabela_Base_Financeiro[[#This Row],[AC Qty,]],0)</f>
        <v>0</v>
      </c>
      <c r="M729" s="60">
        <f>Tabela6[[#This Row],[Qty]]*Tabela6[[#This Row],[Preço]]</f>
        <v>0</v>
      </c>
      <c r="N729" s="37">
        <f>IFERROR(Tabela_Base_Financeiro[[#This Row],[Proportion]],0)</f>
        <v>0</v>
      </c>
      <c r="O729" s="60">
        <f>Tabela6[[#This Row],[Proporção]]*Tabela6[[#This Row],[Total]]</f>
        <v>0</v>
      </c>
      <c r="P729"/>
      <c r="Q729" s="59"/>
      <c r="R729" s="1"/>
    </row>
    <row r="730" spans="1:18">
      <c r="A730" s="122" t="e">
        <f>IF(VLOOKUP(Tabela6[[#This Row],[UF]],'BASE CC'!B:C,2,0)="SP",IF(Tabela6[[#This Row],[OPERADORA]]="TIM","SP TIM","SPI"),VLOOKUP(Tabela6[[#This Row],[UF]],'BASE CC'!B:C,2,0))</f>
        <v>#N/A</v>
      </c>
      <c r="B730" s="36" t="e">
        <f>VLOOKUP(Tabela_Base_Financeiro[[#This Row],[Item code]],'COD.FAT'!B:C,2,0)</f>
        <v>#N/A</v>
      </c>
      <c r="C730" s="292">
        <f>Tabela_Base_Financeiro[[#This Row],[PO Ship TO]]</f>
        <v>0</v>
      </c>
      <c r="D730" s="36" t="str">
        <f>RIGHT(Tabela_Base_Financeiro[[#This Row],[Manufacturer]],2)</f>
        <v/>
      </c>
      <c r="E73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30" s="122" t="e">
        <f>VLOOKUP(Tabela_Base_Financeiro[[#This Row],[Project Code]],'COD. PROJETOS'!B:D,3,0)</f>
        <v>#N/A</v>
      </c>
      <c r="G730" s="36">
        <f>IFERROR(Tabela_Base_Financeiro[[#This Row],[PO No,]],0)</f>
        <v>0</v>
      </c>
      <c r="H730" s="36">
        <f>IFERROR(Tabela_Base_Financeiro[[#This Row],[Line No,]],0)</f>
        <v>0</v>
      </c>
      <c r="I730" s="36" t="str">
        <f>IFERROR(MID(Tabela_Base_Financeiro[[#This Row],[Manufacturer]],19,14),"")</f>
        <v/>
      </c>
      <c r="J730" s="113">
        <f>IFERROR(Tabela_Base_Financeiro[[#This Row],[Item code]],0)</f>
        <v>0</v>
      </c>
      <c r="K730" s="293">
        <f>IFERROR(Tabela_Base_Financeiro[[#This Row],[Unit Price]],0)</f>
        <v>0</v>
      </c>
      <c r="L730" s="36">
        <f>IFERROR(Tabela_Base_Financeiro[[#This Row],[AC Qty,]],0)</f>
        <v>0</v>
      </c>
      <c r="M730" s="60">
        <f>Tabela6[[#This Row],[Qty]]*Tabela6[[#This Row],[Preço]]</f>
        <v>0</v>
      </c>
      <c r="N730" s="37">
        <f>IFERROR(Tabela_Base_Financeiro[[#This Row],[Proportion]],0)</f>
        <v>0</v>
      </c>
      <c r="O730" s="60">
        <f>Tabela6[[#This Row],[Proporção]]*Tabela6[[#This Row],[Total]]</f>
        <v>0</v>
      </c>
      <c r="P730"/>
      <c r="Q730" s="59"/>
      <c r="R730" s="1"/>
    </row>
    <row r="731" spans="1:18">
      <c r="A731" s="122" t="e">
        <f>IF(VLOOKUP(Tabela6[[#This Row],[UF]],'BASE CC'!B:C,2,0)="SP",IF(Tabela6[[#This Row],[OPERADORA]]="TIM","SP TIM","SPI"),VLOOKUP(Tabela6[[#This Row],[UF]],'BASE CC'!B:C,2,0))</f>
        <v>#N/A</v>
      </c>
      <c r="B731" s="36" t="e">
        <f>VLOOKUP(Tabela_Base_Financeiro[[#This Row],[Item code]],'COD.FAT'!B:C,2,0)</f>
        <v>#N/A</v>
      </c>
      <c r="C731" s="292">
        <f>Tabela_Base_Financeiro[[#This Row],[PO Ship TO]]</f>
        <v>0</v>
      </c>
      <c r="D731" s="36" t="str">
        <f>RIGHT(Tabela_Base_Financeiro[[#This Row],[Manufacturer]],2)</f>
        <v/>
      </c>
      <c r="E73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31" s="122" t="e">
        <f>VLOOKUP(Tabela_Base_Financeiro[[#This Row],[Project Code]],'COD. PROJETOS'!B:D,3,0)</f>
        <v>#N/A</v>
      </c>
      <c r="G731" s="36">
        <f>IFERROR(Tabela_Base_Financeiro[[#This Row],[PO No,]],0)</f>
        <v>0</v>
      </c>
      <c r="H731" s="36">
        <f>IFERROR(Tabela_Base_Financeiro[[#This Row],[Line No,]],0)</f>
        <v>0</v>
      </c>
      <c r="I731" s="36" t="str">
        <f>IFERROR(MID(Tabela_Base_Financeiro[[#This Row],[Manufacturer]],19,14),"")</f>
        <v/>
      </c>
      <c r="J731" s="113">
        <f>IFERROR(Tabela_Base_Financeiro[[#This Row],[Item code]],0)</f>
        <v>0</v>
      </c>
      <c r="K731" s="293">
        <f>IFERROR(Tabela_Base_Financeiro[[#This Row],[Unit Price]],0)</f>
        <v>0</v>
      </c>
      <c r="L731" s="36">
        <f>IFERROR(Tabela_Base_Financeiro[[#This Row],[AC Qty,]],0)</f>
        <v>0</v>
      </c>
      <c r="M731" s="60">
        <f>Tabela6[[#This Row],[Qty]]*Tabela6[[#This Row],[Preço]]</f>
        <v>0</v>
      </c>
      <c r="N731" s="37">
        <f>IFERROR(Tabela_Base_Financeiro[[#This Row],[Proportion]],0)</f>
        <v>0</v>
      </c>
      <c r="O731" s="60">
        <f>Tabela6[[#This Row],[Proporção]]*Tabela6[[#This Row],[Total]]</f>
        <v>0</v>
      </c>
      <c r="P731"/>
      <c r="Q731" s="59"/>
      <c r="R731" s="1"/>
    </row>
    <row r="732" spans="1:18">
      <c r="A732" s="122" t="e">
        <f>IF(VLOOKUP(Tabela6[[#This Row],[UF]],'BASE CC'!B:C,2,0)="SP",IF(Tabela6[[#This Row],[OPERADORA]]="TIM","SP TIM","SPI"),VLOOKUP(Tabela6[[#This Row],[UF]],'BASE CC'!B:C,2,0))</f>
        <v>#N/A</v>
      </c>
      <c r="B732" s="36" t="e">
        <f>VLOOKUP(Tabela_Base_Financeiro[[#This Row],[Item code]],'COD.FAT'!B:C,2,0)</f>
        <v>#N/A</v>
      </c>
      <c r="C732" s="292">
        <f>Tabela_Base_Financeiro[[#This Row],[PO Ship TO]]</f>
        <v>0</v>
      </c>
      <c r="D732" s="36" t="str">
        <f>RIGHT(Tabela_Base_Financeiro[[#This Row],[Manufacturer]],2)</f>
        <v/>
      </c>
      <c r="E73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32" s="122" t="e">
        <f>VLOOKUP(Tabela_Base_Financeiro[[#This Row],[Project Code]],'COD. PROJETOS'!B:D,3,0)</f>
        <v>#N/A</v>
      </c>
      <c r="G732" s="36">
        <f>IFERROR(Tabela_Base_Financeiro[[#This Row],[PO No,]],0)</f>
        <v>0</v>
      </c>
      <c r="H732" s="36">
        <f>IFERROR(Tabela_Base_Financeiro[[#This Row],[Line No,]],0)</f>
        <v>0</v>
      </c>
      <c r="I732" s="36" t="str">
        <f>IFERROR(MID(Tabela_Base_Financeiro[[#This Row],[Manufacturer]],19,14),"")</f>
        <v/>
      </c>
      <c r="J732" s="113">
        <f>IFERROR(Tabela_Base_Financeiro[[#This Row],[Item code]],0)</f>
        <v>0</v>
      </c>
      <c r="K732" s="293">
        <f>IFERROR(Tabela_Base_Financeiro[[#This Row],[Unit Price]],0)</f>
        <v>0</v>
      </c>
      <c r="L732" s="36">
        <f>IFERROR(Tabela_Base_Financeiro[[#This Row],[AC Qty,]],0)</f>
        <v>0</v>
      </c>
      <c r="M732" s="60">
        <f>Tabela6[[#This Row],[Qty]]*Tabela6[[#This Row],[Preço]]</f>
        <v>0</v>
      </c>
      <c r="N732" s="37">
        <f>IFERROR(Tabela_Base_Financeiro[[#This Row],[Proportion]],0)</f>
        <v>0</v>
      </c>
      <c r="O732" s="60">
        <f>Tabela6[[#This Row],[Proporção]]*Tabela6[[#This Row],[Total]]</f>
        <v>0</v>
      </c>
      <c r="P732"/>
      <c r="Q732" s="59"/>
      <c r="R732" s="1"/>
    </row>
    <row r="733" spans="1:18">
      <c r="A733" s="122" t="e">
        <f>IF(VLOOKUP(Tabela6[[#This Row],[UF]],'BASE CC'!B:C,2,0)="SP",IF(Tabela6[[#This Row],[OPERADORA]]="TIM","SP TIM","SPI"),VLOOKUP(Tabela6[[#This Row],[UF]],'BASE CC'!B:C,2,0))</f>
        <v>#N/A</v>
      </c>
      <c r="B733" s="36" t="e">
        <f>VLOOKUP(Tabela_Base_Financeiro[[#This Row],[Item code]],'COD.FAT'!B:C,2,0)</f>
        <v>#N/A</v>
      </c>
      <c r="C733" s="292">
        <f>Tabela_Base_Financeiro[[#This Row],[PO Ship TO]]</f>
        <v>0</v>
      </c>
      <c r="D733" s="36" t="str">
        <f>RIGHT(Tabela_Base_Financeiro[[#This Row],[Manufacturer]],2)</f>
        <v/>
      </c>
      <c r="E73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33" s="122" t="e">
        <f>VLOOKUP(Tabela_Base_Financeiro[[#This Row],[Project Code]],'COD. PROJETOS'!B:D,3,0)</f>
        <v>#N/A</v>
      </c>
      <c r="G733" s="36">
        <f>IFERROR(Tabela_Base_Financeiro[[#This Row],[PO No,]],0)</f>
        <v>0</v>
      </c>
      <c r="H733" s="36">
        <f>IFERROR(Tabela_Base_Financeiro[[#This Row],[Line No,]],0)</f>
        <v>0</v>
      </c>
      <c r="I733" s="36" t="str">
        <f>IFERROR(MID(Tabela_Base_Financeiro[[#This Row],[Manufacturer]],19,14),"")</f>
        <v/>
      </c>
      <c r="J733" s="113">
        <f>IFERROR(Tabela_Base_Financeiro[[#This Row],[Item code]],0)</f>
        <v>0</v>
      </c>
      <c r="K733" s="293">
        <f>IFERROR(Tabela_Base_Financeiro[[#This Row],[Unit Price]],0)</f>
        <v>0</v>
      </c>
      <c r="L733" s="36">
        <f>IFERROR(Tabela_Base_Financeiro[[#This Row],[AC Qty,]],0)</f>
        <v>0</v>
      </c>
      <c r="M733" s="60">
        <f>Tabela6[[#This Row],[Qty]]*Tabela6[[#This Row],[Preço]]</f>
        <v>0</v>
      </c>
      <c r="N733" s="37">
        <f>IFERROR(Tabela_Base_Financeiro[[#This Row],[Proportion]],0)</f>
        <v>0</v>
      </c>
      <c r="O733" s="60">
        <f>Tabela6[[#This Row],[Proporção]]*Tabela6[[#This Row],[Total]]</f>
        <v>0</v>
      </c>
      <c r="P733"/>
      <c r="Q733" s="59"/>
      <c r="R733" s="1"/>
    </row>
    <row r="734" spans="1:18">
      <c r="A734" s="122" t="e">
        <f>IF(VLOOKUP(Tabela6[[#This Row],[UF]],'BASE CC'!B:C,2,0)="SP",IF(Tabela6[[#This Row],[OPERADORA]]="TIM","SP TIM","SPI"),VLOOKUP(Tabela6[[#This Row],[UF]],'BASE CC'!B:C,2,0))</f>
        <v>#N/A</v>
      </c>
      <c r="B734" s="36" t="e">
        <f>VLOOKUP(Tabela_Base_Financeiro[[#This Row],[Item code]],'COD.FAT'!B:C,2,0)</f>
        <v>#N/A</v>
      </c>
      <c r="C734" s="292">
        <f>Tabela_Base_Financeiro[[#This Row],[PO Ship TO]]</f>
        <v>0</v>
      </c>
      <c r="D734" s="36" t="str">
        <f>RIGHT(Tabela_Base_Financeiro[[#This Row],[Manufacturer]],2)</f>
        <v/>
      </c>
      <c r="E73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34" s="122" t="e">
        <f>VLOOKUP(Tabela_Base_Financeiro[[#This Row],[Project Code]],'COD. PROJETOS'!B:D,3,0)</f>
        <v>#N/A</v>
      </c>
      <c r="G734" s="36">
        <f>IFERROR(Tabela_Base_Financeiro[[#This Row],[PO No,]],0)</f>
        <v>0</v>
      </c>
      <c r="H734" s="36">
        <f>IFERROR(Tabela_Base_Financeiro[[#This Row],[Line No,]],0)</f>
        <v>0</v>
      </c>
      <c r="I734" s="36" t="str">
        <f>IFERROR(MID(Tabela_Base_Financeiro[[#This Row],[Manufacturer]],19,14),"")</f>
        <v/>
      </c>
      <c r="J734" s="113">
        <f>IFERROR(Tabela_Base_Financeiro[[#This Row],[Item code]],0)</f>
        <v>0</v>
      </c>
      <c r="K734" s="293">
        <f>IFERROR(Tabela_Base_Financeiro[[#This Row],[Unit Price]],0)</f>
        <v>0</v>
      </c>
      <c r="L734" s="36">
        <f>IFERROR(Tabela_Base_Financeiro[[#This Row],[AC Qty,]],0)</f>
        <v>0</v>
      </c>
      <c r="M734" s="60">
        <f>Tabela6[[#This Row],[Qty]]*Tabela6[[#This Row],[Preço]]</f>
        <v>0</v>
      </c>
      <c r="N734" s="37">
        <f>IFERROR(Tabela_Base_Financeiro[[#This Row],[Proportion]],0)</f>
        <v>0</v>
      </c>
      <c r="O734" s="60">
        <f>Tabela6[[#This Row],[Proporção]]*Tabela6[[#This Row],[Total]]</f>
        <v>0</v>
      </c>
      <c r="P734"/>
      <c r="Q734" s="59"/>
      <c r="R734" s="1"/>
    </row>
    <row r="735" spans="1:18">
      <c r="A735" s="122" t="e">
        <f>IF(VLOOKUP(Tabela6[[#This Row],[UF]],'BASE CC'!B:C,2,0)="SP",IF(Tabela6[[#This Row],[OPERADORA]]="TIM","SP TIM","SPI"),VLOOKUP(Tabela6[[#This Row],[UF]],'BASE CC'!B:C,2,0))</f>
        <v>#N/A</v>
      </c>
      <c r="B735" s="36" t="e">
        <f>VLOOKUP(Tabela_Base_Financeiro[[#This Row],[Item code]],'COD.FAT'!B:C,2,0)</f>
        <v>#N/A</v>
      </c>
      <c r="C735" s="292">
        <f>Tabela_Base_Financeiro[[#This Row],[PO Ship TO]]</f>
        <v>0</v>
      </c>
      <c r="D735" s="36" t="str">
        <f>RIGHT(Tabela_Base_Financeiro[[#This Row],[Manufacturer]],2)</f>
        <v/>
      </c>
      <c r="E73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35" s="122" t="e">
        <f>VLOOKUP(Tabela_Base_Financeiro[[#This Row],[Project Code]],'COD. PROJETOS'!B:D,3,0)</f>
        <v>#N/A</v>
      </c>
      <c r="G735" s="36">
        <f>IFERROR(Tabela_Base_Financeiro[[#This Row],[PO No,]],0)</f>
        <v>0</v>
      </c>
      <c r="H735" s="36">
        <f>IFERROR(Tabela_Base_Financeiro[[#This Row],[Line No,]],0)</f>
        <v>0</v>
      </c>
      <c r="I735" s="36" t="str">
        <f>IFERROR(MID(Tabela_Base_Financeiro[[#This Row],[Manufacturer]],19,14),"")</f>
        <v/>
      </c>
      <c r="J735" s="113">
        <f>IFERROR(Tabela_Base_Financeiro[[#This Row],[Item code]],0)</f>
        <v>0</v>
      </c>
      <c r="K735" s="293">
        <f>IFERROR(Tabela_Base_Financeiro[[#This Row],[Unit Price]],0)</f>
        <v>0</v>
      </c>
      <c r="L735" s="36">
        <f>IFERROR(Tabela_Base_Financeiro[[#This Row],[AC Qty,]],0)</f>
        <v>0</v>
      </c>
      <c r="M735" s="60">
        <f>Tabela6[[#This Row],[Qty]]*Tabela6[[#This Row],[Preço]]</f>
        <v>0</v>
      </c>
      <c r="N735" s="37">
        <f>IFERROR(Tabela_Base_Financeiro[[#This Row],[Proportion]],0)</f>
        <v>0</v>
      </c>
      <c r="O735" s="60">
        <f>Tabela6[[#This Row],[Proporção]]*Tabela6[[#This Row],[Total]]</f>
        <v>0</v>
      </c>
      <c r="P735"/>
      <c r="Q735" s="59"/>
      <c r="R735" s="1"/>
    </row>
    <row r="736" spans="1:18">
      <c r="A736" s="122" t="e">
        <f>IF(VLOOKUP(Tabela6[[#This Row],[UF]],'BASE CC'!B:C,2,0)="SP",IF(Tabela6[[#This Row],[OPERADORA]]="TIM","SP TIM","SPI"),VLOOKUP(Tabela6[[#This Row],[UF]],'BASE CC'!B:C,2,0))</f>
        <v>#N/A</v>
      </c>
      <c r="B736" s="36" t="e">
        <f>VLOOKUP(Tabela_Base_Financeiro[[#This Row],[Item code]],'COD.FAT'!B:C,2,0)</f>
        <v>#N/A</v>
      </c>
      <c r="C736" s="292">
        <f>Tabela_Base_Financeiro[[#This Row],[PO Ship TO]]</f>
        <v>0</v>
      </c>
      <c r="D736" s="36" t="str">
        <f>RIGHT(Tabela_Base_Financeiro[[#This Row],[Manufacturer]],2)</f>
        <v/>
      </c>
      <c r="E73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36" s="122" t="e">
        <f>VLOOKUP(Tabela_Base_Financeiro[[#This Row],[Project Code]],'COD. PROJETOS'!B:D,3,0)</f>
        <v>#N/A</v>
      </c>
      <c r="G736" s="36">
        <f>IFERROR(Tabela_Base_Financeiro[[#This Row],[PO No,]],0)</f>
        <v>0</v>
      </c>
      <c r="H736" s="36">
        <f>IFERROR(Tabela_Base_Financeiro[[#This Row],[Line No,]],0)</f>
        <v>0</v>
      </c>
      <c r="I736" s="36" t="str">
        <f>IFERROR(MID(Tabela_Base_Financeiro[[#This Row],[Manufacturer]],19,14),"")</f>
        <v/>
      </c>
      <c r="J736" s="113">
        <f>IFERROR(Tabela_Base_Financeiro[[#This Row],[Item code]],0)</f>
        <v>0</v>
      </c>
      <c r="K736" s="293">
        <f>IFERROR(Tabela_Base_Financeiro[[#This Row],[Unit Price]],0)</f>
        <v>0</v>
      </c>
      <c r="L736" s="36">
        <f>IFERROR(Tabela_Base_Financeiro[[#This Row],[AC Qty,]],0)</f>
        <v>0</v>
      </c>
      <c r="M736" s="60">
        <f>Tabela6[[#This Row],[Qty]]*Tabela6[[#This Row],[Preço]]</f>
        <v>0</v>
      </c>
      <c r="N736" s="37">
        <f>IFERROR(Tabela_Base_Financeiro[[#This Row],[Proportion]],0)</f>
        <v>0</v>
      </c>
      <c r="O736" s="60">
        <f>Tabela6[[#This Row],[Proporção]]*Tabela6[[#This Row],[Total]]</f>
        <v>0</v>
      </c>
      <c r="P736"/>
      <c r="Q736" s="59"/>
      <c r="R736" s="1"/>
    </row>
    <row r="737" spans="1:18">
      <c r="A737" s="122" t="e">
        <f>IF(VLOOKUP(Tabela6[[#This Row],[UF]],'BASE CC'!B:C,2,0)="SP",IF(Tabela6[[#This Row],[OPERADORA]]="TIM","SP TIM","SPI"),VLOOKUP(Tabela6[[#This Row],[UF]],'BASE CC'!B:C,2,0))</f>
        <v>#N/A</v>
      </c>
      <c r="B737" s="36" t="e">
        <f>VLOOKUP(Tabela_Base_Financeiro[[#This Row],[Item code]],'COD.FAT'!B:C,2,0)</f>
        <v>#N/A</v>
      </c>
      <c r="C737" s="292">
        <f>Tabela_Base_Financeiro[[#This Row],[PO Ship TO]]</f>
        <v>0</v>
      </c>
      <c r="D737" s="36" t="str">
        <f>RIGHT(Tabela_Base_Financeiro[[#This Row],[Manufacturer]],2)</f>
        <v/>
      </c>
      <c r="E73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37" s="122" t="e">
        <f>VLOOKUP(Tabela_Base_Financeiro[[#This Row],[Project Code]],'COD. PROJETOS'!B:D,3,0)</f>
        <v>#N/A</v>
      </c>
      <c r="G737" s="36">
        <f>IFERROR(Tabela_Base_Financeiro[[#This Row],[PO No,]],0)</f>
        <v>0</v>
      </c>
      <c r="H737" s="36">
        <f>IFERROR(Tabela_Base_Financeiro[[#This Row],[Line No,]],0)</f>
        <v>0</v>
      </c>
      <c r="I737" s="36" t="str">
        <f>IFERROR(MID(Tabela_Base_Financeiro[[#This Row],[Manufacturer]],19,14),"")</f>
        <v/>
      </c>
      <c r="J737" s="113">
        <f>IFERROR(Tabela_Base_Financeiro[[#This Row],[Item code]],0)</f>
        <v>0</v>
      </c>
      <c r="K737" s="293">
        <f>IFERROR(Tabela_Base_Financeiro[[#This Row],[Unit Price]],0)</f>
        <v>0</v>
      </c>
      <c r="L737" s="36">
        <f>IFERROR(Tabela_Base_Financeiro[[#This Row],[AC Qty,]],0)</f>
        <v>0</v>
      </c>
      <c r="M737" s="60">
        <f>Tabela6[[#This Row],[Qty]]*Tabela6[[#This Row],[Preço]]</f>
        <v>0</v>
      </c>
      <c r="N737" s="37">
        <f>IFERROR(Tabela_Base_Financeiro[[#This Row],[Proportion]],0)</f>
        <v>0</v>
      </c>
      <c r="O737" s="60">
        <f>Tabela6[[#This Row],[Proporção]]*Tabela6[[#This Row],[Total]]</f>
        <v>0</v>
      </c>
      <c r="P737"/>
      <c r="Q737" s="59"/>
      <c r="R737" s="1"/>
    </row>
    <row r="738" spans="1:18">
      <c r="A738" s="122" t="e">
        <f>IF(VLOOKUP(Tabela6[[#This Row],[UF]],'BASE CC'!B:C,2,0)="SP",IF(Tabela6[[#This Row],[OPERADORA]]="TIM","SP TIM","SPI"),VLOOKUP(Tabela6[[#This Row],[UF]],'BASE CC'!B:C,2,0))</f>
        <v>#N/A</v>
      </c>
      <c r="B738" s="36" t="e">
        <f>VLOOKUP(Tabela_Base_Financeiro[[#This Row],[Item code]],'COD.FAT'!B:C,2,0)</f>
        <v>#N/A</v>
      </c>
      <c r="C738" s="292">
        <f>Tabela_Base_Financeiro[[#This Row],[PO Ship TO]]</f>
        <v>0</v>
      </c>
      <c r="D738" s="36" t="str">
        <f>RIGHT(Tabela_Base_Financeiro[[#This Row],[Manufacturer]],2)</f>
        <v/>
      </c>
      <c r="E73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38" s="122" t="e">
        <f>VLOOKUP(Tabela_Base_Financeiro[[#This Row],[Project Code]],'COD. PROJETOS'!B:D,3,0)</f>
        <v>#N/A</v>
      </c>
      <c r="G738" s="36">
        <f>IFERROR(Tabela_Base_Financeiro[[#This Row],[PO No,]],0)</f>
        <v>0</v>
      </c>
      <c r="H738" s="36">
        <f>IFERROR(Tabela_Base_Financeiro[[#This Row],[Line No,]],0)</f>
        <v>0</v>
      </c>
      <c r="I738" s="36" t="str">
        <f>IFERROR(MID(Tabela_Base_Financeiro[[#This Row],[Manufacturer]],19,14),"")</f>
        <v/>
      </c>
      <c r="J738" s="113">
        <f>IFERROR(Tabela_Base_Financeiro[[#This Row],[Item code]],0)</f>
        <v>0</v>
      </c>
      <c r="K738" s="293">
        <f>IFERROR(Tabela_Base_Financeiro[[#This Row],[Unit Price]],0)</f>
        <v>0</v>
      </c>
      <c r="L738" s="36">
        <f>IFERROR(Tabela_Base_Financeiro[[#This Row],[AC Qty,]],0)</f>
        <v>0</v>
      </c>
      <c r="M738" s="60">
        <f>Tabela6[[#This Row],[Qty]]*Tabela6[[#This Row],[Preço]]</f>
        <v>0</v>
      </c>
      <c r="N738" s="37">
        <f>IFERROR(Tabela_Base_Financeiro[[#This Row],[Proportion]],0)</f>
        <v>0</v>
      </c>
      <c r="O738" s="60">
        <f>Tabela6[[#This Row],[Proporção]]*Tabela6[[#This Row],[Total]]</f>
        <v>0</v>
      </c>
      <c r="P738"/>
      <c r="Q738" s="59"/>
      <c r="R738" s="1"/>
    </row>
    <row r="739" spans="1:18">
      <c r="A739" s="122" t="e">
        <f>IF(VLOOKUP(Tabela6[[#This Row],[UF]],'BASE CC'!B:C,2,0)="SP",IF(Tabela6[[#This Row],[OPERADORA]]="TIM","SP TIM","SPI"),VLOOKUP(Tabela6[[#This Row],[UF]],'BASE CC'!B:C,2,0))</f>
        <v>#N/A</v>
      </c>
      <c r="B739" s="36" t="e">
        <f>VLOOKUP(Tabela_Base_Financeiro[[#This Row],[Item code]],'COD.FAT'!B:C,2,0)</f>
        <v>#N/A</v>
      </c>
      <c r="C739" s="292">
        <f>Tabela_Base_Financeiro[[#This Row],[PO Ship TO]]</f>
        <v>0</v>
      </c>
      <c r="D739" s="36" t="str">
        <f>RIGHT(Tabela_Base_Financeiro[[#This Row],[Manufacturer]],2)</f>
        <v/>
      </c>
      <c r="E73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39" s="122" t="e">
        <f>VLOOKUP(Tabela_Base_Financeiro[[#This Row],[Project Code]],'COD. PROJETOS'!B:D,3,0)</f>
        <v>#N/A</v>
      </c>
      <c r="G739" s="36">
        <f>IFERROR(Tabela_Base_Financeiro[[#This Row],[PO No,]],0)</f>
        <v>0</v>
      </c>
      <c r="H739" s="36">
        <f>IFERROR(Tabela_Base_Financeiro[[#This Row],[Line No,]],0)</f>
        <v>0</v>
      </c>
      <c r="I739" s="36" t="str">
        <f>IFERROR(MID(Tabela_Base_Financeiro[[#This Row],[Manufacturer]],19,14),"")</f>
        <v/>
      </c>
      <c r="J739" s="113">
        <f>IFERROR(Tabela_Base_Financeiro[[#This Row],[Item code]],0)</f>
        <v>0</v>
      </c>
      <c r="K739" s="293">
        <f>IFERROR(Tabela_Base_Financeiro[[#This Row],[Unit Price]],0)</f>
        <v>0</v>
      </c>
      <c r="L739" s="36">
        <f>IFERROR(Tabela_Base_Financeiro[[#This Row],[AC Qty,]],0)</f>
        <v>0</v>
      </c>
      <c r="M739" s="60">
        <f>Tabela6[[#This Row],[Qty]]*Tabela6[[#This Row],[Preço]]</f>
        <v>0</v>
      </c>
      <c r="N739" s="37">
        <f>IFERROR(Tabela_Base_Financeiro[[#This Row],[Proportion]],0)</f>
        <v>0</v>
      </c>
      <c r="O739" s="60">
        <f>Tabela6[[#This Row],[Proporção]]*Tabela6[[#This Row],[Total]]</f>
        <v>0</v>
      </c>
      <c r="P739"/>
      <c r="Q739" s="59"/>
      <c r="R739" s="1"/>
    </row>
    <row r="740" spans="1:18">
      <c r="A740" s="122" t="e">
        <f>IF(VLOOKUP(Tabela6[[#This Row],[UF]],'BASE CC'!B:C,2,0)="SP",IF(Tabela6[[#This Row],[OPERADORA]]="TIM","SP TIM","SPI"),VLOOKUP(Tabela6[[#This Row],[UF]],'BASE CC'!B:C,2,0))</f>
        <v>#N/A</v>
      </c>
      <c r="B740" s="36" t="e">
        <f>VLOOKUP(Tabela_Base_Financeiro[[#This Row],[Item code]],'COD.FAT'!B:C,2,0)</f>
        <v>#N/A</v>
      </c>
      <c r="C740" s="292">
        <f>Tabela_Base_Financeiro[[#This Row],[PO Ship TO]]</f>
        <v>0</v>
      </c>
      <c r="D740" s="36" t="str">
        <f>RIGHT(Tabela_Base_Financeiro[[#This Row],[Manufacturer]],2)</f>
        <v/>
      </c>
      <c r="E74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40" s="122" t="e">
        <f>VLOOKUP(Tabela_Base_Financeiro[[#This Row],[Project Code]],'COD. PROJETOS'!B:D,3,0)</f>
        <v>#N/A</v>
      </c>
      <c r="G740" s="36">
        <f>IFERROR(Tabela_Base_Financeiro[[#This Row],[PO No,]],0)</f>
        <v>0</v>
      </c>
      <c r="H740" s="36">
        <f>IFERROR(Tabela_Base_Financeiro[[#This Row],[Line No,]],0)</f>
        <v>0</v>
      </c>
      <c r="I740" s="36" t="str">
        <f>IFERROR(MID(Tabela_Base_Financeiro[[#This Row],[Manufacturer]],19,14),"")</f>
        <v/>
      </c>
      <c r="J740" s="113">
        <f>IFERROR(Tabela_Base_Financeiro[[#This Row],[Item code]],0)</f>
        <v>0</v>
      </c>
      <c r="K740" s="293">
        <f>IFERROR(Tabela_Base_Financeiro[[#This Row],[Unit Price]],0)</f>
        <v>0</v>
      </c>
      <c r="L740" s="36">
        <f>IFERROR(Tabela_Base_Financeiro[[#This Row],[AC Qty,]],0)</f>
        <v>0</v>
      </c>
      <c r="M740" s="60">
        <f>Tabela6[[#This Row],[Qty]]*Tabela6[[#This Row],[Preço]]</f>
        <v>0</v>
      </c>
      <c r="N740" s="37">
        <f>IFERROR(Tabela_Base_Financeiro[[#This Row],[Proportion]],0)</f>
        <v>0</v>
      </c>
      <c r="O740" s="60">
        <f>Tabela6[[#This Row],[Proporção]]*Tabela6[[#This Row],[Total]]</f>
        <v>0</v>
      </c>
      <c r="P740"/>
      <c r="Q740" s="59"/>
      <c r="R740" s="1"/>
    </row>
    <row r="741" spans="1:18">
      <c r="A741" s="122" t="e">
        <f>IF(VLOOKUP(Tabela6[[#This Row],[UF]],'BASE CC'!B:C,2,0)="SP",IF(Tabela6[[#This Row],[OPERADORA]]="TIM","SP TIM","SPI"),VLOOKUP(Tabela6[[#This Row],[UF]],'BASE CC'!B:C,2,0))</f>
        <v>#N/A</v>
      </c>
      <c r="B741" s="36" t="e">
        <f>VLOOKUP(Tabela_Base_Financeiro[[#This Row],[Item code]],'COD.FAT'!B:C,2,0)</f>
        <v>#N/A</v>
      </c>
      <c r="C741" s="292">
        <f>Tabela_Base_Financeiro[[#This Row],[PO Ship TO]]</f>
        <v>0</v>
      </c>
      <c r="D741" s="36" t="str">
        <f>RIGHT(Tabela_Base_Financeiro[[#This Row],[Manufacturer]],2)</f>
        <v/>
      </c>
      <c r="E74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41" s="122" t="e">
        <f>VLOOKUP(Tabela_Base_Financeiro[[#This Row],[Project Code]],'COD. PROJETOS'!B:D,3,0)</f>
        <v>#N/A</v>
      </c>
      <c r="G741" s="36">
        <f>IFERROR(Tabela_Base_Financeiro[[#This Row],[PO No,]],0)</f>
        <v>0</v>
      </c>
      <c r="H741" s="36">
        <f>IFERROR(Tabela_Base_Financeiro[[#This Row],[Line No,]],0)</f>
        <v>0</v>
      </c>
      <c r="I741" s="36" t="str">
        <f>IFERROR(MID(Tabela_Base_Financeiro[[#This Row],[Manufacturer]],19,14),"")</f>
        <v/>
      </c>
      <c r="J741" s="113">
        <f>IFERROR(Tabela_Base_Financeiro[[#This Row],[Item code]],0)</f>
        <v>0</v>
      </c>
      <c r="K741" s="293">
        <f>IFERROR(Tabela_Base_Financeiro[[#This Row],[Unit Price]],0)</f>
        <v>0</v>
      </c>
      <c r="L741" s="36">
        <f>IFERROR(Tabela_Base_Financeiro[[#This Row],[AC Qty,]],0)</f>
        <v>0</v>
      </c>
      <c r="M741" s="60">
        <f>Tabela6[[#This Row],[Qty]]*Tabela6[[#This Row],[Preço]]</f>
        <v>0</v>
      </c>
      <c r="N741" s="37">
        <f>IFERROR(Tabela_Base_Financeiro[[#This Row],[Proportion]],0)</f>
        <v>0</v>
      </c>
      <c r="O741" s="60">
        <f>Tabela6[[#This Row],[Proporção]]*Tabela6[[#This Row],[Total]]</f>
        <v>0</v>
      </c>
      <c r="P741"/>
      <c r="Q741" s="59"/>
      <c r="R741" s="1"/>
    </row>
    <row r="742" spans="1:18">
      <c r="A742" s="122" t="e">
        <f>IF(VLOOKUP(Tabela6[[#This Row],[UF]],'BASE CC'!B:C,2,0)="SP",IF(Tabela6[[#This Row],[OPERADORA]]="TIM","SP TIM","SPI"),VLOOKUP(Tabela6[[#This Row],[UF]],'BASE CC'!B:C,2,0))</f>
        <v>#N/A</v>
      </c>
      <c r="B742" s="36" t="e">
        <f>VLOOKUP(Tabela_Base_Financeiro[[#This Row],[Item code]],'COD.FAT'!B:C,2,0)</f>
        <v>#N/A</v>
      </c>
      <c r="C742" s="292">
        <f>Tabela_Base_Financeiro[[#This Row],[PO Ship TO]]</f>
        <v>0</v>
      </c>
      <c r="D742" s="36" t="str">
        <f>RIGHT(Tabela_Base_Financeiro[[#This Row],[Manufacturer]],2)</f>
        <v/>
      </c>
      <c r="E74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42" s="122" t="e">
        <f>VLOOKUP(Tabela_Base_Financeiro[[#This Row],[Project Code]],'COD. PROJETOS'!B:D,3,0)</f>
        <v>#N/A</v>
      </c>
      <c r="G742" s="36">
        <f>IFERROR(Tabela_Base_Financeiro[[#This Row],[PO No,]],0)</f>
        <v>0</v>
      </c>
      <c r="H742" s="36">
        <f>IFERROR(Tabela_Base_Financeiro[[#This Row],[Line No,]],0)</f>
        <v>0</v>
      </c>
      <c r="I742" s="36" t="str">
        <f>IFERROR(MID(Tabela_Base_Financeiro[[#This Row],[Manufacturer]],19,14),"")</f>
        <v/>
      </c>
      <c r="J742" s="113">
        <f>IFERROR(Tabela_Base_Financeiro[[#This Row],[Item code]],0)</f>
        <v>0</v>
      </c>
      <c r="K742" s="293">
        <f>IFERROR(Tabela_Base_Financeiro[[#This Row],[Unit Price]],0)</f>
        <v>0</v>
      </c>
      <c r="L742" s="36">
        <f>IFERROR(Tabela_Base_Financeiro[[#This Row],[AC Qty,]],0)</f>
        <v>0</v>
      </c>
      <c r="M742" s="60">
        <f>Tabela6[[#This Row],[Qty]]*Tabela6[[#This Row],[Preço]]</f>
        <v>0</v>
      </c>
      <c r="N742" s="37">
        <f>IFERROR(Tabela_Base_Financeiro[[#This Row],[Proportion]],0)</f>
        <v>0</v>
      </c>
      <c r="O742" s="60">
        <f>Tabela6[[#This Row],[Proporção]]*Tabela6[[#This Row],[Total]]</f>
        <v>0</v>
      </c>
      <c r="P742"/>
      <c r="Q742" s="59"/>
      <c r="R742" s="1"/>
    </row>
    <row r="743" spans="1:18">
      <c r="A743" s="122" t="e">
        <f>IF(VLOOKUP(Tabela6[[#This Row],[UF]],'BASE CC'!B:C,2,0)="SP",IF(Tabela6[[#This Row],[OPERADORA]]="TIM","SP TIM","SPI"),VLOOKUP(Tabela6[[#This Row],[UF]],'BASE CC'!B:C,2,0))</f>
        <v>#N/A</v>
      </c>
      <c r="B743" s="36" t="e">
        <f>VLOOKUP(Tabela_Base_Financeiro[[#This Row],[Item code]],'COD.FAT'!B:C,2,0)</f>
        <v>#N/A</v>
      </c>
      <c r="C743" s="292">
        <f>Tabela_Base_Financeiro[[#This Row],[PO Ship TO]]</f>
        <v>0</v>
      </c>
      <c r="D743" s="36" t="str">
        <f>RIGHT(Tabela_Base_Financeiro[[#This Row],[Manufacturer]],2)</f>
        <v/>
      </c>
      <c r="E74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43" s="122" t="e">
        <f>VLOOKUP(Tabela_Base_Financeiro[[#This Row],[Project Code]],'COD. PROJETOS'!B:D,3,0)</f>
        <v>#N/A</v>
      </c>
      <c r="G743" s="36">
        <f>IFERROR(Tabela_Base_Financeiro[[#This Row],[PO No,]],0)</f>
        <v>0</v>
      </c>
      <c r="H743" s="36">
        <f>IFERROR(Tabela_Base_Financeiro[[#This Row],[Line No,]],0)</f>
        <v>0</v>
      </c>
      <c r="I743" s="36" t="str">
        <f>IFERROR(MID(Tabela_Base_Financeiro[[#This Row],[Manufacturer]],19,14),"")</f>
        <v/>
      </c>
      <c r="J743" s="113">
        <f>IFERROR(Tabela_Base_Financeiro[[#This Row],[Item code]],0)</f>
        <v>0</v>
      </c>
      <c r="K743" s="293">
        <f>IFERROR(Tabela_Base_Financeiro[[#This Row],[Unit Price]],0)</f>
        <v>0</v>
      </c>
      <c r="L743" s="36">
        <f>IFERROR(Tabela_Base_Financeiro[[#This Row],[AC Qty,]],0)</f>
        <v>0</v>
      </c>
      <c r="M743" s="60">
        <f>Tabela6[[#This Row],[Qty]]*Tabela6[[#This Row],[Preço]]</f>
        <v>0</v>
      </c>
      <c r="N743" s="37">
        <f>IFERROR(Tabela_Base_Financeiro[[#This Row],[Proportion]],0)</f>
        <v>0</v>
      </c>
      <c r="O743" s="60">
        <f>Tabela6[[#This Row],[Proporção]]*Tabela6[[#This Row],[Total]]</f>
        <v>0</v>
      </c>
      <c r="P743"/>
      <c r="Q743" s="59"/>
      <c r="R743" s="1"/>
    </row>
    <row r="744" spans="1:18">
      <c r="A744" s="122" t="e">
        <f>IF(VLOOKUP(Tabela6[[#This Row],[UF]],'BASE CC'!B:C,2,0)="SP",IF(Tabela6[[#This Row],[OPERADORA]]="TIM","SP TIM","SPI"),VLOOKUP(Tabela6[[#This Row],[UF]],'BASE CC'!B:C,2,0))</f>
        <v>#N/A</v>
      </c>
      <c r="B744" s="36" t="e">
        <f>VLOOKUP(Tabela_Base_Financeiro[[#This Row],[Item code]],'COD.FAT'!B:C,2,0)</f>
        <v>#N/A</v>
      </c>
      <c r="C744" s="292">
        <f>Tabela_Base_Financeiro[[#This Row],[PO Ship TO]]</f>
        <v>0</v>
      </c>
      <c r="D744" s="36" t="str">
        <f>RIGHT(Tabela_Base_Financeiro[[#This Row],[Manufacturer]],2)</f>
        <v/>
      </c>
      <c r="E74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44" s="122" t="e">
        <f>VLOOKUP(Tabela_Base_Financeiro[[#This Row],[Project Code]],'COD. PROJETOS'!B:D,3,0)</f>
        <v>#N/A</v>
      </c>
      <c r="G744" s="36">
        <f>IFERROR(Tabela_Base_Financeiro[[#This Row],[PO No,]],0)</f>
        <v>0</v>
      </c>
      <c r="H744" s="36">
        <f>IFERROR(Tabela_Base_Financeiro[[#This Row],[Line No,]],0)</f>
        <v>0</v>
      </c>
      <c r="I744" s="36" t="str">
        <f>IFERROR(MID(Tabela_Base_Financeiro[[#This Row],[Manufacturer]],19,14),"")</f>
        <v/>
      </c>
      <c r="J744" s="113">
        <f>IFERROR(Tabela_Base_Financeiro[[#This Row],[Item code]],0)</f>
        <v>0</v>
      </c>
      <c r="K744" s="293">
        <f>IFERROR(Tabela_Base_Financeiro[[#This Row],[Unit Price]],0)</f>
        <v>0</v>
      </c>
      <c r="L744" s="36">
        <f>IFERROR(Tabela_Base_Financeiro[[#This Row],[AC Qty,]],0)</f>
        <v>0</v>
      </c>
      <c r="M744" s="60">
        <f>Tabela6[[#This Row],[Qty]]*Tabela6[[#This Row],[Preço]]</f>
        <v>0</v>
      </c>
      <c r="N744" s="37">
        <f>IFERROR(Tabela_Base_Financeiro[[#This Row],[Proportion]],0)</f>
        <v>0</v>
      </c>
      <c r="O744" s="60">
        <f>Tabela6[[#This Row],[Proporção]]*Tabela6[[#This Row],[Total]]</f>
        <v>0</v>
      </c>
      <c r="P744"/>
      <c r="Q744" s="59"/>
      <c r="R744" s="1"/>
    </row>
    <row r="745" spans="1:18">
      <c r="A745" s="122" t="e">
        <f>IF(VLOOKUP(Tabela6[[#This Row],[UF]],'BASE CC'!B:C,2,0)="SP",IF(Tabela6[[#This Row],[OPERADORA]]="TIM","SP TIM","SPI"),VLOOKUP(Tabela6[[#This Row],[UF]],'BASE CC'!B:C,2,0))</f>
        <v>#N/A</v>
      </c>
      <c r="B745" s="36" t="e">
        <f>VLOOKUP(Tabela_Base_Financeiro[[#This Row],[Item code]],'COD.FAT'!B:C,2,0)</f>
        <v>#N/A</v>
      </c>
      <c r="C745" s="292">
        <f>Tabela_Base_Financeiro[[#This Row],[PO Ship TO]]</f>
        <v>0</v>
      </c>
      <c r="D745" s="36" t="str">
        <f>RIGHT(Tabela_Base_Financeiro[[#This Row],[Manufacturer]],2)</f>
        <v/>
      </c>
      <c r="E74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45" s="122" t="e">
        <f>VLOOKUP(Tabela_Base_Financeiro[[#This Row],[Project Code]],'COD. PROJETOS'!B:D,3,0)</f>
        <v>#N/A</v>
      </c>
      <c r="G745" s="36">
        <f>IFERROR(Tabela_Base_Financeiro[[#This Row],[PO No,]],0)</f>
        <v>0</v>
      </c>
      <c r="H745" s="36">
        <f>IFERROR(Tabela_Base_Financeiro[[#This Row],[Line No,]],0)</f>
        <v>0</v>
      </c>
      <c r="I745" s="36" t="str">
        <f>IFERROR(MID(Tabela_Base_Financeiro[[#This Row],[Manufacturer]],19,14),"")</f>
        <v/>
      </c>
      <c r="J745" s="113">
        <f>IFERROR(Tabela_Base_Financeiro[[#This Row],[Item code]],0)</f>
        <v>0</v>
      </c>
      <c r="K745" s="293">
        <f>IFERROR(Tabela_Base_Financeiro[[#This Row],[Unit Price]],0)</f>
        <v>0</v>
      </c>
      <c r="L745" s="36">
        <f>IFERROR(Tabela_Base_Financeiro[[#This Row],[AC Qty,]],0)</f>
        <v>0</v>
      </c>
      <c r="M745" s="60">
        <f>Tabela6[[#This Row],[Qty]]*Tabela6[[#This Row],[Preço]]</f>
        <v>0</v>
      </c>
      <c r="N745" s="37">
        <f>IFERROR(Tabela_Base_Financeiro[[#This Row],[Proportion]],0)</f>
        <v>0</v>
      </c>
      <c r="O745" s="60">
        <f>Tabela6[[#This Row],[Proporção]]*Tabela6[[#This Row],[Total]]</f>
        <v>0</v>
      </c>
      <c r="P745"/>
      <c r="Q745" s="59"/>
      <c r="R745" s="1"/>
    </row>
    <row r="746" spans="1:18">
      <c r="A746" s="122" t="e">
        <f>IF(VLOOKUP(Tabela6[[#This Row],[UF]],'BASE CC'!B:C,2,0)="SP",IF(Tabela6[[#This Row],[OPERADORA]]="TIM","SP TIM","SPI"),VLOOKUP(Tabela6[[#This Row],[UF]],'BASE CC'!B:C,2,0))</f>
        <v>#N/A</v>
      </c>
      <c r="B746" s="36" t="e">
        <f>VLOOKUP(Tabela_Base_Financeiro[[#This Row],[Item code]],'COD.FAT'!B:C,2,0)</f>
        <v>#N/A</v>
      </c>
      <c r="C746" s="292">
        <f>Tabela_Base_Financeiro[[#This Row],[PO Ship TO]]</f>
        <v>0</v>
      </c>
      <c r="D746" s="36" t="str">
        <f>RIGHT(Tabela_Base_Financeiro[[#This Row],[Manufacturer]],2)</f>
        <v/>
      </c>
      <c r="E74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46" s="122" t="e">
        <f>VLOOKUP(Tabela_Base_Financeiro[[#This Row],[Project Code]],'COD. PROJETOS'!B:D,3,0)</f>
        <v>#N/A</v>
      </c>
      <c r="G746" s="36">
        <f>IFERROR(Tabela_Base_Financeiro[[#This Row],[PO No,]],0)</f>
        <v>0</v>
      </c>
      <c r="H746" s="36">
        <f>IFERROR(Tabela_Base_Financeiro[[#This Row],[Line No,]],0)</f>
        <v>0</v>
      </c>
      <c r="I746" s="36" t="str">
        <f>IFERROR(MID(Tabela_Base_Financeiro[[#This Row],[Manufacturer]],19,14),"")</f>
        <v/>
      </c>
      <c r="J746" s="113">
        <f>IFERROR(Tabela_Base_Financeiro[[#This Row],[Item code]],0)</f>
        <v>0</v>
      </c>
      <c r="K746" s="293">
        <f>IFERROR(Tabela_Base_Financeiro[[#This Row],[Unit Price]],0)</f>
        <v>0</v>
      </c>
      <c r="L746" s="36">
        <f>IFERROR(Tabela_Base_Financeiro[[#This Row],[AC Qty,]],0)</f>
        <v>0</v>
      </c>
      <c r="M746" s="60">
        <f>Tabela6[[#This Row],[Qty]]*Tabela6[[#This Row],[Preço]]</f>
        <v>0</v>
      </c>
      <c r="N746" s="37">
        <f>IFERROR(Tabela_Base_Financeiro[[#This Row],[Proportion]],0)</f>
        <v>0</v>
      </c>
      <c r="O746" s="60">
        <f>Tabela6[[#This Row],[Proporção]]*Tabela6[[#This Row],[Total]]</f>
        <v>0</v>
      </c>
      <c r="P746"/>
      <c r="Q746" s="59"/>
      <c r="R746" s="1"/>
    </row>
    <row r="747" spans="1:18">
      <c r="A747" s="122" t="e">
        <f>IF(VLOOKUP(Tabela6[[#This Row],[UF]],'BASE CC'!B:C,2,0)="SP",IF(Tabela6[[#This Row],[OPERADORA]]="TIM","SP TIM","SPI"),VLOOKUP(Tabela6[[#This Row],[UF]],'BASE CC'!B:C,2,0))</f>
        <v>#N/A</v>
      </c>
      <c r="B747" s="36" t="e">
        <f>VLOOKUP(Tabela_Base_Financeiro[[#This Row],[Item code]],'COD.FAT'!B:C,2,0)</f>
        <v>#N/A</v>
      </c>
      <c r="C747" s="292">
        <f>Tabela_Base_Financeiro[[#This Row],[PO Ship TO]]</f>
        <v>0</v>
      </c>
      <c r="D747" s="36" t="str">
        <f>RIGHT(Tabela_Base_Financeiro[[#This Row],[Manufacturer]],2)</f>
        <v/>
      </c>
      <c r="E74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47" s="122" t="e">
        <f>VLOOKUP(Tabela_Base_Financeiro[[#This Row],[Project Code]],'COD. PROJETOS'!B:D,3,0)</f>
        <v>#N/A</v>
      </c>
      <c r="G747" s="36">
        <f>IFERROR(Tabela_Base_Financeiro[[#This Row],[PO No,]],0)</f>
        <v>0</v>
      </c>
      <c r="H747" s="36">
        <f>IFERROR(Tabela_Base_Financeiro[[#This Row],[Line No,]],0)</f>
        <v>0</v>
      </c>
      <c r="I747" s="36" t="str">
        <f>IFERROR(MID(Tabela_Base_Financeiro[[#This Row],[Manufacturer]],19,14),"")</f>
        <v/>
      </c>
      <c r="J747" s="113">
        <f>IFERROR(Tabela_Base_Financeiro[[#This Row],[Item code]],0)</f>
        <v>0</v>
      </c>
      <c r="K747" s="293">
        <f>IFERROR(Tabela_Base_Financeiro[[#This Row],[Unit Price]],0)</f>
        <v>0</v>
      </c>
      <c r="L747" s="36">
        <f>IFERROR(Tabela_Base_Financeiro[[#This Row],[AC Qty,]],0)</f>
        <v>0</v>
      </c>
      <c r="M747" s="60">
        <f>Tabela6[[#This Row],[Qty]]*Tabela6[[#This Row],[Preço]]</f>
        <v>0</v>
      </c>
      <c r="N747" s="37">
        <f>IFERROR(Tabela_Base_Financeiro[[#This Row],[Proportion]],0)</f>
        <v>0</v>
      </c>
      <c r="O747" s="60">
        <f>Tabela6[[#This Row],[Proporção]]*Tabela6[[#This Row],[Total]]</f>
        <v>0</v>
      </c>
      <c r="P747"/>
      <c r="Q747" s="59"/>
      <c r="R747" s="1"/>
    </row>
    <row r="748" spans="1:18">
      <c r="A748" s="122" t="e">
        <f>IF(VLOOKUP(Tabela6[[#This Row],[UF]],'BASE CC'!B:C,2,0)="SP",IF(Tabela6[[#This Row],[OPERADORA]]="TIM","SP TIM","SPI"),VLOOKUP(Tabela6[[#This Row],[UF]],'BASE CC'!B:C,2,0))</f>
        <v>#N/A</v>
      </c>
      <c r="B748" s="36" t="e">
        <f>VLOOKUP(Tabela_Base_Financeiro[[#This Row],[Item code]],'COD.FAT'!B:C,2,0)</f>
        <v>#N/A</v>
      </c>
      <c r="C748" s="292">
        <f>Tabela_Base_Financeiro[[#This Row],[PO Ship TO]]</f>
        <v>0</v>
      </c>
      <c r="D748" s="36" t="str">
        <f>RIGHT(Tabela_Base_Financeiro[[#This Row],[Manufacturer]],2)</f>
        <v/>
      </c>
      <c r="E74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48" s="122" t="e">
        <f>VLOOKUP(Tabela_Base_Financeiro[[#This Row],[Project Code]],'COD. PROJETOS'!B:D,3,0)</f>
        <v>#N/A</v>
      </c>
      <c r="G748" s="36">
        <f>IFERROR(Tabela_Base_Financeiro[[#This Row],[PO No,]],0)</f>
        <v>0</v>
      </c>
      <c r="H748" s="36">
        <f>IFERROR(Tabela_Base_Financeiro[[#This Row],[Line No,]],0)</f>
        <v>0</v>
      </c>
      <c r="I748" s="36" t="str">
        <f>IFERROR(MID(Tabela_Base_Financeiro[[#This Row],[Manufacturer]],19,14),"")</f>
        <v/>
      </c>
      <c r="J748" s="113">
        <f>IFERROR(Tabela_Base_Financeiro[[#This Row],[Item code]],0)</f>
        <v>0</v>
      </c>
      <c r="K748" s="293">
        <f>IFERROR(Tabela_Base_Financeiro[[#This Row],[Unit Price]],0)</f>
        <v>0</v>
      </c>
      <c r="L748" s="36">
        <f>IFERROR(Tabela_Base_Financeiro[[#This Row],[AC Qty,]],0)</f>
        <v>0</v>
      </c>
      <c r="M748" s="60">
        <f>Tabela6[[#This Row],[Qty]]*Tabela6[[#This Row],[Preço]]</f>
        <v>0</v>
      </c>
      <c r="N748" s="37">
        <f>IFERROR(Tabela_Base_Financeiro[[#This Row],[Proportion]],0)</f>
        <v>0</v>
      </c>
      <c r="O748" s="60">
        <f>Tabela6[[#This Row],[Proporção]]*Tabela6[[#This Row],[Total]]</f>
        <v>0</v>
      </c>
      <c r="P748"/>
      <c r="Q748" s="59"/>
      <c r="R748" s="1"/>
    </row>
    <row r="749" spans="1:18">
      <c r="A749" s="122" t="e">
        <f>IF(VLOOKUP(Tabela6[[#This Row],[UF]],'BASE CC'!B:C,2,0)="SP",IF(Tabela6[[#This Row],[OPERADORA]]="TIM","SP TIM","SPI"),VLOOKUP(Tabela6[[#This Row],[UF]],'BASE CC'!B:C,2,0))</f>
        <v>#N/A</v>
      </c>
      <c r="B749" s="36" t="e">
        <f>VLOOKUP(Tabela_Base_Financeiro[[#This Row],[Item code]],'COD.FAT'!B:C,2,0)</f>
        <v>#N/A</v>
      </c>
      <c r="C749" s="292">
        <f>Tabela_Base_Financeiro[[#This Row],[PO Ship TO]]</f>
        <v>0</v>
      </c>
      <c r="D749" s="36" t="str">
        <f>RIGHT(Tabela_Base_Financeiro[[#This Row],[Manufacturer]],2)</f>
        <v/>
      </c>
      <c r="E74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49" s="122" t="e">
        <f>VLOOKUP(Tabela_Base_Financeiro[[#This Row],[Project Code]],'COD. PROJETOS'!B:D,3,0)</f>
        <v>#N/A</v>
      </c>
      <c r="G749" s="36">
        <f>IFERROR(Tabela_Base_Financeiro[[#This Row],[PO No,]],0)</f>
        <v>0</v>
      </c>
      <c r="H749" s="36">
        <f>IFERROR(Tabela_Base_Financeiro[[#This Row],[Line No,]],0)</f>
        <v>0</v>
      </c>
      <c r="I749" s="36" t="str">
        <f>IFERROR(MID(Tabela_Base_Financeiro[[#This Row],[Manufacturer]],19,14),"")</f>
        <v/>
      </c>
      <c r="J749" s="113">
        <f>IFERROR(Tabela_Base_Financeiro[[#This Row],[Item code]],0)</f>
        <v>0</v>
      </c>
      <c r="K749" s="293">
        <f>IFERROR(Tabela_Base_Financeiro[[#This Row],[Unit Price]],0)</f>
        <v>0</v>
      </c>
      <c r="L749" s="36">
        <f>IFERROR(Tabela_Base_Financeiro[[#This Row],[AC Qty,]],0)</f>
        <v>0</v>
      </c>
      <c r="M749" s="60">
        <f>Tabela6[[#This Row],[Qty]]*Tabela6[[#This Row],[Preço]]</f>
        <v>0</v>
      </c>
      <c r="N749" s="37">
        <f>IFERROR(Tabela_Base_Financeiro[[#This Row],[Proportion]],0)</f>
        <v>0</v>
      </c>
      <c r="O749" s="60">
        <f>Tabela6[[#This Row],[Proporção]]*Tabela6[[#This Row],[Total]]</f>
        <v>0</v>
      </c>
      <c r="P749"/>
      <c r="Q749" s="59"/>
      <c r="R749" s="1"/>
    </row>
    <row r="750" spans="1:18">
      <c r="A750" s="122" t="e">
        <f>IF(VLOOKUP(Tabela6[[#This Row],[UF]],'BASE CC'!B:C,2,0)="SP",IF(Tabela6[[#This Row],[OPERADORA]]="TIM","SP TIM","SPI"),VLOOKUP(Tabela6[[#This Row],[UF]],'BASE CC'!B:C,2,0))</f>
        <v>#N/A</v>
      </c>
      <c r="B750" s="36" t="e">
        <f>VLOOKUP(Tabela_Base_Financeiro[[#This Row],[Item code]],'COD.FAT'!B:C,2,0)</f>
        <v>#N/A</v>
      </c>
      <c r="C750" s="292">
        <f>Tabela_Base_Financeiro[[#This Row],[PO Ship TO]]</f>
        <v>0</v>
      </c>
      <c r="D750" s="36" t="str">
        <f>RIGHT(Tabela_Base_Financeiro[[#This Row],[Manufacturer]],2)</f>
        <v/>
      </c>
      <c r="E75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50" s="122" t="e">
        <f>VLOOKUP(Tabela_Base_Financeiro[[#This Row],[Project Code]],'COD. PROJETOS'!B:D,3,0)</f>
        <v>#N/A</v>
      </c>
      <c r="G750" s="36">
        <f>IFERROR(Tabela_Base_Financeiro[[#This Row],[PO No,]],0)</f>
        <v>0</v>
      </c>
      <c r="H750" s="36">
        <f>IFERROR(Tabela_Base_Financeiro[[#This Row],[Line No,]],0)</f>
        <v>0</v>
      </c>
      <c r="I750" s="36" t="str">
        <f>IFERROR(MID(Tabela_Base_Financeiro[[#This Row],[Manufacturer]],19,14),"")</f>
        <v/>
      </c>
      <c r="J750" s="113">
        <f>IFERROR(Tabela_Base_Financeiro[[#This Row],[Item code]],0)</f>
        <v>0</v>
      </c>
      <c r="K750" s="293">
        <f>IFERROR(Tabela_Base_Financeiro[[#This Row],[Unit Price]],0)</f>
        <v>0</v>
      </c>
      <c r="L750" s="36">
        <f>IFERROR(Tabela_Base_Financeiro[[#This Row],[AC Qty,]],0)</f>
        <v>0</v>
      </c>
      <c r="M750" s="60">
        <f>Tabela6[[#This Row],[Qty]]*Tabela6[[#This Row],[Preço]]</f>
        <v>0</v>
      </c>
      <c r="N750" s="37">
        <f>IFERROR(Tabela_Base_Financeiro[[#This Row],[Proportion]],0)</f>
        <v>0</v>
      </c>
      <c r="O750" s="60">
        <f>Tabela6[[#This Row],[Proporção]]*Tabela6[[#This Row],[Total]]</f>
        <v>0</v>
      </c>
      <c r="P750"/>
      <c r="Q750" s="59"/>
      <c r="R750" s="1"/>
    </row>
    <row r="751" spans="1:18">
      <c r="A751" s="122" t="e">
        <f>IF(VLOOKUP(Tabela6[[#This Row],[UF]],'BASE CC'!B:C,2,0)="SP",IF(Tabela6[[#This Row],[OPERADORA]]="TIM","SP TIM","SPI"),VLOOKUP(Tabela6[[#This Row],[UF]],'BASE CC'!B:C,2,0))</f>
        <v>#N/A</v>
      </c>
      <c r="B751" s="36" t="e">
        <f>VLOOKUP(Tabela_Base_Financeiro[[#This Row],[Item code]],'COD.FAT'!B:C,2,0)</f>
        <v>#N/A</v>
      </c>
      <c r="C751" s="292">
        <f>Tabela_Base_Financeiro[[#This Row],[PO Ship TO]]</f>
        <v>0</v>
      </c>
      <c r="D751" s="36" t="str">
        <f>RIGHT(Tabela_Base_Financeiro[[#This Row],[Manufacturer]],2)</f>
        <v/>
      </c>
      <c r="E75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51" s="122" t="e">
        <f>VLOOKUP(Tabela_Base_Financeiro[[#This Row],[Project Code]],'COD. PROJETOS'!B:D,3,0)</f>
        <v>#N/A</v>
      </c>
      <c r="G751" s="36">
        <f>IFERROR(Tabela_Base_Financeiro[[#This Row],[PO No,]],0)</f>
        <v>0</v>
      </c>
      <c r="H751" s="36">
        <f>IFERROR(Tabela_Base_Financeiro[[#This Row],[Line No,]],0)</f>
        <v>0</v>
      </c>
      <c r="I751" s="36" t="str">
        <f>IFERROR(MID(Tabela_Base_Financeiro[[#This Row],[Manufacturer]],19,14),"")</f>
        <v/>
      </c>
      <c r="J751" s="113">
        <f>IFERROR(Tabela_Base_Financeiro[[#This Row],[Item code]],0)</f>
        <v>0</v>
      </c>
      <c r="K751" s="293">
        <f>IFERROR(Tabela_Base_Financeiro[[#This Row],[Unit Price]],0)</f>
        <v>0</v>
      </c>
      <c r="L751" s="36">
        <f>IFERROR(Tabela_Base_Financeiro[[#This Row],[AC Qty,]],0)</f>
        <v>0</v>
      </c>
      <c r="M751" s="60">
        <f>Tabela6[[#This Row],[Qty]]*Tabela6[[#This Row],[Preço]]</f>
        <v>0</v>
      </c>
      <c r="N751" s="37">
        <f>IFERROR(Tabela_Base_Financeiro[[#This Row],[Proportion]],0)</f>
        <v>0</v>
      </c>
      <c r="O751" s="60">
        <f>Tabela6[[#This Row],[Proporção]]*Tabela6[[#This Row],[Total]]</f>
        <v>0</v>
      </c>
      <c r="P751"/>
      <c r="Q751" s="59"/>
      <c r="R751" s="1"/>
    </row>
    <row r="752" spans="1:18">
      <c r="A752" s="122" t="e">
        <f>IF(VLOOKUP(Tabela6[[#This Row],[UF]],'BASE CC'!B:C,2,0)="SP",IF(Tabela6[[#This Row],[OPERADORA]]="TIM","SP TIM","SPI"),VLOOKUP(Tabela6[[#This Row],[UF]],'BASE CC'!B:C,2,0))</f>
        <v>#N/A</v>
      </c>
      <c r="B752" s="36" t="e">
        <f>VLOOKUP(Tabela_Base_Financeiro[[#This Row],[Item code]],'COD.FAT'!B:C,2,0)</f>
        <v>#N/A</v>
      </c>
      <c r="C752" s="292">
        <f>Tabela_Base_Financeiro[[#This Row],[PO Ship TO]]</f>
        <v>0</v>
      </c>
      <c r="D752" s="36" t="str">
        <f>RIGHT(Tabela_Base_Financeiro[[#This Row],[Manufacturer]],2)</f>
        <v/>
      </c>
      <c r="E75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52" s="122" t="e">
        <f>VLOOKUP(Tabela_Base_Financeiro[[#This Row],[Project Code]],'COD. PROJETOS'!B:D,3,0)</f>
        <v>#N/A</v>
      </c>
      <c r="G752" s="36">
        <f>IFERROR(Tabela_Base_Financeiro[[#This Row],[PO No,]],0)</f>
        <v>0</v>
      </c>
      <c r="H752" s="36">
        <f>IFERROR(Tabela_Base_Financeiro[[#This Row],[Line No,]],0)</f>
        <v>0</v>
      </c>
      <c r="I752" s="36" t="str">
        <f>IFERROR(MID(Tabela_Base_Financeiro[[#This Row],[Manufacturer]],19,14),"")</f>
        <v/>
      </c>
      <c r="J752" s="113">
        <f>IFERROR(Tabela_Base_Financeiro[[#This Row],[Item code]],0)</f>
        <v>0</v>
      </c>
      <c r="K752" s="293">
        <f>IFERROR(Tabela_Base_Financeiro[[#This Row],[Unit Price]],0)</f>
        <v>0</v>
      </c>
      <c r="L752" s="36">
        <f>IFERROR(Tabela_Base_Financeiro[[#This Row],[AC Qty,]],0)</f>
        <v>0</v>
      </c>
      <c r="M752" s="60">
        <f>Tabela6[[#This Row],[Qty]]*Tabela6[[#This Row],[Preço]]</f>
        <v>0</v>
      </c>
      <c r="N752" s="37">
        <f>IFERROR(Tabela_Base_Financeiro[[#This Row],[Proportion]],0)</f>
        <v>0</v>
      </c>
      <c r="O752" s="60">
        <f>Tabela6[[#This Row],[Proporção]]*Tabela6[[#This Row],[Total]]</f>
        <v>0</v>
      </c>
      <c r="P752"/>
      <c r="Q752" s="59"/>
      <c r="R752" s="1"/>
    </row>
    <row r="753" spans="1:18">
      <c r="A753" s="122" t="e">
        <f>IF(VLOOKUP(Tabela6[[#This Row],[UF]],'BASE CC'!B:C,2,0)="SP",IF(Tabela6[[#This Row],[OPERADORA]]="TIM","SP TIM","SPI"),VLOOKUP(Tabela6[[#This Row],[UF]],'BASE CC'!B:C,2,0))</f>
        <v>#N/A</v>
      </c>
      <c r="B753" s="36" t="e">
        <f>VLOOKUP(Tabela_Base_Financeiro[[#This Row],[Item code]],'COD.FAT'!B:C,2,0)</f>
        <v>#N/A</v>
      </c>
      <c r="C753" s="292">
        <f>Tabela_Base_Financeiro[[#This Row],[PO Ship TO]]</f>
        <v>0</v>
      </c>
      <c r="D753" s="36" t="str">
        <f>RIGHT(Tabela_Base_Financeiro[[#This Row],[Manufacturer]],2)</f>
        <v/>
      </c>
      <c r="E75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53" s="122" t="e">
        <f>VLOOKUP(Tabela_Base_Financeiro[[#This Row],[Project Code]],'COD. PROJETOS'!B:D,3,0)</f>
        <v>#N/A</v>
      </c>
      <c r="G753" s="36">
        <f>IFERROR(Tabela_Base_Financeiro[[#This Row],[PO No,]],0)</f>
        <v>0</v>
      </c>
      <c r="H753" s="36">
        <f>IFERROR(Tabela_Base_Financeiro[[#This Row],[Line No,]],0)</f>
        <v>0</v>
      </c>
      <c r="I753" s="36" t="str">
        <f>IFERROR(MID(Tabela_Base_Financeiro[[#This Row],[Manufacturer]],19,14),"")</f>
        <v/>
      </c>
      <c r="J753" s="113">
        <f>IFERROR(Tabela_Base_Financeiro[[#This Row],[Item code]],0)</f>
        <v>0</v>
      </c>
      <c r="K753" s="293">
        <f>IFERROR(Tabela_Base_Financeiro[[#This Row],[Unit Price]],0)</f>
        <v>0</v>
      </c>
      <c r="L753" s="36">
        <f>IFERROR(Tabela_Base_Financeiro[[#This Row],[AC Qty,]],0)</f>
        <v>0</v>
      </c>
      <c r="M753" s="60">
        <f>Tabela6[[#This Row],[Qty]]*Tabela6[[#This Row],[Preço]]</f>
        <v>0</v>
      </c>
      <c r="N753" s="37">
        <f>IFERROR(Tabela_Base_Financeiro[[#This Row],[Proportion]],0)</f>
        <v>0</v>
      </c>
      <c r="O753" s="60">
        <f>Tabela6[[#This Row],[Proporção]]*Tabela6[[#This Row],[Total]]</f>
        <v>0</v>
      </c>
      <c r="P753"/>
      <c r="Q753" s="59"/>
      <c r="R753" s="1"/>
    </row>
    <row r="754" spans="1:18">
      <c r="A754" s="122" t="e">
        <f>IF(VLOOKUP(Tabela6[[#This Row],[UF]],'BASE CC'!B:C,2,0)="SP",IF(Tabela6[[#This Row],[OPERADORA]]="TIM","SP TIM","SPI"),VLOOKUP(Tabela6[[#This Row],[UF]],'BASE CC'!B:C,2,0))</f>
        <v>#N/A</v>
      </c>
      <c r="B754" s="36" t="e">
        <f>VLOOKUP(Tabela_Base_Financeiro[[#This Row],[Item code]],'COD.FAT'!B:C,2,0)</f>
        <v>#N/A</v>
      </c>
      <c r="C754" s="292">
        <f>Tabela_Base_Financeiro[[#This Row],[PO Ship TO]]</f>
        <v>0</v>
      </c>
      <c r="D754" s="36" t="str">
        <f>RIGHT(Tabela_Base_Financeiro[[#This Row],[Manufacturer]],2)</f>
        <v/>
      </c>
      <c r="E75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54" s="122" t="e">
        <f>VLOOKUP(Tabela_Base_Financeiro[[#This Row],[Project Code]],'COD. PROJETOS'!B:D,3,0)</f>
        <v>#N/A</v>
      </c>
      <c r="G754" s="36">
        <f>IFERROR(Tabela_Base_Financeiro[[#This Row],[PO No,]],0)</f>
        <v>0</v>
      </c>
      <c r="H754" s="36">
        <f>IFERROR(Tabela_Base_Financeiro[[#This Row],[Line No,]],0)</f>
        <v>0</v>
      </c>
      <c r="I754" s="36" t="str">
        <f>IFERROR(MID(Tabela_Base_Financeiro[[#This Row],[Manufacturer]],19,14),"")</f>
        <v/>
      </c>
      <c r="J754" s="113">
        <f>IFERROR(Tabela_Base_Financeiro[[#This Row],[Item code]],0)</f>
        <v>0</v>
      </c>
      <c r="K754" s="293">
        <f>IFERROR(Tabela_Base_Financeiro[[#This Row],[Unit Price]],0)</f>
        <v>0</v>
      </c>
      <c r="L754" s="36">
        <f>IFERROR(Tabela_Base_Financeiro[[#This Row],[AC Qty,]],0)</f>
        <v>0</v>
      </c>
      <c r="M754" s="60">
        <f>Tabela6[[#This Row],[Qty]]*Tabela6[[#This Row],[Preço]]</f>
        <v>0</v>
      </c>
      <c r="N754" s="37">
        <f>IFERROR(Tabela_Base_Financeiro[[#This Row],[Proportion]],0)</f>
        <v>0</v>
      </c>
      <c r="O754" s="60">
        <f>Tabela6[[#This Row],[Proporção]]*Tabela6[[#This Row],[Total]]</f>
        <v>0</v>
      </c>
      <c r="P754"/>
      <c r="Q754" s="59"/>
      <c r="R754" s="1"/>
    </row>
    <row r="755" spans="1:18">
      <c r="A755" s="122" t="e">
        <f>IF(VLOOKUP(Tabela6[[#This Row],[UF]],'BASE CC'!B:C,2,0)="SP",IF(Tabela6[[#This Row],[OPERADORA]]="TIM","SP TIM","SPI"),VLOOKUP(Tabela6[[#This Row],[UF]],'BASE CC'!B:C,2,0))</f>
        <v>#N/A</v>
      </c>
      <c r="B755" s="36" t="e">
        <f>VLOOKUP(Tabela_Base_Financeiro[[#This Row],[Item code]],'COD.FAT'!B:C,2,0)</f>
        <v>#N/A</v>
      </c>
      <c r="C755" s="292">
        <f>Tabela_Base_Financeiro[[#This Row],[PO Ship TO]]</f>
        <v>0</v>
      </c>
      <c r="D755" s="36" t="str">
        <f>RIGHT(Tabela_Base_Financeiro[[#This Row],[Manufacturer]],2)</f>
        <v/>
      </c>
      <c r="E75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55" s="122" t="e">
        <f>VLOOKUP(Tabela_Base_Financeiro[[#This Row],[Project Code]],'COD. PROJETOS'!B:D,3,0)</f>
        <v>#N/A</v>
      </c>
      <c r="G755" s="36">
        <f>IFERROR(Tabela_Base_Financeiro[[#This Row],[PO No,]],0)</f>
        <v>0</v>
      </c>
      <c r="H755" s="36">
        <f>IFERROR(Tabela_Base_Financeiro[[#This Row],[Line No,]],0)</f>
        <v>0</v>
      </c>
      <c r="I755" s="36" t="str">
        <f>IFERROR(MID(Tabela_Base_Financeiro[[#This Row],[Manufacturer]],19,14),"")</f>
        <v/>
      </c>
      <c r="J755" s="113">
        <f>IFERROR(Tabela_Base_Financeiro[[#This Row],[Item code]],0)</f>
        <v>0</v>
      </c>
      <c r="K755" s="293">
        <f>IFERROR(Tabela_Base_Financeiro[[#This Row],[Unit Price]],0)</f>
        <v>0</v>
      </c>
      <c r="L755" s="36">
        <f>IFERROR(Tabela_Base_Financeiro[[#This Row],[AC Qty,]],0)</f>
        <v>0</v>
      </c>
      <c r="M755" s="60">
        <f>Tabela6[[#This Row],[Qty]]*Tabela6[[#This Row],[Preço]]</f>
        <v>0</v>
      </c>
      <c r="N755" s="37">
        <f>IFERROR(Tabela_Base_Financeiro[[#This Row],[Proportion]],0)</f>
        <v>0</v>
      </c>
      <c r="O755" s="60">
        <f>Tabela6[[#This Row],[Proporção]]*Tabela6[[#This Row],[Total]]</f>
        <v>0</v>
      </c>
      <c r="P755"/>
      <c r="Q755" s="59"/>
      <c r="R755" s="1"/>
    </row>
    <row r="756" spans="1:18">
      <c r="A756" s="122" t="e">
        <f>IF(VLOOKUP(Tabela6[[#This Row],[UF]],'BASE CC'!B:C,2,0)="SP",IF(Tabela6[[#This Row],[OPERADORA]]="TIM","SP TIM","SPI"),VLOOKUP(Tabela6[[#This Row],[UF]],'BASE CC'!B:C,2,0))</f>
        <v>#N/A</v>
      </c>
      <c r="B756" s="36" t="e">
        <f>VLOOKUP(Tabela_Base_Financeiro[[#This Row],[Item code]],'COD.FAT'!B:C,2,0)</f>
        <v>#N/A</v>
      </c>
      <c r="C756" s="292">
        <f>Tabela_Base_Financeiro[[#This Row],[PO Ship TO]]</f>
        <v>0</v>
      </c>
      <c r="D756" s="36" t="str">
        <f>RIGHT(Tabela_Base_Financeiro[[#This Row],[Manufacturer]],2)</f>
        <v/>
      </c>
      <c r="E75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56" s="122" t="e">
        <f>VLOOKUP(Tabela_Base_Financeiro[[#This Row],[Project Code]],'COD. PROJETOS'!B:D,3,0)</f>
        <v>#N/A</v>
      </c>
      <c r="G756" s="36">
        <f>IFERROR(Tabela_Base_Financeiro[[#This Row],[PO No,]],0)</f>
        <v>0</v>
      </c>
      <c r="H756" s="36">
        <f>IFERROR(Tabela_Base_Financeiro[[#This Row],[Line No,]],0)</f>
        <v>0</v>
      </c>
      <c r="I756" s="36" t="str">
        <f>IFERROR(MID(Tabela_Base_Financeiro[[#This Row],[Manufacturer]],19,14),"")</f>
        <v/>
      </c>
      <c r="J756" s="113">
        <f>IFERROR(Tabela_Base_Financeiro[[#This Row],[Item code]],0)</f>
        <v>0</v>
      </c>
      <c r="K756" s="293">
        <f>IFERROR(Tabela_Base_Financeiro[[#This Row],[Unit Price]],0)</f>
        <v>0</v>
      </c>
      <c r="L756" s="36">
        <f>IFERROR(Tabela_Base_Financeiro[[#This Row],[AC Qty,]],0)</f>
        <v>0</v>
      </c>
      <c r="M756" s="60">
        <f>Tabela6[[#This Row],[Qty]]*Tabela6[[#This Row],[Preço]]</f>
        <v>0</v>
      </c>
      <c r="N756" s="37">
        <f>IFERROR(Tabela_Base_Financeiro[[#This Row],[Proportion]],0)</f>
        <v>0</v>
      </c>
      <c r="O756" s="60">
        <f>Tabela6[[#This Row],[Proporção]]*Tabela6[[#This Row],[Total]]</f>
        <v>0</v>
      </c>
      <c r="P756"/>
      <c r="Q756" s="59"/>
      <c r="R756" s="1"/>
    </row>
    <row r="757" spans="1:18">
      <c r="A757" s="122" t="e">
        <f>IF(VLOOKUP(Tabela6[[#This Row],[UF]],'BASE CC'!B:C,2,0)="SP",IF(Tabela6[[#This Row],[OPERADORA]]="TIM","SP TIM","SPI"),VLOOKUP(Tabela6[[#This Row],[UF]],'BASE CC'!B:C,2,0))</f>
        <v>#N/A</v>
      </c>
      <c r="B757" s="36" t="e">
        <f>VLOOKUP(Tabela_Base_Financeiro[[#This Row],[Item code]],'COD.FAT'!B:C,2,0)</f>
        <v>#N/A</v>
      </c>
      <c r="C757" s="292">
        <f>Tabela_Base_Financeiro[[#This Row],[PO Ship TO]]</f>
        <v>0</v>
      </c>
      <c r="D757" s="36" t="str">
        <f>RIGHT(Tabela_Base_Financeiro[[#This Row],[Manufacturer]],2)</f>
        <v/>
      </c>
      <c r="E75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57" s="122" t="e">
        <f>VLOOKUP(Tabela_Base_Financeiro[[#This Row],[Project Code]],'COD. PROJETOS'!B:D,3,0)</f>
        <v>#N/A</v>
      </c>
      <c r="G757" s="36">
        <f>IFERROR(Tabela_Base_Financeiro[[#This Row],[PO No,]],0)</f>
        <v>0</v>
      </c>
      <c r="H757" s="36">
        <f>IFERROR(Tabela_Base_Financeiro[[#This Row],[Line No,]],0)</f>
        <v>0</v>
      </c>
      <c r="I757" s="36" t="str">
        <f>IFERROR(MID(Tabela_Base_Financeiro[[#This Row],[Manufacturer]],19,14),"")</f>
        <v/>
      </c>
      <c r="J757" s="113">
        <f>IFERROR(Tabela_Base_Financeiro[[#This Row],[Item code]],0)</f>
        <v>0</v>
      </c>
      <c r="K757" s="293">
        <f>IFERROR(Tabela_Base_Financeiro[[#This Row],[Unit Price]],0)</f>
        <v>0</v>
      </c>
      <c r="L757" s="36">
        <f>IFERROR(Tabela_Base_Financeiro[[#This Row],[AC Qty,]],0)</f>
        <v>0</v>
      </c>
      <c r="M757" s="60">
        <f>Tabela6[[#This Row],[Qty]]*Tabela6[[#This Row],[Preço]]</f>
        <v>0</v>
      </c>
      <c r="N757" s="37">
        <f>IFERROR(Tabela_Base_Financeiro[[#This Row],[Proportion]],0)</f>
        <v>0</v>
      </c>
      <c r="O757" s="60">
        <f>Tabela6[[#This Row],[Proporção]]*Tabela6[[#This Row],[Total]]</f>
        <v>0</v>
      </c>
      <c r="P757"/>
      <c r="Q757" s="59"/>
      <c r="R757" s="1"/>
    </row>
    <row r="758" spans="1:18">
      <c r="A758" s="122" t="e">
        <f>IF(VLOOKUP(Tabela6[[#This Row],[UF]],'BASE CC'!B:C,2,0)="SP",IF(Tabela6[[#This Row],[OPERADORA]]="TIM","SP TIM","SPI"),VLOOKUP(Tabela6[[#This Row],[UF]],'BASE CC'!B:C,2,0))</f>
        <v>#N/A</v>
      </c>
      <c r="B758" s="36" t="e">
        <f>VLOOKUP(Tabela_Base_Financeiro[[#This Row],[Item code]],'COD.FAT'!B:C,2,0)</f>
        <v>#N/A</v>
      </c>
      <c r="C758" s="292">
        <f>Tabela_Base_Financeiro[[#This Row],[PO Ship TO]]</f>
        <v>0</v>
      </c>
      <c r="D758" s="36" t="str">
        <f>RIGHT(Tabela_Base_Financeiro[[#This Row],[Manufacturer]],2)</f>
        <v/>
      </c>
      <c r="E75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58" s="122" t="e">
        <f>VLOOKUP(Tabela_Base_Financeiro[[#This Row],[Project Code]],'COD. PROJETOS'!B:D,3,0)</f>
        <v>#N/A</v>
      </c>
      <c r="G758" s="36">
        <f>IFERROR(Tabela_Base_Financeiro[[#This Row],[PO No,]],0)</f>
        <v>0</v>
      </c>
      <c r="H758" s="36">
        <f>IFERROR(Tabela_Base_Financeiro[[#This Row],[Line No,]],0)</f>
        <v>0</v>
      </c>
      <c r="I758" s="36" t="str">
        <f>IFERROR(MID(Tabela_Base_Financeiro[[#This Row],[Manufacturer]],19,14),"")</f>
        <v/>
      </c>
      <c r="J758" s="113">
        <f>IFERROR(Tabela_Base_Financeiro[[#This Row],[Item code]],0)</f>
        <v>0</v>
      </c>
      <c r="K758" s="293">
        <f>IFERROR(Tabela_Base_Financeiro[[#This Row],[Unit Price]],0)</f>
        <v>0</v>
      </c>
      <c r="L758" s="36">
        <f>IFERROR(Tabela_Base_Financeiro[[#This Row],[AC Qty,]],0)</f>
        <v>0</v>
      </c>
      <c r="M758" s="60">
        <f>Tabela6[[#This Row],[Qty]]*Tabela6[[#This Row],[Preço]]</f>
        <v>0</v>
      </c>
      <c r="N758" s="37">
        <f>IFERROR(Tabela_Base_Financeiro[[#This Row],[Proportion]],0)</f>
        <v>0</v>
      </c>
      <c r="O758" s="60">
        <f>Tabela6[[#This Row],[Proporção]]*Tabela6[[#This Row],[Total]]</f>
        <v>0</v>
      </c>
      <c r="P758"/>
      <c r="Q758" s="59"/>
      <c r="R758" s="1"/>
    </row>
    <row r="759" spans="1:18">
      <c r="A759" s="122" t="e">
        <f>IF(VLOOKUP(Tabela6[[#This Row],[UF]],'BASE CC'!B:C,2,0)="SP",IF(Tabela6[[#This Row],[OPERADORA]]="TIM","SP TIM","SPI"),VLOOKUP(Tabela6[[#This Row],[UF]],'BASE CC'!B:C,2,0))</f>
        <v>#N/A</v>
      </c>
      <c r="B759" s="36" t="e">
        <f>VLOOKUP(Tabela_Base_Financeiro[[#This Row],[Item code]],'COD.FAT'!B:C,2,0)</f>
        <v>#N/A</v>
      </c>
      <c r="C759" s="292">
        <f>Tabela_Base_Financeiro[[#This Row],[PO Ship TO]]</f>
        <v>0</v>
      </c>
      <c r="D759" s="36" t="str">
        <f>RIGHT(Tabela_Base_Financeiro[[#This Row],[Manufacturer]],2)</f>
        <v/>
      </c>
      <c r="E75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59" s="122" t="e">
        <f>VLOOKUP(Tabela_Base_Financeiro[[#This Row],[Project Code]],'COD. PROJETOS'!B:D,3,0)</f>
        <v>#N/A</v>
      </c>
      <c r="G759" s="36">
        <f>IFERROR(Tabela_Base_Financeiro[[#This Row],[PO No,]],0)</f>
        <v>0</v>
      </c>
      <c r="H759" s="36">
        <f>IFERROR(Tabela_Base_Financeiro[[#This Row],[Line No,]],0)</f>
        <v>0</v>
      </c>
      <c r="I759" s="36" t="str">
        <f>IFERROR(MID(Tabela_Base_Financeiro[[#This Row],[Manufacturer]],19,14),"")</f>
        <v/>
      </c>
      <c r="J759" s="113">
        <f>IFERROR(Tabela_Base_Financeiro[[#This Row],[Item code]],0)</f>
        <v>0</v>
      </c>
      <c r="K759" s="293">
        <f>IFERROR(Tabela_Base_Financeiro[[#This Row],[Unit Price]],0)</f>
        <v>0</v>
      </c>
      <c r="L759" s="36">
        <f>IFERROR(Tabela_Base_Financeiro[[#This Row],[AC Qty,]],0)</f>
        <v>0</v>
      </c>
      <c r="M759" s="60">
        <f>Tabela6[[#This Row],[Qty]]*Tabela6[[#This Row],[Preço]]</f>
        <v>0</v>
      </c>
      <c r="N759" s="37">
        <f>IFERROR(Tabela_Base_Financeiro[[#This Row],[Proportion]],0)</f>
        <v>0</v>
      </c>
      <c r="O759" s="60">
        <f>Tabela6[[#This Row],[Proporção]]*Tabela6[[#This Row],[Total]]</f>
        <v>0</v>
      </c>
      <c r="P759"/>
      <c r="Q759" s="59"/>
      <c r="R759" s="1"/>
    </row>
    <row r="760" spans="1:18">
      <c r="A760" s="122" t="e">
        <f>IF(VLOOKUP(Tabela6[[#This Row],[UF]],'BASE CC'!B:C,2,0)="SP",IF(Tabela6[[#This Row],[OPERADORA]]="TIM","SP TIM","SPI"),VLOOKUP(Tabela6[[#This Row],[UF]],'BASE CC'!B:C,2,0))</f>
        <v>#N/A</v>
      </c>
      <c r="B760" s="36" t="e">
        <f>VLOOKUP(Tabela_Base_Financeiro[[#This Row],[Item code]],'COD.FAT'!B:C,2,0)</f>
        <v>#N/A</v>
      </c>
      <c r="C760" s="292">
        <f>Tabela_Base_Financeiro[[#This Row],[PO Ship TO]]</f>
        <v>0</v>
      </c>
      <c r="D760" s="36" t="str">
        <f>RIGHT(Tabela_Base_Financeiro[[#This Row],[Manufacturer]],2)</f>
        <v/>
      </c>
      <c r="E76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60" s="122" t="e">
        <f>VLOOKUP(Tabela_Base_Financeiro[[#This Row],[Project Code]],'COD. PROJETOS'!B:D,3,0)</f>
        <v>#N/A</v>
      </c>
      <c r="G760" s="36">
        <f>IFERROR(Tabela_Base_Financeiro[[#This Row],[PO No,]],0)</f>
        <v>0</v>
      </c>
      <c r="H760" s="36">
        <f>IFERROR(Tabela_Base_Financeiro[[#This Row],[Line No,]],0)</f>
        <v>0</v>
      </c>
      <c r="I760" s="36" t="str">
        <f>IFERROR(MID(Tabela_Base_Financeiro[[#This Row],[Manufacturer]],19,14),"")</f>
        <v/>
      </c>
      <c r="J760" s="113">
        <f>IFERROR(Tabela_Base_Financeiro[[#This Row],[Item code]],0)</f>
        <v>0</v>
      </c>
      <c r="K760" s="293">
        <f>IFERROR(Tabela_Base_Financeiro[[#This Row],[Unit Price]],0)</f>
        <v>0</v>
      </c>
      <c r="L760" s="36">
        <f>IFERROR(Tabela_Base_Financeiro[[#This Row],[AC Qty,]],0)</f>
        <v>0</v>
      </c>
      <c r="M760" s="60">
        <f>Tabela6[[#This Row],[Qty]]*Tabela6[[#This Row],[Preço]]</f>
        <v>0</v>
      </c>
      <c r="N760" s="37">
        <f>IFERROR(Tabela_Base_Financeiro[[#This Row],[Proportion]],0)</f>
        <v>0</v>
      </c>
      <c r="O760" s="60">
        <f>Tabela6[[#This Row],[Proporção]]*Tabela6[[#This Row],[Total]]</f>
        <v>0</v>
      </c>
      <c r="P760"/>
      <c r="Q760" s="59"/>
      <c r="R760" s="1"/>
    </row>
    <row r="761" spans="1:18">
      <c r="A761" s="122" t="e">
        <f>IF(VLOOKUP(Tabela6[[#This Row],[UF]],'BASE CC'!B:C,2,0)="SP",IF(Tabela6[[#This Row],[OPERADORA]]="TIM","SP TIM","SPI"),VLOOKUP(Tabela6[[#This Row],[UF]],'BASE CC'!B:C,2,0))</f>
        <v>#N/A</v>
      </c>
      <c r="B761" s="36" t="e">
        <f>VLOOKUP(Tabela_Base_Financeiro[[#This Row],[Item code]],'COD.FAT'!B:C,2,0)</f>
        <v>#N/A</v>
      </c>
      <c r="C761" s="292">
        <f>Tabela_Base_Financeiro[[#This Row],[PO Ship TO]]</f>
        <v>0</v>
      </c>
      <c r="D761" s="36" t="str">
        <f>RIGHT(Tabela_Base_Financeiro[[#This Row],[Manufacturer]],2)</f>
        <v/>
      </c>
      <c r="E76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61" s="122" t="e">
        <f>VLOOKUP(Tabela_Base_Financeiro[[#This Row],[Project Code]],'COD. PROJETOS'!B:D,3,0)</f>
        <v>#N/A</v>
      </c>
      <c r="G761" s="36">
        <f>IFERROR(Tabela_Base_Financeiro[[#This Row],[PO No,]],0)</f>
        <v>0</v>
      </c>
      <c r="H761" s="36">
        <f>IFERROR(Tabela_Base_Financeiro[[#This Row],[Line No,]],0)</f>
        <v>0</v>
      </c>
      <c r="I761" s="36" t="str">
        <f>IFERROR(MID(Tabela_Base_Financeiro[[#This Row],[Manufacturer]],19,14),"")</f>
        <v/>
      </c>
      <c r="J761" s="113">
        <f>IFERROR(Tabela_Base_Financeiro[[#This Row],[Item code]],0)</f>
        <v>0</v>
      </c>
      <c r="K761" s="293">
        <f>IFERROR(Tabela_Base_Financeiro[[#This Row],[Unit Price]],0)</f>
        <v>0</v>
      </c>
      <c r="L761" s="36">
        <f>IFERROR(Tabela_Base_Financeiro[[#This Row],[AC Qty,]],0)</f>
        <v>0</v>
      </c>
      <c r="M761" s="60">
        <f>Tabela6[[#This Row],[Qty]]*Tabela6[[#This Row],[Preço]]</f>
        <v>0</v>
      </c>
      <c r="N761" s="37">
        <f>IFERROR(Tabela_Base_Financeiro[[#This Row],[Proportion]],0)</f>
        <v>0</v>
      </c>
      <c r="O761" s="60">
        <f>Tabela6[[#This Row],[Proporção]]*Tabela6[[#This Row],[Total]]</f>
        <v>0</v>
      </c>
      <c r="P761"/>
      <c r="Q761" s="59"/>
      <c r="R761" s="1"/>
    </row>
    <row r="762" spans="1:18">
      <c r="A762" s="122" t="e">
        <f>IF(VLOOKUP(Tabela6[[#This Row],[UF]],'BASE CC'!B:C,2,0)="SP",IF(Tabela6[[#This Row],[OPERADORA]]="TIM","SP TIM","SPI"),VLOOKUP(Tabela6[[#This Row],[UF]],'BASE CC'!B:C,2,0))</f>
        <v>#N/A</v>
      </c>
      <c r="B762" s="36" t="e">
        <f>VLOOKUP(Tabela_Base_Financeiro[[#This Row],[Item code]],'COD.FAT'!B:C,2,0)</f>
        <v>#N/A</v>
      </c>
      <c r="C762" s="292">
        <f>Tabela_Base_Financeiro[[#This Row],[PO Ship TO]]</f>
        <v>0</v>
      </c>
      <c r="D762" s="36" t="str">
        <f>RIGHT(Tabela_Base_Financeiro[[#This Row],[Manufacturer]],2)</f>
        <v/>
      </c>
      <c r="E76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62" s="122" t="e">
        <f>VLOOKUP(Tabela_Base_Financeiro[[#This Row],[Project Code]],'COD. PROJETOS'!B:D,3,0)</f>
        <v>#N/A</v>
      </c>
      <c r="G762" s="36">
        <f>IFERROR(Tabela_Base_Financeiro[[#This Row],[PO No,]],0)</f>
        <v>0</v>
      </c>
      <c r="H762" s="36">
        <f>IFERROR(Tabela_Base_Financeiro[[#This Row],[Line No,]],0)</f>
        <v>0</v>
      </c>
      <c r="I762" s="36" t="str">
        <f>IFERROR(MID(Tabela_Base_Financeiro[[#This Row],[Manufacturer]],19,14),"")</f>
        <v/>
      </c>
      <c r="J762" s="113">
        <f>IFERROR(Tabela_Base_Financeiro[[#This Row],[Item code]],0)</f>
        <v>0</v>
      </c>
      <c r="K762" s="293">
        <f>IFERROR(Tabela_Base_Financeiro[[#This Row],[Unit Price]],0)</f>
        <v>0</v>
      </c>
      <c r="L762" s="36">
        <f>IFERROR(Tabela_Base_Financeiro[[#This Row],[AC Qty,]],0)</f>
        <v>0</v>
      </c>
      <c r="M762" s="60">
        <f>Tabela6[[#This Row],[Qty]]*Tabela6[[#This Row],[Preço]]</f>
        <v>0</v>
      </c>
      <c r="N762" s="37">
        <f>IFERROR(Tabela_Base_Financeiro[[#This Row],[Proportion]],0)</f>
        <v>0</v>
      </c>
      <c r="O762" s="60">
        <f>Tabela6[[#This Row],[Proporção]]*Tabela6[[#This Row],[Total]]</f>
        <v>0</v>
      </c>
      <c r="P762"/>
      <c r="Q762" s="59"/>
      <c r="R762" s="1"/>
    </row>
    <row r="763" spans="1:18">
      <c r="A763" s="122" t="e">
        <f>IF(VLOOKUP(Tabela6[[#This Row],[UF]],'BASE CC'!B:C,2,0)="SP",IF(Tabela6[[#This Row],[OPERADORA]]="TIM","SP TIM","SPI"),VLOOKUP(Tabela6[[#This Row],[UF]],'BASE CC'!B:C,2,0))</f>
        <v>#N/A</v>
      </c>
      <c r="B763" s="36" t="e">
        <f>VLOOKUP(Tabela_Base_Financeiro[[#This Row],[Item code]],'COD.FAT'!B:C,2,0)</f>
        <v>#N/A</v>
      </c>
      <c r="C763" s="292">
        <f>Tabela_Base_Financeiro[[#This Row],[PO Ship TO]]</f>
        <v>0</v>
      </c>
      <c r="D763" s="36" t="str">
        <f>RIGHT(Tabela_Base_Financeiro[[#This Row],[Manufacturer]],2)</f>
        <v/>
      </c>
      <c r="E76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63" s="122" t="e">
        <f>VLOOKUP(Tabela_Base_Financeiro[[#This Row],[Project Code]],'COD. PROJETOS'!B:D,3,0)</f>
        <v>#N/A</v>
      </c>
      <c r="G763" s="36">
        <f>IFERROR(Tabela_Base_Financeiro[[#This Row],[PO No,]],0)</f>
        <v>0</v>
      </c>
      <c r="H763" s="36">
        <f>IFERROR(Tabela_Base_Financeiro[[#This Row],[Line No,]],0)</f>
        <v>0</v>
      </c>
      <c r="I763" s="36" t="str">
        <f>IFERROR(MID(Tabela_Base_Financeiro[[#This Row],[Manufacturer]],19,14),"")</f>
        <v/>
      </c>
      <c r="J763" s="113">
        <f>IFERROR(Tabela_Base_Financeiro[[#This Row],[Item code]],0)</f>
        <v>0</v>
      </c>
      <c r="K763" s="293">
        <f>IFERROR(Tabela_Base_Financeiro[[#This Row],[Unit Price]],0)</f>
        <v>0</v>
      </c>
      <c r="L763" s="36">
        <f>IFERROR(Tabela_Base_Financeiro[[#This Row],[AC Qty,]],0)</f>
        <v>0</v>
      </c>
      <c r="M763" s="60">
        <f>Tabela6[[#This Row],[Qty]]*Tabela6[[#This Row],[Preço]]</f>
        <v>0</v>
      </c>
      <c r="N763" s="37">
        <f>IFERROR(Tabela_Base_Financeiro[[#This Row],[Proportion]],0)</f>
        <v>0</v>
      </c>
      <c r="O763" s="60">
        <f>Tabela6[[#This Row],[Proporção]]*Tabela6[[#This Row],[Total]]</f>
        <v>0</v>
      </c>
      <c r="P763"/>
      <c r="Q763" s="59"/>
      <c r="R763" s="1"/>
    </row>
    <row r="764" spans="1:18">
      <c r="A764" s="122" t="e">
        <f>IF(VLOOKUP(Tabela6[[#This Row],[UF]],'BASE CC'!B:C,2,0)="SP",IF(Tabela6[[#This Row],[OPERADORA]]="TIM","SP TIM","SPI"),VLOOKUP(Tabela6[[#This Row],[UF]],'BASE CC'!B:C,2,0))</f>
        <v>#N/A</v>
      </c>
      <c r="B764" s="36" t="e">
        <f>VLOOKUP(Tabela_Base_Financeiro[[#This Row],[Item code]],'COD.FAT'!B:C,2,0)</f>
        <v>#N/A</v>
      </c>
      <c r="C764" s="292">
        <f>Tabela_Base_Financeiro[[#This Row],[PO Ship TO]]</f>
        <v>0</v>
      </c>
      <c r="D764" s="36" t="str">
        <f>RIGHT(Tabela_Base_Financeiro[[#This Row],[Manufacturer]],2)</f>
        <v/>
      </c>
      <c r="E76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64" s="122" t="e">
        <f>VLOOKUP(Tabela_Base_Financeiro[[#This Row],[Project Code]],'COD. PROJETOS'!B:D,3,0)</f>
        <v>#N/A</v>
      </c>
      <c r="G764" s="36">
        <f>IFERROR(Tabela_Base_Financeiro[[#This Row],[PO No,]],0)</f>
        <v>0</v>
      </c>
      <c r="H764" s="36">
        <f>IFERROR(Tabela_Base_Financeiro[[#This Row],[Line No,]],0)</f>
        <v>0</v>
      </c>
      <c r="I764" s="36" t="str">
        <f>IFERROR(MID(Tabela_Base_Financeiro[[#This Row],[Manufacturer]],19,14),"")</f>
        <v/>
      </c>
      <c r="J764" s="113">
        <f>IFERROR(Tabela_Base_Financeiro[[#This Row],[Item code]],0)</f>
        <v>0</v>
      </c>
      <c r="K764" s="293">
        <f>IFERROR(Tabela_Base_Financeiro[[#This Row],[Unit Price]],0)</f>
        <v>0</v>
      </c>
      <c r="L764" s="36">
        <f>IFERROR(Tabela_Base_Financeiro[[#This Row],[AC Qty,]],0)</f>
        <v>0</v>
      </c>
      <c r="M764" s="60">
        <f>Tabela6[[#This Row],[Qty]]*Tabela6[[#This Row],[Preço]]</f>
        <v>0</v>
      </c>
      <c r="N764" s="37">
        <f>IFERROR(Tabela_Base_Financeiro[[#This Row],[Proportion]],0)</f>
        <v>0</v>
      </c>
      <c r="O764" s="60">
        <f>Tabela6[[#This Row],[Proporção]]*Tabela6[[#This Row],[Total]]</f>
        <v>0</v>
      </c>
      <c r="P764"/>
      <c r="Q764" s="59"/>
      <c r="R764" s="1"/>
    </row>
    <row r="765" spans="1:18">
      <c r="A765" s="122" t="e">
        <f>IF(VLOOKUP(Tabela6[[#This Row],[UF]],'BASE CC'!B:C,2,0)="SP",IF(Tabela6[[#This Row],[OPERADORA]]="TIM","SP TIM","SPI"),VLOOKUP(Tabela6[[#This Row],[UF]],'BASE CC'!B:C,2,0))</f>
        <v>#N/A</v>
      </c>
      <c r="B765" s="36" t="e">
        <f>VLOOKUP(Tabela_Base_Financeiro[[#This Row],[Item code]],'COD.FAT'!B:C,2,0)</f>
        <v>#N/A</v>
      </c>
      <c r="C765" s="292">
        <f>Tabela_Base_Financeiro[[#This Row],[PO Ship TO]]</f>
        <v>0</v>
      </c>
      <c r="D765" s="36" t="str">
        <f>RIGHT(Tabela_Base_Financeiro[[#This Row],[Manufacturer]],2)</f>
        <v/>
      </c>
      <c r="E76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65" s="122" t="e">
        <f>VLOOKUP(Tabela_Base_Financeiro[[#This Row],[Project Code]],'COD. PROJETOS'!B:D,3,0)</f>
        <v>#N/A</v>
      </c>
      <c r="G765" s="36">
        <f>IFERROR(Tabela_Base_Financeiro[[#This Row],[PO No,]],0)</f>
        <v>0</v>
      </c>
      <c r="H765" s="36">
        <f>IFERROR(Tabela_Base_Financeiro[[#This Row],[Line No,]],0)</f>
        <v>0</v>
      </c>
      <c r="I765" s="36" t="str">
        <f>IFERROR(MID(Tabela_Base_Financeiro[[#This Row],[Manufacturer]],19,14),"")</f>
        <v/>
      </c>
      <c r="J765" s="113">
        <f>IFERROR(Tabela_Base_Financeiro[[#This Row],[Item code]],0)</f>
        <v>0</v>
      </c>
      <c r="K765" s="293">
        <f>IFERROR(Tabela_Base_Financeiro[[#This Row],[Unit Price]],0)</f>
        <v>0</v>
      </c>
      <c r="L765" s="36">
        <f>IFERROR(Tabela_Base_Financeiro[[#This Row],[AC Qty,]],0)</f>
        <v>0</v>
      </c>
      <c r="M765" s="60">
        <f>Tabela6[[#This Row],[Qty]]*Tabela6[[#This Row],[Preço]]</f>
        <v>0</v>
      </c>
      <c r="N765" s="37">
        <f>IFERROR(Tabela_Base_Financeiro[[#This Row],[Proportion]],0)</f>
        <v>0</v>
      </c>
      <c r="O765" s="60">
        <f>Tabela6[[#This Row],[Proporção]]*Tabela6[[#This Row],[Total]]</f>
        <v>0</v>
      </c>
      <c r="P765"/>
      <c r="Q765" s="59"/>
      <c r="R765" s="1"/>
    </row>
    <row r="766" spans="1:18">
      <c r="A766" s="122" t="e">
        <f>IF(VLOOKUP(Tabela6[[#This Row],[UF]],'BASE CC'!B:C,2,0)="SP",IF(Tabela6[[#This Row],[OPERADORA]]="TIM","SP TIM","SPI"),VLOOKUP(Tabela6[[#This Row],[UF]],'BASE CC'!B:C,2,0))</f>
        <v>#N/A</v>
      </c>
      <c r="B766" s="36" t="e">
        <f>VLOOKUP(Tabela_Base_Financeiro[[#This Row],[Item code]],'COD.FAT'!B:C,2,0)</f>
        <v>#N/A</v>
      </c>
      <c r="C766" s="292">
        <f>Tabela_Base_Financeiro[[#This Row],[PO Ship TO]]</f>
        <v>0</v>
      </c>
      <c r="D766" s="36" t="str">
        <f>RIGHT(Tabela_Base_Financeiro[[#This Row],[Manufacturer]],2)</f>
        <v/>
      </c>
      <c r="E76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66" s="122" t="e">
        <f>VLOOKUP(Tabela_Base_Financeiro[[#This Row],[Project Code]],'COD. PROJETOS'!B:D,3,0)</f>
        <v>#N/A</v>
      </c>
      <c r="G766" s="36">
        <f>IFERROR(Tabela_Base_Financeiro[[#This Row],[PO No,]],0)</f>
        <v>0</v>
      </c>
      <c r="H766" s="36">
        <f>IFERROR(Tabela_Base_Financeiro[[#This Row],[Line No,]],0)</f>
        <v>0</v>
      </c>
      <c r="I766" s="36" t="str">
        <f>IFERROR(MID(Tabela_Base_Financeiro[[#This Row],[Manufacturer]],19,14),"")</f>
        <v/>
      </c>
      <c r="J766" s="113">
        <f>IFERROR(Tabela_Base_Financeiro[[#This Row],[Item code]],0)</f>
        <v>0</v>
      </c>
      <c r="K766" s="293">
        <f>IFERROR(Tabela_Base_Financeiro[[#This Row],[Unit Price]],0)</f>
        <v>0</v>
      </c>
      <c r="L766" s="36">
        <f>IFERROR(Tabela_Base_Financeiro[[#This Row],[AC Qty,]],0)</f>
        <v>0</v>
      </c>
      <c r="M766" s="60">
        <f>Tabela6[[#This Row],[Qty]]*Tabela6[[#This Row],[Preço]]</f>
        <v>0</v>
      </c>
      <c r="N766" s="37">
        <f>IFERROR(Tabela_Base_Financeiro[[#This Row],[Proportion]],0)</f>
        <v>0</v>
      </c>
      <c r="O766" s="60">
        <f>Tabela6[[#This Row],[Proporção]]*Tabela6[[#This Row],[Total]]</f>
        <v>0</v>
      </c>
      <c r="P766"/>
      <c r="Q766" s="59"/>
      <c r="R766" s="1"/>
    </row>
    <row r="767" spans="1:18">
      <c r="A767" s="122" t="e">
        <f>IF(VLOOKUP(Tabela6[[#This Row],[UF]],'BASE CC'!B:C,2,0)="SP",IF(Tabela6[[#This Row],[OPERADORA]]="TIM","SP TIM","SPI"),VLOOKUP(Tabela6[[#This Row],[UF]],'BASE CC'!B:C,2,0))</f>
        <v>#N/A</v>
      </c>
      <c r="B767" s="36" t="e">
        <f>VLOOKUP(Tabela_Base_Financeiro[[#This Row],[Item code]],'COD.FAT'!B:C,2,0)</f>
        <v>#N/A</v>
      </c>
      <c r="C767" s="292">
        <f>Tabela_Base_Financeiro[[#This Row],[PO Ship TO]]</f>
        <v>0</v>
      </c>
      <c r="D767" s="36" t="str">
        <f>RIGHT(Tabela_Base_Financeiro[[#This Row],[Manufacturer]],2)</f>
        <v/>
      </c>
      <c r="E76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67" s="122" t="e">
        <f>VLOOKUP(Tabela_Base_Financeiro[[#This Row],[Project Code]],'COD. PROJETOS'!B:D,3,0)</f>
        <v>#N/A</v>
      </c>
      <c r="G767" s="36">
        <f>IFERROR(Tabela_Base_Financeiro[[#This Row],[PO No,]],0)</f>
        <v>0</v>
      </c>
      <c r="H767" s="36">
        <f>IFERROR(Tabela_Base_Financeiro[[#This Row],[Line No,]],0)</f>
        <v>0</v>
      </c>
      <c r="I767" s="36" t="str">
        <f>IFERROR(MID(Tabela_Base_Financeiro[[#This Row],[Manufacturer]],19,14),"")</f>
        <v/>
      </c>
      <c r="J767" s="113">
        <f>IFERROR(Tabela_Base_Financeiro[[#This Row],[Item code]],0)</f>
        <v>0</v>
      </c>
      <c r="K767" s="293">
        <f>IFERROR(Tabela_Base_Financeiro[[#This Row],[Unit Price]],0)</f>
        <v>0</v>
      </c>
      <c r="L767" s="36">
        <f>IFERROR(Tabela_Base_Financeiro[[#This Row],[AC Qty,]],0)</f>
        <v>0</v>
      </c>
      <c r="M767" s="60">
        <f>Tabela6[[#This Row],[Qty]]*Tabela6[[#This Row],[Preço]]</f>
        <v>0</v>
      </c>
      <c r="N767" s="37">
        <f>IFERROR(Tabela_Base_Financeiro[[#This Row],[Proportion]],0)</f>
        <v>0</v>
      </c>
      <c r="O767" s="60">
        <f>Tabela6[[#This Row],[Proporção]]*Tabela6[[#This Row],[Total]]</f>
        <v>0</v>
      </c>
      <c r="P767"/>
      <c r="Q767" s="59"/>
      <c r="R767" s="1"/>
    </row>
    <row r="768" spans="1:18">
      <c r="A768" s="122" t="e">
        <f>IF(VLOOKUP(Tabela6[[#This Row],[UF]],'BASE CC'!B:C,2,0)="SP",IF(Tabela6[[#This Row],[OPERADORA]]="TIM","SP TIM","SPI"),VLOOKUP(Tabela6[[#This Row],[UF]],'BASE CC'!B:C,2,0))</f>
        <v>#N/A</v>
      </c>
      <c r="B768" s="36" t="e">
        <f>VLOOKUP(Tabela_Base_Financeiro[[#This Row],[Item code]],'COD.FAT'!B:C,2,0)</f>
        <v>#N/A</v>
      </c>
      <c r="C768" s="292">
        <f>Tabela_Base_Financeiro[[#This Row],[PO Ship TO]]</f>
        <v>0</v>
      </c>
      <c r="D768" s="36" t="str">
        <f>RIGHT(Tabela_Base_Financeiro[[#This Row],[Manufacturer]],2)</f>
        <v/>
      </c>
      <c r="E76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68" s="122" t="e">
        <f>VLOOKUP(Tabela_Base_Financeiro[[#This Row],[Project Code]],'COD. PROJETOS'!B:D,3,0)</f>
        <v>#N/A</v>
      </c>
      <c r="G768" s="36">
        <f>IFERROR(Tabela_Base_Financeiro[[#This Row],[PO No,]],0)</f>
        <v>0</v>
      </c>
      <c r="H768" s="36">
        <f>IFERROR(Tabela_Base_Financeiro[[#This Row],[Line No,]],0)</f>
        <v>0</v>
      </c>
      <c r="I768" s="36" t="str">
        <f>IFERROR(MID(Tabela_Base_Financeiro[[#This Row],[Manufacturer]],19,14),"")</f>
        <v/>
      </c>
      <c r="J768" s="113">
        <f>IFERROR(Tabela_Base_Financeiro[[#This Row],[Item code]],0)</f>
        <v>0</v>
      </c>
      <c r="K768" s="293">
        <f>IFERROR(Tabela_Base_Financeiro[[#This Row],[Unit Price]],0)</f>
        <v>0</v>
      </c>
      <c r="L768" s="36">
        <f>IFERROR(Tabela_Base_Financeiro[[#This Row],[AC Qty,]],0)</f>
        <v>0</v>
      </c>
      <c r="M768" s="60">
        <f>Tabela6[[#This Row],[Qty]]*Tabela6[[#This Row],[Preço]]</f>
        <v>0</v>
      </c>
      <c r="N768" s="37">
        <f>IFERROR(Tabela_Base_Financeiro[[#This Row],[Proportion]],0)</f>
        <v>0</v>
      </c>
      <c r="O768" s="60">
        <f>Tabela6[[#This Row],[Proporção]]*Tabela6[[#This Row],[Total]]</f>
        <v>0</v>
      </c>
      <c r="P768"/>
      <c r="Q768" s="59"/>
      <c r="R768" s="1"/>
    </row>
    <row r="769" spans="1:18">
      <c r="A769" s="122" t="e">
        <f>IF(VLOOKUP(Tabela6[[#This Row],[UF]],'BASE CC'!B:C,2,0)="SP",IF(Tabela6[[#This Row],[OPERADORA]]="TIM","SP TIM","SPI"),VLOOKUP(Tabela6[[#This Row],[UF]],'BASE CC'!B:C,2,0))</f>
        <v>#N/A</v>
      </c>
      <c r="B769" s="36" t="e">
        <f>VLOOKUP(Tabela_Base_Financeiro[[#This Row],[Item code]],'COD.FAT'!B:C,2,0)</f>
        <v>#N/A</v>
      </c>
      <c r="C769" s="292">
        <f>Tabela_Base_Financeiro[[#This Row],[PO Ship TO]]</f>
        <v>0</v>
      </c>
      <c r="D769" s="36" t="str">
        <f>RIGHT(Tabela_Base_Financeiro[[#This Row],[Manufacturer]],2)</f>
        <v/>
      </c>
      <c r="E76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69" s="122" t="e">
        <f>VLOOKUP(Tabela_Base_Financeiro[[#This Row],[Project Code]],'COD. PROJETOS'!B:D,3,0)</f>
        <v>#N/A</v>
      </c>
      <c r="G769" s="36">
        <f>IFERROR(Tabela_Base_Financeiro[[#This Row],[PO No,]],0)</f>
        <v>0</v>
      </c>
      <c r="H769" s="36">
        <f>IFERROR(Tabela_Base_Financeiro[[#This Row],[Line No,]],0)</f>
        <v>0</v>
      </c>
      <c r="I769" s="36" t="str">
        <f>IFERROR(MID(Tabela_Base_Financeiro[[#This Row],[Manufacturer]],19,14),"")</f>
        <v/>
      </c>
      <c r="J769" s="113">
        <f>IFERROR(Tabela_Base_Financeiro[[#This Row],[Item code]],0)</f>
        <v>0</v>
      </c>
      <c r="K769" s="293">
        <f>IFERROR(Tabela_Base_Financeiro[[#This Row],[Unit Price]],0)</f>
        <v>0</v>
      </c>
      <c r="L769" s="36">
        <f>IFERROR(Tabela_Base_Financeiro[[#This Row],[AC Qty,]],0)</f>
        <v>0</v>
      </c>
      <c r="M769" s="60">
        <f>Tabela6[[#This Row],[Qty]]*Tabela6[[#This Row],[Preço]]</f>
        <v>0</v>
      </c>
      <c r="N769" s="37">
        <f>IFERROR(Tabela_Base_Financeiro[[#This Row],[Proportion]],0)</f>
        <v>0</v>
      </c>
      <c r="O769" s="60">
        <f>Tabela6[[#This Row],[Proporção]]*Tabela6[[#This Row],[Total]]</f>
        <v>0</v>
      </c>
      <c r="P769"/>
      <c r="Q769" s="59"/>
      <c r="R769" s="1"/>
    </row>
    <row r="770" spans="1:18">
      <c r="A770" s="122" t="e">
        <f>IF(VLOOKUP(Tabela6[[#This Row],[UF]],'BASE CC'!B:C,2,0)="SP",IF(Tabela6[[#This Row],[OPERADORA]]="TIM","SP TIM","SPI"),VLOOKUP(Tabela6[[#This Row],[UF]],'BASE CC'!B:C,2,0))</f>
        <v>#N/A</v>
      </c>
      <c r="B770" s="36" t="e">
        <f>VLOOKUP(Tabela_Base_Financeiro[[#This Row],[Item code]],'COD.FAT'!B:C,2,0)</f>
        <v>#N/A</v>
      </c>
      <c r="C770" s="292">
        <f>Tabela_Base_Financeiro[[#This Row],[PO Ship TO]]</f>
        <v>0</v>
      </c>
      <c r="D770" s="36" t="str">
        <f>RIGHT(Tabela_Base_Financeiro[[#This Row],[Manufacturer]],2)</f>
        <v/>
      </c>
      <c r="E77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70" s="122" t="e">
        <f>VLOOKUP(Tabela_Base_Financeiro[[#This Row],[Project Code]],'COD. PROJETOS'!B:D,3,0)</f>
        <v>#N/A</v>
      </c>
      <c r="G770" s="36">
        <f>IFERROR(Tabela_Base_Financeiro[[#This Row],[PO No,]],0)</f>
        <v>0</v>
      </c>
      <c r="H770" s="36">
        <f>IFERROR(Tabela_Base_Financeiro[[#This Row],[Line No,]],0)</f>
        <v>0</v>
      </c>
      <c r="I770" s="36" t="str">
        <f>IFERROR(MID(Tabela_Base_Financeiro[[#This Row],[Manufacturer]],19,14),"")</f>
        <v/>
      </c>
      <c r="J770" s="113">
        <f>IFERROR(Tabela_Base_Financeiro[[#This Row],[Item code]],0)</f>
        <v>0</v>
      </c>
      <c r="K770" s="293">
        <f>IFERROR(Tabela_Base_Financeiro[[#This Row],[Unit Price]],0)</f>
        <v>0</v>
      </c>
      <c r="L770" s="36">
        <f>IFERROR(Tabela_Base_Financeiro[[#This Row],[AC Qty,]],0)</f>
        <v>0</v>
      </c>
      <c r="M770" s="60">
        <f>Tabela6[[#This Row],[Qty]]*Tabela6[[#This Row],[Preço]]</f>
        <v>0</v>
      </c>
      <c r="N770" s="37">
        <f>IFERROR(Tabela_Base_Financeiro[[#This Row],[Proportion]],0)</f>
        <v>0</v>
      </c>
      <c r="O770" s="60">
        <f>Tabela6[[#This Row],[Proporção]]*Tabela6[[#This Row],[Total]]</f>
        <v>0</v>
      </c>
      <c r="P770"/>
      <c r="Q770" s="59"/>
      <c r="R770" s="1"/>
    </row>
    <row r="771" spans="1:18">
      <c r="A771" s="122" t="e">
        <f>IF(VLOOKUP(Tabela6[[#This Row],[UF]],'BASE CC'!B:C,2,0)="SP",IF(Tabela6[[#This Row],[OPERADORA]]="TIM","SP TIM","SPI"),VLOOKUP(Tabela6[[#This Row],[UF]],'BASE CC'!B:C,2,0))</f>
        <v>#N/A</v>
      </c>
      <c r="B771" s="36" t="e">
        <f>VLOOKUP(Tabela_Base_Financeiro[[#This Row],[Item code]],'COD.FAT'!B:C,2,0)</f>
        <v>#N/A</v>
      </c>
      <c r="C771" s="292">
        <f>Tabela_Base_Financeiro[[#This Row],[PO Ship TO]]</f>
        <v>0</v>
      </c>
      <c r="D771" s="36" t="str">
        <f>RIGHT(Tabela_Base_Financeiro[[#This Row],[Manufacturer]],2)</f>
        <v/>
      </c>
      <c r="E77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71" s="122" t="e">
        <f>VLOOKUP(Tabela_Base_Financeiro[[#This Row],[Project Code]],'COD. PROJETOS'!B:D,3,0)</f>
        <v>#N/A</v>
      </c>
      <c r="G771" s="36">
        <f>IFERROR(Tabela_Base_Financeiro[[#This Row],[PO No,]],0)</f>
        <v>0</v>
      </c>
      <c r="H771" s="36">
        <f>IFERROR(Tabela_Base_Financeiro[[#This Row],[Line No,]],0)</f>
        <v>0</v>
      </c>
      <c r="I771" s="36" t="str">
        <f>IFERROR(MID(Tabela_Base_Financeiro[[#This Row],[Manufacturer]],19,14),"")</f>
        <v/>
      </c>
      <c r="J771" s="113">
        <f>IFERROR(Tabela_Base_Financeiro[[#This Row],[Item code]],0)</f>
        <v>0</v>
      </c>
      <c r="K771" s="293">
        <f>IFERROR(Tabela_Base_Financeiro[[#This Row],[Unit Price]],0)</f>
        <v>0</v>
      </c>
      <c r="L771" s="36">
        <f>IFERROR(Tabela_Base_Financeiro[[#This Row],[AC Qty,]],0)</f>
        <v>0</v>
      </c>
      <c r="M771" s="60">
        <f>Tabela6[[#This Row],[Qty]]*Tabela6[[#This Row],[Preço]]</f>
        <v>0</v>
      </c>
      <c r="N771" s="37">
        <f>IFERROR(Tabela_Base_Financeiro[[#This Row],[Proportion]],0)</f>
        <v>0</v>
      </c>
      <c r="O771" s="60">
        <f>Tabela6[[#This Row],[Proporção]]*Tabela6[[#This Row],[Total]]</f>
        <v>0</v>
      </c>
      <c r="P771"/>
      <c r="Q771" s="59"/>
      <c r="R771" s="1"/>
    </row>
    <row r="772" spans="1:18">
      <c r="A772" s="122" t="e">
        <f>IF(VLOOKUP(Tabela6[[#This Row],[UF]],'BASE CC'!B:C,2,0)="SP",IF(Tabela6[[#This Row],[OPERADORA]]="TIM","SP TIM","SPI"),VLOOKUP(Tabela6[[#This Row],[UF]],'BASE CC'!B:C,2,0))</f>
        <v>#N/A</v>
      </c>
      <c r="B772" s="36" t="e">
        <f>VLOOKUP(Tabela_Base_Financeiro[[#This Row],[Item code]],'COD.FAT'!B:C,2,0)</f>
        <v>#N/A</v>
      </c>
      <c r="C772" s="292">
        <f>Tabela_Base_Financeiro[[#This Row],[PO Ship TO]]</f>
        <v>0</v>
      </c>
      <c r="D772" s="36" t="str">
        <f>RIGHT(Tabela_Base_Financeiro[[#This Row],[Manufacturer]],2)</f>
        <v/>
      </c>
      <c r="E77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72" s="122" t="e">
        <f>VLOOKUP(Tabela_Base_Financeiro[[#This Row],[Project Code]],'COD. PROJETOS'!B:D,3,0)</f>
        <v>#N/A</v>
      </c>
      <c r="G772" s="36">
        <f>IFERROR(Tabela_Base_Financeiro[[#This Row],[PO No,]],0)</f>
        <v>0</v>
      </c>
      <c r="H772" s="36">
        <f>IFERROR(Tabela_Base_Financeiro[[#This Row],[Line No,]],0)</f>
        <v>0</v>
      </c>
      <c r="I772" s="36" t="str">
        <f>IFERROR(MID(Tabela_Base_Financeiro[[#This Row],[Manufacturer]],19,14),"")</f>
        <v/>
      </c>
      <c r="J772" s="113">
        <f>IFERROR(Tabela_Base_Financeiro[[#This Row],[Item code]],0)</f>
        <v>0</v>
      </c>
      <c r="K772" s="293">
        <f>IFERROR(Tabela_Base_Financeiro[[#This Row],[Unit Price]],0)</f>
        <v>0</v>
      </c>
      <c r="L772" s="36">
        <f>IFERROR(Tabela_Base_Financeiro[[#This Row],[AC Qty,]],0)</f>
        <v>0</v>
      </c>
      <c r="M772" s="60">
        <f>Tabela6[[#This Row],[Qty]]*Tabela6[[#This Row],[Preço]]</f>
        <v>0</v>
      </c>
      <c r="N772" s="37">
        <f>IFERROR(Tabela_Base_Financeiro[[#This Row],[Proportion]],0)</f>
        <v>0</v>
      </c>
      <c r="O772" s="60">
        <f>Tabela6[[#This Row],[Proporção]]*Tabela6[[#This Row],[Total]]</f>
        <v>0</v>
      </c>
      <c r="P772"/>
      <c r="Q772" s="59"/>
      <c r="R772" s="1"/>
    </row>
    <row r="773" spans="1:18">
      <c r="A773" s="122" t="e">
        <f>IF(VLOOKUP(Tabela6[[#This Row],[UF]],'BASE CC'!B:C,2,0)="SP",IF(Tabela6[[#This Row],[OPERADORA]]="TIM","SP TIM","SPI"),VLOOKUP(Tabela6[[#This Row],[UF]],'BASE CC'!B:C,2,0))</f>
        <v>#N/A</v>
      </c>
      <c r="B773" s="36" t="e">
        <f>VLOOKUP(Tabela_Base_Financeiro[[#This Row],[Item code]],'COD.FAT'!B:C,2,0)</f>
        <v>#N/A</v>
      </c>
      <c r="C773" s="292">
        <f>Tabela_Base_Financeiro[[#This Row],[PO Ship TO]]</f>
        <v>0</v>
      </c>
      <c r="D773" s="36" t="str">
        <f>RIGHT(Tabela_Base_Financeiro[[#This Row],[Manufacturer]],2)</f>
        <v/>
      </c>
      <c r="E77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73" s="122" t="e">
        <f>VLOOKUP(Tabela_Base_Financeiro[[#This Row],[Project Code]],'COD. PROJETOS'!B:D,3,0)</f>
        <v>#N/A</v>
      </c>
      <c r="G773" s="36">
        <f>IFERROR(Tabela_Base_Financeiro[[#This Row],[PO No,]],0)</f>
        <v>0</v>
      </c>
      <c r="H773" s="36">
        <f>IFERROR(Tabela_Base_Financeiro[[#This Row],[Line No,]],0)</f>
        <v>0</v>
      </c>
      <c r="I773" s="36" t="str">
        <f>IFERROR(MID(Tabela_Base_Financeiro[[#This Row],[Manufacturer]],19,14),"")</f>
        <v/>
      </c>
      <c r="J773" s="113">
        <f>IFERROR(Tabela_Base_Financeiro[[#This Row],[Item code]],0)</f>
        <v>0</v>
      </c>
      <c r="K773" s="293">
        <f>IFERROR(Tabela_Base_Financeiro[[#This Row],[Unit Price]],0)</f>
        <v>0</v>
      </c>
      <c r="L773" s="36">
        <f>IFERROR(Tabela_Base_Financeiro[[#This Row],[AC Qty,]],0)</f>
        <v>0</v>
      </c>
      <c r="M773" s="60">
        <f>Tabela6[[#This Row],[Qty]]*Tabela6[[#This Row],[Preço]]</f>
        <v>0</v>
      </c>
      <c r="N773" s="37">
        <f>IFERROR(Tabela_Base_Financeiro[[#This Row],[Proportion]],0)</f>
        <v>0</v>
      </c>
      <c r="O773" s="60">
        <f>Tabela6[[#This Row],[Proporção]]*Tabela6[[#This Row],[Total]]</f>
        <v>0</v>
      </c>
      <c r="P773"/>
      <c r="Q773" s="59"/>
      <c r="R773" s="1"/>
    </row>
    <row r="774" spans="1:18">
      <c r="A774" s="122" t="e">
        <f>IF(VLOOKUP(Tabela6[[#This Row],[UF]],'BASE CC'!B:C,2,0)="SP",IF(Tabela6[[#This Row],[OPERADORA]]="TIM","SP TIM","SPI"),VLOOKUP(Tabela6[[#This Row],[UF]],'BASE CC'!B:C,2,0))</f>
        <v>#N/A</v>
      </c>
      <c r="B774" s="36" t="e">
        <f>VLOOKUP(Tabela_Base_Financeiro[[#This Row],[Item code]],'COD.FAT'!B:C,2,0)</f>
        <v>#N/A</v>
      </c>
      <c r="C774" s="292">
        <f>Tabela_Base_Financeiro[[#This Row],[PO Ship TO]]</f>
        <v>0</v>
      </c>
      <c r="D774" s="36" t="str">
        <f>RIGHT(Tabela_Base_Financeiro[[#This Row],[Manufacturer]],2)</f>
        <v/>
      </c>
      <c r="E77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74" s="122" t="e">
        <f>VLOOKUP(Tabela_Base_Financeiro[[#This Row],[Project Code]],'COD. PROJETOS'!B:D,3,0)</f>
        <v>#N/A</v>
      </c>
      <c r="G774" s="36">
        <f>IFERROR(Tabela_Base_Financeiro[[#This Row],[PO No,]],0)</f>
        <v>0</v>
      </c>
      <c r="H774" s="36">
        <f>IFERROR(Tabela_Base_Financeiro[[#This Row],[Line No,]],0)</f>
        <v>0</v>
      </c>
      <c r="I774" s="36" t="str">
        <f>IFERROR(MID(Tabela_Base_Financeiro[[#This Row],[Manufacturer]],19,14),"")</f>
        <v/>
      </c>
      <c r="J774" s="113">
        <f>IFERROR(Tabela_Base_Financeiro[[#This Row],[Item code]],0)</f>
        <v>0</v>
      </c>
      <c r="K774" s="293">
        <f>IFERROR(Tabela_Base_Financeiro[[#This Row],[Unit Price]],0)</f>
        <v>0</v>
      </c>
      <c r="L774" s="36">
        <f>IFERROR(Tabela_Base_Financeiro[[#This Row],[AC Qty,]],0)</f>
        <v>0</v>
      </c>
      <c r="M774" s="60">
        <f>Tabela6[[#This Row],[Qty]]*Tabela6[[#This Row],[Preço]]</f>
        <v>0</v>
      </c>
      <c r="N774" s="37">
        <f>IFERROR(Tabela_Base_Financeiro[[#This Row],[Proportion]],0)</f>
        <v>0</v>
      </c>
      <c r="O774" s="60">
        <f>Tabela6[[#This Row],[Proporção]]*Tabela6[[#This Row],[Total]]</f>
        <v>0</v>
      </c>
      <c r="P774"/>
      <c r="Q774" s="59"/>
      <c r="R774" s="1"/>
    </row>
    <row r="775" spans="1:18">
      <c r="A775" s="122" t="e">
        <f>IF(VLOOKUP(Tabela6[[#This Row],[UF]],'BASE CC'!B:C,2,0)="SP",IF(Tabela6[[#This Row],[OPERADORA]]="TIM","SP TIM","SPI"),VLOOKUP(Tabela6[[#This Row],[UF]],'BASE CC'!B:C,2,0))</f>
        <v>#N/A</v>
      </c>
      <c r="B775" s="36" t="e">
        <f>VLOOKUP(Tabela_Base_Financeiro[[#This Row],[Item code]],'COD.FAT'!B:C,2,0)</f>
        <v>#N/A</v>
      </c>
      <c r="C775" s="292">
        <f>Tabela_Base_Financeiro[[#This Row],[PO Ship TO]]</f>
        <v>0</v>
      </c>
      <c r="D775" s="36" t="str">
        <f>RIGHT(Tabela_Base_Financeiro[[#This Row],[Manufacturer]],2)</f>
        <v/>
      </c>
      <c r="E77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75" s="122" t="e">
        <f>VLOOKUP(Tabela_Base_Financeiro[[#This Row],[Project Code]],'COD. PROJETOS'!B:D,3,0)</f>
        <v>#N/A</v>
      </c>
      <c r="G775" s="36">
        <f>IFERROR(Tabela_Base_Financeiro[[#This Row],[PO No,]],0)</f>
        <v>0</v>
      </c>
      <c r="H775" s="36">
        <f>IFERROR(Tabela_Base_Financeiro[[#This Row],[Line No,]],0)</f>
        <v>0</v>
      </c>
      <c r="I775" s="36" t="str">
        <f>IFERROR(MID(Tabela_Base_Financeiro[[#This Row],[Manufacturer]],19,14),"")</f>
        <v/>
      </c>
      <c r="J775" s="113">
        <f>IFERROR(Tabela_Base_Financeiro[[#This Row],[Item code]],0)</f>
        <v>0</v>
      </c>
      <c r="K775" s="293">
        <f>IFERROR(Tabela_Base_Financeiro[[#This Row],[Unit Price]],0)</f>
        <v>0</v>
      </c>
      <c r="L775" s="36">
        <f>IFERROR(Tabela_Base_Financeiro[[#This Row],[AC Qty,]],0)</f>
        <v>0</v>
      </c>
      <c r="M775" s="60">
        <f>Tabela6[[#This Row],[Qty]]*Tabela6[[#This Row],[Preço]]</f>
        <v>0</v>
      </c>
      <c r="N775" s="37">
        <f>IFERROR(Tabela_Base_Financeiro[[#This Row],[Proportion]],0)</f>
        <v>0</v>
      </c>
      <c r="O775" s="60">
        <f>Tabela6[[#This Row],[Proporção]]*Tabela6[[#This Row],[Total]]</f>
        <v>0</v>
      </c>
      <c r="P775"/>
      <c r="Q775" s="59"/>
      <c r="R775" s="1"/>
    </row>
    <row r="776" spans="1:18">
      <c r="A776" s="122" t="e">
        <f>IF(VLOOKUP(Tabela6[[#This Row],[UF]],'BASE CC'!B:C,2,0)="SP",IF(Tabela6[[#This Row],[OPERADORA]]="TIM","SP TIM","SPI"),VLOOKUP(Tabela6[[#This Row],[UF]],'BASE CC'!B:C,2,0))</f>
        <v>#N/A</v>
      </c>
      <c r="B776" s="36" t="e">
        <f>VLOOKUP(Tabela_Base_Financeiro[[#This Row],[Item code]],'COD.FAT'!B:C,2,0)</f>
        <v>#N/A</v>
      </c>
      <c r="C776" s="292">
        <f>Tabela_Base_Financeiro[[#This Row],[PO Ship TO]]</f>
        <v>0</v>
      </c>
      <c r="D776" s="36" t="str">
        <f>RIGHT(Tabela_Base_Financeiro[[#This Row],[Manufacturer]],2)</f>
        <v/>
      </c>
      <c r="E77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76" s="122" t="e">
        <f>VLOOKUP(Tabela_Base_Financeiro[[#This Row],[Project Code]],'COD. PROJETOS'!B:D,3,0)</f>
        <v>#N/A</v>
      </c>
      <c r="G776" s="36">
        <f>IFERROR(Tabela_Base_Financeiro[[#This Row],[PO No,]],0)</f>
        <v>0</v>
      </c>
      <c r="H776" s="36">
        <f>IFERROR(Tabela_Base_Financeiro[[#This Row],[Line No,]],0)</f>
        <v>0</v>
      </c>
      <c r="I776" s="36" t="str">
        <f>IFERROR(MID(Tabela_Base_Financeiro[[#This Row],[Manufacturer]],19,14),"")</f>
        <v/>
      </c>
      <c r="J776" s="113">
        <f>IFERROR(Tabela_Base_Financeiro[[#This Row],[Item code]],0)</f>
        <v>0</v>
      </c>
      <c r="K776" s="293">
        <f>IFERROR(Tabela_Base_Financeiro[[#This Row],[Unit Price]],0)</f>
        <v>0</v>
      </c>
      <c r="L776" s="36">
        <f>IFERROR(Tabela_Base_Financeiro[[#This Row],[AC Qty,]],0)</f>
        <v>0</v>
      </c>
      <c r="M776" s="60">
        <f>Tabela6[[#This Row],[Qty]]*Tabela6[[#This Row],[Preço]]</f>
        <v>0</v>
      </c>
      <c r="N776" s="37">
        <f>IFERROR(Tabela_Base_Financeiro[[#This Row],[Proportion]],0)</f>
        <v>0</v>
      </c>
      <c r="O776" s="60">
        <f>Tabela6[[#This Row],[Proporção]]*Tabela6[[#This Row],[Total]]</f>
        <v>0</v>
      </c>
      <c r="P776"/>
      <c r="Q776" s="59"/>
      <c r="R776" s="1"/>
    </row>
    <row r="777" spans="1:18">
      <c r="A777" s="122" t="e">
        <f>IF(VLOOKUP(Tabela6[[#This Row],[UF]],'BASE CC'!B:C,2,0)="SP",IF(Tabela6[[#This Row],[OPERADORA]]="TIM","SP TIM","SPI"),VLOOKUP(Tabela6[[#This Row],[UF]],'BASE CC'!B:C,2,0))</f>
        <v>#N/A</v>
      </c>
      <c r="B777" s="36" t="e">
        <f>VLOOKUP(Tabela_Base_Financeiro[[#This Row],[Item code]],'COD.FAT'!B:C,2,0)</f>
        <v>#N/A</v>
      </c>
      <c r="C777" s="292">
        <f>Tabela_Base_Financeiro[[#This Row],[PO Ship TO]]</f>
        <v>0</v>
      </c>
      <c r="D777" s="36" t="str">
        <f>RIGHT(Tabela_Base_Financeiro[[#This Row],[Manufacturer]],2)</f>
        <v/>
      </c>
      <c r="E77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77" s="122" t="e">
        <f>VLOOKUP(Tabela_Base_Financeiro[[#This Row],[Project Code]],'COD. PROJETOS'!B:D,3,0)</f>
        <v>#N/A</v>
      </c>
      <c r="G777" s="36">
        <f>IFERROR(Tabela_Base_Financeiro[[#This Row],[PO No,]],0)</f>
        <v>0</v>
      </c>
      <c r="H777" s="36">
        <f>IFERROR(Tabela_Base_Financeiro[[#This Row],[Line No,]],0)</f>
        <v>0</v>
      </c>
      <c r="I777" s="36" t="str">
        <f>IFERROR(MID(Tabela_Base_Financeiro[[#This Row],[Manufacturer]],19,14),"")</f>
        <v/>
      </c>
      <c r="J777" s="113">
        <f>IFERROR(Tabela_Base_Financeiro[[#This Row],[Item code]],0)</f>
        <v>0</v>
      </c>
      <c r="K777" s="293">
        <f>IFERROR(Tabela_Base_Financeiro[[#This Row],[Unit Price]],0)</f>
        <v>0</v>
      </c>
      <c r="L777" s="36">
        <f>IFERROR(Tabela_Base_Financeiro[[#This Row],[AC Qty,]],0)</f>
        <v>0</v>
      </c>
      <c r="M777" s="60">
        <f>Tabela6[[#This Row],[Qty]]*Tabela6[[#This Row],[Preço]]</f>
        <v>0</v>
      </c>
      <c r="N777" s="37">
        <f>IFERROR(Tabela_Base_Financeiro[[#This Row],[Proportion]],0)</f>
        <v>0</v>
      </c>
      <c r="O777" s="60">
        <f>Tabela6[[#This Row],[Proporção]]*Tabela6[[#This Row],[Total]]</f>
        <v>0</v>
      </c>
      <c r="P777"/>
      <c r="Q777" s="59"/>
      <c r="R777" s="1"/>
    </row>
    <row r="778" spans="1:18">
      <c r="A778" s="122" t="e">
        <f>IF(VLOOKUP(Tabela6[[#This Row],[UF]],'BASE CC'!B:C,2,0)="SP",IF(Tabela6[[#This Row],[OPERADORA]]="TIM","SP TIM","SPI"),VLOOKUP(Tabela6[[#This Row],[UF]],'BASE CC'!B:C,2,0))</f>
        <v>#N/A</v>
      </c>
      <c r="B778" s="36" t="e">
        <f>VLOOKUP(Tabela_Base_Financeiro[[#This Row],[Item code]],'COD.FAT'!B:C,2,0)</f>
        <v>#N/A</v>
      </c>
      <c r="C778" s="292">
        <f>Tabela_Base_Financeiro[[#This Row],[PO Ship TO]]</f>
        <v>0</v>
      </c>
      <c r="D778" s="36" t="str">
        <f>RIGHT(Tabela_Base_Financeiro[[#This Row],[Manufacturer]],2)</f>
        <v/>
      </c>
      <c r="E77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78" s="122" t="e">
        <f>VLOOKUP(Tabela_Base_Financeiro[[#This Row],[Project Code]],'COD. PROJETOS'!B:D,3,0)</f>
        <v>#N/A</v>
      </c>
      <c r="G778" s="36">
        <f>IFERROR(Tabela_Base_Financeiro[[#This Row],[PO No,]],0)</f>
        <v>0</v>
      </c>
      <c r="H778" s="36">
        <f>IFERROR(Tabela_Base_Financeiro[[#This Row],[Line No,]],0)</f>
        <v>0</v>
      </c>
      <c r="I778" s="36" t="str">
        <f>IFERROR(MID(Tabela_Base_Financeiro[[#This Row],[Manufacturer]],19,14),"")</f>
        <v/>
      </c>
      <c r="J778" s="113">
        <f>IFERROR(Tabela_Base_Financeiro[[#This Row],[Item code]],0)</f>
        <v>0</v>
      </c>
      <c r="K778" s="293">
        <f>IFERROR(Tabela_Base_Financeiro[[#This Row],[Unit Price]],0)</f>
        <v>0</v>
      </c>
      <c r="L778" s="36">
        <f>IFERROR(Tabela_Base_Financeiro[[#This Row],[AC Qty,]],0)</f>
        <v>0</v>
      </c>
      <c r="M778" s="60">
        <f>Tabela6[[#This Row],[Qty]]*Tabela6[[#This Row],[Preço]]</f>
        <v>0</v>
      </c>
      <c r="N778" s="37">
        <f>IFERROR(Tabela_Base_Financeiro[[#This Row],[Proportion]],0)</f>
        <v>0</v>
      </c>
      <c r="O778" s="60">
        <f>Tabela6[[#This Row],[Proporção]]*Tabela6[[#This Row],[Total]]</f>
        <v>0</v>
      </c>
      <c r="P778"/>
      <c r="Q778" s="59"/>
      <c r="R778" s="1"/>
    </row>
    <row r="779" spans="1:18">
      <c r="A779" s="122" t="e">
        <f>IF(VLOOKUP(Tabela6[[#This Row],[UF]],'BASE CC'!B:C,2,0)="SP",IF(Tabela6[[#This Row],[OPERADORA]]="TIM","SP TIM","SPI"),VLOOKUP(Tabela6[[#This Row],[UF]],'BASE CC'!B:C,2,0))</f>
        <v>#N/A</v>
      </c>
      <c r="B779" s="36" t="e">
        <f>VLOOKUP(Tabela_Base_Financeiro[[#This Row],[Item code]],'COD.FAT'!B:C,2,0)</f>
        <v>#N/A</v>
      </c>
      <c r="C779" s="292">
        <f>Tabela_Base_Financeiro[[#This Row],[PO Ship TO]]</f>
        <v>0</v>
      </c>
      <c r="D779" s="36" t="str">
        <f>RIGHT(Tabela_Base_Financeiro[[#This Row],[Manufacturer]],2)</f>
        <v/>
      </c>
      <c r="E77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79" s="122" t="e">
        <f>VLOOKUP(Tabela_Base_Financeiro[[#This Row],[Project Code]],'COD. PROJETOS'!B:D,3,0)</f>
        <v>#N/A</v>
      </c>
      <c r="G779" s="36">
        <f>IFERROR(Tabela_Base_Financeiro[[#This Row],[PO No,]],0)</f>
        <v>0</v>
      </c>
      <c r="H779" s="36">
        <f>IFERROR(Tabela_Base_Financeiro[[#This Row],[Line No,]],0)</f>
        <v>0</v>
      </c>
      <c r="I779" s="36" t="str">
        <f>IFERROR(MID(Tabela_Base_Financeiro[[#This Row],[Manufacturer]],19,14),"")</f>
        <v/>
      </c>
      <c r="J779" s="113">
        <f>IFERROR(Tabela_Base_Financeiro[[#This Row],[Item code]],0)</f>
        <v>0</v>
      </c>
      <c r="K779" s="293">
        <f>IFERROR(Tabela_Base_Financeiro[[#This Row],[Unit Price]],0)</f>
        <v>0</v>
      </c>
      <c r="L779" s="36">
        <f>IFERROR(Tabela_Base_Financeiro[[#This Row],[AC Qty,]],0)</f>
        <v>0</v>
      </c>
      <c r="M779" s="60">
        <f>Tabela6[[#This Row],[Qty]]*Tabela6[[#This Row],[Preço]]</f>
        <v>0</v>
      </c>
      <c r="N779" s="37">
        <f>IFERROR(Tabela_Base_Financeiro[[#This Row],[Proportion]],0)</f>
        <v>0</v>
      </c>
      <c r="O779" s="60">
        <f>Tabela6[[#This Row],[Proporção]]*Tabela6[[#This Row],[Total]]</f>
        <v>0</v>
      </c>
      <c r="P779"/>
      <c r="Q779" s="59"/>
      <c r="R779" s="1"/>
    </row>
    <row r="780" spans="1:18">
      <c r="A780" s="122" t="e">
        <f>IF(VLOOKUP(Tabela6[[#This Row],[UF]],'BASE CC'!B:C,2,0)="SP",IF(Tabela6[[#This Row],[OPERADORA]]="TIM","SP TIM","SPI"),VLOOKUP(Tabela6[[#This Row],[UF]],'BASE CC'!B:C,2,0))</f>
        <v>#N/A</v>
      </c>
      <c r="B780" s="36" t="e">
        <f>VLOOKUP(Tabela_Base_Financeiro[[#This Row],[Item code]],'COD.FAT'!B:C,2,0)</f>
        <v>#N/A</v>
      </c>
      <c r="C780" s="292">
        <f>Tabela_Base_Financeiro[[#This Row],[PO Ship TO]]</f>
        <v>0</v>
      </c>
      <c r="D780" s="36" t="str">
        <f>RIGHT(Tabela_Base_Financeiro[[#This Row],[Manufacturer]],2)</f>
        <v/>
      </c>
      <c r="E78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80" s="122" t="e">
        <f>VLOOKUP(Tabela_Base_Financeiro[[#This Row],[Project Code]],'COD. PROJETOS'!B:D,3,0)</f>
        <v>#N/A</v>
      </c>
      <c r="G780" s="36">
        <f>IFERROR(Tabela_Base_Financeiro[[#This Row],[PO No,]],0)</f>
        <v>0</v>
      </c>
      <c r="H780" s="36">
        <f>IFERROR(Tabela_Base_Financeiro[[#This Row],[Line No,]],0)</f>
        <v>0</v>
      </c>
      <c r="I780" s="36" t="str">
        <f>IFERROR(MID(Tabela_Base_Financeiro[[#This Row],[Manufacturer]],19,14),"")</f>
        <v/>
      </c>
      <c r="J780" s="113">
        <f>IFERROR(Tabela_Base_Financeiro[[#This Row],[Item code]],0)</f>
        <v>0</v>
      </c>
      <c r="K780" s="293">
        <f>IFERROR(Tabela_Base_Financeiro[[#This Row],[Unit Price]],0)</f>
        <v>0</v>
      </c>
      <c r="L780" s="36">
        <f>IFERROR(Tabela_Base_Financeiro[[#This Row],[AC Qty,]],0)</f>
        <v>0</v>
      </c>
      <c r="M780" s="60">
        <f>Tabela6[[#This Row],[Qty]]*Tabela6[[#This Row],[Preço]]</f>
        <v>0</v>
      </c>
      <c r="N780" s="37">
        <f>IFERROR(Tabela_Base_Financeiro[[#This Row],[Proportion]],0)</f>
        <v>0</v>
      </c>
      <c r="O780" s="60">
        <f>Tabela6[[#This Row],[Proporção]]*Tabela6[[#This Row],[Total]]</f>
        <v>0</v>
      </c>
      <c r="P780"/>
      <c r="Q780" s="59"/>
      <c r="R780" s="1"/>
    </row>
    <row r="781" spans="1:18">
      <c r="A781" s="122" t="e">
        <f>IF(VLOOKUP(Tabela6[[#This Row],[UF]],'BASE CC'!B:C,2,0)="SP",IF(Tabela6[[#This Row],[OPERADORA]]="TIM","SP TIM","SPI"),VLOOKUP(Tabela6[[#This Row],[UF]],'BASE CC'!B:C,2,0))</f>
        <v>#N/A</v>
      </c>
      <c r="B781" s="36" t="e">
        <f>VLOOKUP(Tabela_Base_Financeiro[[#This Row],[Item code]],'COD.FAT'!B:C,2,0)</f>
        <v>#N/A</v>
      </c>
      <c r="C781" s="292">
        <f>Tabela_Base_Financeiro[[#This Row],[PO Ship TO]]</f>
        <v>0</v>
      </c>
      <c r="D781" s="36" t="str">
        <f>RIGHT(Tabela_Base_Financeiro[[#This Row],[Manufacturer]],2)</f>
        <v/>
      </c>
      <c r="E78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81" s="122" t="e">
        <f>VLOOKUP(Tabela_Base_Financeiro[[#This Row],[Project Code]],'COD. PROJETOS'!B:D,3,0)</f>
        <v>#N/A</v>
      </c>
      <c r="G781" s="36">
        <f>IFERROR(Tabela_Base_Financeiro[[#This Row],[PO No,]],0)</f>
        <v>0</v>
      </c>
      <c r="H781" s="36">
        <f>IFERROR(Tabela_Base_Financeiro[[#This Row],[Line No,]],0)</f>
        <v>0</v>
      </c>
      <c r="I781" s="36" t="str">
        <f>IFERROR(MID(Tabela_Base_Financeiro[[#This Row],[Manufacturer]],19,14),"")</f>
        <v/>
      </c>
      <c r="J781" s="113">
        <f>IFERROR(Tabela_Base_Financeiro[[#This Row],[Item code]],0)</f>
        <v>0</v>
      </c>
      <c r="K781" s="293">
        <f>IFERROR(Tabela_Base_Financeiro[[#This Row],[Unit Price]],0)</f>
        <v>0</v>
      </c>
      <c r="L781" s="36">
        <f>IFERROR(Tabela_Base_Financeiro[[#This Row],[AC Qty,]],0)</f>
        <v>0</v>
      </c>
      <c r="M781" s="60">
        <f>Tabela6[[#This Row],[Qty]]*Tabela6[[#This Row],[Preço]]</f>
        <v>0</v>
      </c>
      <c r="N781" s="37">
        <f>IFERROR(Tabela_Base_Financeiro[[#This Row],[Proportion]],0)</f>
        <v>0</v>
      </c>
      <c r="O781" s="60">
        <f>Tabela6[[#This Row],[Proporção]]*Tabela6[[#This Row],[Total]]</f>
        <v>0</v>
      </c>
      <c r="P781"/>
      <c r="Q781" s="59"/>
      <c r="R781" s="1"/>
    </row>
    <row r="782" spans="1:18">
      <c r="A782" s="122" t="e">
        <f>IF(VLOOKUP(Tabela6[[#This Row],[UF]],'BASE CC'!B:C,2,0)="SP",IF(Tabela6[[#This Row],[OPERADORA]]="TIM","SP TIM","SPI"),VLOOKUP(Tabela6[[#This Row],[UF]],'BASE CC'!B:C,2,0))</f>
        <v>#N/A</v>
      </c>
      <c r="B782" s="36" t="e">
        <f>VLOOKUP(Tabela_Base_Financeiro[[#This Row],[Item code]],'COD.FAT'!B:C,2,0)</f>
        <v>#N/A</v>
      </c>
      <c r="C782" s="292">
        <f>Tabela_Base_Financeiro[[#This Row],[PO Ship TO]]</f>
        <v>0</v>
      </c>
      <c r="D782" s="36" t="str">
        <f>RIGHT(Tabela_Base_Financeiro[[#This Row],[Manufacturer]],2)</f>
        <v/>
      </c>
      <c r="E78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82" s="122" t="e">
        <f>VLOOKUP(Tabela_Base_Financeiro[[#This Row],[Project Code]],'COD. PROJETOS'!B:D,3,0)</f>
        <v>#N/A</v>
      </c>
      <c r="G782" s="36">
        <f>IFERROR(Tabela_Base_Financeiro[[#This Row],[PO No,]],0)</f>
        <v>0</v>
      </c>
      <c r="H782" s="36">
        <f>IFERROR(Tabela_Base_Financeiro[[#This Row],[Line No,]],0)</f>
        <v>0</v>
      </c>
      <c r="I782" s="36" t="str">
        <f>IFERROR(MID(Tabela_Base_Financeiro[[#This Row],[Manufacturer]],19,14),"")</f>
        <v/>
      </c>
      <c r="J782" s="113">
        <f>IFERROR(Tabela_Base_Financeiro[[#This Row],[Item code]],0)</f>
        <v>0</v>
      </c>
      <c r="K782" s="293">
        <f>IFERROR(Tabela_Base_Financeiro[[#This Row],[Unit Price]],0)</f>
        <v>0</v>
      </c>
      <c r="L782" s="36">
        <f>IFERROR(Tabela_Base_Financeiro[[#This Row],[AC Qty,]],0)</f>
        <v>0</v>
      </c>
      <c r="M782" s="60">
        <f>Tabela6[[#This Row],[Qty]]*Tabela6[[#This Row],[Preço]]</f>
        <v>0</v>
      </c>
      <c r="N782" s="37">
        <f>IFERROR(Tabela_Base_Financeiro[[#This Row],[Proportion]],0)</f>
        <v>0</v>
      </c>
      <c r="O782" s="60">
        <f>Tabela6[[#This Row],[Proporção]]*Tabela6[[#This Row],[Total]]</f>
        <v>0</v>
      </c>
      <c r="P782"/>
      <c r="Q782" s="59"/>
      <c r="R782" s="1"/>
    </row>
    <row r="783" spans="1:18">
      <c r="A783" s="122" t="e">
        <f>IF(VLOOKUP(Tabela6[[#This Row],[UF]],'BASE CC'!B:C,2,0)="SP",IF(Tabela6[[#This Row],[OPERADORA]]="TIM","SP TIM","SPI"),VLOOKUP(Tabela6[[#This Row],[UF]],'BASE CC'!B:C,2,0))</f>
        <v>#N/A</v>
      </c>
      <c r="B783" s="36" t="e">
        <f>VLOOKUP(Tabela_Base_Financeiro[[#This Row],[Item code]],'COD.FAT'!B:C,2,0)</f>
        <v>#N/A</v>
      </c>
      <c r="C783" s="292">
        <f>Tabela_Base_Financeiro[[#This Row],[PO Ship TO]]</f>
        <v>0</v>
      </c>
      <c r="D783" s="36" t="str">
        <f>RIGHT(Tabela_Base_Financeiro[[#This Row],[Manufacturer]],2)</f>
        <v/>
      </c>
      <c r="E78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83" s="122" t="e">
        <f>VLOOKUP(Tabela_Base_Financeiro[[#This Row],[Project Code]],'COD. PROJETOS'!B:D,3,0)</f>
        <v>#N/A</v>
      </c>
      <c r="G783" s="36">
        <f>IFERROR(Tabela_Base_Financeiro[[#This Row],[PO No,]],0)</f>
        <v>0</v>
      </c>
      <c r="H783" s="36">
        <f>IFERROR(Tabela_Base_Financeiro[[#This Row],[Line No,]],0)</f>
        <v>0</v>
      </c>
      <c r="I783" s="36" t="str">
        <f>IFERROR(MID(Tabela_Base_Financeiro[[#This Row],[Manufacturer]],19,14),"")</f>
        <v/>
      </c>
      <c r="J783" s="113">
        <f>IFERROR(Tabela_Base_Financeiro[[#This Row],[Item code]],0)</f>
        <v>0</v>
      </c>
      <c r="K783" s="293">
        <f>IFERROR(Tabela_Base_Financeiro[[#This Row],[Unit Price]],0)</f>
        <v>0</v>
      </c>
      <c r="L783" s="36">
        <f>IFERROR(Tabela_Base_Financeiro[[#This Row],[AC Qty,]],0)</f>
        <v>0</v>
      </c>
      <c r="M783" s="60">
        <f>Tabela6[[#This Row],[Qty]]*Tabela6[[#This Row],[Preço]]</f>
        <v>0</v>
      </c>
      <c r="N783" s="37">
        <f>IFERROR(Tabela_Base_Financeiro[[#This Row],[Proportion]],0)</f>
        <v>0</v>
      </c>
      <c r="O783" s="60">
        <f>Tabela6[[#This Row],[Proporção]]*Tabela6[[#This Row],[Total]]</f>
        <v>0</v>
      </c>
      <c r="P783"/>
      <c r="Q783" s="59"/>
      <c r="R783" s="1"/>
    </row>
    <row r="784" spans="1:18">
      <c r="A784" s="122" t="e">
        <f>IF(VLOOKUP(Tabela6[[#This Row],[UF]],'BASE CC'!B:C,2,0)="SP",IF(Tabela6[[#This Row],[OPERADORA]]="TIM","SP TIM","SPI"),VLOOKUP(Tabela6[[#This Row],[UF]],'BASE CC'!B:C,2,0))</f>
        <v>#N/A</v>
      </c>
      <c r="B784" s="36" t="e">
        <f>VLOOKUP(Tabela_Base_Financeiro[[#This Row],[Item code]],'COD.FAT'!B:C,2,0)</f>
        <v>#N/A</v>
      </c>
      <c r="C784" s="292">
        <f>Tabela_Base_Financeiro[[#This Row],[PO Ship TO]]</f>
        <v>0</v>
      </c>
      <c r="D784" s="36" t="str">
        <f>RIGHT(Tabela_Base_Financeiro[[#This Row],[Manufacturer]],2)</f>
        <v/>
      </c>
      <c r="E78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84" s="122" t="e">
        <f>VLOOKUP(Tabela_Base_Financeiro[[#This Row],[Project Code]],'COD. PROJETOS'!B:D,3,0)</f>
        <v>#N/A</v>
      </c>
      <c r="G784" s="36">
        <f>IFERROR(Tabela_Base_Financeiro[[#This Row],[PO No,]],0)</f>
        <v>0</v>
      </c>
      <c r="H784" s="36">
        <f>IFERROR(Tabela_Base_Financeiro[[#This Row],[Line No,]],0)</f>
        <v>0</v>
      </c>
      <c r="I784" s="36" t="str">
        <f>IFERROR(MID(Tabela_Base_Financeiro[[#This Row],[Manufacturer]],19,14),"")</f>
        <v/>
      </c>
      <c r="J784" s="113">
        <f>IFERROR(Tabela_Base_Financeiro[[#This Row],[Item code]],0)</f>
        <v>0</v>
      </c>
      <c r="K784" s="293">
        <f>IFERROR(Tabela_Base_Financeiro[[#This Row],[Unit Price]],0)</f>
        <v>0</v>
      </c>
      <c r="L784" s="36">
        <f>IFERROR(Tabela_Base_Financeiro[[#This Row],[AC Qty,]],0)</f>
        <v>0</v>
      </c>
      <c r="M784" s="60">
        <f>Tabela6[[#This Row],[Qty]]*Tabela6[[#This Row],[Preço]]</f>
        <v>0</v>
      </c>
      <c r="N784" s="37">
        <f>IFERROR(Tabela_Base_Financeiro[[#This Row],[Proportion]],0)</f>
        <v>0</v>
      </c>
      <c r="O784" s="60">
        <f>Tabela6[[#This Row],[Proporção]]*Tabela6[[#This Row],[Total]]</f>
        <v>0</v>
      </c>
      <c r="P784"/>
      <c r="Q784" s="59"/>
      <c r="R784" s="1"/>
    </row>
    <row r="785" spans="1:18">
      <c r="A785" s="122" t="e">
        <f>IF(VLOOKUP(Tabela6[[#This Row],[UF]],'BASE CC'!B:C,2,0)="SP",IF(Tabela6[[#This Row],[OPERADORA]]="TIM","SP TIM","SPI"),VLOOKUP(Tabela6[[#This Row],[UF]],'BASE CC'!B:C,2,0))</f>
        <v>#N/A</v>
      </c>
      <c r="B785" s="36" t="e">
        <f>VLOOKUP(Tabela_Base_Financeiro[[#This Row],[Item code]],'COD.FAT'!B:C,2,0)</f>
        <v>#N/A</v>
      </c>
      <c r="C785" s="292">
        <f>Tabela_Base_Financeiro[[#This Row],[PO Ship TO]]</f>
        <v>0</v>
      </c>
      <c r="D785" s="36" t="str">
        <f>RIGHT(Tabela_Base_Financeiro[[#This Row],[Manufacturer]],2)</f>
        <v/>
      </c>
      <c r="E78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85" s="122" t="e">
        <f>VLOOKUP(Tabela_Base_Financeiro[[#This Row],[Project Code]],'COD. PROJETOS'!B:D,3,0)</f>
        <v>#N/A</v>
      </c>
      <c r="G785" s="36">
        <f>IFERROR(Tabela_Base_Financeiro[[#This Row],[PO No,]],0)</f>
        <v>0</v>
      </c>
      <c r="H785" s="36">
        <f>IFERROR(Tabela_Base_Financeiro[[#This Row],[Line No,]],0)</f>
        <v>0</v>
      </c>
      <c r="I785" s="36" t="str">
        <f>IFERROR(MID(Tabela_Base_Financeiro[[#This Row],[Manufacturer]],19,14),"")</f>
        <v/>
      </c>
      <c r="J785" s="113">
        <f>IFERROR(Tabela_Base_Financeiro[[#This Row],[Item code]],0)</f>
        <v>0</v>
      </c>
      <c r="K785" s="293">
        <f>IFERROR(Tabela_Base_Financeiro[[#This Row],[Unit Price]],0)</f>
        <v>0</v>
      </c>
      <c r="L785" s="36">
        <f>IFERROR(Tabela_Base_Financeiro[[#This Row],[AC Qty,]],0)</f>
        <v>0</v>
      </c>
      <c r="M785" s="60">
        <f>Tabela6[[#This Row],[Qty]]*Tabela6[[#This Row],[Preço]]</f>
        <v>0</v>
      </c>
      <c r="N785" s="37">
        <f>IFERROR(Tabela_Base_Financeiro[[#This Row],[Proportion]],0)</f>
        <v>0</v>
      </c>
      <c r="O785" s="60">
        <f>Tabela6[[#This Row],[Proporção]]*Tabela6[[#This Row],[Total]]</f>
        <v>0</v>
      </c>
      <c r="P785"/>
      <c r="Q785" s="59"/>
      <c r="R785" s="1"/>
    </row>
    <row r="786" spans="1:18">
      <c r="A786" s="122" t="e">
        <f>IF(VLOOKUP(Tabela6[[#This Row],[UF]],'BASE CC'!B:C,2,0)="SP",IF(Tabela6[[#This Row],[OPERADORA]]="TIM","SP TIM","SPI"),VLOOKUP(Tabela6[[#This Row],[UF]],'BASE CC'!B:C,2,0))</f>
        <v>#N/A</v>
      </c>
      <c r="B786" s="36" t="e">
        <f>VLOOKUP(Tabela_Base_Financeiro[[#This Row],[Item code]],'COD.FAT'!B:C,2,0)</f>
        <v>#N/A</v>
      </c>
      <c r="C786" s="292">
        <f>Tabela_Base_Financeiro[[#This Row],[PO Ship TO]]</f>
        <v>0</v>
      </c>
      <c r="D786" s="36" t="str">
        <f>RIGHT(Tabela_Base_Financeiro[[#This Row],[Manufacturer]],2)</f>
        <v/>
      </c>
      <c r="E78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86" s="122" t="e">
        <f>VLOOKUP(Tabela_Base_Financeiro[[#This Row],[Project Code]],'COD. PROJETOS'!B:D,3,0)</f>
        <v>#N/A</v>
      </c>
      <c r="G786" s="36">
        <f>IFERROR(Tabela_Base_Financeiro[[#This Row],[PO No,]],0)</f>
        <v>0</v>
      </c>
      <c r="H786" s="36">
        <f>IFERROR(Tabela_Base_Financeiro[[#This Row],[Line No,]],0)</f>
        <v>0</v>
      </c>
      <c r="I786" s="36" t="str">
        <f>IFERROR(MID(Tabela_Base_Financeiro[[#This Row],[Manufacturer]],19,14),"")</f>
        <v/>
      </c>
      <c r="J786" s="113">
        <f>IFERROR(Tabela_Base_Financeiro[[#This Row],[Item code]],0)</f>
        <v>0</v>
      </c>
      <c r="K786" s="293">
        <f>IFERROR(Tabela_Base_Financeiro[[#This Row],[Unit Price]],0)</f>
        <v>0</v>
      </c>
      <c r="L786" s="36">
        <f>IFERROR(Tabela_Base_Financeiro[[#This Row],[AC Qty,]],0)</f>
        <v>0</v>
      </c>
      <c r="M786" s="60">
        <f>Tabela6[[#This Row],[Qty]]*Tabela6[[#This Row],[Preço]]</f>
        <v>0</v>
      </c>
      <c r="N786" s="37">
        <f>IFERROR(Tabela_Base_Financeiro[[#This Row],[Proportion]],0)</f>
        <v>0</v>
      </c>
      <c r="O786" s="60">
        <f>Tabela6[[#This Row],[Proporção]]*Tabela6[[#This Row],[Total]]</f>
        <v>0</v>
      </c>
      <c r="P786"/>
      <c r="Q786" s="59"/>
      <c r="R786" s="1"/>
    </row>
    <row r="787" spans="1:18">
      <c r="A787" s="122" t="e">
        <f>IF(VLOOKUP(Tabela6[[#This Row],[UF]],'BASE CC'!B:C,2,0)="SP",IF(Tabela6[[#This Row],[OPERADORA]]="TIM","SP TIM","SPI"),VLOOKUP(Tabela6[[#This Row],[UF]],'BASE CC'!B:C,2,0))</f>
        <v>#N/A</v>
      </c>
      <c r="B787" s="36" t="e">
        <f>VLOOKUP(Tabela_Base_Financeiro[[#This Row],[Item code]],'COD.FAT'!B:C,2,0)</f>
        <v>#N/A</v>
      </c>
      <c r="C787" s="292">
        <f>Tabela_Base_Financeiro[[#This Row],[PO Ship TO]]</f>
        <v>0</v>
      </c>
      <c r="D787" s="36" t="str">
        <f>RIGHT(Tabela_Base_Financeiro[[#This Row],[Manufacturer]],2)</f>
        <v/>
      </c>
      <c r="E78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87" s="122" t="e">
        <f>VLOOKUP(Tabela_Base_Financeiro[[#This Row],[Project Code]],'COD. PROJETOS'!B:D,3,0)</f>
        <v>#N/A</v>
      </c>
      <c r="G787" s="36">
        <f>IFERROR(Tabela_Base_Financeiro[[#This Row],[PO No,]],0)</f>
        <v>0</v>
      </c>
      <c r="H787" s="36">
        <f>IFERROR(Tabela_Base_Financeiro[[#This Row],[Line No,]],0)</f>
        <v>0</v>
      </c>
      <c r="I787" s="36" t="str">
        <f>IFERROR(MID(Tabela_Base_Financeiro[[#This Row],[Manufacturer]],19,14),"")</f>
        <v/>
      </c>
      <c r="J787" s="113">
        <f>IFERROR(Tabela_Base_Financeiro[[#This Row],[Item code]],0)</f>
        <v>0</v>
      </c>
      <c r="K787" s="293">
        <f>IFERROR(Tabela_Base_Financeiro[[#This Row],[Unit Price]],0)</f>
        <v>0</v>
      </c>
      <c r="L787" s="36">
        <f>IFERROR(Tabela_Base_Financeiro[[#This Row],[AC Qty,]],0)</f>
        <v>0</v>
      </c>
      <c r="M787" s="60">
        <f>Tabela6[[#This Row],[Qty]]*Tabela6[[#This Row],[Preço]]</f>
        <v>0</v>
      </c>
      <c r="N787" s="37">
        <f>IFERROR(Tabela_Base_Financeiro[[#This Row],[Proportion]],0)</f>
        <v>0</v>
      </c>
      <c r="O787" s="60">
        <f>Tabela6[[#This Row],[Proporção]]*Tabela6[[#This Row],[Total]]</f>
        <v>0</v>
      </c>
      <c r="P787"/>
      <c r="Q787" s="59"/>
      <c r="R787" s="1"/>
    </row>
    <row r="788" spans="1:18">
      <c r="A788" s="122" t="e">
        <f>IF(VLOOKUP(Tabela6[[#This Row],[UF]],'BASE CC'!B:C,2,0)="SP",IF(Tabela6[[#This Row],[OPERADORA]]="TIM","SP TIM","SPI"),VLOOKUP(Tabela6[[#This Row],[UF]],'BASE CC'!B:C,2,0))</f>
        <v>#N/A</v>
      </c>
      <c r="B788" s="36" t="e">
        <f>VLOOKUP(Tabela_Base_Financeiro[[#This Row],[Item code]],'COD.FAT'!B:C,2,0)</f>
        <v>#N/A</v>
      </c>
      <c r="C788" s="292">
        <f>Tabela_Base_Financeiro[[#This Row],[PO Ship TO]]</f>
        <v>0</v>
      </c>
      <c r="D788" s="36" t="str">
        <f>RIGHT(Tabela_Base_Financeiro[[#This Row],[Manufacturer]],2)</f>
        <v/>
      </c>
      <c r="E78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88" s="122" t="e">
        <f>VLOOKUP(Tabela_Base_Financeiro[[#This Row],[Project Code]],'COD. PROJETOS'!B:D,3,0)</f>
        <v>#N/A</v>
      </c>
      <c r="G788" s="36">
        <f>IFERROR(Tabela_Base_Financeiro[[#This Row],[PO No,]],0)</f>
        <v>0</v>
      </c>
      <c r="H788" s="36">
        <f>IFERROR(Tabela_Base_Financeiro[[#This Row],[Line No,]],0)</f>
        <v>0</v>
      </c>
      <c r="I788" s="36" t="str">
        <f>IFERROR(MID(Tabela_Base_Financeiro[[#This Row],[Manufacturer]],19,14),"")</f>
        <v/>
      </c>
      <c r="J788" s="113">
        <f>IFERROR(Tabela_Base_Financeiro[[#This Row],[Item code]],0)</f>
        <v>0</v>
      </c>
      <c r="K788" s="293">
        <f>IFERROR(Tabela_Base_Financeiro[[#This Row],[Unit Price]],0)</f>
        <v>0</v>
      </c>
      <c r="L788" s="36">
        <f>IFERROR(Tabela_Base_Financeiro[[#This Row],[AC Qty,]],0)</f>
        <v>0</v>
      </c>
      <c r="M788" s="60">
        <f>Tabela6[[#This Row],[Qty]]*Tabela6[[#This Row],[Preço]]</f>
        <v>0</v>
      </c>
      <c r="N788" s="37">
        <f>IFERROR(Tabela_Base_Financeiro[[#This Row],[Proportion]],0)</f>
        <v>0</v>
      </c>
      <c r="O788" s="60">
        <f>Tabela6[[#This Row],[Proporção]]*Tabela6[[#This Row],[Total]]</f>
        <v>0</v>
      </c>
      <c r="P788"/>
      <c r="Q788" s="59"/>
      <c r="R788" s="1"/>
    </row>
    <row r="789" spans="1:18">
      <c r="A789" s="122" t="e">
        <f>IF(VLOOKUP(Tabela6[[#This Row],[UF]],'BASE CC'!B:C,2,0)="SP",IF(Tabela6[[#This Row],[OPERADORA]]="TIM","SP TIM","SPI"),VLOOKUP(Tabela6[[#This Row],[UF]],'BASE CC'!B:C,2,0))</f>
        <v>#N/A</v>
      </c>
      <c r="B789" s="36" t="e">
        <f>VLOOKUP(Tabela_Base_Financeiro[[#This Row],[Item code]],'COD.FAT'!B:C,2,0)</f>
        <v>#N/A</v>
      </c>
      <c r="C789" s="292">
        <f>Tabela_Base_Financeiro[[#This Row],[PO Ship TO]]</f>
        <v>0</v>
      </c>
      <c r="D789" s="36" t="str">
        <f>RIGHT(Tabela_Base_Financeiro[[#This Row],[Manufacturer]],2)</f>
        <v/>
      </c>
      <c r="E78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89" s="122" t="e">
        <f>VLOOKUP(Tabela_Base_Financeiro[[#This Row],[Project Code]],'COD. PROJETOS'!B:D,3,0)</f>
        <v>#N/A</v>
      </c>
      <c r="G789" s="36">
        <f>IFERROR(Tabela_Base_Financeiro[[#This Row],[PO No,]],0)</f>
        <v>0</v>
      </c>
      <c r="H789" s="36">
        <f>IFERROR(Tabela_Base_Financeiro[[#This Row],[Line No,]],0)</f>
        <v>0</v>
      </c>
      <c r="I789" s="36" t="str">
        <f>IFERROR(MID(Tabela_Base_Financeiro[[#This Row],[Manufacturer]],19,14),"")</f>
        <v/>
      </c>
      <c r="J789" s="113">
        <f>IFERROR(Tabela_Base_Financeiro[[#This Row],[Item code]],0)</f>
        <v>0</v>
      </c>
      <c r="K789" s="293">
        <f>IFERROR(Tabela_Base_Financeiro[[#This Row],[Unit Price]],0)</f>
        <v>0</v>
      </c>
      <c r="L789" s="36">
        <f>IFERROR(Tabela_Base_Financeiro[[#This Row],[AC Qty,]],0)</f>
        <v>0</v>
      </c>
      <c r="M789" s="60">
        <f>Tabela6[[#This Row],[Qty]]*Tabela6[[#This Row],[Preço]]</f>
        <v>0</v>
      </c>
      <c r="N789" s="37">
        <f>IFERROR(Tabela_Base_Financeiro[[#This Row],[Proportion]],0)</f>
        <v>0</v>
      </c>
      <c r="O789" s="60">
        <f>Tabela6[[#This Row],[Proporção]]*Tabela6[[#This Row],[Total]]</f>
        <v>0</v>
      </c>
      <c r="P789"/>
      <c r="Q789" s="59"/>
      <c r="R789" s="1"/>
    </row>
    <row r="790" spans="1:18">
      <c r="A790" s="122" t="e">
        <f>IF(VLOOKUP(Tabela6[[#This Row],[UF]],'BASE CC'!B:C,2,0)="SP",IF(Tabela6[[#This Row],[OPERADORA]]="TIM","SP TIM","SPI"),VLOOKUP(Tabela6[[#This Row],[UF]],'BASE CC'!B:C,2,0))</f>
        <v>#N/A</v>
      </c>
      <c r="B790" s="36" t="e">
        <f>VLOOKUP(Tabela_Base_Financeiro[[#This Row],[Item code]],'COD.FAT'!B:C,2,0)</f>
        <v>#N/A</v>
      </c>
      <c r="C790" s="292">
        <f>Tabela_Base_Financeiro[[#This Row],[PO Ship TO]]</f>
        <v>0</v>
      </c>
      <c r="D790" s="36" t="str">
        <f>RIGHT(Tabela_Base_Financeiro[[#This Row],[Manufacturer]],2)</f>
        <v/>
      </c>
      <c r="E79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90" s="122" t="e">
        <f>VLOOKUP(Tabela_Base_Financeiro[[#This Row],[Project Code]],'COD. PROJETOS'!B:D,3,0)</f>
        <v>#N/A</v>
      </c>
      <c r="G790" s="36">
        <f>IFERROR(Tabela_Base_Financeiro[[#This Row],[PO No,]],0)</f>
        <v>0</v>
      </c>
      <c r="H790" s="36">
        <f>IFERROR(Tabela_Base_Financeiro[[#This Row],[Line No,]],0)</f>
        <v>0</v>
      </c>
      <c r="I790" s="36" t="str">
        <f>IFERROR(MID(Tabela_Base_Financeiro[[#This Row],[Manufacturer]],19,14),"")</f>
        <v/>
      </c>
      <c r="J790" s="113">
        <f>IFERROR(Tabela_Base_Financeiro[[#This Row],[Item code]],0)</f>
        <v>0</v>
      </c>
      <c r="K790" s="293">
        <f>IFERROR(Tabela_Base_Financeiro[[#This Row],[Unit Price]],0)</f>
        <v>0</v>
      </c>
      <c r="L790" s="36">
        <f>IFERROR(Tabela_Base_Financeiro[[#This Row],[AC Qty,]],0)</f>
        <v>0</v>
      </c>
      <c r="M790" s="60">
        <f>Tabela6[[#This Row],[Qty]]*Tabela6[[#This Row],[Preço]]</f>
        <v>0</v>
      </c>
      <c r="N790" s="37">
        <f>IFERROR(Tabela_Base_Financeiro[[#This Row],[Proportion]],0)</f>
        <v>0</v>
      </c>
      <c r="O790" s="60">
        <f>Tabela6[[#This Row],[Proporção]]*Tabela6[[#This Row],[Total]]</f>
        <v>0</v>
      </c>
      <c r="P790"/>
      <c r="Q790" s="59"/>
      <c r="R790" s="1"/>
    </row>
    <row r="791" spans="1:18">
      <c r="A791" s="122" t="e">
        <f>IF(VLOOKUP(Tabela6[[#This Row],[UF]],'BASE CC'!B:C,2,0)="SP",IF(Tabela6[[#This Row],[OPERADORA]]="TIM","SP TIM","SPI"),VLOOKUP(Tabela6[[#This Row],[UF]],'BASE CC'!B:C,2,0))</f>
        <v>#N/A</v>
      </c>
      <c r="B791" s="36" t="e">
        <f>VLOOKUP(Tabela_Base_Financeiro[[#This Row],[Item code]],'COD.FAT'!B:C,2,0)</f>
        <v>#N/A</v>
      </c>
      <c r="C791" s="292">
        <f>Tabela_Base_Financeiro[[#This Row],[PO Ship TO]]</f>
        <v>0</v>
      </c>
      <c r="D791" s="36" t="str">
        <f>RIGHT(Tabela_Base_Financeiro[[#This Row],[Manufacturer]],2)</f>
        <v/>
      </c>
      <c r="E79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91" s="122" t="e">
        <f>VLOOKUP(Tabela_Base_Financeiro[[#This Row],[Project Code]],'COD. PROJETOS'!B:D,3,0)</f>
        <v>#N/A</v>
      </c>
      <c r="G791" s="36">
        <f>IFERROR(Tabela_Base_Financeiro[[#This Row],[PO No,]],0)</f>
        <v>0</v>
      </c>
      <c r="H791" s="36">
        <f>IFERROR(Tabela_Base_Financeiro[[#This Row],[Line No,]],0)</f>
        <v>0</v>
      </c>
      <c r="I791" s="36" t="str">
        <f>IFERROR(MID(Tabela_Base_Financeiro[[#This Row],[Manufacturer]],19,14),"")</f>
        <v/>
      </c>
      <c r="J791" s="113">
        <f>IFERROR(Tabela_Base_Financeiro[[#This Row],[Item code]],0)</f>
        <v>0</v>
      </c>
      <c r="K791" s="293">
        <f>IFERROR(Tabela_Base_Financeiro[[#This Row],[Unit Price]],0)</f>
        <v>0</v>
      </c>
      <c r="L791" s="36">
        <f>IFERROR(Tabela_Base_Financeiro[[#This Row],[AC Qty,]],0)</f>
        <v>0</v>
      </c>
      <c r="M791" s="60">
        <f>Tabela6[[#This Row],[Qty]]*Tabela6[[#This Row],[Preço]]</f>
        <v>0</v>
      </c>
      <c r="N791" s="37">
        <f>IFERROR(Tabela_Base_Financeiro[[#This Row],[Proportion]],0)</f>
        <v>0</v>
      </c>
      <c r="O791" s="60">
        <f>Tabela6[[#This Row],[Proporção]]*Tabela6[[#This Row],[Total]]</f>
        <v>0</v>
      </c>
      <c r="P791"/>
      <c r="Q791" s="59"/>
      <c r="R791" s="1"/>
    </row>
    <row r="792" spans="1:18">
      <c r="A792" s="122" t="e">
        <f>IF(VLOOKUP(Tabela6[[#This Row],[UF]],'BASE CC'!B:C,2,0)="SP",IF(Tabela6[[#This Row],[OPERADORA]]="TIM","SP TIM","SPI"),VLOOKUP(Tabela6[[#This Row],[UF]],'BASE CC'!B:C,2,0))</f>
        <v>#N/A</v>
      </c>
      <c r="B792" s="36" t="e">
        <f>VLOOKUP(Tabela_Base_Financeiro[[#This Row],[Item code]],'COD.FAT'!B:C,2,0)</f>
        <v>#N/A</v>
      </c>
      <c r="C792" s="292">
        <f>Tabela_Base_Financeiro[[#This Row],[PO Ship TO]]</f>
        <v>0</v>
      </c>
      <c r="D792" s="36" t="str">
        <f>RIGHT(Tabela_Base_Financeiro[[#This Row],[Manufacturer]],2)</f>
        <v/>
      </c>
      <c r="E79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92" s="122" t="e">
        <f>VLOOKUP(Tabela_Base_Financeiro[[#This Row],[Project Code]],'COD. PROJETOS'!B:D,3,0)</f>
        <v>#N/A</v>
      </c>
      <c r="G792" s="36">
        <f>IFERROR(Tabela_Base_Financeiro[[#This Row],[PO No,]],0)</f>
        <v>0</v>
      </c>
      <c r="H792" s="36">
        <f>IFERROR(Tabela_Base_Financeiro[[#This Row],[Line No,]],0)</f>
        <v>0</v>
      </c>
      <c r="I792" s="36" t="str">
        <f>IFERROR(MID(Tabela_Base_Financeiro[[#This Row],[Manufacturer]],19,14),"")</f>
        <v/>
      </c>
      <c r="J792" s="113">
        <f>IFERROR(Tabela_Base_Financeiro[[#This Row],[Item code]],0)</f>
        <v>0</v>
      </c>
      <c r="K792" s="293">
        <f>IFERROR(Tabela_Base_Financeiro[[#This Row],[Unit Price]],0)</f>
        <v>0</v>
      </c>
      <c r="L792" s="36">
        <f>IFERROR(Tabela_Base_Financeiro[[#This Row],[AC Qty,]],0)</f>
        <v>0</v>
      </c>
      <c r="M792" s="60">
        <f>Tabela6[[#This Row],[Qty]]*Tabela6[[#This Row],[Preço]]</f>
        <v>0</v>
      </c>
      <c r="N792" s="37">
        <f>IFERROR(Tabela_Base_Financeiro[[#This Row],[Proportion]],0)</f>
        <v>0</v>
      </c>
      <c r="O792" s="60">
        <f>Tabela6[[#This Row],[Proporção]]*Tabela6[[#This Row],[Total]]</f>
        <v>0</v>
      </c>
      <c r="P792"/>
      <c r="Q792" s="59"/>
      <c r="R792" s="1"/>
    </row>
    <row r="793" spans="1:18">
      <c r="A793" s="122" t="e">
        <f>IF(VLOOKUP(Tabela6[[#This Row],[UF]],'BASE CC'!B:C,2,0)="SP",IF(Tabela6[[#This Row],[OPERADORA]]="TIM","SP TIM","SPI"),VLOOKUP(Tabela6[[#This Row],[UF]],'BASE CC'!B:C,2,0))</f>
        <v>#N/A</v>
      </c>
      <c r="B793" s="36" t="e">
        <f>VLOOKUP(Tabela_Base_Financeiro[[#This Row],[Item code]],'COD.FAT'!B:C,2,0)</f>
        <v>#N/A</v>
      </c>
      <c r="C793" s="292">
        <f>Tabela_Base_Financeiro[[#This Row],[PO Ship TO]]</f>
        <v>0</v>
      </c>
      <c r="D793" s="36" t="str">
        <f>RIGHT(Tabela_Base_Financeiro[[#This Row],[Manufacturer]],2)</f>
        <v/>
      </c>
      <c r="E79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93" s="122" t="e">
        <f>VLOOKUP(Tabela_Base_Financeiro[[#This Row],[Project Code]],'COD. PROJETOS'!B:D,3,0)</f>
        <v>#N/A</v>
      </c>
      <c r="G793" s="36">
        <f>IFERROR(Tabela_Base_Financeiro[[#This Row],[PO No,]],0)</f>
        <v>0</v>
      </c>
      <c r="H793" s="36">
        <f>IFERROR(Tabela_Base_Financeiro[[#This Row],[Line No,]],0)</f>
        <v>0</v>
      </c>
      <c r="I793" s="36" t="str">
        <f>IFERROR(MID(Tabela_Base_Financeiro[[#This Row],[Manufacturer]],19,14),"")</f>
        <v/>
      </c>
      <c r="J793" s="113">
        <f>IFERROR(Tabela_Base_Financeiro[[#This Row],[Item code]],0)</f>
        <v>0</v>
      </c>
      <c r="K793" s="293">
        <f>IFERROR(Tabela_Base_Financeiro[[#This Row],[Unit Price]],0)</f>
        <v>0</v>
      </c>
      <c r="L793" s="36">
        <f>IFERROR(Tabela_Base_Financeiro[[#This Row],[AC Qty,]],0)</f>
        <v>0</v>
      </c>
      <c r="M793" s="60">
        <f>Tabela6[[#This Row],[Qty]]*Tabela6[[#This Row],[Preço]]</f>
        <v>0</v>
      </c>
      <c r="N793" s="37">
        <f>IFERROR(Tabela_Base_Financeiro[[#This Row],[Proportion]],0)</f>
        <v>0</v>
      </c>
      <c r="O793" s="60">
        <f>Tabela6[[#This Row],[Proporção]]*Tabela6[[#This Row],[Total]]</f>
        <v>0</v>
      </c>
      <c r="P793"/>
      <c r="Q793" s="59"/>
      <c r="R793" s="1"/>
    </row>
    <row r="794" spans="1:18">
      <c r="A794" s="122" t="e">
        <f>IF(VLOOKUP(Tabela6[[#This Row],[UF]],'BASE CC'!B:C,2,0)="SP",IF(Tabela6[[#This Row],[OPERADORA]]="TIM","SP TIM","SPI"),VLOOKUP(Tabela6[[#This Row],[UF]],'BASE CC'!B:C,2,0))</f>
        <v>#N/A</v>
      </c>
      <c r="B794" s="36" t="e">
        <f>VLOOKUP(Tabela_Base_Financeiro[[#This Row],[Item code]],'COD.FAT'!B:C,2,0)</f>
        <v>#N/A</v>
      </c>
      <c r="C794" s="292">
        <f>Tabela_Base_Financeiro[[#This Row],[PO Ship TO]]</f>
        <v>0</v>
      </c>
      <c r="D794" s="36" t="str">
        <f>RIGHT(Tabela_Base_Financeiro[[#This Row],[Manufacturer]],2)</f>
        <v/>
      </c>
      <c r="E79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94" s="122" t="e">
        <f>VLOOKUP(Tabela_Base_Financeiro[[#This Row],[Project Code]],'COD. PROJETOS'!B:D,3,0)</f>
        <v>#N/A</v>
      </c>
      <c r="G794" s="36">
        <f>IFERROR(Tabela_Base_Financeiro[[#This Row],[PO No,]],0)</f>
        <v>0</v>
      </c>
      <c r="H794" s="36">
        <f>IFERROR(Tabela_Base_Financeiro[[#This Row],[Line No,]],0)</f>
        <v>0</v>
      </c>
      <c r="I794" s="36" t="str">
        <f>IFERROR(MID(Tabela_Base_Financeiro[[#This Row],[Manufacturer]],19,14),"")</f>
        <v/>
      </c>
      <c r="J794" s="113">
        <f>IFERROR(Tabela_Base_Financeiro[[#This Row],[Item code]],0)</f>
        <v>0</v>
      </c>
      <c r="K794" s="293">
        <f>IFERROR(Tabela_Base_Financeiro[[#This Row],[Unit Price]],0)</f>
        <v>0</v>
      </c>
      <c r="L794" s="36">
        <f>IFERROR(Tabela_Base_Financeiro[[#This Row],[AC Qty,]],0)</f>
        <v>0</v>
      </c>
      <c r="M794" s="60">
        <f>Tabela6[[#This Row],[Qty]]*Tabela6[[#This Row],[Preço]]</f>
        <v>0</v>
      </c>
      <c r="N794" s="37">
        <f>IFERROR(Tabela_Base_Financeiro[[#This Row],[Proportion]],0)</f>
        <v>0</v>
      </c>
      <c r="O794" s="60">
        <f>Tabela6[[#This Row],[Proporção]]*Tabela6[[#This Row],[Total]]</f>
        <v>0</v>
      </c>
      <c r="P794"/>
      <c r="Q794" s="59"/>
      <c r="R794" s="1"/>
    </row>
    <row r="795" spans="1:18">
      <c r="A795" s="122" t="e">
        <f>IF(VLOOKUP(Tabela6[[#This Row],[UF]],'BASE CC'!B:C,2,0)="SP",IF(Tabela6[[#This Row],[OPERADORA]]="TIM","SP TIM","SPI"),VLOOKUP(Tabela6[[#This Row],[UF]],'BASE CC'!B:C,2,0))</f>
        <v>#N/A</v>
      </c>
      <c r="B795" s="36" t="e">
        <f>VLOOKUP(Tabela_Base_Financeiro[[#This Row],[Item code]],'COD.FAT'!B:C,2,0)</f>
        <v>#N/A</v>
      </c>
      <c r="C795" s="292">
        <f>Tabela_Base_Financeiro[[#This Row],[PO Ship TO]]</f>
        <v>0</v>
      </c>
      <c r="D795" s="36" t="str">
        <f>RIGHT(Tabela_Base_Financeiro[[#This Row],[Manufacturer]],2)</f>
        <v/>
      </c>
      <c r="E79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95" s="122" t="e">
        <f>VLOOKUP(Tabela_Base_Financeiro[[#This Row],[Project Code]],'COD. PROJETOS'!B:D,3,0)</f>
        <v>#N/A</v>
      </c>
      <c r="G795" s="36">
        <f>IFERROR(Tabela_Base_Financeiro[[#This Row],[PO No,]],0)</f>
        <v>0</v>
      </c>
      <c r="H795" s="36">
        <f>IFERROR(Tabela_Base_Financeiro[[#This Row],[Line No,]],0)</f>
        <v>0</v>
      </c>
      <c r="I795" s="36" t="str">
        <f>IFERROR(MID(Tabela_Base_Financeiro[[#This Row],[Manufacturer]],19,14),"")</f>
        <v/>
      </c>
      <c r="J795" s="113">
        <f>IFERROR(Tabela_Base_Financeiro[[#This Row],[Item code]],0)</f>
        <v>0</v>
      </c>
      <c r="K795" s="293">
        <f>IFERROR(Tabela_Base_Financeiro[[#This Row],[Unit Price]],0)</f>
        <v>0</v>
      </c>
      <c r="L795" s="36">
        <f>IFERROR(Tabela_Base_Financeiro[[#This Row],[AC Qty,]],0)</f>
        <v>0</v>
      </c>
      <c r="M795" s="60">
        <f>Tabela6[[#This Row],[Qty]]*Tabela6[[#This Row],[Preço]]</f>
        <v>0</v>
      </c>
      <c r="N795" s="37">
        <f>IFERROR(Tabela_Base_Financeiro[[#This Row],[Proportion]],0)</f>
        <v>0</v>
      </c>
      <c r="O795" s="60">
        <f>Tabela6[[#This Row],[Proporção]]*Tabela6[[#This Row],[Total]]</f>
        <v>0</v>
      </c>
      <c r="P795"/>
      <c r="Q795" s="59"/>
      <c r="R795" s="1"/>
    </row>
    <row r="796" spans="1:18">
      <c r="A796" s="122" t="e">
        <f>IF(VLOOKUP(Tabela6[[#This Row],[UF]],'BASE CC'!B:C,2,0)="SP",IF(Tabela6[[#This Row],[OPERADORA]]="TIM","SP TIM","SPI"),VLOOKUP(Tabela6[[#This Row],[UF]],'BASE CC'!B:C,2,0))</f>
        <v>#N/A</v>
      </c>
      <c r="B796" s="36" t="e">
        <f>VLOOKUP(Tabela_Base_Financeiro[[#This Row],[Item code]],'COD.FAT'!B:C,2,0)</f>
        <v>#N/A</v>
      </c>
      <c r="C796" s="292">
        <f>Tabela_Base_Financeiro[[#This Row],[PO Ship TO]]</f>
        <v>0</v>
      </c>
      <c r="D796" s="36" t="str">
        <f>RIGHT(Tabela_Base_Financeiro[[#This Row],[Manufacturer]],2)</f>
        <v/>
      </c>
      <c r="E79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96" s="122" t="e">
        <f>VLOOKUP(Tabela_Base_Financeiro[[#This Row],[Project Code]],'COD. PROJETOS'!B:D,3,0)</f>
        <v>#N/A</v>
      </c>
      <c r="G796" s="36">
        <f>IFERROR(Tabela_Base_Financeiro[[#This Row],[PO No,]],0)</f>
        <v>0</v>
      </c>
      <c r="H796" s="36">
        <f>IFERROR(Tabela_Base_Financeiro[[#This Row],[Line No,]],0)</f>
        <v>0</v>
      </c>
      <c r="I796" s="36" t="str">
        <f>IFERROR(MID(Tabela_Base_Financeiro[[#This Row],[Manufacturer]],19,14),"")</f>
        <v/>
      </c>
      <c r="J796" s="113">
        <f>IFERROR(Tabela_Base_Financeiro[[#This Row],[Item code]],0)</f>
        <v>0</v>
      </c>
      <c r="K796" s="293">
        <f>IFERROR(Tabela_Base_Financeiro[[#This Row],[Unit Price]],0)</f>
        <v>0</v>
      </c>
      <c r="L796" s="36">
        <f>IFERROR(Tabela_Base_Financeiro[[#This Row],[AC Qty,]],0)</f>
        <v>0</v>
      </c>
      <c r="M796" s="60">
        <f>Tabela6[[#This Row],[Qty]]*Tabela6[[#This Row],[Preço]]</f>
        <v>0</v>
      </c>
      <c r="N796" s="37">
        <f>IFERROR(Tabela_Base_Financeiro[[#This Row],[Proportion]],0)</f>
        <v>0</v>
      </c>
      <c r="O796" s="60">
        <f>Tabela6[[#This Row],[Proporção]]*Tabela6[[#This Row],[Total]]</f>
        <v>0</v>
      </c>
      <c r="P796"/>
      <c r="Q796" s="59"/>
      <c r="R796" s="1"/>
    </row>
    <row r="797" spans="1:18">
      <c r="A797" s="122" t="e">
        <f>IF(VLOOKUP(Tabela6[[#This Row],[UF]],'BASE CC'!B:C,2,0)="SP",IF(Tabela6[[#This Row],[OPERADORA]]="TIM","SP TIM","SPI"),VLOOKUP(Tabela6[[#This Row],[UF]],'BASE CC'!B:C,2,0))</f>
        <v>#N/A</v>
      </c>
      <c r="B797" s="36" t="e">
        <f>VLOOKUP(Tabela_Base_Financeiro[[#This Row],[Item code]],'COD.FAT'!B:C,2,0)</f>
        <v>#N/A</v>
      </c>
      <c r="C797" s="292">
        <f>Tabela_Base_Financeiro[[#This Row],[PO Ship TO]]</f>
        <v>0</v>
      </c>
      <c r="D797" s="36" t="str">
        <f>RIGHT(Tabela_Base_Financeiro[[#This Row],[Manufacturer]],2)</f>
        <v/>
      </c>
      <c r="E79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97" s="122" t="e">
        <f>VLOOKUP(Tabela_Base_Financeiro[[#This Row],[Project Code]],'COD. PROJETOS'!B:D,3,0)</f>
        <v>#N/A</v>
      </c>
      <c r="G797" s="36">
        <f>IFERROR(Tabela_Base_Financeiro[[#This Row],[PO No,]],0)</f>
        <v>0</v>
      </c>
      <c r="H797" s="36">
        <f>IFERROR(Tabela_Base_Financeiro[[#This Row],[Line No,]],0)</f>
        <v>0</v>
      </c>
      <c r="I797" s="36" t="str">
        <f>IFERROR(MID(Tabela_Base_Financeiro[[#This Row],[Manufacturer]],19,14),"")</f>
        <v/>
      </c>
      <c r="J797" s="113">
        <f>IFERROR(Tabela_Base_Financeiro[[#This Row],[Item code]],0)</f>
        <v>0</v>
      </c>
      <c r="K797" s="293">
        <f>IFERROR(Tabela_Base_Financeiro[[#This Row],[Unit Price]],0)</f>
        <v>0</v>
      </c>
      <c r="L797" s="36">
        <f>IFERROR(Tabela_Base_Financeiro[[#This Row],[AC Qty,]],0)</f>
        <v>0</v>
      </c>
      <c r="M797" s="60">
        <f>Tabela6[[#This Row],[Qty]]*Tabela6[[#This Row],[Preço]]</f>
        <v>0</v>
      </c>
      <c r="N797" s="37">
        <f>IFERROR(Tabela_Base_Financeiro[[#This Row],[Proportion]],0)</f>
        <v>0</v>
      </c>
      <c r="O797" s="60">
        <f>Tabela6[[#This Row],[Proporção]]*Tabela6[[#This Row],[Total]]</f>
        <v>0</v>
      </c>
      <c r="P797"/>
      <c r="Q797" s="59"/>
      <c r="R797" s="1"/>
    </row>
    <row r="798" spans="1:18">
      <c r="A798" s="122" t="e">
        <f>IF(VLOOKUP(Tabela6[[#This Row],[UF]],'BASE CC'!B:C,2,0)="SP",IF(Tabela6[[#This Row],[OPERADORA]]="TIM","SP TIM","SPI"),VLOOKUP(Tabela6[[#This Row],[UF]],'BASE CC'!B:C,2,0))</f>
        <v>#N/A</v>
      </c>
      <c r="B798" s="36" t="e">
        <f>VLOOKUP(Tabela_Base_Financeiro[[#This Row],[Item code]],'COD.FAT'!B:C,2,0)</f>
        <v>#N/A</v>
      </c>
      <c r="C798" s="292">
        <f>Tabela_Base_Financeiro[[#This Row],[PO Ship TO]]</f>
        <v>0</v>
      </c>
      <c r="D798" s="36" t="str">
        <f>RIGHT(Tabela_Base_Financeiro[[#This Row],[Manufacturer]],2)</f>
        <v/>
      </c>
      <c r="E79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98" s="122" t="e">
        <f>VLOOKUP(Tabela_Base_Financeiro[[#This Row],[Project Code]],'COD. PROJETOS'!B:D,3,0)</f>
        <v>#N/A</v>
      </c>
      <c r="G798" s="36">
        <f>IFERROR(Tabela_Base_Financeiro[[#This Row],[PO No,]],0)</f>
        <v>0</v>
      </c>
      <c r="H798" s="36">
        <f>IFERROR(Tabela_Base_Financeiro[[#This Row],[Line No,]],0)</f>
        <v>0</v>
      </c>
      <c r="I798" s="36" t="str">
        <f>IFERROR(MID(Tabela_Base_Financeiro[[#This Row],[Manufacturer]],19,14),"")</f>
        <v/>
      </c>
      <c r="J798" s="113">
        <f>IFERROR(Tabela_Base_Financeiro[[#This Row],[Item code]],0)</f>
        <v>0</v>
      </c>
      <c r="K798" s="293">
        <f>IFERROR(Tabela_Base_Financeiro[[#This Row],[Unit Price]],0)</f>
        <v>0</v>
      </c>
      <c r="L798" s="36">
        <f>IFERROR(Tabela_Base_Financeiro[[#This Row],[AC Qty,]],0)</f>
        <v>0</v>
      </c>
      <c r="M798" s="60">
        <f>Tabela6[[#This Row],[Qty]]*Tabela6[[#This Row],[Preço]]</f>
        <v>0</v>
      </c>
      <c r="N798" s="37">
        <f>IFERROR(Tabela_Base_Financeiro[[#This Row],[Proportion]],0)</f>
        <v>0</v>
      </c>
      <c r="O798" s="60">
        <f>Tabela6[[#This Row],[Proporção]]*Tabela6[[#This Row],[Total]]</f>
        <v>0</v>
      </c>
      <c r="P798"/>
      <c r="Q798" s="59"/>
      <c r="R798" s="1"/>
    </row>
    <row r="799" spans="1:18">
      <c r="A799" s="122" t="e">
        <f>IF(VLOOKUP(Tabela6[[#This Row],[UF]],'BASE CC'!B:C,2,0)="SP",IF(Tabela6[[#This Row],[OPERADORA]]="TIM","SP TIM","SPI"),VLOOKUP(Tabela6[[#This Row],[UF]],'BASE CC'!B:C,2,0))</f>
        <v>#N/A</v>
      </c>
      <c r="B799" s="36" t="e">
        <f>VLOOKUP(Tabela_Base_Financeiro[[#This Row],[Item code]],'COD.FAT'!B:C,2,0)</f>
        <v>#N/A</v>
      </c>
      <c r="C799" s="292">
        <f>Tabela_Base_Financeiro[[#This Row],[PO Ship TO]]</f>
        <v>0</v>
      </c>
      <c r="D799" s="36" t="str">
        <f>RIGHT(Tabela_Base_Financeiro[[#This Row],[Manufacturer]],2)</f>
        <v/>
      </c>
      <c r="E79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799" s="122" t="e">
        <f>VLOOKUP(Tabela_Base_Financeiro[[#This Row],[Project Code]],'COD. PROJETOS'!B:D,3,0)</f>
        <v>#N/A</v>
      </c>
      <c r="G799" s="36">
        <f>IFERROR(Tabela_Base_Financeiro[[#This Row],[PO No,]],0)</f>
        <v>0</v>
      </c>
      <c r="H799" s="36">
        <f>IFERROR(Tabela_Base_Financeiro[[#This Row],[Line No,]],0)</f>
        <v>0</v>
      </c>
      <c r="I799" s="36" t="str">
        <f>IFERROR(MID(Tabela_Base_Financeiro[[#This Row],[Manufacturer]],19,14),"")</f>
        <v/>
      </c>
      <c r="J799" s="113">
        <f>IFERROR(Tabela_Base_Financeiro[[#This Row],[Item code]],0)</f>
        <v>0</v>
      </c>
      <c r="K799" s="293">
        <f>IFERROR(Tabela_Base_Financeiro[[#This Row],[Unit Price]],0)</f>
        <v>0</v>
      </c>
      <c r="L799" s="36">
        <f>IFERROR(Tabela_Base_Financeiro[[#This Row],[AC Qty,]],0)</f>
        <v>0</v>
      </c>
      <c r="M799" s="60">
        <f>Tabela6[[#This Row],[Qty]]*Tabela6[[#This Row],[Preço]]</f>
        <v>0</v>
      </c>
      <c r="N799" s="37">
        <f>IFERROR(Tabela_Base_Financeiro[[#This Row],[Proportion]],0)</f>
        <v>0</v>
      </c>
      <c r="O799" s="60">
        <f>Tabela6[[#This Row],[Proporção]]*Tabela6[[#This Row],[Total]]</f>
        <v>0</v>
      </c>
      <c r="P799"/>
      <c r="Q799" s="59"/>
      <c r="R799" s="1"/>
    </row>
    <row r="800" spans="1:18">
      <c r="A800" s="122" t="e">
        <f>IF(VLOOKUP(Tabela6[[#This Row],[UF]],'BASE CC'!B:C,2,0)="SP",IF(Tabela6[[#This Row],[OPERADORA]]="TIM","SP TIM","SPI"),VLOOKUP(Tabela6[[#This Row],[UF]],'BASE CC'!B:C,2,0))</f>
        <v>#N/A</v>
      </c>
      <c r="B800" s="36" t="e">
        <f>VLOOKUP(Tabela_Base_Financeiro[[#This Row],[Item code]],'COD.FAT'!B:C,2,0)</f>
        <v>#N/A</v>
      </c>
      <c r="C800" s="292">
        <f>Tabela_Base_Financeiro[[#This Row],[PO Ship TO]]</f>
        <v>0</v>
      </c>
      <c r="D800" s="36" t="str">
        <f>RIGHT(Tabela_Base_Financeiro[[#This Row],[Manufacturer]],2)</f>
        <v/>
      </c>
      <c r="E80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00" s="122" t="e">
        <f>VLOOKUP(Tabela_Base_Financeiro[[#This Row],[Project Code]],'COD. PROJETOS'!B:D,3,0)</f>
        <v>#N/A</v>
      </c>
      <c r="G800" s="36">
        <f>IFERROR(Tabela_Base_Financeiro[[#This Row],[PO No,]],0)</f>
        <v>0</v>
      </c>
      <c r="H800" s="36">
        <f>IFERROR(Tabela_Base_Financeiro[[#This Row],[Line No,]],0)</f>
        <v>0</v>
      </c>
      <c r="I800" s="36" t="str">
        <f>IFERROR(MID(Tabela_Base_Financeiro[[#This Row],[Manufacturer]],19,14),"")</f>
        <v/>
      </c>
      <c r="J800" s="113">
        <f>IFERROR(Tabela_Base_Financeiro[[#This Row],[Item code]],0)</f>
        <v>0</v>
      </c>
      <c r="K800" s="293">
        <f>IFERROR(Tabela_Base_Financeiro[[#This Row],[Unit Price]],0)</f>
        <v>0</v>
      </c>
      <c r="L800" s="36">
        <f>IFERROR(Tabela_Base_Financeiro[[#This Row],[AC Qty,]],0)</f>
        <v>0</v>
      </c>
      <c r="M800" s="60">
        <f>Tabela6[[#This Row],[Qty]]*Tabela6[[#This Row],[Preço]]</f>
        <v>0</v>
      </c>
      <c r="N800" s="37">
        <f>IFERROR(Tabela_Base_Financeiro[[#This Row],[Proportion]],0)</f>
        <v>0</v>
      </c>
      <c r="O800" s="60">
        <f>Tabela6[[#This Row],[Proporção]]*Tabela6[[#This Row],[Total]]</f>
        <v>0</v>
      </c>
      <c r="P800"/>
      <c r="Q800" s="59"/>
      <c r="R800" s="1"/>
    </row>
    <row r="801" spans="1:18">
      <c r="A801" s="122" t="e">
        <f>IF(VLOOKUP(Tabela6[[#This Row],[UF]],'BASE CC'!B:C,2,0)="SP",IF(Tabela6[[#This Row],[OPERADORA]]="TIM","SP TIM","SPI"),VLOOKUP(Tabela6[[#This Row],[UF]],'BASE CC'!B:C,2,0))</f>
        <v>#N/A</v>
      </c>
      <c r="B801" s="36" t="e">
        <f>VLOOKUP(Tabela_Base_Financeiro[[#This Row],[Item code]],'COD.FAT'!B:C,2,0)</f>
        <v>#N/A</v>
      </c>
      <c r="C801" s="292">
        <f>Tabela_Base_Financeiro[[#This Row],[PO Ship TO]]</f>
        <v>0</v>
      </c>
      <c r="D801" s="36" t="str">
        <f>RIGHT(Tabela_Base_Financeiro[[#This Row],[Manufacturer]],2)</f>
        <v/>
      </c>
      <c r="E80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01" s="122" t="e">
        <f>VLOOKUP(Tabela_Base_Financeiro[[#This Row],[Project Code]],'COD. PROJETOS'!B:D,3,0)</f>
        <v>#N/A</v>
      </c>
      <c r="G801" s="36">
        <f>IFERROR(Tabela_Base_Financeiro[[#This Row],[PO No,]],0)</f>
        <v>0</v>
      </c>
      <c r="H801" s="36">
        <f>IFERROR(Tabela_Base_Financeiro[[#This Row],[Line No,]],0)</f>
        <v>0</v>
      </c>
      <c r="I801" s="36" t="str">
        <f>IFERROR(MID(Tabela_Base_Financeiro[[#This Row],[Manufacturer]],19,14),"")</f>
        <v/>
      </c>
      <c r="J801" s="113">
        <f>IFERROR(Tabela_Base_Financeiro[[#This Row],[Item code]],0)</f>
        <v>0</v>
      </c>
      <c r="K801" s="293">
        <f>IFERROR(Tabela_Base_Financeiro[[#This Row],[Unit Price]],0)</f>
        <v>0</v>
      </c>
      <c r="L801" s="36">
        <f>IFERROR(Tabela_Base_Financeiro[[#This Row],[AC Qty,]],0)</f>
        <v>0</v>
      </c>
      <c r="M801" s="60">
        <f>Tabela6[[#This Row],[Qty]]*Tabela6[[#This Row],[Preço]]</f>
        <v>0</v>
      </c>
      <c r="N801" s="37">
        <f>IFERROR(Tabela_Base_Financeiro[[#This Row],[Proportion]],0)</f>
        <v>0</v>
      </c>
      <c r="O801" s="60">
        <f>Tabela6[[#This Row],[Proporção]]*Tabela6[[#This Row],[Total]]</f>
        <v>0</v>
      </c>
      <c r="P801"/>
      <c r="Q801" s="59"/>
      <c r="R801" s="1"/>
    </row>
    <row r="802" spans="1:18">
      <c r="A802" s="122" t="e">
        <f>IF(VLOOKUP(Tabela6[[#This Row],[UF]],'BASE CC'!B:C,2,0)="SP",IF(Tabela6[[#This Row],[OPERADORA]]="TIM","SP TIM","SPI"),VLOOKUP(Tabela6[[#This Row],[UF]],'BASE CC'!B:C,2,0))</f>
        <v>#N/A</v>
      </c>
      <c r="B802" s="36" t="e">
        <f>VLOOKUP(Tabela_Base_Financeiro[[#This Row],[Item code]],'COD.FAT'!B:C,2,0)</f>
        <v>#N/A</v>
      </c>
      <c r="C802" s="292">
        <f>Tabela_Base_Financeiro[[#This Row],[PO Ship TO]]</f>
        <v>0</v>
      </c>
      <c r="D802" s="36" t="str">
        <f>RIGHT(Tabela_Base_Financeiro[[#This Row],[Manufacturer]],2)</f>
        <v/>
      </c>
      <c r="E80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02" s="122" t="e">
        <f>VLOOKUP(Tabela_Base_Financeiro[[#This Row],[Project Code]],'COD. PROJETOS'!B:D,3,0)</f>
        <v>#N/A</v>
      </c>
      <c r="G802" s="36">
        <f>IFERROR(Tabela_Base_Financeiro[[#This Row],[PO No,]],0)</f>
        <v>0</v>
      </c>
      <c r="H802" s="36">
        <f>IFERROR(Tabela_Base_Financeiro[[#This Row],[Line No,]],0)</f>
        <v>0</v>
      </c>
      <c r="I802" s="36" t="str">
        <f>IFERROR(MID(Tabela_Base_Financeiro[[#This Row],[Manufacturer]],19,14),"")</f>
        <v/>
      </c>
      <c r="J802" s="113">
        <f>IFERROR(Tabela_Base_Financeiro[[#This Row],[Item code]],0)</f>
        <v>0</v>
      </c>
      <c r="K802" s="293">
        <f>IFERROR(Tabela_Base_Financeiro[[#This Row],[Unit Price]],0)</f>
        <v>0</v>
      </c>
      <c r="L802" s="36">
        <f>IFERROR(Tabela_Base_Financeiro[[#This Row],[AC Qty,]],0)</f>
        <v>0</v>
      </c>
      <c r="M802" s="60">
        <f>Tabela6[[#This Row],[Qty]]*Tabela6[[#This Row],[Preço]]</f>
        <v>0</v>
      </c>
      <c r="N802" s="37">
        <f>IFERROR(Tabela_Base_Financeiro[[#This Row],[Proportion]],0)</f>
        <v>0</v>
      </c>
      <c r="O802" s="60">
        <f>Tabela6[[#This Row],[Proporção]]*Tabela6[[#This Row],[Total]]</f>
        <v>0</v>
      </c>
      <c r="P802"/>
      <c r="Q802" s="59"/>
      <c r="R802" s="1"/>
    </row>
    <row r="803" spans="1:18">
      <c r="A803" s="122" t="e">
        <f>IF(VLOOKUP(Tabela6[[#This Row],[UF]],'BASE CC'!B:C,2,0)="SP",IF(Tabela6[[#This Row],[OPERADORA]]="TIM","SP TIM","SPI"),VLOOKUP(Tabela6[[#This Row],[UF]],'BASE CC'!B:C,2,0))</f>
        <v>#N/A</v>
      </c>
      <c r="B803" s="36" t="e">
        <f>VLOOKUP(Tabela_Base_Financeiro[[#This Row],[Item code]],'COD.FAT'!B:C,2,0)</f>
        <v>#N/A</v>
      </c>
      <c r="C803" s="292">
        <f>Tabela_Base_Financeiro[[#This Row],[PO Ship TO]]</f>
        <v>0</v>
      </c>
      <c r="D803" s="36" t="str">
        <f>RIGHT(Tabela_Base_Financeiro[[#This Row],[Manufacturer]],2)</f>
        <v/>
      </c>
      <c r="E80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03" s="122" t="e">
        <f>VLOOKUP(Tabela_Base_Financeiro[[#This Row],[Project Code]],'COD. PROJETOS'!B:D,3,0)</f>
        <v>#N/A</v>
      </c>
      <c r="G803" s="36">
        <f>IFERROR(Tabela_Base_Financeiro[[#This Row],[PO No,]],0)</f>
        <v>0</v>
      </c>
      <c r="H803" s="36">
        <f>IFERROR(Tabela_Base_Financeiro[[#This Row],[Line No,]],0)</f>
        <v>0</v>
      </c>
      <c r="I803" s="36" t="str">
        <f>IFERROR(MID(Tabela_Base_Financeiro[[#This Row],[Manufacturer]],19,14),"")</f>
        <v/>
      </c>
      <c r="J803" s="113">
        <f>IFERROR(Tabela_Base_Financeiro[[#This Row],[Item code]],0)</f>
        <v>0</v>
      </c>
      <c r="K803" s="293">
        <f>IFERROR(Tabela_Base_Financeiro[[#This Row],[Unit Price]],0)</f>
        <v>0</v>
      </c>
      <c r="L803" s="36">
        <f>IFERROR(Tabela_Base_Financeiro[[#This Row],[AC Qty,]],0)</f>
        <v>0</v>
      </c>
      <c r="M803" s="60">
        <f>Tabela6[[#This Row],[Qty]]*Tabela6[[#This Row],[Preço]]</f>
        <v>0</v>
      </c>
      <c r="N803" s="37">
        <f>IFERROR(Tabela_Base_Financeiro[[#This Row],[Proportion]],0)</f>
        <v>0</v>
      </c>
      <c r="O803" s="60">
        <f>Tabela6[[#This Row],[Proporção]]*Tabela6[[#This Row],[Total]]</f>
        <v>0</v>
      </c>
      <c r="P803"/>
      <c r="Q803" s="59"/>
      <c r="R803" s="1"/>
    </row>
    <row r="804" spans="1:18">
      <c r="A804" s="122" t="e">
        <f>IF(VLOOKUP(Tabela6[[#This Row],[UF]],'BASE CC'!B:C,2,0)="SP",IF(Tabela6[[#This Row],[OPERADORA]]="TIM","SP TIM","SPI"),VLOOKUP(Tabela6[[#This Row],[UF]],'BASE CC'!B:C,2,0))</f>
        <v>#N/A</v>
      </c>
      <c r="B804" s="36" t="e">
        <f>VLOOKUP(Tabela_Base_Financeiro[[#This Row],[Item code]],'COD.FAT'!B:C,2,0)</f>
        <v>#N/A</v>
      </c>
      <c r="C804" s="292">
        <f>Tabela_Base_Financeiro[[#This Row],[PO Ship TO]]</f>
        <v>0</v>
      </c>
      <c r="D804" s="36" t="str">
        <f>RIGHT(Tabela_Base_Financeiro[[#This Row],[Manufacturer]],2)</f>
        <v/>
      </c>
      <c r="E80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04" s="122" t="e">
        <f>VLOOKUP(Tabela_Base_Financeiro[[#This Row],[Project Code]],'COD. PROJETOS'!B:D,3,0)</f>
        <v>#N/A</v>
      </c>
      <c r="G804" s="36">
        <f>IFERROR(Tabela_Base_Financeiro[[#This Row],[PO No,]],0)</f>
        <v>0</v>
      </c>
      <c r="H804" s="36">
        <f>IFERROR(Tabela_Base_Financeiro[[#This Row],[Line No,]],0)</f>
        <v>0</v>
      </c>
      <c r="I804" s="36" t="str">
        <f>IFERROR(MID(Tabela_Base_Financeiro[[#This Row],[Manufacturer]],19,14),"")</f>
        <v/>
      </c>
      <c r="J804" s="113">
        <f>IFERROR(Tabela_Base_Financeiro[[#This Row],[Item code]],0)</f>
        <v>0</v>
      </c>
      <c r="K804" s="293">
        <f>IFERROR(Tabela_Base_Financeiro[[#This Row],[Unit Price]],0)</f>
        <v>0</v>
      </c>
      <c r="L804" s="36">
        <f>IFERROR(Tabela_Base_Financeiro[[#This Row],[AC Qty,]],0)</f>
        <v>0</v>
      </c>
      <c r="M804" s="60">
        <f>Tabela6[[#This Row],[Qty]]*Tabela6[[#This Row],[Preço]]</f>
        <v>0</v>
      </c>
      <c r="N804" s="37">
        <f>IFERROR(Tabela_Base_Financeiro[[#This Row],[Proportion]],0)</f>
        <v>0</v>
      </c>
      <c r="O804" s="60">
        <f>Tabela6[[#This Row],[Proporção]]*Tabela6[[#This Row],[Total]]</f>
        <v>0</v>
      </c>
      <c r="P804"/>
      <c r="Q804" s="59"/>
      <c r="R804" s="1"/>
    </row>
    <row r="805" spans="1:18">
      <c r="A805" s="122" t="e">
        <f>IF(VLOOKUP(Tabela6[[#This Row],[UF]],'BASE CC'!B:C,2,0)="SP",IF(Tabela6[[#This Row],[OPERADORA]]="TIM","SP TIM","SPI"),VLOOKUP(Tabela6[[#This Row],[UF]],'BASE CC'!B:C,2,0))</f>
        <v>#N/A</v>
      </c>
      <c r="B805" s="36" t="e">
        <f>VLOOKUP(Tabela_Base_Financeiro[[#This Row],[Item code]],'COD.FAT'!B:C,2,0)</f>
        <v>#N/A</v>
      </c>
      <c r="C805" s="292">
        <f>Tabela_Base_Financeiro[[#This Row],[PO Ship TO]]</f>
        <v>0</v>
      </c>
      <c r="D805" s="36" t="str">
        <f>RIGHT(Tabela_Base_Financeiro[[#This Row],[Manufacturer]],2)</f>
        <v/>
      </c>
      <c r="E80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05" s="122" t="e">
        <f>VLOOKUP(Tabela_Base_Financeiro[[#This Row],[Project Code]],'COD. PROJETOS'!B:D,3,0)</f>
        <v>#N/A</v>
      </c>
      <c r="G805" s="36">
        <f>IFERROR(Tabela_Base_Financeiro[[#This Row],[PO No,]],0)</f>
        <v>0</v>
      </c>
      <c r="H805" s="36">
        <f>IFERROR(Tabela_Base_Financeiro[[#This Row],[Line No,]],0)</f>
        <v>0</v>
      </c>
      <c r="I805" s="36" t="str">
        <f>IFERROR(MID(Tabela_Base_Financeiro[[#This Row],[Manufacturer]],19,14),"")</f>
        <v/>
      </c>
      <c r="J805" s="113">
        <f>IFERROR(Tabela_Base_Financeiro[[#This Row],[Item code]],0)</f>
        <v>0</v>
      </c>
      <c r="K805" s="293">
        <f>IFERROR(Tabela_Base_Financeiro[[#This Row],[Unit Price]],0)</f>
        <v>0</v>
      </c>
      <c r="L805" s="36">
        <f>IFERROR(Tabela_Base_Financeiro[[#This Row],[AC Qty,]],0)</f>
        <v>0</v>
      </c>
      <c r="M805" s="60">
        <f>Tabela6[[#This Row],[Qty]]*Tabela6[[#This Row],[Preço]]</f>
        <v>0</v>
      </c>
      <c r="N805" s="37">
        <f>IFERROR(Tabela_Base_Financeiro[[#This Row],[Proportion]],0)</f>
        <v>0</v>
      </c>
      <c r="O805" s="60">
        <f>Tabela6[[#This Row],[Proporção]]*Tabela6[[#This Row],[Total]]</f>
        <v>0</v>
      </c>
      <c r="P805"/>
      <c r="Q805" s="59"/>
      <c r="R805" s="1"/>
    </row>
    <row r="806" spans="1:18">
      <c r="A806" s="122" t="e">
        <f>IF(VLOOKUP(Tabela6[[#This Row],[UF]],'BASE CC'!B:C,2,0)="SP",IF(Tabela6[[#This Row],[OPERADORA]]="TIM","SP TIM","SPI"),VLOOKUP(Tabela6[[#This Row],[UF]],'BASE CC'!B:C,2,0))</f>
        <v>#N/A</v>
      </c>
      <c r="B806" s="36" t="e">
        <f>VLOOKUP(Tabela_Base_Financeiro[[#This Row],[Item code]],'COD.FAT'!B:C,2,0)</f>
        <v>#N/A</v>
      </c>
      <c r="C806" s="292">
        <f>Tabela_Base_Financeiro[[#This Row],[PO Ship TO]]</f>
        <v>0</v>
      </c>
      <c r="D806" s="36" t="str">
        <f>RIGHT(Tabela_Base_Financeiro[[#This Row],[Manufacturer]],2)</f>
        <v/>
      </c>
      <c r="E80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06" s="122" t="e">
        <f>VLOOKUP(Tabela_Base_Financeiro[[#This Row],[Project Code]],'COD. PROJETOS'!B:D,3,0)</f>
        <v>#N/A</v>
      </c>
      <c r="G806" s="36">
        <f>IFERROR(Tabela_Base_Financeiro[[#This Row],[PO No,]],0)</f>
        <v>0</v>
      </c>
      <c r="H806" s="36">
        <f>IFERROR(Tabela_Base_Financeiro[[#This Row],[Line No,]],0)</f>
        <v>0</v>
      </c>
      <c r="I806" s="36" t="str">
        <f>IFERROR(MID(Tabela_Base_Financeiro[[#This Row],[Manufacturer]],19,14),"")</f>
        <v/>
      </c>
      <c r="J806" s="113">
        <f>IFERROR(Tabela_Base_Financeiro[[#This Row],[Item code]],0)</f>
        <v>0</v>
      </c>
      <c r="K806" s="293">
        <f>IFERROR(Tabela_Base_Financeiro[[#This Row],[Unit Price]],0)</f>
        <v>0</v>
      </c>
      <c r="L806" s="36">
        <f>IFERROR(Tabela_Base_Financeiro[[#This Row],[AC Qty,]],0)</f>
        <v>0</v>
      </c>
      <c r="M806" s="60">
        <f>Tabela6[[#This Row],[Qty]]*Tabela6[[#This Row],[Preço]]</f>
        <v>0</v>
      </c>
      <c r="N806" s="37">
        <f>IFERROR(Tabela_Base_Financeiro[[#This Row],[Proportion]],0)</f>
        <v>0</v>
      </c>
      <c r="O806" s="60">
        <f>Tabela6[[#This Row],[Proporção]]*Tabela6[[#This Row],[Total]]</f>
        <v>0</v>
      </c>
      <c r="P806"/>
      <c r="Q806" s="59"/>
      <c r="R806" s="1"/>
    </row>
    <row r="807" spans="1:18">
      <c r="A807" s="122" t="e">
        <f>IF(VLOOKUP(Tabela6[[#This Row],[UF]],'BASE CC'!B:C,2,0)="SP",IF(Tabela6[[#This Row],[OPERADORA]]="TIM","SP TIM","SPI"),VLOOKUP(Tabela6[[#This Row],[UF]],'BASE CC'!B:C,2,0))</f>
        <v>#N/A</v>
      </c>
      <c r="B807" s="36" t="e">
        <f>VLOOKUP(Tabela_Base_Financeiro[[#This Row],[Item code]],'COD.FAT'!B:C,2,0)</f>
        <v>#N/A</v>
      </c>
      <c r="C807" s="292">
        <f>Tabela_Base_Financeiro[[#This Row],[PO Ship TO]]</f>
        <v>0</v>
      </c>
      <c r="D807" s="36" t="str">
        <f>RIGHT(Tabela_Base_Financeiro[[#This Row],[Manufacturer]],2)</f>
        <v/>
      </c>
      <c r="E80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07" s="122" t="e">
        <f>VLOOKUP(Tabela_Base_Financeiro[[#This Row],[Project Code]],'COD. PROJETOS'!B:D,3,0)</f>
        <v>#N/A</v>
      </c>
      <c r="G807" s="36">
        <f>IFERROR(Tabela_Base_Financeiro[[#This Row],[PO No,]],0)</f>
        <v>0</v>
      </c>
      <c r="H807" s="36">
        <f>IFERROR(Tabela_Base_Financeiro[[#This Row],[Line No,]],0)</f>
        <v>0</v>
      </c>
      <c r="I807" s="36" t="str">
        <f>IFERROR(MID(Tabela_Base_Financeiro[[#This Row],[Manufacturer]],19,14),"")</f>
        <v/>
      </c>
      <c r="J807" s="113">
        <f>IFERROR(Tabela_Base_Financeiro[[#This Row],[Item code]],0)</f>
        <v>0</v>
      </c>
      <c r="K807" s="293">
        <f>IFERROR(Tabela_Base_Financeiro[[#This Row],[Unit Price]],0)</f>
        <v>0</v>
      </c>
      <c r="L807" s="36">
        <f>IFERROR(Tabela_Base_Financeiro[[#This Row],[AC Qty,]],0)</f>
        <v>0</v>
      </c>
      <c r="M807" s="60">
        <f>Tabela6[[#This Row],[Qty]]*Tabela6[[#This Row],[Preço]]</f>
        <v>0</v>
      </c>
      <c r="N807" s="37">
        <f>IFERROR(Tabela_Base_Financeiro[[#This Row],[Proportion]],0)</f>
        <v>0</v>
      </c>
      <c r="O807" s="60">
        <f>Tabela6[[#This Row],[Proporção]]*Tabela6[[#This Row],[Total]]</f>
        <v>0</v>
      </c>
      <c r="P807"/>
      <c r="Q807" s="59"/>
      <c r="R807" s="1"/>
    </row>
    <row r="808" spans="1:18">
      <c r="A808" s="122" t="e">
        <f>IF(VLOOKUP(Tabela6[[#This Row],[UF]],'BASE CC'!B:C,2,0)="SP",IF(Tabela6[[#This Row],[OPERADORA]]="TIM","SP TIM","SPI"),VLOOKUP(Tabela6[[#This Row],[UF]],'BASE CC'!B:C,2,0))</f>
        <v>#N/A</v>
      </c>
      <c r="B808" s="36" t="e">
        <f>VLOOKUP(Tabela_Base_Financeiro[[#This Row],[Item code]],'COD.FAT'!B:C,2,0)</f>
        <v>#N/A</v>
      </c>
      <c r="C808" s="292">
        <f>Tabela_Base_Financeiro[[#This Row],[PO Ship TO]]</f>
        <v>0</v>
      </c>
      <c r="D808" s="36" t="str">
        <f>RIGHT(Tabela_Base_Financeiro[[#This Row],[Manufacturer]],2)</f>
        <v/>
      </c>
      <c r="E80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08" s="122" t="e">
        <f>VLOOKUP(Tabela_Base_Financeiro[[#This Row],[Project Code]],'COD. PROJETOS'!B:D,3,0)</f>
        <v>#N/A</v>
      </c>
      <c r="G808" s="36">
        <f>IFERROR(Tabela_Base_Financeiro[[#This Row],[PO No,]],0)</f>
        <v>0</v>
      </c>
      <c r="H808" s="36">
        <f>IFERROR(Tabela_Base_Financeiro[[#This Row],[Line No,]],0)</f>
        <v>0</v>
      </c>
      <c r="I808" s="36" t="str">
        <f>IFERROR(MID(Tabela_Base_Financeiro[[#This Row],[Manufacturer]],19,14),"")</f>
        <v/>
      </c>
      <c r="J808" s="113">
        <f>IFERROR(Tabela_Base_Financeiro[[#This Row],[Item code]],0)</f>
        <v>0</v>
      </c>
      <c r="K808" s="293">
        <f>IFERROR(Tabela_Base_Financeiro[[#This Row],[Unit Price]],0)</f>
        <v>0</v>
      </c>
      <c r="L808" s="36">
        <f>IFERROR(Tabela_Base_Financeiro[[#This Row],[AC Qty,]],0)</f>
        <v>0</v>
      </c>
      <c r="M808" s="60">
        <f>Tabela6[[#This Row],[Qty]]*Tabela6[[#This Row],[Preço]]</f>
        <v>0</v>
      </c>
      <c r="N808" s="37">
        <f>IFERROR(Tabela_Base_Financeiro[[#This Row],[Proportion]],0)</f>
        <v>0</v>
      </c>
      <c r="O808" s="60">
        <f>Tabela6[[#This Row],[Proporção]]*Tabela6[[#This Row],[Total]]</f>
        <v>0</v>
      </c>
      <c r="P808"/>
      <c r="Q808" s="59"/>
      <c r="R808" s="1"/>
    </row>
    <row r="809" spans="1:18">
      <c r="A809" s="122" t="e">
        <f>IF(VLOOKUP(Tabela6[[#This Row],[UF]],'BASE CC'!B:C,2,0)="SP",IF(Tabela6[[#This Row],[OPERADORA]]="TIM","SP TIM","SPI"),VLOOKUP(Tabela6[[#This Row],[UF]],'BASE CC'!B:C,2,0))</f>
        <v>#N/A</v>
      </c>
      <c r="B809" s="36" t="e">
        <f>VLOOKUP(Tabela_Base_Financeiro[[#This Row],[Item code]],'COD.FAT'!B:C,2,0)</f>
        <v>#N/A</v>
      </c>
      <c r="C809" s="292">
        <f>Tabela_Base_Financeiro[[#This Row],[PO Ship TO]]</f>
        <v>0</v>
      </c>
      <c r="D809" s="36" t="str">
        <f>RIGHT(Tabela_Base_Financeiro[[#This Row],[Manufacturer]],2)</f>
        <v/>
      </c>
      <c r="E80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09" s="122" t="e">
        <f>VLOOKUP(Tabela_Base_Financeiro[[#This Row],[Project Code]],'COD. PROJETOS'!B:D,3,0)</f>
        <v>#N/A</v>
      </c>
      <c r="G809" s="36">
        <f>IFERROR(Tabela_Base_Financeiro[[#This Row],[PO No,]],0)</f>
        <v>0</v>
      </c>
      <c r="H809" s="36">
        <f>IFERROR(Tabela_Base_Financeiro[[#This Row],[Line No,]],0)</f>
        <v>0</v>
      </c>
      <c r="I809" s="36" t="str">
        <f>IFERROR(MID(Tabela_Base_Financeiro[[#This Row],[Manufacturer]],19,14),"")</f>
        <v/>
      </c>
      <c r="J809" s="113">
        <f>IFERROR(Tabela_Base_Financeiro[[#This Row],[Item code]],0)</f>
        <v>0</v>
      </c>
      <c r="K809" s="293">
        <f>IFERROR(Tabela_Base_Financeiro[[#This Row],[Unit Price]],0)</f>
        <v>0</v>
      </c>
      <c r="L809" s="36">
        <f>IFERROR(Tabela_Base_Financeiro[[#This Row],[AC Qty,]],0)</f>
        <v>0</v>
      </c>
      <c r="M809" s="60">
        <f>Tabela6[[#This Row],[Qty]]*Tabela6[[#This Row],[Preço]]</f>
        <v>0</v>
      </c>
      <c r="N809" s="37">
        <f>IFERROR(Tabela_Base_Financeiro[[#This Row],[Proportion]],0)</f>
        <v>0</v>
      </c>
      <c r="O809" s="60">
        <f>Tabela6[[#This Row],[Proporção]]*Tabela6[[#This Row],[Total]]</f>
        <v>0</v>
      </c>
      <c r="P809"/>
      <c r="Q809" s="59"/>
      <c r="R809" s="1"/>
    </row>
    <row r="810" spans="1:18">
      <c r="A810" s="122" t="e">
        <f>IF(VLOOKUP(Tabela6[[#This Row],[UF]],'BASE CC'!B:C,2,0)="SP",IF(Tabela6[[#This Row],[OPERADORA]]="TIM","SP TIM","SPI"),VLOOKUP(Tabela6[[#This Row],[UF]],'BASE CC'!B:C,2,0))</f>
        <v>#N/A</v>
      </c>
      <c r="B810" s="36" t="e">
        <f>VLOOKUP(Tabela_Base_Financeiro[[#This Row],[Item code]],'COD.FAT'!B:C,2,0)</f>
        <v>#N/A</v>
      </c>
      <c r="C810" s="292">
        <f>Tabela_Base_Financeiro[[#This Row],[PO Ship TO]]</f>
        <v>0</v>
      </c>
      <c r="D810" s="36" t="str">
        <f>RIGHT(Tabela_Base_Financeiro[[#This Row],[Manufacturer]],2)</f>
        <v/>
      </c>
      <c r="E81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10" s="122" t="e">
        <f>VLOOKUP(Tabela_Base_Financeiro[[#This Row],[Project Code]],'COD. PROJETOS'!B:D,3,0)</f>
        <v>#N/A</v>
      </c>
      <c r="G810" s="36">
        <f>IFERROR(Tabela_Base_Financeiro[[#This Row],[PO No,]],0)</f>
        <v>0</v>
      </c>
      <c r="H810" s="36">
        <f>IFERROR(Tabela_Base_Financeiro[[#This Row],[Line No,]],0)</f>
        <v>0</v>
      </c>
      <c r="I810" s="36" t="str">
        <f>IFERROR(MID(Tabela_Base_Financeiro[[#This Row],[Manufacturer]],19,14),"")</f>
        <v/>
      </c>
      <c r="J810" s="113">
        <f>IFERROR(Tabela_Base_Financeiro[[#This Row],[Item code]],0)</f>
        <v>0</v>
      </c>
      <c r="K810" s="293">
        <f>IFERROR(Tabela_Base_Financeiro[[#This Row],[Unit Price]],0)</f>
        <v>0</v>
      </c>
      <c r="L810" s="36">
        <f>IFERROR(Tabela_Base_Financeiro[[#This Row],[AC Qty,]],0)</f>
        <v>0</v>
      </c>
      <c r="M810" s="60">
        <f>Tabela6[[#This Row],[Qty]]*Tabela6[[#This Row],[Preço]]</f>
        <v>0</v>
      </c>
      <c r="N810" s="37">
        <f>IFERROR(Tabela_Base_Financeiro[[#This Row],[Proportion]],0)</f>
        <v>0</v>
      </c>
      <c r="O810" s="60">
        <f>Tabela6[[#This Row],[Proporção]]*Tabela6[[#This Row],[Total]]</f>
        <v>0</v>
      </c>
      <c r="P810"/>
      <c r="Q810" s="59"/>
      <c r="R810" s="1"/>
    </row>
    <row r="811" spans="1:18">
      <c r="A811" s="122" t="e">
        <f>IF(VLOOKUP(Tabela6[[#This Row],[UF]],'BASE CC'!B:C,2,0)="SP",IF(Tabela6[[#This Row],[OPERADORA]]="TIM","SP TIM","SPI"),VLOOKUP(Tabela6[[#This Row],[UF]],'BASE CC'!B:C,2,0))</f>
        <v>#N/A</v>
      </c>
      <c r="B811" s="36" t="e">
        <f>VLOOKUP(Tabela_Base_Financeiro[[#This Row],[Item code]],'COD.FAT'!B:C,2,0)</f>
        <v>#N/A</v>
      </c>
      <c r="C811" s="292">
        <f>Tabela_Base_Financeiro[[#This Row],[PO Ship TO]]</f>
        <v>0</v>
      </c>
      <c r="D811" s="36" t="str">
        <f>RIGHT(Tabela_Base_Financeiro[[#This Row],[Manufacturer]],2)</f>
        <v/>
      </c>
      <c r="E81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11" s="122" t="e">
        <f>VLOOKUP(Tabela_Base_Financeiro[[#This Row],[Project Code]],'COD. PROJETOS'!B:D,3,0)</f>
        <v>#N/A</v>
      </c>
      <c r="G811" s="36">
        <f>IFERROR(Tabela_Base_Financeiro[[#This Row],[PO No,]],0)</f>
        <v>0</v>
      </c>
      <c r="H811" s="36">
        <f>IFERROR(Tabela_Base_Financeiro[[#This Row],[Line No,]],0)</f>
        <v>0</v>
      </c>
      <c r="I811" s="36" t="str">
        <f>IFERROR(MID(Tabela_Base_Financeiro[[#This Row],[Manufacturer]],19,14),"")</f>
        <v/>
      </c>
      <c r="J811" s="113">
        <f>IFERROR(Tabela_Base_Financeiro[[#This Row],[Item code]],0)</f>
        <v>0</v>
      </c>
      <c r="K811" s="293">
        <f>IFERROR(Tabela_Base_Financeiro[[#This Row],[Unit Price]],0)</f>
        <v>0</v>
      </c>
      <c r="L811" s="36">
        <f>IFERROR(Tabela_Base_Financeiro[[#This Row],[AC Qty,]],0)</f>
        <v>0</v>
      </c>
      <c r="M811" s="60">
        <f>Tabela6[[#This Row],[Qty]]*Tabela6[[#This Row],[Preço]]</f>
        <v>0</v>
      </c>
      <c r="N811" s="37">
        <f>IFERROR(Tabela_Base_Financeiro[[#This Row],[Proportion]],0)</f>
        <v>0</v>
      </c>
      <c r="O811" s="60">
        <f>Tabela6[[#This Row],[Proporção]]*Tabela6[[#This Row],[Total]]</f>
        <v>0</v>
      </c>
      <c r="P811"/>
      <c r="Q811" s="59"/>
      <c r="R811" s="1"/>
    </row>
    <row r="812" spans="1:18">
      <c r="A812" s="122" t="e">
        <f>IF(VLOOKUP(Tabela6[[#This Row],[UF]],'BASE CC'!B:C,2,0)="SP",IF(Tabela6[[#This Row],[OPERADORA]]="TIM","SP TIM","SPI"),VLOOKUP(Tabela6[[#This Row],[UF]],'BASE CC'!B:C,2,0))</f>
        <v>#N/A</v>
      </c>
      <c r="B812" s="36" t="e">
        <f>VLOOKUP(Tabela_Base_Financeiro[[#This Row],[Item code]],'COD.FAT'!B:C,2,0)</f>
        <v>#N/A</v>
      </c>
      <c r="C812" s="292">
        <f>Tabela_Base_Financeiro[[#This Row],[PO Ship TO]]</f>
        <v>0</v>
      </c>
      <c r="D812" s="36" t="str">
        <f>RIGHT(Tabela_Base_Financeiro[[#This Row],[Manufacturer]],2)</f>
        <v/>
      </c>
      <c r="E81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12" s="122" t="e">
        <f>VLOOKUP(Tabela_Base_Financeiro[[#This Row],[Project Code]],'COD. PROJETOS'!B:D,3,0)</f>
        <v>#N/A</v>
      </c>
      <c r="G812" s="36">
        <f>IFERROR(Tabela_Base_Financeiro[[#This Row],[PO No,]],0)</f>
        <v>0</v>
      </c>
      <c r="H812" s="36">
        <f>IFERROR(Tabela_Base_Financeiro[[#This Row],[Line No,]],0)</f>
        <v>0</v>
      </c>
      <c r="I812" s="36" t="str">
        <f>IFERROR(MID(Tabela_Base_Financeiro[[#This Row],[Manufacturer]],19,14),"")</f>
        <v/>
      </c>
      <c r="J812" s="113">
        <f>IFERROR(Tabela_Base_Financeiro[[#This Row],[Item code]],0)</f>
        <v>0</v>
      </c>
      <c r="K812" s="293">
        <f>IFERROR(Tabela_Base_Financeiro[[#This Row],[Unit Price]],0)</f>
        <v>0</v>
      </c>
      <c r="L812" s="36">
        <f>IFERROR(Tabela_Base_Financeiro[[#This Row],[AC Qty,]],0)</f>
        <v>0</v>
      </c>
      <c r="M812" s="60">
        <f>Tabela6[[#This Row],[Qty]]*Tabela6[[#This Row],[Preço]]</f>
        <v>0</v>
      </c>
      <c r="N812" s="37">
        <f>IFERROR(Tabela_Base_Financeiro[[#This Row],[Proportion]],0)</f>
        <v>0</v>
      </c>
      <c r="O812" s="60">
        <f>Tabela6[[#This Row],[Proporção]]*Tabela6[[#This Row],[Total]]</f>
        <v>0</v>
      </c>
      <c r="P812"/>
      <c r="Q812" s="59"/>
      <c r="R812" s="1"/>
    </row>
    <row r="813" spans="1:18">
      <c r="A813" s="122" t="e">
        <f>IF(VLOOKUP(Tabela6[[#This Row],[UF]],'BASE CC'!B:C,2,0)="SP",IF(Tabela6[[#This Row],[OPERADORA]]="TIM","SP TIM","SPI"),VLOOKUP(Tabela6[[#This Row],[UF]],'BASE CC'!B:C,2,0))</f>
        <v>#N/A</v>
      </c>
      <c r="B813" s="36" t="e">
        <f>VLOOKUP(Tabela_Base_Financeiro[[#This Row],[Item code]],'COD.FAT'!B:C,2,0)</f>
        <v>#N/A</v>
      </c>
      <c r="C813" s="292">
        <f>Tabela_Base_Financeiro[[#This Row],[PO Ship TO]]</f>
        <v>0</v>
      </c>
      <c r="D813" s="36" t="str">
        <f>RIGHT(Tabela_Base_Financeiro[[#This Row],[Manufacturer]],2)</f>
        <v/>
      </c>
      <c r="E81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13" s="122" t="e">
        <f>VLOOKUP(Tabela_Base_Financeiro[[#This Row],[Project Code]],'COD. PROJETOS'!B:D,3,0)</f>
        <v>#N/A</v>
      </c>
      <c r="G813" s="36">
        <f>IFERROR(Tabela_Base_Financeiro[[#This Row],[PO No,]],0)</f>
        <v>0</v>
      </c>
      <c r="H813" s="36">
        <f>IFERROR(Tabela_Base_Financeiro[[#This Row],[Line No,]],0)</f>
        <v>0</v>
      </c>
      <c r="I813" s="36" t="str">
        <f>IFERROR(MID(Tabela_Base_Financeiro[[#This Row],[Manufacturer]],19,14),"")</f>
        <v/>
      </c>
      <c r="J813" s="113">
        <f>IFERROR(Tabela_Base_Financeiro[[#This Row],[Item code]],0)</f>
        <v>0</v>
      </c>
      <c r="K813" s="293">
        <f>IFERROR(Tabela_Base_Financeiro[[#This Row],[Unit Price]],0)</f>
        <v>0</v>
      </c>
      <c r="L813" s="36">
        <f>IFERROR(Tabela_Base_Financeiro[[#This Row],[AC Qty,]],0)</f>
        <v>0</v>
      </c>
      <c r="M813" s="60">
        <f>Tabela6[[#This Row],[Qty]]*Tabela6[[#This Row],[Preço]]</f>
        <v>0</v>
      </c>
      <c r="N813" s="37">
        <f>IFERROR(Tabela_Base_Financeiro[[#This Row],[Proportion]],0)</f>
        <v>0</v>
      </c>
      <c r="O813" s="60">
        <f>Tabela6[[#This Row],[Proporção]]*Tabela6[[#This Row],[Total]]</f>
        <v>0</v>
      </c>
      <c r="P813"/>
      <c r="Q813" s="59"/>
      <c r="R813" s="1"/>
    </row>
    <row r="814" spans="1:18">
      <c r="A814" s="122" t="e">
        <f>IF(VLOOKUP(Tabela6[[#This Row],[UF]],'BASE CC'!B:C,2,0)="SP",IF(Tabela6[[#This Row],[OPERADORA]]="TIM","SP TIM","SPI"),VLOOKUP(Tabela6[[#This Row],[UF]],'BASE CC'!B:C,2,0))</f>
        <v>#N/A</v>
      </c>
      <c r="B814" s="36" t="e">
        <f>VLOOKUP(Tabela_Base_Financeiro[[#This Row],[Item code]],'COD.FAT'!B:C,2,0)</f>
        <v>#N/A</v>
      </c>
      <c r="C814" s="292">
        <f>Tabela_Base_Financeiro[[#This Row],[PO Ship TO]]</f>
        <v>0</v>
      </c>
      <c r="D814" s="36" t="str">
        <f>RIGHT(Tabela_Base_Financeiro[[#This Row],[Manufacturer]],2)</f>
        <v/>
      </c>
      <c r="E81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14" s="122" t="e">
        <f>VLOOKUP(Tabela_Base_Financeiro[[#This Row],[Project Code]],'COD. PROJETOS'!B:D,3,0)</f>
        <v>#N/A</v>
      </c>
      <c r="G814" s="36">
        <f>IFERROR(Tabela_Base_Financeiro[[#This Row],[PO No,]],0)</f>
        <v>0</v>
      </c>
      <c r="H814" s="36">
        <f>IFERROR(Tabela_Base_Financeiro[[#This Row],[Line No,]],0)</f>
        <v>0</v>
      </c>
      <c r="I814" s="36" t="str">
        <f>IFERROR(MID(Tabela_Base_Financeiro[[#This Row],[Manufacturer]],19,14),"")</f>
        <v/>
      </c>
      <c r="J814" s="113">
        <f>IFERROR(Tabela_Base_Financeiro[[#This Row],[Item code]],0)</f>
        <v>0</v>
      </c>
      <c r="K814" s="293">
        <f>IFERROR(Tabela_Base_Financeiro[[#This Row],[Unit Price]],0)</f>
        <v>0</v>
      </c>
      <c r="L814" s="36">
        <f>IFERROR(Tabela_Base_Financeiro[[#This Row],[AC Qty,]],0)</f>
        <v>0</v>
      </c>
      <c r="M814" s="60">
        <f>Tabela6[[#This Row],[Qty]]*Tabela6[[#This Row],[Preço]]</f>
        <v>0</v>
      </c>
      <c r="N814" s="37">
        <f>IFERROR(Tabela_Base_Financeiro[[#This Row],[Proportion]],0)</f>
        <v>0</v>
      </c>
      <c r="O814" s="60">
        <f>Tabela6[[#This Row],[Proporção]]*Tabela6[[#This Row],[Total]]</f>
        <v>0</v>
      </c>
      <c r="P814"/>
      <c r="Q814" s="59"/>
      <c r="R814" s="1"/>
    </row>
    <row r="815" spans="1:18">
      <c r="A815" s="122" t="e">
        <f>IF(VLOOKUP(Tabela6[[#This Row],[UF]],'BASE CC'!B:C,2,0)="SP",IF(Tabela6[[#This Row],[OPERADORA]]="TIM","SP TIM","SPI"),VLOOKUP(Tabela6[[#This Row],[UF]],'BASE CC'!B:C,2,0))</f>
        <v>#N/A</v>
      </c>
      <c r="B815" s="36" t="e">
        <f>VLOOKUP(Tabela_Base_Financeiro[[#This Row],[Item code]],'COD.FAT'!B:C,2,0)</f>
        <v>#N/A</v>
      </c>
      <c r="C815" s="292">
        <f>Tabela_Base_Financeiro[[#This Row],[PO Ship TO]]</f>
        <v>0</v>
      </c>
      <c r="D815" s="36" t="str">
        <f>RIGHT(Tabela_Base_Financeiro[[#This Row],[Manufacturer]],2)</f>
        <v/>
      </c>
      <c r="E81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15" s="122" t="e">
        <f>VLOOKUP(Tabela_Base_Financeiro[[#This Row],[Project Code]],'COD. PROJETOS'!B:D,3,0)</f>
        <v>#N/A</v>
      </c>
      <c r="G815" s="36">
        <f>IFERROR(Tabela_Base_Financeiro[[#This Row],[PO No,]],0)</f>
        <v>0</v>
      </c>
      <c r="H815" s="36">
        <f>IFERROR(Tabela_Base_Financeiro[[#This Row],[Line No,]],0)</f>
        <v>0</v>
      </c>
      <c r="I815" s="36" t="str">
        <f>IFERROR(MID(Tabela_Base_Financeiro[[#This Row],[Manufacturer]],19,14),"")</f>
        <v/>
      </c>
      <c r="J815" s="113">
        <f>IFERROR(Tabela_Base_Financeiro[[#This Row],[Item code]],0)</f>
        <v>0</v>
      </c>
      <c r="K815" s="293">
        <f>IFERROR(Tabela_Base_Financeiro[[#This Row],[Unit Price]],0)</f>
        <v>0</v>
      </c>
      <c r="L815" s="36">
        <f>IFERROR(Tabela_Base_Financeiro[[#This Row],[AC Qty,]],0)</f>
        <v>0</v>
      </c>
      <c r="M815" s="60">
        <f>Tabela6[[#This Row],[Qty]]*Tabela6[[#This Row],[Preço]]</f>
        <v>0</v>
      </c>
      <c r="N815" s="37">
        <f>IFERROR(Tabela_Base_Financeiro[[#This Row],[Proportion]],0)</f>
        <v>0</v>
      </c>
      <c r="O815" s="60">
        <f>Tabela6[[#This Row],[Proporção]]*Tabela6[[#This Row],[Total]]</f>
        <v>0</v>
      </c>
      <c r="P815"/>
      <c r="Q815" s="59"/>
      <c r="R815" s="1"/>
    </row>
    <row r="816" spans="1:18">
      <c r="A816" s="122" t="e">
        <f>IF(VLOOKUP(Tabela6[[#This Row],[UF]],'BASE CC'!B:C,2,0)="SP",IF(Tabela6[[#This Row],[OPERADORA]]="TIM","SP TIM","SPI"),VLOOKUP(Tabela6[[#This Row],[UF]],'BASE CC'!B:C,2,0))</f>
        <v>#N/A</v>
      </c>
      <c r="B816" s="36" t="e">
        <f>VLOOKUP(Tabela_Base_Financeiro[[#This Row],[Item code]],'COD.FAT'!B:C,2,0)</f>
        <v>#N/A</v>
      </c>
      <c r="C816" s="292">
        <f>Tabela_Base_Financeiro[[#This Row],[PO Ship TO]]</f>
        <v>0</v>
      </c>
      <c r="D816" s="36" t="str">
        <f>RIGHT(Tabela_Base_Financeiro[[#This Row],[Manufacturer]],2)</f>
        <v/>
      </c>
      <c r="E81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16" s="122" t="e">
        <f>VLOOKUP(Tabela_Base_Financeiro[[#This Row],[Project Code]],'COD. PROJETOS'!B:D,3,0)</f>
        <v>#N/A</v>
      </c>
      <c r="G816" s="36">
        <f>IFERROR(Tabela_Base_Financeiro[[#This Row],[PO No,]],0)</f>
        <v>0</v>
      </c>
      <c r="H816" s="36">
        <f>IFERROR(Tabela_Base_Financeiro[[#This Row],[Line No,]],0)</f>
        <v>0</v>
      </c>
      <c r="I816" s="36" t="str">
        <f>IFERROR(MID(Tabela_Base_Financeiro[[#This Row],[Manufacturer]],19,14),"")</f>
        <v/>
      </c>
      <c r="J816" s="113">
        <f>IFERROR(Tabela_Base_Financeiro[[#This Row],[Item code]],0)</f>
        <v>0</v>
      </c>
      <c r="K816" s="293">
        <f>IFERROR(Tabela_Base_Financeiro[[#This Row],[Unit Price]],0)</f>
        <v>0</v>
      </c>
      <c r="L816" s="36">
        <f>IFERROR(Tabela_Base_Financeiro[[#This Row],[AC Qty,]],0)</f>
        <v>0</v>
      </c>
      <c r="M816" s="60">
        <f>Tabela6[[#This Row],[Qty]]*Tabela6[[#This Row],[Preço]]</f>
        <v>0</v>
      </c>
      <c r="N816" s="37">
        <f>IFERROR(Tabela_Base_Financeiro[[#This Row],[Proportion]],0)</f>
        <v>0</v>
      </c>
      <c r="O816" s="60">
        <f>Tabela6[[#This Row],[Proporção]]*Tabela6[[#This Row],[Total]]</f>
        <v>0</v>
      </c>
      <c r="P816"/>
      <c r="Q816" s="59"/>
      <c r="R816" s="1"/>
    </row>
    <row r="817" spans="1:18">
      <c r="A817" s="122" t="e">
        <f>IF(VLOOKUP(Tabela6[[#This Row],[UF]],'BASE CC'!B:C,2,0)="SP",IF(Tabela6[[#This Row],[OPERADORA]]="TIM","SP TIM","SPI"),VLOOKUP(Tabela6[[#This Row],[UF]],'BASE CC'!B:C,2,0))</f>
        <v>#N/A</v>
      </c>
      <c r="B817" s="36" t="e">
        <f>VLOOKUP(Tabela_Base_Financeiro[[#This Row],[Item code]],'COD.FAT'!B:C,2,0)</f>
        <v>#N/A</v>
      </c>
      <c r="C817" s="292">
        <f>Tabela_Base_Financeiro[[#This Row],[PO Ship TO]]</f>
        <v>0</v>
      </c>
      <c r="D817" s="36" t="str">
        <f>RIGHT(Tabela_Base_Financeiro[[#This Row],[Manufacturer]],2)</f>
        <v/>
      </c>
      <c r="E81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17" s="122" t="e">
        <f>VLOOKUP(Tabela_Base_Financeiro[[#This Row],[Project Code]],'COD. PROJETOS'!B:D,3,0)</f>
        <v>#N/A</v>
      </c>
      <c r="G817" s="36">
        <f>IFERROR(Tabela_Base_Financeiro[[#This Row],[PO No,]],0)</f>
        <v>0</v>
      </c>
      <c r="H817" s="36">
        <f>IFERROR(Tabela_Base_Financeiro[[#This Row],[Line No,]],0)</f>
        <v>0</v>
      </c>
      <c r="I817" s="36" t="str">
        <f>IFERROR(MID(Tabela_Base_Financeiro[[#This Row],[Manufacturer]],19,14),"")</f>
        <v/>
      </c>
      <c r="J817" s="113">
        <f>IFERROR(Tabela_Base_Financeiro[[#This Row],[Item code]],0)</f>
        <v>0</v>
      </c>
      <c r="K817" s="293">
        <f>IFERROR(Tabela_Base_Financeiro[[#This Row],[Unit Price]],0)</f>
        <v>0</v>
      </c>
      <c r="L817" s="36">
        <f>IFERROR(Tabela_Base_Financeiro[[#This Row],[AC Qty,]],0)</f>
        <v>0</v>
      </c>
      <c r="M817" s="60">
        <f>Tabela6[[#This Row],[Qty]]*Tabela6[[#This Row],[Preço]]</f>
        <v>0</v>
      </c>
      <c r="N817" s="37">
        <f>IFERROR(Tabela_Base_Financeiro[[#This Row],[Proportion]],0)</f>
        <v>0</v>
      </c>
      <c r="O817" s="60">
        <f>Tabela6[[#This Row],[Proporção]]*Tabela6[[#This Row],[Total]]</f>
        <v>0</v>
      </c>
      <c r="P817"/>
      <c r="Q817" s="59"/>
      <c r="R817" s="1"/>
    </row>
    <row r="818" spans="1:18">
      <c r="A818" s="122" t="e">
        <f>IF(VLOOKUP(Tabela6[[#This Row],[UF]],'BASE CC'!B:C,2,0)="SP",IF(Tabela6[[#This Row],[OPERADORA]]="TIM","SP TIM","SPI"),VLOOKUP(Tabela6[[#This Row],[UF]],'BASE CC'!B:C,2,0))</f>
        <v>#N/A</v>
      </c>
      <c r="B818" s="36" t="e">
        <f>VLOOKUP(Tabela_Base_Financeiro[[#This Row],[Item code]],'COD.FAT'!B:C,2,0)</f>
        <v>#N/A</v>
      </c>
      <c r="C818" s="292">
        <f>Tabela_Base_Financeiro[[#This Row],[PO Ship TO]]</f>
        <v>0</v>
      </c>
      <c r="D818" s="36" t="str">
        <f>RIGHT(Tabela_Base_Financeiro[[#This Row],[Manufacturer]],2)</f>
        <v/>
      </c>
      <c r="E81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18" s="122" t="e">
        <f>VLOOKUP(Tabela_Base_Financeiro[[#This Row],[Project Code]],'COD. PROJETOS'!B:D,3,0)</f>
        <v>#N/A</v>
      </c>
      <c r="G818" s="36">
        <f>IFERROR(Tabela_Base_Financeiro[[#This Row],[PO No,]],0)</f>
        <v>0</v>
      </c>
      <c r="H818" s="36">
        <f>IFERROR(Tabela_Base_Financeiro[[#This Row],[Line No,]],0)</f>
        <v>0</v>
      </c>
      <c r="I818" s="36" t="str">
        <f>IFERROR(MID(Tabela_Base_Financeiro[[#This Row],[Manufacturer]],19,14),"")</f>
        <v/>
      </c>
      <c r="J818" s="113">
        <f>IFERROR(Tabela_Base_Financeiro[[#This Row],[Item code]],0)</f>
        <v>0</v>
      </c>
      <c r="K818" s="293">
        <f>IFERROR(Tabela_Base_Financeiro[[#This Row],[Unit Price]],0)</f>
        <v>0</v>
      </c>
      <c r="L818" s="36">
        <f>IFERROR(Tabela_Base_Financeiro[[#This Row],[AC Qty,]],0)</f>
        <v>0</v>
      </c>
      <c r="M818" s="60">
        <f>Tabela6[[#This Row],[Qty]]*Tabela6[[#This Row],[Preço]]</f>
        <v>0</v>
      </c>
      <c r="N818" s="37">
        <f>IFERROR(Tabela_Base_Financeiro[[#This Row],[Proportion]],0)</f>
        <v>0</v>
      </c>
      <c r="O818" s="60">
        <f>Tabela6[[#This Row],[Proporção]]*Tabela6[[#This Row],[Total]]</f>
        <v>0</v>
      </c>
      <c r="P818"/>
      <c r="Q818" s="59"/>
      <c r="R818" s="1"/>
    </row>
    <row r="819" spans="1:18">
      <c r="A819" s="122" t="e">
        <f>IF(VLOOKUP(Tabela6[[#This Row],[UF]],'BASE CC'!B:C,2,0)="SP",IF(Tabela6[[#This Row],[OPERADORA]]="TIM","SP TIM","SPI"),VLOOKUP(Tabela6[[#This Row],[UF]],'BASE CC'!B:C,2,0))</f>
        <v>#N/A</v>
      </c>
      <c r="B819" s="36" t="e">
        <f>VLOOKUP(Tabela_Base_Financeiro[[#This Row],[Item code]],'COD.FAT'!B:C,2,0)</f>
        <v>#N/A</v>
      </c>
      <c r="C819" s="292">
        <f>Tabela_Base_Financeiro[[#This Row],[PO Ship TO]]</f>
        <v>0</v>
      </c>
      <c r="D819" s="36" t="str">
        <f>RIGHT(Tabela_Base_Financeiro[[#This Row],[Manufacturer]],2)</f>
        <v/>
      </c>
      <c r="E81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19" s="122" t="e">
        <f>VLOOKUP(Tabela_Base_Financeiro[[#This Row],[Project Code]],'COD. PROJETOS'!B:D,3,0)</f>
        <v>#N/A</v>
      </c>
      <c r="G819" s="36">
        <f>IFERROR(Tabela_Base_Financeiro[[#This Row],[PO No,]],0)</f>
        <v>0</v>
      </c>
      <c r="H819" s="36">
        <f>IFERROR(Tabela_Base_Financeiro[[#This Row],[Line No,]],0)</f>
        <v>0</v>
      </c>
      <c r="I819" s="36" t="str">
        <f>IFERROR(MID(Tabela_Base_Financeiro[[#This Row],[Manufacturer]],19,14),"")</f>
        <v/>
      </c>
      <c r="J819" s="113">
        <f>IFERROR(Tabela_Base_Financeiro[[#This Row],[Item code]],0)</f>
        <v>0</v>
      </c>
      <c r="K819" s="293">
        <f>IFERROR(Tabela_Base_Financeiro[[#This Row],[Unit Price]],0)</f>
        <v>0</v>
      </c>
      <c r="L819" s="36">
        <f>IFERROR(Tabela_Base_Financeiro[[#This Row],[AC Qty,]],0)</f>
        <v>0</v>
      </c>
      <c r="M819" s="60">
        <f>Tabela6[[#This Row],[Qty]]*Tabela6[[#This Row],[Preço]]</f>
        <v>0</v>
      </c>
      <c r="N819" s="37">
        <f>IFERROR(Tabela_Base_Financeiro[[#This Row],[Proportion]],0)</f>
        <v>0</v>
      </c>
      <c r="O819" s="60">
        <f>Tabela6[[#This Row],[Proporção]]*Tabela6[[#This Row],[Total]]</f>
        <v>0</v>
      </c>
      <c r="P819"/>
      <c r="Q819" s="59"/>
      <c r="R819" s="1"/>
    </row>
    <row r="820" spans="1:18">
      <c r="A820" s="122" t="e">
        <f>IF(VLOOKUP(Tabela6[[#This Row],[UF]],'BASE CC'!B:C,2,0)="SP",IF(Tabela6[[#This Row],[OPERADORA]]="TIM","SP TIM","SPI"),VLOOKUP(Tabela6[[#This Row],[UF]],'BASE CC'!B:C,2,0))</f>
        <v>#N/A</v>
      </c>
      <c r="B820" s="36" t="e">
        <f>VLOOKUP(Tabela_Base_Financeiro[[#This Row],[Item code]],'COD.FAT'!B:C,2,0)</f>
        <v>#N/A</v>
      </c>
      <c r="C820" s="292">
        <f>Tabela_Base_Financeiro[[#This Row],[PO Ship TO]]</f>
        <v>0</v>
      </c>
      <c r="D820" s="36" t="str">
        <f>RIGHT(Tabela_Base_Financeiro[[#This Row],[Manufacturer]],2)</f>
        <v/>
      </c>
      <c r="E82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20" s="122" t="e">
        <f>VLOOKUP(Tabela_Base_Financeiro[[#This Row],[Project Code]],'COD. PROJETOS'!B:D,3,0)</f>
        <v>#N/A</v>
      </c>
      <c r="G820" s="36">
        <f>IFERROR(Tabela_Base_Financeiro[[#This Row],[PO No,]],0)</f>
        <v>0</v>
      </c>
      <c r="H820" s="36">
        <f>IFERROR(Tabela_Base_Financeiro[[#This Row],[Line No,]],0)</f>
        <v>0</v>
      </c>
      <c r="I820" s="36" t="str">
        <f>IFERROR(MID(Tabela_Base_Financeiro[[#This Row],[Manufacturer]],19,14),"")</f>
        <v/>
      </c>
      <c r="J820" s="113">
        <f>IFERROR(Tabela_Base_Financeiro[[#This Row],[Item code]],0)</f>
        <v>0</v>
      </c>
      <c r="K820" s="293">
        <f>IFERROR(Tabela_Base_Financeiro[[#This Row],[Unit Price]],0)</f>
        <v>0</v>
      </c>
      <c r="L820" s="36">
        <f>IFERROR(Tabela_Base_Financeiro[[#This Row],[AC Qty,]],0)</f>
        <v>0</v>
      </c>
      <c r="M820" s="60">
        <f>Tabela6[[#This Row],[Qty]]*Tabela6[[#This Row],[Preço]]</f>
        <v>0</v>
      </c>
      <c r="N820" s="37">
        <f>IFERROR(Tabela_Base_Financeiro[[#This Row],[Proportion]],0)</f>
        <v>0</v>
      </c>
      <c r="O820" s="60">
        <f>Tabela6[[#This Row],[Proporção]]*Tabela6[[#This Row],[Total]]</f>
        <v>0</v>
      </c>
      <c r="P820"/>
      <c r="Q820" s="59"/>
      <c r="R820" s="1"/>
    </row>
    <row r="821" spans="1:18">
      <c r="A821" s="122" t="e">
        <f>IF(VLOOKUP(Tabela6[[#This Row],[UF]],'BASE CC'!B:C,2,0)="SP",IF(Tabela6[[#This Row],[OPERADORA]]="TIM","SP TIM","SPI"),VLOOKUP(Tabela6[[#This Row],[UF]],'BASE CC'!B:C,2,0))</f>
        <v>#N/A</v>
      </c>
      <c r="B821" s="36" t="e">
        <f>VLOOKUP(Tabela_Base_Financeiro[[#This Row],[Item code]],'COD.FAT'!B:C,2,0)</f>
        <v>#N/A</v>
      </c>
      <c r="C821" s="292">
        <f>Tabela_Base_Financeiro[[#This Row],[PO Ship TO]]</f>
        <v>0</v>
      </c>
      <c r="D821" s="36" t="str">
        <f>RIGHT(Tabela_Base_Financeiro[[#This Row],[Manufacturer]],2)</f>
        <v/>
      </c>
      <c r="E82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21" s="122" t="e">
        <f>VLOOKUP(Tabela_Base_Financeiro[[#This Row],[Project Code]],'COD. PROJETOS'!B:D,3,0)</f>
        <v>#N/A</v>
      </c>
      <c r="G821" s="36">
        <f>IFERROR(Tabela_Base_Financeiro[[#This Row],[PO No,]],0)</f>
        <v>0</v>
      </c>
      <c r="H821" s="36">
        <f>IFERROR(Tabela_Base_Financeiro[[#This Row],[Line No,]],0)</f>
        <v>0</v>
      </c>
      <c r="I821" s="36" t="str">
        <f>IFERROR(MID(Tabela_Base_Financeiro[[#This Row],[Manufacturer]],19,14),"")</f>
        <v/>
      </c>
      <c r="J821" s="113">
        <f>IFERROR(Tabela_Base_Financeiro[[#This Row],[Item code]],0)</f>
        <v>0</v>
      </c>
      <c r="K821" s="293">
        <f>IFERROR(Tabela_Base_Financeiro[[#This Row],[Unit Price]],0)</f>
        <v>0</v>
      </c>
      <c r="L821" s="36">
        <f>IFERROR(Tabela_Base_Financeiro[[#This Row],[AC Qty,]],0)</f>
        <v>0</v>
      </c>
      <c r="M821" s="60">
        <f>Tabela6[[#This Row],[Qty]]*Tabela6[[#This Row],[Preço]]</f>
        <v>0</v>
      </c>
      <c r="N821" s="37">
        <f>IFERROR(Tabela_Base_Financeiro[[#This Row],[Proportion]],0)</f>
        <v>0</v>
      </c>
      <c r="O821" s="60">
        <f>Tabela6[[#This Row],[Proporção]]*Tabela6[[#This Row],[Total]]</f>
        <v>0</v>
      </c>
      <c r="P821"/>
      <c r="Q821" s="59"/>
      <c r="R821" s="1"/>
    </row>
    <row r="822" spans="1:18">
      <c r="A822" s="122" t="e">
        <f>IF(VLOOKUP(Tabela6[[#This Row],[UF]],'BASE CC'!B:C,2,0)="SP",IF(Tabela6[[#This Row],[OPERADORA]]="TIM","SP TIM","SPI"),VLOOKUP(Tabela6[[#This Row],[UF]],'BASE CC'!B:C,2,0))</f>
        <v>#N/A</v>
      </c>
      <c r="B822" s="36" t="e">
        <f>VLOOKUP(Tabela_Base_Financeiro[[#This Row],[Item code]],'COD.FAT'!B:C,2,0)</f>
        <v>#N/A</v>
      </c>
      <c r="C822" s="292">
        <f>Tabela_Base_Financeiro[[#This Row],[PO Ship TO]]</f>
        <v>0</v>
      </c>
      <c r="D822" s="36" t="str">
        <f>RIGHT(Tabela_Base_Financeiro[[#This Row],[Manufacturer]],2)</f>
        <v/>
      </c>
      <c r="E82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22" s="122" t="e">
        <f>VLOOKUP(Tabela_Base_Financeiro[[#This Row],[Project Code]],'COD. PROJETOS'!B:D,3,0)</f>
        <v>#N/A</v>
      </c>
      <c r="G822" s="36">
        <f>IFERROR(Tabela_Base_Financeiro[[#This Row],[PO No,]],0)</f>
        <v>0</v>
      </c>
      <c r="H822" s="36">
        <f>IFERROR(Tabela_Base_Financeiro[[#This Row],[Line No,]],0)</f>
        <v>0</v>
      </c>
      <c r="I822" s="36" t="str">
        <f>IFERROR(MID(Tabela_Base_Financeiro[[#This Row],[Manufacturer]],19,14),"")</f>
        <v/>
      </c>
      <c r="J822" s="113">
        <f>IFERROR(Tabela_Base_Financeiro[[#This Row],[Item code]],0)</f>
        <v>0</v>
      </c>
      <c r="K822" s="293">
        <f>IFERROR(Tabela_Base_Financeiro[[#This Row],[Unit Price]],0)</f>
        <v>0</v>
      </c>
      <c r="L822" s="36">
        <f>IFERROR(Tabela_Base_Financeiro[[#This Row],[AC Qty,]],0)</f>
        <v>0</v>
      </c>
      <c r="M822" s="60">
        <f>Tabela6[[#This Row],[Qty]]*Tabela6[[#This Row],[Preço]]</f>
        <v>0</v>
      </c>
      <c r="N822" s="37">
        <f>IFERROR(Tabela_Base_Financeiro[[#This Row],[Proportion]],0)</f>
        <v>0</v>
      </c>
      <c r="O822" s="60">
        <f>Tabela6[[#This Row],[Proporção]]*Tabela6[[#This Row],[Total]]</f>
        <v>0</v>
      </c>
      <c r="P822"/>
      <c r="Q822" s="59"/>
      <c r="R822" s="1"/>
    </row>
    <row r="823" spans="1:18">
      <c r="A823" s="122" t="e">
        <f>IF(VLOOKUP(Tabela6[[#This Row],[UF]],'BASE CC'!B:C,2,0)="SP",IF(Tabela6[[#This Row],[OPERADORA]]="TIM","SP TIM","SPI"),VLOOKUP(Tabela6[[#This Row],[UF]],'BASE CC'!B:C,2,0))</f>
        <v>#N/A</v>
      </c>
      <c r="B823" s="36" t="e">
        <f>VLOOKUP(Tabela_Base_Financeiro[[#This Row],[Item code]],'COD.FAT'!B:C,2,0)</f>
        <v>#N/A</v>
      </c>
      <c r="C823" s="292">
        <f>Tabela_Base_Financeiro[[#This Row],[PO Ship TO]]</f>
        <v>0</v>
      </c>
      <c r="D823" s="36" t="str">
        <f>RIGHT(Tabela_Base_Financeiro[[#This Row],[Manufacturer]],2)</f>
        <v/>
      </c>
      <c r="E82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23" s="122" t="e">
        <f>VLOOKUP(Tabela_Base_Financeiro[[#This Row],[Project Code]],'COD. PROJETOS'!B:D,3,0)</f>
        <v>#N/A</v>
      </c>
      <c r="G823" s="36">
        <f>IFERROR(Tabela_Base_Financeiro[[#This Row],[PO No,]],0)</f>
        <v>0</v>
      </c>
      <c r="H823" s="36">
        <f>IFERROR(Tabela_Base_Financeiro[[#This Row],[Line No,]],0)</f>
        <v>0</v>
      </c>
      <c r="I823" s="36" t="str">
        <f>IFERROR(MID(Tabela_Base_Financeiro[[#This Row],[Manufacturer]],19,14),"")</f>
        <v/>
      </c>
      <c r="J823" s="113">
        <f>IFERROR(Tabela_Base_Financeiro[[#This Row],[Item code]],0)</f>
        <v>0</v>
      </c>
      <c r="K823" s="293">
        <f>IFERROR(Tabela_Base_Financeiro[[#This Row],[Unit Price]],0)</f>
        <v>0</v>
      </c>
      <c r="L823" s="36">
        <f>IFERROR(Tabela_Base_Financeiro[[#This Row],[AC Qty,]],0)</f>
        <v>0</v>
      </c>
      <c r="M823" s="60">
        <f>Tabela6[[#This Row],[Qty]]*Tabela6[[#This Row],[Preço]]</f>
        <v>0</v>
      </c>
      <c r="N823" s="37">
        <f>IFERROR(Tabela_Base_Financeiro[[#This Row],[Proportion]],0)</f>
        <v>0</v>
      </c>
      <c r="O823" s="60">
        <f>Tabela6[[#This Row],[Proporção]]*Tabela6[[#This Row],[Total]]</f>
        <v>0</v>
      </c>
      <c r="P823"/>
      <c r="Q823" s="59"/>
      <c r="R823" s="1"/>
    </row>
    <row r="824" spans="1:18">
      <c r="A824" s="122" t="e">
        <f>IF(VLOOKUP(Tabela6[[#This Row],[UF]],'BASE CC'!B:C,2,0)="SP",IF(Tabela6[[#This Row],[OPERADORA]]="TIM","SP TIM","SPI"),VLOOKUP(Tabela6[[#This Row],[UF]],'BASE CC'!B:C,2,0))</f>
        <v>#N/A</v>
      </c>
      <c r="B824" s="36" t="e">
        <f>VLOOKUP(Tabela_Base_Financeiro[[#This Row],[Item code]],'COD.FAT'!B:C,2,0)</f>
        <v>#N/A</v>
      </c>
      <c r="C824" s="292">
        <f>Tabela_Base_Financeiro[[#This Row],[PO Ship TO]]</f>
        <v>0</v>
      </c>
      <c r="D824" s="36" t="str">
        <f>RIGHT(Tabela_Base_Financeiro[[#This Row],[Manufacturer]],2)</f>
        <v/>
      </c>
      <c r="E82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24" s="122" t="e">
        <f>VLOOKUP(Tabela_Base_Financeiro[[#This Row],[Project Code]],'COD. PROJETOS'!B:D,3,0)</f>
        <v>#N/A</v>
      </c>
      <c r="G824" s="36">
        <f>IFERROR(Tabela_Base_Financeiro[[#This Row],[PO No,]],0)</f>
        <v>0</v>
      </c>
      <c r="H824" s="36">
        <f>IFERROR(Tabela_Base_Financeiro[[#This Row],[Line No,]],0)</f>
        <v>0</v>
      </c>
      <c r="I824" s="36" t="str">
        <f>IFERROR(MID(Tabela_Base_Financeiro[[#This Row],[Manufacturer]],19,14),"")</f>
        <v/>
      </c>
      <c r="J824" s="113">
        <f>IFERROR(Tabela_Base_Financeiro[[#This Row],[Item code]],0)</f>
        <v>0</v>
      </c>
      <c r="K824" s="293">
        <f>IFERROR(Tabela_Base_Financeiro[[#This Row],[Unit Price]],0)</f>
        <v>0</v>
      </c>
      <c r="L824" s="36">
        <f>IFERROR(Tabela_Base_Financeiro[[#This Row],[AC Qty,]],0)</f>
        <v>0</v>
      </c>
      <c r="M824" s="60">
        <f>Tabela6[[#This Row],[Qty]]*Tabela6[[#This Row],[Preço]]</f>
        <v>0</v>
      </c>
      <c r="N824" s="37">
        <f>IFERROR(Tabela_Base_Financeiro[[#This Row],[Proportion]],0)</f>
        <v>0</v>
      </c>
      <c r="O824" s="60">
        <f>Tabela6[[#This Row],[Proporção]]*Tabela6[[#This Row],[Total]]</f>
        <v>0</v>
      </c>
      <c r="P824"/>
      <c r="Q824" s="59"/>
      <c r="R824" s="1"/>
    </row>
    <row r="825" spans="1:18">
      <c r="A825" s="122" t="e">
        <f>IF(VLOOKUP(Tabela6[[#This Row],[UF]],'BASE CC'!B:C,2,0)="SP",IF(Tabela6[[#This Row],[OPERADORA]]="TIM","SP TIM","SPI"),VLOOKUP(Tabela6[[#This Row],[UF]],'BASE CC'!B:C,2,0))</f>
        <v>#N/A</v>
      </c>
      <c r="B825" s="36" t="e">
        <f>VLOOKUP(Tabela_Base_Financeiro[[#This Row],[Item code]],'COD.FAT'!B:C,2,0)</f>
        <v>#N/A</v>
      </c>
      <c r="C825" s="292">
        <f>Tabela_Base_Financeiro[[#This Row],[PO Ship TO]]</f>
        <v>0</v>
      </c>
      <c r="D825" s="36" t="str">
        <f>RIGHT(Tabela_Base_Financeiro[[#This Row],[Manufacturer]],2)</f>
        <v/>
      </c>
      <c r="E82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25" s="122" t="e">
        <f>VLOOKUP(Tabela_Base_Financeiro[[#This Row],[Project Code]],'COD. PROJETOS'!B:D,3,0)</f>
        <v>#N/A</v>
      </c>
      <c r="G825" s="36">
        <f>IFERROR(Tabela_Base_Financeiro[[#This Row],[PO No,]],0)</f>
        <v>0</v>
      </c>
      <c r="H825" s="36">
        <f>IFERROR(Tabela_Base_Financeiro[[#This Row],[Line No,]],0)</f>
        <v>0</v>
      </c>
      <c r="I825" s="36" t="str">
        <f>IFERROR(MID(Tabela_Base_Financeiro[[#This Row],[Manufacturer]],19,14),"")</f>
        <v/>
      </c>
      <c r="J825" s="113">
        <f>IFERROR(Tabela_Base_Financeiro[[#This Row],[Item code]],0)</f>
        <v>0</v>
      </c>
      <c r="K825" s="293">
        <f>IFERROR(Tabela_Base_Financeiro[[#This Row],[Unit Price]],0)</f>
        <v>0</v>
      </c>
      <c r="L825" s="36">
        <f>IFERROR(Tabela_Base_Financeiro[[#This Row],[AC Qty,]],0)</f>
        <v>0</v>
      </c>
      <c r="M825" s="60">
        <f>Tabela6[[#This Row],[Qty]]*Tabela6[[#This Row],[Preço]]</f>
        <v>0</v>
      </c>
      <c r="N825" s="37">
        <f>IFERROR(Tabela_Base_Financeiro[[#This Row],[Proportion]],0)</f>
        <v>0</v>
      </c>
      <c r="O825" s="60">
        <f>Tabela6[[#This Row],[Proporção]]*Tabela6[[#This Row],[Total]]</f>
        <v>0</v>
      </c>
      <c r="P825"/>
      <c r="Q825" s="59"/>
      <c r="R825" s="1"/>
    </row>
    <row r="826" spans="1:18">
      <c r="A826" s="122" t="e">
        <f>IF(VLOOKUP(Tabela6[[#This Row],[UF]],'BASE CC'!B:C,2,0)="SP",IF(Tabela6[[#This Row],[OPERADORA]]="TIM","SP TIM","SPI"),VLOOKUP(Tabela6[[#This Row],[UF]],'BASE CC'!B:C,2,0))</f>
        <v>#N/A</v>
      </c>
      <c r="B826" s="36" t="e">
        <f>VLOOKUP(Tabela_Base_Financeiro[[#This Row],[Item code]],'COD.FAT'!B:C,2,0)</f>
        <v>#N/A</v>
      </c>
      <c r="C826" s="292">
        <f>Tabela_Base_Financeiro[[#This Row],[PO Ship TO]]</f>
        <v>0</v>
      </c>
      <c r="D826" s="36" t="str">
        <f>RIGHT(Tabela_Base_Financeiro[[#This Row],[Manufacturer]],2)</f>
        <v/>
      </c>
      <c r="E82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26" s="122" t="e">
        <f>VLOOKUP(Tabela_Base_Financeiro[[#This Row],[Project Code]],'COD. PROJETOS'!B:D,3,0)</f>
        <v>#N/A</v>
      </c>
      <c r="G826" s="36">
        <f>IFERROR(Tabela_Base_Financeiro[[#This Row],[PO No,]],0)</f>
        <v>0</v>
      </c>
      <c r="H826" s="36">
        <f>IFERROR(Tabela_Base_Financeiro[[#This Row],[Line No,]],0)</f>
        <v>0</v>
      </c>
      <c r="I826" s="36" t="str">
        <f>IFERROR(MID(Tabela_Base_Financeiro[[#This Row],[Manufacturer]],19,14),"")</f>
        <v/>
      </c>
      <c r="J826" s="113">
        <f>IFERROR(Tabela_Base_Financeiro[[#This Row],[Item code]],0)</f>
        <v>0</v>
      </c>
      <c r="K826" s="293">
        <f>IFERROR(Tabela_Base_Financeiro[[#This Row],[Unit Price]],0)</f>
        <v>0</v>
      </c>
      <c r="L826" s="36">
        <f>IFERROR(Tabela_Base_Financeiro[[#This Row],[AC Qty,]],0)</f>
        <v>0</v>
      </c>
      <c r="M826" s="60">
        <f>Tabela6[[#This Row],[Qty]]*Tabela6[[#This Row],[Preço]]</f>
        <v>0</v>
      </c>
      <c r="N826" s="37">
        <f>IFERROR(Tabela_Base_Financeiro[[#This Row],[Proportion]],0)</f>
        <v>0</v>
      </c>
      <c r="O826" s="60">
        <f>Tabela6[[#This Row],[Proporção]]*Tabela6[[#This Row],[Total]]</f>
        <v>0</v>
      </c>
      <c r="P826"/>
      <c r="Q826" s="59"/>
      <c r="R826" s="1"/>
    </row>
    <row r="827" spans="1:18">
      <c r="A827" s="122" t="e">
        <f>IF(VLOOKUP(Tabela6[[#This Row],[UF]],'BASE CC'!B:C,2,0)="SP",IF(Tabela6[[#This Row],[OPERADORA]]="TIM","SP TIM","SPI"),VLOOKUP(Tabela6[[#This Row],[UF]],'BASE CC'!B:C,2,0))</f>
        <v>#N/A</v>
      </c>
      <c r="B827" s="36" t="e">
        <f>VLOOKUP(Tabela_Base_Financeiro[[#This Row],[Item code]],'COD.FAT'!B:C,2,0)</f>
        <v>#N/A</v>
      </c>
      <c r="C827" s="292">
        <f>Tabela_Base_Financeiro[[#This Row],[PO Ship TO]]</f>
        <v>0</v>
      </c>
      <c r="D827" s="36" t="str">
        <f>RIGHT(Tabela_Base_Financeiro[[#This Row],[Manufacturer]],2)</f>
        <v/>
      </c>
      <c r="E82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27" s="122" t="e">
        <f>VLOOKUP(Tabela_Base_Financeiro[[#This Row],[Project Code]],'COD. PROJETOS'!B:D,3,0)</f>
        <v>#N/A</v>
      </c>
      <c r="G827" s="36">
        <f>IFERROR(Tabela_Base_Financeiro[[#This Row],[PO No,]],0)</f>
        <v>0</v>
      </c>
      <c r="H827" s="36">
        <f>IFERROR(Tabela_Base_Financeiro[[#This Row],[Line No,]],0)</f>
        <v>0</v>
      </c>
      <c r="I827" s="36" t="str">
        <f>IFERROR(MID(Tabela_Base_Financeiro[[#This Row],[Manufacturer]],19,14),"")</f>
        <v/>
      </c>
      <c r="J827" s="113">
        <f>IFERROR(Tabela_Base_Financeiro[[#This Row],[Item code]],0)</f>
        <v>0</v>
      </c>
      <c r="K827" s="293">
        <f>IFERROR(Tabela_Base_Financeiro[[#This Row],[Unit Price]],0)</f>
        <v>0</v>
      </c>
      <c r="L827" s="36">
        <f>IFERROR(Tabela_Base_Financeiro[[#This Row],[AC Qty,]],0)</f>
        <v>0</v>
      </c>
      <c r="M827" s="60">
        <f>Tabela6[[#This Row],[Qty]]*Tabela6[[#This Row],[Preço]]</f>
        <v>0</v>
      </c>
      <c r="N827" s="37">
        <f>IFERROR(Tabela_Base_Financeiro[[#This Row],[Proportion]],0)</f>
        <v>0</v>
      </c>
      <c r="O827" s="60">
        <f>Tabela6[[#This Row],[Proporção]]*Tabela6[[#This Row],[Total]]</f>
        <v>0</v>
      </c>
      <c r="P827"/>
      <c r="Q827" s="59"/>
      <c r="R827" s="1"/>
    </row>
    <row r="828" spans="1:18">
      <c r="A828" s="122" t="e">
        <f>IF(VLOOKUP(Tabela6[[#This Row],[UF]],'BASE CC'!B:C,2,0)="SP",IF(Tabela6[[#This Row],[OPERADORA]]="TIM","SP TIM","SPI"),VLOOKUP(Tabela6[[#This Row],[UF]],'BASE CC'!B:C,2,0))</f>
        <v>#N/A</v>
      </c>
      <c r="B828" s="36" t="e">
        <f>VLOOKUP(Tabela_Base_Financeiro[[#This Row],[Item code]],'COD.FAT'!B:C,2,0)</f>
        <v>#N/A</v>
      </c>
      <c r="C828" s="292">
        <f>Tabela_Base_Financeiro[[#This Row],[PO Ship TO]]</f>
        <v>0</v>
      </c>
      <c r="D828" s="36" t="str">
        <f>RIGHT(Tabela_Base_Financeiro[[#This Row],[Manufacturer]],2)</f>
        <v/>
      </c>
      <c r="E82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28" s="122" t="e">
        <f>VLOOKUP(Tabela_Base_Financeiro[[#This Row],[Project Code]],'COD. PROJETOS'!B:D,3,0)</f>
        <v>#N/A</v>
      </c>
      <c r="G828" s="36">
        <f>IFERROR(Tabela_Base_Financeiro[[#This Row],[PO No,]],0)</f>
        <v>0</v>
      </c>
      <c r="H828" s="36">
        <f>IFERROR(Tabela_Base_Financeiro[[#This Row],[Line No,]],0)</f>
        <v>0</v>
      </c>
      <c r="I828" s="36" t="str">
        <f>IFERROR(MID(Tabela_Base_Financeiro[[#This Row],[Manufacturer]],19,14),"")</f>
        <v/>
      </c>
      <c r="J828" s="113">
        <f>IFERROR(Tabela_Base_Financeiro[[#This Row],[Item code]],0)</f>
        <v>0</v>
      </c>
      <c r="K828" s="293">
        <f>IFERROR(Tabela_Base_Financeiro[[#This Row],[Unit Price]],0)</f>
        <v>0</v>
      </c>
      <c r="L828" s="36">
        <f>IFERROR(Tabela_Base_Financeiro[[#This Row],[AC Qty,]],0)</f>
        <v>0</v>
      </c>
      <c r="M828" s="60">
        <f>Tabela6[[#This Row],[Qty]]*Tabela6[[#This Row],[Preço]]</f>
        <v>0</v>
      </c>
      <c r="N828" s="37">
        <f>IFERROR(Tabela_Base_Financeiro[[#This Row],[Proportion]],0)</f>
        <v>0</v>
      </c>
      <c r="O828" s="60">
        <f>Tabela6[[#This Row],[Proporção]]*Tabela6[[#This Row],[Total]]</f>
        <v>0</v>
      </c>
      <c r="P828"/>
      <c r="Q828" s="59"/>
      <c r="R828" s="1"/>
    </row>
    <row r="829" spans="1:18">
      <c r="A829" s="122" t="e">
        <f>IF(VLOOKUP(Tabela6[[#This Row],[UF]],'BASE CC'!B:C,2,0)="SP",IF(Tabela6[[#This Row],[OPERADORA]]="TIM","SP TIM","SPI"),VLOOKUP(Tabela6[[#This Row],[UF]],'BASE CC'!B:C,2,0))</f>
        <v>#N/A</v>
      </c>
      <c r="B829" s="36" t="e">
        <f>VLOOKUP(Tabela_Base_Financeiro[[#This Row],[Item code]],'COD.FAT'!B:C,2,0)</f>
        <v>#N/A</v>
      </c>
      <c r="C829" s="292">
        <f>Tabela_Base_Financeiro[[#This Row],[PO Ship TO]]</f>
        <v>0</v>
      </c>
      <c r="D829" s="36" t="str">
        <f>RIGHT(Tabela_Base_Financeiro[[#This Row],[Manufacturer]],2)</f>
        <v/>
      </c>
      <c r="E82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29" s="122" t="e">
        <f>VLOOKUP(Tabela_Base_Financeiro[[#This Row],[Project Code]],'COD. PROJETOS'!B:D,3,0)</f>
        <v>#N/A</v>
      </c>
      <c r="G829" s="36">
        <f>IFERROR(Tabela_Base_Financeiro[[#This Row],[PO No,]],0)</f>
        <v>0</v>
      </c>
      <c r="H829" s="36">
        <f>IFERROR(Tabela_Base_Financeiro[[#This Row],[Line No,]],0)</f>
        <v>0</v>
      </c>
      <c r="I829" s="36" t="str">
        <f>IFERROR(MID(Tabela_Base_Financeiro[[#This Row],[Manufacturer]],19,14),"")</f>
        <v/>
      </c>
      <c r="J829" s="113">
        <f>IFERROR(Tabela_Base_Financeiro[[#This Row],[Item code]],0)</f>
        <v>0</v>
      </c>
      <c r="K829" s="293">
        <f>IFERROR(Tabela_Base_Financeiro[[#This Row],[Unit Price]],0)</f>
        <v>0</v>
      </c>
      <c r="L829" s="36">
        <f>IFERROR(Tabela_Base_Financeiro[[#This Row],[AC Qty,]],0)</f>
        <v>0</v>
      </c>
      <c r="M829" s="60">
        <f>Tabela6[[#This Row],[Qty]]*Tabela6[[#This Row],[Preço]]</f>
        <v>0</v>
      </c>
      <c r="N829" s="37">
        <f>IFERROR(Tabela_Base_Financeiro[[#This Row],[Proportion]],0)</f>
        <v>0</v>
      </c>
      <c r="O829" s="60">
        <f>Tabela6[[#This Row],[Proporção]]*Tabela6[[#This Row],[Total]]</f>
        <v>0</v>
      </c>
      <c r="P829"/>
      <c r="Q829" s="59"/>
      <c r="R829" s="1"/>
    </row>
    <row r="830" spans="1:18">
      <c r="A830" s="122" t="e">
        <f>IF(VLOOKUP(Tabela6[[#This Row],[UF]],'BASE CC'!B:C,2,0)="SP",IF(Tabela6[[#This Row],[OPERADORA]]="TIM","SP TIM","SPI"),VLOOKUP(Tabela6[[#This Row],[UF]],'BASE CC'!B:C,2,0))</f>
        <v>#N/A</v>
      </c>
      <c r="B830" s="36" t="e">
        <f>VLOOKUP(Tabela_Base_Financeiro[[#This Row],[Item code]],'COD.FAT'!B:C,2,0)</f>
        <v>#N/A</v>
      </c>
      <c r="C830" s="292">
        <f>Tabela_Base_Financeiro[[#This Row],[PO Ship TO]]</f>
        <v>0</v>
      </c>
      <c r="D830" s="36" t="str">
        <f>RIGHT(Tabela_Base_Financeiro[[#This Row],[Manufacturer]],2)</f>
        <v/>
      </c>
      <c r="E83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30" s="122" t="e">
        <f>VLOOKUP(Tabela_Base_Financeiro[[#This Row],[Project Code]],'COD. PROJETOS'!B:D,3,0)</f>
        <v>#N/A</v>
      </c>
      <c r="G830" s="36">
        <f>IFERROR(Tabela_Base_Financeiro[[#This Row],[PO No,]],0)</f>
        <v>0</v>
      </c>
      <c r="H830" s="36">
        <f>IFERROR(Tabela_Base_Financeiro[[#This Row],[Line No,]],0)</f>
        <v>0</v>
      </c>
      <c r="I830" s="36" t="str">
        <f>IFERROR(MID(Tabela_Base_Financeiro[[#This Row],[Manufacturer]],19,14),"")</f>
        <v/>
      </c>
      <c r="J830" s="113">
        <f>IFERROR(Tabela_Base_Financeiro[[#This Row],[Item code]],0)</f>
        <v>0</v>
      </c>
      <c r="K830" s="293">
        <f>IFERROR(Tabela_Base_Financeiro[[#This Row],[Unit Price]],0)</f>
        <v>0</v>
      </c>
      <c r="L830" s="36">
        <f>IFERROR(Tabela_Base_Financeiro[[#This Row],[AC Qty,]],0)</f>
        <v>0</v>
      </c>
      <c r="M830" s="60">
        <f>Tabela6[[#This Row],[Qty]]*Tabela6[[#This Row],[Preço]]</f>
        <v>0</v>
      </c>
      <c r="N830" s="37">
        <f>IFERROR(Tabela_Base_Financeiro[[#This Row],[Proportion]],0)</f>
        <v>0</v>
      </c>
      <c r="O830" s="60">
        <f>Tabela6[[#This Row],[Proporção]]*Tabela6[[#This Row],[Total]]</f>
        <v>0</v>
      </c>
      <c r="P830"/>
      <c r="Q830" s="59"/>
      <c r="R830" s="1"/>
    </row>
    <row r="831" spans="1:18">
      <c r="A831" s="122" t="e">
        <f>IF(VLOOKUP(Tabela6[[#This Row],[UF]],'BASE CC'!B:C,2,0)="SP",IF(Tabela6[[#This Row],[OPERADORA]]="TIM","SP TIM","SPI"),VLOOKUP(Tabela6[[#This Row],[UF]],'BASE CC'!B:C,2,0))</f>
        <v>#N/A</v>
      </c>
      <c r="B831" s="36" t="e">
        <f>VLOOKUP(Tabela_Base_Financeiro[[#This Row],[Item code]],'COD.FAT'!B:C,2,0)</f>
        <v>#N/A</v>
      </c>
      <c r="C831" s="292">
        <f>Tabela_Base_Financeiro[[#This Row],[PO Ship TO]]</f>
        <v>0</v>
      </c>
      <c r="D831" s="36" t="str">
        <f>RIGHT(Tabela_Base_Financeiro[[#This Row],[Manufacturer]],2)</f>
        <v/>
      </c>
      <c r="E83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31" s="122" t="e">
        <f>VLOOKUP(Tabela_Base_Financeiro[[#This Row],[Project Code]],'COD. PROJETOS'!B:D,3,0)</f>
        <v>#N/A</v>
      </c>
      <c r="G831" s="36">
        <f>IFERROR(Tabela_Base_Financeiro[[#This Row],[PO No,]],0)</f>
        <v>0</v>
      </c>
      <c r="H831" s="36">
        <f>IFERROR(Tabela_Base_Financeiro[[#This Row],[Line No,]],0)</f>
        <v>0</v>
      </c>
      <c r="I831" s="36" t="str">
        <f>IFERROR(MID(Tabela_Base_Financeiro[[#This Row],[Manufacturer]],19,14),"")</f>
        <v/>
      </c>
      <c r="J831" s="113">
        <f>IFERROR(Tabela_Base_Financeiro[[#This Row],[Item code]],0)</f>
        <v>0</v>
      </c>
      <c r="K831" s="293">
        <f>IFERROR(Tabela_Base_Financeiro[[#This Row],[Unit Price]],0)</f>
        <v>0</v>
      </c>
      <c r="L831" s="36">
        <f>IFERROR(Tabela_Base_Financeiro[[#This Row],[AC Qty,]],0)</f>
        <v>0</v>
      </c>
      <c r="M831" s="60">
        <f>Tabela6[[#This Row],[Qty]]*Tabela6[[#This Row],[Preço]]</f>
        <v>0</v>
      </c>
      <c r="N831" s="37">
        <f>IFERROR(Tabela_Base_Financeiro[[#This Row],[Proportion]],0)</f>
        <v>0</v>
      </c>
      <c r="O831" s="60">
        <f>Tabela6[[#This Row],[Proporção]]*Tabela6[[#This Row],[Total]]</f>
        <v>0</v>
      </c>
      <c r="P831"/>
      <c r="Q831" s="59"/>
      <c r="R831" s="1"/>
    </row>
    <row r="832" spans="1:18">
      <c r="A832" s="122" t="e">
        <f>IF(VLOOKUP(Tabela6[[#This Row],[UF]],'BASE CC'!B:C,2,0)="SP",IF(Tabela6[[#This Row],[OPERADORA]]="TIM","SP TIM","SPI"),VLOOKUP(Tabela6[[#This Row],[UF]],'BASE CC'!B:C,2,0))</f>
        <v>#N/A</v>
      </c>
      <c r="B832" s="36" t="e">
        <f>VLOOKUP(Tabela_Base_Financeiro[[#This Row],[Item code]],'COD.FAT'!B:C,2,0)</f>
        <v>#N/A</v>
      </c>
      <c r="C832" s="292">
        <f>Tabela_Base_Financeiro[[#This Row],[PO Ship TO]]</f>
        <v>0</v>
      </c>
      <c r="D832" s="36" t="str">
        <f>RIGHT(Tabela_Base_Financeiro[[#This Row],[Manufacturer]],2)</f>
        <v/>
      </c>
      <c r="E83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32" s="122" t="e">
        <f>VLOOKUP(Tabela_Base_Financeiro[[#This Row],[Project Code]],'COD. PROJETOS'!B:D,3,0)</f>
        <v>#N/A</v>
      </c>
      <c r="G832" s="36">
        <f>IFERROR(Tabela_Base_Financeiro[[#This Row],[PO No,]],0)</f>
        <v>0</v>
      </c>
      <c r="H832" s="36">
        <f>IFERROR(Tabela_Base_Financeiro[[#This Row],[Line No,]],0)</f>
        <v>0</v>
      </c>
      <c r="I832" s="36" t="str">
        <f>IFERROR(MID(Tabela_Base_Financeiro[[#This Row],[Manufacturer]],19,14),"")</f>
        <v/>
      </c>
      <c r="J832" s="113">
        <f>IFERROR(Tabela_Base_Financeiro[[#This Row],[Item code]],0)</f>
        <v>0</v>
      </c>
      <c r="K832" s="293">
        <f>IFERROR(Tabela_Base_Financeiro[[#This Row],[Unit Price]],0)</f>
        <v>0</v>
      </c>
      <c r="L832" s="36">
        <f>IFERROR(Tabela_Base_Financeiro[[#This Row],[AC Qty,]],0)</f>
        <v>0</v>
      </c>
      <c r="M832" s="60">
        <f>Tabela6[[#This Row],[Qty]]*Tabela6[[#This Row],[Preço]]</f>
        <v>0</v>
      </c>
      <c r="N832" s="37">
        <f>IFERROR(Tabela_Base_Financeiro[[#This Row],[Proportion]],0)</f>
        <v>0</v>
      </c>
      <c r="O832" s="60">
        <f>Tabela6[[#This Row],[Proporção]]*Tabela6[[#This Row],[Total]]</f>
        <v>0</v>
      </c>
      <c r="P832"/>
      <c r="Q832" s="59"/>
      <c r="R832" s="1"/>
    </row>
    <row r="833" spans="1:18">
      <c r="A833" s="122" t="e">
        <f>IF(VLOOKUP(Tabela6[[#This Row],[UF]],'BASE CC'!B:C,2,0)="SP",IF(Tabela6[[#This Row],[OPERADORA]]="TIM","SP TIM","SPI"),VLOOKUP(Tabela6[[#This Row],[UF]],'BASE CC'!B:C,2,0))</f>
        <v>#N/A</v>
      </c>
      <c r="B833" s="36" t="e">
        <f>VLOOKUP(Tabela_Base_Financeiro[[#This Row],[Item code]],'COD.FAT'!B:C,2,0)</f>
        <v>#N/A</v>
      </c>
      <c r="C833" s="292">
        <f>Tabela_Base_Financeiro[[#This Row],[PO Ship TO]]</f>
        <v>0</v>
      </c>
      <c r="D833" s="36" t="str">
        <f>RIGHT(Tabela_Base_Financeiro[[#This Row],[Manufacturer]],2)</f>
        <v/>
      </c>
      <c r="E83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33" s="122" t="e">
        <f>VLOOKUP(Tabela_Base_Financeiro[[#This Row],[Project Code]],'COD. PROJETOS'!B:D,3,0)</f>
        <v>#N/A</v>
      </c>
      <c r="G833" s="36">
        <f>IFERROR(Tabela_Base_Financeiro[[#This Row],[PO No,]],0)</f>
        <v>0</v>
      </c>
      <c r="H833" s="36">
        <f>IFERROR(Tabela_Base_Financeiro[[#This Row],[Line No,]],0)</f>
        <v>0</v>
      </c>
      <c r="I833" s="36" t="str">
        <f>IFERROR(MID(Tabela_Base_Financeiro[[#This Row],[Manufacturer]],19,14),"")</f>
        <v/>
      </c>
      <c r="J833" s="113">
        <f>IFERROR(Tabela_Base_Financeiro[[#This Row],[Item code]],0)</f>
        <v>0</v>
      </c>
      <c r="K833" s="293">
        <f>IFERROR(Tabela_Base_Financeiro[[#This Row],[Unit Price]],0)</f>
        <v>0</v>
      </c>
      <c r="L833" s="36">
        <f>IFERROR(Tabela_Base_Financeiro[[#This Row],[AC Qty,]],0)</f>
        <v>0</v>
      </c>
      <c r="M833" s="60">
        <f>Tabela6[[#This Row],[Qty]]*Tabela6[[#This Row],[Preço]]</f>
        <v>0</v>
      </c>
      <c r="N833" s="37">
        <f>IFERROR(Tabela_Base_Financeiro[[#This Row],[Proportion]],0)</f>
        <v>0</v>
      </c>
      <c r="O833" s="60">
        <f>Tabela6[[#This Row],[Proporção]]*Tabela6[[#This Row],[Total]]</f>
        <v>0</v>
      </c>
      <c r="P833"/>
      <c r="Q833" s="59"/>
      <c r="R833" s="1"/>
    </row>
    <row r="834" spans="1:18">
      <c r="A834" s="122" t="e">
        <f>IF(VLOOKUP(Tabela6[[#This Row],[UF]],'BASE CC'!B:C,2,0)="SP",IF(Tabela6[[#This Row],[OPERADORA]]="TIM","SP TIM","SPI"),VLOOKUP(Tabela6[[#This Row],[UF]],'BASE CC'!B:C,2,0))</f>
        <v>#N/A</v>
      </c>
      <c r="B834" s="36" t="e">
        <f>VLOOKUP(Tabela_Base_Financeiro[[#This Row],[Item code]],'COD.FAT'!B:C,2,0)</f>
        <v>#N/A</v>
      </c>
      <c r="C834" s="292">
        <f>Tabela_Base_Financeiro[[#This Row],[PO Ship TO]]</f>
        <v>0</v>
      </c>
      <c r="D834" s="36" t="str">
        <f>RIGHT(Tabela_Base_Financeiro[[#This Row],[Manufacturer]],2)</f>
        <v/>
      </c>
      <c r="E83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34" s="122" t="e">
        <f>VLOOKUP(Tabela_Base_Financeiro[[#This Row],[Project Code]],'COD. PROJETOS'!B:D,3,0)</f>
        <v>#N/A</v>
      </c>
      <c r="G834" s="36">
        <f>IFERROR(Tabela_Base_Financeiro[[#This Row],[PO No,]],0)</f>
        <v>0</v>
      </c>
      <c r="H834" s="36">
        <f>IFERROR(Tabela_Base_Financeiro[[#This Row],[Line No,]],0)</f>
        <v>0</v>
      </c>
      <c r="I834" s="36" t="str">
        <f>IFERROR(MID(Tabela_Base_Financeiro[[#This Row],[Manufacturer]],19,14),"")</f>
        <v/>
      </c>
      <c r="J834" s="113">
        <f>IFERROR(Tabela_Base_Financeiro[[#This Row],[Item code]],0)</f>
        <v>0</v>
      </c>
      <c r="K834" s="293">
        <f>IFERROR(Tabela_Base_Financeiro[[#This Row],[Unit Price]],0)</f>
        <v>0</v>
      </c>
      <c r="L834" s="36">
        <f>IFERROR(Tabela_Base_Financeiro[[#This Row],[AC Qty,]],0)</f>
        <v>0</v>
      </c>
      <c r="M834" s="60">
        <f>Tabela6[[#This Row],[Qty]]*Tabela6[[#This Row],[Preço]]</f>
        <v>0</v>
      </c>
      <c r="N834" s="37">
        <f>IFERROR(Tabela_Base_Financeiro[[#This Row],[Proportion]],0)</f>
        <v>0</v>
      </c>
      <c r="O834" s="60">
        <f>Tabela6[[#This Row],[Proporção]]*Tabela6[[#This Row],[Total]]</f>
        <v>0</v>
      </c>
      <c r="P834"/>
      <c r="Q834" s="59"/>
      <c r="R834" s="1"/>
    </row>
    <row r="835" spans="1:18">
      <c r="A835" s="122" t="e">
        <f>IF(VLOOKUP(Tabela6[[#This Row],[UF]],'BASE CC'!B:C,2,0)="SP",IF(Tabela6[[#This Row],[OPERADORA]]="TIM","SP TIM","SPI"),VLOOKUP(Tabela6[[#This Row],[UF]],'BASE CC'!B:C,2,0))</f>
        <v>#N/A</v>
      </c>
      <c r="B835" s="36" t="e">
        <f>VLOOKUP(Tabela_Base_Financeiro[[#This Row],[Item code]],'COD.FAT'!B:C,2,0)</f>
        <v>#N/A</v>
      </c>
      <c r="C835" s="292">
        <f>Tabela_Base_Financeiro[[#This Row],[PO Ship TO]]</f>
        <v>0</v>
      </c>
      <c r="D835" s="36" t="str">
        <f>RIGHT(Tabela_Base_Financeiro[[#This Row],[Manufacturer]],2)</f>
        <v/>
      </c>
      <c r="E83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35" s="122" t="e">
        <f>VLOOKUP(Tabela_Base_Financeiro[[#This Row],[Project Code]],'COD. PROJETOS'!B:D,3,0)</f>
        <v>#N/A</v>
      </c>
      <c r="G835" s="36">
        <f>IFERROR(Tabela_Base_Financeiro[[#This Row],[PO No,]],0)</f>
        <v>0</v>
      </c>
      <c r="H835" s="36">
        <f>IFERROR(Tabela_Base_Financeiro[[#This Row],[Line No,]],0)</f>
        <v>0</v>
      </c>
      <c r="I835" s="36" t="str">
        <f>IFERROR(MID(Tabela_Base_Financeiro[[#This Row],[Manufacturer]],19,14),"")</f>
        <v/>
      </c>
      <c r="J835" s="113">
        <f>IFERROR(Tabela_Base_Financeiro[[#This Row],[Item code]],0)</f>
        <v>0</v>
      </c>
      <c r="K835" s="293">
        <f>IFERROR(Tabela_Base_Financeiro[[#This Row],[Unit Price]],0)</f>
        <v>0</v>
      </c>
      <c r="L835" s="36">
        <f>IFERROR(Tabela_Base_Financeiro[[#This Row],[AC Qty,]],0)</f>
        <v>0</v>
      </c>
      <c r="M835" s="60">
        <f>Tabela6[[#This Row],[Qty]]*Tabela6[[#This Row],[Preço]]</f>
        <v>0</v>
      </c>
      <c r="N835" s="37">
        <f>IFERROR(Tabela_Base_Financeiro[[#This Row],[Proportion]],0)</f>
        <v>0</v>
      </c>
      <c r="O835" s="60">
        <f>Tabela6[[#This Row],[Proporção]]*Tabela6[[#This Row],[Total]]</f>
        <v>0</v>
      </c>
      <c r="P835"/>
      <c r="Q835" s="59"/>
      <c r="R835" s="1"/>
    </row>
    <row r="836" spans="1:18">
      <c r="A836" s="122" t="e">
        <f>IF(VLOOKUP(Tabela6[[#This Row],[UF]],'BASE CC'!B:C,2,0)="SP",IF(Tabela6[[#This Row],[OPERADORA]]="TIM","SP TIM","SPI"),VLOOKUP(Tabela6[[#This Row],[UF]],'BASE CC'!B:C,2,0))</f>
        <v>#N/A</v>
      </c>
      <c r="B836" s="36" t="e">
        <f>VLOOKUP(Tabela_Base_Financeiro[[#This Row],[Item code]],'COD.FAT'!B:C,2,0)</f>
        <v>#N/A</v>
      </c>
      <c r="C836" s="292">
        <f>Tabela_Base_Financeiro[[#This Row],[PO Ship TO]]</f>
        <v>0</v>
      </c>
      <c r="D836" s="36" t="str">
        <f>RIGHT(Tabela_Base_Financeiro[[#This Row],[Manufacturer]],2)</f>
        <v/>
      </c>
      <c r="E83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36" s="122" t="e">
        <f>VLOOKUP(Tabela_Base_Financeiro[[#This Row],[Project Code]],'COD. PROJETOS'!B:D,3,0)</f>
        <v>#N/A</v>
      </c>
      <c r="G836" s="36">
        <f>IFERROR(Tabela_Base_Financeiro[[#This Row],[PO No,]],0)</f>
        <v>0</v>
      </c>
      <c r="H836" s="36">
        <f>IFERROR(Tabela_Base_Financeiro[[#This Row],[Line No,]],0)</f>
        <v>0</v>
      </c>
      <c r="I836" s="36" t="str">
        <f>IFERROR(MID(Tabela_Base_Financeiro[[#This Row],[Manufacturer]],19,14),"")</f>
        <v/>
      </c>
      <c r="J836" s="113">
        <f>IFERROR(Tabela_Base_Financeiro[[#This Row],[Item code]],0)</f>
        <v>0</v>
      </c>
      <c r="K836" s="293">
        <f>IFERROR(Tabela_Base_Financeiro[[#This Row],[Unit Price]],0)</f>
        <v>0</v>
      </c>
      <c r="L836" s="36">
        <f>IFERROR(Tabela_Base_Financeiro[[#This Row],[AC Qty,]],0)</f>
        <v>0</v>
      </c>
      <c r="M836" s="60">
        <f>Tabela6[[#This Row],[Qty]]*Tabela6[[#This Row],[Preço]]</f>
        <v>0</v>
      </c>
      <c r="N836" s="37">
        <f>IFERROR(Tabela_Base_Financeiro[[#This Row],[Proportion]],0)</f>
        <v>0</v>
      </c>
      <c r="O836" s="60">
        <f>Tabela6[[#This Row],[Proporção]]*Tabela6[[#This Row],[Total]]</f>
        <v>0</v>
      </c>
      <c r="P836"/>
      <c r="Q836" s="59"/>
      <c r="R836" s="1"/>
    </row>
    <row r="837" spans="1:18">
      <c r="A837" s="122" t="e">
        <f>IF(VLOOKUP(Tabela6[[#This Row],[UF]],'BASE CC'!B:C,2,0)="SP",IF(Tabela6[[#This Row],[OPERADORA]]="TIM","SP TIM","SPI"),VLOOKUP(Tabela6[[#This Row],[UF]],'BASE CC'!B:C,2,0))</f>
        <v>#N/A</v>
      </c>
      <c r="B837" s="36" t="e">
        <f>VLOOKUP(Tabela_Base_Financeiro[[#This Row],[Item code]],'COD.FAT'!B:C,2,0)</f>
        <v>#N/A</v>
      </c>
      <c r="C837" s="292">
        <f>Tabela_Base_Financeiro[[#This Row],[PO Ship TO]]</f>
        <v>0</v>
      </c>
      <c r="D837" s="36" t="str">
        <f>RIGHT(Tabela_Base_Financeiro[[#This Row],[Manufacturer]],2)</f>
        <v/>
      </c>
      <c r="E83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37" s="122" t="e">
        <f>VLOOKUP(Tabela_Base_Financeiro[[#This Row],[Project Code]],'COD. PROJETOS'!B:D,3,0)</f>
        <v>#N/A</v>
      </c>
      <c r="G837" s="36">
        <f>IFERROR(Tabela_Base_Financeiro[[#This Row],[PO No,]],0)</f>
        <v>0</v>
      </c>
      <c r="H837" s="36">
        <f>IFERROR(Tabela_Base_Financeiro[[#This Row],[Line No,]],0)</f>
        <v>0</v>
      </c>
      <c r="I837" s="36" t="str">
        <f>IFERROR(MID(Tabela_Base_Financeiro[[#This Row],[Manufacturer]],19,14),"")</f>
        <v/>
      </c>
      <c r="J837" s="113">
        <f>IFERROR(Tabela_Base_Financeiro[[#This Row],[Item code]],0)</f>
        <v>0</v>
      </c>
      <c r="K837" s="293">
        <f>IFERROR(Tabela_Base_Financeiro[[#This Row],[Unit Price]],0)</f>
        <v>0</v>
      </c>
      <c r="L837" s="36">
        <f>IFERROR(Tabela_Base_Financeiro[[#This Row],[AC Qty,]],0)</f>
        <v>0</v>
      </c>
      <c r="M837" s="60">
        <f>Tabela6[[#This Row],[Qty]]*Tabela6[[#This Row],[Preço]]</f>
        <v>0</v>
      </c>
      <c r="N837" s="37">
        <f>IFERROR(Tabela_Base_Financeiro[[#This Row],[Proportion]],0)</f>
        <v>0</v>
      </c>
      <c r="O837" s="60">
        <f>Tabela6[[#This Row],[Proporção]]*Tabela6[[#This Row],[Total]]</f>
        <v>0</v>
      </c>
      <c r="P837"/>
      <c r="Q837" s="59"/>
      <c r="R837" s="1"/>
    </row>
    <row r="838" spans="1:18">
      <c r="A838" s="122" t="e">
        <f>IF(VLOOKUP(Tabela6[[#This Row],[UF]],'BASE CC'!B:C,2,0)="SP",IF(Tabela6[[#This Row],[OPERADORA]]="TIM","SP TIM","SPI"),VLOOKUP(Tabela6[[#This Row],[UF]],'BASE CC'!B:C,2,0))</f>
        <v>#N/A</v>
      </c>
      <c r="B838" s="36" t="e">
        <f>VLOOKUP(Tabela_Base_Financeiro[[#This Row],[Item code]],'COD.FAT'!B:C,2,0)</f>
        <v>#N/A</v>
      </c>
      <c r="C838" s="292">
        <f>Tabela_Base_Financeiro[[#This Row],[PO Ship TO]]</f>
        <v>0</v>
      </c>
      <c r="D838" s="36" t="str">
        <f>RIGHT(Tabela_Base_Financeiro[[#This Row],[Manufacturer]],2)</f>
        <v/>
      </c>
      <c r="E83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38" s="122" t="e">
        <f>VLOOKUP(Tabela_Base_Financeiro[[#This Row],[Project Code]],'COD. PROJETOS'!B:D,3,0)</f>
        <v>#N/A</v>
      </c>
      <c r="G838" s="36">
        <f>IFERROR(Tabela_Base_Financeiro[[#This Row],[PO No,]],0)</f>
        <v>0</v>
      </c>
      <c r="H838" s="36">
        <f>IFERROR(Tabela_Base_Financeiro[[#This Row],[Line No,]],0)</f>
        <v>0</v>
      </c>
      <c r="I838" s="36" t="str">
        <f>IFERROR(MID(Tabela_Base_Financeiro[[#This Row],[Manufacturer]],19,14),"")</f>
        <v/>
      </c>
      <c r="J838" s="113">
        <f>IFERROR(Tabela_Base_Financeiro[[#This Row],[Item code]],0)</f>
        <v>0</v>
      </c>
      <c r="K838" s="293">
        <f>IFERROR(Tabela_Base_Financeiro[[#This Row],[Unit Price]],0)</f>
        <v>0</v>
      </c>
      <c r="L838" s="36">
        <f>IFERROR(Tabela_Base_Financeiro[[#This Row],[AC Qty,]],0)</f>
        <v>0</v>
      </c>
      <c r="M838" s="60">
        <f>Tabela6[[#This Row],[Qty]]*Tabela6[[#This Row],[Preço]]</f>
        <v>0</v>
      </c>
      <c r="N838" s="37">
        <f>IFERROR(Tabela_Base_Financeiro[[#This Row],[Proportion]],0)</f>
        <v>0</v>
      </c>
      <c r="O838" s="60">
        <f>Tabela6[[#This Row],[Proporção]]*Tabela6[[#This Row],[Total]]</f>
        <v>0</v>
      </c>
      <c r="P838"/>
      <c r="Q838" s="59"/>
      <c r="R838" s="1"/>
    </row>
    <row r="839" spans="1:18">
      <c r="A839" s="122" t="e">
        <f>IF(VLOOKUP(Tabela6[[#This Row],[UF]],'BASE CC'!B:C,2,0)="SP",IF(Tabela6[[#This Row],[OPERADORA]]="TIM","SP TIM","SPI"),VLOOKUP(Tabela6[[#This Row],[UF]],'BASE CC'!B:C,2,0))</f>
        <v>#N/A</v>
      </c>
      <c r="B839" s="36" t="e">
        <f>VLOOKUP(Tabela_Base_Financeiro[[#This Row],[Item code]],'COD.FAT'!B:C,2,0)</f>
        <v>#N/A</v>
      </c>
      <c r="C839" s="292">
        <f>Tabela_Base_Financeiro[[#This Row],[PO Ship TO]]</f>
        <v>0</v>
      </c>
      <c r="D839" s="36" t="str">
        <f>RIGHT(Tabela_Base_Financeiro[[#This Row],[Manufacturer]],2)</f>
        <v/>
      </c>
      <c r="E83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39" s="122" t="e">
        <f>VLOOKUP(Tabela_Base_Financeiro[[#This Row],[Project Code]],'COD. PROJETOS'!B:D,3,0)</f>
        <v>#N/A</v>
      </c>
      <c r="G839" s="36">
        <f>IFERROR(Tabela_Base_Financeiro[[#This Row],[PO No,]],0)</f>
        <v>0</v>
      </c>
      <c r="H839" s="36">
        <f>IFERROR(Tabela_Base_Financeiro[[#This Row],[Line No,]],0)</f>
        <v>0</v>
      </c>
      <c r="I839" s="36" t="str">
        <f>IFERROR(MID(Tabela_Base_Financeiro[[#This Row],[Manufacturer]],19,14),"")</f>
        <v/>
      </c>
      <c r="J839" s="113">
        <f>IFERROR(Tabela_Base_Financeiro[[#This Row],[Item code]],0)</f>
        <v>0</v>
      </c>
      <c r="K839" s="293">
        <f>IFERROR(Tabela_Base_Financeiro[[#This Row],[Unit Price]],0)</f>
        <v>0</v>
      </c>
      <c r="L839" s="36">
        <f>IFERROR(Tabela_Base_Financeiro[[#This Row],[AC Qty,]],0)</f>
        <v>0</v>
      </c>
      <c r="M839" s="60">
        <f>Tabela6[[#This Row],[Qty]]*Tabela6[[#This Row],[Preço]]</f>
        <v>0</v>
      </c>
      <c r="N839" s="37">
        <f>IFERROR(Tabela_Base_Financeiro[[#This Row],[Proportion]],0)</f>
        <v>0</v>
      </c>
      <c r="O839" s="60">
        <f>Tabela6[[#This Row],[Proporção]]*Tabela6[[#This Row],[Total]]</f>
        <v>0</v>
      </c>
      <c r="P839"/>
      <c r="Q839" s="59"/>
      <c r="R839" s="1"/>
    </row>
    <row r="840" spans="1:18">
      <c r="A840" s="122" t="e">
        <f>IF(VLOOKUP(Tabela6[[#This Row],[UF]],'BASE CC'!B:C,2,0)="SP",IF(Tabela6[[#This Row],[OPERADORA]]="TIM","SP TIM","SPI"),VLOOKUP(Tabela6[[#This Row],[UF]],'BASE CC'!B:C,2,0))</f>
        <v>#N/A</v>
      </c>
      <c r="B840" s="36" t="e">
        <f>VLOOKUP(Tabela_Base_Financeiro[[#This Row],[Item code]],'COD.FAT'!B:C,2,0)</f>
        <v>#N/A</v>
      </c>
      <c r="C840" s="292">
        <f>Tabela_Base_Financeiro[[#This Row],[PO Ship TO]]</f>
        <v>0</v>
      </c>
      <c r="D840" s="36" t="str">
        <f>RIGHT(Tabela_Base_Financeiro[[#This Row],[Manufacturer]],2)</f>
        <v/>
      </c>
      <c r="E84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40" s="122" t="e">
        <f>VLOOKUP(Tabela_Base_Financeiro[[#This Row],[Project Code]],'COD. PROJETOS'!B:D,3,0)</f>
        <v>#N/A</v>
      </c>
      <c r="G840" s="36">
        <f>IFERROR(Tabela_Base_Financeiro[[#This Row],[PO No,]],0)</f>
        <v>0</v>
      </c>
      <c r="H840" s="36">
        <f>IFERROR(Tabela_Base_Financeiro[[#This Row],[Line No,]],0)</f>
        <v>0</v>
      </c>
      <c r="I840" s="36" t="str">
        <f>IFERROR(MID(Tabela_Base_Financeiro[[#This Row],[Manufacturer]],19,14),"")</f>
        <v/>
      </c>
      <c r="J840" s="113">
        <f>IFERROR(Tabela_Base_Financeiro[[#This Row],[Item code]],0)</f>
        <v>0</v>
      </c>
      <c r="K840" s="293">
        <f>IFERROR(Tabela_Base_Financeiro[[#This Row],[Unit Price]],0)</f>
        <v>0</v>
      </c>
      <c r="L840" s="36">
        <f>IFERROR(Tabela_Base_Financeiro[[#This Row],[AC Qty,]],0)</f>
        <v>0</v>
      </c>
      <c r="M840" s="60">
        <f>Tabela6[[#This Row],[Qty]]*Tabela6[[#This Row],[Preço]]</f>
        <v>0</v>
      </c>
      <c r="N840" s="37">
        <f>IFERROR(Tabela_Base_Financeiro[[#This Row],[Proportion]],0)</f>
        <v>0</v>
      </c>
      <c r="O840" s="60">
        <f>Tabela6[[#This Row],[Proporção]]*Tabela6[[#This Row],[Total]]</f>
        <v>0</v>
      </c>
      <c r="P840"/>
      <c r="Q840" s="59"/>
      <c r="R840" s="1"/>
    </row>
    <row r="841" spans="1:18">
      <c r="A841" s="122" t="e">
        <f>IF(VLOOKUP(Tabela6[[#This Row],[UF]],'BASE CC'!B:C,2,0)="SP",IF(Tabela6[[#This Row],[OPERADORA]]="TIM","SP TIM","SPI"),VLOOKUP(Tabela6[[#This Row],[UF]],'BASE CC'!B:C,2,0))</f>
        <v>#N/A</v>
      </c>
      <c r="B841" s="36" t="e">
        <f>VLOOKUP(Tabela_Base_Financeiro[[#This Row],[Item code]],'COD.FAT'!B:C,2,0)</f>
        <v>#N/A</v>
      </c>
      <c r="C841" s="292">
        <f>Tabela_Base_Financeiro[[#This Row],[PO Ship TO]]</f>
        <v>0</v>
      </c>
      <c r="D841" s="36" t="str">
        <f>RIGHT(Tabela_Base_Financeiro[[#This Row],[Manufacturer]],2)</f>
        <v/>
      </c>
      <c r="E84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41" s="122" t="e">
        <f>VLOOKUP(Tabela_Base_Financeiro[[#This Row],[Project Code]],'COD. PROJETOS'!B:D,3,0)</f>
        <v>#N/A</v>
      </c>
      <c r="G841" s="36">
        <f>IFERROR(Tabela_Base_Financeiro[[#This Row],[PO No,]],0)</f>
        <v>0</v>
      </c>
      <c r="H841" s="36">
        <f>IFERROR(Tabela_Base_Financeiro[[#This Row],[Line No,]],0)</f>
        <v>0</v>
      </c>
      <c r="I841" s="36" t="str">
        <f>IFERROR(MID(Tabela_Base_Financeiro[[#This Row],[Manufacturer]],19,14),"")</f>
        <v/>
      </c>
      <c r="J841" s="113">
        <f>IFERROR(Tabela_Base_Financeiro[[#This Row],[Item code]],0)</f>
        <v>0</v>
      </c>
      <c r="K841" s="293">
        <f>IFERROR(Tabela_Base_Financeiro[[#This Row],[Unit Price]],0)</f>
        <v>0</v>
      </c>
      <c r="L841" s="36">
        <f>IFERROR(Tabela_Base_Financeiro[[#This Row],[AC Qty,]],0)</f>
        <v>0</v>
      </c>
      <c r="M841" s="60">
        <f>Tabela6[[#This Row],[Qty]]*Tabela6[[#This Row],[Preço]]</f>
        <v>0</v>
      </c>
      <c r="N841" s="37">
        <f>IFERROR(Tabela_Base_Financeiro[[#This Row],[Proportion]],0)</f>
        <v>0</v>
      </c>
      <c r="O841" s="60">
        <f>Tabela6[[#This Row],[Proporção]]*Tabela6[[#This Row],[Total]]</f>
        <v>0</v>
      </c>
      <c r="P841"/>
      <c r="Q841" s="59"/>
      <c r="R841" s="1"/>
    </row>
    <row r="842" spans="1:18">
      <c r="A842" s="122" t="e">
        <f>IF(VLOOKUP(Tabela6[[#This Row],[UF]],'BASE CC'!B:C,2,0)="SP",IF(Tabela6[[#This Row],[OPERADORA]]="TIM","SP TIM","SPI"),VLOOKUP(Tabela6[[#This Row],[UF]],'BASE CC'!B:C,2,0))</f>
        <v>#N/A</v>
      </c>
      <c r="B842" s="36" t="e">
        <f>VLOOKUP(Tabela_Base_Financeiro[[#This Row],[Item code]],'COD.FAT'!B:C,2,0)</f>
        <v>#N/A</v>
      </c>
      <c r="C842" s="292">
        <f>Tabela_Base_Financeiro[[#This Row],[PO Ship TO]]</f>
        <v>0</v>
      </c>
      <c r="D842" s="36" t="str">
        <f>RIGHT(Tabela_Base_Financeiro[[#This Row],[Manufacturer]],2)</f>
        <v/>
      </c>
      <c r="E84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42" s="122" t="e">
        <f>VLOOKUP(Tabela_Base_Financeiro[[#This Row],[Project Code]],'COD. PROJETOS'!B:D,3,0)</f>
        <v>#N/A</v>
      </c>
      <c r="G842" s="36">
        <f>IFERROR(Tabela_Base_Financeiro[[#This Row],[PO No,]],0)</f>
        <v>0</v>
      </c>
      <c r="H842" s="36">
        <f>IFERROR(Tabela_Base_Financeiro[[#This Row],[Line No,]],0)</f>
        <v>0</v>
      </c>
      <c r="I842" s="36" t="str">
        <f>IFERROR(MID(Tabela_Base_Financeiro[[#This Row],[Manufacturer]],19,14),"")</f>
        <v/>
      </c>
      <c r="J842" s="113">
        <f>IFERROR(Tabela_Base_Financeiro[[#This Row],[Item code]],0)</f>
        <v>0</v>
      </c>
      <c r="K842" s="293">
        <f>IFERROR(Tabela_Base_Financeiro[[#This Row],[Unit Price]],0)</f>
        <v>0</v>
      </c>
      <c r="L842" s="36">
        <f>IFERROR(Tabela_Base_Financeiro[[#This Row],[AC Qty,]],0)</f>
        <v>0</v>
      </c>
      <c r="M842" s="60">
        <f>Tabela6[[#This Row],[Qty]]*Tabela6[[#This Row],[Preço]]</f>
        <v>0</v>
      </c>
      <c r="N842" s="37">
        <f>IFERROR(Tabela_Base_Financeiro[[#This Row],[Proportion]],0)</f>
        <v>0</v>
      </c>
      <c r="O842" s="60">
        <f>Tabela6[[#This Row],[Proporção]]*Tabela6[[#This Row],[Total]]</f>
        <v>0</v>
      </c>
      <c r="P842"/>
      <c r="Q842" s="59"/>
      <c r="R842" s="1"/>
    </row>
    <row r="843" spans="1:18">
      <c r="A843" s="122" t="e">
        <f>IF(VLOOKUP(Tabela6[[#This Row],[UF]],'BASE CC'!B:C,2,0)="SP",IF(Tabela6[[#This Row],[OPERADORA]]="TIM","SP TIM","SPI"),VLOOKUP(Tabela6[[#This Row],[UF]],'BASE CC'!B:C,2,0))</f>
        <v>#N/A</v>
      </c>
      <c r="B843" s="36" t="e">
        <f>VLOOKUP(Tabela_Base_Financeiro[[#This Row],[Item code]],'COD.FAT'!B:C,2,0)</f>
        <v>#N/A</v>
      </c>
      <c r="C843" s="292">
        <f>Tabela_Base_Financeiro[[#This Row],[PO Ship TO]]</f>
        <v>0</v>
      </c>
      <c r="D843" s="36" t="str">
        <f>RIGHT(Tabela_Base_Financeiro[[#This Row],[Manufacturer]],2)</f>
        <v/>
      </c>
      <c r="E84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43" s="122" t="e">
        <f>VLOOKUP(Tabela_Base_Financeiro[[#This Row],[Project Code]],'COD. PROJETOS'!B:D,3,0)</f>
        <v>#N/A</v>
      </c>
      <c r="G843" s="36">
        <f>IFERROR(Tabela_Base_Financeiro[[#This Row],[PO No,]],0)</f>
        <v>0</v>
      </c>
      <c r="H843" s="36">
        <f>IFERROR(Tabela_Base_Financeiro[[#This Row],[Line No,]],0)</f>
        <v>0</v>
      </c>
      <c r="I843" s="36" t="str">
        <f>IFERROR(MID(Tabela_Base_Financeiro[[#This Row],[Manufacturer]],19,14),"")</f>
        <v/>
      </c>
      <c r="J843" s="113">
        <f>IFERROR(Tabela_Base_Financeiro[[#This Row],[Item code]],0)</f>
        <v>0</v>
      </c>
      <c r="K843" s="293">
        <f>IFERROR(Tabela_Base_Financeiro[[#This Row],[Unit Price]],0)</f>
        <v>0</v>
      </c>
      <c r="L843" s="36">
        <f>IFERROR(Tabela_Base_Financeiro[[#This Row],[AC Qty,]],0)</f>
        <v>0</v>
      </c>
      <c r="M843" s="60">
        <f>Tabela6[[#This Row],[Qty]]*Tabela6[[#This Row],[Preço]]</f>
        <v>0</v>
      </c>
      <c r="N843" s="37">
        <f>IFERROR(Tabela_Base_Financeiro[[#This Row],[Proportion]],0)</f>
        <v>0</v>
      </c>
      <c r="O843" s="60">
        <f>Tabela6[[#This Row],[Proporção]]*Tabela6[[#This Row],[Total]]</f>
        <v>0</v>
      </c>
      <c r="P843"/>
      <c r="Q843" s="59"/>
      <c r="R843" s="1"/>
    </row>
    <row r="844" spans="1:18">
      <c r="A844" s="122" t="e">
        <f>IF(VLOOKUP(Tabela6[[#This Row],[UF]],'BASE CC'!B:C,2,0)="SP",IF(Tabela6[[#This Row],[OPERADORA]]="TIM","SP TIM","SPI"),VLOOKUP(Tabela6[[#This Row],[UF]],'BASE CC'!B:C,2,0))</f>
        <v>#N/A</v>
      </c>
      <c r="B844" s="36" t="e">
        <f>VLOOKUP(Tabela_Base_Financeiro[[#This Row],[Item code]],'COD.FAT'!B:C,2,0)</f>
        <v>#N/A</v>
      </c>
      <c r="C844" s="292">
        <f>Tabela_Base_Financeiro[[#This Row],[PO Ship TO]]</f>
        <v>0</v>
      </c>
      <c r="D844" s="36" t="str">
        <f>RIGHT(Tabela_Base_Financeiro[[#This Row],[Manufacturer]],2)</f>
        <v/>
      </c>
      <c r="E84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44" s="122" t="e">
        <f>VLOOKUP(Tabela_Base_Financeiro[[#This Row],[Project Code]],'COD. PROJETOS'!B:D,3,0)</f>
        <v>#N/A</v>
      </c>
      <c r="G844" s="36">
        <f>IFERROR(Tabela_Base_Financeiro[[#This Row],[PO No,]],0)</f>
        <v>0</v>
      </c>
      <c r="H844" s="36">
        <f>IFERROR(Tabela_Base_Financeiro[[#This Row],[Line No,]],0)</f>
        <v>0</v>
      </c>
      <c r="I844" s="36" t="str">
        <f>IFERROR(MID(Tabela_Base_Financeiro[[#This Row],[Manufacturer]],19,14),"")</f>
        <v/>
      </c>
      <c r="J844" s="113">
        <f>IFERROR(Tabela_Base_Financeiro[[#This Row],[Item code]],0)</f>
        <v>0</v>
      </c>
      <c r="K844" s="293">
        <f>IFERROR(Tabela_Base_Financeiro[[#This Row],[Unit Price]],0)</f>
        <v>0</v>
      </c>
      <c r="L844" s="36">
        <f>IFERROR(Tabela_Base_Financeiro[[#This Row],[AC Qty,]],0)</f>
        <v>0</v>
      </c>
      <c r="M844" s="60">
        <f>Tabela6[[#This Row],[Qty]]*Tabela6[[#This Row],[Preço]]</f>
        <v>0</v>
      </c>
      <c r="N844" s="37">
        <f>IFERROR(Tabela_Base_Financeiro[[#This Row],[Proportion]],0)</f>
        <v>0</v>
      </c>
      <c r="O844" s="60">
        <f>Tabela6[[#This Row],[Proporção]]*Tabela6[[#This Row],[Total]]</f>
        <v>0</v>
      </c>
      <c r="P844"/>
      <c r="Q844" s="59"/>
      <c r="R844" s="1"/>
    </row>
    <row r="845" spans="1:18">
      <c r="A845" s="122" t="e">
        <f>IF(VLOOKUP(Tabela6[[#This Row],[UF]],'BASE CC'!B:C,2,0)="SP",IF(Tabela6[[#This Row],[OPERADORA]]="TIM","SP TIM","SPI"),VLOOKUP(Tabela6[[#This Row],[UF]],'BASE CC'!B:C,2,0))</f>
        <v>#N/A</v>
      </c>
      <c r="B845" s="36" t="e">
        <f>VLOOKUP(Tabela_Base_Financeiro[[#This Row],[Item code]],'COD.FAT'!B:C,2,0)</f>
        <v>#N/A</v>
      </c>
      <c r="C845" s="292">
        <f>Tabela_Base_Financeiro[[#This Row],[PO Ship TO]]</f>
        <v>0</v>
      </c>
      <c r="D845" s="36" t="str">
        <f>RIGHT(Tabela_Base_Financeiro[[#This Row],[Manufacturer]],2)</f>
        <v/>
      </c>
      <c r="E84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45" s="122" t="e">
        <f>VLOOKUP(Tabela_Base_Financeiro[[#This Row],[Project Code]],'COD. PROJETOS'!B:D,3,0)</f>
        <v>#N/A</v>
      </c>
      <c r="G845" s="36">
        <f>IFERROR(Tabela_Base_Financeiro[[#This Row],[PO No,]],0)</f>
        <v>0</v>
      </c>
      <c r="H845" s="36">
        <f>IFERROR(Tabela_Base_Financeiro[[#This Row],[Line No,]],0)</f>
        <v>0</v>
      </c>
      <c r="I845" s="36" t="str">
        <f>IFERROR(MID(Tabela_Base_Financeiro[[#This Row],[Manufacturer]],19,14),"")</f>
        <v/>
      </c>
      <c r="J845" s="113">
        <f>IFERROR(Tabela_Base_Financeiro[[#This Row],[Item code]],0)</f>
        <v>0</v>
      </c>
      <c r="K845" s="293">
        <f>IFERROR(Tabela_Base_Financeiro[[#This Row],[Unit Price]],0)</f>
        <v>0</v>
      </c>
      <c r="L845" s="36">
        <f>IFERROR(Tabela_Base_Financeiro[[#This Row],[AC Qty,]],0)</f>
        <v>0</v>
      </c>
      <c r="M845" s="60">
        <f>Tabela6[[#This Row],[Qty]]*Tabela6[[#This Row],[Preço]]</f>
        <v>0</v>
      </c>
      <c r="N845" s="37">
        <f>IFERROR(Tabela_Base_Financeiro[[#This Row],[Proportion]],0)</f>
        <v>0</v>
      </c>
      <c r="O845" s="60">
        <f>Tabela6[[#This Row],[Proporção]]*Tabela6[[#This Row],[Total]]</f>
        <v>0</v>
      </c>
      <c r="P845"/>
      <c r="Q845" s="59"/>
      <c r="R845" s="1"/>
    </row>
    <row r="846" spans="1:18">
      <c r="A846" s="122" t="e">
        <f>IF(VLOOKUP(Tabela6[[#This Row],[UF]],'BASE CC'!B:C,2,0)="SP",IF(Tabela6[[#This Row],[OPERADORA]]="TIM","SP TIM","SPI"),VLOOKUP(Tabela6[[#This Row],[UF]],'BASE CC'!B:C,2,0))</f>
        <v>#N/A</v>
      </c>
      <c r="B846" s="36" t="e">
        <f>VLOOKUP(Tabela_Base_Financeiro[[#This Row],[Item code]],'COD.FAT'!B:C,2,0)</f>
        <v>#N/A</v>
      </c>
      <c r="C846" s="292">
        <f>Tabela_Base_Financeiro[[#This Row],[PO Ship TO]]</f>
        <v>0</v>
      </c>
      <c r="D846" s="36" t="str">
        <f>RIGHT(Tabela_Base_Financeiro[[#This Row],[Manufacturer]],2)</f>
        <v/>
      </c>
      <c r="E84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46" s="122" t="e">
        <f>VLOOKUP(Tabela_Base_Financeiro[[#This Row],[Project Code]],'COD. PROJETOS'!B:D,3,0)</f>
        <v>#N/A</v>
      </c>
      <c r="G846" s="36">
        <f>IFERROR(Tabela_Base_Financeiro[[#This Row],[PO No,]],0)</f>
        <v>0</v>
      </c>
      <c r="H846" s="36">
        <f>IFERROR(Tabela_Base_Financeiro[[#This Row],[Line No,]],0)</f>
        <v>0</v>
      </c>
      <c r="I846" s="36" t="str">
        <f>IFERROR(MID(Tabela_Base_Financeiro[[#This Row],[Manufacturer]],19,14),"")</f>
        <v/>
      </c>
      <c r="J846" s="113">
        <f>IFERROR(Tabela_Base_Financeiro[[#This Row],[Item code]],0)</f>
        <v>0</v>
      </c>
      <c r="K846" s="293">
        <f>IFERROR(Tabela_Base_Financeiro[[#This Row],[Unit Price]],0)</f>
        <v>0</v>
      </c>
      <c r="L846" s="36">
        <f>IFERROR(Tabela_Base_Financeiro[[#This Row],[AC Qty,]],0)</f>
        <v>0</v>
      </c>
      <c r="M846" s="60">
        <f>Tabela6[[#This Row],[Qty]]*Tabela6[[#This Row],[Preço]]</f>
        <v>0</v>
      </c>
      <c r="N846" s="37">
        <f>IFERROR(Tabela_Base_Financeiro[[#This Row],[Proportion]],0)</f>
        <v>0</v>
      </c>
      <c r="O846" s="60">
        <f>Tabela6[[#This Row],[Proporção]]*Tabela6[[#This Row],[Total]]</f>
        <v>0</v>
      </c>
      <c r="P846"/>
      <c r="Q846" s="59"/>
      <c r="R846" s="1"/>
    </row>
    <row r="847" spans="1:18">
      <c r="A847" s="122" t="e">
        <f>IF(VLOOKUP(Tabela6[[#This Row],[UF]],'BASE CC'!B:C,2,0)="SP",IF(Tabela6[[#This Row],[OPERADORA]]="TIM","SP TIM","SPI"),VLOOKUP(Tabela6[[#This Row],[UF]],'BASE CC'!B:C,2,0))</f>
        <v>#N/A</v>
      </c>
      <c r="B847" s="36" t="e">
        <f>VLOOKUP(Tabela_Base_Financeiro[[#This Row],[Item code]],'COD.FAT'!B:C,2,0)</f>
        <v>#N/A</v>
      </c>
      <c r="C847" s="292">
        <f>Tabela_Base_Financeiro[[#This Row],[PO Ship TO]]</f>
        <v>0</v>
      </c>
      <c r="D847" s="36" t="str">
        <f>RIGHT(Tabela_Base_Financeiro[[#This Row],[Manufacturer]],2)</f>
        <v/>
      </c>
      <c r="E84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47" s="122" t="e">
        <f>VLOOKUP(Tabela_Base_Financeiro[[#This Row],[Project Code]],'COD. PROJETOS'!B:D,3,0)</f>
        <v>#N/A</v>
      </c>
      <c r="G847" s="36">
        <f>IFERROR(Tabela_Base_Financeiro[[#This Row],[PO No,]],0)</f>
        <v>0</v>
      </c>
      <c r="H847" s="36">
        <f>IFERROR(Tabela_Base_Financeiro[[#This Row],[Line No,]],0)</f>
        <v>0</v>
      </c>
      <c r="I847" s="36" t="str">
        <f>IFERROR(MID(Tabela_Base_Financeiro[[#This Row],[Manufacturer]],19,14),"")</f>
        <v/>
      </c>
      <c r="J847" s="113">
        <f>IFERROR(Tabela_Base_Financeiro[[#This Row],[Item code]],0)</f>
        <v>0</v>
      </c>
      <c r="K847" s="293">
        <f>IFERROR(Tabela_Base_Financeiro[[#This Row],[Unit Price]],0)</f>
        <v>0</v>
      </c>
      <c r="L847" s="36">
        <f>IFERROR(Tabela_Base_Financeiro[[#This Row],[AC Qty,]],0)</f>
        <v>0</v>
      </c>
      <c r="M847" s="60">
        <f>Tabela6[[#This Row],[Qty]]*Tabela6[[#This Row],[Preço]]</f>
        <v>0</v>
      </c>
      <c r="N847" s="37">
        <f>IFERROR(Tabela_Base_Financeiro[[#This Row],[Proportion]],0)</f>
        <v>0</v>
      </c>
      <c r="O847" s="60">
        <f>Tabela6[[#This Row],[Proporção]]*Tabela6[[#This Row],[Total]]</f>
        <v>0</v>
      </c>
      <c r="P847"/>
      <c r="Q847" s="59"/>
      <c r="R847" s="1"/>
    </row>
    <row r="848" spans="1:18">
      <c r="A848" s="122" t="e">
        <f>IF(VLOOKUP(Tabela6[[#This Row],[UF]],'BASE CC'!B:C,2,0)="SP",IF(Tabela6[[#This Row],[OPERADORA]]="TIM","SP TIM","SPI"),VLOOKUP(Tabela6[[#This Row],[UF]],'BASE CC'!B:C,2,0))</f>
        <v>#N/A</v>
      </c>
      <c r="B848" s="36" t="e">
        <f>VLOOKUP(Tabela_Base_Financeiro[[#This Row],[Item code]],'COD.FAT'!B:C,2,0)</f>
        <v>#N/A</v>
      </c>
      <c r="C848" s="292">
        <f>Tabela_Base_Financeiro[[#This Row],[PO Ship TO]]</f>
        <v>0</v>
      </c>
      <c r="D848" s="36" t="str">
        <f>RIGHT(Tabela_Base_Financeiro[[#This Row],[Manufacturer]],2)</f>
        <v/>
      </c>
      <c r="E84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48" s="122" t="e">
        <f>VLOOKUP(Tabela_Base_Financeiro[[#This Row],[Project Code]],'COD. PROJETOS'!B:D,3,0)</f>
        <v>#N/A</v>
      </c>
      <c r="G848" s="36">
        <f>IFERROR(Tabela_Base_Financeiro[[#This Row],[PO No,]],0)</f>
        <v>0</v>
      </c>
      <c r="H848" s="36">
        <f>IFERROR(Tabela_Base_Financeiro[[#This Row],[Line No,]],0)</f>
        <v>0</v>
      </c>
      <c r="I848" s="36" t="str">
        <f>IFERROR(MID(Tabela_Base_Financeiro[[#This Row],[Manufacturer]],19,14),"")</f>
        <v/>
      </c>
      <c r="J848" s="113">
        <f>IFERROR(Tabela_Base_Financeiro[[#This Row],[Item code]],0)</f>
        <v>0</v>
      </c>
      <c r="K848" s="293">
        <f>IFERROR(Tabela_Base_Financeiro[[#This Row],[Unit Price]],0)</f>
        <v>0</v>
      </c>
      <c r="L848" s="36">
        <f>IFERROR(Tabela_Base_Financeiro[[#This Row],[AC Qty,]],0)</f>
        <v>0</v>
      </c>
      <c r="M848" s="60">
        <f>Tabela6[[#This Row],[Qty]]*Tabela6[[#This Row],[Preço]]</f>
        <v>0</v>
      </c>
      <c r="N848" s="37">
        <f>IFERROR(Tabela_Base_Financeiro[[#This Row],[Proportion]],0)</f>
        <v>0</v>
      </c>
      <c r="O848" s="60">
        <f>Tabela6[[#This Row],[Proporção]]*Tabela6[[#This Row],[Total]]</f>
        <v>0</v>
      </c>
      <c r="P848"/>
      <c r="Q848" s="59"/>
      <c r="R848" s="1"/>
    </row>
    <row r="849" spans="1:18">
      <c r="A849" s="122" t="e">
        <f>IF(VLOOKUP(Tabela6[[#This Row],[UF]],'BASE CC'!B:C,2,0)="SP",IF(Tabela6[[#This Row],[OPERADORA]]="TIM","SP TIM","SPI"),VLOOKUP(Tabela6[[#This Row],[UF]],'BASE CC'!B:C,2,0))</f>
        <v>#N/A</v>
      </c>
      <c r="B849" s="36" t="e">
        <f>VLOOKUP(Tabela_Base_Financeiro[[#This Row],[Item code]],'COD.FAT'!B:C,2,0)</f>
        <v>#N/A</v>
      </c>
      <c r="C849" s="292">
        <f>Tabela_Base_Financeiro[[#This Row],[PO Ship TO]]</f>
        <v>0</v>
      </c>
      <c r="D849" s="36" t="str">
        <f>RIGHT(Tabela_Base_Financeiro[[#This Row],[Manufacturer]],2)</f>
        <v/>
      </c>
      <c r="E84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49" s="122" t="e">
        <f>VLOOKUP(Tabela_Base_Financeiro[[#This Row],[Project Code]],'COD. PROJETOS'!B:D,3,0)</f>
        <v>#N/A</v>
      </c>
      <c r="G849" s="36">
        <f>IFERROR(Tabela_Base_Financeiro[[#This Row],[PO No,]],0)</f>
        <v>0</v>
      </c>
      <c r="H849" s="36">
        <f>IFERROR(Tabela_Base_Financeiro[[#This Row],[Line No,]],0)</f>
        <v>0</v>
      </c>
      <c r="I849" s="36" t="str">
        <f>IFERROR(MID(Tabela_Base_Financeiro[[#This Row],[Manufacturer]],19,14),"")</f>
        <v/>
      </c>
      <c r="J849" s="113">
        <f>IFERROR(Tabela_Base_Financeiro[[#This Row],[Item code]],0)</f>
        <v>0</v>
      </c>
      <c r="K849" s="293">
        <f>IFERROR(Tabela_Base_Financeiro[[#This Row],[Unit Price]],0)</f>
        <v>0</v>
      </c>
      <c r="L849" s="36">
        <f>IFERROR(Tabela_Base_Financeiro[[#This Row],[AC Qty,]],0)</f>
        <v>0</v>
      </c>
      <c r="M849" s="60">
        <f>Tabela6[[#This Row],[Qty]]*Tabela6[[#This Row],[Preço]]</f>
        <v>0</v>
      </c>
      <c r="N849" s="37">
        <f>IFERROR(Tabela_Base_Financeiro[[#This Row],[Proportion]],0)</f>
        <v>0</v>
      </c>
      <c r="O849" s="60">
        <f>Tabela6[[#This Row],[Proporção]]*Tabela6[[#This Row],[Total]]</f>
        <v>0</v>
      </c>
      <c r="P849"/>
      <c r="Q849" s="59"/>
      <c r="R849" s="1"/>
    </row>
    <row r="850" spans="1:18">
      <c r="A850" s="122" t="e">
        <f>IF(VLOOKUP(Tabela6[[#This Row],[UF]],'BASE CC'!B:C,2,0)="SP",IF(Tabela6[[#This Row],[OPERADORA]]="TIM","SP TIM","SPI"),VLOOKUP(Tabela6[[#This Row],[UF]],'BASE CC'!B:C,2,0))</f>
        <v>#N/A</v>
      </c>
      <c r="B850" s="36" t="e">
        <f>VLOOKUP(Tabela_Base_Financeiro[[#This Row],[Item code]],'COD.FAT'!B:C,2,0)</f>
        <v>#N/A</v>
      </c>
      <c r="C850" s="292">
        <f>Tabela_Base_Financeiro[[#This Row],[PO Ship TO]]</f>
        <v>0</v>
      </c>
      <c r="D850" s="36" t="str">
        <f>RIGHT(Tabela_Base_Financeiro[[#This Row],[Manufacturer]],2)</f>
        <v/>
      </c>
      <c r="E85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50" s="122" t="e">
        <f>VLOOKUP(Tabela_Base_Financeiro[[#This Row],[Project Code]],'COD. PROJETOS'!B:D,3,0)</f>
        <v>#N/A</v>
      </c>
      <c r="G850" s="36">
        <f>IFERROR(Tabela_Base_Financeiro[[#This Row],[PO No,]],0)</f>
        <v>0</v>
      </c>
      <c r="H850" s="36">
        <f>IFERROR(Tabela_Base_Financeiro[[#This Row],[Line No,]],0)</f>
        <v>0</v>
      </c>
      <c r="I850" s="36" t="str">
        <f>IFERROR(MID(Tabela_Base_Financeiro[[#This Row],[Manufacturer]],19,14),"")</f>
        <v/>
      </c>
      <c r="J850" s="113">
        <f>IFERROR(Tabela_Base_Financeiro[[#This Row],[Item code]],0)</f>
        <v>0</v>
      </c>
      <c r="K850" s="293">
        <f>IFERROR(Tabela_Base_Financeiro[[#This Row],[Unit Price]],0)</f>
        <v>0</v>
      </c>
      <c r="L850" s="36">
        <f>IFERROR(Tabela_Base_Financeiro[[#This Row],[AC Qty,]],0)</f>
        <v>0</v>
      </c>
      <c r="M850" s="60">
        <f>Tabela6[[#This Row],[Qty]]*Tabela6[[#This Row],[Preço]]</f>
        <v>0</v>
      </c>
      <c r="N850" s="37">
        <f>IFERROR(Tabela_Base_Financeiro[[#This Row],[Proportion]],0)</f>
        <v>0</v>
      </c>
      <c r="O850" s="60">
        <f>Tabela6[[#This Row],[Proporção]]*Tabela6[[#This Row],[Total]]</f>
        <v>0</v>
      </c>
      <c r="P850"/>
      <c r="Q850" s="59"/>
      <c r="R850" s="1"/>
    </row>
    <row r="851" spans="1:18">
      <c r="A851" s="122" t="e">
        <f>IF(VLOOKUP(Tabela6[[#This Row],[UF]],'BASE CC'!B:C,2,0)="SP",IF(Tabela6[[#This Row],[OPERADORA]]="TIM","SP TIM","SPI"),VLOOKUP(Tabela6[[#This Row],[UF]],'BASE CC'!B:C,2,0))</f>
        <v>#N/A</v>
      </c>
      <c r="B851" s="36" t="e">
        <f>VLOOKUP(Tabela_Base_Financeiro[[#This Row],[Item code]],'COD.FAT'!B:C,2,0)</f>
        <v>#N/A</v>
      </c>
      <c r="C851" s="292">
        <f>Tabela_Base_Financeiro[[#This Row],[PO Ship TO]]</f>
        <v>0</v>
      </c>
      <c r="D851" s="36" t="str">
        <f>RIGHT(Tabela_Base_Financeiro[[#This Row],[Manufacturer]],2)</f>
        <v/>
      </c>
      <c r="E85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51" s="122" t="e">
        <f>VLOOKUP(Tabela_Base_Financeiro[[#This Row],[Project Code]],'COD. PROJETOS'!B:D,3,0)</f>
        <v>#N/A</v>
      </c>
      <c r="G851" s="36">
        <f>IFERROR(Tabela_Base_Financeiro[[#This Row],[PO No,]],0)</f>
        <v>0</v>
      </c>
      <c r="H851" s="36">
        <f>IFERROR(Tabela_Base_Financeiro[[#This Row],[Line No,]],0)</f>
        <v>0</v>
      </c>
      <c r="I851" s="36" t="str">
        <f>IFERROR(MID(Tabela_Base_Financeiro[[#This Row],[Manufacturer]],19,14),"")</f>
        <v/>
      </c>
      <c r="J851" s="113">
        <f>IFERROR(Tabela_Base_Financeiro[[#This Row],[Item code]],0)</f>
        <v>0</v>
      </c>
      <c r="K851" s="293">
        <f>IFERROR(Tabela_Base_Financeiro[[#This Row],[Unit Price]],0)</f>
        <v>0</v>
      </c>
      <c r="L851" s="36">
        <f>IFERROR(Tabela_Base_Financeiro[[#This Row],[AC Qty,]],0)</f>
        <v>0</v>
      </c>
      <c r="M851" s="60">
        <f>Tabela6[[#This Row],[Qty]]*Tabela6[[#This Row],[Preço]]</f>
        <v>0</v>
      </c>
      <c r="N851" s="37">
        <f>IFERROR(Tabela_Base_Financeiro[[#This Row],[Proportion]],0)</f>
        <v>0</v>
      </c>
      <c r="O851" s="60">
        <f>Tabela6[[#This Row],[Proporção]]*Tabela6[[#This Row],[Total]]</f>
        <v>0</v>
      </c>
      <c r="P851"/>
      <c r="Q851" s="59"/>
      <c r="R851" s="1"/>
    </row>
    <row r="852" spans="1:18">
      <c r="A852" s="122" t="e">
        <f>IF(VLOOKUP(Tabela6[[#This Row],[UF]],'BASE CC'!B:C,2,0)="SP",IF(Tabela6[[#This Row],[OPERADORA]]="TIM","SP TIM","SPI"),VLOOKUP(Tabela6[[#This Row],[UF]],'BASE CC'!B:C,2,0))</f>
        <v>#N/A</v>
      </c>
      <c r="B852" s="36" t="e">
        <f>VLOOKUP(Tabela_Base_Financeiro[[#This Row],[Item code]],'COD.FAT'!B:C,2,0)</f>
        <v>#N/A</v>
      </c>
      <c r="C852" s="292">
        <f>Tabela_Base_Financeiro[[#This Row],[PO Ship TO]]</f>
        <v>0</v>
      </c>
      <c r="D852" s="36" t="str">
        <f>RIGHT(Tabela_Base_Financeiro[[#This Row],[Manufacturer]],2)</f>
        <v/>
      </c>
      <c r="E85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52" s="122" t="e">
        <f>VLOOKUP(Tabela_Base_Financeiro[[#This Row],[Project Code]],'COD. PROJETOS'!B:D,3,0)</f>
        <v>#N/A</v>
      </c>
      <c r="G852" s="36">
        <f>IFERROR(Tabela_Base_Financeiro[[#This Row],[PO No,]],0)</f>
        <v>0</v>
      </c>
      <c r="H852" s="36">
        <f>IFERROR(Tabela_Base_Financeiro[[#This Row],[Line No,]],0)</f>
        <v>0</v>
      </c>
      <c r="I852" s="36" t="str">
        <f>IFERROR(MID(Tabela_Base_Financeiro[[#This Row],[Manufacturer]],19,14),"")</f>
        <v/>
      </c>
      <c r="J852" s="113">
        <f>IFERROR(Tabela_Base_Financeiro[[#This Row],[Item code]],0)</f>
        <v>0</v>
      </c>
      <c r="K852" s="293">
        <f>IFERROR(Tabela_Base_Financeiro[[#This Row],[Unit Price]],0)</f>
        <v>0</v>
      </c>
      <c r="L852" s="36">
        <f>IFERROR(Tabela_Base_Financeiro[[#This Row],[AC Qty,]],0)</f>
        <v>0</v>
      </c>
      <c r="M852" s="60">
        <f>Tabela6[[#This Row],[Qty]]*Tabela6[[#This Row],[Preço]]</f>
        <v>0</v>
      </c>
      <c r="N852" s="37">
        <f>IFERROR(Tabela_Base_Financeiro[[#This Row],[Proportion]],0)</f>
        <v>0</v>
      </c>
      <c r="O852" s="60">
        <f>Tabela6[[#This Row],[Proporção]]*Tabela6[[#This Row],[Total]]</f>
        <v>0</v>
      </c>
      <c r="P852"/>
      <c r="Q852" s="59"/>
      <c r="R852" s="1"/>
    </row>
    <row r="853" spans="1:18">
      <c r="A853" s="122" t="e">
        <f>IF(VLOOKUP(Tabela6[[#This Row],[UF]],'BASE CC'!B:C,2,0)="SP",IF(Tabela6[[#This Row],[OPERADORA]]="TIM","SP TIM","SPI"),VLOOKUP(Tabela6[[#This Row],[UF]],'BASE CC'!B:C,2,0))</f>
        <v>#N/A</v>
      </c>
      <c r="B853" s="36" t="e">
        <f>VLOOKUP(Tabela_Base_Financeiro[[#This Row],[Item code]],'COD.FAT'!B:C,2,0)</f>
        <v>#N/A</v>
      </c>
      <c r="C853" s="292">
        <f>Tabela_Base_Financeiro[[#This Row],[PO Ship TO]]</f>
        <v>0</v>
      </c>
      <c r="D853" s="36" t="str">
        <f>RIGHT(Tabela_Base_Financeiro[[#This Row],[Manufacturer]],2)</f>
        <v/>
      </c>
      <c r="E85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53" s="122" t="e">
        <f>VLOOKUP(Tabela_Base_Financeiro[[#This Row],[Project Code]],'COD. PROJETOS'!B:D,3,0)</f>
        <v>#N/A</v>
      </c>
      <c r="G853" s="36">
        <f>IFERROR(Tabela_Base_Financeiro[[#This Row],[PO No,]],0)</f>
        <v>0</v>
      </c>
      <c r="H853" s="36">
        <f>IFERROR(Tabela_Base_Financeiro[[#This Row],[Line No,]],0)</f>
        <v>0</v>
      </c>
      <c r="I853" s="36" t="str">
        <f>IFERROR(MID(Tabela_Base_Financeiro[[#This Row],[Manufacturer]],19,14),"")</f>
        <v/>
      </c>
      <c r="J853" s="113">
        <f>IFERROR(Tabela_Base_Financeiro[[#This Row],[Item code]],0)</f>
        <v>0</v>
      </c>
      <c r="K853" s="293">
        <f>IFERROR(Tabela_Base_Financeiro[[#This Row],[Unit Price]],0)</f>
        <v>0</v>
      </c>
      <c r="L853" s="36">
        <f>IFERROR(Tabela_Base_Financeiro[[#This Row],[AC Qty,]],0)</f>
        <v>0</v>
      </c>
      <c r="M853" s="60">
        <f>Tabela6[[#This Row],[Qty]]*Tabela6[[#This Row],[Preço]]</f>
        <v>0</v>
      </c>
      <c r="N853" s="37">
        <f>IFERROR(Tabela_Base_Financeiro[[#This Row],[Proportion]],0)</f>
        <v>0</v>
      </c>
      <c r="O853" s="60">
        <f>Tabela6[[#This Row],[Proporção]]*Tabela6[[#This Row],[Total]]</f>
        <v>0</v>
      </c>
      <c r="P853"/>
      <c r="Q853" s="59"/>
      <c r="R853" s="1"/>
    </row>
    <row r="854" spans="1:18">
      <c r="A854" s="122" t="e">
        <f>IF(VLOOKUP(Tabela6[[#This Row],[UF]],'BASE CC'!B:C,2,0)="SP",IF(Tabela6[[#This Row],[OPERADORA]]="TIM","SP TIM","SPI"),VLOOKUP(Tabela6[[#This Row],[UF]],'BASE CC'!B:C,2,0))</f>
        <v>#N/A</v>
      </c>
      <c r="B854" s="36" t="e">
        <f>VLOOKUP(Tabela_Base_Financeiro[[#This Row],[Item code]],'COD.FAT'!B:C,2,0)</f>
        <v>#N/A</v>
      </c>
      <c r="C854" s="292">
        <f>Tabela_Base_Financeiro[[#This Row],[PO Ship TO]]</f>
        <v>0</v>
      </c>
      <c r="D854" s="36" t="str">
        <f>RIGHT(Tabela_Base_Financeiro[[#This Row],[Manufacturer]],2)</f>
        <v/>
      </c>
      <c r="E85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54" s="122" t="e">
        <f>VLOOKUP(Tabela_Base_Financeiro[[#This Row],[Project Code]],'COD. PROJETOS'!B:D,3,0)</f>
        <v>#N/A</v>
      </c>
      <c r="G854" s="36">
        <f>IFERROR(Tabela_Base_Financeiro[[#This Row],[PO No,]],0)</f>
        <v>0</v>
      </c>
      <c r="H854" s="36">
        <f>IFERROR(Tabela_Base_Financeiro[[#This Row],[Line No,]],0)</f>
        <v>0</v>
      </c>
      <c r="I854" s="36" t="str">
        <f>IFERROR(MID(Tabela_Base_Financeiro[[#This Row],[Manufacturer]],19,14),"")</f>
        <v/>
      </c>
      <c r="J854" s="113">
        <f>IFERROR(Tabela_Base_Financeiro[[#This Row],[Item code]],0)</f>
        <v>0</v>
      </c>
      <c r="K854" s="293">
        <f>IFERROR(Tabela_Base_Financeiro[[#This Row],[Unit Price]],0)</f>
        <v>0</v>
      </c>
      <c r="L854" s="36">
        <f>IFERROR(Tabela_Base_Financeiro[[#This Row],[AC Qty,]],0)</f>
        <v>0</v>
      </c>
      <c r="M854" s="60">
        <f>Tabela6[[#This Row],[Qty]]*Tabela6[[#This Row],[Preço]]</f>
        <v>0</v>
      </c>
      <c r="N854" s="37">
        <f>IFERROR(Tabela_Base_Financeiro[[#This Row],[Proportion]],0)</f>
        <v>0</v>
      </c>
      <c r="O854" s="60">
        <f>Tabela6[[#This Row],[Proporção]]*Tabela6[[#This Row],[Total]]</f>
        <v>0</v>
      </c>
      <c r="P854"/>
      <c r="Q854" s="59"/>
      <c r="R854" s="1"/>
    </row>
    <row r="855" spans="1:18">
      <c r="A855" s="122" t="e">
        <f>IF(VLOOKUP(Tabela6[[#This Row],[UF]],'BASE CC'!B:C,2,0)="SP",IF(Tabela6[[#This Row],[OPERADORA]]="TIM","SP TIM","SPI"),VLOOKUP(Tabela6[[#This Row],[UF]],'BASE CC'!B:C,2,0))</f>
        <v>#N/A</v>
      </c>
      <c r="B855" s="36" t="e">
        <f>VLOOKUP(Tabela_Base_Financeiro[[#This Row],[Item code]],'COD.FAT'!B:C,2,0)</f>
        <v>#N/A</v>
      </c>
      <c r="C855" s="292">
        <f>Tabela_Base_Financeiro[[#This Row],[PO Ship TO]]</f>
        <v>0</v>
      </c>
      <c r="D855" s="36" t="str">
        <f>RIGHT(Tabela_Base_Financeiro[[#This Row],[Manufacturer]],2)</f>
        <v/>
      </c>
      <c r="E85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55" s="122" t="e">
        <f>VLOOKUP(Tabela_Base_Financeiro[[#This Row],[Project Code]],'COD. PROJETOS'!B:D,3,0)</f>
        <v>#N/A</v>
      </c>
      <c r="G855" s="36">
        <f>IFERROR(Tabela_Base_Financeiro[[#This Row],[PO No,]],0)</f>
        <v>0</v>
      </c>
      <c r="H855" s="36">
        <f>IFERROR(Tabela_Base_Financeiro[[#This Row],[Line No,]],0)</f>
        <v>0</v>
      </c>
      <c r="I855" s="36" t="str">
        <f>IFERROR(MID(Tabela_Base_Financeiro[[#This Row],[Manufacturer]],19,14),"")</f>
        <v/>
      </c>
      <c r="J855" s="113">
        <f>IFERROR(Tabela_Base_Financeiro[[#This Row],[Item code]],0)</f>
        <v>0</v>
      </c>
      <c r="K855" s="293">
        <f>IFERROR(Tabela_Base_Financeiro[[#This Row],[Unit Price]],0)</f>
        <v>0</v>
      </c>
      <c r="L855" s="36">
        <f>IFERROR(Tabela_Base_Financeiro[[#This Row],[AC Qty,]],0)</f>
        <v>0</v>
      </c>
      <c r="M855" s="60">
        <f>Tabela6[[#This Row],[Qty]]*Tabela6[[#This Row],[Preço]]</f>
        <v>0</v>
      </c>
      <c r="N855" s="37">
        <f>IFERROR(Tabela_Base_Financeiro[[#This Row],[Proportion]],0)</f>
        <v>0</v>
      </c>
      <c r="O855" s="60">
        <f>Tabela6[[#This Row],[Proporção]]*Tabela6[[#This Row],[Total]]</f>
        <v>0</v>
      </c>
      <c r="P855"/>
      <c r="Q855" s="59"/>
      <c r="R855" s="1"/>
    </row>
    <row r="856" spans="1:18">
      <c r="A856" s="122" t="e">
        <f>IF(VLOOKUP(Tabela6[[#This Row],[UF]],'BASE CC'!B:C,2,0)="SP",IF(Tabela6[[#This Row],[OPERADORA]]="TIM","SP TIM","SPI"),VLOOKUP(Tabela6[[#This Row],[UF]],'BASE CC'!B:C,2,0))</f>
        <v>#N/A</v>
      </c>
      <c r="B856" s="36" t="e">
        <f>VLOOKUP(Tabela_Base_Financeiro[[#This Row],[Item code]],'COD.FAT'!B:C,2,0)</f>
        <v>#N/A</v>
      </c>
      <c r="C856" s="292">
        <f>Tabela_Base_Financeiro[[#This Row],[PO Ship TO]]</f>
        <v>0</v>
      </c>
      <c r="D856" s="36" t="str">
        <f>RIGHT(Tabela_Base_Financeiro[[#This Row],[Manufacturer]],2)</f>
        <v/>
      </c>
      <c r="E85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56" s="122" t="e">
        <f>VLOOKUP(Tabela_Base_Financeiro[[#This Row],[Project Code]],'COD. PROJETOS'!B:D,3,0)</f>
        <v>#N/A</v>
      </c>
      <c r="G856" s="36">
        <f>IFERROR(Tabela_Base_Financeiro[[#This Row],[PO No,]],0)</f>
        <v>0</v>
      </c>
      <c r="H856" s="36">
        <f>IFERROR(Tabela_Base_Financeiro[[#This Row],[Line No,]],0)</f>
        <v>0</v>
      </c>
      <c r="I856" s="36" t="str">
        <f>IFERROR(MID(Tabela_Base_Financeiro[[#This Row],[Manufacturer]],19,14),"")</f>
        <v/>
      </c>
      <c r="J856" s="113">
        <f>IFERROR(Tabela_Base_Financeiro[[#This Row],[Item code]],0)</f>
        <v>0</v>
      </c>
      <c r="K856" s="293">
        <f>IFERROR(Tabela_Base_Financeiro[[#This Row],[Unit Price]],0)</f>
        <v>0</v>
      </c>
      <c r="L856" s="36">
        <f>IFERROR(Tabela_Base_Financeiro[[#This Row],[AC Qty,]],0)</f>
        <v>0</v>
      </c>
      <c r="M856" s="60">
        <f>Tabela6[[#This Row],[Qty]]*Tabela6[[#This Row],[Preço]]</f>
        <v>0</v>
      </c>
      <c r="N856" s="37">
        <f>IFERROR(Tabela_Base_Financeiro[[#This Row],[Proportion]],0)</f>
        <v>0</v>
      </c>
      <c r="O856" s="60">
        <f>Tabela6[[#This Row],[Proporção]]*Tabela6[[#This Row],[Total]]</f>
        <v>0</v>
      </c>
      <c r="P856"/>
      <c r="Q856" s="59"/>
      <c r="R856" s="1"/>
    </row>
    <row r="857" spans="1:18">
      <c r="A857" s="122" t="e">
        <f>IF(VLOOKUP(Tabela6[[#This Row],[UF]],'BASE CC'!B:C,2,0)="SP",IF(Tabela6[[#This Row],[OPERADORA]]="TIM","SP TIM","SPI"),VLOOKUP(Tabela6[[#This Row],[UF]],'BASE CC'!B:C,2,0))</f>
        <v>#N/A</v>
      </c>
      <c r="B857" s="36" t="e">
        <f>VLOOKUP(Tabela_Base_Financeiro[[#This Row],[Item code]],'COD.FAT'!B:C,2,0)</f>
        <v>#N/A</v>
      </c>
      <c r="C857" s="292">
        <f>Tabela_Base_Financeiro[[#This Row],[PO Ship TO]]</f>
        <v>0</v>
      </c>
      <c r="D857" s="36" t="str">
        <f>RIGHT(Tabela_Base_Financeiro[[#This Row],[Manufacturer]],2)</f>
        <v/>
      </c>
      <c r="E85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57" s="122" t="e">
        <f>VLOOKUP(Tabela_Base_Financeiro[[#This Row],[Project Code]],'COD. PROJETOS'!B:D,3,0)</f>
        <v>#N/A</v>
      </c>
      <c r="G857" s="36">
        <f>IFERROR(Tabela_Base_Financeiro[[#This Row],[PO No,]],0)</f>
        <v>0</v>
      </c>
      <c r="H857" s="36">
        <f>IFERROR(Tabela_Base_Financeiro[[#This Row],[Line No,]],0)</f>
        <v>0</v>
      </c>
      <c r="I857" s="36" t="str">
        <f>IFERROR(MID(Tabela_Base_Financeiro[[#This Row],[Manufacturer]],19,14),"")</f>
        <v/>
      </c>
      <c r="J857" s="113">
        <f>IFERROR(Tabela_Base_Financeiro[[#This Row],[Item code]],0)</f>
        <v>0</v>
      </c>
      <c r="K857" s="293">
        <f>IFERROR(Tabela_Base_Financeiro[[#This Row],[Unit Price]],0)</f>
        <v>0</v>
      </c>
      <c r="L857" s="36">
        <f>IFERROR(Tabela_Base_Financeiro[[#This Row],[AC Qty,]],0)</f>
        <v>0</v>
      </c>
      <c r="M857" s="60">
        <f>Tabela6[[#This Row],[Qty]]*Tabela6[[#This Row],[Preço]]</f>
        <v>0</v>
      </c>
      <c r="N857" s="37">
        <f>IFERROR(Tabela_Base_Financeiro[[#This Row],[Proportion]],0)</f>
        <v>0</v>
      </c>
      <c r="O857" s="60">
        <f>Tabela6[[#This Row],[Proporção]]*Tabela6[[#This Row],[Total]]</f>
        <v>0</v>
      </c>
      <c r="P857"/>
      <c r="Q857" s="59"/>
      <c r="R857" s="1"/>
    </row>
    <row r="858" spans="1:18">
      <c r="A858" s="122" t="e">
        <f>IF(VLOOKUP(Tabela6[[#This Row],[UF]],'BASE CC'!B:C,2,0)="SP",IF(Tabela6[[#This Row],[OPERADORA]]="TIM","SP TIM","SPI"),VLOOKUP(Tabela6[[#This Row],[UF]],'BASE CC'!B:C,2,0))</f>
        <v>#N/A</v>
      </c>
      <c r="B858" s="36" t="e">
        <f>VLOOKUP(Tabela_Base_Financeiro[[#This Row],[Item code]],'COD.FAT'!B:C,2,0)</f>
        <v>#N/A</v>
      </c>
      <c r="C858" s="292">
        <f>Tabela_Base_Financeiro[[#This Row],[PO Ship TO]]</f>
        <v>0</v>
      </c>
      <c r="D858" s="36" t="str">
        <f>RIGHT(Tabela_Base_Financeiro[[#This Row],[Manufacturer]],2)</f>
        <v/>
      </c>
      <c r="E85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58" s="122" t="e">
        <f>VLOOKUP(Tabela_Base_Financeiro[[#This Row],[Project Code]],'COD. PROJETOS'!B:D,3,0)</f>
        <v>#N/A</v>
      </c>
      <c r="G858" s="36">
        <f>IFERROR(Tabela_Base_Financeiro[[#This Row],[PO No,]],0)</f>
        <v>0</v>
      </c>
      <c r="H858" s="36">
        <f>IFERROR(Tabela_Base_Financeiro[[#This Row],[Line No,]],0)</f>
        <v>0</v>
      </c>
      <c r="I858" s="36" t="str">
        <f>IFERROR(MID(Tabela_Base_Financeiro[[#This Row],[Manufacturer]],19,14),"")</f>
        <v/>
      </c>
      <c r="J858" s="113">
        <f>IFERROR(Tabela_Base_Financeiro[[#This Row],[Item code]],0)</f>
        <v>0</v>
      </c>
      <c r="K858" s="293">
        <f>IFERROR(Tabela_Base_Financeiro[[#This Row],[Unit Price]],0)</f>
        <v>0</v>
      </c>
      <c r="L858" s="36">
        <f>IFERROR(Tabela_Base_Financeiro[[#This Row],[AC Qty,]],0)</f>
        <v>0</v>
      </c>
      <c r="M858" s="60">
        <f>Tabela6[[#This Row],[Qty]]*Tabela6[[#This Row],[Preço]]</f>
        <v>0</v>
      </c>
      <c r="N858" s="37">
        <f>IFERROR(Tabela_Base_Financeiro[[#This Row],[Proportion]],0)</f>
        <v>0</v>
      </c>
      <c r="O858" s="60">
        <f>Tabela6[[#This Row],[Proporção]]*Tabela6[[#This Row],[Total]]</f>
        <v>0</v>
      </c>
      <c r="P858"/>
      <c r="Q858" s="59"/>
      <c r="R858" s="1"/>
    </row>
    <row r="859" spans="1:18">
      <c r="A859" s="122" t="e">
        <f>IF(VLOOKUP(Tabela6[[#This Row],[UF]],'BASE CC'!B:C,2,0)="SP",IF(Tabela6[[#This Row],[OPERADORA]]="TIM","SP TIM","SPI"),VLOOKUP(Tabela6[[#This Row],[UF]],'BASE CC'!B:C,2,0))</f>
        <v>#N/A</v>
      </c>
      <c r="B859" s="36" t="e">
        <f>VLOOKUP(Tabela_Base_Financeiro[[#This Row],[Item code]],'COD.FAT'!B:C,2,0)</f>
        <v>#N/A</v>
      </c>
      <c r="C859" s="292">
        <f>Tabela_Base_Financeiro[[#This Row],[PO Ship TO]]</f>
        <v>0</v>
      </c>
      <c r="D859" s="36" t="str">
        <f>RIGHT(Tabela_Base_Financeiro[[#This Row],[Manufacturer]],2)</f>
        <v/>
      </c>
      <c r="E85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59" s="122" t="e">
        <f>VLOOKUP(Tabela_Base_Financeiro[[#This Row],[Project Code]],'COD. PROJETOS'!B:D,3,0)</f>
        <v>#N/A</v>
      </c>
      <c r="G859" s="36">
        <f>IFERROR(Tabela_Base_Financeiro[[#This Row],[PO No,]],0)</f>
        <v>0</v>
      </c>
      <c r="H859" s="36">
        <f>IFERROR(Tabela_Base_Financeiro[[#This Row],[Line No,]],0)</f>
        <v>0</v>
      </c>
      <c r="I859" s="36" t="str">
        <f>IFERROR(MID(Tabela_Base_Financeiro[[#This Row],[Manufacturer]],19,14),"")</f>
        <v/>
      </c>
      <c r="J859" s="113">
        <f>IFERROR(Tabela_Base_Financeiro[[#This Row],[Item code]],0)</f>
        <v>0</v>
      </c>
      <c r="K859" s="293">
        <f>IFERROR(Tabela_Base_Financeiro[[#This Row],[Unit Price]],0)</f>
        <v>0</v>
      </c>
      <c r="L859" s="36">
        <f>IFERROR(Tabela_Base_Financeiro[[#This Row],[AC Qty,]],0)</f>
        <v>0</v>
      </c>
      <c r="M859" s="60">
        <f>Tabela6[[#This Row],[Qty]]*Tabela6[[#This Row],[Preço]]</f>
        <v>0</v>
      </c>
      <c r="N859" s="37">
        <f>IFERROR(Tabela_Base_Financeiro[[#This Row],[Proportion]],0)</f>
        <v>0</v>
      </c>
      <c r="O859" s="60">
        <f>Tabela6[[#This Row],[Proporção]]*Tabela6[[#This Row],[Total]]</f>
        <v>0</v>
      </c>
      <c r="P859"/>
      <c r="Q859" s="59"/>
      <c r="R859" s="1"/>
    </row>
    <row r="860" spans="1:18">
      <c r="A860" s="122" t="e">
        <f>IF(VLOOKUP(Tabela6[[#This Row],[UF]],'BASE CC'!B:C,2,0)="SP",IF(Tabela6[[#This Row],[OPERADORA]]="TIM","SP TIM","SPI"),VLOOKUP(Tabela6[[#This Row],[UF]],'BASE CC'!B:C,2,0))</f>
        <v>#N/A</v>
      </c>
      <c r="B860" s="36" t="e">
        <f>VLOOKUP(Tabela_Base_Financeiro[[#This Row],[Item code]],'COD.FAT'!B:C,2,0)</f>
        <v>#N/A</v>
      </c>
      <c r="C860" s="292">
        <f>Tabela_Base_Financeiro[[#This Row],[PO Ship TO]]</f>
        <v>0</v>
      </c>
      <c r="D860" s="36" t="str">
        <f>RIGHT(Tabela_Base_Financeiro[[#This Row],[Manufacturer]],2)</f>
        <v/>
      </c>
      <c r="E86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60" s="122" t="e">
        <f>VLOOKUP(Tabela_Base_Financeiro[[#This Row],[Project Code]],'COD. PROJETOS'!B:D,3,0)</f>
        <v>#N/A</v>
      </c>
      <c r="G860" s="36">
        <f>IFERROR(Tabela_Base_Financeiro[[#This Row],[PO No,]],0)</f>
        <v>0</v>
      </c>
      <c r="H860" s="36">
        <f>IFERROR(Tabela_Base_Financeiro[[#This Row],[Line No,]],0)</f>
        <v>0</v>
      </c>
      <c r="I860" s="36" t="str">
        <f>IFERROR(MID(Tabela_Base_Financeiro[[#This Row],[Manufacturer]],19,14),"")</f>
        <v/>
      </c>
      <c r="J860" s="113">
        <f>IFERROR(Tabela_Base_Financeiro[[#This Row],[Item code]],0)</f>
        <v>0</v>
      </c>
      <c r="K860" s="293">
        <f>IFERROR(Tabela_Base_Financeiro[[#This Row],[Unit Price]],0)</f>
        <v>0</v>
      </c>
      <c r="L860" s="36">
        <f>IFERROR(Tabela_Base_Financeiro[[#This Row],[AC Qty,]],0)</f>
        <v>0</v>
      </c>
      <c r="M860" s="60">
        <f>Tabela6[[#This Row],[Qty]]*Tabela6[[#This Row],[Preço]]</f>
        <v>0</v>
      </c>
      <c r="N860" s="37">
        <f>IFERROR(Tabela_Base_Financeiro[[#This Row],[Proportion]],0)</f>
        <v>0</v>
      </c>
      <c r="O860" s="60">
        <f>Tabela6[[#This Row],[Proporção]]*Tabela6[[#This Row],[Total]]</f>
        <v>0</v>
      </c>
      <c r="P860"/>
      <c r="Q860" s="59"/>
      <c r="R860" s="1"/>
    </row>
    <row r="861" spans="1:18">
      <c r="A861" s="122" t="e">
        <f>IF(VLOOKUP(Tabela6[[#This Row],[UF]],'BASE CC'!B:C,2,0)="SP",IF(Tabela6[[#This Row],[OPERADORA]]="TIM","SP TIM","SPI"),VLOOKUP(Tabela6[[#This Row],[UF]],'BASE CC'!B:C,2,0))</f>
        <v>#N/A</v>
      </c>
      <c r="B861" s="36" t="e">
        <f>VLOOKUP(Tabela_Base_Financeiro[[#This Row],[Item code]],'COD.FAT'!B:C,2,0)</f>
        <v>#N/A</v>
      </c>
      <c r="C861" s="292">
        <f>Tabela_Base_Financeiro[[#This Row],[PO Ship TO]]</f>
        <v>0</v>
      </c>
      <c r="D861" s="36" t="str">
        <f>RIGHT(Tabela_Base_Financeiro[[#This Row],[Manufacturer]],2)</f>
        <v/>
      </c>
      <c r="E86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61" s="122" t="e">
        <f>VLOOKUP(Tabela_Base_Financeiro[[#This Row],[Project Code]],'COD. PROJETOS'!B:D,3,0)</f>
        <v>#N/A</v>
      </c>
      <c r="G861" s="36">
        <f>IFERROR(Tabela_Base_Financeiro[[#This Row],[PO No,]],0)</f>
        <v>0</v>
      </c>
      <c r="H861" s="36">
        <f>IFERROR(Tabela_Base_Financeiro[[#This Row],[Line No,]],0)</f>
        <v>0</v>
      </c>
      <c r="I861" s="36" t="str">
        <f>IFERROR(MID(Tabela_Base_Financeiro[[#This Row],[Manufacturer]],19,14),"")</f>
        <v/>
      </c>
      <c r="J861" s="113">
        <f>IFERROR(Tabela_Base_Financeiro[[#This Row],[Item code]],0)</f>
        <v>0</v>
      </c>
      <c r="K861" s="293">
        <f>IFERROR(Tabela_Base_Financeiro[[#This Row],[Unit Price]],0)</f>
        <v>0</v>
      </c>
      <c r="L861" s="36">
        <f>IFERROR(Tabela_Base_Financeiro[[#This Row],[AC Qty,]],0)</f>
        <v>0</v>
      </c>
      <c r="M861" s="60">
        <f>Tabela6[[#This Row],[Qty]]*Tabela6[[#This Row],[Preço]]</f>
        <v>0</v>
      </c>
      <c r="N861" s="37">
        <f>IFERROR(Tabela_Base_Financeiro[[#This Row],[Proportion]],0)</f>
        <v>0</v>
      </c>
      <c r="O861" s="60">
        <f>Tabela6[[#This Row],[Proporção]]*Tabela6[[#This Row],[Total]]</f>
        <v>0</v>
      </c>
      <c r="P861"/>
      <c r="Q861" s="59"/>
      <c r="R861" s="1"/>
    </row>
    <row r="862" spans="1:18">
      <c r="A862" s="122" t="e">
        <f>IF(VLOOKUP(Tabela6[[#This Row],[UF]],'BASE CC'!B:C,2,0)="SP",IF(Tabela6[[#This Row],[OPERADORA]]="TIM","SP TIM","SPI"),VLOOKUP(Tabela6[[#This Row],[UF]],'BASE CC'!B:C,2,0))</f>
        <v>#N/A</v>
      </c>
      <c r="B862" s="36" t="e">
        <f>VLOOKUP(Tabela_Base_Financeiro[[#This Row],[Item code]],'COD.FAT'!B:C,2,0)</f>
        <v>#N/A</v>
      </c>
      <c r="C862" s="292">
        <f>Tabela_Base_Financeiro[[#This Row],[PO Ship TO]]</f>
        <v>0</v>
      </c>
      <c r="D862" s="36" t="str">
        <f>RIGHT(Tabela_Base_Financeiro[[#This Row],[Manufacturer]],2)</f>
        <v/>
      </c>
      <c r="E86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62" s="122" t="e">
        <f>VLOOKUP(Tabela_Base_Financeiro[[#This Row],[Project Code]],'COD. PROJETOS'!B:D,3,0)</f>
        <v>#N/A</v>
      </c>
      <c r="G862" s="36">
        <f>IFERROR(Tabela_Base_Financeiro[[#This Row],[PO No,]],0)</f>
        <v>0</v>
      </c>
      <c r="H862" s="36">
        <f>IFERROR(Tabela_Base_Financeiro[[#This Row],[Line No,]],0)</f>
        <v>0</v>
      </c>
      <c r="I862" s="36" t="str">
        <f>IFERROR(MID(Tabela_Base_Financeiro[[#This Row],[Manufacturer]],19,14),"")</f>
        <v/>
      </c>
      <c r="J862" s="113">
        <f>IFERROR(Tabela_Base_Financeiro[[#This Row],[Item code]],0)</f>
        <v>0</v>
      </c>
      <c r="K862" s="293">
        <f>IFERROR(Tabela_Base_Financeiro[[#This Row],[Unit Price]],0)</f>
        <v>0</v>
      </c>
      <c r="L862" s="36">
        <f>IFERROR(Tabela_Base_Financeiro[[#This Row],[AC Qty,]],0)</f>
        <v>0</v>
      </c>
      <c r="M862" s="60">
        <f>Tabela6[[#This Row],[Qty]]*Tabela6[[#This Row],[Preço]]</f>
        <v>0</v>
      </c>
      <c r="N862" s="37">
        <f>IFERROR(Tabela_Base_Financeiro[[#This Row],[Proportion]],0)</f>
        <v>0</v>
      </c>
      <c r="O862" s="60">
        <f>Tabela6[[#This Row],[Proporção]]*Tabela6[[#This Row],[Total]]</f>
        <v>0</v>
      </c>
      <c r="P862"/>
      <c r="Q862" s="59"/>
      <c r="R862" s="1"/>
    </row>
    <row r="863" spans="1:18">
      <c r="A863" s="122" t="e">
        <f>IF(VLOOKUP(Tabela6[[#This Row],[UF]],'BASE CC'!B:C,2,0)="SP",IF(Tabela6[[#This Row],[OPERADORA]]="TIM","SP TIM","SPI"),VLOOKUP(Tabela6[[#This Row],[UF]],'BASE CC'!B:C,2,0))</f>
        <v>#N/A</v>
      </c>
      <c r="B863" s="36" t="e">
        <f>VLOOKUP(Tabela_Base_Financeiro[[#This Row],[Item code]],'COD.FAT'!B:C,2,0)</f>
        <v>#N/A</v>
      </c>
      <c r="C863" s="292">
        <f>Tabela_Base_Financeiro[[#This Row],[PO Ship TO]]</f>
        <v>0</v>
      </c>
      <c r="D863" s="36" t="str">
        <f>RIGHT(Tabela_Base_Financeiro[[#This Row],[Manufacturer]],2)</f>
        <v/>
      </c>
      <c r="E86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63" s="122" t="e">
        <f>VLOOKUP(Tabela_Base_Financeiro[[#This Row],[Project Code]],'COD. PROJETOS'!B:D,3,0)</f>
        <v>#N/A</v>
      </c>
      <c r="G863" s="36">
        <f>IFERROR(Tabela_Base_Financeiro[[#This Row],[PO No,]],0)</f>
        <v>0</v>
      </c>
      <c r="H863" s="36">
        <f>IFERROR(Tabela_Base_Financeiro[[#This Row],[Line No,]],0)</f>
        <v>0</v>
      </c>
      <c r="I863" s="36" t="str">
        <f>IFERROR(MID(Tabela_Base_Financeiro[[#This Row],[Manufacturer]],19,14),"")</f>
        <v/>
      </c>
      <c r="J863" s="113">
        <f>IFERROR(Tabela_Base_Financeiro[[#This Row],[Item code]],0)</f>
        <v>0</v>
      </c>
      <c r="K863" s="293">
        <f>IFERROR(Tabela_Base_Financeiro[[#This Row],[Unit Price]],0)</f>
        <v>0</v>
      </c>
      <c r="L863" s="36">
        <f>IFERROR(Tabela_Base_Financeiro[[#This Row],[AC Qty,]],0)</f>
        <v>0</v>
      </c>
      <c r="M863" s="60">
        <f>Tabela6[[#This Row],[Qty]]*Tabela6[[#This Row],[Preço]]</f>
        <v>0</v>
      </c>
      <c r="N863" s="37">
        <f>IFERROR(Tabela_Base_Financeiro[[#This Row],[Proportion]],0)</f>
        <v>0</v>
      </c>
      <c r="O863" s="60">
        <f>Tabela6[[#This Row],[Proporção]]*Tabela6[[#This Row],[Total]]</f>
        <v>0</v>
      </c>
      <c r="P863"/>
      <c r="Q863" s="59"/>
      <c r="R863" s="1"/>
    </row>
    <row r="864" spans="1:18">
      <c r="A864" s="122" t="e">
        <f>IF(VLOOKUP(Tabela6[[#This Row],[UF]],'BASE CC'!B:C,2,0)="SP",IF(Tabela6[[#This Row],[OPERADORA]]="TIM","SP TIM","SPI"),VLOOKUP(Tabela6[[#This Row],[UF]],'BASE CC'!B:C,2,0))</f>
        <v>#N/A</v>
      </c>
      <c r="B864" s="36" t="e">
        <f>VLOOKUP(Tabela_Base_Financeiro[[#This Row],[Item code]],'COD.FAT'!B:C,2,0)</f>
        <v>#N/A</v>
      </c>
      <c r="C864" s="292">
        <f>Tabela_Base_Financeiro[[#This Row],[PO Ship TO]]</f>
        <v>0</v>
      </c>
      <c r="D864" s="36" t="str">
        <f>RIGHT(Tabela_Base_Financeiro[[#This Row],[Manufacturer]],2)</f>
        <v/>
      </c>
      <c r="E86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64" s="122" t="e">
        <f>VLOOKUP(Tabela_Base_Financeiro[[#This Row],[Project Code]],'COD. PROJETOS'!B:D,3,0)</f>
        <v>#N/A</v>
      </c>
      <c r="G864" s="36">
        <f>IFERROR(Tabela_Base_Financeiro[[#This Row],[PO No,]],0)</f>
        <v>0</v>
      </c>
      <c r="H864" s="36">
        <f>IFERROR(Tabela_Base_Financeiro[[#This Row],[Line No,]],0)</f>
        <v>0</v>
      </c>
      <c r="I864" s="36" t="str">
        <f>IFERROR(MID(Tabela_Base_Financeiro[[#This Row],[Manufacturer]],19,14),"")</f>
        <v/>
      </c>
      <c r="J864" s="113">
        <f>IFERROR(Tabela_Base_Financeiro[[#This Row],[Item code]],0)</f>
        <v>0</v>
      </c>
      <c r="K864" s="293">
        <f>IFERROR(Tabela_Base_Financeiro[[#This Row],[Unit Price]],0)</f>
        <v>0</v>
      </c>
      <c r="L864" s="36">
        <f>IFERROR(Tabela_Base_Financeiro[[#This Row],[AC Qty,]],0)</f>
        <v>0</v>
      </c>
      <c r="M864" s="60">
        <f>Tabela6[[#This Row],[Qty]]*Tabela6[[#This Row],[Preço]]</f>
        <v>0</v>
      </c>
      <c r="N864" s="37">
        <f>IFERROR(Tabela_Base_Financeiro[[#This Row],[Proportion]],0)</f>
        <v>0</v>
      </c>
      <c r="O864" s="60">
        <f>Tabela6[[#This Row],[Proporção]]*Tabela6[[#This Row],[Total]]</f>
        <v>0</v>
      </c>
      <c r="P864"/>
      <c r="Q864" s="59"/>
      <c r="R864" s="1"/>
    </row>
    <row r="865" spans="1:18">
      <c r="A865" s="122" t="e">
        <f>IF(VLOOKUP(Tabela6[[#This Row],[UF]],'BASE CC'!B:C,2,0)="SP",IF(Tabela6[[#This Row],[OPERADORA]]="TIM","SP TIM","SPI"),VLOOKUP(Tabela6[[#This Row],[UF]],'BASE CC'!B:C,2,0))</f>
        <v>#N/A</v>
      </c>
      <c r="B865" s="36" t="e">
        <f>VLOOKUP(Tabela_Base_Financeiro[[#This Row],[Item code]],'COD.FAT'!B:C,2,0)</f>
        <v>#N/A</v>
      </c>
      <c r="C865" s="292">
        <f>Tabela_Base_Financeiro[[#This Row],[PO Ship TO]]</f>
        <v>0</v>
      </c>
      <c r="D865" s="36" t="str">
        <f>RIGHT(Tabela_Base_Financeiro[[#This Row],[Manufacturer]],2)</f>
        <v/>
      </c>
      <c r="E86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65" s="122" t="e">
        <f>VLOOKUP(Tabela_Base_Financeiro[[#This Row],[Project Code]],'COD. PROJETOS'!B:D,3,0)</f>
        <v>#N/A</v>
      </c>
      <c r="G865" s="36">
        <f>IFERROR(Tabela_Base_Financeiro[[#This Row],[PO No,]],0)</f>
        <v>0</v>
      </c>
      <c r="H865" s="36">
        <f>IFERROR(Tabela_Base_Financeiro[[#This Row],[Line No,]],0)</f>
        <v>0</v>
      </c>
      <c r="I865" s="36" t="str">
        <f>IFERROR(MID(Tabela_Base_Financeiro[[#This Row],[Manufacturer]],19,14),"")</f>
        <v/>
      </c>
      <c r="J865" s="113">
        <f>IFERROR(Tabela_Base_Financeiro[[#This Row],[Item code]],0)</f>
        <v>0</v>
      </c>
      <c r="K865" s="293">
        <f>IFERROR(Tabela_Base_Financeiro[[#This Row],[Unit Price]],0)</f>
        <v>0</v>
      </c>
      <c r="L865" s="36">
        <f>IFERROR(Tabela_Base_Financeiro[[#This Row],[AC Qty,]],0)</f>
        <v>0</v>
      </c>
      <c r="M865" s="60">
        <f>Tabela6[[#This Row],[Qty]]*Tabela6[[#This Row],[Preço]]</f>
        <v>0</v>
      </c>
      <c r="N865" s="37">
        <f>IFERROR(Tabela_Base_Financeiro[[#This Row],[Proportion]],0)</f>
        <v>0</v>
      </c>
      <c r="O865" s="60">
        <f>Tabela6[[#This Row],[Proporção]]*Tabela6[[#This Row],[Total]]</f>
        <v>0</v>
      </c>
      <c r="P865"/>
      <c r="Q865" s="59"/>
      <c r="R865" s="1"/>
    </row>
    <row r="866" spans="1:18">
      <c r="A866" s="122" t="e">
        <f>IF(VLOOKUP(Tabela6[[#This Row],[UF]],'BASE CC'!B:C,2,0)="SP",IF(Tabela6[[#This Row],[OPERADORA]]="TIM","SP TIM","SPI"),VLOOKUP(Tabela6[[#This Row],[UF]],'BASE CC'!B:C,2,0))</f>
        <v>#N/A</v>
      </c>
      <c r="B866" s="36" t="e">
        <f>VLOOKUP(Tabela_Base_Financeiro[[#This Row],[Item code]],'COD.FAT'!B:C,2,0)</f>
        <v>#N/A</v>
      </c>
      <c r="C866" s="292">
        <f>Tabela_Base_Financeiro[[#This Row],[PO Ship TO]]</f>
        <v>0</v>
      </c>
      <c r="D866" s="36" t="str">
        <f>RIGHT(Tabela_Base_Financeiro[[#This Row],[Manufacturer]],2)</f>
        <v/>
      </c>
      <c r="E86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66" s="122" t="e">
        <f>VLOOKUP(Tabela_Base_Financeiro[[#This Row],[Project Code]],'COD. PROJETOS'!B:D,3,0)</f>
        <v>#N/A</v>
      </c>
      <c r="G866" s="36">
        <f>IFERROR(Tabela_Base_Financeiro[[#This Row],[PO No,]],0)</f>
        <v>0</v>
      </c>
      <c r="H866" s="36">
        <f>IFERROR(Tabela_Base_Financeiro[[#This Row],[Line No,]],0)</f>
        <v>0</v>
      </c>
      <c r="I866" s="36" t="str">
        <f>IFERROR(MID(Tabela_Base_Financeiro[[#This Row],[Manufacturer]],19,14),"")</f>
        <v/>
      </c>
      <c r="J866" s="113">
        <f>IFERROR(Tabela_Base_Financeiro[[#This Row],[Item code]],0)</f>
        <v>0</v>
      </c>
      <c r="K866" s="293">
        <f>IFERROR(Tabela_Base_Financeiro[[#This Row],[Unit Price]],0)</f>
        <v>0</v>
      </c>
      <c r="L866" s="36">
        <f>IFERROR(Tabela_Base_Financeiro[[#This Row],[AC Qty,]],0)</f>
        <v>0</v>
      </c>
      <c r="M866" s="60">
        <f>Tabela6[[#This Row],[Qty]]*Tabela6[[#This Row],[Preço]]</f>
        <v>0</v>
      </c>
      <c r="N866" s="37">
        <f>IFERROR(Tabela_Base_Financeiro[[#This Row],[Proportion]],0)</f>
        <v>0</v>
      </c>
      <c r="O866" s="60">
        <f>Tabela6[[#This Row],[Proporção]]*Tabela6[[#This Row],[Total]]</f>
        <v>0</v>
      </c>
      <c r="P866"/>
      <c r="Q866" s="59"/>
      <c r="R866" s="1"/>
    </row>
    <row r="867" spans="1:18">
      <c r="A867" s="122" t="e">
        <f>IF(VLOOKUP(Tabela6[[#This Row],[UF]],'BASE CC'!B:C,2,0)="SP",IF(Tabela6[[#This Row],[OPERADORA]]="TIM","SP TIM","SPI"),VLOOKUP(Tabela6[[#This Row],[UF]],'BASE CC'!B:C,2,0))</f>
        <v>#N/A</v>
      </c>
      <c r="B867" s="36" t="e">
        <f>VLOOKUP(Tabela_Base_Financeiro[[#This Row],[Item code]],'COD.FAT'!B:C,2,0)</f>
        <v>#N/A</v>
      </c>
      <c r="C867" s="292">
        <f>Tabela_Base_Financeiro[[#This Row],[PO Ship TO]]</f>
        <v>0</v>
      </c>
      <c r="D867" s="36" t="str">
        <f>RIGHT(Tabela_Base_Financeiro[[#This Row],[Manufacturer]],2)</f>
        <v/>
      </c>
      <c r="E86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67" s="122" t="e">
        <f>VLOOKUP(Tabela_Base_Financeiro[[#This Row],[Project Code]],'COD. PROJETOS'!B:D,3,0)</f>
        <v>#N/A</v>
      </c>
      <c r="G867" s="36">
        <f>IFERROR(Tabela_Base_Financeiro[[#This Row],[PO No,]],0)</f>
        <v>0</v>
      </c>
      <c r="H867" s="36">
        <f>IFERROR(Tabela_Base_Financeiro[[#This Row],[Line No,]],0)</f>
        <v>0</v>
      </c>
      <c r="I867" s="36" t="str">
        <f>IFERROR(MID(Tabela_Base_Financeiro[[#This Row],[Manufacturer]],19,14),"")</f>
        <v/>
      </c>
      <c r="J867" s="113">
        <f>IFERROR(Tabela_Base_Financeiro[[#This Row],[Item code]],0)</f>
        <v>0</v>
      </c>
      <c r="K867" s="293">
        <f>IFERROR(Tabela_Base_Financeiro[[#This Row],[Unit Price]],0)</f>
        <v>0</v>
      </c>
      <c r="L867" s="36">
        <f>IFERROR(Tabela_Base_Financeiro[[#This Row],[AC Qty,]],0)</f>
        <v>0</v>
      </c>
      <c r="M867" s="60">
        <f>Tabela6[[#This Row],[Qty]]*Tabela6[[#This Row],[Preço]]</f>
        <v>0</v>
      </c>
      <c r="N867" s="37">
        <f>IFERROR(Tabela_Base_Financeiro[[#This Row],[Proportion]],0)</f>
        <v>0</v>
      </c>
      <c r="O867" s="60">
        <f>Tabela6[[#This Row],[Proporção]]*Tabela6[[#This Row],[Total]]</f>
        <v>0</v>
      </c>
      <c r="P867"/>
      <c r="Q867" s="59"/>
      <c r="R867" s="1"/>
    </row>
    <row r="868" spans="1:18">
      <c r="A868" s="122" t="e">
        <f>IF(VLOOKUP(Tabela6[[#This Row],[UF]],'BASE CC'!B:C,2,0)="SP",IF(Tabela6[[#This Row],[OPERADORA]]="TIM","SP TIM","SPI"),VLOOKUP(Tabela6[[#This Row],[UF]],'BASE CC'!B:C,2,0))</f>
        <v>#N/A</v>
      </c>
      <c r="B868" s="36" t="e">
        <f>VLOOKUP(Tabela_Base_Financeiro[[#This Row],[Item code]],'COD.FAT'!B:C,2,0)</f>
        <v>#N/A</v>
      </c>
      <c r="C868" s="292">
        <f>Tabela_Base_Financeiro[[#This Row],[PO Ship TO]]</f>
        <v>0</v>
      </c>
      <c r="D868" s="36" t="str">
        <f>RIGHT(Tabela_Base_Financeiro[[#This Row],[Manufacturer]],2)</f>
        <v/>
      </c>
      <c r="E86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68" s="122" t="e">
        <f>VLOOKUP(Tabela_Base_Financeiro[[#This Row],[Project Code]],'COD. PROJETOS'!B:D,3,0)</f>
        <v>#N/A</v>
      </c>
      <c r="G868" s="36">
        <f>IFERROR(Tabela_Base_Financeiro[[#This Row],[PO No,]],0)</f>
        <v>0</v>
      </c>
      <c r="H868" s="36">
        <f>IFERROR(Tabela_Base_Financeiro[[#This Row],[Line No,]],0)</f>
        <v>0</v>
      </c>
      <c r="I868" s="36" t="str">
        <f>IFERROR(MID(Tabela_Base_Financeiro[[#This Row],[Manufacturer]],19,14),"")</f>
        <v/>
      </c>
      <c r="J868" s="113">
        <f>IFERROR(Tabela_Base_Financeiro[[#This Row],[Item code]],0)</f>
        <v>0</v>
      </c>
      <c r="K868" s="293">
        <f>IFERROR(Tabela_Base_Financeiro[[#This Row],[Unit Price]],0)</f>
        <v>0</v>
      </c>
      <c r="L868" s="36">
        <f>IFERROR(Tabela_Base_Financeiro[[#This Row],[AC Qty,]],0)</f>
        <v>0</v>
      </c>
      <c r="M868" s="60">
        <f>Tabela6[[#This Row],[Qty]]*Tabela6[[#This Row],[Preço]]</f>
        <v>0</v>
      </c>
      <c r="N868" s="37">
        <f>IFERROR(Tabela_Base_Financeiro[[#This Row],[Proportion]],0)</f>
        <v>0</v>
      </c>
      <c r="O868" s="60">
        <f>Tabela6[[#This Row],[Proporção]]*Tabela6[[#This Row],[Total]]</f>
        <v>0</v>
      </c>
      <c r="P868"/>
      <c r="Q868" s="59"/>
      <c r="R868" s="1"/>
    </row>
    <row r="869" spans="1:18">
      <c r="A869" s="122" t="e">
        <f>IF(VLOOKUP(Tabela6[[#This Row],[UF]],'BASE CC'!B:C,2,0)="SP",IF(Tabela6[[#This Row],[OPERADORA]]="TIM","SP TIM","SPI"),VLOOKUP(Tabela6[[#This Row],[UF]],'BASE CC'!B:C,2,0))</f>
        <v>#N/A</v>
      </c>
      <c r="B869" s="36" t="e">
        <f>VLOOKUP(Tabela_Base_Financeiro[[#This Row],[Item code]],'COD.FAT'!B:C,2,0)</f>
        <v>#N/A</v>
      </c>
      <c r="C869" s="292">
        <f>Tabela_Base_Financeiro[[#This Row],[PO Ship TO]]</f>
        <v>0</v>
      </c>
      <c r="D869" s="36" t="str">
        <f>RIGHT(Tabela_Base_Financeiro[[#This Row],[Manufacturer]],2)</f>
        <v/>
      </c>
      <c r="E86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69" s="122" t="e">
        <f>VLOOKUP(Tabela_Base_Financeiro[[#This Row],[Project Code]],'COD. PROJETOS'!B:D,3,0)</f>
        <v>#N/A</v>
      </c>
      <c r="G869" s="36">
        <f>IFERROR(Tabela_Base_Financeiro[[#This Row],[PO No,]],0)</f>
        <v>0</v>
      </c>
      <c r="H869" s="36">
        <f>IFERROR(Tabela_Base_Financeiro[[#This Row],[Line No,]],0)</f>
        <v>0</v>
      </c>
      <c r="I869" s="36" t="str">
        <f>IFERROR(MID(Tabela_Base_Financeiro[[#This Row],[Manufacturer]],19,14),"")</f>
        <v/>
      </c>
      <c r="J869" s="113">
        <f>IFERROR(Tabela_Base_Financeiro[[#This Row],[Item code]],0)</f>
        <v>0</v>
      </c>
      <c r="K869" s="293">
        <f>IFERROR(Tabela_Base_Financeiro[[#This Row],[Unit Price]],0)</f>
        <v>0</v>
      </c>
      <c r="L869" s="36">
        <f>IFERROR(Tabela_Base_Financeiro[[#This Row],[AC Qty,]],0)</f>
        <v>0</v>
      </c>
      <c r="M869" s="60">
        <f>Tabela6[[#This Row],[Qty]]*Tabela6[[#This Row],[Preço]]</f>
        <v>0</v>
      </c>
      <c r="N869" s="37">
        <f>IFERROR(Tabela_Base_Financeiro[[#This Row],[Proportion]],0)</f>
        <v>0</v>
      </c>
      <c r="O869" s="60">
        <f>Tabela6[[#This Row],[Proporção]]*Tabela6[[#This Row],[Total]]</f>
        <v>0</v>
      </c>
      <c r="P869"/>
      <c r="Q869" s="59"/>
      <c r="R869" s="1"/>
    </row>
    <row r="870" spans="1:18">
      <c r="A870" s="122" t="e">
        <f>IF(VLOOKUP(Tabela6[[#This Row],[UF]],'BASE CC'!B:C,2,0)="SP",IF(Tabela6[[#This Row],[OPERADORA]]="TIM","SP TIM","SPI"),VLOOKUP(Tabela6[[#This Row],[UF]],'BASE CC'!B:C,2,0))</f>
        <v>#N/A</v>
      </c>
      <c r="B870" s="36" t="e">
        <f>VLOOKUP(Tabela_Base_Financeiro[[#This Row],[Item code]],'COD.FAT'!B:C,2,0)</f>
        <v>#N/A</v>
      </c>
      <c r="C870" s="292">
        <f>Tabela_Base_Financeiro[[#This Row],[PO Ship TO]]</f>
        <v>0</v>
      </c>
      <c r="D870" s="36" t="str">
        <f>RIGHT(Tabela_Base_Financeiro[[#This Row],[Manufacturer]],2)</f>
        <v/>
      </c>
      <c r="E87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70" s="122" t="e">
        <f>VLOOKUP(Tabela_Base_Financeiro[[#This Row],[Project Code]],'COD. PROJETOS'!B:D,3,0)</f>
        <v>#N/A</v>
      </c>
      <c r="G870" s="36">
        <f>IFERROR(Tabela_Base_Financeiro[[#This Row],[PO No,]],0)</f>
        <v>0</v>
      </c>
      <c r="H870" s="36">
        <f>IFERROR(Tabela_Base_Financeiro[[#This Row],[Line No,]],0)</f>
        <v>0</v>
      </c>
      <c r="I870" s="36" t="str">
        <f>IFERROR(MID(Tabela_Base_Financeiro[[#This Row],[Manufacturer]],19,14),"")</f>
        <v/>
      </c>
      <c r="J870" s="113">
        <f>IFERROR(Tabela_Base_Financeiro[[#This Row],[Item code]],0)</f>
        <v>0</v>
      </c>
      <c r="K870" s="293">
        <f>IFERROR(Tabela_Base_Financeiro[[#This Row],[Unit Price]],0)</f>
        <v>0</v>
      </c>
      <c r="L870" s="36">
        <f>IFERROR(Tabela_Base_Financeiro[[#This Row],[AC Qty,]],0)</f>
        <v>0</v>
      </c>
      <c r="M870" s="60">
        <f>Tabela6[[#This Row],[Qty]]*Tabela6[[#This Row],[Preço]]</f>
        <v>0</v>
      </c>
      <c r="N870" s="37">
        <f>IFERROR(Tabela_Base_Financeiro[[#This Row],[Proportion]],0)</f>
        <v>0</v>
      </c>
      <c r="O870" s="60">
        <f>Tabela6[[#This Row],[Proporção]]*Tabela6[[#This Row],[Total]]</f>
        <v>0</v>
      </c>
      <c r="P870"/>
      <c r="Q870" s="59"/>
      <c r="R870" s="1"/>
    </row>
    <row r="871" spans="1:18">
      <c r="A871" s="122" t="e">
        <f>IF(VLOOKUP(Tabela6[[#This Row],[UF]],'BASE CC'!B:C,2,0)="SP",IF(Tabela6[[#This Row],[OPERADORA]]="TIM","SP TIM","SPI"),VLOOKUP(Tabela6[[#This Row],[UF]],'BASE CC'!B:C,2,0))</f>
        <v>#N/A</v>
      </c>
      <c r="B871" s="36" t="e">
        <f>VLOOKUP(Tabela_Base_Financeiro[[#This Row],[Item code]],'COD.FAT'!B:C,2,0)</f>
        <v>#N/A</v>
      </c>
      <c r="C871" s="292">
        <f>Tabela_Base_Financeiro[[#This Row],[PO Ship TO]]</f>
        <v>0</v>
      </c>
      <c r="D871" s="36" t="str">
        <f>RIGHT(Tabela_Base_Financeiro[[#This Row],[Manufacturer]],2)</f>
        <v/>
      </c>
      <c r="E87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71" s="122" t="e">
        <f>VLOOKUP(Tabela_Base_Financeiro[[#This Row],[Project Code]],'COD. PROJETOS'!B:D,3,0)</f>
        <v>#N/A</v>
      </c>
      <c r="G871" s="36">
        <f>IFERROR(Tabela_Base_Financeiro[[#This Row],[PO No,]],0)</f>
        <v>0</v>
      </c>
      <c r="H871" s="36">
        <f>IFERROR(Tabela_Base_Financeiro[[#This Row],[Line No,]],0)</f>
        <v>0</v>
      </c>
      <c r="I871" s="36" t="str">
        <f>IFERROR(MID(Tabela_Base_Financeiro[[#This Row],[Manufacturer]],19,14),"")</f>
        <v/>
      </c>
      <c r="J871" s="113">
        <f>IFERROR(Tabela_Base_Financeiro[[#This Row],[Item code]],0)</f>
        <v>0</v>
      </c>
      <c r="K871" s="293">
        <f>IFERROR(Tabela_Base_Financeiro[[#This Row],[Unit Price]],0)</f>
        <v>0</v>
      </c>
      <c r="L871" s="36">
        <f>IFERROR(Tabela_Base_Financeiro[[#This Row],[AC Qty,]],0)</f>
        <v>0</v>
      </c>
      <c r="M871" s="60">
        <f>Tabela6[[#This Row],[Qty]]*Tabela6[[#This Row],[Preço]]</f>
        <v>0</v>
      </c>
      <c r="N871" s="37">
        <f>IFERROR(Tabela_Base_Financeiro[[#This Row],[Proportion]],0)</f>
        <v>0</v>
      </c>
      <c r="O871" s="60">
        <f>Tabela6[[#This Row],[Proporção]]*Tabela6[[#This Row],[Total]]</f>
        <v>0</v>
      </c>
      <c r="P871"/>
      <c r="Q871" s="59"/>
      <c r="R871" s="1"/>
    </row>
    <row r="872" spans="1:18">
      <c r="A872" s="122" t="e">
        <f>IF(VLOOKUP(Tabela6[[#This Row],[UF]],'BASE CC'!B:C,2,0)="SP",IF(Tabela6[[#This Row],[OPERADORA]]="TIM","SP TIM","SPI"),VLOOKUP(Tabela6[[#This Row],[UF]],'BASE CC'!B:C,2,0))</f>
        <v>#N/A</v>
      </c>
      <c r="B872" s="36" t="e">
        <f>VLOOKUP(Tabela_Base_Financeiro[[#This Row],[Item code]],'COD.FAT'!B:C,2,0)</f>
        <v>#N/A</v>
      </c>
      <c r="C872" s="292">
        <f>Tabela_Base_Financeiro[[#This Row],[PO Ship TO]]</f>
        <v>0</v>
      </c>
      <c r="D872" s="36" t="str">
        <f>RIGHT(Tabela_Base_Financeiro[[#This Row],[Manufacturer]],2)</f>
        <v/>
      </c>
      <c r="E87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72" s="122" t="e">
        <f>VLOOKUP(Tabela_Base_Financeiro[[#This Row],[Project Code]],'COD. PROJETOS'!B:D,3,0)</f>
        <v>#N/A</v>
      </c>
      <c r="G872" s="36">
        <f>IFERROR(Tabela_Base_Financeiro[[#This Row],[PO No,]],0)</f>
        <v>0</v>
      </c>
      <c r="H872" s="36">
        <f>IFERROR(Tabela_Base_Financeiro[[#This Row],[Line No,]],0)</f>
        <v>0</v>
      </c>
      <c r="I872" s="36" t="str">
        <f>IFERROR(MID(Tabela_Base_Financeiro[[#This Row],[Manufacturer]],19,14),"")</f>
        <v/>
      </c>
      <c r="J872" s="113">
        <f>IFERROR(Tabela_Base_Financeiro[[#This Row],[Item code]],0)</f>
        <v>0</v>
      </c>
      <c r="K872" s="293">
        <f>IFERROR(Tabela_Base_Financeiro[[#This Row],[Unit Price]],0)</f>
        <v>0</v>
      </c>
      <c r="L872" s="36">
        <f>IFERROR(Tabela_Base_Financeiro[[#This Row],[AC Qty,]],0)</f>
        <v>0</v>
      </c>
      <c r="M872" s="60">
        <f>Tabela6[[#This Row],[Qty]]*Tabela6[[#This Row],[Preço]]</f>
        <v>0</v>
      </c>
      <c r="N872" s="37">
        <f>IFERROR(Tabela_Base_Financeiro[[#This Row],[Proportion]],0)</f>
        <v>0</v>
      </c>
      <c r="O872" s="60">
        <f>Tabela6[[#This Row],[Proporção]]*Tabela6[[#This Row],[Total]]</f>
        <v>0</v>
      </c>
      <c r="P872"/>
      <c r="Q872" s="59"/>
      <c r="R872" s="1"/>
    </row>
    <row r="873" spans="1:18">
      <c r="A873" s="122" t="e">
        <f>IF(VLOOKUP(Tabela6[[#This Row],[UF]],'BASE CC'!B:C,2,0)="SP",IF(Tabela6[[#This Row],[OPERADORA]]="TIM","SP TIM","SPI"),VLOOKUP(Tabela6[[#This Row],[UF]],'BASE CC'!B:C,2,0))</f>
        <v>#N/A</v>
      </c>
      <c r="B873" s="36" t="e">
        <f>VLOOKUP(Tabela_Base_Financeiro[[#This Row],[Item code]],'COD.FAT'!B:C,2,0)</f>
        <v>#N/A</v>
      </c>
      <c r="C873" s="292">
        <f>Tabela_Base_Financeiro[[#This Row],[PO Ship TO]]</f>
        <v>0</v>
      </c>
      <c r="D873" s="36" t="str">
        <f>RIGHT(Tabela_Base_Financeiro[[#This Row],[Manufacturer]],2)</f>
        <v/>
      </c>
      <c r="E87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73" s="122" t="e">
        <f>VLOOKUP(Tabela_Base_Financeiro[[#This Row],[Project Code]],'COD. PROJETOS'!B:D,3,0)</f>
        <v>#N/A</v>
      </c>
      <c r="G873" s="36">
        <f>IFERROR(Tabela_Base_Financeiro[[#This Row],[PO No,]],0)</f>
        <v>0</v>
      </c>
      <c r="H873" s="36">
        <f>IFERROR(Tabela_Base_Financeiro[[#This Row],[Line No,]],0)</f>
        <v>0</v>
      </c>
      <c r="I873" s="36" t="str">
        <f>IFERROR(MID(Tabela_Base_Financeiro[[#This Row],[Manufacturer]],19,14),"")</f>
        <v/>
      </c>
      <c r="J873" s="113">
        <f>IFERROR(Tabela_Base_Financeiro[[#This Row],[Item code]],0)</f>
        <v>0</v>
      </c>
      <c r="K873" s="293">
        <f>IFERROR(Tabela_Base_Financeiro[[#This Row],[Unit Price]],0)</f>
        <v>0</v>
      </c>
      <c r="L873" s="36">
        <f>IFERROR(Tabela_Base_Financeiro[[#This Row],[AC Qty,]],0)</f>
        <v>0</v>
      </c>
      <c r="M873" s="60">
        <f>Tabela6[[#This Row],[Qty]]*Tabela6[[#This Row],[Preço]]</f>
        <v>0</v>
      </c>
      <c r="N873" s="37">
        <f>IFERROR(Tabela_Base_Financeiro[[#This Row],[Proportion]],0)</f>
        <v>0</v>
      </c>
      <c r="O873" s="60">
        <f>Tabela6[[#This Row],[Proporção]]*Tabela6[[#This Row],[Total]]</f>
        <v>0</v>
      </c>
      <c r="P873"/>
      <c r="Q873" s="59"/>
      <c r="R873" s="1"/>
    </row>
    <row r="874" spans="1:18">
      <c r="A874" s="122" t="e">
        <f>IF(VLOOKUP(Tabela6[[#This Row],[UF]],'BASE CC'!B:C,2,0)="SP",IF(Tabela6[[#This Row],[OPERADORA]]="TIM","SP TIM","SPI"),VLOOKUP(Tabela6[[#This Row],[UF]],'BASE CC'!B:C,2,0))</f>
        <v>#N/A</v>
      </c>
      <c r="B874" s="36" t="e">
        <f>VLOOKUP(Tabela_Base_Financeiro[[#This Row],[Item code]],'COD.FAT'!B:C,2,0)</f>
        <v>#N/A</v>
      </c>
      <c r="C874" s="292">
        <f>Tabela_Base_Financeiro[[#This Row],[PO Ship TO]]</f>
        <v>0</v>
      </c>
      <c r="D874" s="36" t="str">
        <f>RIGHT(Tabela_Base_Financeiro[[#This Row],[Manufacturer]],2)</f>
        <v/>
      </c>
      <c r="E87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74" s="122" t="e">
        <f>VLOOKUP(Tabela_Base_Financeiro[[#This Row],[Project Code]],'COD. PROJETOS'!B:D,3,0)</f>
        <v>#N/A</v>
      </c>
      <c r="G874" s="36">
        <f>IFERROR(Tabela_Base_Financeiro[[#This Row],[PO No,]],0)</f>
        <v>0</v>
      </c>
      <c r="H874" s="36">
        <f>IFERROR(Tabela_Base_Financeiro[[#This Row],[Line No,]],0)</f>
        <v>0</v>
      </c>
      <c r="I874" s="36" t="str">
        <f>IFERROR(MID(Tabela_Base_Financeiro[[#This Row],[Manufacturer]],19,14),"")</f>
        <v/>
      </c>
      <c r="J874" s="113">
        <f>IFERROR(Tabela_Base_Financeiro[[#This Row],[Item code]],0)</f>
        <v>0</v>
      </c>
      <c r="K874" s="293">
        <f>IFERROR(Tabela_Base_Financeiro[[#This Row],[Unit Price]],0)</f>
        <v>0</v>
      </c>
      <c r="L874" s="36">
        <f>IFERROR(Tabela_Base_Financeiro[[#This Row],[AC Qty,]],0)</f>
        <v>0</v>
      </c>
      <c r="M874" s="60">
        <f>Tabela6[[#This Row],[Qty]]*Tabela6[[#This Row],[Preço]]</f>
        <v>0</v>
      </c>
      <c r="N874" s="37">
        <f>IFERROR(Tabela_Base_Financeiro[[#This Row],[Proportion]],0)</f>
        <v>0</v>
      </c>
      <c r="O874" s="60">
        <f>Tabela6[[#This Row],[Proporção]]*Tabela6[[#This Row],[Total]]</f>
        <v>0</v>
      </c>
      <c r="P874"/>
      <c r="Q874" s="59"/>
      <c r="R874" s="1"/>
    </row>
    <row r="875" spans="1:18">
      <c r="A875" s="122" t="e">
        <f>IF(VLOOKUP(Tabela6[[#This Row],[UF]],'BASE CC'!B:C,2,0)="SP",IF(Tabela6[[#This Row],[OPERADORA]]="TIM","SP TIM","SPI"),VLOOKUP(Tabela6[[#This Row],[UF]],'BASE CC'!B:C,2,0))</f>
        <v>#N/A</v>
      </c>
      <c r="B875" s="36" t="e">
        <f>VLOOKUP(Tabela_Base_Financeiro[[#This Row],[Item code]],'COD.FAT'!B:C,2,0)</f>
        <v>#N/A</v>
      </c>
      <c r="C875" s="292">
        <f>Tabela_Base_Financeiro[[#This Row],[PO Ship TO]]</f>
        <v>0</v>
      </c>
      <c r="D875" s="36" t="str">
        <f>RIGHT(Tabela_Base_Financeiro[[#This Row],[Manufacturer]],2)</f>
        <v/>
      </c>
      <c r="E87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75" s="122" t="e">
        <f>VLOOKUP(Tabela_Base_Financeiro[[#This Row],[Project Code]],'COD. PROJETOS'!B:D,3,0)</f>
        <v>#N/A</v>
      </c>
      <c r="G875" s="36">
        <f>IFERROR(Tabela_Base_Financeiro[[#This Row],[PO No,]],0)</f>
        <v>0</v>
      </c>
      <c r="H875" s="36">
        <f>IFERROR(Tabela_Base_Financeiro[[#This Row],[Line No,]],0)</f>
        <v>0</v>
      </c>
      <c r="I875" s="36" t="str">
        <f>IFERROR(MID(Tabela_Base_Financeiro[[#This Row],[Manufacturer]],19,14),"")</f>
        <v/>
      </c>
      <c r="J875" s="113">
        <f>IFERROR(Tabela_Base_Financeiro[[#This Row],[Item code]],0)</f>
        <v>0</v>
      </c>
      <c r="K875" s="293">
        <f>IFERROR(Tabela_Base_Financeiro[[#This Row],[Unit Price]],0)</f>
        <v>0</v>
      </c>
      <c r="L875" s="36">
        <f>IFERROR(Tabela_Base_Financeiro[[#This Row],[AC Qty,]],0)</f>
        <v>0</v>
      </c>
      <c r="M875" s="60">
        <f>Tabela6[[#This Row],[Qty]]*Tabela6[[#This Row],[Preço]]</f>
        <v>0</v>
      </c>
      <c r="N875" s="37">
        <f>IFERROR(Tabela_Base_Financeiro[[#This Row],[Proportion]],0)</f>
        <v>0</v>
      </c>
      <c r="O875" s="60">
        <f>Tabela6[[#This Row],[Proporção]]*Tabela6[[#This Row],[Total]]</f>
        <v>0</v>
      </c>
      <c r="P875"/>
      <c r="Q875" s="59"/>
      <c r="R875" s="1"/>
    </row>
    <row r="876" spans="1:18">
      <c r="A876" s="122" t="e">
        <f>IF(VLOOKUP(Tabela6[[#This Row],[UF]],'BASE CC'!B:C,2,0)="SP",IF(Tabela6[[#This Row],[OPERADORA]]="TIM","SP TIM","SPI"),VLOOKUP(Tabela6[[#This Row],[UF]],'BASE CC'!B:C,2,0))</f>
        <v>#N/A</v>
      </c>
      <c r="B876" s="36" t="e">
        <f>VLOOKUP(Tabela_Base_Financeiro[[#This Row],[Item code]],'COD.FAT'!B:C,2,0)</f>
        <v>#N/A</v>
      </c>
      <c r="C876" s="292">
        <f>Tabela_Base_Financeiro[[#This Row],[PO Ship TO]]</f>
        <v>0</v>
      </c>
      <c r="D876" s="36" t="str">
        <f>RIGHT(Tabela_Base_Financeiro[[#This Row],[Manufacturer]],2)</f>
        <v/>
      </c>
      <c r="E87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76" s="122" t="e">
        <f>VLOOKUP(Tabela_Base_Financeiro[[#This Row],[Project Code]],'COD. PROJETOS'!B:D,3,0)</f>
        <v>#N/A</v>
      </c>
      <c r="G876" s="36">
        <f>IFERROR(Tabela_Base_Financeiro[[#This Row],[PO No,]],0)</f>
        <v>0</v>
      </c>
      <c r="H876" s="36">
        <f>IFERROR(Tabela_Base_Financeiro[[#This Row],[Line No,]],0)</f>
        <v>0</v>
      </c>
      <c r="I876" s="36" t="str">
        <f>IFERROR(MID(Tabela_Base_Financeiro[[#This Row],[Manufacturer]],19,14),"")</f>
        <v/>
      </c>
      <c r="J876" s="113">
        <f>IFERROR(Tabela_Base_Financeiro[[#This Row],[Item code]],0)</f>
        <v>0</v>
      </c>
      <c r="K876" s="293">
        <f>IFERROR(Tabela_Base_Financeiro[[#This Row],[Unit Price]],0)</f>
        <v>0</v>
      </c>
      <c r="L876" s="36">
        <f>IFERROR(Tabela_Base_Financeiro[[#This Row],[AC Qty,]],0)</f>
        <v>0</v>
      </c>
      <c r="M876" s="60">
        <f>Tabela6[[#This Row],[Qty]]*Tabela6[[#This Row],[Preço]]</f>
        <v>0</v>
      </c>
      <c r="N876" s="37">
        <f>IFERROR(Tabela_Base_Financeiro[[#This Row],[Proportion]],0)</f>
        <v>0</v>
      </c>
      <c r="O876" s="60">
        <f>Tabela6[[#This Row],[Proporção]]*Tabela6[[#This Row],[Total]]</f>
        <v>0</v>
      </c>
      <c r="P876"/>
      <c r="Q876" s="59"/>
      <c r="R876" s="1"/>
    </row>
    <row r="877" spans="1:18">
      <c r="A877" s="122" t="e">
        <f>IF(VLOOKUP(Tabela6[[#This Row],[UF]],'BASE CC'!B:C,2,0)="SP",IF(Tabela6[[#This Row],[OPERADORA]]="TIM","SP TIM","SPI"),VLOOKUP(Tabela6[[#This Row],[UF]],'BASE CC'!B:C,2,0))</f>
        <v>#N/A</v>
      </c>
      <c r="B877" s="36" t="e">
        <f>VLOOKUP(Tabela_Base_Financeiro[[#This Row],[Item code]],'COD.FAT'!B:C,2,0)</f>
        <v>#N/A</v>
      </c>
      <c r="C877" s="292">
        <f>Tabela_Base_Financeiro[[#This Row],[PO Ship TO]]</f>
        <v>0</v>
      </c>
      <c r="D877" s="36" t="str">
        <f>RIGHT(Tabela_Base_Financeiro[[#This Row],[Manufacturer]],2)</f>
        <v/>
      </c>
      <c r="E87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77" s="122" t="e">
        <f>VLOOKUP(Tabela_Base_Financeiro[[#This Row],[Project Code]],'COD. PROJETOS'!B:D,3,0)</f>
        <v>#N/A</v>
      </c>
      <c r="G877" s="36">
        <f>IFERROR(Tabela_Base_Financeiro[[#This Row],[PO No,]],0)</f>
        <v>0</v>
      </c>
      <c r="H877" s="36">
        <f>IFERROR(Tabela_Base_Financeiro[[#This Row],[Line No,]],0)</f>
        <v>0</v>
      </c>
      <c r="I877" s="36" t="str">
        <f>IFERROR(MID(Tabela_Base_Financeiro[[#This Row],[Manufacturer]],19,14),"")</f>
        <v/>
      </c>
      <c r="J877" s="113">
        <f>IFERROR(Tabela_Base_Financeiro[[#This Row],[Item code]],0)</f>
        <v>0</v>
      </c>
      <c r="K877" s="293">
        <f>IFERROR(Tabela_Base_Financeiro[[#This Row],[Unit Price]],0)</f>
        <v>0</v>
      </c>
      <c r="L877" s="36">
        <f>IFERROR(Tabela_Base_Financeiro[[#This Row],[AC Qty,]],0)</f>
        <v>0</v>
      </c>
      <c r="M877" s="60">
        <f>Tabela6[[#This Row],[Qty]]*Tabela6[[#This Row],[Preço]]</f>
        <v>0</v>
      </c>
      <c r="N877" s="37">
        <f>IFERROR(Tabela_Base_Financeiro[[#This Row],[Proportion]],0)</f>
        <v>0</v>
      </c>
      <c r="O877" s="60">
        <f>Tabela6[[#This Row],[Proporção]]*Tabela6[[#This Row],[Total]]</f>
        <v>0</v>
      </c>
      <c r="P877"/>
      <c r="Q877" s="59"/>
      <c r="R877" s="1"/>
    </row>
    <row r="878" spans="1:18">
      <c r="A878" s="122" t="e">
        <f>IF(VLOOKUP(Tabela6[[#This Row],[UF]],'BASE CC'!B:C,2,0)="SP",IF(Tabela6[[#This Row],[OPERADORA]]="TIM","SP TIM","SPI"),VLOOKUP(Tabela6[[#This Row],[UF]],'BASE CC'!B:C,2,0))</f>
        <v>#N/A</v>
      </c>
      <c r="B878" s="36" t="e">
        <f>VLOOKUP(Tabela_Base_Financeiro[[#This Row],[Item code]],'COD.FAT'!B:C,2,0)</f>
        <v>#N/A</v>
      </c>
      <c r="C878" s="292">
        <f>Tabela_Base_Financeiro[[#This Row],[PO Ship TO]]</f>
        <v>0</v>
      </c>
      <c r="D878" s="36" t="str">
        <f>RIGHT(Tabela_Base_Financeiro[[#This Row],[Manufacturer]],2)</f>
        <v/>
      </c>
      <c r="E87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78" s="122" t="e">
        <f>VLOOKUP(Tabela_Base_Financeiro[[#This Row],[Project Code]],'COD. PROJETOS'!B:D,3,0)</f>
        <v>#N/A</v>
      </c>
      <c r="G878" s="36">
        <f>IFERROR(Tabela_Base_Financeiro[[#This Row],[PO No,]],0)</f>
        <v>0</v>
      </c>
      <c r="H878" s="36">
        <f>IFERROR(Tabela_Base_Financeiro[[#This Row],[Line No,]],0)</f>
        <v>0</v>
      </c>
      <c r="I878" s="36" t="str">
        <f>IFERROR(MID(Tabela_Base_Financeiro[[#This Row],[Manufacturer]],19,14),"")</f>
        <v/>
      </c>
      <c r="J878" s="113">
        <f>IFERROR(Tabela_Base_Financeiro[[#This Row],[Item code]],0)</f>
        <v>0</v>
      </c>
      <c r="K878" s="293">
        <f>IFERROR(Tabela_Base_Financeiro[[#This Row],[Unit Price]],0)</f>
        <v>0</v>
      </c>
      <c r="L878" s="36">
        <f>IFERROR(Tabela_Base_Financeiro[[#This Row],[AC Qty,]],0)</f>
        <v>0</v>
      </c>
      <c r="M878" s="60">
        <f>Tabela6[[#This Row],[Qty]]*Tabela6[[#This Row],[Preço]]</f>
        <v>0</v>
      </c>
      <c r="N878" s="37">
        <f>IFERROR(Tabela_Base_Financeiro[[#This Row],[Proportion]],0)</f>
        <v>0</v>
      </c>
      <c r="O878" s="60">
        <f>Tabela6[[#This Row],[Proporção]]*Tabela6[[#This Row],[Total]]</f>
        <v>0</v>
      </c>
      <c r="P878"/>
      <c r="Q878" s="59"/>
      <c r="R878" s="1"/>
    </row>
    <row r="879" spans="1:18">
      <c r="A879" s="122" t="e">
        <f>IF(VLOOKUP(Tabela6[[#This Row],[UF]],'BASE CC'!B:C,2,0)="SP",IF(Tabela6[[#This Row],[OPERADORA]]="TIM","SP TIM","SPI"),VLOOKUP(Tabela6[[#This Row],[UF]],'BASE CC'!B:C,2,0))</f>
        <v>#N/A</v>
      </c>
      <c r="B879" s="36" t="e">
        <f>VLOOKUP(Tabela_Base_Financeiro[[#This Row],[Item code]],'COD.FAT'!B:C,2,0)</f>
        <v>#N/A</v>
      </c>
      <c r="C879" s="292">
        <f>Tabela_Base_Financeiro[[#This Row],[PO Ship TO]]</f>
        <v>0</v>
      </c>
      <c r="D879" s="36" t="str">
        <f>RIGHT(Tabela_Base_Financeiro[[#This Row],[Manufacturer]],2)</f>
        <v/>
      </c>
      <c r="E87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79" s="122" t="e">
        <f>VLOOKUP(Tabela_Base_Financeiro[[#This Row],[Project Code]],'COD. PROJETOS'!B:D,3,0)</f>
        <v>#N/A</v>
      </c>
      <c r="G879" s="36">
        <f>IFERROR(Tabela_Base_Financeiro[[#This Row],[PO No,]],0)</f>
        <v>0</v>
      </c>
      <c r="H879" s="36">
        <f>IFERROR(Tabela_Base_Financeiro[[#This Row],[Line No,]],0)</f>
        <v>0</v>
      </c>
      <c r="I879" s="36" t="str">
        <f>IFERROR(MID(Tabela_Base_Financeiro[[#This Row],[Manufacturer]],19,14),"")</f>
        <v/>
      </c>
      <c r="J879" s="113">
        <f>IFERROR(Tabela_Base_Financeiro[[#This Row],[Item code]],0)</f>
        <v>0</v>
      </c>
      <c r="K879" s="293">
        <f>IFERROR(Tabela_Base_Financeiro[[#This Row],[Unit Price]],0)</f>
        <v>0</v>
      </c>
      <c r="L879" s="36">
        <f>IFERROR(Tabela_Base_Financeiro[[#This Row],[AC Qty,]],0)</f>
        <v>0</v>
      </c>
      <c r="M879" s="60">
        <f>Tabela6[[#This Row],[Qty]]*Tabela6[[#This Row],[Preço]]</f>
        <v>0</v>
      </c>
      <c r="N879" s="37">
        <f>IFERROR(Tabela_Base_Financeiro[[#This Row],[Proportion]],0)</f>
        <v>0</v>
      </c>
      <c r="O879" s="60">
        <f>Tabela6[[#This Row],[Proporção]]*Tabela6[[#This Row],[Total]]</f>
        <v>0</v>
      </c>
      <c r="P879"/>
      <c r="Q879" s="59"/>
      <c r="R879" s="1"/>
    </row>
    <row r="880" spans="1:18">
      <c r="A880" s="122" t="e">
        <f>IF(VLOOKUP(Tabela6[[#This Row],[UF]],'BASE CC'!B:C,2,0)="SP",IF(Tabela6[[#This Row],[OPERADORA]]="TIM","SP TIM","SPI"),VLOOKUP(Tabela6[[#This Row],[UF]],'BASE CC'!B:C,2,0))</f>
        <v>#N/A</v>
      </c>
      <c r="B880" s="36" t="e">
        <f>VLOOKUP(Tabela_Base_Financeiro[[#This Row],[Item code]],'COD.FAT'!B:C,2,0)</f>
        <v>#N/A</v>
      </c>
      <c r="C880" s="292">
        <f>Tabela_Base_Financeiro[[#This Row],[PO Ship TO]]</f>
        <v>0</v>
      </c>
      <c r="D880" s="36" t="str">
        <f>RIGHT(Tabela_Base_Financeiro[[#This Row],[Manufacturer]],2)</f>
        <v/>
      </c>
      <c r="E88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80" s="122" t="e">
        <f>VLOOKUP(Tabela_Base_Financeiro[[#This Row],[Project Code]],'COD. PROJETOS'!B:D,3,0)</f>
        <v>#N/A</v>
      </c>
      <c r="G880" s="36">
        <f>IFERROR(Tabela_Base_Financeiro[[#This Row],[PO No,]],0)</f>
        <v>0</v>
      </c>
      <c r="H880" s="36">
        <f>IFERROR(Tabela_Base_Financeiro[[#This Row],[Line No,]],0)</f>
        <v>0</v>
      </c>
      <c r="I880" s="36" t="str">
        <f>IFERROR(MID(Tabela_Base_Financeiro[[#This Row],[Manufacturer]],19,14),"")</f>
        <v/>
      </c>
      <c r="J880" s="113">
        <f>IFERROR(Tabela_Base_Financeiro[[#This Row],[Item code]],0)</f>
        <v>0</v>
      </c>
      <c r="K880" s="293">
        <f>IFERROR(Tabela_Base_Financeiro[[#This Row],[Unit Price]],0)</f>
        <v>0</v>
      </c>
      <c r="L880" s="36">
        <f>IFERROR(Tabela_Base_Financeiro[[#This Row],[AC Qty,]],0)</f>
        <v>0</v>
      </c>
      <c r="M880" s="60">
        <f>Tabela6[[#This Row],[Qty]]*Tabela6[[#This Row],[Preço]]</f>
        <v>0</v>
      </c>
      <c r="N880" s="37">
        <f>IFERROR(Tabela_Base_Financeiro[[#This Row],[Proportion]],0)</f>
        <v>0</v>
      </c>
      <c r="O880" s="60">
        <f>Tabela6[[#This Row],[Proporção]]*Tabela6[[#This Row],[Total]]</f>
        <v>0</v>
      </c>
      <c r="P880"/>
      <c r="Q880" s="59"/>
      <c r="R880" s="1"/>
    </row>
    <row r="881" spans="1:18">
      <c r="A881" s="122" t="e">
        <f>IF(VLOOKUP(Tabela6[[#This Row],[UF]],'BASE CC'!B:C,2,0)="SP",IF(Tabela6[[#This Row],[OPERADORA]]="TIM","SP TIM","SPI"),VLOOKUP(Tabela6[[#This Row],[UF]],'BASE CC'!B:C,2,0))</f>
        <v>#N/A</v>
      </c>
      <c r="B881" s="36" t="e">
        <f>VLOOKUP(Tabela_Base_Financeiro[[#This Row],[Item code]],'COD.FAT'!B:C,2,0)</f>
        <v>#N/A</v>
      </c>
      <c r="C881" s="292">
        <f>Tabela_Base_Financeiro[[#This Row],[PO Ship TO]]</f>
        <v>0</v>
      </c>
      <c r="D881" s="36" t="str">
        <f>RIGHT(Tabela_Base_Financeiro[[#This Row],[Manufacturer]],2)</f>
        <v/>
      </c>
      <c r="E88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81" s="122" t="e">
        <f>VLOOKUP(Tabela_Base_Financeiro[[#This Row],[Project Code]],'COD. PROJETOS'!B:D,3,0)</f>
        <v>#N/A</v>
      </c>
      <c r="G881" s="36">
        <f>IFERROR(Tabela_Base_Financeiro[[#This Row],[PO No,]],0)</f>
        <v>0</v>
      </c>
      <c r="H881" s="36">
        <f>IFERROR(Tabela_Base_Financeiro[[#This Row],[Line No,]],0)</f>
        <v>0</v>
      </c>
      <c r="I881" s="36" t="str">
        <f>IFERROR(MID(Tabela_Base_Financeiro[[#This Row],[Manufacturer]],19,14),"")</f>
        <v/>
      </c>
      <c r="J881" s="113">
        <f>IFERROR(Tabela_Base_Financeiro[[#This Row],[Item code]],0)</f>
        <v>0</v>
      </c>
      <c r="K881" s="293">
        <f>IFERROR(Tabela_Base_Financeiro[[#This Row],[Unit Price]],0)</f>
        <v>0</v>
      </c>
      <c r="L881" s="36">
        <f>IFERROR(Tabela_Base_Financeiro[[#This Row],[AC Qty,]],0)</f>
        <v>0</v>
      </c>
      <c r="M881" s="60">
        <f>Tabela6[[#This Row],[Qty]]*Tabela6[[#This Row],[Preço]]</f>
        <v>0</v>
      </c>
      <c r="N881" s="37">
        <f>IFERROR(Tabela_Base_Financeiro[[#This Row],[Proportion]],0)</f>
        <v>0</v>
      </c>
      <c r="O881" s="60">
        <f>Tabela6[[#This Row],[Proporção]]*Tabela6[[#This Row],[Total]]</f>
        <v>0</v>
      </c>
      <c r="P881"/>
      <c r="Q881" s="59"/>
      <c r="R881" s="1"/>
    </row>
    <row r="882" spans="1:18">
      <c r="A882" s="122" t="e">
        <f>IF(VLOOKUP(Tabela6[[#This Row],[UF]],'BASE CC'!B:C,2,0)="SP",IF(Tabela6[[#This Row],[OPERADORA]]="TIM","SP TIM","SPI"),VLOOKUP(Tabela6[[#This Row],[UF]],'BASE CC'!B:C,2,0))</f>
        <v>#N/A</v>
      </c>
      <c r="B882" s="36" t="e">
        <f>VLOOKUP(Tabela_Base_Financeiro[[#This Row],[Item code]],'COD.FAT'!B:C,2,0)</f>
        <v>#N/A</v>
      </c>
      <c r="C882" s="292">
        <f>Tabela_Base_Financeiro[[#This Row],[PO Ship TO]]</f>
        <v>0</v>
      </c>
      <c r="D882" s="36" t="str">
        <f>RIGHT(Tabela_Base_Financeiro[[#This Row],[Manufacturer]],2)</f>
        <v/>
      </c>
      <c r="E88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82" s="122" t="e">
        <f>VLOOKUP(Tabela_Base_Financeiro[[#This Row],[Project Code]],'COD. PROJETOS'!B:D,3,0)</f>
        <v>#N/A</v>
      </c>
      <c r="G882" s="36">
        <f>IFERROR(Tabela_Base_Financeiro[[#This Row],[PO No,]],0)</f>
        <v>0</v>
      </c>
      <c r="H882" s="36">
        <f>IFERROR(Tabela_Base_Financeiro[[#This Row],[Line No,]],0)</f>
        <v>0</v>
      </c>
      <c r="I882" s="36" t="str">
        <f>IFERROR(MID(Tabela_Base_Financeiro[[#This Row],[Manufacturer]],19,14),"")</f>
        <v/>
      </c>
      <c r="J882" s="113">
        <f>IFERROR(Tabela_Base_Financeiro[[#This Row],[Item code]],0)</f>
        <v>0</v>
      </c>
      <c r="K882" s="293">
        <f>IFERROR(Tabela_Base_Financeiro[[#This Row],[Unit Price]],0)</f>
        <v>0</v>
      </c>
      <c r="L882" s="36">
        <f>IFERROR(Tabela_Base_Financeiro[[#This Row],[AC Qty,]],0)</f>
        <v>0</v>
      </c>
      <c r="M882" s="60">
        <f>Tabela6[[#This Row],[Qty]]*Tabela6[[#This Row],[Preço]]</f>
        <v>0</v>
      </c>
      <c r="N882" s="37">
        <f>IFERROR(Tabela_Base_Financeiro[[#This Row],[Proportion]],0)</f>
        <v>0</v>
      </c>
      <c r="O882" s="60">
        <f>Tabela6[[#This Row],[Proporção]]*Tabela6[[#This Row],[Total]]</f>
        <v>0</v>
      </c>
      <c r="P882"/>
      <c r="Q882" s="59"/>
      <c r="R882" s="1"/>
    </row>
    <row r="883" spans="1:18">
      <c r="A883" s="122" t="e">
        <f>IF(VLOOKUP(Tabela6[[#This Row],[UF]],'BASE CC'!B:C,2,0)="SP",IF(Tabela6[[#This Row],[OPERADORA]]="TIM","SP TIM","SPI"),VLOOKUP(Tabela6[[#This Row],[UF]],'BASE CC'!B:C,2,0))</f>
        <v>#N/A</v>
      </c>
      <c r="B883" s="36" t="e">
        <f>VLOOKUP(Tabela_Base_Financeiro[[#This Row],[Item code]],'COD.FAT'!B:C,2,0)</f>
        <v>#N/A</v>
      </c>
      <c r="C883" s="292">
        <f>Tabela_Base_Financeiro[[#This Row],[PO Ship TO]]</f>
        <v>0</v>
      </c>
      <c r="D883" s="36" t="str">
        <f>RIGHT(Tabela_Base_Financeiro[[#This Row],[Manufacturer]],2)</f>
        <v/>
      </c>
      <c r="E88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83" s="122" t="e">
        <f>VLOOKUP(Tabela_Base_Financeiro[[#This Row],[Project Code]],'COD. PROJETOS'!B:D,3,0)</f>
        <v>#N/A</v>
      </c>
      <c r="G883" s="36">
        <f>IFERROR(Tabela_Base_Financeiro[[#This Row],[PO No,]],0)</f>
        <v>0</v>
      </c>
      <c r="H883" s="36">
        <f>IFERROR(Tabela_Base_Financeiro[[#This Row],[Line No,]],0)</f>
        <v>0</v>
      </c>
      <c r="I883" s="36" t="str">
        <f>IFERROR(MID(Tabela_Base_Financeiro[[#This Row],[Manufacturer]],19,14),"")</f>
        <v/>
      </c>
      <c r="J883" s="113">
        <f>IFERROR(Tabela_Base_Financeiro[[#This Row],[Item code]],0)</f>
        <v>0</v>
      </c>
      <c r="K883" s="293">
        <f>IFERROR(Tabela_Base_Financeiro[[#This Row],[Unit Price]],0)</f>
        <v>0</v>
      </c>
      <c r="L883" s="36">
        <f>IFERROR(Tabela_Base_Financeiro[[#This Row],[AC Qty,]],0)</f>
        <v>0</v>
      </c>
      <c r="M883" s="60">
        <f>Tabela6[[#This Row],[Qty]]*Tabela6[[#This Row],[Preço]]</f>
        <v>0</v>
      </c>
      <c r="N883" s="37">
        <f>IFERROR(Tabela_Base_Financeiro[[#This Row],[Proportion]],0)</f>
        <v>0</v>
      </c>
      <c r="O883" s="60">
        <f>Tabela6[[#This Row],[Proporção]]*Tabela6[[#This Row],[Total]]</f>
        <v>0</v>
      </c>
      <c r="P883"/>
      <c r="Q883" s="59"/>
      <c r="R883" s="1"/>
    </row>
    <row r="884" spans="1:18">
      <c r="A884" s="122" t="e">
        <f>IF(VLOOKUP(Tabela6[[#This Row],[UF]],'BASE CC'!B:C,2,0)="SP",IF(Tabela6[[#This Row],[OPERADORA]]="TIM","SP TIM","SPI"),VLOOKUP(Tabela6[[#This Row],[UF]],'BASE CC'!B:C,2,0))</f>
        <v>#N/A</v>
      </c>
      <c r="B884" s="36" t="e">
        <f>VLOOKUP(Tabela_Base_Financeiro[[#This Row],[Item code]],'COD.FAT'!B:C,2,0)</f>
        <v>#N/A</v>
      </c>
      <c r="C884" s="292">
        <f>Tabela_Base_Financeiro[[#This Row],[PO Ship TO]]</f>
        <v>0</v>
      </c>
      <c r="D884" s="36" t="str">
        <f>RIGHT(Tabela_Base_Financeiro[[#This Row],[Manufacturer]],2)</f>
        <v/>
      </c>
      <c r="E88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84" s="122" t="e">
        <f>VLOOKUP(Tabela_Base_Financeiro[[#This Row],[Project Code]],'COD. PROJETOS'!B:D,3,0)</f>
        <v>#N/A</v>
      </c>
      <c r="G884" s="36">
        <f>IFERROR(Tabela_Base_Financeiro[[#This Row],[PO No,]],0)</f>
        <v>0</v>
      </c>
      <c r="H884" s="36">
        <f>IFERROR(Tabela_Base_Financeiro[[#This Row],[Line No,]],0)</f>
        <v>0</v>
      </c>
      <c r="I884" s="36" t="str">
        <f>IFERROR(MID(Tabela_Base_Financeiro[[#This Row],[Manufacturer]],19,14),"")</f>
        <v/>
      </c>
      <c r="J884" s="113">
        <f>IFERROR(Tabela_Base_Financeiro[[#This Row],[Item code]],0)</f>
        <v>0</v>
      </c>
      <c r="K884" s="293">
        <f>IFERROR(Tabela_Base_Financeiro[[#This Row],[Unit Price]],0)</f>
        <v>0</v>
      </c>
      <c r="L884" s="36">
        <f>IFERROR(Tabela_Base_Financeiro[[#This Row],[AC Qty,]],0)</f>
        <v>0</v>
      </c>
      <c r="M884" s="60">
        <f>Tabela6[[#This Row],[Qty]]*Tabela6[[#This Row],[Preço]]</f>
        <v>0</v>
      </c>
      <c r="N884" s="37">
        <f>IFERROR(Tabela_Base_Financeiro[[#This Row],[Proportion]],0)</f>
        <v>0</v>
      </c>
      <c r="O884" s="60">
        <f>Tabela6[[#This Row],[Proporção]]*Tabela6[[#This Row],[Total]]</f>
        <v>0</v>
      </c>
      <c r="P884"/>
      <c r="Q884" s="59"/>
      <c r="R884" s="1"/>
    </row>
    <row r="885" spans="1:18">
      <c r="A885" s="122" t="e">
        <f>IF(VLOOKUP(Tabela6[[#This Row],[UF]],'BASE CC'!B:C,2,0)="SP",IF(Tabela6[[#This Row],[OPERADORA]]="TIM","SP TIM","SPI"),VLOOKUP(Tabela6[[#This Row],[UF]],'BASE CC'!B:C,2,0))</f>
        <v>#N/A</v>
      </c>
      <c r="B885" s="36" t="e">
        <f>VLOOKUP(Tabela_Base_Financeiro[[#This Row],[Item code]],'COD.FAT'!B:C,2,0)</f>
        <v>#N/A</v>
      </c>
      <c r="C885" s="292">
        <f>Tabela_Base_Financeiro[[#This Row],[PO Ship TO]]</f>
        <v>0</v>
      </c>
      <c r="D885" s="36" t="str">
        <f>RIGHT(Tabela_Base_Financeiro[[#This Row],[Manufacturer]],2)</f>
        <v/>
      </c>
      <c r="E88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85" s="122" t="e">
        <f>VLOOKUP(Tabela_Base_Financeiro[[#This Row],[Project Code]],'COD. PROJETOS'!B:D,3,0)</f>
        <v>#N/A</v>
      </c>
      <c r="G885" s="36">
        <f>IFERROR(Tabela_Base_Financeiro[[#This Row],[PO No,]],0)</f>
        <v>0</v>
      </c>
      <c r="H885" s="36">
        <f>IFERROR(Tabela_Base_Financeiro[[#This Row],[Line No,]],0)</f>
        <v>0</v>
      </c>
      <c r="I885" s="36" t="str">
        <f>IFERROR(MID(Tabela_Base_Financeiro[[#This Row],[Manufacturer]],19,14),"")</f>
        <v/>
      </c>
      <c r="J885" s="113">
        <f>IFERROR(Tabela_Base_Financeiro[[#This Row],[Item code]],0)</f>
        <v>0</v>
      </c>
      <c r="K885" s="293">
        <f>IFERROR(Tabela_Base_Financeiro[[#This Row],[Unit Price]],0)</f>
        <v>0</v>
      </c>
      <c r="L885" s="36">
        <f>IFERROR(Tabela_Base_Financeiro[[#This Row],[AC Qty,]],0)</f>
        <v>0</v>
      </c>
      <c r="M885" s="60">
        <f>Tabela6[[#This Row],[Qty]]*Tabela6[[#This Row],[Preço]]</f>
        <v>0</v>
      </c>
      <c r="N885" s="37">
        <f>IFERROR(Tabela_Base_Financeiro[[#This Row],[Proportion]],0)</f>
        <v>0</v>
      </c>
      <c r="O885" s="60">
        <f>Tabela6[[#This Row],[Proporção]]*Tabela6[[#This Row],[Total]]</f>
        <v>0</v>
      </c>
      <c r="P885"/>
      <c r="Q885" s="59"/>
      <c r="R885" s="1"/>
    </row>
    <row r="886" spans="1:18">
      <c r="A886" s="122" t="e">
        <f>IF(VLOOKUP(Tabela6[[#This Row],[UF]],'BASE CC'!B:C,2,0)="SP",IF(Tabela6[[#This Row],[OPERADORA]]="TIM","SP TIM","SPI"),VLOOKUP(Tabela6[[#This Row],[UF]],'BASE CC'!B:C,2,0))</f>
        <v>#N/A</v>
      </c>
      <c r="B886" s="36" t="e">
        <f>VLOOKUP(Tabela_Base_Financeiro[[#This Row],[Item code]],'COD.FAT'!B:C,2,0)</f>
        <v>#N/A</v>
      </c>
      <c r="C886" s="292">
        <f>Tabela_Base_Financeiro[[#This Row],[PO Ship TO]]</f>
        <v>0</v>
      </c>
      <c r="D886" s="36" t="str">
        <f>RIGHT(Tabela_Base_Financeiro[[#This Row],[Manufacturer]],2)</f>
        <v/>
      </c>
      <c r="E88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86" s="122" t="e">
        <f>VLOOKUP(Tabela_Base_Financeiro[[#This Row],[Project Code]],'COD. PROJETOS'!B:D,3,0)</f>
        <v>#N/A</v>
      </c>
      <c r="G886" s="36">
        <f>IFERROR(Tabela_Base_Financeiro[[#This Row],[PO No,]],0)</f>
        <v>0</v>
      </c>
      <c r="H886" s="36">
        <f>IFERROR(Tabela_Base_Financeiro[[#This Row],[Line No,]],0)</f>
        <v>0</v>
      </c>
      <c r="I886" s="36" t="str">
        <f>IFERROR(MID(Tabela_Base_Financeiro[[#This Row],[Manufacturer]],19,14),"")</f>
        <v/>
      </c>
      <c r="J886" s="113">
        <f>IFERROR(Tabela_Base_Financeiro[[#This Row],[Item code]],0)</f>
        <v>0</v>
      </c>
      <c r="K886" s="293">
        <f>IFERROR(Tabela_Base_Financeiro[[#This Row],[Unit Price]],0)</f>
        <v>0</v>
      </c>
      <c r="L886" s="36">
        <f>IFERROR(Tabela_Base_Financeiro[[#This Row],[AC Qty,]],0)</f>
        <v>0</v>
      </c>
      <c r="M886" s="60">
        <f>Tabela6[[#This Row],[Qty]]*Tabela6[[#This Row],[Preço]]</f>
        <v>0</v>
      </c>
      <c r="N886" s="37">
        <f>IFERROR(Tabela_Base_Financeiro[[#This Row],[Proportion]],0)</f>
        <v>0</v>
      </c>
      <c r="O886" s="60">
        <f>Tabela6[[#This Row],[Proporção]]*Tabela6[[#This Row],[Total]]</f>
        <v>0</v>
      </c>
      <c r="P886"/>
      <c r="Q886" s="59"/>
      <c r="R886" s="1"/>
    </row>
    <row r="887" spans="1:18">
      <c r="A887" s="122" t="e">
        <f>IF(VLOOKUP(Tabela6[[#This Row],[UF]],'BASE CC'!B:C,2,0)="SP",IF(Tabela6[[#This Row],[OPERADORA]]="TIM","SP TIM","SPI"),VLOOKUP(Tabela6[[#This Row],[UF]],'BASE CC'!B:C,2,0))</f>
        <v>#N/A</v>
      </c>
      <c r="B887" s="36" t="e">
        <f>VLOOKUP(Tabela_Base_Financeiro[[#This Row],[Item code]],'COD.FAT'!B:C,2,0)</f>
        <v>#N/A</v>
      </c>
      <c r="C887" s="292">
        <f>Tabela_Base_Financeiro[[#This Row],[PO Ship TO]]</f>
        <v>0</v>
      </c>
      <c r="D887" s="36" t="str">
        <f>RIGHT(Tabela_Base_Financeiro[[#This Row],[Manufacturer]],2)</f>
        <v/>
      </c>
      <c r="E88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87" s="122" t="e">
        <f>VLOOKUP(Tabela_Base_Financeiro[[#This Row],[Project Code]],'COD. PROJETOS'!B:D,3,0)</f>
        <v>#N/A</v>
      </c>
      <c r="G887" s="36">
        <f>IFERROR(Tabela_Base_Financeiro[[#This Row],[PO No,]],0)</f>
        <v>0</v>
      </c>
      <c r="H887" s="36">
        <f>IFERROR(Tabela_Base_Financeiro[[#This Row],[Line No,]],0)</f>
        <v>0</v>
      </c>
      <c r="I887" s="36" t="str">
        <f>IFERROR(MID(Tabela_Base_Financeiro[[#This Row],[Manufacturer]],19,14),"")</f>
        <v/>
      </c>
      <c r="J887" s="113">
        <f>IFERROR(Tabela_Base_Financeiro[[#This Row],[Item code]],0)</f>
        <v>0</v>
      </c>
      <c r="K887" s="293">
        <f>IFERROR(Tabela_Base_Financeiro[[#This Row],[Unit Price]],0)</f>
        <v>0</v>
      </c>
      <c r="L887" s="36">
        <f>IFERROR(Tabela_Base_Financeiro[[#This Row],[AC Qty,]],0)</f>
        <v>0</v>
      </c>
      <c r="M887" s="60">
        <f>Tabela6[[#This Row],[Qty]]*Tabela6[[#This Row],[Preço]]</f>
        <v>0</v>
      </c>
      <c r="N887" s="37">
        <f>IFERROR(Tabela_Base_Financeiro[[#This Row],[Proportion]],0)</f>
        <v>0</v>
      </c>
      <c r="O887" s="60">
        <f>Tabela6[[#This Row],[Proporção]]*Tabela6[[#This Row],[Total]]</f>
        <v>0</v>
      </c>
      <c r="P887"/>
      <c r="Q887" s="59"/>
      <c r="R887" s="1"/>
    </row>
    <row r="888" spans="1:18">
      <c r="A888" s="122" t="e">
        <f>IF(VLOOKUP(Tabela6[[#This Row],[UF]],'BASE CC'!B:C,2,0)="SP",IF(Tabela6[[#This Row],[OPERADORA]]="TIM","SP TIM","SPI"),VLOOKUP(Tabela6[[#This Row],[UF]],'BASE CC'!B:C,2,0))</f>
        <v>#N/A</v>
      </c>
      <c r="B888" s="36" t="e">
        <f>VLOOKUP(Tabela_Base_Financeiro[[#This Row],[Item code]],'COD.FAT'!B:C,2,0)</f>
        <v>#N/A</v>
      </c>
      <c r="C888" s="292">
        <f>Tabela_Base_Financeiro[[#This Row],[PO Ship TO]]</f>
        <v>0</v>
      </c>
      <c r="D888" s="36" t="str">
        <f>RIGHT(Tabela_Base_Financeiro[[#This Row],[Manufacturer]],2)</f>
        <v/>
      </c>
      <c r="E88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88" s="122" t="e">
        <f>VLOOKUP(Tabela_Base_Financeiro[[#This Row],[Project Code]],'COD. PROJETOS'!B:D,3,0)</f>
        <v>#N/A</v>
      </c>
      <c r="G888" s="36">
        <f>IFERROR(Tabela_Base_Financeiro[[#This Row],[PO No,]],0)</f>
        <v>0</v>
      </c>
      <c r="H888" s="36">
        <f>IFERROR(Tabela_Base_Financeiro[[#This Row],[Line No,]],0)</f>
        <v>0</v>
      </c>
      <c r="I888" s="36" t="str">
        <f>IFERROR(MID(Tabela_Base_Financeiro[[#This Row],[Manufacturer]],19,14),"")</f>
        <v/>
      </c>
      <c r="J888" s="113">
        <f>IFERROR(Tabela_Base_Financeiro[[#This Row],[Item code]],0)</f>
        <v>0</v>
      </c>
      <c r="K888" s="293">
        <f>IFERROR(Tabela_Base_Financeiro[[#This Row],[Unit Price]],0)</f>
        <v>0</v>
      </c>
      <c r="L888" s="36">
        <f>IFERROR(Tabela_Base_Financeiro[[#This Row],[AC Qty,]],0)</f>
        <v>0</v>
      </c>
      <c r="M888" s="60">
        <f>Tabela6[[#This Row],[Qty]]*Tabela6[[#This Row],[Preço]]</f>
        <v>0</v>
      </c>
      <c r="N888" s="37">
        <f>IFERROR(Tabela_Base_Financeiro[[#This Row],[Proportion]],0)</f>
        <v>0</v>
      </c>
      <c r="O888" s="60">
        <f>Tabela6[[#This Row],[Proporção]]*Tabela6[[#This Row],[Total]]</f>
        <v>0</v>
      </c>
      <c r="P888"/>
      <c r="Q888" s="59"/>
      <c r="R888" s="1"/>
    </row>
    <row r="889" spans="1:18">
      <c r="A889" s="122" t="e">
        <f>IF(VLOOKUP(Tabela6[[#This Row],[UF]],'BASE CC'!B:C,2,0)="SP",IF(Tabela6[[#This Row],[OPERADORA]]="TIM","SP TIM","SPI"),VLOOKUP(Tabela6[[#This Row],[UF]],'BASE CC'!B:C,2,0))</f>
        <v>#N/A</v>
      </c>
      <c r="B889" s="36" t="e">
        <f>VLOOKUP(Tabela_Base_Financeiro[[#This Row],[Item code]],'COD.FAT'!B:C,2,0)</f>
        <v>#N/A</v>
      </c>
      <c r="C889" s="292">
        <f>Tabela_Base_Financeiro[[#This Row],[PO Ship TO]]</f>
        <v>0</v>
      </c>
      <c r="D889" s="36" t="str">
        <f>RIGHT(Tabela_Base_Financeiro[[#This Row],[Manufacturer]],2)</f>
        <v/>
      </c>
      <c r="E88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89" s="122" t="e">
        <f>VLOOKUP(Tabela_Base_Financeiro[[#This Row],[Project Code]],'COD. PROJETOS'!B:D,3,0)</f>
        <v>#N/A</v>
      </c>
      <c r="G889" s="36">
        <f>IFERROR(Tabela_Base_Financeiro[[#This Row],[PO No,]],0)</f>
        <v>0</v>
      </c>
      <c r="H889" s="36">
        <f>IFERROR(Tabela_Base_Financeiro[[#This Row],[Line No,]],0)</f>
        <v>0</v>
      </c>
      <c r="I889" s="36" t="str">
        <f>IFERROR(MID(Tabela_Base_Financeiro[[#This Row],[Manufacturer]],19,14),"")</f>
        <v/>
      </c>
      <c r="J889" s="113">
        <f>IFERROR(Tabela_Base_Financeiro[[#This Row],[Item code]],0)</f>
        <v>0</v>
      </c>
      <c r="K889" s="293">
        <f>IFERROR(Tabela_Base_Financeiro[[#This Row],[Unit Price]],0)</f>
        <v>0</v>
      </c>
      <c r="L889" s="36">
        <f>IFERROR(Tabela_Base_Financeiro[[#This Row],[AC Qty,]],0)</f>
        <v>0</v>
      </c>
      <c r="M889" s="60">
        <f>Tabela6[[#This Row],[Qty]]*Tabela6[[#This Row],[Preço]]</f>
        <v>0</v>
      </c>
      <c r="N889" s="37">
        <f>IFERROR(Tabela_Base_Financeiro[[#This Row],[Proportion]],0)</f>
        <v>0</v>
      </c>
      <c r="O889" s="60">
        <f>Tabela6[[#This Row],[Proporção]]*Tabela6[[#This Row],[Total]]</f>
        <v>0</v>
      </c>
      <c r="P889"/>
      <c r="Q889" s="59"/>
      <c r="R889" s="1"/>
    </row>
    <row r="890" spans="1:18">
      <c r="A890" s="122" t="e">
        <f>IF(VLOOKUP(Tabela6[[#This Row],[UF]],'BASE CC'!B:C,2,0)="SP",IF(Tabela6[[#This Row],[OPERADORA]]="TIM","SP TIM","SPI"),VLOOKUP(Tabela6[[#This Row],[UF]],'BASE CC'!B:C,2,0))</f>
        <v>#N/A</v>
      </c>
      <c r="B890" s="36" t="e">
        <f>VLOOKUP(Tabela_Base_Financeiro[[#This Row],[Item code]],'COD.FAT'!B:C,2,0)</f>
        <v>#N/A</v>
      </c>
      <c r="C890" s="292">
        <f>Tabela_Base_Financeiro[[#This Row],[PO Ship TO]]</f>
        <v>0</v>
      </c>
      <c r="D890" s="36" t="str">
        <f>RIGHT(Tabela_Base_Financeiro[[#This Row],[Manufacturer]],2)</f>
        <v/>
      </c>
      <c r="E89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90" s="122" t="e">
        <f>VLOOKUP(Tabela_Base_Financeiro[[#This Row],[Project Code]],'COD. PROJETOS'!B:D,3,0)</f>
        <v>#N/A</v>
      </c>
      <c r="G890" s="36">
        <f>IFERROR(Tabela_Base_Financeiro[[#This Row],[PO No,]],0)</f>
        <v>0</v>
      </c>
      <c r="H890" s="36">
        <f>IFERROR(Tabela_Base_Financeiro[[#This Row],[Line No,]],0)</f>
        <v>0</v>
      </c>
      <c r="I890" s="36" t="str">
        <f>IFERROR(MID(Tabela_Base_Financeiro[[#This Row],[Manufacturer]],19,14),"")</f>
        <v/>
      </c>
      <c r="J890" s="113">
        <f>IFERROR(Tabela_Base_Financeiro[[#This Row],[Item code]],0)</f>
        <v>0</v>
      </c>
      <c r="K890" s="293">
        <f>IFERROR(Tabela_Base_Financeiro[[#This Row],[Unit Price]],0)</f>
        <v>0</v>
      </c>
      <c r="L890" s="36">
        <f>IFERROR(Tabela_Base_Financeiro[[#This Row],[AC Qty,]],0)</f>
        <v>0</v>
      </c>
      <c r="M890" s="60">
        <f>Tabela6[[#This Row],[Qty]]*Tabela6[[#This Row],[Preço]]</f>
        <v>0</v>
      </c>
      <c r="N890" s="37">
        <f>IFERROR(Tabela_Base_Financeiro[[#This Row],[Proportion]],0)</f>
        <v>0</v>
      </c>
      <c r="O890" s="60">
        <f>Tabela6[[#This Row],[Proporção]]*Tabela6[[#This Row],[Total]]</f>
        <v>0</v>
      </c>
      <c r="P890"/>
      <c r="Q890" s="59"/>
      <c r="R890" s="1"/>
    </row>
    <row r="891" spans="1:18">
      <c r="A891" s="122" t="e">
        <f>IF(VLOOKUP(Tabela6[[#This Row],[UF]],'BASE CC'!B:C,2,0)="SP",IF(Tabela6[[#This Row],[OPERADORA]]="TIM","SP TIM","SPI"),VLOOKUP(Tabela6[[#This Row],[UF]],'BASE CC'!B:C,2,0))</f>
        <v>#N/A</v>
      </c>
      <c r="B891" s="36" t="e">
        <f>VLOOKUP(Tabela_Base_Financeiro[[#This Row],[Item code]],'COD.FAT'!B:C,2,0)</f>
        <v>#N/A</v>
      </c>
      <c r="C891" s="292">
        <f>Tabela_Base_Financeiro[[#This Row],[PO Ship TO]]</f>
        <v>0</v>
      </c>
      <c r="D891" s="36" t="str">
        <f>RIGHT(Tabela_Base_Financeiro[[#This Row],[Manufacturer]],2)</f>
        <v/>
      </c>
      <c r="E89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91" s="122" t="e">
        <f>VLOOKUP(Tabela_Base_Financeiro[[#This Row],[Project Code]],'COD. PROJETOS'!B:D,3,0)</f>
        <v>#N/A</v>
      </c>
      <c r="G891" s="36">
        <f>IFERROR(Tabela_Base_Financeiro[[#This Row],[PO No,]],0)</f>
        <v>0</v>
      </c>
      <c r="H891" s="36">
        <f>IFERROR(Tabela_Base_Financeiro[[#This Row],[Line No,]],0)</f>
        <v>0</v>
      </c>
      <c r="I891" s="36" t="str">
        <f>IFERROR(MID(Tabela_Base_Financeiro[[#This Row],[Manufacturer]],19,14),"")</f>
        <v/>
      </c>
      <c r="J891" s="113">
        <f>IFERROR(Tabela_Base_Financeiro[[#This Row],[Item code]],0)</f>
        <v>0</v>
      </c>
      <c r="K891" s="293">
        <f>IFERROR(Tabela_Base_Financeiro[[#This Row],[Unit Price]],0)</f>
        <v>0</v>
      </c>
      <c r="L891" s="36">
        <f>IFERROR(Tabela_Base_Financeiro[[#This Row],[AC Qty,]],0)</f>
        <v>0</v>
      </c>
      <c r="M891" s="60">
        <f>Tabela6[[#This Row],[Qty]]*Tabela6[[#This Row],[Preço]]</f>
        <v>0</v>
      </c>
      <c r="N891" s="37">
        <f>IFERROR(Tabela_Base_Financeiro[[#This Row],[Proportion]],0)</f>
        <v>0</v>
      </c>
      <c r="O891" s="60">
        <f>Tabela6[[#This Row],[Proporção]]*Tabela6[[#This Row],[Total]]</f>
        <v>0</v>
      </c>
      <c r="P891"/>
      <c r="Q891" s="59"/>
      <c r="R891" s="1"/>
    </row>
    <row r="892" spans="1:18">
      <c r="A892" s="122" t="e">
        <f>IF(VLOOKUP(Tabela6[[#This Row],[UF]],'BASE CC'!B:C,2,0)="SP",IF(Tabela6[[#This Row],[OPERADORA]]="TIM","SP TIM","SPI"),VLOOKUP(Tabela6[[#This Row],[UF]],'BASE CC'!B:C,2,0))</f>
        <v>#N/A</v>
      </c>
      <c r="B892" s="36" t="e">
        <f>VLOOKUP(Tabela_Base_Financeiro[[#This Row],[Item code]],'COD.FAT'!B:C,2,0)</f>
        <v>#N/A</v>
      </c>
      <c r="C892" s="292">
        <f>Tabela_Base_Financeiro[[#This Row],[PO Ship TO]]</f>
        <v>0</v>
      </c>
      <c r="D892" s="36" t="str">
        <f>RIGHT(Tabela_Base_Financeiro[[#This Row],[Manufacturer]],2)</f>
        <v/>
      </c>
      <c r="E89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92" s="122" t="e">
        <f>VLOOKUP(Tabela_Base_Financeiro[[#This Row],[Project Code]],'COD. PROJETOS'!B:D,3,0)</f>
        <v>#N/A</v>
      </c>
      <c r="G892" s="36">
        <f>IFERROR(Tabela_Base_Financeiro[[#This Row],[PO No,]],0)</f>
        <v>0</v>
      </c>
      <c r="H892" s="36">
        <f>IFERROR(Tabela_Base_Financeiro[[#This Row],[Line No,]],0)</f>
        <v>0</v>
      </c>
      <c r="I892" s="36" t="str">
        <f>IFERROR(MID(Tabela_Base_Financeiro[[#This Row],[Manufacturer]],19,14),"")</f>
        <v/>
      </c>
      <c r="J892" s="113">
        <f>IFERROR(Tabela_Base_Financeiro[[#This Row],[Item code]],0)</f>
        <v>0</v>
      </c>
      <c r="K892" s="293">
        <f>IFERROR(Tabela_Base_Financeiro[[#This Row],[Unit Price]],0)</f>
        <v>0</v>
      </c>
      <c r="L892" s="36">
        <f>IFERROR(Tabela_Base_Financeiro[[#This Row],[AC Qty,]],0)</f>
        <v>0</v>
      </c>
      <c r="M892" s="60">
        <f>Tabela6[[#This Row],[Qty]]*Tabela6[[#This Row],[Preço]]</f>
        <v>0</v>
      </c>
      <c r="N892" s="37">
        <f>IFERROR(Tabela_Base_Financeiro[[#This Row],[Proportion]],0)</f>
        <v>0</v>
      </c>
      <c r="O892" s="60">
        <f>Tabela6[[#This Row],[Proporção]]*Tabela6[[#This Row],[Total]]</f>
        <v>0</v>
      </c>
      <c r="P892"/>
      <c r="Q892" s="59"/>
      <c r="R892" s="1"/>
    </row>
    <row r="893" spans="1:18">
      <c r="A893" s="122" t="e">
        <f>IF(VLOOKUP(Tabela6[[#This Row],[UF]],'BASE CC'!B:C,2,0)="SP",IF(Tabela6[[#This Row],[OPERADORA]]="TIM","SP TIM","SPI"),VLOOKUP(Tabela6[[#This Row],[UF]],'BASE CC'!B:C,2,0))</f>
        <v>#N/A</v>
      </c>
      <c r="B893" s="36" t="e">
        <f>VLOOKUP(Tabela_Base_Financeiro[[#This Row],[Item code]],'COD.FAT'!B:C,2,0)</f>
        <v>#N/A</v>
      </c>
      <c r="C893" s="292">
        <f>Tabela_Base_Financeiro[[#This Row],[PO Ship TO]]</f>
        <v>0</v>
      </c>
      <c r="D893" s="36" t="str">
        <f>RIGHT(Tabela_Base_Financeiro[[#This Row],[Manufacturer]],2)</f>
        <v/>
      </c>
      <c r="E89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93" s="122" t="e">
        <f>VLOOKUP(Tabela_Base_Financeiro[[#This Row],[Project Code]],'COD. PROJETOS'!B:D,3,0)</f>
        <v>#N/A</v>
      </c>
      <c r="G893" s="36">
        <f>IFERROR(Tabela_Base_Financeiro[[#This Row],[PO No,]],0)</f>
        <v>0</v>
      </c>
      <c r="H893" s="36">
        <f>IFERROR(Tabela_Base_Financeiro[[#This Row],[Line No,]],0)</f>
        <v>0</v>
      </c>
      <c r="I893" s="36" t="str">
        <f>IFERROR(MID(Tabela_Base_Financeiro[[#This Row],[Manufacturer]],19,14),"")</f>
        <v/>
      </c>
      <c r="J893" s="113">
        <f>IFERROR(Tabela_Base_Financeiro[[#This Row],[Item code]],0)</f>
        <v>0</v>
      </c>
      <c r="K893" s="293">
        <f>IFERROR(Tabela_Base_Financeiro[[#This Row],[Unit Price]],0)</f>
        <v>0</v>
      </c>
      <c r="L893" s="36">
        <f>IFERROR(Tabela_Base_Financeiro[[#This Row],[AC Qty,]],0)</f>
        <v>0</v>
      </c>
      <c r="M893" s="60">
        <f>Tabela6[[#This Row],[Qty]]*Tabela6[[#This Row],[Preço]]</f>
        <v>0</v>
      </c>
      <c r="N893" s="37">
        <f>IFERROR(Tabela_Base_Financeiro[[#This Row],[Proportion]],0)</f>
        <v>0</v>
      </c>
      <c r="O893" s="60">
        <f>Tabela6[[#This Row],[Proporção]]*Tabela6[[#This Row],[Total]]</f>
        <v>0</v>
      </c>
      <c r="P893"/>
      <c r="Q893" s="59"/>
      <c r="R893" s="1"/>
    </row>
    <row r="894" spans="1:18">
      <c r="A894" s="122" t="e">
        <f>IF(VLOOKUP(Tabela6[[#This Row],[UF]],'BASE CC'!B:C,2,0)="SP",IF(Tabela6[[#This Row],[OPERADORA]]="TIM","SP TIM","SPI"),VLOOKUP(Tabela6[[#This Row],[UF]],'BASE CC'!B:C,2,0))</f>
        <v>#N/A</v>
      </c>
      <c r="B894" s="36" t="e">
        <f>VLOOKUP(Tabela_Base_Financeiro[[#This Row],[Item code]],'COD.FAT'!B:C,2,0)</f>
        <v>#N/A</v>
      </c>
      <c r="C894" s="292">
        <f>Tabela_Base_Financeiro[[#This Row],[PO Ship TO]]</f>
        <v>0</v>
      </c>
      <c r="D894" s="36" t="str">
        <f>RIGHT(Tabela_Base_Financeiro[[#This Row],[Manufacturer]],2)</f>
        <v/>
      </c>
      <c r="E89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94" s="122" t="e">
        <f>VLOOKUP(Tabela_Base_Financeiro[[#This Row],[Project Code]],'COD. PROJETOS'!B:D,3,0)</f>
        <v>#N/A</v>
      </c>
      <c r="G894" s="36">
        <f>IFERROR(Tabela_Base_Financeiro[[#This Row],[PO No,]],0)</f>
        <v>0</v>
      </c>
      <c r="H894" s="36">
        <f>IFERROR(Tabela_Base_Financeiro[[#This Row],[Line No,]],0)</f>
        <v>0</v>
      </c>
      <c r="I894" s="36" t="str">
        <f>IFERROR(MID(Tabela_Base_Financeiro[[#This Row],[Manufacturer]],19,14),"")</f>
        <v/>
      </c>
      <c r="J894" s="113">
        <f>IFERROR(Tabela_Base_Financeiro[[#This Row],[Item code]],0)</f>
        <v>0</v>
      </c>
      <c r="K894" s="293">
        <f>IFERROR(Tabela_Base_Financeiro[[#This Row],[Unit Price]],0)</f>
        <v>0</v>
      </c>
      <c r="L894" s="36">
        <f>IFERROR(Tabela_Base_Financeiro[[#This Row],[AC Qty,]],0)</f>
        <v>0</v>
      </c>
      <c r="M894" s="60">
        <f>Tabela6[[#This Row],[Qty]]*Tabela6[[#This Row],[Preço]]</f>
        <v>0</v>
      </c>
      <c r="N894" s="37">
        <f>IFERROR(Tabela_Base_Financeiro[[#This Row],[Proportion]],0)</f>
        <v>0</v>
      </c>
      <c r="O894" s="60">
        <f>Tabela6[[#This Row],[Proporção]]*Tabela6[[#This Row],[Total]]</f>
        <v>0</v>
      </c>
      <c r="P894"/>
      <c r="Q894" s="59"/>
      <c r="R894" s="1"/>
    </row>
    <row r="895" spans="1:18">
      <c r="A895" s="122" t="e">
        <f>IF(VLOOKUP(Tabela6[[#This Row],[UF]],'BASE CC'!B:C,2,0)="SP",IF(Tabela6[[#This Row],[OPERADORA]]="TIM","SP TIM","SPI"),VLOOKUP(Tabela6[[#This Row],[UF]],'BASE CC'!B:C,2,0))</f>
        <v>#N/A</v>
      </c>
      <c r="B895" s="36" t="e">
        <f>VLOOKUP(Tabela_Base_Financeiro[[#This Row],[Item code]],'COD.FAT'!B:C,2,0)</f>
        <v>#N/A</v>
      </c>
      <c r="C895" s="292">
        <f>Tabela_Base_Financeiro[[#This Row],[PO Ship TO]]</f>
        <v>0</v>
      </c>
      <c r="D895" s="36" t="str">
        <f>RIGHT(Tabela_Base_Financeiro[[#This Row],[Manufacturer]],2)</f>
        <v/>
      </c>
      <c r="E89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95" s="122" t="e">
        <f>VLOOKUP(Tabela_Base_Financeiro[[#This Row],[Project Code]],'COD. PROJETOS'!B:D,3,0)</f>
        <v>#N/A</v>
      </c>
      <c r="G895" s="36">
        <f>IFERROR(Tabela_Base_Financeiro[[#This Row],[PO No,]],0)</f>
        <v>0</v>
      </c>
      <c r="H895" s="36">
        <f>IFERROR(Tabela_Base_Financeiro[[#This Row],[Line No,]],0)</f>
        <v>0</v>
      </c>
      <c r="I895" s="36" t="str">
        <f>IFERROR(MID(Tabela_Base_Financeiro[[#This Row],[Manufacturer]],19,14),"")</f>
        <v/>
      </c>
      <c r="J895" s="113">
        <f>IFERROR(Tabela_Base_Financeiro[[#This Row],[Item code]],0)</f>
        <v>0</v>
      </c>
      <c r="K895" s="293">
        <f>IFERROR(Tabela_Base_Financeiro[[#This Row],[Unit Price]],0)</f>
        <v>0</v>
      </c>
      <c r="L895" s="36">
        <f>IFERROR(Tabela_Base_Financeiro[[#This Row],[AC Qty,]],0)</f>
        <v>0</v>
      </c>
      <c r="M895" s="60">
        <f>Tabela6[[#This Row],[Qty]]*Tabela6[[#This Row],[Preço]]</f>
        <v>0</v>
      </c>
      <c r="N895" s="37">
        <f>IFERROR(Tabela_Base_Financeiro[[#This Row],[Proportion]],0)</f>
        <v>0</v>
      </c>
      <c r="O895" s="60">
        <f>Tabela6[[#This Row],[Proporção]]*Tabela6[[#This Row],[Total]]</f>
        <v>0</v>
      </c>
      <c r="P895"/>
      <c r="Q895" s="59"/>
      <c r="R895" s="1"/>
    </row>
    <row r="896" spans="1:18">
      <c r="A896" s="122" t="e">
        <f>IF(VLOOKUP(Tabela6[[#This Row],[UF]],'BASE CC'!B:C,2,0)="SP",IF(Tabela6[[#This Row],[OPERADORA]]="TIM","SP TIM","SPI"),VLOOKUP(Tabela6[[#This Row],[UF]],'BASE CC'!B:C,2,0))</f>
        <v>#N/A</v>
      </c>
      <c r="B896" s="36" t="e">
        <f>VLOOKUP(Tabela_Base_Financeiro[[#This Row],[Item code]],'COD.FAT'!B:C,2,0)</f>
        <v>#N/A</v>
      </c>
      <c r="C896" s="292">
        <f>Tabela_Base_Financeiro[[#This Row],[PO Ship TO]]</f>
        <v>0</v>
      </c>
      <c r="D896" s="36" t="str">
        <f>RIGHT(Tabela_Base_Financeiro[[#This Row],[Manufacturer]],2)</f>
        <v/>
      </c>
      <c r="E89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96" s="122" t="e">
        <f>VLOOKUP(Tabela_Base_Financeiro[[#This Row],[Project Code]],'COD. PROJETOS'!B:D,3,0)</f>
        <v>#N/A</v>
      </c>
      <c r="G896" s="36">
        <f>IFERROR(Tabela_Base_Financeiro[[#This Row],[PO No,]],0)</f>
        <v>0</v>
      </c>
      <c r="H896" s="36">
        <f>IFERROR(Tabela_Base_Financeiro[[#This Row],[Line No,]],0)</f>
        <v>0</v>
      </c>
      <c r="I896" s="36" t="str">
        <f>IFERROR(MID(Tabela_Base_Financeiro[[#This Row],[Manufacturer]],19,14),"")</f>
        <v/>
      </c>
      <c r="J896" s="113">
        <f>IFERROR(Tabela_Base_Financeiro[[#This Row],[Item code]],0)</f>
        <v>0</v>
      </c>
      <c r="K896" s="293">
        <f>IFERROR(Tabela_Base_Financeiro[[#This Row],[Unit Price]],0)</f>
        <v>0</v>
      </c>
      <c r="L896" s="36">
        <f>IFERROR(Tabela_Base_Financeiro[[#This Row],[AC Qty,]],0)</f>
        <v>0</v>
      </c>
      <c r="M896" s="60">
        <f>Tabela6[[#This Row],[Qty]]*Tabela6[[#This Row],[Preço]]</f>
        <v>0</v>
      </c>
      <c r="N896" s="37">
        <f>IFERROR(Tabela_Base_Financeiro[[#This Row],[Proportion]],0)</f>
        <v>0</v>
      </c>
      <c r="O896" s="60">
        <f>Tabela6[[#This Row],[Proporção]]*Tabela6[[#This Row],[Total]]</f>
        <v>0</v>
      </c>
      <c r="P896"/>
      <c r="Q896" s="59"/>
      <c r="R896" s="1"/>
    </row>
    <row r="897" spans="1:18">
      <c r="A897" s="122" t="e">
        <f>IF(VLOOKUP(Tabela6[[#This Row],[UF]],'BASE CC'!B:C,2,0)="SP",IF(Tabela6[[#This Row],[OPERADORA]]="TIM","SP TIM","SPI"),VLOOKUP(Tabela6[[#This Row],[UF]],'BASE CC'!B:C,2,0))</f>
        <v>#N/A</v>
      </c>
      <c r="B897" s="36" t="e">
        <f>VLOOKUP(Tabela_Base_Financeiro[[#This Row],[Item code]],'COD.FAT'!B:C,2,0)</f>
        <v>#N/A</v>
      </c>
      <c r="C897" s="292">
        <f>Tabela_Base_Financeiro[[#This Row],[PO Ship TO]]</f>
        <v>0</v>
      </c>
      <c r="D897" s="36" t="str">
        <f>RIGHT(Tabela_Base_Financeiro[[#This Row],[Manufacturer]],2)</f>
        <v/>
      </c>
      <c r="E89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97" s="122" t="e">
        <f>VLOOKUP(Tabela_Base_Financeiro[[#This Row],[Project Code]],'COD. PROJETOS'!B:D,3,0)</f>
        <v>#N/A</v>
      </c>
      <c r="G897" s="36">
        <f>IFERROR(Tabela_Base_Financeiro[[#This Row],[PO No,]],0)</f>
        <v>0</v>
      </c>
      <c r="H897" s="36">
        <f>IFERROR(Tabela_Base_Financeiro[[#This Row],[Line No,]],0)</f>
        <v>0</v>
      </c>
      <c r="I897" s="36" t="str">
        <f>IFERROR(MID(Tabela_Base_Financeiro[[#This Row],[Manufacturer]],19,14),"")</f>
        <v/>
      </c>
      <c r="J897" s="113">
        <f>IFERROR(Tabela_Base_Financeiro[[#This Row],[Item code]],0)</f>
        <v>0</v>
      </c>
      <c r="K897" s="293">
        <f>IFERROR(Tabela_Base_Financeiro[[#This Row],[Unit Price]],0)</f>
        <v>0</v>
      </c>
      <c r="L897" s="36">
        <f>IFERROR(Tabela_Base_Financeiro[[#This Row],[AC Qty,]],0)</f>
        <v>0</v>
      </c>
      <c r="M897" s="60">
        <f>Tabela6[[#This Row],[Qty]]*Tabela6[[#This Row],[Preço]]</f>
        <v>0</v>
      </c>
      <c r="N897" s="37">
        <f>IFERROR(Tabela_Base_Financeiro[[#This Row],[Proportion]],0)</f>
        <v>0</v>
      </c>
      <c r="O897" s="60">
        <f>Tabela6[[#This Row],[Proporção]]*Tabela6[[#This Row],[Total]]</f>
        <v>0</v>
      </c>
      <c r="P897"/>
      <c r="Q897" s="59"/>
      <c r="R897" s="1"/>
    </row>
    <row r="898" spans="1:18">
      <c r="A898" s="122" t="e">
        <f>IF(VLOOKUP(Tabela6[[#This Row],[UF]],'BASE CC'!B:C,2,0)="SP",IF(Tabela6[[#This Row],[OPERADORA]]="TIM","SP TIM","SPI"),VLOOKUP(Tabela6[[#This Row],[UF]],'BASE CC'!B:C,2,0))</f>
        <v>#N/A</v>
      </c>
      <c r="B898" s="36" t="e">
        <f>VLOOKUP(Tabela_Base_Financeiro[[#This Row],[Item code]],'COD.FAT'!B:C,2,0)</f>
        <v>#N/A</v>
      </c>
      <c r="C898" s="292">
        <f>Tabela_Base_Financeiro[[#This Row],[PO Ship TO]]</f>
        <v>0</v>
      </c>
      <c r="D898" s="36" t="str">
        <f>RIGHT(Tabela_Base_Financeiro[[#This Row],[Manufacturer]],2)</f>
        <v/>
      </c>
      <c r="E89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98" s="122" t="e">
        <f>VLOOKUP(Tabela_Base_Financeiro[[#This Row],[Project Code]],'COD. PROJETOS'!B:D,3,0)</f>
        <v>#N/A</v>
      </c>
      <c r="G898" s="36">
        <f>IFERROR(Tabela_Base_Financeiro[[#This Row],[PO No,]],0)</f>
        <v>0</v>
      </c>
      <c r="H898" s="36">
        <f>IFERROR(Tabela_Base_Financeiro[[#This Row],[Line No,]],0)</f>
        <v>0</v>
      </c>
      <c r="I898" s="36" t="str">
        <f>IFERROR(MID(Tabela_Base_Financeiro[[#This Row],[Manufacturer]],19,14),"")</f>
        <v/>
      </c>
      <c r="J898" s="113">
        <f>IFERROR(Tabela_Base_Financeiro[[#This Row],[Item code]],0)</f>
        <v>0</v>
      </c>
      <c r="K898" s="293">
        <f>IFERROR(Tabela_Base_Financeiro[[#This Row],[Unit Price]],0)</f>
        <v>0</v>
      </c>
      <c r="L898" s="36">
        <f>IFERROR(Tabela_Base_Financeiro[[#This Row],[AC Qty,]],0)</f>
        <v>0</v>
      </c>
      <c r="M898" s="60">
        <f>Tabela6[[#This Row],[Qty]]*Tabela6[[#This Row],[Preço]]</f>
        <v>0</v>
      </c>
      <c r="N898" s="37">
        <f>IFERROR(Tabela_Base_Financeiro[[#This Row],[Proportion]],0)</f>
        <v>0</v>
      </c>
      <c r="O898" s="60">
        <f>Tabela6[[#This Row],[Proporção]]*Tabela6[[#This Row],[Total]]</f>
        <v>0</v>
      </c>
      <c r="P898"/>
      <c r="Q898" s="59"/>
      <c r="R898" s="1"/>
    </row>
    <row r="899" spans="1:18">
      <c r="A899" s="122" t="e">
        <f>IF(VLOOKUP(Tabela6[[#This Row],[UF]],'BASE CC'!B:C,2,0)="SP",IF(Tabela6[[#This Row],[OPERADORA]]="TIM","SP TIM","SPI"),VLOOKUP(Tabela6[[#This Row],[UF]],'BASE CC'!B:C,2,0))</f>
        <v>#N/A</v>
      </c>
      <c r="B899" s="36" t="e">
        <f>VLOOKUP(Tabela_Base_Financeiro[[#This Row],[Item code]],'COD.FAT'!B:C,2,0)</f>
        <v>#N/A</v>
      </c>
      <c r="C899" s="292">
        <f>Tabela_Base_Financeiro[[#This Row],[PO Ship TO]]</f>
        <v>0</v>
      </c>
      <c r="D899" s="36" t="str">
        <f>RIGHT(Tabela_Base_Financeiro[[#This Row],[Manufacturer]],2)</f>
        <v/>
      </c>
      <c r="E89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899" s="122" t="e">
        <f>VLOOKUP(Tabela_Base_Financeiro[[#This Row],[Project Code]],'COD. PROJETOS'!B:D,3,0)</f>
        <v>#N/A</v>
      </c>
      <c r="G899" s="36">
        <f>IFERROR(Tabela_Base_Financeiro[[#This Row],[PO No,]],0)</f>
        <v>0</v>
      </c>
      <c r="H899" s="36">
        <f>IFERROR(Tabela_Base_Financeiro[[#This Row],[Line No,]],0)</f>
        <v>0</v>
      </c>
      <c r="I899" s="36" t="str">
        <f>IFERROR(MID(Tabela_Base_Financeiro[[#This Row],[Manufacturer]],19,14),"")</f>
        <v/>
      </c>
      <c r="J899" s="113">
        <f>IFERROR(Tabela_Base_Financeiro[[#This Row],[Item code]],0)</f>
        <v>0</v>
      </c>
      <c r="K899" s="293">
        <f>IFERROR(Tabela_Base_Financeiro[[#This Row],[Unit Price]],0)</f>
        <v>0</v>
      </c>
      <c r="L899" s="36">
        <f>IFERROR(Tabela_Base_Financeiro[[#This Row],[AC Qty,]],0)</f>
        <v>0</v>
      </c>
      <c r="M899" s="60">
        <f>Tabela6[[#This Row],[Qty]]*Tabela6[[#This Row],[Preço]]</f>
        <v>0</v>
      </c>
      <c r="N899" s="37">
        <f>IFERROR(Tabela_Base_Financeiro[[#This Row],[Proportion]],0)</f>
        <v>0</v>
      </c>
      <c r="O899" s="60">
        <f>Tabela6[[#This Row],[Proporção]]*Tabela6[[#This Row],[Total]]</f>
        <v>0</v>
      </c>
      <c r="P899"/>
      <c r="Q899" s="59"/>
      <c r="R899" s="1"/>
    </row>
    <row r="900" spans="1:18">
      <c r="A900" s="122" t="e">
        <f>IF(VLOOKUP(Tabela6[[#This Row],[UF]],'BASE CC'!B:C,2,0)="SP",IF(Tabela6[[#This Row],[OPERADORA]]="TIM","SP TIM","SPI"),VLOOKUP(Tabela6[[#This Row],[UF]],'BASE CC'!B:C,2,0))</f>
        <v>#N/A</v>
      </c>
      <c r="B900" s="36" t="e">
        <f>VLOOKUP(Tabela_Base_Financeiro[[#This Row],[Item code]],'COD.FAT'!B:C,2,0)</f>
        <v>#N/A</v>
      </c>
      <c r="C900" s="292">
        <f>Tabela_Base_Financeiro[[#This Row],[PO Ship TO]]</f>
        <v>0</v>
      </c>
      <c r="D900" s="36" t="str">
        <f>RIGHT(Tabela_Base_Financeiro[[#This Row],[Manufacturer]],2)</f>
        <v/>
      </c>
      <c r="E90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00" s="122" t="e">
        <f>VLOOKUP(Tabela_Base_Financeiro[[#This Row],[Project Code]],'COD. PROJETOS'!B:D,3,0)</f>
        <v>#N/A</v>
      </c>
      <c r="G900" s="36">
        <f>IFERROR(Tabela_Base_Financeiro[[#This Row],[PO No,]],0)</f>
        <v>0</v>
      </c>
      <c r="H900" s="36">
        <f>IFERROR(Tabela_Base_Financeiro[[#This Row],[Line No,]],0)</f>
        <v>0</v>
      </c>
      <c r="I900" s="36" t="str">
        <f>IFERROR(MID(Tabela_Base_Financeiro[[#This Row],[Manufacturer]],19,14),"")</f>
        <v/>
      </c>
      <c r="J900" s="113">
        <f>IFERROR(Tabela_Base_Financeiro[[#This Row],[Item code]],0)</f>
        <v>0</v>
      </c>
      <c r="K900" s="293">
        <f>IFERROR(Tabela_Base_Financeiro[[#This Row],[Unit Price]],0)</f>
        <v>0</v>
      </c>
      <c r="L900" s="36">
        <f>IFERROR(Tabela_Base_Financeiro[[#This Row],[AC Qty,]],0)</f>
        <v>0</v>
      </c>
      <c r="M900" s="60">
        <f>Tabela6[[#This Row],[Qty]]*Tabela6[[#This Row],[Preço]]</f>
        <v>0</v>
      </c>
      <c r="N900" s="37">
        <f>IFERROR(Tabela_Base_Financeiro[[#This Row],[Proportion]],0)</f>
        <v>0</v>
      </c>
      <c r="O900" s="60">
        <f>Tabela6[[#This Row],[Proporção]]*Tabela6[[#This Row],[Total]]</f>
        <v>0</v>
      </c>
      <c r="P900"/>
      <c r="Q900" s="59"/>
      <c r="R900" s="1"/>
    </row>
    <row r="901" spans="1:18">
      <c r="A901" s="122" t="e">
        <f>IF(VLOOKUP(Tabela6[[#This Row],[UF]],'BASE CC'!B:C,2,0)="SP",IF(Tabela6[[#This Row],[OPERADORA]]="TIM","SP TIM","SPI"),VLOOKUP(Tabela6[[#This Row],[UF]],'BASE CC'!B:C,2,0))</f>
        <v>#N/A</v>
      </c>
      <c r="B901" s="36" t="e">
        <f>VLOOKUP(Tabela_Base_Financeiro[[#This Row],[Item code]],'COD.FAT'!B:C,2,0)</f>
        <v>#N/A</v>
      </c>
      <c r="C901" s="292">
        <f>Tabela_Base_Financeiro[[#This Row],[PO Ship TO]]</f>
        <v>0</v>
      </c>
      <c r="D901" s="36" t="str">
        <f>RIGHT(Tabela_Base_Financeiro[[#This Row],[Manufacturer]],2)</f>
        <v/>
      </c>
      <c r="E90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01" s="122" t="e">
        <f>VLOOKUP(Tabela_Base_Financeiro[[#This Row],[Project Code]],'COD. PROJETOS'!B:D,3,0)</f>
        <v>#N/A</v>
      </c>
      <c r="G901" s="36">
        <f>IFERROR(Tabela_Base_Financeiro[[#This Row],[PO No,]],0)</f>
        <v>0</v>
      </c>
      <c r="H901" s="36">
        <f>IFERROR(Tabela_Base_Financeiro[[#This Row],[Line No,]],0)</f>
        <v>0</v>
      </c>
      <c r="I901" s="36" t="str">
        <f>IFERROR(MID(Tabela_Base_Financeiro[[#This Row],[Manufacturer]],19,14),"")</f>
        <v/>
      </c>
      <c r="J901" s="113">
        <f>IFERROR(Tabela_Base_Financeiro[[#This Row],[Item code]],0)</f>
        <v>0</v>
      </c>
      <c r="K901" s="293">
        <f>IFERROR(Tabela_Base_Financeiro[[#This Row],[Unit Price]],0)</f>
        <v>0</v>
      </c>
      <c r="L901" s="36">
        <f>IFERROR(Tabela_Base_Financeiro[[#This Row],[AC Qty,]],0)</f>
        <v>0</v>
      </c>
      <c r="M901" s="60">
        <f>Tabela6[[#This Row],[Qty]]*Tabela6[[#This Row],[Preço]]</f>
        <v>0</v>
      </c>
      <c r="N901" s="37">
        <f>IFERROR(Tabela_Base_Financeiro[[#This Row],[Proportion]],0)</f>
        <v>0</v>
      </c>
      <c r="O901" s="60">
        <f>Tabela6[[#This Row],[Proporção]]*Tabela6[[#This Row],[Total]]</f>
        <v>0</v>
      </c>
      <c r="P901"/>
      <c r="Q901" s="59"/>
      <c r="R901" s="1"/>
    </row>
    <row r="902" spans="1:18">
      <c r="A902" s="122" t="e">
        <f>IF(VLOOKUP(Tabela6[[#This Row],[UF]],'BASE CC'!B:C,2,0)="SP",IF(Tabela6[[#This Row],[OPERADORA]]="TIM","SP TIM","SPI"),VLOOKUP(Tabela6[[#This Row],[UF]],'BASE CC'!B:C,2,0))</f>
        <v>#N/A</v>
      </c>
      <c r="B902" s="36" t="e">
        <f>VLOOKUP(Tabela_Base_Financeiro[[#This Row],[Item code]],'COD.FAT'!B:C,2,0)</f>
        <v>#N/A</v>
      </c>
      <c r="C902" s="292">
        <f>Tabela_Base_Financeiro[[#This Row],[PO Ship TO]]</f>
        <v>0</v>
      </c>
      <c r="D902" s="36" t="str">
        <f>RIGHT(Tabela_Base_Financeiro[[#This Row],[Manufacturer]],2)</f>
        <v/>
      </c>
      <c r="E90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02" s="122" t="e">
        <f>VLOOKUP(Tabela_Base_Financeiro[[#This Row],[Project Code]],'COD. PROJETOS'!B:D,3,0)</f>
        <v>#N/A</v>
      </c>
      <c r="G902" s="36">
        <f>IFERROR(Tabela_Base_Financeiro[[#This Row],[PO No,]],0)</f>
        <v>0</v>
      </c>
      <c r="H902" s="36">
        <f>IFERROR(Tabela_Base_Financeiro[[#This Row],[Line No,]],0)</f>
        <v>0</v>
      </c>
      <c r="I902" s="36" t="str">
        <f>IFERROR(MID(Tabela_Base_Financeiro[[#This Row],[Manufacturer]],19,14),"")</f>
        <v/>
      </c>
      <c r="J902" s="113">
        <f>IFERROR(Tabela_Base_Financeiro[[#This Row],[Item code]],0)</f>
        <v>0</v>
      </c>
      <c r="K902" s="293">
        <f>IFERROR(Tabela_Base_Financeiro[[#This Row],[Unit Price]],0)</f>
        <v>0</v>
      </c>
      <c r="L902" s="36">
        <f>IFERROR(Tabela_Base_Financeiro[[#This Row],[AC Qty,]],0)</f>
        <v>0</v>
      </c>
      <c r="M902" s="60">
        <f>Tabela6[[#This Row],[Qty]]*Tabela6[[#This Row],[Preço]]</f>
        <v>0</v>
      </c>
      <c r="N902" s="37">
        <f>IFERROR(Tabela_Base_Financeiro[[#This Row],[Proportion]],0)</f>
        <v>0</v>
      </c>
      <c r="O902" s="60">
        <f>Tabela6[[#This Row],[Proporção]]*Tabela6[[#This Row],[Total]]</f>
        <v>0</v>
      </c>
      <c r="P902"/>
      <c r="Q902" s="59"/>
      <c r="R902" s="1"/>
    </row>
    <row r="903" spans="1:18">
      <c r="A903" s="122" t="e">
        <f>IF(VLOOKUP(Tabela6[[#This Row],[UF]],'BASE CC'!B:C,2,0)="SP",IF(Tabela6[[#This Row],[OPERADORA]]="TIM","SP TIM","SPI"),VLOOKUP(Tabela6[[#This Row],[UF]],'BASE CC'!B:C,2,0))</f>
        <v>#N/A</v>
      </c>
      <c r="B903" s="36" t="e">
        <f>VLOOKUP(Tabela_Base_Financeiro[[#This Row],[Item code]],'COD.FAT'!B:C,2,0)</f>
        <v>#N/A</v>
      </c>
      <c r="C903" s="292">
        <f>Tabela_Base_Financeiro[[#This Row],[PO Ship TO]]</f>
        <v>0</v>
      </c>
      <c r="D903" s="36" t="str">
        <f>RIGHT(Tabela_Base_Financeiro[[#This Row],[Manufacturer]],2)</f>
        <v/>
      </c>
      <c r="E90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03" s="122" t="e">
        <f>VLOOKUP(Tabela_Base_Financeiro[[#This Row],[Project Code]],'COD. PROJETOS'!B:D,3,0)</f>
        <v>#N/A</v>
      </c>
      <c r="G903" s="36">
        <f>IFERROR(Tabela_Base_Financeiro[[#This Row],[PO No,]],0)</f>
        <v>0</v>
      </c>
      <c r="H903" s="36">
        <f>IFERROR(Tabela_Base_Financeiro[[#This Row],[Line No,]],0)</f>
        <v>0</v>
      </c>
      <c r="I903" s="36" t="str">
        <f>IFERROR(MID(Tabela_Base_Financeiro[[#This Row],[Manufacturer]],19,14),"")</f>
        <v/>
      </c>
      <c r="J903" s="113">
        <f>IFERROR(Tabela_Base_Financeiro[[#This Row],[Item code]],0)</f>
        <v>0</v>
      </c>
      <c r="K903" s="293">
        <f>IFERROR(Tabela_Base_Financeiro[[#This Row],[Unit Price]],0)</f>
        <v>0</v>
      </c>
      <c r="L903" s="36">
        <f>IFERROR(Tabela_Base_Financeiro[[#This Row],[AC Qty,]],0)</f>
        <v>0</v>
      </c>
      <c r="M903" s="60">
        <f>Tabela6[[#This Row],[Qty]]*Tabela6[[#This Row],[Preço]]</f>
        <v>0</v>
      </c>
      <c r="N903" s="37">
        <f>IFERROR(Tabela_Base_Financeiro[[#This Row],[Proportion]],0)</f>
        <v>0</v>
      </c>
      <c r="O903" s="60">
        <f>Tabela6[[#This Row],[Proporção]]*Tabela6[[#This Row],[Total]]</f>
        <v>0</v>
      </c>
      <c r="P903"/>
      <c r="Q903" s="59"/>
      <c r="R903" s="1"/>
    </row>
    <row r="904" spans="1:18">
      <c r="A904" s="122" t="e">
        <f>IF(VLOOKUP(Tabela6[[#This Row],[UF]],'BASE CC'!B:C,2,0)="SP",IF(Tabela6[[#This Row],[OPERADORA]]="TIM","SP TIM","SPI"),VLOOKUP(Tabela6[[#This Row],[UF]],'BASE CC'!B:C,2,0))</f>
        <v>#N/A</v>
      </c>
      <c r="B904" s="36" t="e">
        <f>VLOOKUP(Tabela_Base_Financeiro[[#This Row],[Item code]],'COD.FAT'!B:C,2,0)</f>
        <v>#N/A</v>
      </c>
      <c r="C904" s="292">
        <f>Tabela_Base_Financeiro[[#This Row],[PO Ship TO]]</f>
        <v>0</v>
      </c>
      <c r="D904" s="36" t="str">
        <f>RIGHT(Tabela_Base_Financeiro[[#This Row],[Manufacturer]],2)</f>
        <v/>
      </c>
      <c r="E90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04" s="122" t="e">
        <f>VLOOKUP(Tabela_Base_Financeiro[[#This Row],[Project Code]],'COD. PROJETOS'!B:D,3,0)</f>
        <v>#N/A</v>
      </c>
      <c r="G904" s="36">
        <f>IFERROR(Tabela_Base_Financeiro[[#This Row],[PO No,]],0)</f>
        <v>0</v>
      </c>
      <c r="H904" s="36">
        <f>IFERROR(Tabela_Base_Financeiro[[#This Row],[Line No,]],0)</f>
        <v>0</v>
      </c>
      <c r="I904" s="36" t="str">
        <f>IFERROR(MID(Tabela_Base_Financeiro[[#This Row],[Manufacturer]],19,14),"")</f>
        <v/>
      </c>
      <c r="J904" s="113">
        <f>IFERROR(Tabela_Base_Financeiro[[#This Row],[Item code]],0)</f>
        <v>0</v>
      </c>
      <c r="K904" s="293">
        <f>IFERROR(Tabela_Base_Financeiro[[#This Row],[Unit Price]],0)</f>
        <v>0</v>
      </c>
      <c r="L904" s="36">
        <f>IFERROR(Tabela_Base_Financeiro[[#This Row],[AC Qty,]],0)</f>
        <v>0</v>
      </c>
      <c r="M904" s="60">
        <f>Tabela6[[#This Row],[Qty]]*Tabela6[[#This Row],[Preço]]</f>
        <v>0</v>
      </c>
      <c r="N904" s="37">
        <f>IFERROR(Tabela_Base_Financeiro[[#This Row],[Proportion]],0)</f>
        <v>0</v>
      </c>
      <c r="O904" s="60">
        <f>Tabela6[[#This Row],[Proporção]]*Tabela6[[#This Row],[Total]]</f>
        <v>0</v>
      </c>
      <c r="P904"/>
      <c r="Q904" s="59"/>
      <c r="R904" s="1"/>
    </row>
    <row r="905" spans="1:18">
      <c r="A905" s="122" t="e">
        <f>IF(VLOOKUP(Tabela6[[#This Row],[UF]],'BASE CC'!B:C,2,0)="SP",IF(Tabela6[[#This Row],[OPERADORA]]="TIM","SP TIM","SPI"),VLOOKUP(Tabela6[[#This Row],[UF]],'BASE CC'!B:C,2,0))</f>
        <v>#N/A</v>
      </c>
      <c r="B905" s="36" t="e">
        <f>VLOOKUP(Tabela_Base_Financeiro[[#This Row],[Item code]],'COD.FAT'!B:C,2,0)</f>
        <v>#N/A</v>
      </c>
      <c r="C905" s="292">
        <f>Tabela_Base_Financeiro[[#This Row],[PO Ship TO]]</f>
        <v>0</v>
      </c>
      <c r="D905" s="36" t="str">
        <f>RIGHT(Tabela_Base_Financeiro[[#This Row],[Manufacturer]],2)</f>
        <v/>
      </c>
      <c r="E90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05" s="122" t="e">
        <f>VLOOKUP(Tabela_Base_Financeiro[[#This Row],[Project Code]],'COD. PROJETOS'!B:D,3,0)</f>
        <v>#N/A</v>
      </c>
      <c r="G905" s="36">
        <f>IFERROR(Tabela_Base_Financeiro[[#This Row],[PO No,]],0)</f>
        <v>0</v>
      </c>
      <c r="H905" s="36">
        <f>IFERROR(Tabela_Base_Financeiro[[#This Row],[Line No,]],0)</f>
        <v>0</v>
      </c>
      <c r="I905" s="36" t="str">
        <f>IFERROR(MID(Tabela_Base_Financeiro[[#This Row],[Manufacturer]],19,14),"")</f>
        <v/>
      </c>
      <c r="J905" s="113">
        <f>IFERROR(Tabela_Base_Financeiro[[#This Row],[Item code]],0)</f>
        <v>0</v>
      </c>
      <c r="K905" s="293">
        <f>IFERROR(Tabela_Base_Financeiro[[#This Row],[Unit Price]],0)</f>
        <v>0</v>
      </c>
      <c r="L905" s="36">
        <f>IFERROR(Tabela_Base_Financeiro[[#This Row],[AC Qty,]],0)</f>
        <v>0</v>
      </c>
      <c r="M905" s="60">
        <f>Tabela6[[#This Row],[Qty]]*Tabela6[[#This Row],[Preço]]</f>
        <v>0</v>
      </c>
      <c r="N905" s="37">
        <f>IFERROR(Tabela_Base_Financeiro[[#This Row],[Proportion]],0)</f>
        <v>0</v>
      </c>
      <c r="O905" s="60">
        <f>Tabela6[[#This Row],[Proporção]]*Tabela6[[#This Row],[Total]]</f>
        <v>0</v>
      </c>
      <c r="P905"/>
      <c r="Q905" s="59"/>
      <c r="R905" s="1"/>
    </row>
    <row r="906" spans="1:18">
      <c r="A906" s="122" t="e">
        <f>IF(VLOOKUP(Tabela6[[#This Row],[UF]],'BASE CC'!B:C,2,0)="SP",IF(Tabela6[[#This Row],[OPERADORA]]="TIM","SP TIM","SPI"),VLOOKUP(Tabela6[[#This Row],[UF]],'BASE CC'!B:C,2,0))</f>
        <v>#N/A</v>
      </c>
      <c r="B906" s="36" t="e">
        <f>VLOOKUP(Tabela_Base_Financeiro[[#This Row],[Item code]],'COD.FAT'!B:C,2,0)</f>
        <v>#N/A</v>
      </c>
      <c r="C906" s="292">
        <f>Tabela_Base_Financeiro[[#This Row],[PO Ship TO]]</f>
        <v>0</v>
      </c>
      <c r="D906" s="36" t="str">
        <f>RIGHT(Tabela_Base_Financeiro[[#This Row],[Manufacturer]],2)</f>
        <v/>
      </c>
      <c r="E90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06" s="122" t="e">
        <f>VLOOKUP(Tabela_Base_Financeiro[[#This Row],[Project Code]],'COD. PROJETOS'!B:D,3,0)</f>
        <v>#N/A</v>
      </c>
      <c r="G906" s="36">
        <f>IFERROR(Tabela_Base_Financeiro[[#This Row],[PO No,]],0)</f>
        <v>0</v>
      </c>
      <c r="H906" s="36">
        <f>IFERROR(Tabela_Base_Financeiro[[#This Row],[Line No,]],0)</f>
        <v>0</v>
      </c>
      <c r="I906" s="36" t="str">
        <f>IFERROR(MID(Tabela_Base_Financeiro[[#This Row],[Manufacturer]],19,14),"")</f>
        <v/>
      </c>
      <c r="J906" s="113">
        <f>IFERROR(Tabela_Base_Financeiro[[#This Row],[Item code]],0)</f>
        <v>0</v>
      </c>
      <c r="K906" s="293">
        <f>IFERROR(Tabela_Base_Financeiro[[#This Row],[Unit Price]],0)</f>
        <v>0</v>
      </c>
      <c r="L906" s="36">
        <f>IFERROR(Tabela_Base_Financeiro[[#This Row],[AC Qty,]],0)</f>
        <v>0</v>
      </c>
      <c r="M906" s="60">
        <f>Tabela6[[#This Row],[Qty]]*Tabela6[[#This Row],[Preço]]</f>
        <v>0</v>
      </c>
      <c r="N906" s="37">
        <f>IFERROR(Tabela_Base_Financeiro[[#This Row],[Proportion]],0)</f>
        <v>0</v>
      </c>
      <c r="O906" s="60">
        <f>Tabela6[[#This Row],[Proporção]]*Tabela6[[#This Row],[Total]]</f>
        <v>0</v>
      </c>
      <c r="P906"/>
      <c r="Q906" s="59"/>
      <c r="R906" s="1"/>
    </row>
    <row r="907" spans="1:18">
      <c r="A907" s="122" t="e">
        <f>IF(VLOOKUP(Tabela6[[#This Row],[UF]],'BASE CC'!B:C,2,0)="SP",IF(Tabela6[[#This Row],[OPERADORA]]="TIM","SP TIM","SPI"),VLOOKUP(Tabela6[[#This Row],[UF]],'BASE CC'!B:C,2,0))</f>
        <v>#N/A</v>
      </c>
      <c r="B907" s="36" t="e">
        <f>VLOOKUP(Tabela_Base_Financeiro[[#This Row],[Item code]],'COD.FAT'!B:C,2,0)</f>
        <v>#N/A</v>
      </c>
      <c r="C907" s="292">
        <f>Tabela_Base_Financeiro[[#This Row],[PO Ship TO]]</f>
        <v>0</v>
      </c>
      <c r="D907" s="36" t="str">
        <f>RIGHT(Tabela_Base_Financeiro[[#This Row],[Manufacturer]],2)</f>
        <v/>
      </c>
      <c r="E90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07" s="122" t="e">
        <f>VLOOKUP(Tabela_Base_Financeiro[[#This Row],[Project Code]],'COD. PROJETOS'!B:D,3,0)</f>
        <v>#N/A</v>
      </c>
      <c r="G907" s="36">
        <f>IFERROR(Tabela_Base_Financeiro[[#This Row],[PO No,]],0)</f>
        <v>0</v>
      </c>
      <c r="H907" s="36">
        <f>IFERROR(Tabela_Base_Financeiro[[#This Row],[Line No,]],0)</f>
        <v>0</v>
      </c>
      <c r="I907" s="36" t="str">
        <f>IFERROR(MID(Tabela_Base_Financeiro[[#This Row],[Manufacturer]],19,14),"")</f>
        <v/>
      </c>
      <c r="J907" s="113">
        <f>IFERROR(Tabela_Base_Financeiro[[#This Row],[Item code]],0)</f>
        <v>0</v>
      </c>
      <c r="K907" s="293">
        <f>IFERROR(Tabela_Base_Financeiro[[#This Row],[Unit Price]],0)</f>
        <v>0</v>
      </c>
      <c r="L907" s="36">
        <f>IFERROR(Tabela_Base_Financeiro[[#This Row],[AC Qty,]],0)</f>
        <v>0</v>
      </c>
      <c r="M907" s="60">
        <f>Tabela6[[#This Row],[Qty]]*Tabela6[[#This Row],[Preço]]</f>
        <v>0</v>
      </c>
      <c r="N907" s="37">
        <f>IFERROR(Tabela_Base_Financeiro[[#This Row],[Proportion]],0)</f>
        <v>0</v>
      </c>
      <c r="O907" s="60">
        <f>Tabela6[[#This Row],[Proporção]]*Tabela6[[#This Row],[Total]]</f>
        <v>0</v>
      </c>
      <c r="P907"/>
      <c r="Q907" s="59"/>
      <c r="R907" s="1"/>
    </row>
    <row r="908" spans="1:18">
      <c r="A908" s="122" t="e">
        <f>IF(VLOOKUP(Tabela6[[#This Row],[UF]],'BASE CC'!B:C,2,0)="SP",IF(Tabela6[[#This Row],[OPERADORA]]="TIM","SP TIM","SPI"),VLOOKUP(Tabela6[[#This Row],[UF]],'BASE CC'!B:C,2,0))</f>
        <v>#N/A</v>
      </c>
      <c r="B908" s="36" t="e">
        <f>VLOOKUP(Tabela_Base_Financeiro[[#This Row],[Item code]],'COD.FAT'!B:C,2,0)</f>
        <v>#N/A</v>
      </c>
      <c r="C908" s="292">
        <f>Tabela_Base_Financeiro[[#This Row],[PO Ship TO]]</f>
        <v>0</v>
      </c>
      <c r="D908" s="36" t="str">
        <f>RIGHT(Tabela_Base_Financeiro[[#This Row],[Manufacturer]],2)</f>
        <v/>
      </c>
      <c r="E90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08" s="122" t="e">
        <f>VLOOKUP(Tabela_Base_Financeiro[[#This Row],[Project Code]],'COD. PROJETOS'!B:D,3,0)</f>
        <v>#N/A</v>
      </c>
      <c r="G908" s="36">
        <f>IFERROR(Tabela_Base_Financeiro[[#This Row],[PO No,]],0)</f>
        <v>0</v>
      </c>
      <c r="H908" s="36">
        <f>IFERROR(Tabela_Base_Financeiro[[#This Row],[Line No,]],0)</f>
        <v>0</v>
      </c>
      <c r="I908" s="36" t="str">
        <f>IFERROR(MID(Tabela_Base_Financeiro[[#This Row],[Manufacturer]],19,14),"")</f>
        <v/>
      </c>
      <c r="J908" s="113">
        <f>IFERROR(Tabela_Base_Financeiro[[#This Row],[Item code]],0)</f>
        <v>0</v>
      </c>
      <c r="K908" s="293">
        <f>IFERROR(Tabela_Base_Financeiro[[#This Row],[Unit Price]],0)</f>
        <v>0</v>
      </c>
      <c r="L908" s="36">
        <f>IFERROR(Tabela_Base_Financeiro[[#This Row],[AC Qty,]],0)</f>
        <v>0</v>
      </c>
      <c r="M908" s="60">
        <f>Tabela6[[#This Row],[Qty]]*Tabela6[[#This Row],[Preço]]</f>
        <v>0</v>
      </c>
      <c r="N908" s="37">
        <f>IFERROR(Tabela_Base_Financeiro[[#This Row],[Proportion]],0)</f>
        <v>0</v>
      </c>
      <c r="O908" s="60">
        <f>Tabela6[[#This Row],[Proporção]]*Tabela6[[#This Row],[Total]]</f>
        <v>0</v>
      </c>
      <c r="P908"/>
      <c r="Q908" s="59"/>
      <c r="R908" s="1"/>
    </row>
    <row r="909" spans="1:18">
      <c r="A909" s="122" t="e">
        <f>IF(VLOOKUP(Tabela6[[#This Row],[UF]],'BASE CC'!B:C,2,0)="SP",IF(Tabela6[[#This Row],[OPERADORA]]="TIM","SP TIM","SPI"),VLOOKUP(Tabela6[[#This Row],[UF]],'BASE CC'!B:C,2,0))</f>
        <v>#N/A</v>
      </c>
      <c r="B909" s="36" t="e">
        <f>VLOOKUP(Tabela_Base_Financeiro[[#This Row],[Item code]],'COD.FAT'!B:C,2,0)</f>
        <v>#N/A</v>
      </c>
      <c r="C909" s="292">
        <f>Tabela_Base_Financeiro[[#This Row],[PO Ship TO]]</f>
        <v>0</v>
      </c>
      <c r="D909" s="36" t="str">
        <f>RIGHT(Tabela_Base_Financeiro[[#This Row],[Manufacturer]],2)</f>
        <v/>
      </c>
      <c r="E90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09" s="122" t="e">
        <f>VLOOKUP(Tabela_Base_Financeiro[[#This Row],[Project Code]],'COD. PROJETOS'!B:D,3,0)</f>
        <v>#N/A</v>
      </c>
      <c r="G909" s="36">
        <f>IFERROR(Tabela_Base_Financeiro[[#This Row],[PO No,]],0)</f>
        <v>0</v>
      </c>
      <c r="H909" s="36">
        <f>IFERROR(Tabela_Base_Financeiro[[#This Row],[Line No,]],0)</f>
        <v>0</v>
      </c>
      <c r="I909" s="36" t="str">
        <f>IFERROR(MID(Tabela_Base_Financeiro[[#This Row],[Manufacturer]],19,14),"")</f>
        <v/>
      </c>
      <c r="J909" s="113">
        <f>IFERROR(Tabela_Base_Financeiro[[#This Row],[Item code]],0)</f>
        <v>0</v>
      </c>
      <c r="K909" s="293">
        <f>IFERROR(Tabela_Base_Financeiro[[#This Row],[Unit Price]],0)</f>
        <v>0</v>
      </c>
      <c r="L909" s="36">
        <f>IFERROR(Tabela_Base_Financeiro[[#This Row],[AC Qty,]],0)</f>
        <v>0</v>
      </c>
      <c r="M909" s="60">
        <f>Tabela6[[#This Row],[Qty]]*Tabela6[[#This Row],[Preço]]</f>
        <v>0</v>
      </c>
      <c r="N909" s="37">
        <f>IFERROR(Tabela_Base_Financeiro[[#This Row],[Proportion]],0)</f>
        <v>0</v>
      </c>
      <c r="O909" s="60">
        <f>Tabela6[[#This Row],[Proporção]]*Tabela6[[#This Row],[Total]]</f>
        <v>0</v>
      </c>
      <c r="P909"/>
      <c r="Q909" s="59"/>
      <c r="R909" s="1"/>
    </row>
    <row r="910" spans="1:18">
      <c r="A910" s="122" t="e">
        <f>IF(VLOOKUP(Tabela6[[#This Row],[UF]],'BASE CC'!B:C,2,0)="SP",IF(Tabela6[[#This Row],[OPERADORA]]="TIM","SP TIM","SPI"),VLOOKUP(Tabela6[[#This Row],[UF]],'BASE CC'!B:C,2,0))</f>
        <v>#N/A</v>
      </c>
      <c r="B910" s="36" t="e">
        <f>VLOOKUP(Tabela_Base_Financeiro[[#This Row],[Item code]],'COD.FAT'!B:C,2,0)</f>
        <v>#N/A</v>
      </c>
      <c r="C910" s="292">
        <f>Tabela_Base_Financeiro[[#This Row],[PO Ship TO]]</f>
        <v>0</v>
      </c>
      <c r="D910" s="36" t="str">
        <f>RIGHT(Tabela_Base_Financeiro[[#This Row],[Manufacturer]],2)</f>
        <v/>
      </c>
      <c r="E91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10" s="122" t="e">
        <f>VLOOKUP(Tabela_Base_Financeiro[[#This Row],[Project Code]],'COD. PROJETOS'!B:D,3,0)</f>
        <v>#N/A</v>
      </c>
      <c r="G910" s="36">
        <f>IFERROR(Tabela_Base_Financeiro[[#This Row],[PO No,]],0)</f>
        <v>0</v>
      </c>
      <c r="H910" s="36">
        <f>IFERROR(Tabela_Base_Financeiro[[#This Row],[Line No,]],0)</f>
        <v>0</v>
      </c>
      <c r="I910" s="36" t="str">
        <f>IFERROR(MID(Tabela_Base_Financeiro[[#This Row],[Manufacturer]],19,14),"")</f>
        <v/>
      </c>
      <c r="J910" s="113">
        <f>IFERROR(Tabela_Base_Financeiro[[#This Row],[Item code]],0)</f>
        <v>0</v>
      </c>
      <c r="K910" s="293">
        <f>IFERROR(Tabela_Base_Financeiro[[#This Row],[Unit Price]],0)</f>
        <v>0</v>
      </c>
      <c r="L910" s="36">
        <f>IFERROR(Tabela_Base_Financeiro[[#This Row],[AC Qty,]],0)</f>
        <v>0</v>
      </c>
      <c r="M910" s="60">
        <f>Tabela6[[#This Row],[Qty]]*Tabela6[[#This Row],[Preço]]</f>
        <v>0</v>
      </c>
      <c r="N910" s="37">
        <f>IFERROR(Tabela_Base_Financeiro[[#This Row],[Proportion]],0)</f>
        <v>0</v>
      </c>
      <c r="O910" s="60">
        <f>Tabela6[[#This Row],[Proporção]]*Tabela6[[#This Row],[Total]]</f>
        <v>0</v>
      </c>
      <c r="P910"/>
      <c r="Q910" s="59"/>
      <c r="R910" s="1"/>
    </row>
    <row r="911" spans="1:18">
      <c r="A911" s="122" t="e">
        <f>IF(VLOOKUP(Tabela6[[#This Row],[UF]],'BASE CC'!B:C,2,0)="SP",IF(Tabela6[[#This Row],[OPERADORA]]="TIM","SP TIM","SPI"),VLOOKUP(Tabela6[[#This Row],[UF]],'BASE CC'!B:C,2,0))</f>
        <v>#N/A</v>
      </c>
      <c r="B911" s="36" t="e">
        <f>VLOOKUP(Tabela_Base_Financeiro[[#This Row],[Item code]],'COD.FAT'!B:C,2,0)</f>
        <v>#N/A</v>
      </c>
      <c r="C911" s="292">
        <f>Tabela_Base_Financeiro[[#This Row],[PO Ship TO]]</f>
        <v>0</v>
      </c>
      <c r="D911" s="36" t="str">
        <f>RIGHT(Tabela_Base_Financeiro[[#This Row],[Manufacturer]],2)</f>
        <v/>
      </c>
      <c r="E91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11" s="122" t="e">
        <f>VLOOKUP(Tabela_Base_Financeiro[[#This Row],[Project Code]],'COD. PROJETOS'!B:D,3,0)</f>
        <v>#N/A</v>
      </c>
      <c r="G911" s="36">
        <f>IFERROR(Tabela_Base_Financeiro[[#This Row],[PO No,]],0)</f>
        <v>0</v>
      </c>
      <c r="H911" s="36">
        <f>IFERROR(Tabela_Base_Financeiro[[#This Row],[Line No,]],0)</f>
        <v>0</v>
      </c>
      <c r="I911" s="36" t="str">
        <f>IFERROR(MID(Tabela_Base_Financeiro[[#This Row],[Manufacturer]],19,14),"")</f>
        <v/>
      </c>
      <c r="J911" s="113">
        <f>IFERROR(Tabela_Base_Financeiro[[#This Row],[Item code]],0)</f>
        <v>0</v>
      </c>
      <c r="K911" s="293">
        <f>IFERROR(Tabela_Base_Financeiro[[#This Row],[Unit Price]],0)</f>
        <v>0</v>
      </c>
      <c r="L911" s="36">
        <f>IFERROR(Tabela_Base_Financeiro[[#This Row],[AC Qty,]],0)</f>
        <v>0</v>
      </c>
      <c r="M911" s="60">
        <f>Tabela6[[#This Row],[Qty]]*Tabela6[[#This Row],[Preço]]</f>
        <v>0</v>
      </c>
      <c r="N911" s="37">
        <f>IFERROR(Tabela_Base_Financeiro[[#This Row],[Proportion]],0)</f>
        <v>0</v>
      </c>
      <c r="O911" s="60">
        <f>Tabela6[[#This Row],[Proporção]]*Tabela6[[#This Row],[Total]]</f>
        <v>0</v>
      </c>
      <c r="P911"/>
      <c r="Q911" s="59"/>
      <c r="R911" s="1"/>
    </row>
    <row r="912" spans="1:18">
      <c r="A912" s="122" t="e">
        <f>IF(VLOOKUP(Tabela6[[#This Row],[UF]],'BASE CC'!B:C,2,0)="SP",IF(Tabela6[[#This Row],[OPERADORA]]="TIM","SP TIM","SPI"),VLOOKUP(Tabela6[[#This Row],[UF]],'BASE CC'!B:C,2,0))</f>
        <v>#N/A</v>
      </c>
      <c r="B912" s="36" t="e">
        <f>VLOOKUP(Tabela_Base_Financeiro[[#This Row],[Item code]],'COD.FAT'!B:C,2,0)</f>
        <v>#N/A</v>
      </c>
      <c r="C912" s="292">
        <f>Tabela_Base_Financeiro[[#This Row],[PO Ship TO]]</f>
        <v>0</v>
      </c>
      <c r="D912" s="36" t="str">
        <f>RIGHT(Tabela_Base_Financeiro[[#This Row],[Manufacturer]],2)</f>
        <v/>
      </c>
      <c r="E91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12" s="122" t="e">
        <f>VLOOKUP(Tabela_Base_Financeiro[[#This Row],[Project Code]],'COD. PROJETOS'!B:D,3,0)</f>
        <v>#N/A</v>
      </c>
      <c r="G912" s="36">
        <f>IFERROR(Tabela_Base_Financeiro[[#This Row],[PO No,]],0)</f>
        <v>0</v>
      </c>
      <c r="H912" s="36">
        <f>IFERROR(Tabela_Base_Financeiro[[#This Row],[Line No,]],0)</f>
        <v>0</v>
      </c>
      <c r="I912" s="36" t="str">
        <f>IFERROR(MID(Tabela_Base_Financeiro[[#This Row],[Manufacturer]],19,14),"")</f>
        <v/>
      </c>
      <c r="J912" s="113">
        <f>IFERROR(Tabela_Base_Financeiro[[#This Row],[Item code]],0)</f>
        <v>0</v>
      </c>
      <c r="K912" s="293">
        <f>IFERROR(Tabela_Base_Financeiro[[#This Row],[Unit Price]],0)</f>
        <v>0</v>
      </c>
      <c r="L912" s="36">
        <f>IFERROR(Tabela_Base_Financeiro[[#This Row],[AC Qty,]],0)</f>
        <v>0</v>
      </c>
      <c r="M912" s="60">
        <f>Tabela6[[#This Row],[Qty]]*Tabela6[[#This Row],[Preço]]</f>
        <v>0</v>
      </c>
      <c r="N912" s="37">
        <f>IFERROR(Tabela_Base_Financeiro[[#This Row],[Proportion]],0)</f>
        <v>0</v>
      </c>
      <c r="O912" s="60">
        <f>Tabela6[[#This Row],[Proporção]]*Tabela6[[#This Row],[Total]]</f>
        <v>0</v>
      </c>
      <c r="P912"/>
      <c r="Q912" s="59"/>
      <c r="R912" s="1"/>
    </row>
    <row r="913" spans="1:18">
      <c r="A913" s="122" t="e">
        <f>IF(VLOOKUP(Tabela6[[#This Row],[UF]],'BASE CC'!B:C,2,0)="SP",IF(Tabela6[[#This Row],[OPERADORA]]="TIM","SP TIM","SPI"),VLOOKUP(Tabela6[[#This Row],[UF]],'BASE CC'!B:C,2,0))</f>
        <v>#N/A</v>
      </c>
      <c r="B913" s="36" t="e">
        <f>VLOOKUP(Tabela_Base_Financeiro[[#This Row],[Item code]],'COD.FAT'!B:C,2,0)</f>
        <v>#N/A</v>
      </c>
      <c r="C913" s="292">
        <f>Tabela_Base_Financeiro[[#This Row],[PO Ship TO]]</f>
        <v>0</v>
      </c>
      <c r="D913" s="36" t="str">
        <f>RIGHT(Tabela_Base_Financeiro[[#This Row],[Manufacturer]],2)</f>
        <v/>
      </c>
      <c r="E91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13" s="122" t="e">
        <f>VLOOKUP(Tabela_Base_Financeiro[[#This Row],[Project Code]],'COD. PROJETOS'!B:D,3,0)</f>
        <v>#N/A</v>
      </c>
      <c r="G913" s="36">
        <f>IFERROR(Tabela_Base_Financeiro[[#This Row],[PO No,]],0)</f>
        <v>0</v>
      </c>
      <c r="H913" s="36">
        <f>IFERROR(Tabela_Base_Financeiro[[#This Row],[Line No,]],0)</f>
        <v>0</v>
      </c>
      <c r="I913" s="36" t="str">
        <f>IFERROR(MID(Tabela_Base_Financeiro[[#This Row],[Manufacturer]],19,14),"")</f>
        <v/>
      </c>
      <c r="J913" s="113">
        <f>IFERROR(Tabela_Base_Financeiro[[#This Row],[Item code]],0)</f>
        <v>0</v>
      </c>
      <c r="K913" s="293">
        <f>IFERROR(Tabela_Base_Financeiro[[#This Row],[Unit Price]],0)</f>
        <v>0</v>
      </c>
      <c r="L913" s="36">
        <f>IFERROR(Tabela_Base_Financeiro[[#This Row],[AC Qty,]],0)</f>
        <v>0</v>
      </c>
      <c r="M913" s="60">
        <f>Tabela6[[#This Row],[Qty]]*Tabela6[[#This Row],[Preço]]</f>
        <v>0</v>
      </c>
      <c r="N913" s="37">
        <f>IFERROR(Tabela_Base_Financeiro[[#This Row],[Proportion]],0)</f>
        <v>0</v>
      </c>
      <c r="O913" s="60">
        <f>Tabela6[[#This Row],[Proporção]]*Tabela6[[#This Row],[Total]]</f>
        <v>0</v>
      </c>
      <c r="P913"/>
      <c r="Q913" s="59"/>
      <c r="R913" s="1"/>
    </row>
    <row r="914" spans="1:18">
      <c r="A914" s="122" t="e">
        <f>IF(VLOOKUP(Tabela6[[#This Row],[UF]],'BASE CC'!B:C,2,0)="SP",IF(Tabela6[[#This Row],[OPERADORA]]="TIM","SP TIM","SPI"),VLOOKUP(Tabela6[[#This Row],[UF]],'BASE CC'!B:C,2,0))</f>
        <v>#N/A</v>
      </c>
      <c r="B914" s="36" t="e">
        <f>VLOOKUP(Tabela_Base_Financeiro[[#This Row],[Item code]],'COD.FAT'!B:C,2,0)</f>
        <v>#N/A</v>
      </c>
      <c r="C914" s="292">
        <f>Tabela_Base_Financeiro[[#This Row],[PO Ship TO]]</f>
        <v>0</v>
      </c>
      <c r="D914" s="36" t="str">
        <f>RIGHT(Tabela_Base_Financeiro[[#This Row],[Manufacturer]],2)</f>
        <v/>
      </c>
      <c r="E91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14" s="122" t="e">
        <f>VLOOKUP(Tabela_Base_Financeiro[[#This Row],[Project Code]],'COD. PROJETOS'!B:D,3,0)</f>
        <v>#N/A</v>
      </c>
      <c r="G914" s="36">
        <f>IFERROR(Tabela_Base_Financeiro[[#This Row],[PO No,]],0)</f>
        <v>0</v>
      </c>
      <c r="H914" s="36">
        <f>IFERROR(Tabela_Base_Financeiro[[#This Row],[Line No,]],0)</f>
        <v>0</v>
      </c>
      <c r="I914" s="36" t="str">
        <f>IFERROR(MID(Tabela_Base_Financeiro[[#This Row],[Manufacturer]],19,14),"")</f>
        <v/>
      </c>
      <c r="J914" s="113">
        <f>IFERROR(Tabela_Base_Financeiro[[#This Row],[Item code]],0)</f>
        <v>0</v>
      </c>
      <c r="K914" s="293">
        <f>IFERROR(Tabela_Base_Financeiro[[#This Row],[Unit Price]],0)</f>
        <v>0</v>
      </c>
      <c r="L914" s="36">
        <f>IFERROR(Tabela_Base_Financeiro[[#This Row],[AC Qty,]],0)</f>
        <v>0</v>
      </c>
      <c r="M914" s="60">
        <f>Tabela6[[#This Row],[Qty]]*Tabela6[[#This Row],[Preço]]</f>
        <v>0</v>
      </c>
      <c r="N914" s="37">
        <f>IFERROR(Tabela_Base_Financeiro[[#This Row],[Proportion]],0)</f>
        <v>0</v>
      </c>
      <c r="O914" s="60">
        <f>Tabela6[[#This Row],[Proporção]]*Tabela6[[#This Row],[Total]]</f>
        <v>0</v>
      </c>
      <c r="P914"/>
      <c r="Q914" s="59"/>
      <c r="R914" s="1"/>
    </row>
    <row r="915" spans="1:18">
      <c r="A915" s="122" t="e">
        <f>IF(VLOOKUP(Tabela6[[#This Row],[UF]],'BASE CC'!B:C,2,0)="SP",IF(Tabela6[[#This Row],[OPERADORA]]="TIM","SP TIM","SPI"),VLOOKUP(Tabela6[[#This Row],[UF]],'BASE CC'!B:C,2,0))</f>
        <v>#N/A</v>
      </c>
      <c r="B915" s="36" t="e">
        <f>VLOOKUP(Tabela_Base_Financeiro[[#This Row],[Item code]],'COD.FAT'!B:C,2,0)</f>
        <v>#N/A</v>
      </c>
      <c r="C915" s="292">
        <f>Tabela_Base_Financeiro[[#This Row],[PO Ship TO]]</f>
        <v>0</v>
      </c>
      <c r="D915" s="36" t="str">
        <f>RIGHT(Tabela_Base_Financeiro[[#This Row],[Manufacturer]],2)</f>
        <v/>
      </c>
      <c r="E91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15" s="122" t="e">
        <f>VLOOKUP(Tabela_Base_Financeiro[[#This Row],[Project Code]],'COD. PROJETOS'!B:D,3,0)</f>
        <v>#N/A</v>
      </c>
      <c r="G915" s="36">
        <f>IFERROR(Tabela_Base_Financeiro[[#This Row],[PO No,]],0)</f>
        <v>0</v>
      </c>
      <c r="H915" s="36">
        <f>IFERROR(Tabela_Base_Financeiro[[#This Row],[Line No,]],0)</f>
        <v>0</v>
      </c>
      <c r="I915" s="36" t="str">
        <f>IFERROR(MID(Tabela_Base_Financeiro[[#This Row],[Manufacturer]],19,14),"")</f>
        <v/>
      </c>
      <c r="J915" s="113">
        <f>IFERROR(Tabela_Base_Financeiro[[#This Row],[Item code]],0)</f>
        <v>0</v>
      </c>
      <c r="K915" s="293">
        <f>IFERROR(Tabela_Base_Financeiro[[#This Row],[Unit Price]],0)</f>
        <v>0</v>
      </c>
      <c r="L915" s="36">
        <f>IFERROR(Tabela_Base_Financeiro[[#This Row],[AC Qty,]],0)</f>
        <v>0</v>
      </c>
      <c r="M915" s="60">
        <f>Tabela6[[#This Row],[Qty]]*Tabela6[[#This Row],[Preço]]</f>
        <v>0</v>
      </c>
      <c r="N915" s="37">
        <f>IFERROR(Tabela_Base_Financeiro[[#This Row],[Proportion]],0)</f>
        <v>0</v>
      </c>
      <c r="O915" s="60">
        <f>Tabela6[[#This Row],[Proporção]]*Tabela6[[#This Row],[Total]]</f>
        <v>0</v>
      </c>
      <c r="P915"/>
      <c r="Q915" s="59"/>
      <c r="R915" s="1"/>
    </row>
    <row r="916" spans="1:18">
      <c r="A916" s="122" t="e">
        <f>IF(VLOOKUP(Tabela6[[#This Row],[UF]],'BASE CC'!B:C,2,0)="SP",IF(Tabela6[[#This Row],[OPERADORA]]="TIM","SP TIM","SPI"),VLOOKUP(Tabela6[[#This Row],[UF]],'BASE CC'!B:C,2,0))</f>
        <v>#N/A</v>
      </c>
      <c r="B916" s="36" t="e">
        <f>VLOOKUP(Tabela_Base_Financeiro[[#This Row],[Item code]],'COD.FAT'!B:C,2,0)</f>
        <v>#N/A</v>
      </c>
      <c r="C916" s="292">
        <f>Tabela_Base_Financeiro[[#This Row],[PO Ship TO]]</f>
        <v>0</v>
      </c>
      <c r="D916" s="36" t="str">
        <f>RIGHT(Tabela_Base_Financeiro[[#This Row],[Manufacturer]],2)</f>
        <v/>
      </c>
      <c r="E91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16" s="122" t="e">
        <f>VLOOKUP(Tabela_Base_Financeiro[[#This Row],[Project Code]],'COD. PROJETOS'!B:D,3,0)</f>
        <v>#N/A</v>
      </c>
      <c r="G916" s="36">
        <f>IFERROR(Tabela_Base_Financeiro[[#This Row],[PO No,]],0)</f>
        <v>0</v>
      </c>
      <c r="H916" s="36">
        <f>IFERROR(Tabela_Base_Financeiro[[#This Row],[Line No,]],0)</f>
        <v>0</v>
      </c>
      <c r="I916" s="36" t="str">
        <f>IFERROR(MID(Tabela_Base_Financeiro[[#This Row],[Manufacturer]],19,14),"")</f>
        <v/>
      </c>
      <c r="J916" s="113">
        <f>IFERROR(Tabela_Base_Financeiro[[#This Row],[Item code]],0)</f>
        <v>0</v>
      </c>
      <c r="K916" s="293">
        <f>IFERROR(Tabela_Base_Financeiro[[#This Row],[Unit Price]],0)</f>
        <v>0</v>
      </c>
      <c r="L916" s="36">
        <f>IFERROR(Tabela_Base_Financeiro[[#This Row],[AC Qty,]],0)</f>
        <v>0</v>
      </c>
      <c r="M916" s="60">
        <f>Tabela6[[#This Row],[Qty]]*Tabela6[[#This Row],[Preço]]</f>
        <v>0</v>
      </c>
      <c r="N916" s="37">
        <f>IFERROR(Tabela_Base_Financeiro[[#This Row],[Proportion]],0)</f>
        <v>0</v>
      </c>
      <c r="O916" s="60">
        <f>Tabela6[[#This Row],[Proporção]]*Tabela6[[#This Row],[Total]]</f>
        <v>0</v>
      </c>
      <c r="P916"/>
      <c r="Q916" s="59"/>
      <c r="R916" s="1"/>
    </row>
    <row r="917" spans="1:18">
      <c r="A917" s="122" t="e">
        <f>IF(VLOOKUP(Tabela6[[#This Row],[UF]],'BASE CC'!B:C,2,0)="SP",IF(Tabela6[[#This Row],[OPERADORA]]="TIM","SP TIM","SPI"),VLOOKUP(Tabela6[[#This Row],[UF]],'BASE CC'!B:C,2,0))</f>
        <v>#N/A</v>
      </c>
      <c r="B917" s="36" t="e">
        <f>VLOOKUP(Tabela_Base_Financeiro[[#This Row],[Item code]],'COD.FAT'!B:C,2,0)</f>
        <v>#N/A</v>
      </c>
      <c r="C917" s="292">
        <f>Tabela_Base_Financeiro[[#This Row],[PO Ship TO]]</f>
        <v>0</v>
      </c>
      <c r="D917" s="36" t="str">
        <f>RIGHT(Tabela_Base_Financeiro[[#This Row],[Manufacturer]],2)</f>
        <v/>
      </c>
      <c r="E91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17" s="122" t="e">
        <f>VLOOKUP(Tabela_Base_Financeiro[[#This Row],[Project Code]],'COD. PROJETOS'!B:D,3,0)</f>
        <v>#N/A</v>
      </c>
      <c r="G917" s="36">
        <f>IFERROR(Tabela_Base_Financeiro[[#This Row],[PO No,]],0)</f>
        <v>0</v>
      </c>
      <c r="H917" s="36">
        <f>IFERROR(Tabela_Base_Financeiro[[#This Row],[Line No,]],0)</f>
        <v>0</v>
      </c>
      <c r="I917" s="36" t="str">
        <f>IFERROR(MID(Tabela_Base_Financeiro[[#This Row],[Manufacturer]],19,14),"")</f>
        <v/>
      </c>
      <c r="J917" s="113">
        <f>IFERROR(Tabela_Base_Financeiro[[#This Row],[Item code]],0)</f>
        <v>0</v>
      </c>
      <c r="K917" s="293">
        <f>IFERROR(Tabela_Base_Financeiro[[#This Row],[Unit Price]],0)</f>
        <v>0</v>
      </c>
      <c r="L917" s="36">
        <f>IFERROR(Tabela_Base_Financeiro[[#This Row],[AC Qty,]],0)</f>
        <v>0</v>
      </c>
      <c r="M917" s="60">
        <f>Tabela6[[#This Row],[Qty]]*Tabela6[[#This Row],[Preço]]</f>
        <v>0</v>
      </c>
      <c r="N917" s="37">
        <f>IFERROR(Tabela_Base_Financeiro[[#This Row],[Proportion]],0)</f>
        <v>0</v>
      </c>
      <c r="O917" s="60">
        <f>Tabela6[[#This Row],[Proporção]]*Tabela6[[#This Row],[Total]]</f>
        <v>0</v>
      </c>
      <c r="P917"/>
      <c r="Q917" s="59"/>
      <c r="R917" s="1"/>
    </row>
    <row r="918" spans="1:18">
      <c r="A918" s="122" t="e">
        <f>IF(VLOOKUP(Tabela6[[#This Row],[UF]],'BASE CC'!B:C,2,0)="SP",IF(Tabela6[[#This Row],[OPERADORA]]="TIM","SP TIM","SPI"),VLOOKUP(Tabela6[[#This Row],[UF]],'BASE CC'!B:C,2,0))</f>
        <v>#N/A</v>
      </c>
      <c r="B918" s="36" t="e">
        <f>VLOOKUP(Tabela_Base_Financeiro[[#This Row],[Item code]],'COD.FAT'!B:C,2,0)</f>
        <v>#N/A</v>
      </c>
      <c r="C918" s="292">
        <f>Tabela_Base_Financeiro[[#This Row],[PO Ship TO]]</f>
        <v>0</v>
      </c>
      <c r="D918" s="36" t="str">
        <f>RIGHT(Tabela_Base_Financeiro[[#This Row],[Manufacturer]],2)</f>
        <v/>
      </c>
      <c r="E91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18" s="122" t="e">
        <f>VLOOKUP(Tabela_Base_Financeiro[[#This Row],[Project Code]],'COD. PROJETOS'!B:D,3,0)</f>
        <v>#N/A</v>
      </c>
      <c r="G918" s="36">
        <f>IFERROR(Tabela_Base_Financeiro[[#This Row],[PO No,]],0)</f>
        <v>0</v>
      </c>
      <c r="H918" s="36">
        <f>IFERROR(Tabela_Base_Financeiro[[#This Row],[Line No,]],0)</f>
        <v>0</v>
      </c>
      <c r="I918" s="36" t="str">
        <f>IFERROR(MID(Tabela_Base_Financeiro[[#This Row],[Manufacturer]],19,14),"")</f>
        <v/>
      </c>
      <c r="J918" s="113">
        <f>IFERROR(Tabela_Base_Financeiro[[#This Row],[Item code]],0)</f>
        <v>0</v>
      </c>
      <c r="K918" s="293">
        <f>IFERROR(Tabela_Base_Financeiro[[#This Row],[Unit Price]],0)</f>
        <v>0</v>
      </c>
      <c r="L918" s="36">
        <f>IFERROR(Tabela_Base_Financeiro[[#This Row],[AC Qty,]],0)</f>
        <v>0</v>
      </c>
      <c r="M918" s="60">
        <f>Tabela6[[#This Row],[Qty]]*Tabela6[[#This Row],[Preço]]</f>
        <v>0</v>
      </c>
      <c r="N918" s="37">
        <f>IFERROR(Tabela_Base_Financeiro[[#This Row],[Proportion]],0)</f>
        <v>0</v>
      </c>
      <c r="O918" s="60">
        <f>Tabela6[[#This Row],[Proporção]]*Tabela6[[#This Row],[Total]]</f>
        <v>0</v>
      </c>
      <c r="P918"/>
      <c r="Q918" s="59"/>
      <c r="R918" s="1"/>
    </row>
    <row r="919" spans="1:18">
      <c r="A919" s="122" t="e">
        <f>IF(VLOOKUP(Tabela6[[#This Row],[UF]],'BASE CC'!B:C,2,0)="SP",IF(Tabela6[[#This Row],[OPERADORA]]="TIM","SP TIM","SPI"),VLOOKUP(Tabela6[[#This Row],[UF]],'BASE CC'!B:C,2,0))</f>
        <v>#N/A</v>
      </c>
      <c r="B919" s="36" t="e">
        <f>VLOOKUP(Tabela_Base_Financeiro[[#This Row],[Item code]],'COD.FAT'!B:C,2,0)</f>
        <v>#N/A</v>
      </c>
      <c r="C919" s="292">
        <f>Tabela_Base_Financeiro[[#This Row],[PO Ship TO]]</f>
        <v>0</v>
      </c>
      <c r="D919" s="36" t="str">
        <f>RIGHT(Tabela_Base_Financeiro[[#This Row],[Manufacturer]],2)</f>
        <v/>
      </c>
      <c r="E91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19" s="122" t="e">
        <f>VLOOKUP(Tabela_Base_Financeiro[[#This Row],[Project Code]],'COD. PROJETOS'!B:D,3,0)</f>
        <v>#N/A</v>
      </c>
      <c r="G919" s="36">
        <f>IFERROR(Tabela_Base_Financeiro[[#This Row],[PO No,]],0)</f>
        <v>0</v>
      </c>
      <c r="H919" s="36">
        <f>IFERROR(Tabela_Base_Financeiro[[#This Row],[Line No,]],0)</f>
        <v>0</v>
      </c>
      <c r="I919" s="36" t="str">
        <f>IFERROR(MID(Tabela_Base_Financeiro[[#This Row],[Manufacturer]],19,14),"")</f>
        <v/>
      </c>
      <c r="J919" s="113">
        <f>IFERROR(Tabela_Base_Financeiro[[#This Row],[Item code]],0)</f>
        <v>0</v>
      </c>
      <c r="K919" s="293">
        <f>IFERROR(Tabela_Base_Financeiro[[#This Row],[Unit Price]],0)</f>
        <v>0</v>
      </c>
      <c r="L919" s="36">
        <f>IFERROR(Tabela_Base_Financeiro[[#This Row],[AC Qty,]],0)</f>
        <v>0</v>
      </c>
      <c r="M919" s="60">
        <f>Tabela6[[#This Row],[Qty]]*Tabela6[[#This Row],[Preço]]</f>
        <v>0</v>
      </c>
      <c r="N919" s="37">
        <f>IFERROR(Tabela_Base_Financeiro[[#This Row],[Proportion]],0)</f>
        <v>0</v>
      </c>
      <c r="O919" s="60">
        <f>Tabela6[[#This Row],[Proporção]]*Tabela6[[#This Row],[Total]]</f>
        <v>0</v>
      </c>
      <c r="P919"/>
      <c r="Q919" s="59"/>
      <c r="R919" s="1"/>
    </row>
    <row r="920" spans="1:18">
      <c r="A920" s="122" t="e">
        <f>IF(VLOOKUP(Tabela6[[#This Row],[UF]],'BASE CC'!B:C,2,0)="SP",IF(Tabela6[[#This Row],[OPERADORA]]="TIM","SP TIM","SPI"),VLOOKUP(Tabela6[[#This Row],[UF]],'BASE CC'!B:C,2,0))</f>
        <v>#N/A</v>
      </c>
      <c r="B920" s="36" t="e">
        <f>VLOOKUP(Tabela_Base_Financeiro[[#This Row],[Item code]],'COD.FAT'!B:C,2,0)</f>
        <v>#N/A</v>
      </c>
      <c r="C920" s="292">
        <f>Tabela_Base_Financeiro[[#This Row],[PO Ship TO]]</f>
        <v>0</v>
      </c>
      <c r="D920" s="36" t="str">
        <f>RIGHT(Tabela_Base_Financeiro[[#This Row],[Manufacturer]],2)</f>
        <v/>
      </c>
      <c r="E92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20" s="122" t="e">
        <f>VLOOKUP(Tabela_Base_Financeiro[[#This Row],[Project Code]],'COD. PROJETOS'!B:D,3,0)</f>
        <v>#N/A</v>
      </c>
      <c r="G920" s="36">
        <f>IFERROR(Tabela_Base_Financeiro[[#This Row],[PO No,]],0)</f>
        <v>0</v>
      </c>
      <c r="H920" s="36">
        <f>IFERROR(Tabela_Base_Financeiro[[#This Row],[Line No,]],0)</f>
        <v>0</v>
      </c>
      <c r="I920" s="36" t="str">
        <f>IFERROR(MID(Tabela_Base_Financeiro[[#This Row],[Manufacturer]],19,14),"")</f>
        <v/>
      </c>
      <c r="J920" s="113">
        <f>IFERROR(Tabela_Base_Financeiro[[#This Row],[Item code]],0)</f>
        <v>0</v>
      </c>
      <c r="K920" s="293">
        <f>IFERROR(Tabela_Base_Financeiro[[#This Row],[Unit Price]],0)</f>
        <v>0</v>
      </c>
      <c r="L920" s="36">
        <f>IFERROR(Tabela_Base_Financeiro[[#This Row],[AC Qty,]],0)</f>
        <v>0</v>
      </c>
      <c r="M920" s="60">
        <f>Tabela6[[#This Row],[Qty]]*Tabela6[[#This Row],[Preço]]</f>
        <v>0</v>
      </c>
      <c r="N920" s="37">
        <f>IFERROR(Tabela_Base_Financeiro[[#This Row],[Proportion]],0)</f>
        <v>0</v>
      </c>
      <c r="O920" s="60">
        <f>Tabela6[[#This Row],[Proporção]]*Tabela6[[#This Row],[Total]]</f>
        <v>0</v>
      </c>
      <c r="P920"/>
      <c r="Q920" s="59"/>
      <c r="R920" s="1"/>
    </row>
    <row r="921" spans="1:18">
      <c r="A921" s="122" t="e">
        <f>IF(VLOOKUP(Tabela6[[#This Row],[UF]],'BASE CC'!B:C,2,0)="SP",IF(Tabela6[[#This Row],[OPERADORA]]="TIM","SP TIM","SPI"),VLOOKUP(Tabela6[[#This Row],[UF]],'BASE CC'!B:C,2,0))</f>
        <v>#N/A</v>
      </c>
      <c r="B921" s="36" t="e">
        <f>VLOOKUP(Tabela_Base_Financeiro[[#This Row],[Item code]],'COD.FAT'!B:C,2,0)</f>
        <v>#N/A</v>
      </c>
      <c r="C921" s="292">
        <f>Tabela_Base_Financeiro[[#This Row],[PO Ship TO]]</f>
        <v>0</v>
      </c>
      <c r="D921" s="36" t="str">
        <f>RIGHT(Tabela_Base_Financeiro[[#This Row],[Manufacturer]],2)</f>
        <v/>
      </c>
      <c r="E92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21" s="122" t="e">
        <f>VLOOKUP(Tabela_Base_Financeiro[[#This Row],[Project Code]],'COD. PROJETOS'!B:D,3,0)</f>
        <v>#N/A</v>
      </c>
      <c r="G921" s="36">
        <f>IFERROR(Tabela_Base_Financeiro[[#This Row],[PO No,]],0)</f>
        <v>0</v>
      </c>
      <c r="H921" s="36">
        <f>IFERROR(Tabela_Base_Financeiro[[#This Row],[Line No,]],0)</f>
        <v>0</v>
      </c>
      <c r="I921" s="36" t="str">
        <f>IFERROR(MID(Tabela_Base_Financeiro[[#This Row],[Manufacturer]],19,14),"")</f>
        <v/>
      </c>
      <c r="J921" s="113">
        <f>IFERROR(Tabela_Base_Financeiro[[#This Row],[Item code]],0)</f>
        <v>0</v>
      </c>
      <c r="K921" s="293">
        <f>IFERROR(Tabela_Base_Financeiro[[#This Row],[Unit Price]],0)</f>
        <v>0</v>
      </c>
      <c r="L921" s="36">
        <f>IFERROR(Tabela_Base_Financeiro[[#This Row],[AC Qty,]],0)</f>
        <v>0</v>
      </c>
      <c r="M921" s="60">
        <f>Tabela6[[#This Row],[Qty]]*Tabela6[[#This Row],[Preço]]</f>
        <v>0</v>
      </c>
      <c r="N921" s="37">
        <f>IFERROR(Tabela_Base_Financeiro[[#This Row],[Proportion]],0)</f>
        <v>0</v>
      </c>
      <c r="O921" s="60">
        <f>Tabela6[[#This Row],[Proporção]]*Tabela6[[#This Row],[Total]]</f>
        <v>0</v>
      </c>
      <c r="P921"/>
      <c r="Q921" s="59"/>
      <c r="R921" s="1"/>
    </row>
    <row r="922" spans="1:18">
      <c r="A922" s="122" t="e">
        <f>IF(VLOOKUP(Tabela6[[#This Row],[UF]],'BASE CC'!B:C,2,0)="SP",IF(Tabela6[[#This Row],[OPERADORA]]="TIM","SP TIM","SPI"),VLOOKUP(Tabela6[[#This Row],[UF]],'BASE CC'!B:C,2,0))</f>
        <v>#N/A</v>
      </c>
      <c r="B922" s="36" t="e">
        <f>VLOOKUP(Tabela_Base_Financeiro[[#This Row],[Item code]],'COD.FAT'!B:C,2,0)</f>
        <v>#N/A</v>
      </c>
      <c r="C922" s="292">
        <f>Tabela_Base_Financeiro[[#This Row],[PO Ship TO]]</f>
        <v>0</v>
      </c>
      <c r="D922" s="36" t="str">
        <f>RIGHT(Tabela_Base_Financeiro[[#This Row],[Manufacturer]],2)</f>
        <v/>
      </c>
      <c r="E92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22" s="122" t="e">
        <f>VLOOKUP(Tabela_Base_Financeiro[[#This Row],[Project Code]],'COD. PROJETOS'!B:D,3,0)</f>
        <v>#N/A</v>
      </c>
      <c r="G922" s="36">
        <f>IFERROR(Tabela_Base_Financeiro[[#This Row],[PO No,]],0)</f>
        <v>0</v>
      </c>
      <c r="H922" s="36">
        <f>IFERROR(Tabela_Base_Financeiro[[#This Row],[Line No,]],0)</f>
        <v>0</v>
      </c>
      <c r="I922" s="36" t="str">
        <f>IFERROR(MID(Tabela_Base_Financeiro[[#This Row],[Manufacturer]],19,14),"")</f>
        <v/>
      </c>
      <c r="J922" s="113">
        <f>IFERROR(Tabela_Base_Financeiro[[#This Row],[Item code]],0)</f>
        <v>0</v>
      </c>
      <c r="K922" s="293">
        <f>IFERROR(Tabela_Base_Financeiro[[#This Row],[Unit Price]],0)</f>
        <v>0</v>
      </c>
      <c r="L922" s="36">
        <f>IFERROR(Tabela_Base_Financeiro[[#This Row],[AC Qty,]],0)</f>
        <v>0</v>
      </c>
      <c r="M922" s="60">
        <f>Tabela6[[#This Row],[Qty]]*Tabela6[[#This Row],[Preço]]</f>
        <v>0</v>
      </c>
      <c r="N922" s="37">
        <f>IFERROR(Tabela_Base_Financeiro[[#This Row],[Proportion]],0)</f>
        <v>0</v>
      </c>
      <c r="O922" s="60">
        <f>Tabela6[[#This Row],[Proporção]]*Tabela6[[#This Row],[Total]]</f>
        <v>0</v>
      </c>
      <c r="P922"/>
      <c r="Q922" s="59"/>
      <c r="R922" s="1"/>
    </row>
    <row r="923" spans="1:18">
      <c r="A923" s="122" t="e">
        <f>IF(VLOOKUP(Tabela6[[#This Row],[UF]],'BASE CC'!B:C,2,0)="SP",IF(Tabela6[[#This Row],[OPERADORA]]="TIM","SP TIM","SPI"),VLOOKUP(Tabela6[[#This Row],[UF]],'BASE CC'!B:C,2,0))</f>
        <v>#N/A</v>
      </c>
      <c r="B923" s="36" t="e">
        <f>VLOOKUP(Tabela_Base_Financeiro[[#This Row],[Item code]],'COD.FAT'!B:C,2,0)</f>
        <v>#N/A</v>
      </c>
      <c r="C923" s="292">
        <f>Tabela_Base_Financeiro[[#This Row],[PO Ship TO]]</f>
        <v>0</v>
      </c>
      <c r="D923" s="36" t="str">
        <f>RIGHT(Tabela_Base_Financeiro[[#This Row],[Manufacturer]],2)</f>
        <v/>
      </c>
      <c r="E92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23" s="122" t="e">
        <f>VLOOKUP(Tabela_Base_Financeiro[[#This Row],[Project Code]],'COD. PROJETOS'!B:D,3,0)</f>
        <v>#N/A</v>
      </c>
      <c r="G923" s="36">
        <f>IFERROR(Tabela_Base_Financeiro[[#This Row],[PO No,]],0)</f>
        <v>0</v>
      </c>
      <c r="H923" s="36">
        <f>IFERROR(Tabela_Base_Financeiro[[#This Row],[Line No,]],0)</f>
        <v>0</v>
      </c>
      <c r="I923" s="36" t="str">
        <f>IFERROR(MID(Tabela_Base_Financeiro[[#This Row],[Manufacturer]],19,14),"")</f>
        <v/>
      </c>
      <c r="J923" s="113">
        <f>IFERROR(Tabela_Base_Financeiro[[#This Row],[Item code]],0)</f>
        <v>0</v>
      </c>
      <c r="K923" s="293">
        <f>IFERROR(Tabela_Base_Financeiro[[#This Row],[Unit Price]],0)</f>
        <v>0</v>
      </c>
      <c r="L923" s="36">
        <f>IFERROR(Tabela_Base_Financeiro[[#This Row],[AC Qty,]],0)</f>
        <v>0</v>
      </c>
      <c r="M923" s="60">
        <f>Tabela6[[#This Row],[Qty]]*Tabela6[[#This Row],[Preço]]</f>
        <v>0</v>
      </c>
      <c r="N923" s="37">
        <f>IFERROR(Tabela_Base_Financeiro[[#This Row],[Proportion]],0)</f>
        <v>0</v>
      </c>
      <c r="O923" s="60">
        <f>Tabela6[[#This Row],[Proporção]]*Tabela6[[#This Row],[Total]]</f>
        <v>0</v>
      </c>
      <c r="P923"/>
      <c r="Q923" s="59"/>
      <c r="R923" s="1"/>
    </row>
    <row r="924" spans="1:18">
      <c r="A924" s="122" t="e">
        <f>IF(VLOOKUP(Tabela6[[#This Row],[UF]],'BASE CC'!B:C,2,0)="SP",IF(Tabela6[[#This Row],[OPERADORA]]="TIM","SP TIM","SPI"),VLOOKUP(Tabela6[[#This Row],[UF]],'BASE CC'!B:C,2,0))</f>
        <v>#N/A</v>
      </c>
      <c r="B924" s="36" t="e">
        <f>VLOOKUP(Tabela_Base_Financeiro[[#This Row],[Item code]],'COD.FAT'!B:C,2,0)</f>
        <v>#N/A</v>
      </c>
      <c r="C924" s="292">
        <f>Tabela_Base_Financeiro[[#This Row],[PO Ship TO]]</f>
        <v>0</v>
      </c>
      <c r="D924" s="36" t="str">
        <f>RIGHT(Tabela_Base_Financeiro[[#This Row],[Manufacturer]],2)</f>
        <v/>
      </c>
      <c r="E92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24" s="122" t="e">
        <f>VLOOKUP(Tabela_Base_Financeiro[[#This Row],[Project Code]],'COD. PROJETOS'!B:D,3,0)</f>
        <v>#N/A</v>
      </c>
      <c r="G924" s="36">
        <f>IFERROR(Tabela_Base_Financeiro[[#This Row],[PO No,]],0)</f>
        <v>0</v>
      </c>
      <c r="H924" s="36">
        <f>IFERROR(Tabela_Base_Financeiro[[#This Row],[Line No,]],0)</f>
        <v>0</v>
      </c>
      <c r="I924" s="36" t="str">
        <f>IFERROR(MID(Tabela_Base_Financeiro[[#This Row],[Manufacturer]],19,14),"")</f>
        <v/>
      </c>
      <c r="J924" s="113">
        <f>IFERROR(Tabela_Base_Financeiro[[#This Row],[Item code]],0)</f>
        <v>0</v>
      </c>
      <c r="K924" s="293">
        <f>IFERROR(Tabela_Base_Financeiro[[#This Row],[Unit Price]],0)</f>
        <v>0</v>
      </c>
      <c r="L924" s="36">
        <f>IFERROR(Tabela_Base_Financeiro[[#This Row],[AC Qty,]],0)</f>
        <v>0</v>
      </c>
      <c r="M924" s="60">
        <f>Tabela6[[#This Row],[Qty]]*Tabela6[[#This Row],[Preço]]</f>
        <v>0</v>
      </c>
      <c r="N924" s="37">
        <f>IFERROR(Tabela_Base_Financeiro[[#This Row],[Proportion]],0)</f>
        <v>0</v>
      </c>
      <c r="O924" s="60">
        <f>Tabela6[[#This Row],[Proporção]]*Tabela6[[#This Row],[Total]]</f>
        <v>0</v>
      </c>
      <c r="P924"/>
      <c r="Q924" s="59"/>
      <c r="R924" s="1"/>
    </row>
    <row r="925" spans="1:18">
      <c r="A925" s="122" t="e">
        <f>IF(VLOOKUP(Tabela6[[#This Row],[UF]],'BASE CC'!B:C,2,0)="SP",IF(Tabela6[[#This Row],[OPERADORA]]="TIM","SP TIM","SPI"),VLOOKUP(Tabela6[[#This Row],[UF]],'BASE CC'!B:C,2,0))</f>
        <v>#N/A</v>
      </c>
      <c r="B925" s="36" t="e">
        <f>VLOOKUP(Tabela_Base_Financeiro[[#This Row],[Item code]],'COD.FAT'!B:C,2,0)</f>
        <v>#N/A</v>
      </c>
      <c r="C925" s="292">
        <f>Tabela_Base_Financeiro[[#This Row],[PO Ship TO]]</f>
        <v>0</v>
      </c>
      <c r="D925" s="36" t="str">
        <f>RIGHT(Tabela_Base_Financeiro[[#This Row],[Manufacturer]],2)</f>
        <v/>
      </c>
      <c r="E92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25" s="122" t="e">
        <f>VLOOKUP(Tabela_Base_Financeiro[[#This Row],[Project Code]],'COD. PROJETOS'!B:D,3,0)</f>
        <v>#N/A</v>
      </c>
      <c r="G925" s="36">
        <f>IFERROR(Tabela_Base_Financeiro[[#This Row],[PO No,]],0)</f>
        <v>0</v>
      </c>
      <c r="H925" s="36">
        <f>IFERROR(Tabela_Base_Financeiro[[#This Row],[Line No,]],0)</f>
        <v>0</v>
      </c>
      <c r="I925" s="36" t="str">
        <f>IFERROR(MID(Tabela_Base_Financeiro[[#This Row],[Manufacturer]],19,14),"")</f>
        <v/>
      </c>
      <c r="J925" s="113">
        <f>IFERROR(Tabela_Base_Financeiro[[#This Row],[Item code]],0)</f>
        <v>0</v>
      </c>
      <c r="K925" s="293">
        <f>IFERROR(Tabela_Base_Financeiro[[#This Row],[Unit Price]],0)</f>
        <v>0</v>
      </c>
      <c r="L925" s="36">
        <f>IFERROR(Tabela_Base_Financeiro[[#This Row],[AC Qty,]],0)</f>
        <v>0</v>
      </c>
      <c r="M925" s="60">
        <f>Tabela6[[#This Row],[Qty]]*Tabela6[[#This Row],[Preço]]</f>
        <v>0</v>
      </c>
      <c r="N925" s="37">
        <f>IFERROR(Tabela_Base_Financeiro[[#This Row],[Proportion]],0)</f>
        <v>0</v>
      </c>
      <c r="O925" s="60">
        <f>Tabela6[[#This Row],[Proporção]]*Tabela6[[#This Row],[Total]]</f>
        <v>0</v>
      </c>
      <c r="P925"/>
      <c r="Q925" s="59"/>
      <c r="R925" s="1"/>
    </row>
    <row r="926" spans="1:18">
      <c r="A926" s="122" t="e">
        <f>IF(VLOOKUP(Tabela6[[#This Row],[UF]],'BASE CC'!B:C,2,0)="SP",IF(Tabela6[[#This Row],[OPERADORA]]="TIM","SP TIM","SPI"),VLOOKUP(Tabela6[[#This Row],[UF]],'BASE CC'!B:C,2,0))</f>
        <v>#N/A</v>
      </c>
      <c r="B926" s="36" t="e">
        <f>VLOOKUP(Tabela_Base_Financeiro[[#This Row],[Item code]],'COD.FAT'!B:C,2,0)</f>
        <v>#N/A</v>
      </c>
      <c r="C926" s="292">
        <f>Tabela_Base_Financeiro[[#This Row],[PO Ship TO]]</f>
        <v>0</v>
      </c>
      <c r="D926" s="36" t="str">
        <f>RIGHT(Tabela_Base_Financeiro[[#This Row],[Manufacturer]],2)</f>
        <v/>
      </c>
      <c r="E92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26" s="122" t="e">
        <f>VLOOKUP(Tabela_Base_Financeiro[[#This Row],[Project Code]],'COD. PROJETOS'!B:D,3,0)</f>
        <v>#N/A</v>
      </c>
      <c r="G926" s="36">
        <f>IFERROR(Tabela_Base_Financeiro[[#This Row],[PO No,]],0)</f>
        <v>0</v>
      </c>
      <c r="H926" s="36">
        <f>IFERROR(Tabela_Base_Financeiro[[#This Row],[Line No,]],0)</f>
        <v>0</v>
      </c>
      <c r="I926" s="36" t="str">
        <f>IFERROR(MID(Tabela_Base_Financeiro[[#This Row],[Manufacturer]],19,14),"")</f>
        <v/>
      </c>
      <c r="J926" s="113">
        <f>IFERROR(Tabela_Base_Financeiro[[#This Row],[Item code]],0)</f>
        <v>0</v>
      </c>
      <c r="K926" s="293">
        <f>IFERROR(Tabela_Base_Financeiro[[#This Row],[Unit Price]],0)</f>
        <v>0</v>
      </c>
      <c r="L926" s="36">
        <f>IFERROR(Tabela_Base_Financeiro[[#This Row],[AC Qty,]],0)</f>
        <v>0</v>
      </c>
      <c r="M926" s="60">
        <f>Tabela6[[#This Row],[Qty]]*Tabela6[[#This Row],[Preço]]</f>
        <v>0</v>
      </c>
      <c r="N926" s="37">
        <f>IFERROR(Tabela_Base_Financeiro[[#This Row],[Proportion]],0)</f>
        <v>0</v>
      </c>
      <c r="O926" s="60">
        <f>Tabela6[[#This Row],[Proporção]]*Tabela6[[#This Row],[Total]]</f>
        <v>0</v>
      </c>
      <c r="P926"/>
      <c r="Q926" s="59"/>
      <c r="R926" s="1"/>
    </row>
    <row r="927" spans="1:18">
      <c r="A927" s="122" t="e">
        <f>IF(VLOOKUP(Tabela6[[#This Row],[UF]],'BASE CC'!B:C,2,0)="SP",IF(Tabela6[[#This Row],[OPERADORA]]="TIM","SP TIM","SPI"),VLOOKUP(Tabela6[[#This Row],[UF]],'BASE CC'!B:C,2,0))</f>
        <v>#N/A</v>
      </c>
      <c r="B927" s="36" t="e">
        <f>VLOOKUP(Tabela_Base_Financeiro[[#This Row],[Item code]],'COD.FAT'!B:C,2,0)</f>
        <v>#N/A</v>
      </c>
      <c r="C927" s="292">
        <f>Tabela_Base_Financeiro[[#This Row],[PO Ship TO]]</f>
        <v>0</v>
      </c>
      <c r="D927" s="36" t="str">
        <f>RIGHT(Tabela_Base_Financeiro[[#This Row],[Manufacturer]],2)</f>
        <v/>
      </c>
      <c r="E92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27" s="122" t="e">
        <f>VLOOKUP(Tabela_Base_Financeiro[[#This Row],[Project Code]],'COD. PROJETOS'!B:D,3,0)</f>
        <v>#N/A</v>
      </c>
      <c r="G927" s="36">
        <f>IFERROR(Tabela_Base_Financeiro[[#This Row],[PO No,]],0)</f>
        <v>0</v>
      </c>
      <c r="H927" s="36">
        <f>IFERROR(Tabela_Base_Financeiro[[#This Row],[Line No,]],0)</f>
        <v>0</v>
      </c>
      <c r="I927" s="36" t="str">
        <f>IFERROR(MID(Tabela_Base_Financeiro[[#This Row],[Manufacturer]],19,14),"")</f>
        <v/>
      </c>
      <c r="J927" s="113">
        <f>IFERROR(Tabela_Base_Financeiro[[#This Row],[Item code]],0)</f>
        <v>0</v>
      </c>
      <c r="K927" s="293">
        <f>IFERROR(Tabela_Base_Financeiro[[#This Row],[Unit Price]],0)</f>
        <v>0</v>
      </c>
      <c r="L927" s="36">
        <f>IFERROR(Tabela_Base_Financeiro[[#This Row],[AC Qty,]],0)</f>
        <v>0</v>
      </c>
      <c r="M927" s="60">
        <f>Tabela6[[#This Row],[Qty]]*Tabela6[[#This Row],[Preço]]</f>
        <v>0</v>
      </c>
      <c r="N927" s="37">
        <f>IFERROR(Tabela_Base_Financeiro[[#This Row],[Proportion]],0)</f>
        <v>0</v>
      </c>
      <c r="O927" s="60">
        <f>Tabela6[[#This Row],[Proporção]]*Tabela6[[#This Row],[Total]]</f>
        <v>0</v>
      </c>
      <c r="P927"/>
      <c r="Q927" s="59"/>
      <c r="R927" s="1"/>
    </row>
    <row r="928" spans="1:18">
      <c r="A928" s="122" t="e">
        <f>IF(VLOOKUP(Tabela6[[#This Row],[UF]],'BASE CC'!B:C,2,0)="SP",IF(Tabela6[[#This Row],[OPERADORA]]="TIM","SP TIM","SPI"),VLOOKUP(Tabela6[[#This Row],[UF]],'BASE CC'!B:C,2,0))</f>
        <v>#N/A</v>
      </c>
      <c r="B928" s="36" t="e">
        <f>VLOOKUP(Tabela_Base_Financeiro[[#This Row],[Item code]],'COD.FAT'!B:C,2,0)</f>
        <v>#N/A</v>
      </c>
      <c r="C928" s="292">
        <f>Tabela_Base_Financeiro[[#This Row],[PO Ship TO]]</f>
        <v>0</v>
      </c>
      <c r="D928" s="36" t="str">
        <f>RIGHT(Tabela_Base_Financeiro[[#This Row],[Manufacturer]],2)</f>
        <v/>
      </c>
      <c r="E92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28" s="122" t="e">
        <f>VLOOKUP(Tabela_Base_Financeiro[[#This Row],[Project Code]],'COD. PROJETOS'!B:D,3,0)</f>
        <v>#N/A</v>
      </c>
      <c r="G928" s="36">
        <f>IFERROR(Tabela_Base_Financeiro[[#This Row],[PO No,]],0)</f>
        <v>0</v>
      </c>
      <c r="H928" s="36">
        <f>IFERROR(Tabela_Base_Financeiro[[#This Row],[Line No,]],0)</f>
        <v>0</v>
      </c>
      <c r="I928" s="36" t="str">
        <f>IFERROR(MID(Tabela_Base_Financeiro[[#This Row],[Manufacturer]],19,14),"")</f>
        <v/>
      </c>
      <c r="J928" s="113">
        <f>IFERROR(Tabela_Base_Financeiro[[#This Row],[Item code]],0)</f>
        <v>0</v>
      </c>
      <c r="K928" s="293">
        <f>IFERROR(Tabela_Base_Financeiro[[#This Row],[Unit Price]],0)</f>
        <v>0</v>
      </c>
      <c r="L928" s="36">
        <f>IFERROR(Tabela_Base_Financeiro[[#This Row],[AC Qty,]],0)</f>
        <v>0</v>
      </c>
      <c r="M928" s="60">
        <f>Tabela6[[#This Row],[Qty]]*Tabela6[[#This Row],[Preço]]</f>
        <v>0</v>
      </c>
      <c r="N928" s="37">
        <f>IFERROR(Tabela_Base_Financeiro[[#This Row],[Proportion]],0)</f>
        <v>0</v>
      </c>
      <c r="O928" s="60">
        <f>Tabela6[[#This Row],[Proporção]]*Tabela6[[#This Row],[Total]]</f>
        <v>0</v>
      </c>
      <c r="P928"/>
      <c r="Q928" s="59"/>
      <c r="R928" s="1"/>
    </row>
    <row r="929" spans="1:18">
      <c r="A929" s="122" t="e">
        <f>IF(VLOOKUP(Tabela6[[#This Row],[UF]],'BASE CC'!B:C,2,0)="SP",IF(Tabela6[[#This Row],[OPERADORA]]="TIM","SP TIM","SPI"),VLOOKUP(Tabela6[[#This Row],[UF]],'BASE CC'!B:C,2,0))</f>
        <v>#N/A</v>
      </c>
      <c r="B929" s="36" t="e">
        <f>VLOOKUP(Tabela_Base_Financeiro[[#This Row],[Item code]],'COD.FAT'!B:C,2,0)</f>
        <v>#N/A</v>
      </c>
      <c r="C929" s="292">
        <f>Tabela_Base_Financeiro[[#This Row],[PO Ship TO]]</f>
        <v>0</v>
      </c>
      <c r="D929" s="36" t="str">
        <f>RIGHT(Tabela_Base_Financeiro[[#This Row],[Manufacturer]],2)</f>
        <v/>
      </c>
      <c r="E92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29" s="122" t="e">
        <f>VLOOKUP(Tabela_Base_Financeiro[[#This Row],[Project Code]],'COD. PROJETOS'!B:D,3,0)</f>
        <v>#N/A</v>
      </c>
      <c r="G929" s="36">
        <f>IFERROR(Tabela_Base_Financeiro[[#This Row],[PO No,]],0)</f>
        <v>0</v>
      </c>
      <c r="H929" s="36">
        <f>IFERROR(Tabela_Base_Financeiro[[#This Row],[Line No,]],0)</f>
        <v>0</v>
      </c>
      <c r="I929" s="36" t="str">
        <f>IFERROR(MID(Tabela_Base_Financeiro[[#This Row],[Manufacturer]],19,14),"")</f>
        <v/>
      </c>
      <c r="J929" s="113">
        <f>IFERROR(Tabela_Base_Financeiro[[#This Row],[Item code]],0)</f>
        <v>0</v>
      </c>
      <c r="K929" s="293">
        <f>IFERROR(Tabela_Base_Financeiro[[#This Row],[Unit Price]],0)</f>
        <v>0</v>
      </c>
      <c r="L929" s="36">
        <f>IFERROR(Tabela_Base_Financeiro[[#This Row],[AC Qty,]],0)</f>
        <v>0</v>
      </c>
      <c r="M929" s="60">
        <f>Tabela6[[#This Row],[Qty]]*Tabela6[[#This Row],[Preço]]</f>
        <v>0</v>
      </c>
      <c r="N929" s="37">
        <f>IFERROR(Tabela_Base_Financeiro[[#This Row],[Proportion]],0)</f>
        <v>0</v>
      </c>
      <c r="O929" s="60">
        <f>Tabela6[[#This Row],[Proporção]]*Tabela6[[#This Row],[Total]]</f>
        <v>0</v>
      </c>
      <c r="P929"/>
      <c r="Q929" s="59"/>
      <c r="R929" s="1"/>
    </row>
    <row r="930" spans="1:18">
      <c r="A930" s="122" t="e">
        <f>IF(VLOOKUP(Tabela6[[#This Row],[UF]],'BASE CC'!B:C,2,0)="SP",IF(Tabela6[[#This Row],[OPERADORA]]="TIM","SP TIM","SPI"),VLOOKUP(Tabela6[[#This Row],[UF]],'BASE CC'!B:C,2,0))</f>
        <v>#N/A</v>
      </c>
      <c r="B930" s="36" t="e">
        <f>VLOOKUP(Tabela_Base_Financeiro[[#This Row],[Item code]],'COD.FAT'!B:C,2,0)</f>
        <v>#N/A</v>
      </c>
      <c r="C930" s="292">
        <f>Tabela_Base_Financeiro[[#This Row],[PO Ship TO]]</f>
        <v>0</v>
      </c>
      <c r="D930" s="36" t="str">
        <f>RIGHT(Tabela_Base_Financeiro[[#This Row],[Manufacturer]],2)</f>
        <v/>
      </c>
      <c r="E93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30" s="122" t="e">
        <f>VLOOKUP(Tabela_Base_Financeiro[[#This Row],[Project Code]],'COD. PROJETOS'!B:D,3,0)</f>
        <v>#N/A</v>
      </c>
      <c r="G930" s="36">
        <f>IFERROR(Tabela_Base_Financeiro[[#This Row],[PO No,]],0)</f>
        <v>0</v>
      </c>
      <c r="H930" s="36">
        <f>IFERROR(Tabela_Base_Financeiro[[#This Row],[Line No,]],0)</f>
        <v>0</v>
      </c>
      <c r="I930" s="36" t="str">
        <f>IFERROR(MID(Tabela_Base_Financeiro[[#This Row],[Manufacturer]],19,14),"")</f>
        <v/>
      </c>
      <c r="J930" s="113">
        <f>IFERROR(Tabela_Base_Financeiro[[#This Row],[Item code]],0)</f>
        <v>0</v>
      </c>
      <c r="K930" s="293">
        <f>IFERROR(Tabela_Base_Financeiro[[#This Row],[Unit Price]],0)</f>
        <v>0</v>
      </c>
      <c r="L930" s="36">
        <f>IFERROR(Tabela_Base_Financeiro[[#This Row],[AC Qty,]],0)</f>
        <v>0</v>
      </c>
      <c r="M930" s="60">
        <f>Tabela6[[#This Row],[Qty]]*Tabela6[[#This Row],[Preço]]</f>
        <v>0</v>
      </c>
      <c r="N930" s="37">
        <f>IFERROR(Tabela_Base_Financeiro[[#This Row],[Proportion]],0)</f>
        <v>0</v>
      </c>
      <c r="O930" s="60">
        <f>Tabela6[[#This Row],[Proporção]]*Tabela6[[#This Row],[Total]]</f>
        <v>0</v>
      </c>
      <c r="P930"/>
      <c r="Q930" s="59"/>
      <c r="R930" s="1"/>
    </row>
    <row r="931" spans="1:18">
      <c r="A931" s="122" t="e">
        <f>IF(VLOOKUP(Tabela6[[#This Row],[UF]],'BASE CC'!B:C,2,0)="SP",IF(Tabela6[[#This Row],[OPERADORA]]="TIM","SP TIM","SPI"),VLOOKUP(Tabela6[[#This Row],[UF]],'BASE CC'!B:C,2,0))</f>
        <v>#N/A</v>
      </c>
      <c r="B931" s="36" t="e">
        <f>VLOOKUP(Tabela_Base_Financeiro[[#This Row],[Item code]],'COD.FAT'!B:C,2,0)</f>
        <v>#N/A</v>
      </c>
      <c r="C931" s="292">
        <f>Tabela_Base_Financeiro[[#This Row],[PO Ship TO]]</f>
        <v>0</v>
      </c>
      <c r="D931" s="36" t="str">
        <f>RIGHT(Tabela_Base_Financeiro[[#This Row],[Manufacturer]],2)</f>
        <v/>
      </c>
      <c r="E93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31" s="122" t="e">
        <f>VLOOKUP(Tabela_Base_Financeiro[[#This Row],[Project Code]],'COD. PROJETOS'!B:D,3,0)</f>
        <v>#N/A</v>
      </c>
      <c r="G931" s="36">
        <f>IFERROR(Tabela_Base_Financeiro[[#This Row],[PO No,]],0)</f>
        <v>0</v>
      </c>
      <c r="H931" s="36">
        <f>IFERROR(Tabela_Base_Financeiro[[#This Row],[Line No,]],0)</f>
        <v>0</v>
      </c>
      <c r="I931" s="36" t="str">
        <f>IFERROR(MID(Tabela_Base_Financeiro[[#This Row],[Manufacturer]],19,14),"")</f>
        <v/>
      </c>
      <c r="J931" s="113">
        <f>IFERROR(Tabela_Base_Financeiro[[#This Row],[Item code]],0)</f>
        <v>0</v>
      </c>
      <c r="K931" s="293">
        <f>IFERROR(Tabela_Base_Financeiro[[#This Row],[Unit Price]],0)</f>
        <v>0</v>
      </c>
      <c r="L931" s="36">
        <f>IFERROR(Tabela_Base_Financeiro[[#This Row],[AC Qty,]],0)</f>
        <v>0</v>
      </c>
      <c r="M931" s="60">
        <f>Tabela6[[#This Row],[Qty]]*Tabela6[[#This Row],[Preço]]</f>
        <v>0</v>
      </c>
      <c r="N931" s="37">
        <f>IFERROR(Tabela_Base_Financeiro[[#This Row],[Proportion]],0)</f>
        <v>0</v>
      </c>
      <c r="O931" s="60">
        <f>Tabela6[[#This Row],[Proporção]]*Tabela6[[#This Row],[Total]]</f>
        <v>0</v>
      </c>
      <c r="P931"/>
      <c r="Q931" s="59"/>
      <c r="R931" s="1"/>
    </row>
    <row r="932" spans="1:18">
      <c r="A932" s="122" t="e">
        <f>IF(VLOOKUP(Tabela6[[#This Row],[UF]],'BASE CC'!B:C,2,0)="SP",IF(Tabela6[[#This Row],[OPERADORA]]="TIM","SP TIM","SPI"),VLOOKUP(Tabela6[[#This Row],[UF]],'BASE CC'!B:C,2,0))</f>
        <v>#N/A</v>
      </c>
      <c r="B932" s="36" t="e">
        <f>VLOOKUP(Tabela_Base_Financeiro[[#This Row],[Item code]],'COD.FAT'!B:C,2,0)</f>
        <v>#N/A</v>
      </c>
      <c r="C932" s="292">
        <f>Tabela_Base_Financeiro[[#This Row],[PO Ship TO]]</f>
        <v>0</v>
      </c>
      <c r="D932" s="36" t="str">
        <f>RIGHT(Tabela_Base_Financeiro[[#This Row],[Manufacturer]],2)</f>
        <v/>
      </c>
      <c r="E93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32" s="122" t="e">
        <f>VLOOKUP(Tabela_Base_Financeiro[[#This Row],[Project Code]],'COD. PROJETOS'!B:D,3,0)</f>
        <v>#N/A</v>
      </c>
      <c r="G932" s="36">
        <f>IFERROR(Tabela_Base_Financeiro[[#This Row],[PO No,]],0)</f>
        <v>0</v>
      </c>
      <c r="H932" s="36">
        <f>IFERROR(Tabela_Base_Financeiro[[#This Row],[Line No,]],0)</f>
        <v>0</v>
      </c>
      <c r="I932" s="36" t="str">
        <f>IFERROR(MID(Tabela_Base_Financeiro[[#This Row],[Manufacturer]],19,14),"")</f>
        <v/>
      </c>
      <c r="J932" s="113">
        <f>IFERROR(Tabela_Base_Financeiro[[#This Row],[Item code]],0)</f>
        <v>0</v>
      </c>
      <c r="K932" s="293">
        <f>IFERROR(Tabela_Base_Financeiro[[#This Row],[Unit Price]],0)</f>
        <v>0</v>
      </c>
      <c r="L932" s="36">
        <f>IFERROR(Tabela_Base_Financeiro[[#This Row],[AC Qty,]],0)</f>
        <v>0</v>
      </c>
      <c r="M932" s="60">
        <f>Tabela6[[#This Row],[Qty]]*Tabela6[[#This Row],[Preço]]</f>
        <v>0</v>
      </c>
      <c r="N932" s="37">
        <f>IFERROR(Tabela_Base_Financeiro[[#This Row],[Proportion]],0)</f>
        <v>0</v>
      </c>
      <c r="O932" s="60">
        <f>Tabela6[[#This Row],[Proporção]]*Tabela6[[#This Row],[Total]]</f>
        <v>0</v>
      </c>
      <c r="P932"/>
      <c r="Q932" s="59"/>
      <c r="R932" s="1"/>
    </row>
    <row r="933" spans="1:18">
      <c r="A933" s="122" t="e">
        <f>IF(VLOOKUP(Tabela6[[#This Row],[UF]],'BASE CC'!B:C,2,0)="SP",IF(Tabela6[[#This Row],[OPERADORA]]="TIM","SP TIM","SPI"),VLOOKUP(Tabela6[[#This Row],[UF]],'BASE CC'!B:C,2,0))</f>
        <v>#N/A</v>
      </c>
      <c r="B933" s="36" t="e">
        <f>VLOOKUP(Tabela_Base_Financeiro[[#This Row],[Item code]],'COD.FAT'!B:C,2,0)</f>
        <v>#N/A</v>
      </c>
      <c r="C933" s="292">
        <f>Tabela_Base_Financeiro[[#This Row],[PO Ship TO]]</f>
        <v>0</v>
      </c>
      <c r="D933" s="36" t="str">
        <f>RIGHT(Tabela_Base_Financeiro[[#This Row],[Manufacturer]],2)</f>
        <v/>
      </c>
      <c r="E93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33" s="122" t="e">
        <f>VLOOKUP(Tabela_Base_Financeiro[[#This Row],[Project Code]],'COD. PROJETOS'!B:D,3,0)</f>
        <v>#N/A</v>
      </c>
      <c r="G933" s="36">
        <f>IFERROR(Tabela_Base_Financeiro[[#This Row],[PO No,]],0)</f>
        <v>0</v>
      </c>
      <c r="H933" s="36">
        <f>IFERROR(Tabela_Base_Financeiro[[#This Row],[Line No,]],0)</f>
        <v>0</v>
      </c>
      <c r="I933" s="36" t="str">
        <f>IFERROR(MID(Tabela_Base_Financeiro[[#This Row],[Manufacturer]],19,14),"")</f>
        <v/>
      </c>
      <c r="J933" s="113">
        <f>IFERROR(Tabela_Base_Financeiro[[#This Row],[Item code]],0)</f>
        <v>0</v>
      </c>
      <c r="K933" s="293">
        <f>IFERROR(Tabela_Base_Financeiro[[#This Row],[Unit Price]],0)</f>
        <v>0</v>
      </c>
      <c r="L933" s="36">
        <f>IFERROR(Tabela_Base_Financeiro[[#This Row],[AC Qty,]],0)</f>
        <v>0</v>
      </c>
      <c r="M933" s="60">
        <f>Tabela6[[#This Row],[Qty]]*Tabela6[[#This Row],[Preço]]</f>
        <v>0</v>
      </c>
      <c r="N933" s="37">
        <f>IFERROR(Tabela_Base_Financeiro[[#This Row],[Proportion]],0)</f>
        <v>0</v>
      </c>
      <c r="O933" s="60">
        <f>Tabela6[[#This Row],[Proporção]]*Tabela6[[#This Row],[Total]]</f>
        <v>0</v>
      </c>
      <c r="P933"/>
      <c r="Q933" s="59"/>
      <c r="R933" s="1"/>
    </row>
    <row r="934" spans="1:18">
      <c r="A934" s="122" t="e">
        <f>IF(VLOOKUP(Tabela6[[#This Row],[UF]],'BASE CC'!B:C,2,0)="SP",IF(Tabela6[[#This Row],[OPERADORA]]="TIM","SP TIM","SPI"),VLOOKUP(Tabela6[[#This Row],[UF]],'BASE CC'!B:C,2,0))</f>
        <v>#N/A</v>
      </c>
      <c r="B934" s="36" t="e">
        <f>VLOOKUP(Tabela_Base_Financeiro[[#This Row],[Item code]],'COD.FAT'!B:C,2,0)</f>
        <v>#N/A</v>
      </c>
      <c r="C934" s="292">
        <f>Tabela_Base_Financeiro[[#This Row],[PO Ship TO]]</f>
        <v>0</v>
      </c>
      <c r="D934" s="36" t="str">
        <f>RIGHT(Tabela_Base_Financeiro[[#This Row],[Manufacturer]],2)</f>
        <v/>
      </c>
      <c r="E93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34" s="122" t="e">
        <f>VLOOKUP(Tabela_Base_Financeiro[[#This Row],[Project Code]],'COD. PROJETOS'!B:D,3,0)</f>
        <v>#N/A</v>
      </c>
      <c r="G934" s="36">
        <f>IFERROR(Tabela_Base_Financeiro[[#This Row],[PO No,]],0)</f>
        <v>0</v>
      </c>
      <c r="H934" s="36">
        <f>IFERROR(Tabela_Base_Financeiro[[#This Row],[Line No,]],0)</f>
        <v>0</v>
      </c>
      <c r="I934" s="36" t="str">
        <f>IFERROR(MID(Tabela_Base_Financeiro[[#This Row],[Manufacturer]],19,14),"")</f>
        <v/>
      </c>
      <c r="J934" s="113">
        <f>IFERROR(Tabela_Base_Financeiro[[#This Row],[Item code]],0)</f>
        <v>0</v>
      </c>
      <c r="K934" s="293">
        <f>IFERROR(Tabela_Base_Financeiro[[#This Row],[Unit Price]],0)</f>
        <v>0</v>
      </c>
      <c r="L934" s="36">
        <f>IFERROR(Tabela_Base_Financeiro[[#This Row],[AC Qty,]],0)</f>
        <v>0</v>
      </c>
      <c r="M934" s="60">
        <f>Tabela6[[#This Row],[Qty]]*Tabela6[[#This Row],[Preço]]</f>
        <v>0</v>
      </c>
      <c r="N934" s="37">
        <f>IFERROR(Tabela_Base_Financeiro[[#This Row],[Proportion]],0)</f>
        <v>0</v>
      </c>
      <c r="O934" s="60">
        <f>Tabela6[[#This Row],[Proporção]]*Tabela6[[#This Row],[Total]]</f>
        <v>0</v>
      </c>
      <c r="P934"/>
      <c r="Q934" s="59"/>
      <c r="R934" s="1"/>
    </row>
    <row r="935" spans="1:18">
      <c r="A935" s="122" t="e">
        <f>IF(VLOOKUP(Tabela6[[#This Row],[UF]],'BASE CC'!B:C,2,0)="SP",IF(Tabela6[[#This Row],[OPERADORA]]="TIM","SP TIM","SPI"),VLOOKUP(Tabela6[[#This Row],[UF]],'BASE CC'!B:C,2,0))</f>
        <v>#N/A</v>
      </c>
      <c r="B935" s="36" t="e">
        <f>VLOOKUP(Tabela_Base_Financeiro[[#This Row],[Item code]],'COD.FAT'!B:C,2,0)</f>
        <v>#N/A</v>
      </c>
      <c r="C935" s="292">
        <f>Tabela_Base_Financeiro[[#This Row],[PO Ship TO]]</f>
        <v>0</v>
      </c>
      <c r="D935" s="36" t="str">
        <f>RIGHT(Tabela_Base_Financeiro[[#This Row],[Manufacturer]],2)</f>
        <v/>
      </c>
      <c r="E93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35" s="122" t="e">
        <f>VLOOKUP(Tabela_Base_Financeiro[[#This Row],[Project Code]],'COD. PROJETOS'!B:D,3,0)</f>
        <v>#N/A</v>
      </c>
      <c r="G935" s="36">
        <f>IFERROR(Tabela_Base_Financeiro[[#This Row],[PO No,]],0)</f>
        <v>0</v>
      </c>
      <c r="H935" s="36">
        <f>IFERROR(Tabela_Base_Financeiro[[#This Row],[Line No,]],0)</f>
        <v>0</v>
      </c>
      <c r="I935" s="36" t="str">
        <f>IFERROR(MID(Tabela_Base_Financeiro[[#This Row],[Manufacturer]],19,14),"")</f>
        <v/>
      </c>
      <c r="J935" s="113">
        <f>IFERROR(Tabela_Base_Financeiro[[#This Row],[Item code]],0)</f>
        <v>0</v>
      </c>
      <c r="K935" s="293">
        <f>IFERROR(Tabela_Base_Financeiro[[#This Row],[Unit Price]],0)</f>
        <v>0</v>
      </c>
      <c r="L935" s="36">
        <f>IFERROR(Tabela_Base_Financeiro[[#This Row],[AC Qty,]],0)</f>
        <v>0</v>
      </c>
      <c r="M935" s="60">
        <f>Tabela6[[#This Row],[Qty]]*Tabela6[[#This Row],[Preço]]</f>
        <v>0</v>
      </c>
      <c r="N935" s="37">
        <f>IFERROR(Tabela_Base_Financeiro[[#This Row],[Proportion]],0)</f>
        <v>0</v>
      </c>
      <c r="O935" s="60">
        <f>Tabela6[[#This Row],[Proporção]]*Tabela6[[#This Row],[Total]]</f>
        <v>0</v>
      </c>
      <c r="P935"/>
      <c r="Q935" s="59"/>
      <c r="R935" s="1"/>
    </row>
    <row r="936" spans="1:18">
      <c r="A936" s="122" t="e">
        <f>IF(VLOOKUP(Tabela6[[#This Row],[UF]],'BASE CC'!B:C,2,0)="SP",IF(Tabela6[[#This Row],[OPERADORA]]="TIM","SP TIM","SPI"),VLOOKUP(Tabela6[[#This Row],[UF]],'BASE CC'!B:C,2,0))</f>
        <v>#N/A</v>
      </c>
      <c r="B936" s="36" t="e">
        <f>VLOOKUP(Tabela_Base_Financeiro[[#This Row],[Item code]],'COD.FAT'!B:C,2,0)</f>
        <v>#N/A</v>
      </c>
      <c r="C936" s="292">
        <f>Tabela_Base_Financeiro[[#This Row],[PO Ship TO]]</f>
        <v>0</v>
      </c>
      <c r="D936" s="36" t="str">
        <f>RIGHT(Tabela_Base_Financeiro[[#This Row],[Manufacturer]],2)</f>
        <v/>
      </c>
      <c r="E93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36" s="122" t="e">
        <f>VLOOKUP(Tabela_Base_Financeiro[[#This Row],[Project Code]],'COD. PROJETOS'!B:D,3,0)</f>
        <v>#N/A</v>
      </c>
      <c r="G936" s="36">
        <f>IFERROR(Tabela_Base_Financeiro[[#This Row],[PO No,]],0)</f>
        <v>0</v>
      </c>
      <c r="H936" s="36">
        <f>IFERROR(Tabela_Base_Financeiro[[#This Row],[Line No,]],0)</f>
        <v>0</v>
      </c>
      <c r="I936" s="36" t="str">
        <f>IFERROR(MID(Tabela_Base_Financeiro[[#This Row],[Manufacturer]],19,14),"")</f>
        <v/>
      </c>
      <c r="J936" s="113">
        <f>IFERROR(Tabela_Base_Financeiro[[#This Row],[Item code]],0)</f>
        <v>0</v>
      </c>
      <c r="K936" s="293">
        <f>IFERROR(Tabela_Base_Financeiro[[#This Row],[Unit Price]],0)</f>
        <v>0</v>
      </c>
      <c r="L936" s="36">
        <f>IFERROR(Tabela_Base_Financeiro[[#This Row],[AC Qty,]],0)</f>
        <v>0</v>
      </c>
      <c r="M936" s="60">
        <f>Tabela6[[#This Row],[Qty]]*Tabela6[[#This Row],[Preço]]</f>
        <v>0</v>
      </c>
      <c r="N936" s="37">
        <f>IFERROR(Tabela_Base_Financeiro[[#This Row],[Proportion]],0)</f>
        <v>0</v>
      </c>
      <c r="O936" s="60">
        <f>Tabela6[[#This Row],[Proporção]]*Tabela6[[#This Row],[Total]]</f>
        <v>0</v>
      </c>
      <c r="P936"/>
      <c r="Q936" s="59"/>
      <c r="R936" s="1"/>
    </row>
    <row r="937" spans="1:18">
      <c r="A937" s="122" t="e">
        <f>IF(VLOOKUP(Tabela6[[#This Row],[UF]],'BASE CC'!B:C,2,0)="SP",IF(Tabela6[[#This Row],[OPERADORA]]="TIM","SP TIM","SPI"),VLOOKUP(Tabela6[[#This Row],[UF]],'BASE CC'!B:C,2,0))</f>
        <v>#N/A</v>
      </c>
      <c r="B937" s="36" t="e">
        <f>VLOOKUP(Tabela_Base_Financeiro[[#This Row],[Item code]],'COD.FAT'!B:C,2,0)</f>
        <v>#N/A</v>
      </c>
      <c r="C937" s="292">
        <f>Tabela_Base_Financeiro[[#This Row],[PO Ship TO]]</f>
        <v>0</v>
      </c>
      <c r="D937" s="36" t="str">
        <f>RIGHT(Tabela_Base_Financeiro[[#This Row],[Manufacturer]],2)</f>
        <v/>
      </c>
      <c r="E93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37" s="122" t="e">
        <f>VLOOKUP(Tabela_Base_Financeiro[[#This Row],[Project Code]],'COD. PROJETOS'!B:D,3,0)</f>
        <v>#N/A</v>
      </c>
      <c r="G937" s="36">
        <f>IFERROR(Tabela_Base_Financeiro[[#This Row],[PO No,]],0)</f>
        <v>0</v>
      </c>
      <c r="H937" s="36">
        <f>IFERROR(Tabela_Base_Financeiro[[#This Row],[Line No,]],0)</f>
        <v>0</v>
      </c>
      <c r="I937" s="36" t="str">
        <f>IFERROR(MID(Tabela_Base_Financeiro[[#This Row],[Manufacturer]],19,14),"")</f>
        <v/>
      </c>
      <c r="J937" s="113">
        <f>IFERROR(Tabela_Base_Financeiro[[#This Row],[Item code]],0)</f>
        <v>0</v>
      </c>
      <c r="K937" s="293">
        <f>IFERROR(Tabela_Base_Financeiro[[#This Row],[Unit Price]],0)</f>
        <v>0</v>
      </c>
      <c r="L937" s="36">
        <f>IFERROR(Tabela_Base_Financeiro[[#This Row],[AC Qty,]],0)</f>
        <v>0</v>
      </c>
      <c r="M937" s="60">
        <f>Tabela6[[#This Row],[Qty]]*Tabela6[[#This Row],[Preço]]</f>
        <v>0</v>
      </c>
      <c r="N937" s="37">
        <f>IFERROR(Tabela_Base_Financeiro[[#This Row],[Proportion]],0)</f>
        <v>0</v>
      </c>
      <c r="O937" s="60">
        <f>Tabela6[[#This Row],[Proporção]]*Tabela6[[#This Row],[Total]]</f>
        <v>0</v>
      </c>
      <c r="P937"/>
      <c r="Q937" s="59"/>
      <c r="R937" s="1"/>
    </row>
    <row r="938" spans="1:18">
      <c r="A938" s="122" t="e">
        <f>IF(VLOOKUP(Tabela6[[#This Row],[UF]],'BASE CC'!B:C,2,0)="SP",IF(Tabela6[[#This Row],[OPERADORA]]="TIM","SP TIM","SPI"),VLOOKUP(Tabela6[[#This Row],[UF]],'BASE CC'!B:C,2,0))</f>
        <v>#N/A</v>
      </c>
      <c r="B938" s="36" t="e">
        <f>VLOOKUP(Tabela_Base_Financeiro[[#This Row],[Item code]],'COD.FAT'!B:C,2,0)</f>
        <v>#N/A</v>
      </c>
      <c r="C938" s="292">
        <f>Tabela_Base_Financeiro[[#This Row],[PO Ship TO]]</f>
        <v>0</v>
      </c>
      <c r="D938" s="36" t="str">
        <f>RIGHT(Tabela_Base_Financeiro[[#This Row],[Manufacturer]],2)</f>
        <v/>
      </c>
      <c r="E93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38" s="122" t="e">
        <f>VLOOKUP(Tabela_Base_Financeiro[[#This Row],[Project Code]],'COD. PROJETOS'!B:D,3,0)</f>
        <v>#N/A</v>
      </c>
      <c r="G938" s="36">
        <f>IFERROR(Tabela_Base_Financeiro[[#This Row],[PO No,]],0)</f>
        <v>0</v>
      </c>
      <c r="H938" s="36">
        <f>IFERROR(Tabela_Base_Financeiro[[#This Row],[Line No,]],0)</f>
        <v>0</v>
      </c>
      <c r="I938" s="36" t="str">
        <f>IFERROR(MID(Tabela_Base_Financeiro[[#This Row],[Manufacturer]],19,14),"")</f>
        <v/>
      </c>
      <c r="J938" s="113">
        <f>IFERROR(Tabela_Base_Financeiro[[#This Row],[Item code]],0)</f>
        <v>0</v>
      </c>
      <c r="K938" s="293">
        <f>IFERROR(Tabela_Base_Financeiro[[#This Row],[Unit Price]],0)</f>
        <v>0</v>
      </c>
      <c r="L938" s="36">
        <f>IFERROR(Tabela_Base_Financeiro[[#This Row],[AC Qty,]],0)</f>
        <v>0</v>
      </c>
      <c r="M938" s="60">
        <f>Tabela6[[#This Row],[Qty]]*Tabela6[[#This Row],[Preço]]</f>
        <v>0</v>
      </c>
      <c r="N938" s="37">
        <f>IFERROR(Tabela_Base_Financeiro[[#This Row],[Proportion]],0)</f>
        <v>0</v>
      </c>
      <c r="O938" s="60">
        <f>Tabela6[[#This Row],[Proporção]]*Tabela6[[#This Row],[Total]]</f>
        <v>0</v>
      </c>
      <c r="P938"/>
      <c r="Q938" s="59"/>
      <c r="R938" s="1"/>
    </row>
    <row r="939" spans="1:18">
      <c r="A939" s="122" t="e">
        <f>IF(VLOOKUP(Tabela6[[#This Row],[UF]],'BASE CC'!B:C,2,0)="SP",IF(Tabela6[[#This Row],[OPERADORA]]="TIM","SP TIM","SPI"),VLOOKUP(Tabela6[[#This Row],[UF]],'BASE CC'!B:C,2,0))</f>
        <v>#N/A</v>
      </c>
      <c r="B939" s="36" t="e">
        <f>VLOOKUP(Tabela_Base_Financeiro[[#This Row],[Item code]],'COD.FAT'!B:C,2,0)</f>
        <v>#N/A</v>
      </c>
      <c r="C939" s="292">
        <f>Tabela_Base_Financeiro[[#This Row],[PO Ship TO]]</f>
        <v>0</v>
      </c>
      <c r="D939" s="36" t="str">
        <f>RIGHT(Tabela_Base_Financeiro[[#This Row],[Manufacturer]],2)</f>
        <v/>
      </c>
      <c r="E93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39" s="122" t="e">
        <f>VLOOKUP(Tabela_Base_Financeiro[[#This Row],[Project Code]],'COD. PROJETOS'!B:D,3,0)</f>
        <v>#N/A</v>
      </c>
      <c r="G939" s="36">
        <f>IFERROR(Tabela_Base_Financeiro[[#This Row],[PO No,]],0)</f>
        <v>0</v>
      </c>
      <c r="H939" s="36">
        <f>IFERROR(Tabela_Base_Financeiro[[#This Row],[Line No,]],0)</f>
        <v>0</v>
      </c>
      <c r="I939" s="36" t="str">
        <f>IFERROR(MID(Tabela_Base_Financeiro[[#This Row],[Manufacturer]],19,14),"")</f>
        <v/>
      </c>
      <c r="J939" s="113">
        <f>IFERROR(Tabela_Base_Financeiro[[#This Row],[Item code]],0)</f>
        <v>0</v>
      </c>
      <c r="K939" s="293">
        <f>IFERROR(Tabela_Base_Financeiro[[#This Row],[Unit Price]],0)</f>
        <v>0</v>
      </c>
      <c r="L939" s="36">
        <f>IFERROR(Tabela_Base_Financeiro[[#This Row],[AC Qty,]],0)</f>
        <v>0</v>
      </c>
      <c r="M939" s="60">
        <f>Tabela6[[#This Row],[Qty]]*Tabela6[[#This Row],[Preço]]</f>
        <v>0</v>
      </c>
      <c r="N939" s="37">
        <f>IFERROR(Tabela_Base_Financeiro[[#This Row],[Proportion]],0)</f>
        <v>0</v>
      </c>
      <c r="O939" s="60">
        <f>Tabela6[[#This Row],[Proporção]]*Tabela6[[#This Row],[Total]]</f>
        <v>0</v>
      </c>
      <c r="P939"/>
      <c r="Q939" s="59"/>
      <c r="R939" s="1"/>
    </row>
    <row r="940" spans="1:18">
      <c r="A940" s="122" t="e">
        <f>IF(VLOOKUP(Tabela6[[#This Row],[UF]],'BASE CC'!B:C,2,0)="SP",IF(Tabela6[[#This Row],[OPERADORA]]="TIM","SP TIM","SPI"),VLOOKUP(Tabela6[[#This Row],[UF]],'BASE CC'!B:C,2,0))</f>
        <v>#N/A</v>
      </c>
      <c r="B940" s="36" t="e">
        <f>VLOOKUP(Tabela_Base_Financeiro[[#This Row],[Item code]],'COD.FAT'!B:C,2,0)</f>
        <v>#N/A</v>
      </c>
      <c r="C940" s="292">
        <f>Tabela_Base_Financeiro[[#This Row],[PO Ship TO]]</f>
        <v>0</v>
      </c>
      <c r="D940" s="36" t="str">
        <f>RIGHT(Tabela_Base_Financeiro[[#This Row],[Manufacturer]],2)</f>
        <v/>
      </c>
      <c r="E94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40" s="122" t="e">
        <f>VLOOKUP(Tabela_Base_Financeiro[[#This Row],[Project Code]],'COD. PROJETOS'!B:D,3,0)</f>
        <v>#N/A</v>
      </c>
      <c r="G940" s="36">
        <f>IFERROR(Tabela_Base_Financeiro[[#This Row],[PO No,]],0)</f>
        <v>0</v>
      </c>
      <c r="H940" s="36">
        <f>IFERROR(Tabela_Base_Financeiro[[#This Row],[Line No,]],0)</f>
        <v>0</v>
      </c>
      <c r="I940" s="36" t="str">
        <f>IFERROR(MID(Tabela_Base_Financeiro[[#This Row],[Manufacturer]],19,14),"")</f>
        <v/>
      </c>
      <c r="J940" s="113">
        <f>IFERROR(Tabela_Base_Financeiro[[#This Row],[Item code]],0)</f>
        <v>0</v>
      </c>
      <c r="K940" s="293">
        <f>IFERROR(Tabela_Base_Financeiro[[#This Row],[Unit Price]],0)</f>
        <v>0</v>
      </c>
      <c r="L940" s="36">
        <f>IFERROR(Tabela_Base_Financeiro[[#This Row],[AC Qty,]],0)</f>
        <v>0</v>
      </c>
      <c r="M940" s="60">
        <f>Tabela6[[#This Row],[Qty]]*Tabela6[[#This Row],[Preço]]</f>
        <v>0</v>
      </c>
      <c r="N940" s="37">
        <f>IFERROR(Tabela_Base_Financeiro[[#This Row],[Proportion]],0)</f>
        <v>0</v>
      </c>
      <c r="O940" s="60">
        <f>Tabela6[[#This Row],[Proporção]]*Tabela6[[#This Row],[Total]]</f>
        <v>0</v>
      </c>
      <c r="P940"/>
      <c r="Q940" s="59"/>
      <c r="R940" s="1"/>
    </row>
    <row r="941" spans="1:18">
      <c r="A941" s="122" t="e">
        <f>IF(VLOOKUP(Tabela6[[#This Row],[UF]],'BASE CC'!B:C,2,0)="SP",IF(Tabela6[[#This Row],[OPERADORA]]="TIM","SP TIM","SPI"),VLOOKUP(Tabela6[[#This Row],[UF]],'BASE CC'!B:C,2,0))</f>
        <v>#N/A</v>
      </c>
      <c r="B941" s="36" t="e">
        <f>VLOOKUP(Tabela_Base_Financeiro[[#This Row],[Item code]],'COD.FAT'!B:C,2,0)</f>
        <v>#N/A</v>
      </c>
      <c r="C941" s="292">
        <f>Tabela_Base_Financeiro[[#This Row],[PO Ship TO]]</f>
        <v>0</v>
      </c>
      <c r="D941" s="36" t="str">
        <f>RIGHT(Tabela_Base_Financeiro[[#This Row],[Manufacturer]],2)</f>
        <v/>
      </c>
      <c r="E94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41" s="122" t="e">
        <f>VLOOKUP(Tabela_Base_Financeiro[[#This Row],[Project Code]],'COD. PROJETOS'!B:D,3,0)</f>
        <v>#N/A</v>
      </c>
      <c r="G941" s="36">
        <f>IFERROR(Tabela_Base_Financeiro[[#This Row],[PO No,]],0)</f>
        <v>0</v>
      </c>
      <c r="H941" s="36">
        <f>IFERROR(Tabela_Base_Financeiro[[#This Row],[Line No,]],0)</f>
        <v>0</v>
      </c>
      <c r="I941" s="36" t="str">
        <f>IFERROR(MID(Tabela_Base_Financeiro[[#This Row],[Manufacturer]],19,14),"")</f>
        <v/>
      </c>
      <c r="J941" s="113">
        <f>IFERROR(Tabela_Base_Financeiro[[#This Row],[Item code]],0)</f>
        <v>0</v>
      </c>
      <c r="K941" s="293">
        <f>IFERROR(Tabela_Base_Financeiro[[#This Row],[Unit Price]],0)</f>
        <v>0</v>
      </c>
      <c r="L941" s="36">
        <f>IFERROR(Tabela_Base_Financeiro[[#This Row],[AC Qty,]],0)</f>
        <v>0</v>
      </c>
      <c r="M941" s="60">
        <f>Tabela6[[#This Row],[Qty]]*Tabela6[[#This Row],[Preço]]</f>
        <v>0</v>
      </c>
      <c r="N941" s="37">
        <f>IFERROR(Tabela_Base_Financeiro[[#This Row],[Proportion]],0)</f>
        <v>0</v>
      </c>
      <c r="O941" s="60">
        <f>Tabela6[[#This Row],[Proporção]]*Tabela6[[#This Row],[Total]]</f>
        <v>0</v>
      </c>
      <c r="P941"/>
      <c r="Q941" s="59"/>
      <c r="R941" s="1"/>
    </row>
    <row r="942" spans="1:18">
      <c r="A942" s="122" t="e">
        <f>IF(VLOOKUP(Tabela6[[#This Row],[UF]],'BASE CC'!B:C,2,0)="SP",IF(Tabela6[[#This Row],[OPERADORA]]="TIM","SP TIM","SPI"),VLOOKUP(Tabela6[[#This Row],[UF]],'BASE CC'!B:C,2,0))</f>
        <v>#N/A</v>
      </c>
      <c r="B942" s="36" t="e">
        <f>VLOOKUP(Tabela_Base_Financeiro[[#This Row],[Item code]],'COD.FAT'!B:C,2,0)</f>
        <v>#N/A</v>
      </c>
      <c r="C942" s="292">
        <f>Tabela_Base_Financeiro[[#This Row],[PO Ship TO]]</f>
        <v>0</v>
      </c>
      <c r="D942" s="36" t="str">
        <f>RIGHT(Tabela_Base_Financeiro[[#This Row],[Manufacturer]],2)</f>
        <v/>
      </c>
      <c r="E94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42" s="122" t="e">
        <f>VLOOKUP(Tabela_Base_Financeiro[[#This Row],[Project Code]],'COD. PROJETOS'!B:D,3,0)</f>
        <v>#N/A</v>
      </c>
      <c r="G942" s="36">
        <f>IFERROR(Tabela_Base_Financeiro[[#This Row],[PO No,]],0)</f>
        <v>0</v>
      </c>
      <c r="H942" s="36">
        <f>IFERROR(Tabela_Base_Financeiro[[#This Row],[Line No,]],0)</f>
        <v>0</v>
      </c>
      <c r="I942" s="36" t="str">
        <f>IFERROR(MID(Tabela_Base_Financeiro[[#This Row],[Manufacturer]],19,14),"")</f>
        <v/>
      </c>
      <c r="J942" s="113">
        <f>IFERROR(Tabela_Base_Financeiro[[#This Row],[Item code]],0)</f>
        <v>0</v>
      </c>
      <c r="K942" s="293">
        <f>IFERROR(Tabela_Base_Financeiro[[#This Row],[Unit Price]],0)</f>
        <v>0</v>
      </c>
      <c r="L942" s="36">
        <f>IFERROR(Tabela_Base_Financeiro[[#This Row],[AC Qty,]],0)</f>
        <v>0</v>
      </c>
      <c r="M942" s="60">
        <f>Tabela6[[#This Row],[Qty]]*Tabela6[[#This Row],[Preço]]</f>
        <v>0</v>
      </c>
      <c r="N942" s="37">
        <f>IFERROR(Tabela_Base_Financeiro[[#This Row],[Proportion]],0)</f>
        <v>0</v>
      </c>
      <c r="O942" s="60">
        <f>Tabela6[[#This Row],[Proporção]]*Tabela6[[#This Row],[Total]]</f>
        <v>0</v>
      </c>
      <c r="P942"/>
      <c r="Q942" s="59"/>
      <c r="R942" s="1"/>
    </row>
    <row r="943" spans="1:18">
      <c r="A943" s="122" t="e">
        <f>IF(VLOOKUP(Tabela6[[#This Row],[UF]],'BASE CC'!B:C,2,0)="SP",IF(Tabela6[[#This Row],[OPERADORA]]="TIM","SP TIM","SPI"),VLOOKUP(Tabela6[[#This Row],[UF]],'BASE CC'!B:C,2,0))</f>
        <v>#N/A</v>
      </c>
      <c r="B943" s="36" t="e">
        <f>VLOOKUP(Tabela_Base_Financeiro[[#This Row],[Item code]],'COD.FAT'!B:C,2,0)</f>
        <v>#N/A</v>
      </c>
      <c r="C943" s="292">
        <f>Tabela_Base_Financeiro[[#This Row],[PO Ship TO]]</f>
        <v>0</v>
      </c>
      <c r="D943" s="36" t="str">
        <f>RIGHT(Tabela_Base_Financeiro[[#This Row],[Manufacturer]],2)</f>
        <v/>
      </c>
      <c r="E94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43" s="122" t="e">
        <f>VLOOKUP(Tabela_Base_Financeiro[[#This Row],[Project Code]],'COD. PROJETOS'!B:D,3,0)</f>
        <v>#N/A</v>
      </c>
      <c r="G943" s="36">
        <f>IFERROR(Tabela_Base_Financeiro[[#This Row],[PO No,]],0)</f>
        <v>0</v>
      </c>
      <c r="H943" s="36">
        <f>IFERROR(Tabela_Base_Financeiro[[#This Row],[Line No,]],0)</f>
        <v>0</v>
      </c>
      <c r="I943" s="36" t="str">
        <f>IFERROR(MID(Tabela_Base_Financeiro[[#This Row],[Manufacturer]],19,14),"")</f>
        <v/>
      </c>
      <c r="J943" s="113">
        <f>IFERROR(Tabela_Base_Financeiro[[#This Row],[Item code]],0)</f>
        <v>0</v>
      </c>
      <c r="K943" s="293">
        <f>IFERROR(Tabela_Base_Financeiro[[#This Row],[Unit Price]],0)</f>
        <v>0</v>
      </c>
      <c r="L943" s="36">
        <f>IFERROR(Tabela_Base_Financeiro[[#This Row],[AC Qty,]],0)</f>
        <v>0</v>
      </c>
      <c r="M943" s="60">
        <f>Tabela6[[#This Row],[Qty]]*Tabela6[[#This Row],[Preço]]</f>
        <v>0</v>
      </c>
      <c r="N943" s="37">
        <f>IFERROR(Tabela_Base_Financeiro[[#This Row],[Proportion]],0)</f>
        <v>0</v>
      </c>
      <c r="O943" s="60">
        <f>Tabela6[[#This Row],[Proporção]]*Tabela6[[#This Row],[Total]]</f>
        <v>0</v>
      </c>
      <c r="P943"/>
      <c r="Q943" s="59"/>
      <c r="R943" s="1"/>
    </row>
    <row r="944" spans="1:18">
      <c r="A944" s="122" t="e">
        <f>IF(VLOOKUP(Tabela6[[#This Row],[UF]],'BASE CC'!B:C,2,0)="SP",IF(Tabela6[[#This Row],[OPERADORA]]="TIM","SP TIM","SPI"),VLOOKUP(Tabela6[[#This Row],[UF]],'BASE CC'!B:C,2,0))</f>
        <v>#N/A</v>
      </c>
      <c r="B944" s="36" t="e">
        <f>VLOOKUP(Tabela_Base_Financeiro[[#This Row],[Item code]],'COD.FAT'!B:C,2,0)</f>
        <v>#N/A</v>
      </c>
      <c r="C944" s="292">
        <f>Tabela_Base_Financeiro[[#This Row],[PO Ship TO]]</f>
        <v>0</v>
      </c>
      <c r="D944" s="36" t="str">
        <f>RIGHT(Tabela_Base_Financeiro[[#This Row],[Manufacturer]],2)</f>
        <v/>
      </c>
      <c r="E94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44" s="122" t="e">
        <f>VLOOKUP(Tabela_Base_Financeiro[[#This Row],[Project Code]],'COD. PROJETOS'!B:D,3,0)</f>
        <v>#N/A</v>
      </c>
      <c r="G944" s="36">
        <f>IFERROR(Tabela_Base_Financeiro[[#This Row],[PO No,]],0)</f>
        <v>0</v>
      </c>
      <c r="H944" s="36">
        <f>IFERROR(Tabela_Base_Financeiro[[#This Row],[Line No,]],0)</f>
        <v>0</v>
      </c>
      <c r="I944" s="36" t="str">
        <f>IFERROR(MID(Tabela_Base_Financeiro[[#This Row],[Manufacturer]],19,14),"")</f>
        <v/>
      </c>
      <c r="J944" s="113">
        <f>IFERROR(Tabela_Base_Financeiro[[#This Row],[Item code]],0)</f>
        <v>0</v>
      </c>
      <c r="K944" s="293">
        <f>IFERROR(Tabela_Base_Financeiro[[#This Row],[Unit Price]],0)</f>
        <v>0</v>
      </c>
      <c r="L944" s="36">
        <f>IFERROR(Tabela_Base_Financeiro[[#This Row],[AC Qty,]],0)</f>
        <v>0</v>
      </c>
      <c r="M944" s="60">
        <f>Tabela6[[#This Row],[Qty]]*Tabela6[[#This Row],[Preço]]</f>
        <v>0</v>
      </c>
      <c r="N944" s="37">
        <f>IFERROR(Tabela_Base_Financeiro[[#This Row],[Proportion]],0)</f>
        <v>0</v>
      </c>
      <c r="O944" s="60">
        <f>Tabela6[[#This Row],[Proporção]]*Tabela6[[#This Row],[Total]]</f>
        <v>0</v>
      </c>
      <c r="P944"/>
      <c r="Q944" s="59"/>
      <c r="R944" s="1"/>
    </row>
    <row r="945" spans="1:18">
      <c r="A945" s="122" t="e">
        <f>IF(VLOOKUP(Tabela6[[#This Row],[UF]],'BASE CC'!B:C,2,0)="SP",IF(Tabela6[[#This Row],[OPERADORA]]="TIM","SP TIM","SPI"),VLOOKUP(Tabela6[[#This Row],[UF]],'BASE CC'!B:C,2,0))</f>
        <v>#N/A</v>
      </c>
      <c r="B945" s="36" t="e">
        <f>VLOOKUP(Tabela_Base_Financeiro[[#This Row],[Item code]],'COD.FAT'!B:C,2,0)</f>
        <v>#N/A</v>
      </c>
      <c r="C945" s="292">
        <f>Tabela_Base_Financeiro[[#This Row],[PO Ship TO]]</f>
        <v>0</v>
      </c>
      <c r="D945" s="36" t="str">
        <f>RIGHT(Tabela_Base_Financeiro[[#This Row],[Manufacturer]],2)</f>
        <v/>
      </c>
      <c r="E94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45" s="122" t="e">
        <f>VLOOKUP(Tabela_Base_Financeiro[[#This Row],[Project Code]],'COD. PROJETOS'!B:D,3,0)</f>
        <v>#N/A</v>
      </c>
      <c r="G945" s="36">
        <f>IFERROR(Tabela_Base_Financeiro[[#This Row],[PO No,]],0)</f>
        <v>0</v>
      </c>
      <c r="H945" s="36">
        <f>IFERROR(Tabela_Base_Financeiro[[#This Row],[Line No,]],0)</f>
        <v>0</v>
      </c>
      <c r="I945" s="36" t="str">
        <f>IFERROR(MID(Tabela_Base_Financeiro[[#This Row],[Manufacturer]],19,14),"")</f>
        <v/>
      </c>
      <c r="J945" s="113">
        <f>IFERROR(Tabela_Base_Financeiro[[#This Row],[Item code]],0)</f>
        <v>0</v>
      </c>
      <c r="K945" s="293">
        <f>IFERROR(Tabela_Base_Financeiro[[#This Row],[Unit Price]],0)</f>
        <v>0</v>
      </c>
      <c r="L945" s="36">
        <f>IFERROR(Tabela_Base_Financeiro[[#This Row],[AC Qty,]],0)</f>
        <v>0</v>
      </c>
      <c r="M945" s="60">
        <f>Tabela6[[#This Row],[Qty]]*Tabela6[[#This Row],[Preço]]</f>
        <v>0</v>
      </c>
      <c r="N945" s="37">
        <f>IFERROR(Tabela_Base_Financeiro[[#This Row],[Proportion]],0)</f>
        <v>0</v>
      </c>
      <c r="O945" s="60">
        <f>Tabela6[[#This Row],[Proporção]]*Tabela6[[#This Row],[Total]]</f>
        <v>0</v>
      </c>
      <c r="P945"/>
      <c r="Q945" s="59"/>
      <c r="R945" s="1"/>
    </row>
    <row r="946" spans="1:18">
      <c r="A946" s="122" t="e">
        <f>IF(VLOOKUP(Tabela6[[#This Row],[UF]],'BASE CC'!B:C,2,0)="SP",IF(Tabela6[[#This Row],[OPERADORA]]="TIM","SP TIM","SPI"),VLOOKUP(Tabela6[[#This Row],[UF]],'BASE CC'!B:C,2,0))</f>
        <v>#N/A</v>
      </c>
      <c r="B946" s="36" t="e">
        <f>VLOOKUP(Tabela_Base_Financeiro[[#This Row],[Item code]],'COD.FAT'!B:C,2,0)</f>
        <v>#N/A</v>
      </c>
      <c r="C946" s="292">
        <f>Tabela_Base_Financeiro[[#This Row],[PO Ship TO]]</f>
        <v>0</v>
      </c>
      <c r="D946" s="36" t="str">
        <f>RIGHT(Tabela_Base_Financeiro[[#This Row],[Manufacturer]],2)</f>
        <v/>
      </c>
      <c r="E94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46" s="122" t="e">
        <f>VLOOKUP(Tabela_Base_Financeiro[[#This Row],[Project Code]],'COD. PROJETOS'!B:D,3,0)</f>
        <v>#N/A</v>
      </c>
      <c r="G946" s="36">
        <f>IFERROR(Tabela_Base_Financeiro[[#This Row],[PO No,]],0)</f>
        <v>0</v>
      </c>
      <c r="H946" s="36">
        <f>IFERROR(Tabela_Base_Financeiro[[#This Row],[Line No,]],0)</f>
        <v>0</v>
      </c>
      <c r="I946" s="36" t="str">
        <f>IFERROR(MID(Tabela_Base_Financeiro[[#This Row],[Manufacturer]],19,14),"")</f>
        <v/>
      </c>
      <c r="J946" s="113">
        <f>IFERROR(Tabela_Base_Financeiro[[#This Row],[Item code]],0)</f>
        <v>0</v>
      </c>
      <c r="K946" s="293">
        <f>IFERROR(Tabela_Base_Financeiro[[#This Row],[Unit Price]],0)</f>
        <v>0</v>
      </c>
      <c r="L946" s="36">
        <f>IFERROR(Tabela_Base_Financeiro[[#This Row],[AC Qty,]],0)</f>
        <v>0</v>
      </c>
      <c r="M946" s="60">
        <f>Tabela6[[#This Row],[Qty]]*Tabela6[[#This Row],[Preço]]</f>
        <v>0</v>
      </c>
      <c r="N946" s="37">
        <f>IFERROR(Tabela_Base_Financeiro[[#This Row],[Proportion]],0)</f>
        <v>0</v>
      </c>
      <c r="O946" s="60">
        <f>Tabela6[[#This Row],[Proporção]]*Tabela6[[#This Row],[Total]]</f>
        <v>0</v>
      </c>
      <c r="P946"/>
      <c r="Q946" s="59"/>
      <c r="R946" s="1"/>
    </row>
    <row r="947" spans="1:18">
      <c r="A947" s="122" t="e">
        <f>IF(VLOOKUP(Tabela6[[#This Row],[UF]],'BASE CC'!B:C,2,0)="SP",IF(Tabela6[[#This Row],[OPERADORA]]="TIM","SP TIM","SPI"),VLOOKUP(Tabela6[[#This Row],[UF]],'BASE CC'!B:C,2,0))</f>
        <v>#N/A</v>
      </c>
      <c r="B947" s="36" t="e">
        <f>VLOOKUP(Tabela_Base_Financeiro[[#This Row],[Item code]],'COD.FAT'!B:C,2,0)</f>
        <v>#N/A</v>
      </c>
      <c r="C947" s="292">
        <f>Tabela_Base_Financeiro[[#This Row],[PO Ship TO]]</f>
        <v>0</v>
      </c>
      <c r="D947" s="36" t="str">
        <f>RIGHT(Tabela_Base_Financeiro[[#This Row],[Manufacturer]],2)</f>
        <v/>
      </c>
      <c r="E94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47" s="122" t="e">
        <f>VLOOKUP(Tabela_Base_Financeiro[[#This Row],[Project Code]],'COD. PROJETOS'!B:D,3,0)</f>
        <v>#N/A</v>
      </c>
      <c r="G947" s="36">
        <f>IFERROR(Tabela_Base_Financeiro[[#This Row],[PO No,]],0)</f>
        <v>0</v>
      </c>
      <c r="H947" s="36">
        <f>IFERROR(Tabela_Base_Financeiro[[#This Row],[Line No,]],0)</f>
        <v>0</v>
      </c>
      <c r="I947" s="36" t="str">
        <f>IFERROR(MID(Tabela_Base_Financeiro[[#This Row],[Manufacturer]],19,14),"")</f>
        <v/>
      </c>
      <c r="J947" s="113">
        <f>IFERROR(Tabela_Base_Financeiro[[#This Row],[Item code]],0)</f>
        <v>0</v>
      </c>
      <c r="K947" s="293">
        <f>IFERROR(Tabela_Base_Financeiro[[#This Row],[Unit Price]],0)</f>
        <v>0</v>
      </c>
      <c r="L947" s="36">
        <f>IFERROR(Tabela_Base_Financeiro[[#This Row],[AC Qty,]],0)</f>
        <v>0</v>
      </c>
      <c r="M947" s="60">
        <f>Tabela6[[#This Row],[Qty]]*Tabela6[[#This Row],[Preço]]</f>
        <v>0</v>
      </c>
      <c r="N947" s="37">
        <f>IFERROR(Tabela_Base_Financeiro[[#This Row],[Proportion]],0)</f>
        <v>0</v>
      </c>
      <c r="O947" s="60">
        <f>Tabela6[[#This Row],[Proporção]]*Tabela6[[#This Row],[Total]]</f>
        <v>0</v>
      </c>
      <c r="P947"/>
      <c r="Q947" s="59"/>
      <c r="R947" s="1"/>
    </row>
    <row r="948" spans="1:18">
      <c r="A948" s="122" t="e">
        <f>IF(VLOOKUP(Tabela6[[#This Row],[UF]],'BASE CC'!B:C,2,0)="SP",IF(Tabela6[[#This Row],[OPERADORA]]="TIM","SP TIM","SPI"),VLOOKUP(Tabela6[[#This Row],[UF]],'BASE CC'!B:C,2,0))</f>
        <v>#N/A</v>
      </c>
      <c r="B948" s="36" t="e">
        <f>VLOOKUP(Tabela_Base_Financeiro[[#This Row],[Item code]],'COD.FAT'!B:C,2,0)</f>
        <v>#N/A</v>
      </c>
      <c r="C948" s="292">
        <f>Tabela_Base_Financeiro[[#This Row],[PO Ship TO]]</f>
        <v>0</v>
      </c>
      <c r="D948" s="36" t="str">
        <f>RIGHT(Tabela_Base_Financeiro[[#This Row],[Manufacturer]],2)</f>
        <v/>
      </c>
      <c r="E94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48" s="122" t="e">
        <f>VLOOKUP(Tabela_Base_Financeiro[[#This Row],[Project Code]],'COD. PROJETOS'!B:D,3,0)</f>
        <v>#N/A</v>
      </c>
      <c r="G948" s="36">
        <f>IFERROR(Tabela_Base_Financeiro[[#This Row],[PO No,]],0)</f>
        <v>0</v>
      </c>
      <c r="H948" s="36">
        <f>IFERROR(Tabela_Base_Financeiro[[#This Row],[Line No,]],0)</f>
        <v>0</v>
      </c>
      <c r="I948" s="36" t="str">
        <f>IFERROR(MID(Tabela_Base_Financeiro[[#This Row],[Manufacturer]],19,14),"")</f>
        <v/>
      </c>
      <c r="J948" s="113">
        <f>IFERROR(Tabela_Base_Financeiro[[#This Row],[Item code]],0)</f>
        <v>0</v>
      </c>
      <c r="K948" s="293">
        <f>IFERROR(Tabela_Base_Financeiro[[#This Row],[Unit Price]],0)</f>
        <v>0</v>
      </c>
      <c r="L948" s="36">
        <f>IFERROR(Tabela_Base_Financeiro[[#This Row],[AC Qty,]],0)</f>
        <v>0</v>
      </c>
      <c r="M948" s="60">
        <f>Tabela6[[#This Row],[Qty]]*Tabela6[[#This Row],[Preço]]</f>
        <v>0</v>
      </c>
      <c r="N948" s="37">
        <f>IFERROR(Tabela_Base_Financeiro[[#This Row],[Proportion]],0)</f>
        <v>0</v>
      </c>
      <c r="O948" s="60">
        <f>Tabela6[[#This Row],[Proporção]]*Tabela6[[#This Row],[Total]]</f>
        <v>0</v>
      </c>
      <c r="P948"/>
      <c r="Q948" s="59"/>
      <c r="R948" s="1"/>
    </row>
    <row r="949" spans="1:18">
      <c r="A949" s="122" t="e">
        <f>IF(VLOOKUP(Tabela6[[#This Row],[UF]],'BASE CC'!B:C,2,0)="SP",IF(Tabela6[[#This Row],[OPERADORA]]="TIM","SP TIM","SPI"),VLOOKUP(Tabela6[[#This Row],[UF]],'BASE CC'!B:C,2,0))</f>
        <v>#N/A</v>
      </c>
      <c r="B949" s="36" t="e">
        <f>VLOOKUP(Tabela_Base_Financeiro[[#This Row],[Item code]],'COD.FAT'!B:C,2,0)</f>
        <v>#N/A</v>
      </c>
      <c r="C949" s="292">
        <f>Tabela_Base_Financeiro[[#This Row],[PO Ship TO]]</f>
        <v>0</v>
      </c>
      <c r="D949" s="36" t="str">
        <f>RIGHT(Tabela_Base_Financeiro[[#This Row],[Manufacturer]],2)</f>
        <v/>
      </c>
      <c r="E94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49" s="122" t="e">
        <f>VLOOKUP(Tabela_Base_Financeiro[[#This Row],[Project Code]],'COD. PROJETOS'!B:D,3,0)</f>
        <v>#N/A</v>
      </c>
      <c r="G949" s="36">
        <f>IFERROR(Tabela_Base_Financeiro[[#This Row],[PO No,]],0)</f>
        <v>0</v>
      </c>
      <c r="H949" s="36">
        <f>IFERROR(Tabela_Base_Financeiro[[#This Row],[Line No,]],0)</f>
        <v>0</v>
      </c>
      <c r="I949" s="36" t="str">
        <f>IFERROR(MID(Tabela_Base_Financeiro[[#This Row],[Manufacturer]],19,14),"")</f>
        <v/>
      </c>
      <c r="J949" s="113">
        <f>IFERROR(Tabela_Base_Financeiro[[#This Row],[Item code]],0)</f>
        <v>0</v>
      </c>
      <c r="K949" s="293">
        <f>IFERROR(Tabela_Base_Financeiro[[#This Row],[Unit Price]],0)</f>
        <v>0</v>
      </c>
      <c r="L949" s="36">
        <f>IFERROR(Tabela_Base_Financeiro[[#This Row],[AC Qty,]],0)</f>
        <v>0</v>
      </c>
      <c r="M949" s="60">
        <f>Tabela6[[#This Row],[Qty]]*Tabela6[[#This Row],[Preço]]</f>
        <v>0</v>
      </c>
      <c r="N949" s="37">
        <f>IFERROR(Tabela_Base_Financeiro[[#This Row],[Proportion]],0)</f>
        <v>0</v>
      </c>
      <c r="O949" s="60">
        <f>Tabela6[[#This Row],[Proporção]]*Tabela6[[#This Row],[Total]]</f>
        <v>0</v>
      </c>
      <c r="P949"/>
      <c r="Q949" s="59"/>
      <c r="R949" s="1"/>
    </row>
    <row r="950" spans="1:18">
      <c r="A950" s="122" t="e">
        <f>IF(VLOOKUP(Tabela6[[#This Row],[UF]],'BASE CC'!B:C,2,0)="SP",IF(Tabela6[[#This Row],[OPERADORA]]="TIM","SP TIM","SPI"),VLOOKUP(Tabela6[[#This Row],[UF]],'BASE CC'!B:C,2,0))</f>
        <v>#N/A</v>
      </c>
      <c r="B950" s="36" t="e">
        <f>VLOOKUP(Tabela_Base_Financeiro[[#This Row],[Item code]],'COD.FAT'!B:C,2,0)</f>
        <v>#N/A</v>
      </c>
      <c r="C950" s="292">
        <f>Tabela_Base_Financeiro[[#This Row],[PO Ship TO]]</f>
        <v>0</v>
      </c>
      <c r="D950" s="36" t="str">
        <f>RIGHT(Tabela_Base_Financeiro[[#This Row],[Manufacturer]],2)</f>
        <v/>
      </c>
      <c r="E95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50" s="122" t="e">
        <f>VLOOKUP(Tabela_Base_Financeiro[[#This Row],[Project Code]],'COD. PROJETOS'!B:D,3,0)</f>
        <v>#N/A</v>
      </c>
      <c r="G950" s="36">
        <f>IFERROR(Tabela_Base_Financeiro[[#This Row],[PO No,]],0)</f>
        <v>0</v>
      </c>
      <c r="H950" s="36">
        <f>IFERROR(Tabela_Base_Financeiro[[#This Row],[Line No,]],0)</f>
        <v>0</v>
      </c>
      <c r="I950" s="36" t="str">
        <f>IFERROR(MID(Tabela_Base_Financeiro[[#This Row],[Manufacturer]],19,14),"")</f>
        <v/>
      </c>
      <c r="J950" s="113">
        <f>IFERROR(Tabela_Base_Financeiro[[#This Row],[Item code]],0)</f>
        <v>0</v>
      </c>
      <c r="K950" s="293">
        <f>IFERROR(Tabela_Base_Financeiro[[#This Row],[Unit Price]],0)</f>
        <v>0</v>
      </c>
      <c r="L950" s="36">
        <f>IFERROR(Tabela_Base_Financeiro[[#This Row],[AC Qty,]],0)</f>
        <v>0</v>
      </c>
      <c r="M950" s="60">
        <f>Tabela6[[#This Row],[Qty]]*Tabela6[[#This Row],[Preço]]</f>
        <v>0</v>
      </c>
      <c r="N950" s="37">
        <f>IFERROR(Tabela_Base_Financeiro[[#This Row],[Proportion]],0)</f>
        <v>0</v>
      </c>
      <c r="O950" s="60">
        <f>Tabela6[[#This Row],[Proporção]]*Tabela6[[#This Row],[Total]]</f>
        <v>0</v>
      </c>
      <c r="P950"/>
      <c r="Q950" s="59"/>
      <c r="R950" s="1"/>
    </row>
    <row r="951" spans="1:18">
      <c r="A951" s="122" t="e">
        <f>IF(VLOOKUP(Tabela6[[#This Row],[UF]],'BASE CC'!B:C,2,0)="SP",IF(Tabela6[[#This Row],[OPERADORA]]="TIM","SP TIM","SPI"),VLOOKUP(Tabela6[[#This Row],[UF]],'BASE CC'!B:C,2,0))</f>
        <v>#N/A</v>
      </c>
      <c r="B951" s="36" t="e">
        <f>VLOOKUP(Tabela_Base_Financeiro[[#This Row],[Item code]],'COD.FAT'!B:C,2,0)</f>
        <v>#N/A</v>
      </c>
      <c r="C951" s="292">
        <f>Tabela_Base_Financeiro[[#This Row],[PO Ship TO]]</f>
        <v>0</v>
      </c>
      <c r="D951" s="36" t="str">
        <f>RIGHT(Tabela_Base_Financeiro[[#This Row],[Manufacturer]],2)</f>
        <v/>
      </c>
      <c r="E95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51" s="122" t="e">
        <f>VLOOKUP(Tabela_Base_Financeiro[[#This Row],[Project Code]],'COD. PROJETOS'!B:D,3,0)</f>
        <v>#N/A</v>
      </c>
      <c r="G951" s="36">
        <f>IFERROR(Tabela_Base_Financeiro[[#This Row],[PO No,]],0)</f>
        <v>0</v>
      </c>
      <c r="H951" s="36">
        <f>IFERROR(Tabela_Base_Financeiro[[#This Row],[Line No,]],0)</f>
        <v>0</v>
      </c>
      <c r="I951" s="36" t="str">
        <f>IFERROR(MID(Tabela_Base_Financeiro[[#This Row],[Manufacturer]],19,14),"")</f>
        <v/>
      </c>
      <c r="J951" s="113">
        <f>IFERROR(Tabela_Base_Financeiro[[#This Row],[Item code]],0)</f>
        <v>0</v>
      </c>
      <c r="K951" s="293">
        <f>IFERROR(Tabela_Base_Financeiro[[#This Row],[Unit Price]],0)</f>
        <v>0</v>
      </c>
      <c r="L951" s="36">
        <f>IFERROR(Tabela_Base_Financeiro[[#This Row],[AC Qty,]],0)</f>
        <v>0</v>
      </c>
      <c r="M951" s="60">
        <f>Tabela6[[#This Row],[Qty]]*Tabela6[[#This Row],[Preço]]</f>
        <v>0</v>
      </c>
      <c r="N951" s="37">
        <f>IFERROR(Tabela_Base_Financeiro[[#This Row],[Proportion]],0)</f>
        <v>0</v>
      </c>
      <c r="O951" s="60">
        <f>Tabela6[[#This Row],[Proporção]]*Tabela6[[#This Row],[Total]]</f>
        <v>0</v>
      </c>
      <c r="P951"/>
      <c r="Q951" s="59"/>
      <c r="R951" s="1"/>
    </row>
    <row r="952" spans="1:18">
      <c r="A952" s="122" t="e">
        <f>IF(VLOOKUP(Tabela6[[#This Row],[UF]],'BASE CC'!B:C,2,0)="SP",IF(Tabela6[[#This Row],[OPERADORA]]="TIM","SP TIM","SPI"),VLOOKUP(Tabela6[[#This Row],[UF]],'BASE CC'!B:C,2,0))</f>
        <v>#N/A</v>
      </c>
      <c r="B952" s="36" t="e">
        <f>VLOOKUP(Tabela_Base_Financeiro[[#This Row],[Item code]],'COD.FAT'!B:C,2,0)</f>
        <v>#N/A</v>
      </c>
      <c r="C952" s="292">
        <f>Tabela_Base_Financeiro[[#This Row],[PO Ship TO]]</f>
        <v>0</v>
      </c>
      <c r="D952" s="36" t="str">
        <f>RIGHT(Tabela_Base_Financeiro[[#This Row],[Manufacturer]],2)</f>
        <v/>
      </c>
      <c r="E95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52" s="122" t="e">
        <f>VLOOKUP(Tabela_Base_Financeiro[[#This Row],[Project Code]],'COD. PROJETOS'!B:D,3,0)</f>
        <v>#N/A</v>
      </c>
      <c r="G952" s="36">
        <f>IFERROR(Tabela_Base_Financeiro[[#This Row],[PO No,]],0)</f>
        <v>0</v>
      </c>
      <c r="H952" s="36">
        <f>IFERROR(Tabela_Base_Financeiro[[#This Row],[Line No,]],0)</f>
        <v>0</v>
      </c>
      <c r="I952" s="36" t="str">
        <f>IFERROR(MID(Tabela_Base_Financeiro[[#This Row],[Manufacturer]],19,14),"")</f>
        <v/>
      </c>
      <c r="J952" s="113">
        <f>IFERROR(Tabela_Base_Financeiro[[#This Row],[Item code]],0)</f>
        <v>0</v>
      </c>
      <c r="K952" s="293">
        <f>IFERROR(Tabela_Base_Financeiro[[#This Row],[Unit Price]],0)</f>
        <v>0</v>
      </c>
      <c r="L952" s="36">
        <f>IFERROR(Tabela_Base_Financeiro[[#This Row],[AC Qty,]],0)</f>
        <v>0</v>
      </c>
      <c r="M952" s="60">
        <f>Tabela6[[#This Row],[Qty]]*Tabela6[[#This Row],[Preço]]</f>
        <v>0</v>
      </c>
      <c r="N952" s="37">
        <f>IFERROR(Tabela_Base_Financeiro[[#This Row],[Proportion]],0)</f>
        <v>0</v>
      </c>
      <c r="O952" s="60">
        <f>Tabela6[[#This Row],[Proporção]]*Tabela6[[#This Row],[Total]]</f>
        <v>0</v>
      </c>
      <c r="P952"/>
      <c r="Q952" s="59"/>
      <c r="R952" s="1"/>
    </row>
    <row r="953" spans="1:18">
      <c r="A953" s="122" t="e">
        <f>IF(VLOOKUP(Tabela6[[#This Row],[UF]],'BASE CC'!B:C,2,0)="SP",IF(Tabela6[[#This Row],[OPERADORA]]="TIM","SP TIM","SPI"),VLOOKUP(Tabela6[[#This Row],[UF]],'BASE CC'!B:C,2,0))</f>
        <v>#N/A</v>
      </c>
      <c r="B953" s="36" t="e">
        <f>VLOOKUP(Tabela_Base_Financeiro[[#This Row],[Item code]],'COD.FAT'!B:C,2,0)</f>
        <v>#N/A</v>
      </c>
      <c r="C953" s="292">
        <f>Tabela_Base_Financeiro[[#This Row],[PO Ship TO]]</f>
        <v>0</v>
      </c>
      <c r="D953" s="36" t="str">
        <f>RIGHT(Tabela_Base_Financeiro[[#This Row],[Manufacturer]],2)</f>
        <v/>
      </c>
      <c r="E95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53" s="122" t="e">
        <f>VLOOKUP(Tabela_Base_Financeiro[[#This Row],[Project Code]],'COD. PROJETOS'!B:D,3,0)</f>
        <v>#N/A</v>
      </c>
      <c r="G953" s="36">
        <f>IFERROR(Tabela_Base_Financeiro[[#This Row],[PO No,]],0)</f>
        <v>0</v>
      </c>
      <c r="H953" s="36">
        <f>IFERROR(Tabela_Base_Financeiro[[#This Row],[Line No,]],0)</f>
        <v>0</v>
      </c>
      <c r="I953" s="36" t="str">
        <f>IFERROR(MID(Tabela_Base_Financeiro[[#This Row],[Manufacturer]],19,14),"")</f>
        <v/>
      </c>
      <c r="J953" s="113">
        <f>IFERROR(Tabela_Base_Financeiro[[#This Row],[Item code]],0)</f>
        <v>0</v>
      </c>
      <c r="K953" s="293">
        <f>IFERROR(Tabela_Base_Financeiro[[#This Row],[Unit Price]],0)</f>
        <v>0</v>
      </c>
      <c r="L953" s="36">
        <f>IFERROR(Tabela_Base_Financeiro[[#This Row],[AC Qty,]],0)</f>
        <v>0</v>
      </c>
      <c r="M953" s="60">
        <f>Tabela6[[#This Row],[Qty]]*Tabela6[[#This Row],[Preço]]</f>
        <v>0</v>
      </c>
      <c r="N953" s="37">
        <f>IFERROR(Tabela_Base_Financeiro[[#This Row],[Proportion]],0)</f>
        <v>0</v>
      </c>
      <c r="O953" s="60">
        <f>Tabela6[[#This Row],[Proporção]]*Tabela6[[#This Row],[Total]]</f>
        <v>0</v>
      </c>
      <c r="P953"/>
      <c r="Q953" s="59"/>
      <c r="R953" s="1"/>
    </row>
    <row r="954" spans="1:18">
      <c r="A954" s="122" t="e">
        <f>IF(VLOOKUP(Tabela6[[#This Row],[UF]],'BASE CC'!B:C,2,0)="SP",IF(Tabela6[[#This Row],[OPERADORA]]="TIM","SP TIM","SPI"),VLOOKUP(Tabela6[[#This Row],[UF]],'BASE CC'!B:C,2,0))</f>
        <v>#N/A</v>
      </c>
      <c r="B954" s="36" t="e">
        <f>VLOOKUP(Tabela_Base_Financeiro[[#This Row],[Item code]],'COD.FAT'!B:C,2,0)</f>
        <v>#N/A</v>
      </c>
      <c r="C954" s="292">
        <f>Tabela_Base_Financeiro[[#This Row],[PO Ship TO]]</f>
        <v>0</v>
      </c>
      <c r="D954" s="36" t="str">
        <f>RIGHT(Tabela_Base_Financeiro[[#This Row],[Manufacturer]],2)</f>
        <v/>
      </c>
      <c r="E95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54" s="122" t="e">
        <f>VLOOKUP(Tabela_Base_Financeiro[[#This Row],[Project Code]],'COD. PROJETOS'!B:D,3,0)</f>
        <v>#N/A</v>
      </c>
      <c r="G954" s="36">
        <f>IFERROR(Tabela_Base_Financeiro[[#This Row],[PO No,]],0)</f>
        <v>0</v>
      </c>
      <c r="H954" s="36">
        <f>IFERROR(Tabela_Base_Financeiro[[#This Row],[Line No,]],0)</f>
        <v>0</v>
      </c>
      <c r="I954" s="36" t="str">
        <f>IFERROR(MID(Tabela_Base_Financeiro[[#This Row],[Manufacturer]],19,14),"")</f>
        <v/>
      </c>
      <c r="J954" s="113">
        <f>IFERROR(Tabela_Base_Financeiro[[#This Row],[Item code]],0)</f>
        <v>0</v>
      </c>
      <c r="K954" s="293">
        <f>IFERROR(Tabela_Base_Financeiro[[#This Row],[Unit Price]],0)</f>
        <v>0</v>
      </c>
      <c r="L954" s="36">
        <f>IFERROR(Tabela_Base_Financeiro[[#This Row],[AC Qty,]],0)</f>
        <v>0</v>
      </c>
      <c r="M954" s="60">
        <f>Tabela6[[#This Row],[Qty]]*Tabela6[[#This Row],[Preço]]</f>
        <v>0</v>
      </c>
      <c r="N954" s="37">
        <f>IFERROR(Tabela_Base_Financeiro[[#This Row],[Proportion]],0)</f>
        <v>0</v>
      </c>
      <c r="O954" s="60">
        <f>Tabela6[[#This Row],[Proporção]]*Tabela6[[#This Row],[Total]]</f>
        <v>0</v>
      </c>
      <c r="P954"/>
      <c r="Q954" s="59"/>
      <c r="R954" s="1"/>
    </row>
    <row r="955" spans="1:18">
      <c r="A955" s="122" t="e">
        <f>IF(VLOOKUP(Tabela6[[#This Row],[UF]],'BASE CC'!B:C,2,0)="SP",IF(Tabela6[[#This Row],[OPERADORA]]="TIM","SP TIM","SPI"),VLOOKUP(Tabela6[[#This Row],[UF]],'BASE CC'!B:C,2,0))</f>
        <v>#N/A</v>
      </c>
      <c r="B955" s="36" t="e">
        <f>VLOOKUP(Tabela_Base_Financeiro[[#This Row],[Item code]],'COD.FAT'!B:C,2,0)</f>
        <v>#N/A</v>
      </c>
      <c r="C955" s="292">
        <f>Tabela_Base_Financeiro[[#This Row],[PO Ship TO]]</f>
        <v>0</v>
      </c>
      <c r="D955" s="36" t="str">
        <f>RIGHT(Tabela_Base_Financeiro[[#This Row],[Manufacturer]],2)</f>
        <v/>
      </c>
      <c r="E95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55" s="122" t="e">
        <f>VLOOKUP(Tabela_Base_Financeiro[[#This Row],[Project Code]],'COD. PROJETOS'!B:D,3,0)</f>
        <v>#N/A</v>
      </c>
      <c r="G955" s="36">
        <f>IFERROR(Tabela_Base_Financeiro[[#This Row],[PO No,]],0)</f>
        <v>0</v>
      </c>
      <c r="H955" s="36">
        <f>IFERROR(Tabela_Base_Financeiro[[#This Row],[Line No,]],0)</f>
        <v>0</v>
      </c>
      <c r="I955" s="36" t="str">
        <f>IFERROR(MID(Tabela_Base_Financeiro[[#This Row],[Manufacturer]],19,14),"")</f>
        <v/>
      </c>
      <c r="J955" s="113">
        <f>IFERROR(Tabela_Base_Financeiro[[#This Row],[Item code]],0)</f>
        <v>0</v>
      </c>
      <c r="K955" s="293">
        <f>IFERROR(Tabela_Base_Financeiro[[#This Row],[Unit Price]],0)</f>
        <v>0</v>
      </c>
      <c r="L955" s="36">
        <f>IFERROR(Tabela_Base_Financeiro[[#This Row],[AC Qty,]],0)</f>
        <v>0</v>
      </c>
      <c r="M955" s="60">
        <f>Tabela6[[#This Row],[Qty]]*Tabela6[[#This Row],[Preço]]</f>
        <v>0</v>
      </c>
      <c r="N955" s="37">
        <f>IFERROR(Tabela_Base_Financeiro[[#This Row],[Proportion]],0)</f>
        <v>0</v>
      </c>
      <c r="O955" s="60">
        <f>Tabela6[[#This Row],[Proporção]]*Tabela6[[#This Row],[Total]]</f>
        <v>0</v>
      </c>
      <c r="P955"/>
      <c r="Q955" s="59"/>
      <c r="R955" s="1"/>
    </row>
    <row r="956" spans="1:18">
      <c r="A956" s="122" t="e">
        <f>IF(VLOOKUP(Tabela6[[#This Row],[UF]],'BASE CC'!B:C,2,0)="SP",IF(Tabela6[[#This Row],[OPERADORA]]="TIM","SP TIM","SPI"),VLOOKUP(Tabela6[[#This Row],[UF]],'BASE CC'!B:C,2,0))</f>
        <v>#N/A</v>
      </c>
      <c r="B956" s="36" t="e">
        <f>VLOOKUP(Tabela_Base_Financeiro[[#This Row],[Item code]],'COD.FAT'!B:C,2,0)</f>
        <v>#N/A</v>
      </c>
      <c r="C956" s="292">
        <f>Tabela_Base_Financeiro[[#This Row],[PO Ship TO]]</f>
        <v>0</v>
      </c>
      <c r="D956" s="36" t="str">
        <f>RIGHT(Tabela_Base_Financeiro[[#This Row],[Manufacturer]],2)</f>
        <v/>
      </c>
      <c r="E95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56" s="122" t="e">
        <f>VLOOKUP(Tabela_Base_Financeiro[[#This Row],[Project Code]],'COD. PROJETOS'!B:D,3,0)</f>
        <v>#N/A</v>
      </c>
      <c r="G956" s="36">
        <f>IFERROR(Tabela_Base_Financeiro[[#This Row],[PO No,]],0)</f>
        <v>0</v>
      </c>
      <c r="H956" s="36">
        <f>IFERROR(Tabela_Base_Financeiro[[#This Row],[Line No,]],0)</f>
        <v>0</v>
      </c>
      <c r="I956" s="36" t="str">
        <f>IFERROR(MID(Tabela_Base_Financeiro[[#This Row],[Manufacturer]],19,14),"")</f>
        <v/>
      </c>
      <c r="J956" s="113">
        <f>IFERROR(Tabela_Base_Financeiro[[#This Row],[Item code]],0)</f>
        <v>0</v>
      </c>
      <c r="K956" s="293">
        <f>IFERROR(Tabela_Base_Financeiro[[#This Row],[Unit Price]],0)</f>
        <v>0</v>
      </c>
      <c r="L956" s="36">
        <f>IFERROR(Tabela_Base_Financeiro[[#This Row],[AC Qty,]],0)</f>
        <v>0</v>
      </c>
      <c r="M956" s="60">
        <f>Tabela6[[#This Row],[Qty]]*Tabela6[[#This Row],[Preço]]</f>
        <v>0</v>
      </c>
      <c r="N956" s="37">
        <f>IFERROR(Tabela_Base_Financeiro[[#This Row],[Proportion]],0)</f>
        <v>0</v>
      </c>
      <c r="O956" s="60">
        <f>Tabela6[[#This Row],[Proporção]]*Tabela6[[#This Row],[Total]]</f>
        <v>0</v>
      </c>
      <c r="P956"/>
      <c r="Q956" s="59"/>
      <c r="R956" s="1"/>
    </row>
    <row r="957" spans="1:18">
      <c r="A957" s="122" t="e">
        <f>IF(VLOOKUP(Tabela6[[#This Row],[UF]],'BASE CC'!B:C,2,0)="SP",IF(Tabela6[[#This Row],[OPERADORA]]="TIM","SP TIM","SPI"),VLOOKUP(Tabela6[[#This Row],[UF]],'BASE CC'!B:C,2,0))</f>
        <v>#N/A</v>
      </c>
      <c r="B957" s="36" t="e">
        <f>VLOOKUP(Tabela_Base_Financeiro[[#This Row],[Item code]],'COD.FAT'!B:C,2,0)</f>
        <v>#N/A</v>
      </c>
      <c r="C957" s="292">
        <f>Tabela_Base_Financeiro[[#This Row],[PO Ship TO]]</f>
        <v>0</v>
      </c>
      <c r="D957" s="36" t="str">
        <f>RIGHT(Tabela_Base_Financeiro[[#This Row],[Manufacturer]],2)</f>
        <v/>
      </c>
      <c r="E95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57" s="122" t="e">
        <f>VLOOKUP(Tabela_Base_Financeiro[[#This Row],[Project Code]],'COD. PROJETOS'!B:D,3,0)</f>
        <v>#N/A</v>
      </c>
      <c r="G957" s="36">
        <f>IFERROR(Tabela_Base_Financeiro[[#This Row],[PO No,]],0)</f>
        <v>0</v>
      </c>
      <c r="H957" s="36">
        <f>IFERROR(Tabela_Base_Financeiro[[#This Row],[Line No,]],0)</f>
        <v>0</v>
      </c>
      <c r="I957" s="36" t="str">
        <f>IFERROR(MID(Tabela_Base_Financeiro[[#This Row],[Manufacturer]],19,14),"")</f>
        <v/>
      </c>
      <c r="J957" s="113">
        <f>IFERROR(Tabela_Base_Financeiro[[#This Row],[Item code]],0)</f>
        <v>0</v>
      </c>
      <c r="K957" s="293">
        <f>IFERROR(Tabela_Base_Financeiro[[#This Row],[Unit Price]],0)</f>
        <v>0</v>
      </c>
      <c r="L957" s="36">
        <f>IFERROR(Tabela_Base_Financeiro[[#This Row],[AC Qty,]],0)</f>
        <v>0</v>
      </c>
      <c r="M957" s="60">
        <f>Tabela6[[#This Row],[Qty]]*Tabela6[[#This Row],[Preço]]</f>
        <v>0</v>
      </c>
      <c r="N957" s="37">
        <f>IFERROR(Tabela_Base_Financeiro[[#This Row],[Proportion]],0)</f>
        <v>0</v>
      </c>
      <c r="O957" s="60">
        <f>Tabela6[[#This Row],[Proporção]]*Tabela6[[#This Row],[Total]]</f>
        <v>0</v>
      </c>
      <c r="P957"/>
      <c r="Q957" s="59"/>
      <c r="R957" s="1"/>
    </row>
    <row r="958" spans="1:18">
      <c r="A958" s="122" t="e">
        <f>IF(VLOOKUP(Tabela6[[#This Row],[UF]],'BASE CC'!B:C,2,0)="SP",IF(Tabela6[[#This Row],[OPERADORA]]="TIM","SP TIM","SPI"),VLOOKUP(Tabela6[[#This Row],[UF]],'BASE CC'!B:C,2,0))</f>
        <v>#N/A</v>
      </c>
      <c r="B958" s="36" t="e">
        <f>VLOOKUP(Tabela_Base_Financeiro[[#This Row],[Item code]],'COD.FAT'!B:C,2,0)</f>
        <v>#N/A</v>
      </c>
      <c r="C958" s="292">
        <f>Tabela_Base_Financeiro[[#This Row],[PO Ship TO]]</f>
        <v>0</v>
      </c>
      <c r="D958" s="36" t="str">
        <f>RIGHT(Tabela_Base_Financeiro[[#This Row],[Manufacturer]],2)</f>
        <v/>
      </c>
      <c r="E95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58" s="122" t="e">
        <f>VLOOKUP(Tabela_Base_Financeiro[[#This Row],[Project Code]],'COD. PROJETOS'!B:D,3,0)</f>
        <v>#N/A</v>
      </c>
      <c r="G958" s="36">
        <f>IFERROR(Tabela_Base_Financeiro[[#This Row],[PO No,]],0)</f>
        <v>0</v>
      </c>
      <c r="H958" s="36">
        <f>IFERROR(Tabela_Base_Financeiro[[#This Row],[Line No,]],0)</f>
        <v>0</v>
      </c>
      <c r="I958" s="36" t="str">
        <f>IFERROR(MID(Tabela_Base_Financeiro[[#This Row],[Manufacturer]],19,14),"")</f>
        <v/>
      </c>
      <c r="J958" s="113">
        <f>IFERROR(Tabela_Base_Financeiro[[#This Row],[Item code]],0)</f>
        <v>0</v>
      </c>
      <c r="K958" s="293">
        <f>IFERROR(Tabela_Base_Financeiro[[#This Row],[Unit Price]],0)</f>
        <v>0</v>
      </c>
      <c r="L958" s="36">
        <f>IFERROR(Tabela_Base_Financeiro[[#This Row],[AC Qty,]],0)</f>
        <v>0</v>
      </c>
      <c r="M958" s="60">
        <f>Tabela6[[#This Row],[Qty]]*Tabela6[[#This Row],[Preço]]</f>
        <v>0</v>
      </c>
      <c r="N958" s="37">
        <f>IFERROR(Tabela_Base_Financeiro[[#This Row],[Proportion]],0)</f>
        <v>0</v>
      </c>
      <c r="O958" s="60">
        <f>Tabela6[[#This Row],[Proporção]]*Tabela6[[#This Row],[Total]]</f>
        <v>0</v>
      </c>
      <c r="P958"/>
      <c r="Q958" s="59"/>
      <c r="R958" s="1"/>
    </row>
    <row r="959" spans="1:18">
      <c r="A959" s="122" t="e">
        <f>IF(VLOOKUP(Tabela6[[#This Row],[UF]],'BASE CC'!B:C,2,0)="SP",IF(Tabela6[[#This Row],[OPERADORA]]="TIM","SP TIM","SPI"),VLOOKUP(Tabela6[[#This Row],[UF]],'BASE CC'!B:C,2,0))</f>
        <v>#N/A</v>
      </c>
      <c r="B959" s="36" t="e">
        <f>VLOOKUP(Tabela_Base_Financeiro[[#This Row],[Item code]],'COD.FAT'!B:C,2,0)</f>
        <v>#N/A</v>
      </c>
      <c r="C959" s="292">
        <f>Tabela_Base_Financeiro[[#This Row],[PO Ship TO]]</f>
        <v>0</v>
      </c>
      <c r="D959" s="36" t="str">
        <f>RIGHT(Tabela_Base_Financeiro[[#This Row],[Manufacturer]],2)</f>
        <v/>
      </c>
      <c r="E95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59" s="122" t="e">
        <f>VLOOKUP(Tabela_Base_Financeiro[[#This Row],[Project Code]],'COD. PROJETOS'!B:D,3,0)</f>
        <v>#N/A</v>
      </c>
      <c r="G959" s="36">
        <f>IFERROR(Tabela_Base_Financeiro[[#This Row],[PO No,]],0)</f>
        <v>0</v>
      </c>
      <c r="H959" s="36">
        <f>IFERROR(Tabela_Base_Financeiro[[#This Row],[Line No,]],0)</f>
        <v>0</v>
      </c>
      <c r="I959" s="36" t="str">
        <f>IFERROR(MID(Tabela_Base_Financeiro[[#This Row],[Manufacturer]],19,14),"")</f>
        <v/>
      </c>
      <c r="J959" s="113">
        <f>IFERROR(Tabela_Base_Financeiro[[#This Row],[Item code]],0)</f>
        <v>0</v>
      </c>
      <c r="K959" s="293">
        <f>IFERROR(Tabela_Base_Financeiro[[#This Row],[Unit Price]],0)</f>
        <v>0</v>
      </c>
      <c r="L959" s="36">
        <f>IFERROR(Tabela_Base_Financeiro[[#This Row],[AC Qty,]],0)</f>
        <v>0</v>
      </c>
      <c r="M959" s="60">
        <f>Tabela6[[#This Row],[Qty]]*Tabela6[[#This Row],[Preço]]</f>
        <v>0</v>
      </c>
      <c r="N959" s="37">
        <f>IFERROR(Tabela_Base_Financeiro[[#This Row],[Proportion]],0)</f>
        <v>0</v>
      </c>
      <c r="O959" s="60">
        <f>Tabela6[[#This Row],[Proporção]]*Tabela6[[#This Row],[Total]]</f>
        <v>0</v>
      </c>
      <c r="P959"/>
      <c r="Q959" s="59"/>
      <c r="R959" s="1"/>
    </row>
    <row r="960" spans="1:18">
      <c r="A960" s="122" t="e">
        <f>IF(VLOOKUP(Tabela6[[#This Row],[UF]],'BASE CC'!B:C,2,0)="SP",IF(Tabela6[[#This Row],[OPERADORA]]="TIM","SP TIM","SPI"),VLOOKUP(Tabela6[[#This Row],[UF]],'BASE CC'!B:C,2,0))</f>
        <v>#N/A</v>
      </c>
      <c r="B960" s="36" t="e">
        <f>VLOOKUP(Tabela_Base_Financeiro[[#This Row],[Item code]],'COD.FAT'!B:C,2,0)</f>
        <v>#N/A</v>
      </c>
      <c r="C960" s="292">
        <f>Tabela_Base_Financeiro[[#This Row],[PO Ship TO]]</f>
        <v>0</v>
      </c>
      <c r="D960" s="36" t="str">
        <f>RIGHT(Tabela_Base_Financeiro[[#This Row],[Manufacturer]],2)</f>
        <v/>
      </c>
      <c r="E96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60" s="122" t="e">
        <f>VLOOKUP(Tabela_Base_Financeiro[[#This Row],[Project Code]],'COD. PROJETOS'!B:D,3,0)</f>
        <v>#N/A</v>
      </c>
      <c r="G960" s="36">
        <f>IFERROR(Tabela_Base_Financeiro[[#This Row],[PO No,]],0)</f>
        <v>0</v>
      </c>
      <c r="H960" s="36">
        <f>IFERROR(Tabela_Base_Financeiro[[#This Row],[Line No,]],0)</f>
        <v>0</v>
      </c>
      <c r="I960" s="36" t="str">
        <f>IFERROR(MID(Tabela_Base_Financeiro[[#This Row],[Manufacturer]],19,14),"")</f>
        <v/>
      </c>
      <c r="J960" s="113">
        <f>IFERROR(Tabela_Base_Financeiro[[#This Row],[Item code]],0)</f>
        <v>0</v>
      </c>
      <c r="K960" s="293">
        <f>IFERROR(Tabela_Base_Financeiro[[#This Row],[Unit Price]],0)</f>
        <v>0</v>
      </c>
      <c r="L960" s="36">
        <f>IFERROR(Tabela_Base_Financeiro[[#This Row],[AC Qty,]],0)</f>
        <v>0</v>
      </c>
      <c r="M960" s="60">
        <f>Tabela6[[#This Row],[Qty]]*Tabela6[[#This Row],[Preço]]</f>
        <v>0</v>
      </c>
      <c r="N960" s="37">
        <f>IFERROR(Tabela_Base_Financeiro[[#This Row],[Proportion]],0)</f>
        <v>0</v>
      </c>
      <c r="O960" s="60">
        <f>Tabela6[[#This Row],[Proporção]]*Tabela6[[#This Row],[Total]]</f>
        <v>0</v>
      </c>
      <c r="P960"/>
      <c r="Q960" s="59"/>
      <c r="R960" s="1"/>
    </row>
    <row r="961" spans="1:18">
      <c r="A961" s="122" t="e">
        <f>IF(VLOOKUP(Tabela6[[#This Row],[UF]],'BASE CC'!B:C,2,0)="SP",IF(Tabela6[[#This Row],[OPERADORA]]="TIM","SP TIM","SPI"),VLOOKUP(Tabela6[[#This Row],[UF]],'BASE CC'!B:C,2,0))</f>
        <v>#N/A</v>
      </c>
      <c r="B961" s="36" t="e">
        <f>VLOOKUP(Tabela_Base_Financeiro[[#This Row],[Item code]],'COD.FAT'!B:C,2,0)</f>
        <v>#N/A</v>
      </c>
      <c r="C961" s="292">
        <f>Tabela_Base_Financeiro[[#This Row],[PO Ship TO]]</f>
        <v>0</v>
      </c>
      <c r="D961" s="36" t="str">
        <f>RIGHT(Tabela_Base_Financeiro[[#This Row],[Manufacturer]],2)</f>
        <v/>
      </c>
      <c r="E96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61" s="122" t="e">
        <f>VLOOKUP(Tabela_Base_Financeiro[[#This Row],[Project Code]],'COD. PROJETOS'!B:D,3,0)</f>
        <v>#N/A</v>
      </c>
      <c r="G961" s="36">
        <f>IFERROR(Tabela_Base_Financeiro[[#This Row],[PO No,]],0)</f>
        <v>0</v>
      </c>
      <c r="H961" s="36">
        <f>IFERROR(Tabela_Base_Financeiro[[#This Row],[Line No,]],0)</f>
        <v>0</v>
      </c>
      <c r="I961" s="36" t="str">
        <f>IFERROR(MID(Tabela_Base_Financeiro[[#This Row],[Manufacturer]],19,14),"")</f>
        <v/>
      </c>
      <c r="J961" s="113">
        <f>IFERROR(Tabela_Base_Financeiro[[#This Row],[Item code]],0)</f>
        <v>0</v>
      </c>
      <c r="K961" s="293">
        <f>IFERROR(Tabela_Base_Financeiro[[#This Row],[Unit Price]],0)</f>
        <v>0</v>
      </c>
      <c r="L961" s="36">
        <f>IFERROR(Tabela_Base_Financeiro[[#This Row],[AC Qty,]],0)</f>
        <v>0</v>
      </c>
      <c r="M961" s="60">
        <f>Tabela6[[#This Row],[Qty]]*Tabela6[[#This Row],[Preço]]</f>
        <v>0</v>
      </c>
      <c r="N961" s="37">
        <f>IFERROR(Tabela_Base_Financeiro[[#This Row],[Proportion]],0)</f>
        <v>0</v>
      </c>
      <c r="O961" s="60">
        <f>Tabela6[[#This Row],[Proporção]]*Tabela6[[#This Row],[Total]]</f>
        <v>0</v>
      </c>
      <c r="P961"/>
      <c r="Q961" s="59"/>
      <c r="R961" s="1"/>
    </row>
    <row r="962" spans="1:18">
      <c r="A962" s="122" t="e">
        <f>IF(VLOOKUP(Tabela6[[#This Row],[UF]],'BASE CC'!B:C,2,0)="SP",IF(Tabela6[[#This Row],[OPERADORA]]="TIM","SP TIM","SPI"),VLOOKUP(Tabela6[[#This Row],[UF]],'BASE CC'!B:C,2,0))</f>
        <v>#N/A</v>
      </c>
      <c r="B962" s="36" t="e">
        <f>VLOOKUP(Tabela_Base_Financeiro[[#This Row],[Item code]],'COD.FAT'!B:C,2,0)</f>
        <v>#N/A</v>
      </c>
      <c r="C962" s="292">
        <f>Tabela_Base_Financeiro[[#This Row],[PO Ship TO]]</f>
        <v>0</v>
      </c>
      <c r="D962" s="36" t="str">
        <f>RIGHT(Tabela_Base_Financeiro[[#This Row],[Manufacturer]],2)</f>
        <v/>
      </c>
      <c r="E96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62" s="122" t="e">
        <f>VLOOKUP(Tabela_Base_Financeiro[[#This Row],[Project Code]],'COD. PROJETOS'!B:D,3,0)</f>
        <v>#N/A</v>
      </c>
      <c r="G962" s="36">
        <f>IFERROR(Tabela_Base_Financeiro[[#This Row],[PO No,]],0)</f>
        <v>0</v>
      </c>
      <c r="H962" s="36">
        <f>IFERROR(Tabela_Base_Financeiro[[#This Row],[Line No,]],0)</f>
        <v>0</v>
      </c>
      <c r="I962" s="36" t="str">
        <f>IFERROR(MID(Tabela_Base_Financeiro[[#This Row],[Manufacturer]],19,14),"")</f>
        <v/>
      </c>
      <c r="J962" s="113">
        <f>IFERROR(Tabela_Base_Financeiro[[#This Row],[Item code]],0)</f>
        <v>0</v>
      </c>
      <c r="K962" s="293">
        <f>IFERROR(Tabela_Base_Financeiro[[#This Row],[Unit Price]],0)</f>
        <v>0</v>
      </c>
      <c r="L962" s="36">
        <f>IFERROR(Tabela_Base_Financeiro[[#This Row],[AC Qty,]],0)</f>
        <v>0</v>
      </c>
      <c r="M962" s="60">
        <f>Tabela6[[#This Row],[Qty]]*Tabela6[[#This Row],[Preço]]</f>
        <v>0</v>
      </c>
      <c r="N962" s="37">
        <f>IFERROR(Tabela_Base_Financeiro[[#This Row],[Proportion]],0)</f>
        <v>0</v>
      </c>
      <c r="O962" s="60">
        <f>Tabela6[[#This Row],[Proporção]]*Tabela6[[#This Row],[Total]]</f>
        <v>0</v>
      </c>
      <c r="P962"/>
      <c r="Q962" s="59"/>
      <c r="R962" s="1"/>
    </row>
    <row r="963" spans="1:18">
      <c r="A963" s="122" t="e">
        <f>IF(VLOOKUP(Tabela6[[#This Row],[UF]],'BASE CC'!B:C,2,0)="SP",IF(Tabela6[[#This Row],[OPERADORA]]="TIM","SP TIM","SPI"),VLOOKUP(Tabela6[[#This Row],[UF]],'BASE CC'!B:C,2,0))</f>
        <v>#N/A</v>
      </c>
      <c r="B963" s="36" t="e">
        <f>VLOOKUP(Tabela_Base_Financeiro[[#This Row],[Item code]],'COD.FAT'!B:C,2,0)</f>
        <v>#N/A</v>
      </c>
      <c r="C963" s="292">
        <f>Tabela_Base_Financeiro[[#This Row],[PO Ship TO]]</f>
        <v>0</v>
      </c>
      <c r="D963" s="36" t="str">
        <f>RIGHT(Tabela_Base_Financeiro[[#This Row],[Manufacturer]],2)</f>
        <v/>
      </c>
      <c r="E96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63" s="122" t="e">
        <f>VLOOKUP(Tabela_Base_Financeiro[[#This Row],[Project Code]],'COD. PROJETOS'!B:D,3,0)</f>
        <v>#N/A</v>
      </c>
      <c r="G963" s="36">
        <f>IFERROR(Tabela_Base_Financeiro[[#This Row],[PO No,]],0)</f>
        <v>0</v>
      </c>
      <c r="H963" s="36">
        <f>IFERROR(Tabela_Base_Financeiro[[#This Row],[Line No,]],0)</f>
        <v>0</v>
      </c>
      <c r="I963" s="36" t="str">
        <f>IFERROR(MID(Tabela_Base_Financeiro[[#This Row],[Manufacturer]],19,14),"")</f>
        <v/>
      </c>
      <c r="J963" s="113">
        <f>IFERROR(Tabela_Base_Financeiro[[#This Row],[Item code]],0)</f>
        <v>0</v>
      </c>
      <c r="K963" s="293">
        <f>IFERROR(Tabela_Base_Financeiro[[#This Row],[Unit Price]],0)</f>
        <v>0</v>
      </c>
      <c r="L963" s="36">
        <f>IFERROR(Tabela_Base_Financeiro[[#This Row],[AC Qty,]],0)</f>
        <v>0</v>
      </c>
      <c r="M963" s="60">
        <f>Tabela6[[#This Row],[Qty]]*Tabela6[[#This Row],[Preço]]</f>
        <v>0</v>
      </c>
      <c r="N963" s="37">
        <f>IFERROR(Tabela_Base_Financeiro[[#This Row],[Proportion]],0)</f>
        <v>0</v>
      </c>
      <c r="O963" s="60">
        <f>Tabela6[[#This Row],[Proporção]]*Tabela6[[#This Row],[Total]]</f>
        <v>0</v>
      </c>
      <c r="P963"/>
      <c r="Q963" s="59"/>
      <c r="R963" s="1"/>
    </row>
    <row r="964" spans="1:18">
      <c r="A964" s="122" t="e">
        <f>IF(VLOOKUP(Tabela6[[#This Row],[UF]],'BASE CC'!B:C,2,0)="SP",IF(Tabela6[[#This Row],[OPERADORA]]="TIM","SP TIM","SPI"),VLOOKUP(Tabela6[[#This Row],[UF]],'BASE CC'!B:C,2,0))</f>
        <v>#N/A</v>
      </c>
      <c r="B964" s="36" t="e">
        <f>VLOOKUP(Tabela_Base_Financeiro[[#This Row],[Item code]],'COD.FAT'!B:C,2,0)</f>
        <v>#N/A</v>
      </c>
      <c r="C964" s="292">
        <f>Tabela_Base_Financeiro[[#This Row],[PO Ship TO]]</f>
        <v>0</v>
      </c>
      <c r="D964" s="36" t="str">
        <f>RIGHT(Tabela_Base_Financeiro[[#This Row],[Manufacturer]],2)</f>
        <v/>
      </c>
      <c r="E96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64" s="122" t="e">
        <f>VLOOKUP(Tabela_Base_Financeiro[[#This Row],[Project Code]],'COD. PROJETOS'!B:D,3,0)</f>
        <v>#N/A</v>
      </c>
      <c r="G964" s="36">
        <f>IFERROR(Tabela_Base_Financeiro[[#This Row],[PO No,]],0)</f>
        <v>0</v>
      </c>
      <c r="H964" s="36">
        <f>IFERROR(Tabela_Base_Financeiro[[#This Row],[Line No,]],0)</f>
        <v>0</v>
      </c>
      <c r="I964" s="36" t="str">
        <f>IFERROR(MID(Tabela_Base_Financeiro[[#This Row],[Manufacturer]],19,14),"")</f>
        <v/>
      </c>
      <c r="J964" s="113">
        <f>IFERROR(Tabela_Base_Financeiro[[#This Row],[Item code]],0)</f>
        <v>0</v>
      </c>
      <c r="K964" s="293">
        <f>IFERROR(Tabela_Base_Financeiro[[#This Row],[Unit Price]],0)</f>
        <v>0</v>
      </c>
      <c r="L964" s="36">
        <f>IFERROR(Tabela_Base_Financeiro[[#This Row],[AC Qty,]],0)</f>
        <v>0</v>
      </c>
      <c r="M964" s="60">
        <f>Tabela6[[#This Row],[Qty]]*Tabela6[[#This Row],[Preço]]</f>
        <v>0</v>
      </c>
      <c r="N964" s="37">
        <f>IFERROR(Tabela_Base_Financeiro[[#This Row],[Proportion]],0)</f>
        <v>0</v>
      </c>
      <c r="O964" s="60">
        <f>Tabela6[[#This Row],[Proporção]]*Tabela6[[#This Row],[Total]]</f>
        <v>0</v>
      </c>
      <c r="P964"/>
      <c r="Q964" s="59"/>
      <c r="R964" s="1"/>
    </row>
    <row r="965" spans="1:18">
      <c r="A965" s="122" t="e">
        <f>IF(VLOOKUP(Tabela6[[#This Row],[UF]],'BASE CC'!B:C,2,0)="SP",IF(Tabela6[[#This Row],[OPERADORA]]="TIM","SP TIM","SPI"),VLOOKUP(Tabela6[[#This Row],[UF]],'BASE CC'!B:C,2,0))</f>
        <v>#N/A</v>
      </c>
      <c r="B965" s="36" t="e">
        <f>VLOOKUP(Tabela_Base_Financeiro[[#This Row],[Item code]],'COD.FAT'!B:C,2,0)</f>
        <v>#N/A</v>
      </c>
      <c r="C965" s="292">
        <f>Tabela_Base_Financeiro[[#This Row],[PO Ship TO]]</f>
        <v>0</v>
      </c>
      <c r="D965" s="36" t="str">
        <f>RIGHT(Tabela_Base_Financeiro[[#This Row],[Manufacturer]],2)</f>
        <v/>
      </c>
      <c r="E96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65" s="122" t="e">
        <f>VLOOKUP(Tabela_Base_Financeiro[[#This Row],[Project Code]],'COD. PROJETOS'!B:D,3,0)</f>
        <v>#N/A</v>
      </c>
      <c r="G965" s="36">
        <f>IFERROR(Tabela_Base_Financeiro[[#This Row],[PO No,]],0)</f>
        <v>0</v>
      </c>
      <c r="H965" s="36">
        <f>IFERROR(Tabela_Base_Financeiro[[#This Row],[Line No,]],0)</f>
        <v>0</v>
      </c>
      <c r="I965" s="36" t="str">
        <f>IFERROR(MID(Tabela_Base_Financeiro[[#This Row],[Manufacturer]],19,14),"")</f>
        <v/>
      </c>
      <c r="J965" s="113">
        <f>IFERROR(Tabela_Base_Financeiro[[#This Row],[Item code]],0)</f>
        <v>0</v>
      </c>
      <c r="K965" s="293">
        <f>IFERROR(Tabela_Base_Financeiro[[#This Row],[Unit Price]],0)</f>
        <v>0</v>
      </c>
      <c r="L965" s="36">
        <f>IFERROR(Tabela_Base_Financeiro[[#This Row],[AC Qty,]],0)</f>
        <v>0</v>
      </c>
      <c r="M965" s="60">
        <f>Tabela6[[#This Row],[Qty]]*Tabela6[[#This Row],[Preço]]</f>
        <v>0</v>
      </c>
      <c r="N965" s="37">
        <f>IFERROR(Tabela_Base_Financeiro[[#This Row],[Proportion]],0)</f>
        <v>0</v>
      </c>
      <c r="O965" s="60">
        <f>Tabela6[[#This Row],[Proporção]]*Tabela6[[#This Row],[Total]]</f>
        <v>0</v>
      </c>
      <c r="P965"/>
      <c r="Q965" s="59"/>
      <c r="R965" s="1"/>
    </row>
    <row r="966" spans="1:18">
      <c r="A966" s="122" t="e">
        <f>IF(VLOOKUP(Tabela6[[#This Row],[UF]],'BASE CC'!B:C,2,0)="SP",IF(Tabela6[[#This Row],[OPERADORA]]="TIM","SP TIM","SPI"),VLOOKUP(Tabela6[[#This Row],[UF]],'BASE CC'!B:C,2,0))</f>
        <v>#N/A</v>
      </c>
      <c r="B966" s="36" t="e">
        <f>VLOOKUP(Tabela_Base_Financeiro[[#This Row],[Item code]],'COD.FAT'!B:C,2,0)</f>
        <v>#N/A</v>
      </c>
      <c r="C966" s="292">
        <f>Tabela_Base_Financeiro[[#This Row],[PO Ship TO]]</f>
        <v>0</v>
      </c>
      <c r="D966" s="36" t="str">
        <f>RIGHT(Tabela_Base_Financeiro[[#This Row],[Manufacturer]],2)</f>
        <v/>
      </c>
      <c r="E96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66" s="122" t="e">
        <f>VLOOKUP(Tabela_Base_Financeiro[[#This Row],[Project Code]],'COD. PROJETOS'!B:D,3,0)</f>
        <v>#N/A</v>
      </c>
      <c r="G966" s="36">
        <f>IFERROR(Tabela_Base_Financeiro[[#This Row],[PO No,]],0)</f>
        <v>0</v>
      </c>
      <c r="H966" s="36">
        <f>IFERROR(Tabela_Base_Financeiro[[#This Row],[Line No,]],0)</f>
        <v>0</v>
      </c>
      <c r="I966" s="36" t="str">
        <f>IFERROR(MID(Tabela_Base_Financeiro[[#This Row],[Manufacturer]],19,14),"")</f>
        <v/>
      </c>
      <c r="J966" s="113">
        <f>IFERROR(Tabela_Base_Financeiro[[#This Row],[Item code]],0)</f>
        <v>0</v>
      </c>
      <c r="K966" s="293">
        <f>IFERROR(Tabela_Base_Financeiro[[#This Row],[Unit Price]],0)</f>
        <v>0</v>
      </c>
      <c r="L966" s="36">
        <f>IFERROR(Tabela_Base_Financeiro[[#This Row],[AC Qty,]],0)</f>
        <v>0</v>
      </c>
      <c r="M966" s="60">
        <f>Tabela6[[#This Row],[Qty]]*Tabela6[[#This Row],[Preço]]</f>
        <v>0</v>
      </c>
      <c r="N966" s="37">
        <f>IFERROR(Tabela_Base_Financeiro[[#This Row],[Proportion]],0)</f>
        <v>0</v>
      </c>
      <c r="O966" s="60">
        <f>Tabela6[[#This Row],[Proporção]]*Tabela6[[#This Row],[Total]]</f>
        <v>0</v>
      </c>
      <c r="P966"/>
      <c r="Q966" s="59"/>
      <c r="R966" s="1"/>
    </row>
    <row r="967" spans="1:18">
      <c r="A967" s="122" t="e">
        <f>IF(VLOOKUP(Tabela6[[#This Row],[UF]],'BASE CC'!B:C,2,0)="SP",IF(Tabela6[[#This Row],[OPERADORA]]="TIM","SP TIM","SPI"),VLOOKUP(Tabela6[[#This Row],[UF]],'BASE CC'!B:C,2,0))</f>
        <v>#N/A</v>
      </c>
      <c r="B967" s="36" t="e">
        <f>VLOOKUP(Tabela_Base_Financeiro[[#This Row],[Item code]],'COD.FAT'!B:C,2,0)</f>
        <v>#N/A</v>
      </c>
      <c r="C967" s="292">
        <f>Tabela_Base_Financeiro[[#This Row],[PO Ship TO]]</f>
        <v>0</v>
      </c>
      <c r="D967" s="36" t="str">
        <f>RIGHT(Tabela_Base_Financeiro[[#This Row],[Manufacturer]],2)</f>
        <v/>
      </c>
      <c r="E96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67" s="122" t="e">
        <f>VLOOKUP(Tabela_Base_Financeiro[[#This Row],[Project Code]],'COD. PROJETOS'!B:D,3,0)</f>
        <v>#N/A</v>
      </c>
      <c r="G967" s="36">
        <f>IFERROR(Tabela_Base_Financeiro[[#This Row],[PO No,]],0)</f>
        <v>0</v>
      </c>
      <c r="H967" s="36">
        <f>IFERROR(Tabela_Base_Financeiro[[#This Row],[Line No,]],0)</f>
        <v>0</v>
      </c>
      <c r="I967" s="36" t="str">
        <f>IFERROR(MID(Tabela_Base_Financeiro[[#This Row],[Manufacturer]],19,14),"")</f>
        <v/>
      </c>
      <c r="J967" s="113">
        <f>IFERROR(Tabela_Base_Financeiro[[#This Row],[Item code]],0)</f>
        <v>0</v>
      </c>
      <c r="K967" s="293">
        <f>IFERROR(Tabela_Base_Financeiro[[#This Row],[Unit Price]],0)</f>
        <v>0</v>
      </c>
      <c r="L967" s="36">
        <f>IFERROR(Tabela_Base_Financeiro[[#This Row],[AC Qty,]],0)</f>
        <v>0</v>
      </c>
      <c r="M967" s="60">
        <f>Tabela6[[#This Row],[Qty]]*Tabela6[[#This Row],[Preço]]</f>
        <v>0</v>
      </c>
      <c r="N967" s="37">
        <f>IFERROR(Tabela_Base_Financeiro[[#This Row],[Proportion]],0)</f>
        <v>0</v>
      </c>
      <c r="O967" s="60">
        <f>Tabela6[[#This Row],[Proporção]]*Tabela6[[#This Row],[Total]]</f>
        <v>0</v>
      </c>
      <c r="P967"/>
      <c r="Q967" s="59"/>
      <c r="R967" s="1"/>
    </row>
    <row r="968" spans="1:18">
      <c r="A968" s="122" t="e">
        <f>IF(VLOOKUP(Tabela6[[#This Row],[UF]],'BASE CC'!B:C,2,0)="SP",IF(Tabela6[[#This Row],[OPERADORA]]="TIM","SP TIM","SPI"),VLOOKUP(Tabela6[[#This Row],[UF]],'BASE CC'!B:C,2,0))</f>
        <v>#N/A</v>
      </c>
      <c r="B968" s="36" t="e">
        <f>VLOOKUP(Tabela_Base_Financeiro[[#This Row],[Item code]],'COD.FAT'!B:C,2,0)</f>
        <v>#N/A</v>
      </c>
      <c r="C968" s="292">
        <f>Tabela_Base_Financeiro[[#This Row],[PO Ship TO]]</f>
        <v>0</v>
      </c>
      <c r="D968" s="36" t="str">
        <f>RIGHT(Tabela_Base_Financeiro[[#This Row],[Manufacturer]],2)</f>
        <v/>
      </c>
      <c r="E96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68" s="122" t="e">
        <f>VLOOKUP(Tabela_Base_Financeiro[[#This Row],[Project Code]],'COD. PROJETOS'!B:D,3,0)</f>
        <v>#N/A</v>
      </c>
      <c r="G968" s="36">
        <f>IFERROR(Tabela_Base_Financeiro[[#This Row],[PO No,]],0)</f>
        <v>0</v>
      </c>
      <c r="H968" s="36">
        <f>IFERROR(Tabela_Base_Financeiro[[#This Row],[Line No,]],0)</f>
        <v>0</v>
      </c>
      <c r="I968" s="36" t="str">
        <f>IFERROR(MID(Tabela_Base_Financeiro[[#This Row],[Manufacturer]],19,14),"")</f>
        <v/>
      </c>
      <c r="J968" s="113">
        <f>IFERROR(Tabela_Base_Financeiro[[#This Row],[Item code]],0)</f>
        <v>0</v>
      </c>
      <c r="K968" s="293">
        <f>IFERROR(Tabela_Base_Financeiro[[#This Row],[Unit Price]],0)</f>
        <v>0</v>
      </c>
      <c r="L968" s="36">
        <f>IFERROR(Tabela_Base_Financeiro[[#This Row],[AC Qty,]],0)</f>
        <v>0</v>
      </c>
      <c r="M968" s="60">
        <f>Tabela6[[#This Row],[Qty]]*Tabela6[[#This Row],[Preço]]</f>
        <v>0</v>
      </c>
      <c r="N968" s="37">
        <f>IFERROR(Tabela_Base_Financeiro[[#This Row],[Proportion]],0)</f>
        <v>0</v>
      </c>
      <c r="O968" s="60">
        <f>Tabela6[[#This Row],[Proporção]]*Tabela6[[#This Row],[Total]]</f>
        <v>0</v>
      </c>
      <c r="P968"/>
      <c r="Q968" s="59"/>
      <c r="R968" s="1"/>
    </row>
    <row r="969" spans="1:18">
      <c r="A969" s="122" t="e">
        <f>IF(VLOOKUP(Tabela6[[#This Row],[UF]],'BASE CC'!B:C,2,0)="SP",IF(Tabela6[[#This Row],[OPERADORA]]="TIM","SP TIM","SPI"),VLOOKUP(Tabela6[[#This Row],[UF]],'BASE CC'!B:C,2,0))</f>
        <v>#N/A</v>
      </c>
      <c r="B969" s="36" t="e">
        <f>VLOOKUP(Tabela_Base_Financeiro[[#This Row],[Item code]],'COD.FAT'!B:C,2,0)</f>
        <v>#N/A</v>
      </c>
      <c r="C969" s="292">
        <f>Tabela_Base_Financeiro[[#This Row],[PO Ship TO]]</f>
        <v>0</v>
      </c>
      <c r="D969" s="36" t="str">
        <f>RIGHT(Tabela_Base_Financeiro[[#This Row],[Manufacturer]],2)</f>
        <v/>
      </c>
      <c r="E96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69" s="122" t="e">
        <f>VLOOKUP(Tabela_Base_Financeiro[[#This Row],[Project Code]],'COD. PROJETOS'!B:D,3,0)</f>
        <v>#N/A</v>
      </c>
      <c r="G969" s="36">
        <f>IFERROR(Tabela_Base_Financeiro[[#This Row],[PO No,]],0)</f>
        <v>0</v>
      </c>
      <c r="H969" s="36">
        <f>IFERROR(Tabela_Base_Financeiro[[#This Row],[Line No,]],0)</f>
        <v>0</v>
      </c>
      <c r="I969" s="36" t="str">
        <f>IFERROR(MID(Tabela_Base_Financeiro[[#This Row],[Manufacturer]],19,14),"")</f>
        <v/>
      </c>
      <c r="J969" s="113">
        <f>IFERROR(Tabela_Base_Financeiro[[#This Row],[Item code]],0)</f>
        <v>0</v>
      </c>
      <c r="K969" s="293">
        <f>IFERROR(Tabela_Base_Financeiro[[#This Row],[Unit Price]],0)</f>
        <v>0</v>
      </c>
      <c r="L969" s="36">
        <f>IFERROR(Tabela_Base_Financeiro[[#This Row],[AC Qty,]],0)</f>
        <v>0</v>
      </c>
      <c r="M969" s="60">
        <f>Tabela6[[#This Row],[Qty]]*Tabela6[[#This Row],[Preço]]</f>
        <v>0</v>
      </c>
      <c r="N969" s="37">
        <f>IFERROR(Tabela_Base_Financeiro[[#This Row],[Proportion]],0)</f>
        <v>0</v>
      </c>
      <c r="O969" s="60">
        <f>Tabela6[[#This Row],[Proporção]]*Tabela6[[#This Row],[Total]]</f>
        <v>0</v>
      </c>
      <c r="P969"/>
      <c r="Q969" s="59"/>
      <c r="R969" s="1"/>
    </row>
    <row r="970" spans="1:18">
      <c r="A970" s="122" t="e">
        <f>IF(VLOOKUP(Tabela6[[#This Row],[UF]],'BASE CC'!B:C,2,0)="SP",IF(Tabela6[[#This Row],[OPERADORA]]="TIM","SP TIM","SPI"),VLOOKUP(Tabela6[[#This Row],[UF]],'BASE CC'!B:C,2,0))</f>
        <v>#N/A</v>
      </c>
      <c r="B970" s="36" t="e">
        <f>VLOOKUP(Tabela_Base_Financeiro[[#This Row],[Item code]],'COD.FAT'!B:C,2,0)</f>
        <v>#N/A</v>
      </c>
      <c r="C970" s="292">
        <f>Tabela_Base_Financeiro[[#This Row],[PO Ship TO]]</f>
        <v>0</v>
      </c>
      <c r="D970" s="36" t="str">
        <f>RIGHT(Tabela_Base_Financeiro[[#This Row],[Manufacturer]],2)</f>
        <v/>
      </c>
      <c r="E97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70" s="122" t="e">
        <f>VLOOKUP(Tabela_Base_Financeiro[[#This Row],[Project Code]],'COD. PROJETOS'!B:D,3,0)</f>
        <v>#N/A</v>
      </c>
      <c r="G970" s="36">
        <f>IFERROR(Tabela_Base_Financeiro[[#This Row],[PO No,]],0)</f>
        <v>0</v>
      </c>
      <c r="H970" s="36">
        <f>IFERROR(Tabela_Base_Financeiro[[#This Row],[Line No,]],0)</f>
        <v>0</v>
      </c>
      <c r="I970" s="36" t="str">
        <f>IFERROR(MID(Tabela_Base_Financeiro[[#This Row],[Manufacturer]],19,14),"")</f>
        <v/>
      </c>
      <c r="J970" s="113">
        <f>IFERROR(Tabela_Base_Financeiro[[#This Row],[Item code]],0)</f>
        <v>0</v>
      </c>
      <c r="K970" s="293">
        <f>IFERROR(Tabela_Base_Financeiro[[#This Row],[Unit Price]],0)</f>
        <v>0</v>
      </c>
      <c r="L970" s="36">
        <f>IFERROR(Tabela_Base_Financeiro[[#This Row],[AC Qty,]],0)</f>
        <v>0</v>
      </c>
      <c r="M970" s="60">
        <f>Tabela6[[#This Row],[Qty]]*Tabela6[[#This Row],[Preço]]</f>
        <v>0</v>
      </c>
      <c r="N970" s="37">
        <f>IFERROR(Tabela_Base_Financeiro[[#This Row],[Proportion]],0)</f>
        <v>0</v>
      </c>
      <c r="O970" s="60">
        <f>Tabela6[[#This Row],[Proporção]]*Tabela6[[#This Row],[Total]]</f>
        <v>0</v>
      </c>
      <c r="P970"/>
      <c r="Q970" s="59"/>
      <c r="R970" s="1"/>
    </row>
    <row r="971" spans="1:18">
      <c r="A971" s="122" t="e">
        <f>IF(VLOOKUP(Tabela6[[#This Row],[UF]],'BASE CC'!B:C,2,0)="SP",IF(Tabela6[[#This Row],[OPERADORA]]="TIM","SP TIM","SPI"),VLOOKUP(Tabela6[[#This Row],[UF]],'BASE CC'!B:C,2,0))</f>
        <v>#N/A</v>
      </c>
      <c r="B971" s="36" t="e">
        <f>VLOOKUP(Tabela_Base_Financeiro[[#This Row],[Item code]],'COD.FAT'!B:C,2,0)</f>
        <v>#N/A</v>
      </c>
      <c r="C971" s="292">
        <f>Tabela_Base_Financeiro[[#This Row],[PO Ship TO]]</f>
        <v>0</v>
      </c>
      <c r="D971" s="36" t="str">
        <f>RIGHT(Tabela_Base_Financeiro[[#This Row],[Manufacturer]],2)</f>
        <v/>
      </c>
      <c r="E97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71" s="122" t="e">
        <f>VLOOKUP(Tabela_Base_Financeiro[[#This Row],[Project Code]],'COD. PROJETOS'!B:D,3,0)</f>
        <v>#N/A</v>
      </c>
      <c r="G971" s="36">
        <f>IFERROR(Tabela_Base_Financeiro[[#This Row],[PO No,]],0)</f>
        <v>0</v>
      </c>
      <c r="H971" s="36">
        <f>IFERROR(Tabela_Base_Financeiro[[#This Row],[Line No,]],0)</f>
        <v>0</v>
      </c>
      <c r="I971" s="36" t="str">
        <f>IFERROR(MID(Tabela_Base_Financeiro[[#This Row],[Manufacturer]],19,14),"")</f>
        <v/>
      </c>
      <c r="J971" s="113">
        <f>IFERROR(Tabela_Base_Financeiro[[#This Row],[Item code]],0)</f>
        <v>0</v>
      </c>
      <c r="K971" s="293">
        <f>IFERROR(Tabela_Base_Financeiro[[#This Row],[Unit Price]],0)</f>
        <v>0</v>
      </c>
      <c r="L971" s="36">
        <f>IFERROR(Tabela_Base_Financeiro[[#This Row],[AC Qty,]],0)</f>
        <v>0</v>
      </c>
      <c r="M971" s="60">
        <f>Tabela6[[#This Row],[Qty]]*Tabela6[[#This Row],[Preço]]</f>
        <v>0</v>
      </c>
      <c r="N971" s="37">
        <f>IFERROR(Tabela_Base_Financeiro[[#This Row],[Proportion]],0)</f>
        <v>0</v>
      </c>
      <c r="O971" s="60">
        <f>Tabela6[[#This Row],[Proporção]]*Tabela6[[#This Row],[Total]]</f>
        <v>0</v>
      </c>
      <c r="P971"/>
      <c r="Q971" s="59"/>
      <c r="R971" s="1"/>
    </row>
    <row r="972" spans="1:18">
      <c r="A972" s="122" t="e">
        <f>IF(VLOOKUP(Tabela6[[#This Row],[UF]],'BASE CC'!B:C,2,0)="SP",IF(Tabela6[[#This Row],[OPERADORA]]="TIM","SP TIM","SPI"),VLOOKUP(Tabela6[[#This Row],[UF]],'BASE CC'!B:C,2,0))</f>
        <v>#N/A</v>
      </c>
      <c r="B972" s="36" t="e">
        <f>VLOOKUP(Tabela_Base_Financeiro[[#This Row],[Item code]],'COD.FAT'!B:C,2,0)</f>
        <v>#N/A</v>
      </c>
      <c r="C972" s="292">
        <f>Tabela_Base_Financeiro[[#This Row],[PO Ship TO]]</f>
        <v>0</v>
      </c>
      <c r="D972" s="36" t="str">
        <f>RIGHT(Tabela_Base_Financeiro[[#This Row],[Manufacturer]],2)</f>
        <v/>
      </c>
      <c r="E97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72" s="122" t="e">
        <f>VLOOKUP(Tabela_Base_Financeiro[[#This Row],[Project Code]],'COD. PROJETOS'!B:D,3,0)</f>
        <v>#N/A</v>
      </c>
      <c r="G972" s="36">
        <f>IFERROR(Tabela_Base_Financeiro[[#This Row],[PO No,]],0)</f>
        <v>0</v>
      </c>
      <c r="H972" s="36">
        <f>IFERROR(Tabela_Base_Financeiro[[#This Row],[Line No,]],0)</f>
        <v>0</v>
      </c>
      <c r="I972" s="36" t="str">
        <f>IFERROR(MID(Tabela_Base_Financeiro[[#This Row],[Manufacturer]],19,14),"")</f>
        <v/>
      </c>
      <c r="J972" s="113">
        <f>IFERROR(Tabela_Base_Financeiro[[#This Row],[Item code]],0)</f>
        <v>0</v>
      </c>
      <c r="K972" s="293">
        <f>IFERROR(Tabela_Base_Financeiro[[#This Row],[Unit Price]],0)</f>
        <v>0</v>
      </c>
      <c r="L972" s="36">
        <f>IFERROR(Tabela_Base_Financeiro[[#This Row],[AC Qty,]],0)</f>
        <v>0</v>
      </c>
      <c r="M972" s="60">
        <f>Tabela6[[#This Row],[Qty]]*Tabela6[[#This Row],[Preço]]</f>
        <v>0</v>
      </c>
      <c r="N972" s="37">
        <f>IFERROR(Tabela_Base_Financeiro[[#This Row],[Proportion]],0)</f>
        <v>0</v>
      </c>
      <c r="O972" s="60">
        <f>Tabela6[[#This Row],[Proporção]]*Tabela6[[#This Row],[Total]]</f>
        <v>0</v>
      </c>
      <c r="P972"/>
      <c r="Q972" s="59"/>
      <c r="R972" s="1"/>
    </row>
    <row r="973" spans="1:18">
      <c r="A973" s="122" t="e">
        <f>IF(VLOOKUP(Tabela6[[#This Row],[UF]],'BASE CC'!B:C,2,0)="SP",IF(Tabela6[[#This Row],[OPERADORA]]="TIM","SP TIM","SPI"),VLOOKUP(Tabela6[[#This Row],[UF]],'BASE CC'!B:C,2,0))</f>
        <v>#N/A</v>
      </c>
      <c r="B973" s="36" t="e">
        <f>VLOOKUP(Tabela_Base_Financeiro[[#This Row],[Item code]],'COD.FAT'!B:C,2,0)</f>
        <v>#N/A</v>
      </c>
      <c r="C973" s="292">
        <f>Tabela_Base_Financeiro[[#This Row],[PO Ship TO]]</f>
        <v>0</v>
      </c>
      <c r="D973" s="36" t="str">
        <f>RIGHT(Tabela_Base_Financeiro[[#This Row],[Manufacturer]],2)</f>
        <v/>
      </c>
      <c r="E97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73" s="122" t="e">
        <f>VLOOKUP(Tabela_Base_Financeiro[[#This Row],[Project Code]],'COD. PROJETOS'!B:D,3,0)</f>
        <v>#N/A</v>
      </c>
      <c r="G973" s="36">
        <f>IFERROR(Tabela_Base_Financeiro[[#This Row],[PO No,]],0)</f>
        <v>0</v>
      </c>
      <c r="H973" s="36">
        <f>IFERROR(Tabela_Base_Financeiro[[#This Row],[Line No,]],0)</f>
        <v>0</v>
      </c>
      <c r="I973" s="36" t="str">
        <f>IFERROR(MID(Tabela_Base_Financeiro[[#This Row],[Manufacturer]],19,14),"")</f>
        <v/>
      </c>
      <c r="J973" s="113">
        <f>IFERROR(Tabela_Base_Financeiro[[#This Row],[Item code]],0)</f>
        <v>0</v>
      </c>
      <c r="K973" s="293">
        <f>IFERROR(Tabela_Base_Financeiro[[#This Row],[Unit Price]],0)</f>
        <v>0</v>
      </c>
      <c r="L973" s="36">
        <f>IFERROR(Tabela_Base_Financeiro[[#This Row],[AC Qty,]],0)</f>
        <v>0</v>
      </c>
      <c r="M973" s="60">
        <f>Tabela6[[#This Row],[Qty]]*Tabela6[[#This Row],[Preço]]</f>
        <v>0</v>
      </c>
      <c r="N973" s="37">
        <f>IFERROR(Tabela_Base_Financeiro[[#This Row],[Proportion]],0)</f>
        <v>0</v>
      </c>
      <c r="O973" s="60">
        <f>Tabela6[[#This Row],[Proporção]]*Tabela6[[#This Row],[Total]]</f>
        <v>0</v>
      </c>
      <c r="P973"/>
      <c r="Q973" s="59"/>
      <c r="R973" s="1"/>
    </row>
    <row r="974" spans="1:18">
      <c r="A974" s="122" t="e">
        <f>IF(VLOOKUP(Tabela6[[#This Row],[UF]],'BASE CC'!B:C,2,0)="SP",IF(Tabela6[[#This Row],[OPERADORA]]="TIM","SP TIM","SPI"),VLOOKUP(Tabela6[[#This Row],[UF]],'BASE CC'!B:C,2,0))</f>
        <v>#N/A</v>
      </c>
      <c r="B974" s="36" t="e">
        <f>VLOOKUP(Tabela_Base_Financeiro[[#This Row],[Item code]],'COD.FAT'!B:C,2,0)</f>
        <v>#N/A</v>
      </c>
      <c r="C974" s="292">
        <f>Tabela_Base_Financeiro[[#This Row],[PO Ship TO]]</f>
        <v>0</v>
      </c>
      <c r="D974" s="36" t="str">
        <f>RIGHT(Tabela_Base_Financeiro[[#This Row],[Manufacturer]],2)</f>
        <v/>
      </c>
      <c r="E97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74" s="122" t="e">
        <f>VLOOKUP(Tabela_Base_Financeiro[[#This Row],[Project Code]],'COD. PROJETOS'!B:D,3,0)</f>
        <v>#N/A</v>
      </c>
      <c r="G974" s="36">
        <f>IFERROR(Tabela_Base_Financeiro[[#This Row],[PO No,]],0)</f>
        <v>0</v>
      </c>
      <c r="H974" s="36">
        <f>IFERROR(Tabela_Base_Financeiro[[#This Row],[Line No,]],0)</f>
        <v>0</v>
      </c>
      <c r="I974" s="36" t="str">
        <f>IFERROR(MID(Tabela_Base_Financeiro[[#This Row],[Manufacturer]],19,14),"")</f>
        <v/>
      </c>
      <c r="J974" s="113">
        <f>IFERROR(Tabela_Base_Financeiro[[#This Row],[Item code]],0)</f>
        <v>0</v>
      </c>
      <c r="K974" s="293">
        <f>IFERROR(Tabela_Base_Financeiro[[#This Row],[Unit Price]],0)</f>
        <v>0</v>
      </c>
      <c r="L974" s="36">
        <f>IFERROR(Tabela_Base_Financeiro[[#This Row],[AC Qty,]],0)</f>
        <v>0</v>
      </c>
      <c r="M974" s="60">
        <f>Tabela6[[#This Row],[Qty]]*Tabela6[[#This Row],[Preço]]</f>
        <v>0</v>
      </c>
      <c r="N974" s="37">
        <f>IFERROR(Tabela_Base_Financeiro[[#This Row],[Proportion]],0)</f>
        <v>0</v>
      </c>
      <c r="O974" s="60">
        <f>Tabela6[[#This Row],[Proporção]]*Tabela6[[#This Row],[Total]]</f>
        <v>0</v>
      </c>
      <c r="P974"/>
      <c r="Q974" s="59"/>
      <c r="R974" s="1"/>
    </row>
    <row r="975" spans="1:18">
      <c r="A975" s="122" t="e">
        <f>IF(VLOOKUP(Tabela6[[#This Row],[UF]],'BASE CC'!B:C,2,0)="SP",IF(Tabela6[[#This Row],[OPERADORA]]="TIM","SP TIM","SPI"),VLOOKUP(Tabela6[[#This Row],[UF]],'BASE CC'!B:C,2,0))</f>
        <v>#N/A</v>
      </c>
      <c r="B975" s="36" t="e">
        <f>VLOOKUP(Tabela_Base_Financeiro[[#This Row],[Item code]],'COD.FAT'!B:C,2,0)</f>
        <v>#N/A</v>
      </c>
      <c r="C975" s="292">
        <f>Tabela_Base_Financeiro[[#This Row],[PO Ship TO]]</f>
        <v>0</v>
      </c>
      <c r="D975" s="36" t="str">
        <f>RIGHT(Tabela_Base_Financeiro[[#This Row],[Manufacturer]],2)</f>
        <v/>
      </c>
      <c r="E97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75" s="122" t="e">
        <f>VLOOKUP(Tabela_Base_Financeiro[[#This Row],[Project Code]],'COD. PROJETOS'!B:D,3,0)</f>
        <v>#N/A</v>
      </c>
      <c r="G975" s="36">
        <f>IFERROR(Tabela_Base_Financeiro[[#This Row],[PO No,]],0)</f>
        <v>0</v>
      </c>
      <c r="H975" s="36">
        <f>IFERROR(Tabela_Base_Financeiro[[#This Row],[Line No,]],0)</f>
        <v>0</v>
      </c>
      <c r="I975" s="36" t="str">
        <f>IFERROR(MID(Tabela_Base_Financeiro[[#This Row],[Manufacturer]],19,14),"")</f>
        <v/>
      </c>
      <c r="J975" s="113">
        <f>IFERROR(Tabela_Base_Financeiro[[#This Row],[Item code]],0)</f>
        <v>0</v>
      </c>
      <c r="K975" s="293">
        <f>IFERROR(Tabela_Base_Financeiro[[#This Row],[Unit Price]],0)</f>
        <v>0</v>
      </c>
      <c r="L975" s="36">
        <f>IFERROR(Tabela_Base_Financeiro[[#This Row],[AC Qty,]],0)</f>
        <v>0</v>
      </c>
      <c r="M975" s="60">
        <f>Tabela6[[#This Row],[Qty]]*Tabela6[[#This Row],[Preço]]</f>
        <v>0</v>
      </c>
      <c r="N975" s="37">
        <f>IFERROR(Tabela_Base_Financeiro[[#This Row],[Proportion]],0)</f>
        <v>0</v>
      </c>
      <c r="O975" s="60">
        <f>Tabela6[[#This Row],[Proporção]]*Tabela6[[#This Row],[Total]]</f>
        <v>0</v>
      </c>
      <c r="P975"/>
      <c r="Q975" s="59"/>
      <c r="R975" s="1"/>
    </row>
    <row r="976" spans="1:18">
      <c r="A976" s="122" t="e">
        <f>IF(VLOOKUP(Tabela6[[#This Row],[UF]],'BASE CC'!B:C,2,0)="SP",IF(Tabela6[[#This Row],[OPERADORA]]="TIM","SP TIM","SPI"),VLOOKUP(Tabela6[[#This Row],[UF]],'BASE CC'!B:C,2,0))</f>
        <v>#N/A</v>
      </c>
      <c r="B976" s="36" t="e">
        <f>VLOOKUP(Tabela_Base_Financeiro[[#This Row],[Item code]],'COD.FAT'!B:C,2,0)</f>
        <v>#N/A</v>
      </c>
      <c r="C976" s="292">
        <f>Tabela_Base_Financeiro[[#This Row],[PO Ship TO]]</f>
        <v>0</v>
      </c>
      <c r="D976" s="36" t="str">
        <f>RIGHT(Tabela_Base_Financeiro[[#This Row],[Manufacturer]],2)</f>
        <v/>
      </c>
      <c r="E97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76" s="122" t="e">
        <f>VLOOKUP(Tabela_Base_Financeiro[[#This Row],[Project Code]],'COD. PROJETOS'!B:D,3,0)</f>
        <v>#N/A</v>
      </c>
      <c r="G976" s="36">
        <f>IFERROR(Tabela_Base_Financeiro[[#This Row],[PO No,]],0)</f>
        <v>0</v>
      </c>
      <c r="H976" s="36">
        <f>IFERROR(Tabela_Base_Financeiro[[#This Row],[Line No,]],0)</f>
        <v>0</v>
      </c>
      <c r="I976" s="36" t="str">
        <f>IFERROR(MID(Tabela_Base_Financeiro[[#This Row],[Manufacturer]],19,14),"")</f>
        <v/>
      </c>
      <c r="J976" s="113">
        <f>IFERROR(Tabela_Base_Financeiro[[#This Row],[Item code]],0)</f>
        <v>0</v>
      </c>
      <c r="K976" s="293">
        <f>IFERROR(Tabela_Base_Financeiro[[#This Row],[Unit Price]],0)</f>
        <v>0</v>
      </c>
      <c r="L976" s="36">
        <f>IFERROR(Tabela_Base_Financeiro[[#This Row],[AC Qty,]],0)</f>
        <v>0</v>
      </c>
      <c r="M976" s="60">
        <f>Tabela6[[#This Row],[Qty]]*Tabela6[[#This Row],[Preço]]</f>
        <v>0</v>
      </c>
      <c r="N976" s="37">
        <f>IFERROR(Tabela_Base_Financeiro[[#This Row],[Proportion]],0)</f>
        <v>0</v>
      </c>
      <c r="O976" s="60">
        <f>Tabela6[[#This Row],[Proporção]]*Tabela6[[#This Row],[Total]]</f>
        <v>0</v>
      </c>
      <c r="P976"/>
      <c r="Q976" s="59"/>
      <c r="R976" s="1"/>
    </row>
    <row r="977" spans="1:18">
      <c r="A977" s="122" t="e">
        <f>IF(VLOOKUP(Tabela6[[#This Row],[UF]],'BASE CC'!B:C,2,0)="SP",IF(Tabela6[[#This Row],[OPERADORA]]="TIM","SP TIM","SPI"),VLOOKUP(Tabela6[[#This Row],[UF]],'BASE CC'!B:C,2,0))</f>
        <v>#N/A</v>
      </c>
      <c r="B977" s="36" t="e">
        <f>VLOOKUP(Tabela_Base_Financeiro[[#This Row],[Item code]],'COD.FAT'!B:C,2,0)</f>
        <v>#N/A</v>
      </c>
      <c r="C977" s="292">
        <f>Tabela_Base_Financeiro[[#This Row],[PO Ship TO]]</f>
        <v>0</v>
      </c>
      <c r="D977" s="36" t="str">
        <f>RIGHT(Tabela_Base_Financeiro[[#This Row],[Manufacturer]],2)</f>
        <v/>
      </c>
      <c r="E97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77" s="122" t="e">
        <f>VLOOKUP(Tabela_Base_Financeiro[[#This Row],[Project Code]],'COD. PROJETOS'!B:D,3,0)</f>
        <v>#N/A</v>
      </c>
      <c r="G977" s="36">
        <f>IFERROR(Tabela_Base_Financeiro[[#This Row],[PO No,]],0)</f>
        <v>0</v>
      </c>
      <c r="H977" s="36">
        <f>IFERROR(Tabela_Base_Financeiro[[#This Row],[Line No,]],0)</f>
        <v>0</v>
      </c>
      <c r="I977" s="36" t="str">
        <f>IFERROR(MID(Tabela_Base_Financeiro[[#This Row],[Manufacturer]],19,14),"")</f>
        <v/>
      </c>
      <c r="J977" s="113">
        <f>IFERROR(Tabela_Base_Financeiro[[#This Row],[Item code]],0)</f>
        <v>0</v>
      </c>
      <c r="K977" s="293">
        <f>IFERROR(Tabela_Base_Financeiro[[#This Row],[Unit Price]],0)</f>
        <v>0</v>
      </c>
      <c r="L977" s="36">
        <f>IFERROR(Tabela_Base_Financeiro[[#This Row],[AC Qty,]],0)</f>
        <v>0</v>
      </c>
      <c r="M977" s="60">
        <f>Tabela6[[#This Row],[Qty]]*Tabela6[[#This Row],[Preço]]</f>
        <v>0</v>
      </c>
      <c r="N977" s="37">
        <f>IFERROR(Tabela_Base_Financeiro[[#This Row],[Proportion]],0)</f>
        <v>0</v>
      </c>
      <c r="O977" s="60">
        <f>Tabela6[[#This Row],[Proporção]]*Tabela6[[#This Row],[Total]]</f>
        <v>0</v>
      </c>
      <c r="P977"/>
      <c r="Q977" s="59"/>
      <c r="R977" s="1"/>
    </row>
    <row r="978" spans="1:18">
      <c r="A978" s="122" t="e">
        <f>IF(VLOOKUP(Tabela6[[#This Row],[UF]],'BASE CC'!B:C,2,0)="SP",IF(Tabela6[[#This Row],[OPERADORA]]="TIM","SP TIM","SPI"),VLOOKUP(Tabela6[[#This Row],[UF]],'BASE CC'!B:C,2,0))</f>
        <v>#N/A</v>
      </c>
      <c r="B978" s="36" t="e">
        <f>VLOOKUP(Tabela_Base_Financeiro[[#This Row],[Item code]],'COD.FAT'!B:C,2,0)</f>
        <v>#N/A</v>
      </c>
      <c r="C978" s="292">
        <f>Tabela_Base_Financeiro[[#This Row],[PO Ship TO]]</f>
        <v>0</v>
      </c>
      <c r="D978" s="36" t="str">
        <f>RIGHT(Tabela_Base_Financeiro[[#This Row],[Manufacturer]],2)</f>
        <v/>
      </c>
      <c r="E97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78" s="122" t="e">
        <f>VLOOKUP(Tabela_Base_Financeiro[[#This Row],[Project Code]],'COD. PROJETOS'!B:D,3,0)</f>
        <v>#N/A</v>
      </c>
      <c r="G978" s="36">
        <f>IFERROR(Tabela_Base_Financeiro[[#This Row],[PO No,]],0)</f>
        <v>0</v>
      </c>
      <c r="H978" s="36">
        <f>IFERROR(Tabela_Base_Financeiro[[#This Row],[Line No,]],0)</f>
        <v>0</v>
      </c>
      <c r="I978" s="36" t="str">
        <f>IFERROR(MID(Tabela_Base_Financeiro[[#This Row],[Manufacturer]],19,14),"")</f>
        <v/>
      </c>
      <c r="J978" s="113">
        <f>IFERROR(Tabela_Base_Financeiro[[#This Row],[Item code]],0)</f>
        <v>0</v>
      </c>
      <c r="K978" s="293">
        <f>IFERROR(Tabela_Base_Financeiro[[#This Row],[Unit Price]],0)</f>
        <v>0</v>
      </c>
      <c r="L978" s="36">
        <f>IFERROR(Tabela_Base_Financeiro[[#This Row],[AC Qty,]],0)</f>
        <v>0</v>
      </c>
      <c r="M978" s="60">
        <f>Tabela6[[#This Row],[Qty]]*Tabela6[[#This Row],[Preço]]</f>
        <v>0</v>
      </c>
      <c r="N978" s="37">
        <f>IFERROR(Tabela_Base_Financeiro[[#This Row],[Proportion]],0)</f>
        <v>0</v>
      </c>
      <c r="O978" s="60">
        <f>Tabela6[[#This Row],[Proporção]]*Tabela6[[#This Row],[Total]]</f>
        <v>0</v>
      </c>
      <c r="P978"/>
      <c r="Q978" s="59"/>
      <c r="R978" s="1"/>
    </row>
    <row r="979" spans="1:18">
      <c r="A979" s="122" t="e">
        <f>IF(VLOOKUP(Tabela6[[#This Row],[UF]],'BASE CC'!B:C,2,0)="SP",IF(Tabela6[[#This Row],[OPERADORA]]="TIM","SP TIM","SPI"),VLOOKUP(Tabela6[[#This Row],[UF]],'BASE CC'!B:C,2,0))</f>
        <v>#N/A</v>
      </c>
      <c r="B979" s="36" t="e">
        <f>VLOOKUP(Tabela_Base_Financeiro[[#This Row],[Item code]],'COD.FAT'!B:C,2,0)</f>
        <v>#N/A</v>
      </c>
      <c r="C979" s="292">
        <f>Tabela_Base_Financeiro[[#This Row],[PO Ship TO]]</f>
        <v>0</v>
      </c>
      <c r="D979" s="36" t="str">
        <f>RIGHT(Tabela_Base_Financeiro[[#This Row],[Manufacturer]],2)</f>
        <v/>
      </c>
      <c r="E97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79" s="122" t="e">
        <f>VLOOKUP(Tabela_Base_Financeiro[[#This Row],[Project Code]],'COD. PROJETOS'!B:D,3,0)</f>
        <v>#N/A</v>
      </c>
      <c r="G979" s="36">
        <f>IFERROR(Tabela_Base_Financeiro[[#This Row],[PO No,]],0)</f>
        <v>0</v>
      </c>
      <c r="H979" s="36">
        <f>IFERROR(Tabela_Base_Financeiro[[#This Row],[Line No,]],0)</f>
        <v>0</v>
      </c>
      <c r="I979" s="36" t="str">
        <f>IFERROR(MID(Tabela_Base_Financeiro[[#This Row],[Manufacturer]],19,14),"")</f>
        <v/>
      </c>
      <c r="J979" s="113">
        <f>IFERROR(Tabela_Base_Financeiro[[#This Row],[Item code]],0)</f>
        <v>0</v>
      </c>
      <c r="K979" s="293">
        <f>IFERROR(Tabela_Base_Financeiro[[#This Row],[Unit Price]],0)</f>
        <v>0</v>
      </c>
      <c r="L979" s="36">
        <f>IFERROR(Tabela_Base_Financeiro[[#This Row],[AC Qty,]],0)</f>
        <v>0</v>
      </c>
      <c r="M979" s="60">
        <f>Tabela6[[#This Row],[Qty]]*Tabela6[[#This Row],[Preço]]</f>
        <v>0</v>
      </c>
      <c r="N979" s="37">
        <f>IFERROR(Tabela_Base_Financeiro[[#This Row],[Proportion]],0)</f>
        <v>0</v>
      </c>
      <c r="O979" s="60">
        <f>Tabela6[[#This Row],[Proporção]]*Tabela6[[#This Row],[Total]]</f>
        <v>0</v>
      </c>
      <c r="P979"/>
      <c r="Q979" s="59"/>
      <c r="R979" s="1"/>
    </row>
    <row r="980" spans="1:18">
      <c r="A980" s="122" t="e">
        <f>IF(VLOOKUP(Tabela6[[#This Row],[UF]],'BASE CC'!B:C,2,0)="SP",IF(Tabela6[[#This Row],[OPERADORA]]="TIM","SP TIM","SPI"),VLOOKUP(Tabela6[[#This Row],[UF]],'BASE CC'!B:C,2,0))</f>
        <v>#N/A</v>
      </c>
      <c r="B980" s="36" t="e">
        <f>VLOOKUP(Tabela_Base_Financeiro[[#This Row],[Item code]],'COD.FAT'!B:C,2,0)</f>
        <v>#N/A</v>
      </c>
      <c r="C980" s="292">
        <f>Tabela_Base_Financeiro[[#This Row],[PO Ship TO]]</f>
        <v>0</v>
      </c>
      <c r="D980" s="36" t="str">
        <f>RIGHT(Tabela_Base_Financeiro[[#This Row],[Manufacturer]],2)</f>
        <v/>
      </c>
      <c r="E98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80" s="122" t="e">
        <f>VLOOKUP(Tabela_Base_Financeiro[[#This Row],[Project Code]],'COD. PROJETOS'!B:D,3,0)</f>
        <v>#N/A</v>
      </c>
      <c r="G980" s="36">
        <f>IFERROR(Tabela_Base_Financeiro[[#This Row],[PO No,]],0)</f>
        <v>0</v>
      </c>
      <c r="H980" s="36">
        <f>IFERROR(Tabela_Base_Financeiro[[#This Row],[Line No,]],0)</f>
        <v>0</v>
      </c>
      <c r="I980" s="36" t="str">
        <f>IFERROR(MID(Tabela_Base_Financeiro[[#This Row],[Manufacturer]],19,14),"")</f>
        <v/>
      </c>
      <c r="J980" s="113">
        <f>IFERROR(Tabela_Base_Financeiro[[#This Row],[Item code]],0)</f>
        <v>0</v>
      </c>
      <c r="K980" s="293">
        <f>IFERROR(Tabela_Base_Financeiro[[#This Row],[Unit Price]],0)</f>
        <v>0</v>
      </c>
      <c r="L980" s="36">
        <f>IFERROR(Tabela_Base_Financeiro[[#This Row],[AC Qty,]],0)</f>
        <v>0</v>
      </c>
      <c r="M980" s="60">
        <f>Tabela6[[#This Row],[Qty]]*Tabela6[[#This Row],[Preço]]</f>
        <v>0</v>
      </c>
      <c r="N980" s="37">
        <f>IFERROR(Tabela_Base_Financeiro[[#This Row],[Proportion]],0)</f>
        <v>0</v>
      </c>
      <c r="O980" s="60">
        <f>Tabela6[[#This Row],[Proporção]]*Tabela6[[#This Row],[Total]]</f>
        <v>0</v>
      </c>
      <c r="P980"/>
      <c r="Q980" s="59"/>
      <c r="R980" s="1"/>
    </row>
    <row r="981" spans="1:18">
      <c r="A981" s="122" t="e">
        <f>IF(VLOOKUP(Tabela6[[#This Row],[UF]],'BASE CC'!B:C,2,0)="SP",IF(Tabela6[[#This Row],[OPERADORA]]="TIM","SP TIM","SPI"),VLOOKUP(Tabela6[[#This Row],[UF]],'BASE CC'!B:C,2,0))</f>
        <v>#N/A</v>
      </c>
      <c r="B981" s="36" t="e">
        <f>VLOOKUP(Tabela_Base_Financeiro[[#This Row],[Item code]],'COD.FAT'!B:C,2,0)</f>
        <v>#N/A</v>
      </c>
      <c r="C981" s="292">
        <f>Tabela_Base_Financeiro[[#This Row],[PO Ship TO]]</f>
        <v>0</v>
      </c>
      <c r="D981" s="36" t="str">
        <f>RIGHT(Tabela_Base_Financeiro[[#This Row],[Manufacturer]],2)</f>
        <v/>
      </c>
      <c r="E98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81" s="122" t="e">
        <f>VLOOKUP(Tabela_Base_Financeiro[[#This Row],[Project Code]],'COD. PROJETOS'!B:D,3,0)</f>
        <v>#N/A</v>
      </c>
      <c r="G981" s="36">
        <f>IFERROR(Tabela_Base_Financeiro[[#This Row],[PO No,]],0)</f>
        <v>0</v>
      </c>
      <c r="H981" s="36">
        <f>IFERROR(Tabela_Base_Financeiro[[#This Row],[Line No,]],0)</f>
        <v>0</v>
      </c>
      <c r="I981" s="36" t="str">
        <f>IFERROR(MID(Tabela_Base_Financeiro[[#This Row],[Manufacturer]],19,14),"")</f>
        <v/>
      </c>
      <c r="J981" s="113">
        <f>IFERROR(Tabela_Base_Financeiro[[#This Row],[Item code]],0)</f>
        <v>0</v>
      </c>
      <c r="K981" s="293">
        <f>IFERROR(Tabela_Base_Financeiro[[#This Row],[Unit Price]],0)</f>
        <v>0</v>
      </c>
      <c r="L981" s="36">
        <f>IFERROR(Tabela_Base_Financeiro[[#This Row],[AC Qty,]],0)</f>
        <v>0</v>
      </c>
      <c r="M981" s="60">
        <f>Tabela6[[#This Row],[Qty]]*Tabela6[[#This Row],[Preço]]</f>
        <v>0</v>
      </c>
      <c r="N981" s="37">
        <f>IFERROR(Tabela_Base_Financeiro[[#This Row],[Proportion]],0)</f>
        <v>0</v>
      </c>
      <c r="O981" s="60">
        <f>Tabela6[[#This Row],[Proporção]]*Tabela6[[#This Row],[Total]]</f>
        <v>0</v>
      </c>
      <c r="P981"/>
      <c r="Q981" s="59"/>
      <c r="R981" s="1"/>
    </row>
    <row r="982" spans="1:18">
      <c r="A982" s="122" t="e">
        <f>IF(VLOOKUP(Tabela6[[#This Row],[UF]],'BASE CC'!B:C,2,0)="SP",IF(Tabela6[[#This Row],[OPERADORA]]="TIM","SP TIM","SPI"),VLOOKUP(Tabela6[[#This Row],[UF]],'BASE CC'!B:C,2,0))</f>
        <v>#N/A</v>
      </c>
      <c r="B982" s="36" t="e">
        <f>VLOOKUP(Tabela_Base_Financeiro[[#This Row],[Item code]],'COD.FAT'!B:C,2,0)</f>
        <v>#N/A</v>
      </c>
      <c r="C982" s="292">
        <f>Tabela_Base_Financeiro[[#This Row],[PO Ship TO]]</f>
        <v>0</v>
      </c>
      <c r="D982" s="36" t="str">
        <f>RIGHT(Tabela_Base_Financeiro[[#This Row],[Manufacturer]],2)</f>
        <v/>
      </c>
      <c r="E98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82" s="122" t="e">
        <f>VLOOKUP(Tabela_Base_Financeiro[[#This Row],[Project Code]],'COD. PROJETOS'!B:D,3,0)</f>
        <v>#N/A</v>
      </c>
      <c r="G982" s="36">
        <f>IFERROR(Tabela_Base_Financeiro[[#This Row],[PO No,]],0)</f>
        <v>0</v>
      </c>
      <c r="H982" s="36">
        <f>IFERROR(Tabela_Base_Financeiro[[#This Row],[Line No,]],0)</f>
        <v>0</v>
      </c>
      <c r="I982" s="36" t="str">
        <f>IFERROR(MID(Tabela_Base_Financeiro[[#This Row],[Manufacturer]],19,14),"")</f>
        <v/>
      </c>
      <c r="J982" s="113">
        <f>IFERROR(Tabela_Base_Financeiro[[#This Row],[Item code]],0)</f>
        <v>0</v>
      </c>
      <c r="K982" s="293">
        <f>IFERROR(Tabela_Base_Financeiro[[#This Row],[Unit Price]],0)</f>
        <v>0</v>
      </c>
      <c r="L982" s="36">
        <f>IFERROR(Tabela_Base_Financeiro[[#This Row],[AC Qty,]],0)</f>
        <v>0</v>
      </c>
      <c r="M982" s="60">
        <f>Tabela6[[#This Row],[Qty]]*Tabela6[[#This Row],[Preço]]</f>
        <v>0</v>
      </c>
      <c r="N982" s="37">
        <f>IFERROR(Tabela_Base_Financeiro[[#This Row],[Proportion]],0)</f>
        <v>0</v>
      </c>
      <c r="O982" s="60">
        <f>Tabela6[[#This Row],[Proporção]]*Tabela6[[#This Row],[Total]]</f>
        <v>0</v>
      </c>
      <c r="P982"/>
      <c r="Q982" s="59"/>
      <c r="R982" s="1"/>
    </row>
    <row r="983" spans="1:18">
      <c r="A983" s="122" t="e">
        <f>IF(VLOOKUP(Tabela6[[#This Row],[UF]],'BASE CC'!B:C,2,0)="SP",IF(Tabela6[[#This Row],[OPERADORA]]="TIM","SP TIM","SPI"),VLOOKUP(Tabela6[[#This Row],[UF]],'BASE CC'!B:C,2,0))</f>
        <v>#N/A</v>
      </c>
      <c r="B983" s="36" t="e">
        <f>VLOOKUP(Tabela_Base_Financeiro[[#This Row],[Item code]],'COD.FAT'!B:C,2,0)</f>
        <v>#N/A</v>
      </c>
      <c r="C983" s="292">
        <f>Tabela_Base_Financeiro[[#This Row],[PO Ship TO]]</f>
        <v>0</v>
      </c>
      <c r="D983" s="36" t="str">
        <f>RIGHT(Tabela_Base_Financeiro[[#This Row],[Manufacturer]],2)</f>
        <v/>
      </c>
      <c r="E98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83" s="122" t="e">
        <f>VLOOKUP(Tabela_Base_Financeiro[[#This Row],[Project Code]],'COD. PROJETOS'!B:D,3,0)</f>
        <v>#N/A</v>
      </c>
      <c r="G983" s="36">
        <f>IFERROR(Tabela_Base_Financeiro[[#This Row],[PO No,]],0)</f>
        <v>0</v>
      </c>
      <c r="H983" s="36">
        <f>IFERROR(Tabela_Base_Financeiro[[#This Row],[Line No,]],0)</f>
        <v>0</v>
      </c>
      <c r="I983" s="36" t="str">
        <f>IFERROR(MID(Tabela_Base_Financeiro[[#This Row],[Manufacturer]],19,14),"")</f>
        <v/>
      </c>
      <c r="J983" s="113">
        <f>IFERROR(Tabela_Base_Financeiro[[#This Row],[Item code]],0)</f>
        <v>0</v>
      </c>
      <c r="K983" s="293">
        <f>IFERROR(Tabela_Base_Financeiro[[#This Row],[Unit Price]],0)</f>
        <v>0</v>
      </c>
      <c r="L983" s="36">
        <f>IFERROR(Tabela_Base_Financeiro[[#This Row],[AC Qty,]],0)</f>
        <v>0</v>
      </c>
      <c r="M983" s="60">
        <f>Tabela6[[#This Row],[Qty]]*Tabela6[[#This Row],[Preço]]</f>
        <v>0</v>
      </c>
      <c r="N983" s="37">
        <f>IFERROR(Tabela_Base_Financeiro[[#This Row],[Proportion]],0)</f>
        <v>0</v>
      </c>
      <c r="O983" s="60">
        <f>Tabela6[[#This Row],[Proporção]]*Tabela6[[#This Row],[Total]]</f>
        <v>0</v>
      </c>
      <c r="P983"/>
      <c r="Q983" s="59"/>
      <c r="R983" s="1"/>
    </row>
    <row r="984" spans="1:18">
      <c r="A984" s="122" t="e">
        <f>IF(VLOOKUP(Tabela6[[#This Row],[UF]],'BASE CC'!B:C,2,0)="SP",IF(Tabela6[[#This Row],[OPERADORA]]="TIM","SP TIM","SPI"),VLOOKUP(Tabela6[[#This Row],[UF]],'BASE CC'!B:C,2,0))</f>
        <v>#N/A</v>
      </c>
      <c r="B984" s="36" t="e">
        <f>VLOOKUP(Tabela_Base_Financeiro[[#This Row],[Item code]],'COD.FAT'!B:C,2,0)</f>
        <v>#N/A</v>
      </c>
      <c r="C984" s="292">
        <f>Tabela_Base_Financeiro[[#This Row],[PO Ship TO]]</f>
        <v>0</v>
      </c>
      <c r="D984" s="36" t="str">
        <f>RIGHT(Tabela_Base_Financeiro[[#This Row],[Manufacturer]],2)</f>
        <v/>
      </c>
      <c r="E98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84" s="122" t="e">
        <f>VLOOKUP(Tabela_Base_Financeiro[[#This Row],[Project Code]],'COD. PROJETOS'!B:D,3,0)</f>
        <v>#N/A</v>
      </c>
      <c r="G984" s="36">
        <f>IFERROR(Tabela_Base_Financeiro[[#This Row],[PO No,]],0)</f>
        <v>0</v>
      </c>
      <c r="H984" s="36">
        <f>IFERROR(Tabela_Base_Financeiro[[#This Row],[Line No,]],0)</f>
        <v>0</v>
      </c>
      <c r="I984" s="36" t="str">
        <f>IFERROR(MID(Tabela_Base_Financeiro[[#This Row],[Manufacturer]],19,14),"")</f>
        <v/>
      </c>
      <c r="J984" s="113">
        <f>IFERROR(Tabela_Base_Financeiro[[#This Row],[Item code]],0)</f>
        <v>0</v>
      </c>
      <c r="K984" s="293">
        <f>IFERROR(Tabela_Base_Financeiro[[#This Row],[Unit Price]],0)</f>
        <v>0</v>
      </c>
      <c r="L984" s="36">
        <f>IFERROR(Tabela_Base_Financeiro[[#This Row],[AC Qty,]],0)</f>
        <v>0</v>
      </c>
      <c r="M984" s="60">
        <f>Tabela6[[#This Row],[Qty]]*Tabela6[[#This Row],[Preço]]</f>
        <v>0</v>
      </c>
      <c r="N984" s="37">
        <f>IFERROR(Tabela_Base_Financeiro[[#This Row],[Proportion]],0)</f>
        <v>0</v>
      </c>
      <c r="O984" s="60">
        <f>Tabela6[[#This Row],[Proporção]]*Tabela6[[#This Row],[Total]]</f>
        <v>0</v>
      </c>
      <c r="P984"/>
      <c r="Q984" s="59"/>
      <c r="R984" s="1"/>
    </row>
    <row r="985" spans="1:18">
      <c r="A985" s="122" t="e">
        <f>IF(VLOOKUP(Tabela6[[#This Row],[UF]],'BASE CC'!B:C,2,0)="SP",IF(Tabela6[[#This Row],[OPERADORA]]="TIM","SP TIM","SPI"),VLOOKUP(Tabela6[[#This Row],[UF]],'BASE CC'!B:C,2,0))</f>
        <v>#N/A</v>
      </c>
      <c r="B985" s="36" t="e">
        <f>VLOOKUP(Tabela_Base_Financeiro[[#This Row],[Item code]],'COD.FAT'!B:C,2,0)</f>
        <v>#N/A</v>
      </c>
      <c r="C985" s="292">
        <f>Tabela_Base_Financeiro[[#This Row],[PO Ship TO]]</f>
        <v>0</v>
      </c>
      <c r="D985" s="36" t="str">
        <f>RIGHT(Tabela_Base_Financeiro[[#This Row],[Manufacturer]],2)</f>
        <v/>
      </c>
      <c r="E98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85" s="122" t="e">
        <f>VLOOKUP(Tabela_Base_Financeiro[[#This Row],[Project Code]],'COD. PROJETOS'!B:D,3,0)</f>
        <v>#N/A</v>
      </c>
      <c r="G985" s="36">
        <f>IFERROR(Tabela_Base_Financeiro[[#This Row],[PO No,]],0)</f>
        <v>0</v>
      </c>
      <c r="H985" s="36">
        <f>IFERROR(Tabela_Base_Financeiro[[#This Row],[Line No,]],0)</f>
        <v>0</v>
      </c>
      <c r="I985" s="36" t="str">
        <f>IFERROR(MID(Tabela_Base_Financeiro[[#This Row],[Manufacturer]],19,14),"")</f>
        <v/>
      </c>
      <c r="J985" s="113">
        <f>IFERROR(Tabela_Base_Financeiro[[#This Row],[Item code]],0)</f>
        <v>0</v>
      </c>
      <c r="K985" s="293">
        <f>IFERROR(Tabela_Base_Financeiro[[#This Row],[Unit Price]],0)</f>
        <v>0</v>
      </c>
      <c r="L985" s="36">
        <f>IFERROR(Tabela_Base_Financeiro[[#This Row],[AC Qty,]],0)</f>
        <v>0</v>
      </c>
      <c r="M985" s="60">
        <f>Tabela6[[#This Row],[Qty]]*Tabela6[[#This Row],[Preço]]</f>
        <v>0</v>
      </c>
      <c r="N985" s="37">
        <f>IFERROR(Tabela_Base_Financeiro[[#This Row],[Proportion]],0)</f>
        <v>0</v>
      </c>
      <c r="O985" s="60">
        <f>Tabela6[[#This Row],[Proporção]]*Tabela6[[#This Row],[Total]]</f>
        <v>0</v>
      </c>
      <c r="P985"/>
      <c r="Q985" s="59"/>
      <c r="R985" s="1"/>
    </row>
    <row r="986" spans="1:18">
      <c r="A986" s="122" t="e">
        <f>IF(VLOOKUP(Tabela6[[#This Row],[UF]],'BASE CC'!B:C,2,0)="SP",IF(Tabela6[[#This Row],[OPERADORA]]="TIM","SP TIM","SPI"),VLOOKUP(Tabela6[[#This Row],[UF]],'BASE CC'!B:C,2,0))</f>
        <v>#N/A</v>
      </c>
      <c r="B986" s="36" t="e">
        <f>VLOOKUP(Tabela_Base_Financeiro[[#This Row],[Item code]],'COD.FAT'!B:C,2,0)</f>
        <v>#N/A</v>
      </c>
      <c r="C986" s="292">
        <f>Tabela_Base_Financeiro[[#This Row],[PO Ship TO]]</f>
        <v>0</v>
      </c>
      <c r="D986" s="36" t="str">
        <f>RIGHT(Tabela_Base_Financeiro[[#This Row],[Manufacturer]],2)</f>
        <v/>
      </c>
      <c r="E98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86" s="122" t="e">
        <f>VLOOKUP(Tabela_Base_Financeiro[[#This Row],[Project Code]],'COD. PROJETOS'!B:D,3,0)</f>
        <v>#N/A</v>
      </c>
      <c r="G986" s="36">
        <f>IFERROR(Tabela_Base_Financeiro[[#This Row],[PO No,]],0)</f>
        <v>0</v>
      </c>
      <c r="H986" s="36">
        <f>IFERROR(Tabela_Base_Financeiro[[#This Row],[Line No,]],0)</f>
        <v>0</v>
      </c>
      <c r="I986" s="36" t="str">
        <f>IFERROR(MID(Tabela_Base_Financeiro[[#This Row],[Manufacturer]],19,14),"")</f>
        <v/>
      </c>
      <c r="J986" s="113">
        <f>IFERROR(Tabela_Base_Financeiro[[#This Row],[Item code]],0)</f>
        <v>0</v>
      </c>
      <c r="K986" s="293">
        <f>IFERROR(Tabela_Base_Financeiro[[#This Row],[Unit Price]],0)</f>
        <v>0</v>
      </c>
      <c r="L986" s="36">
        <f>IFERROR(Tabela_Base_Financeiro[[#This Row],[AC Qty,]],0)</f>
        <v>0</v>
      </c>
      <c r="M986" s="60">
        <f>Tabela6[[#This Row],[Qty]]*Tabela6[[#This Row],[Preço]]</f>
        <v>0</v>
      </c>
      <c r="N986" s="37">
        <f>IFERROR(Tabela_Base_Financeiro[[#This Row],[Proportion]],0)</f>
        <v>0</v>
      </c>
      <c r="O986" s="60">
        <f>Tabela6[[#This Row],[Proporção]]*Tabela6[[#This Row],[Total]]</f>
        <v>0</v>
      </c>
      <c r="P986"/>
      <c r="Q986" s="59"/>
      <c r="R986" s="1"/>
    </row>
    <row r="987" spans="1:18">
      <c r="A987" s="122" t="e">
        <f>IF(VLOOKUP(Tabela6[[#This Row],[UF]],'BASE CC'!B:C,2,0)="SP",IF(Tabela6[[#This Row],[OPERADORA]]="TIM","SP TIM","SPI"),VLOOKUP(Tabela6[[#This Row],[UF]],'BASE CC'!B:C,2,0))</f>
        <v>#N/A</v>
      </c>
      <c r="B987" s="36" t="e">
        <f>VLOOKUP(Tabela_Base_Financeiro[[#This Row],[Item code]],'COD.FAT'!B:C,2,0)</f>
        <v>#N/A</v>
      </c>
      <c r="C987" s="292">
        <f>Tabela_Base_Financeiro[[#This Row],[PO Ship TO]]</f>
        <v>0</v>
      </c>
      <c r="D987" s="36" t="str">
        <f>RIGHT(Tabela_Base_Financeiro[[#This Row],[Manufacturer]],2)</f>
        <v/>
      </c>
      <c r="E98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87" s="122" t="e">
        <f>VLOOKUP(Tabela_Base_Financeiro[[#This Row],[Project Code]],'COD. PROJETOS'!B:D,3,0)</f>
        <v>#N/A</v>
      </c>
      <c r="G987" s="36">
        <f>IFERROR(Tabela_Base_Financeiro[[#This Row],[PO No,]],0)</f>
        <v>0</v>
      </c>
      <c r="H987" s="36">
        <f>IFERROR(Tabela_Base_Financeiro[[#This Row],[Line No,]],0)</f>
        <v>0</v>
      </c>
      <c r="I987" s="36" t="str">
        <f>IFERROR(MID(Tabela_Base_Financeiro[[#This Row],[Manufacturer]],19,14),"")</f>
        <v/>
      </c>
      <c r="J987" s="113">
        <f>IFERROR(Tabela_Base_Financeiro[[#This Row],[Item code]],0)</f>
        <v>0</v>
      </c>
      <c r="K987" s="293">
        <f>IFERROR(Tabela_Base_Financeiro[[#This Row],[Unit Price]],0)</f>
        <v>0</v>
      </c>
      <c r="L987" s="36">
        <f>IFERROR(Tabela_Base_Financeiro[[#This Row],[AC Qty,]],0)</f>
        <v>0</v>
      </c>
      <c r="M987" s="60">
        <f>Tabela6[[#This Row],[Qty]]*Tabela6[[#This Row],[Preço]]</f>
        <v>0</v>
      </c>
      <c r="N987" s="37">
        <f>IFERROR(Tabela_Base_Financeiro[[#This Row],[Proportion]],0)</f>
        <v>0</v>
      </c>
      <c r="O987" s="60">
        <f>Tabela6[[#This Row],[Proporção]]*Tabela6[[#This Row],[Total]]</f>
        <v>0</v>
      </c>
      <c r="P987"/>
      <c r="Q987" s="59"/>
      <c r="R987" s="1"/>
    </row>
    <row r="988" spans="1:18">
      <c r="A988" s="122" t="e">
        <f>IF(VLOOKUP(Tabela6[[#This Row],[UF]],'BASE CC'!B:C,2,0)="SP",IF(Tabela6[[#This Row],[OPERADORA]]="TIM","SP TIM","SPI"),VLOOKUP(Tabela6[[#This Row],[UF]],'BASE CC'!B:C,2,0))</f>
        <v>#N/A</v>
      </c>
      <c r="B988" s="36" t="e">
        <f>VLOOKUP(Tabela_Base_Financeiro[[#This Row],[Item code]],'COD.FAT'!B:C,2,0)</f>
        <v>#N/A</v>
      </c>
      <c r="C988" s="292">
        <f>Tabela_Base_Financeiro[[#This Row],[PO Ship TO]]</f>
        <v>0</v>
      </c>
      <c r="D988" s="36" t="str">
        <f>RIGHT(Tabela_Base_Financeiro[[#This Row],[Manufacturer]],2)</f>
        <v/>
      </c>
      <c r="E98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88" s="122" t="e">
        <f>VLOOKUP(Tabela_Base_Financeiro[[#This Row],[Project Code]],'COD. PROJETOS'!B:D,3,0)</f>
        <v>#N/A</v>
      </c>
      <c r="G988" s="36">
        <f>IFERROR(Tabela_Base_Financeiro[[#This Row],[PO No,]],0)</f>
        <v>0</v>
      </c>
      <c r="H988" s="36">
        <f>IFERROR(Tabela_Base_Financeiro[[#This Row],[Line No,]],0)</f>
        <v>0</v>
      </c>
      <c r="I988" s="36" t="str">
        <f>IFERROR(MID(Tabela_Base_Financeiro[[#This Row],[Manufacturer]],19,14),"")</f>
        <v/>
      </c>
      <c r="J988" s="113">
        <f>IFERROR(Tabela_Base_Financeiro[[#This Row],[Item code]],0)</f>
        <v>0</v>
      </c>
      <c r="K988" s="293">
        <f>IFERROR(Tabela_Base_Financeiro[[#This Row],[Unit Price]],0)</f>
        <v>0</v>
      </c>
      <c r="L988" s="36">
        <f>IFERROR(Tabela_Base_Financeiro[[#This Row],[AC Qty,]],0)</f>
        <v>0</v>
      </c>
      <c r="M988" s="60">
        <f>Tabela6[[#This Row],[Qty]]*Tabela6[[#This Row],[Preço]]</f>
        <v>0</v>
      </c>
      <c r="N988" s="37">
        <f>IFERROR(Tabela_Base_Financeiro[[#This Row],[Proportion]],0)</f>
        <v>0</v>
      </c>
      <c r="O988" s="60">
        <f>Tabela6[[#This Row],[Proporção]]*Tabela6[[#This Row],[Total]]</f>
        <v>0</v>
      </c>
      <c r="P988"/>
      <c r="Q988" s="59"/>
      <c r="R988" s="1"/>
    </row>
    <row r="989" spans="1:18">
      <c r="A989" s="122" t="e">
        <f>IF(VLOOKUP(Tabela6[[#This Row],[UF]],'BASE CC'!B:C,2,0)="SP",IF(Tabela6[[#This Row],[OPERADORA]]="TIM","SP TIM","SPI"),VLOOKUP(Tabela6[[#This Row],[UF]],'BASE CC'!B:C,2,0))</f>
        <v>#N/A</v>
      </c>
      <c r="B989" s="36" t="e">
        <f>VLOOKUP(Tabela_Base_Financeiro[[#This Row],[Item code]],'COD.FAT'!B:C,2,0)</f>
        <v>#N/A</v>
      </c>
      <c r="C989" s="292">
        <f>Tabela_Base_Financeiro[[#This Row],[PO Ship TO]]</f>
        <v>0</v>
      </c>
      <c r="D989" s="36" t="str">
        <f>RIGHT(Tabela_Base_Financeiro[[#This Row],[Manufacturer]],2)</f>
        <v/>
      </c>
      <c r="E98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89" s="122" t="e">
        <f>VLOOKUP(Tabela_Base_Financeiro[[#This Row],[Project Code]],'COD. PROJETOS'!B:D,3,0)</f>
        <v>#N/A</v>
      </c>
      <c r="G989" s="36">
        <f>IFERROR(Tabela_Base_Financeiro[[#This Row],[PO No,]],0)</f>
        <v>0</v>
      </c>
      <c r="H989" s="36">
        <f>IFERROR(Tabela_Base_Financeiro[[#This Row],[Line No,]],0)</f>
        <v>0</v>
      </c>
      <c r="I989" s="36" t="str">
        <f>IFERROR(MID(Tabela_Base_Financeiro[[#This Row],[Manufacturer]],19,14),"")</f>
        <v/>
      </c>
      <c r="J989" s="113">
        <f>IFERROR(Tabela_Base_Financeiro[[#This Row],[Item code]],0)</f>
        <v>0</v>
      </c>
      <c r="K989" s="293">
        <f>IFERROR(Tabela_Base_Financeiro[[#This Row],[Unit Price]],0)</f>
        <v>0</v>
      </c>
      <c r="L989" s="36">
        <f>IFERROR(Tabela_Base_Financeiro[[#This Row],[AC Qty,]],0)</f>
        <v>0</v>
      </c>
      <c r="M989" s="60">
        <f>Tabela6[[#This Row],[Qty]]*Tabela6[[#This Row],[Preço]]</f>
        <v>0</v>
      </c>
      <c r="N989" s="37">
        <f>IFERROR(Tabela_Base_Financeiro[[#This Row],[Proportion]],0)</f>
        <v>0</v>
      </c>
      <c r="O989" s="60">
        <f>Tabela6[[#This Row],[Proporção]]*Tabela6[[#This Row],[Total]]</f>
        <v>0</v>
      </c>
      <c r="P989"/>
      <c r="Q989" s="59"/>
      <c r="R989" s="1"/>
    </row>
    <row r="990" spans="1:18">
      <c r="A990" s="122" t="e">
        <f>IF(VLOOKUP(Tabela6[[#This Row],[UF]],'BASE CC'!B:C,2,0)="SP",IF(Tabela6[[#This Row],[OPERADORA]]="TIM","SP TIM","SPI"),VLOOKUP(Tabela6[[#This Row],[UF]],'BASE CC'!B:C,2,0))</f>
        <v>#N/A</v>
      </c>
      <c r="B990" s="36" t="e">
        <f>VLOOKUP(Tabela_Base_Financeiro[[#This Row],[Item code]],'COD.FAT'!B:C,2,0)</f>
        <v>#N/A</v>
      </c>
      <c r="C990" s="292">
        <f>Tabela_Base_Financeiro[[#This Row],[PO Ship TO]]</f>
        <v>0</v>
      </c>
      <c r="D990" s="36" t="str">
        <f>RIGHT(Tabela_Base_Financeiro[[#This Row],[Manufacturer]],2)</f>
        <v/>
      </c>
      <c r="E99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90" s="122" t="e">
        <f>VLOOKUP(Tabela_Base_Financeiro[[#This Row],[Project Code]],'COD. PROJETOS'!B:D,3,0)</f>
        <v>#N/A</v>
      </c>
      <c r="G990" s="36">
        <f>IFERROR(Tabela_Base_Financeiro[[#This Row],[PO No,]],0)</f>
        <v>0</v>
      </c>
      <c r="H990" s="36">
        <f>IFERROR(Tabela_Base_Financeiro[[#This Row],[Line No,]],0)</f>
        <v>0</v>
      </c>
      <c r="I990" s="36" t="str">
        <f>IFERROR(MID(Tabela_Base_Financeiro[[#This Row],[Manufacturer]],19,14),"")</f>
        <v/>
      </c>
      <c r="J990" s="113">
        <f>IFERROR(Tabela_Base_Financeiro[[#This Row],[Item code]],0)</f>
        <v>0</v>
      </c>
      <c r="K990" s="293">
        <f>IFERROR(Tabela_Base_Financeiro[[#This Row],[Unit Price]],0)</f>
        <v>0</v>
      </c>
      <c r="L990" s="36">
        <f>IFERROR(Tabela_Base_Financeiro[[#This Row],[AC Qty,]],0)</f>
        <v>0</v>
      </c>
      <c r="M990" s="60">
        <f>Tabela6[[#This Row],[Qty]]*Tabela6[[#This Row],[Preço]]</f>
        <v>0</v>
      </c>
      <c r="N990" s="37">
        <f>IFERROR(Tabela_Base_Financeiro[[#This Row],[Proportion]],0)</f>
        <v>0</v>
      </c>
      <c r="O990" s="60">
        <f>Tabela6[[#This Row],[Proporção]]*Tabela6[[#This Row],[Total]]</f>
        <v>0</v>
      </c>
      <c r="P990"/>
      <c r="Q990" s="59"/>
      <c r="R990" s="1"/>
    </row>
    <row r="991" spans="1:18">
      <c r="A991" s="122" t="e">
        <f>IF(VLOOKUP(Tabela6[[#This Row],[UF]],'BASE CC'!B:C,2,0)="SP",IF(Tabela6[[#This Row],[OPERADORA]]="TIM","SP TIM","SPI"),VLOOKUP(Tabela6[[#This Row],[UF]],'BASE CC'!B:C,2,0))</f>
        <v>#N/A</v>
      </c>
      <c r="B991" s="36" t="e">
        <f>VLOOKUP(Tabela_Base_Financeiro[[#This Row],[Item code]],'COD.FAT'!B:C,2,0)</f>
        <v>#N/A</v>
      </c>
      <c r="C991" s="292">
        <f>Tabela_Base_Financeiro[[#This Row],[PO Ship TO]]</f>
        <v>0</v>
      </c>
      <c r="D991" s="36" t="str">
        <f>RIGHT(Tabela_Base_Financeiro[[#This Row],[Manufacturer]],2)</f>
        <v/>
      </c>
      <c r="E99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91" s="122" t="e">
        <f>VLOOKUP(Tabela_Base_Financeiro[[#This Row],[Project Code]],'COD. PROJETOS'!B:D,3,0)</f>
        <v>#N/A</v>
      </c>
      <c r="G991" s="36">
        <f>IFERROR(Tabela_Base_Financeiro[[#This Row],[PO No,]],0)</f>
        <v>0</v>
      </c>
      <c r="H991" s="36">
        <f>IFERROR(Tabela_Base_Financeiro[[#This Row],[Line No,]],0)</f>
        <v>0</v>
      </c>
      <c r="I991" s="36" t="str">
        <f>IFERROR(MID(Tabela_Base_Financeiro[[#This Row],[Manufacturer]],19,14),"")</f>
        <v/>
      </c>
      <c r="J991" s="113">
        <f>IFERROR(Tabela_Base_Financeiro[[#This Row],[Item code]],0)</f>
        <v>0</v>
      </c>
      <c r="K991" s="293">
        <f>IFERROR(Tabela_Base_Financeiro[[#This Row],[Unit Price]],0)</f>
        <v>0</v>
      </c>
      <c r="L991" s="36">
        <f>IFERROR(Tabela_Base_Financeiro[[#This Row],[AC Qty,]],0)</f>
        <v>0</v>
      </c>
      <c r="M991" s="60">
        <f>Tabela6[[#This Row],[Qty]]*Tabela6[[#This Row],[Preço]]</f>
        <v>0</v>
      </c>
      <c r="N991" s="37">
        <f>IFERROR(Tabela_Base_Financeiro[[#This Row],[Proportion]],0)</f>
        <v>0</v>
      </c>
      <c r="O991" s="60">
        <f>Tabela6[[#This Row],[Proporção]]*Tabela6[[#This Row],[Total]]</f>
        <v>0</v>
      </c>
      <c r="P991"/>
      <c r="Q991" s="59"/>
      <c r="R991" s="1"/>
    </row>
    <row r="992" spans="1:18">
      <c r="A992" s="122" t="e">
        <f>IF(VLOOKUP(Tabela6[[#This Row],[UF]],'BASE CC'!B:C,2,0)="SP",IF(Tabela6[[#This Row],[OPERADORA]]="TIM","SP TIM","SPI"),VLOOKUP(Tabela6[[#This Row],[UF]],'BASE CC'!B:C,2,0))</f>
        <v>#N/A</v>
      </c>
      <c r="B992" s="36" t="e">
        <f>VLOOKUP(Tabela_Base_Financeiro[[#This Row],[Item code]],'COD.FAT'!B:C,2,0)</f>
        <v>#N/A</v>
      </c>
      <c r="C992" s="292">
        <f>Tabela_Base_Financeiro[[#This Row],[PO Ship TO]]</f>
        <v>0</v>
      </c>
      <c r="D992" s="36" t="str">
        <f>RIGHT(Tabela_Base_Financeiro[[#This Row],[Manufacturer]],2)</f>
        <v/>
      </c>
      <c r="E99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92" s="122" t="e">
        <f>VLOOKUP(Tabela_Base_Financeiro[[#This Row],[Project Code]],'COD. PROJETOS'!B:D,3,0)</f>
        <v>#N/A</v>
      </c>
      <c r="G992" s="36">
        <f>IFERROR(Tabela_Base_Financeiro[[#This Row],[PO No,]],0)</f>
        <v>0</v>
      </c>
      <c r="H992" s="36">
        <f>IFERROR(Tabela_Base_Financeiro[[#This Row],[Line No,]],0)</f>
        <v>0</v>
      </c>
      <c r="I992" s="36" t="str">
        <f>IFERROR(MID(Tabela_Base_Financeiro[[#This Row],[Manufacturer]],19,14),"")</f>
        <v/>
      </c>
      <c r="J992" s="113">
        <f>IFERROR(Tabela_Base_Financeiro[[#This Row],[Item code]],0)</f>
        <v>0</v>
      </c>
      <c r="K992" s="293">
        <f>IFERROR(Tabela_Base_Financeiro[[#This Row],[Unit Price]],0)</f>
        <v>0</v>
      </c>
      <c r="L992" s="36">
        <f>IFERROR(Tabela_Base_Financeiro[[#This Row],[AC Qty,]],0)</f>
        <v>0</v>
      </c>
      <c r="M992" s="60">
        <f>Tabela6[[#This Row],[Qty]]*Tabela6[[#This Row],[Preço]]</f>
        <v>0</v>
      </c>
      <c r="N992" s="37">
        <f>IFERROR(Tabela_Base_Financeiro[[#This Row],[Proportion]],0)</f>
        <v>0</v>
      </c>
      <c r="O992" s="60">
        <f>Tabela6[[#This Row],[Proporção]]*Tabela6[[#This Row],[Total]]</f>
        <v>0</v>
      </c>
      <c r="P992"/>
      <c r="Q992" s="59"/>
      <c r="R992" s="1"/>
    </row>
    <row r="993" spans="1:18">
      <c r="A993" s="122" t="e">
        <f>IF(VLOOKUP(Tabela6[[#This Row],[UF]],'BASE CC'!B:C,2,0)="SP",IF(Tabela6[[#This Row],[OPERADORA]]="TIM","SP TIM","SPI"),VLOOKUP(Tabela6[[#This Row],[UF]],'BASE CC'!B:C,2,0))</f>
        <v>#N/A</v>
      </c>
      <c r="B993" s="36" t="e">
        <f>VLOOKUP(Tabela_Base_Financeiro[[#This Row],[Item code]],'COD.FAT'!B:C,2,0)</f>
        <v>#N/A</v>
      </c>
      <c r="C993" s="292">
        <f>Tabela_Base_Financeiro[[#This Row],[PO Ship TO]]</f>
        <v>0</v>
      </c>
      <c r="D993" s="36" t="str">
        <f>RIGHT(Tabela_Base_Financeiro[[#This Row],[Manufacturer]],2)</f>
        <v/>
      </c>
      <c r="E99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93" s="122" t="e">
        <f>VLOOKUP(Tabela_Base_Financeiro[[#This Row],[Project Code]],'COD. PROJETOS'!B:D,3,0)</f>
        <v>#N/A</v>
      </c>
      <c r="G993" s="36">
        <f>IFERROR(Tabela_Base_Financeiro[[#This Row],[PO No,]],0)</f>
        <v>0</v>
      </c>
      <c r="H993" s="36">
        <f>IFERROR(Tabela_Base_Financeiro[[#This Row],[Line No,]],0)</f>
        <v>0</v>
      </c>
      <c r="I993" s="36" t="str">
        <f>IFERROR(MID(Tabela_Base_Financeiro[[#This Row],[Manufacturer]],19,14),"")</f>
        <v/>
      </c>
      <c r="J993" s="113">
        <f>IFERROR(Tabela_Base_Financeiro[[#This Row],[Item code]],0)</f>
        <v>0</v>
      </c>
      <c r="K993" s="293">
        <f>IFERROR(Tabela_Base_Financeiro[[#This Row],[Unit Price]],0)</f>
        <v>0</v>
      </c>
      <c r="L993" s="36">
        <f>IFERROR(Tabela_Base_Financeiro[[#This Row],[AC Qty,]],0)</f>
        <v>0</v>
      </c>
      <c r="M993" s="60">
        <f>Tabela6[[#This Row],[Qty]]*Tabela6[[#This Row],[Preço]]</f>
        <v>0</v>
      </c>
      <c r="N993" s="37">
        <f>IFERROR(Tabela_Base_Financeiro[[#This Row],[Proportion]],0)</f>
        <v>0</v>
      </c>
      <c r="O993" s="60">
        <f>Tabela6[[#This Row],[Proporção]]*Tabela6[[#This Row],[Total]]</f>
        <v>0</v>
      </c>
      <c r="P993"/>
      <c r="Q993" s="59"/>
      <c r="R993" s="1"/>
    </row>
    <row r="994" spans="1:18">
      <c r="A994" s="122" t="e">
        <f>IF(VLOOKUP(Tabela6[[#This Row],[UF]],'BASE CC'!B:C,2,0)="SP",IF(Tabela6[[#This Row],[OPERADORA]]="TIM","SP TIM","SPI"),VLOOKUP(Tabela6[[#This Row],[UF]],'BASE CC'!B:C,2,0))</f>
        <v>#N/A</v>
      </c>
      <c r="B994" s="36" t="e">
        <f>VLOOKUP(Tabela_Base_Financeiro[[#This Row],[Item code]],'COD.FAT'!B:C,2,0)</f>
        <v>#N/A</v>
      </c>
      <c r="C994" s="292">
        <f>Tabela_Base_Financeiro[[#This Row],[PO Ship TO]]</f>
        <v>0</v>
      </c>
      <c r="D994" s="36" t="str">
        <f>RIGHT(Tabela_Base_Financeiro[[#This Row],[Manufacturer]],2)</f>
        <v/>
      </c>
      <c r="E99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94" s="122" t="e">
        <f>VLOOKUP(Tabela_Base_Financeiro[[#This Row],[Project Code]],'COD. PROJETOS'!B:D,3,0)</f>
        <v>#N/A</v>
      </c>
      <c r="G994" s="36">
        <f>IFERROR(Tabela_Base_Financeiro[[#This Row],[PO No,]],0)</f>
        <v>0</v>
      </c>
      <c r="H994" s="36">
        <f>IFERROR(Tabela_Base_Financeiro[[#This Row],[Line No,]],0)</f>
        <v>0</v>
      </c>
      <c r="I994" s="36" t="str">
        <f>IFERROR(MID(Tabela_Base_Financeiro[[#This Row],[Manufacturer]],19,14),"")</f>
        <v/>
      </c>
      <c r="J994" s="113">
        <f>IFERROR(Tabela_Base_Financeiro[[#This Row],[Item code]],0)</f>
        <v>0</v>
      </c>
      <c r="K994" s="293">
        <f>IFERROR(Tabela_Base_Financeiro[[#This Row],[Unit Price]],0)</f>
        <v>0</v>
      </c>
      <c r="L994" s="36">
        <f>IFERROR(Tabela_Base_Financeiro[[#This Row],[AC Qty,]],0)</f>
        <v>0</v>
      </c>
      <c r="M994" s="60">
        <f>Tabela6[[#This Row],[Qty]]*Tabela6[[#This Row],[Preço]]</f>
        <v>0</v>
      </c>
      <c r="N994" s="37">
        <f>IFERROR(Tabela_Base_Financeiro[[#This Row],[Proportion]],0)</f>
        <v>0</v>
      </c>
      <c r="O994" s="60">
        <f>Tabela6[[#This Row],[Proporção]]*Tabela6[[#This Row],[Total]]</f>
        <v>0</v>
      </c>
      <c r="P994"/>
      <c r="Q994" s="59"/>
      <c r="R994" s="1"/>
    </row>
    <row r="995" spans="1:18">
      <c r="A995" s="122" t="e">
        <f>IF(VLOOKUP(Tabela6[[#This Row],[UF]],'BASE CC'!B:C,2,0)="SP",IF(Tabela6[[#This Row],[OPERADORA]]="TIM","SP TIM","SPI"),VLOOKUP(Tabela6[[#This Row],[UF]],'BASE CC'!B:C,2,0))</f>
        <v>#N/A</v>
      </c>
      <c r="B995" s="36" t="e">
        <f>VLOOKUP(Tabela_Base_Financeiro[[#This Row],[Item code]],'COD.FAT'!B:C,2,0)</f>
        <v>#N/A</v>
      </c>
      <c r="C995" s="292">
        <f>Tabela_Base_Financeiro[[#This Row],[PO Ship TO]]</f>
        <v>0</v>
      </c>
      <c r="D995" s="36" t="str">
        <f>RIGHT(Tabela_Base_Financeiro[[#This Row],[Manufacturer]],2)</f>
        <v/>
      </c>
      <c r="E99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95" s="122" t="e">
        <f>VLOOKUP(Tabela_Base_Financeiro[[#This Row],[Project Code]],'COD. PROJETOS'!B:D,3,0)</f>
        <v>#N/A</v>
      </c>
      <c r="G995" s="36">
        <f>IFERROR(Tabela_Base_Financeiro[[#This Row],[PO No,]],0)</f>
        <v>0</v>
      </c>
      <c r="H995" s="36">
        <f>IFERROR(Tabela_Base_Financeiro[[#This Row],[Line No,]],0)</f>
        <v>0</v>
      </c>
      <c r="I995" s="36" t="str">
        <f>IFERROR(MID(Tabela_Base_Financeiro[[#This Row],[Manufacturer]],19,14),"")</f>
        <v/>
      </c>
      <c r="J995" s="113">
        <f>IFERROR(Tabela_Base_Financeiro[[#This Row],[Item code]],0)</f>
        <v>0</v>
      </c>
      <c r="K995" s="293">
        <f>IFERROR(Tabela_Base_Financeiro[[#This Row],[Unit Price]],0)</f>
        <v>0</v>
      </c>
      <c r="L995" s="36">
        <f>IFERROR(Tabela_Base_Financeiro[[#This Row],[AC Qty,]],0)</f>
        <v>0</v>
      </c>
      <c r="M995" s="60">
        <f>Tabela6[[#This Row],[Qty]]*Tabela6[[#This Row],[Preço]]</f>
        <v>0</v>
      </c>
      <c r="N995" s="37">
        <f>IFERROR(Tabela_Base_Financeiro[[#This Row],[Proportion]],0)</f>
        <v>0</v>
      </c>
      <c r="O995" s="60">
        <f>Tabela6[[#This Row],[Proporção]]*Tabela6[[#This Row],[Total]]</f>
        <v>0</v>
      </c>
      <c r="P995"/>
      <c r="Q995" s="59"/>
      <c r="R995" s="1"/>
    </row>
    <row r="996" spans="1:18">
      <c r="A996" s="122" t="e">
        <f>IF(VLOOKUP(Tabela6[[#This Row],[UF]],'BASE CC'!B:C,2,0)="SP",IF(Tabela6[[#This Row],[OPERADORA]]="TIM","SP TIM","SPI"),VLOOKUP(Tabela6[[#This Row],[UF]],'BASE CC'!B:C,2,0))</f>
        <v>#N/A</v>
      </c>
      <c r="B996" s="36" t="e">
        <f>VLOOKUP(Tabela_Base_Financeiro[[#This Row],[Item code]],'COD.FAT'!B:C,2,0)</f>
        <v>#N/A</v>
      </c>
      <c r="C996" s="292">
        <f>Tabela_Base_Financeiro[[#This Row],[PO Ship TO]]</f>
        <v>0</v>
      </c>
      <c r="D996" s="36" t="str">
        <f>RIGHT(Tabela_Base_Financeiro[[#This Row],[Manufacturer]],2)</f>
        <v/>
      </c>
      <c r="E99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96" s="122" t="e">
        <f>VLOOKUP(Tabela_Base_Financeiro[[#This Row],[Project Code]],'COD. PROJETOS'!B:D,3,0)</f>
        <v>#N/A</v>
      </c>
      <c r="G996" s="36">
        <f>IFERROR(Tabela_Base_Financeiro[[#This Row],[PO No,]],0)</f>
        <v>0</v>
      </c>
      <c r="H996" s="36">
        <f>IFERROR(Tabela_Base_Financeiro[[#This Row],[Line No,]],0)</f>
        <v>0</v>
      </c>
      <c r="I996" s="36" t="str">
        <f>IFERROR(MID(Tabela_Base_Financeiro[[#This Row],[Manufacturer]],19,14),"")</f>
        <v/>
      </c>
      <c r="J996" s="113">
        <f>IFERROR(Tabela_Base_Financeiro[[#This Row],[Item code]],0)</f>
        <v>0</v>
      </c>
      <c r="K996" s="293">
        <f>IFERROR(Tabela_Base_Financeiro[[#This Row],[Unit Price]],0)</f>
        <v>0</v>
      </c>
      <c r="L996" s="36">
        <f>IFERROR(Tabela_Base_Financeiro[[#This Row],[AC Qty,]],0)</f>
        <v>0</v>
      </c>
      <c r="M996" s="60">
        <f>Tabela6[[#This Row],[Qty]]*Tabela6[[#This Row],[Preço]]</f>
        <v>0</v>
      </c>
      <c r="N996" s="37">
        <f>IFERROR(Tabela_Base_Financeiro[[#This Row],[Proportion]],0)</f>
        <v>0</v>
      </c>
      <c r="O996" s="60">
        <f>Tabela6[[#This Row],[Proporção]]*Tabela6[[#This Row],[Total]]</f>
        <v>0</v>
      </c>
      <c r="P996"/>
      <c r="Q996" s="59"/>
      <c r="R996" s="1"/>
    </row>
    <row r="997" spans="1:18">
      <c r="A997" s="122" t="e">
        <f>IF(VLOOKUP(Tabela6[[#This Row],[UF]],'BASE CC'!B:C,2,0)="SP",IF(Tabela6[[#This Row],[OPERADORA]]="TIM","SP TIM","SPI"),VLOOKUP(Tabela6[[#This Row],[UF]],'BASE CC'!B:C,2,0))</f>
        <v>#N/A</v>
      </c>
      <c r="B997" s="36" t="e">
        <f>VLOOKUP(Tabela_Base_Financeiro[[#This Row],[Item code]],'COD.FAT'!B:C,2,0)</f>
        <v>#N/A</v>
      </c>
      <c r="C997" s="292">
        <f>Tabela_Base_Financeiro[[#This Row],[PO Ship TO]]</f>
        <v>0</v>
      </c>
      <c r="D997" s="36" t="str">
        <f>RIGHT(Tabela_Base_Financeiro[[#This Row],[Manufacturer]],2)</f>
        <v/>
      </c>
      <c r="E99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97" s="122" t="e">
        <f>VLOOKUP(Tabela_Base_Financeiro[[#This Row],[Project Code]],'COD. PROJETOS'!B:D,3,0)</f>
        <v>#N/A</v>
      </c>
      <c r="G997" s="36">
        <f>IFERROR(Tabela_Base_Financeiro[[#This Row],[PO No,]],0)</f>
        <v>0</v>
      </c>
      <c r="H997" s="36">
        <f>IFERROR(Tabela_Base_Financeiro[[#This Row],[Line No,]],0)</f>
        <v>0</v>
      </c>
      <c r="I997" s="36" t="str">
        <f>IFERROR(MID(Tabela_Base_Financeiro[[#This Row],[Manufacturer]],19,14),"")</f>
        <v/>
      </c>
      <c r="J997" s="113">
        <f>IFERROR(Tabela_Base_Financeiro[[#This Row],[Item code]],0)</f>
        <v>0</v>
      </c>
      <c r="K997" s="293">
        <f>IFERROR(Tabela_Base_Financeiro[[#This Row],[Unit Price]],0)</f>
        <v>0</v>
      </c>
      <c r="L997" s="36">
        <f>IFERROR(Tabela_Base_Financeiro[[#This Row],[AC Qty,]],0)</f>
        <v>0</v>
      </c>
      <c r="M997" s="60">
        <f>Tabela6[[#This Row],[Qty]]*Tabela6[[#This Row],[Preço]]</f>
        <v>0</v>
      </c>
      <c r="N997" s="37">
        <f>IFERROR(Tabela_Base_Financeiro[[#This Row],[Proportion]],0)</f>
        <v>0</v>
      </c>
      <c r="O997" s="60">
        <f>Tabela6[[#This Row],[Proporção]]*Tabela6[[#This Row],[Total]]</f>
        <v>0</v>
      </c>
      <c r="P997"/>
      <c r="Q997" s="59"/>
      <c r="R997" s="1"/>
    </row>
    <row r="998" spans="1:18">
      <c r="A998" s="122" t="e">
        <f>IF(VLOOKUP(Tabela6[[#This Row],[UF]],'BASE CC'!B:C,2,0)="SP",IF(Tabela6[[#This Row],[OPERADORA]]="TIM","SP TIM","SPI"),VLOOKUP(Tabela6[[#This Row],[UF]],'BASE CC'!B:C,2,0))</f>
        <v>#N/A</v>
      </c>
      <c r="B998" s="36" t="e">
        <f>VLOOKUP(Tabela_Base_Financeiro[[#This Row],[Item code]],'COD.FAT'!B:C,2,0)</f>
        <v>#N/A</v>
      </c>
      <c r="C998" s="292">
        <f>Tabela_Base_Financeiro[[#This Row],[PO Ship TO]]</f>
        <v>0</v>
      </c>
      <c r="D998" s="36" t="str">
        <f>RIGHT(Tabela_Base_Financeiro[[#This Row],[Manufacturer]],2)</f>
        <v/>
      </c>
      <c r="E99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98" s="122" t="e">
        <f>VLOOKUP(Tabela_Base_Financeiro[[#This Row],[Project Code]],'COD. PROJETOS'!B:D,3,0)</f>
        <v>#N/A</v>
      </c>
      <c r="G998" s="36">
        <f>IFERROR(Tabela_Base_Financeiro[[#This Row],[PO No,]],0)</f>
        <v>0</v>
      </c>
      <c r="H998" s="36">
        <f>IFERROR(Tabela_Base_Financeiro[[#This Row],[Line No,]],0)</f>
        <v>0</v>
      </c>
      <c r="I998" s="36" t="str">
        <f>IFERROR(MID(Tabela_Base_Financeiro[[#This Row],[Manufacturer]],19,14),"")</f>
        <v/>
      </c>
      <c r="J998" s="113">
        <f>IFERROR(Tabela_Base_Financeiro[[#This Row],[Item code]],0)</f>
        <v>0</v>
      </c>
      <c r="K998" s="293">
        <f>IFERROR(Tabela_Base_Financeiro[[#This Row],[Unit Price]],0)</f>
        <v>0</v>
      </c>
      <c r="L998" s="36">
        <f>IFERROR(Tabela_Base_Financeiro[[#This Row],[AC Qty,]],0)</f>
        <v>0</v>
      </c>
      <c r="M998" s="60">
        <f>Tabela6[[#This Row],[Qty]]*Tabela6[[#This Row],[Preço]]</f>
        <v>0</v>
      </c>
      <c r="N998" s="37">
        <f>IFERROR(Tabela_Base_Financeiro[[#This Row],[Proportion]],0)</f>
        <v>0</v>
      </c>
      <c r="O998" s="60">
        <f>Tabela6[[#This Row],[Proporção]]*Tabela6[[#This Row],[Total]]</f>
        <v>0</v>
      </c>
      <c r="P998"/>
      <c r="Q998" s="59"/>
      <c r="R998" s="1"/>
    </row>
    <row r="999" spans="1:18">
      <c r="A999" s="122" t="e">
        <f>IF(VLOOKUP(Tabela6[[#This Row],[UF]],'BASE CC'!B:C,2,0)="SP",IF(Tabela6[[#This Row],[OPERADORA]]="TIM","SP TIM","SPI"),VLOOKUP(Tabela6[[#This Row],[UF]],'BASE CC'!B:C,2,0))</f>
        <v>#N/A</v>
      </c>
      <c r="B999" s="36" t="e">
        <f>VLOOKUP(Tabela_Base_Financeiro[[#This Row],[Item code]],'COD.FAT'!B:C,2,0)</f>
        <v>#N/A</v>
      </c>
      <c r="C999" s="292">
        <f>Tabela_Base_Financeiro[[#This Row],[PO Ship TO]]</f>
        <v>0</v>
      </c>
      <c r="D999" s="36" t="str">
        <f>RIGHT(Tabela_Base_Financeiro[[#This Row],[Manufacturer]],2)</f>
        <v/>
      </c>
      <c r="E99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999" s="122" t="e">
        <f>VLOOKUP(Tabela_Base_Financeiro[[#This Row],[Project Code]],'COD. PROJETOS'!B:D,3,0)</f>
        <v>#N/A</v>
      </c>
      <c r="G999" s="36">
        <f>IFERROR(Tabela_Base_Financeiro[[#This Row],[PO No,]],0)</f>
        <v>0</v>
      </c>
      <c r="H999" s="36">
        <f>IFERROR(Tabela_Base_Financeiro[[#This Row],[Line No,]],0)</f>
        <v>0</v>
      </c>
      <c r="I999" s="36" t="str">
        <f>IFERROR(MID(Tabela_Base_Financeiro[[#This Row],[Manufacturer]],19,14),"")</f>
        <v/>
      </c>
      <c r="J999" s="113">
        <f>IFERROR(Tabela_Base_Financeiro[[#This Row],[Item code]],0)</f>
        <v>0</v>
      </c>
      <c r="K999" s="293">
        <f>IFERROR(Tabela_Base_Financeiro[[#This Row],[Unit Price]],0)</f>
        <v>0</v>
      </c>
      <c r="L999" s="36">
        <f>IFERROR(Tabela_Base_Financeiro[[#This Row],[AC Qty,]],0)</f>
        <v>0</v>
      </c>
      <c r="M999" s="60">
        <f>Tabela6[[#This Row],[Qty]]*Tabela6[[#This Row],[Preço]]</f>
        <v>0</v>
      </c>
      <c r="N999" s="37">
        <f>IFERROR(Tabela_Base_Financeiro[[#This Row],[Proportion]],0)</f>
        <v>0</v>
      </c>
      <c r="O999" s="60">
        <f>Tabela6[[#This Row],[Proporção]]*Tabela6[[#This Row],[Total]]</f>
        <v>0</v>
      </c>
      <c r="P999"/>
      <c r="Q999" s="59"/>
      <c r="R999" s="1"/>
    </row>
    <row r="1000" spans="1:18">
      <c r="A1000" s="122" t="e">
        <f>IF(VLOOKUP(Tabela6[[#This Row],[UF]],'BASE CC'!B:C,2,0)="SP",IF(Tabela6[[#This Row],[OPERADORA]]="TIM","SP TIM","SPI"),VLOOKUP(Tabela6[[#This Row],[UF]],'BASE CC'!B:C,2,0))</f>
        <v>#N/A</v>
      </c>
      <c r="B1000" s="36" t="e">
        <f>VLOOKUP(Tabela_Base_Financeiro[[#This Row],[Item code]],'COD.FAT'!B:C,2,0)</f>
        <v>#N/A</v>
      </c>
      <c r="C1000" s="292">
        <f>Tabela_Base_Financeiro[[#This Row],[PO Ship TO]]</f>
        <v>0</v>
      </c>
      <c r="D1000" s="36" t="str">
        <f>RIGHT(Tabela_Base_Financeiro[[#This Row],[Manufacturer]],2)</f>
        <v/>
      </c>
      <c r="E100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00" s="122" t="e">
        <f>VLOOKUP(Tabela_Base_Financeiro[[#This Row],[Project Code]],'COD. PROJETOS'!B:D,3,0)</f>
        <v>#N/A</v>
      </c>
      <c r="G1000" s="36">
        <f>IFERROR(Tabela_Base_Financeiro[[#This Row],[PO No,]],0)</f>
        <v>0</v>
      </c>
      <c r="H1000" s="36">
        <f>IFERROR(Tabela_Base_Financeiro[[#This Row],[Line No,]],0)</f>
        <v>0</v>
      </c>
      <c r="I1000" s="36" t="str">
        <f>IFERROR(MID(Tabela_Base_Financeiro[[#This Row],[Manufacturer]],19,14),"")</f>
        <v/>
      </c>
      <c r="J1000" s="113">
        <f>IFERROR(Tabela_Base_Financeiro[[#This Row],[Item code]],0)</f>
        <v>0</v>
      </c>
      <c r="K1000" s="293">
        <f>IFERROR(Tabela_Base_Financeiro[[#This Row],[Unit Price]],0)</f>
        <v>0</v>
      </c>
      <c r="L1000" s="36">
        <f>IFERROR(Tabela_Base_Financeiro[[#This Row],[AC Qty,]],0)</f>
        <v>0</v>
      </c>
      <c r="M1000" s="60">
        <f>Tabela6[[#This Row],[Qty]]*Tabela6[[#This Row],[Preço]]</f>
        <v>0</v>
      </c>
      <c r="N1000" s="37">
        <f>IFERROR(Tabela_Base_Financeiro[[#This Row],[Proportion]],0)</f>
        <v>0</v>
      </c>
      <c r="O1000" s="60">
        <f>Tabela6[[#This Row],[Proporção]]*Tabela6[[#This Row],[Total]]</f>
        <v>0</v>
      </c>
      <c r="P1000"/>
      <c r="Q1000" s="59"/>
      <c r="R1000" s="1"/>
    </row>
    <row r="1001" spans="1:18">
      <c r="A1001" s="122" t="e">
        <f>IF(VLOOKUP(Tabela6[[#This Row],[UF]],'BASE CC'!B:C,2,0)="SP",IF(Tabela6[[#This Row],[OPERADORA]]="TIM","SP TIM","SPI"),VLOOKUP(Tabela6[[#This Row],[UF]],'BASE CC'!B:C,2,0))</f>
        <v>#N/A</v>
      </c>
      <c r="B1001" s="36" t="e">
        <f>VLOOKUP(Tabela_Base_Financeiro[[#This Row],[Item code]],'COD.FAT'!B:C,2,0)</f>
        <v>#N/A</v>
      </c>
      <c r="C1001" s="292">
        <f>Tabela_Base_Financeiro[[#This Row],[PO Ship TO]]</f>
        <v>0</v>
      </c>
      <c r="D1001" s="36" t="str">
        <f>RIGHT(Tabela_Base_Financeiro[[#This Row],[Manufacturer]],2)</f>
        <v/>
      </c>
      <c r="E100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01" s="122" t="e">
        <f>VLOOKUP(Tabela_Base_Financeiro[[#This Row],[Project Code]],'COD. PROJETOS'!B:D,3,0)</f>
        <v>#N/A</v>
      </c>
      <c r="G1001" s="36">
        <f>IFERROR(Tabela_Base_Financeiro[[#This Row],[PO No,]],0)</f>
        <v>0</v>
      </c>
      <c r="H1001" s="36">
        <f>IFERROR(Tabela_Base_Financeiro[[#This Row],[Line No,]],0)</f>
        <v>0</v>
      </c>
      <c r="I1001" s="36" t="str">
        <f>IFERROR(MID(Tabela_Base_Financeiro[[#This Row],[Manufacturer]],19,14),"")</f>
        <v/>
      </c>
      <c r="J1001" s="113">
        <f>IFERROR(Tabela_Base_Financeiro[[#This Row],[Item code]],0)</f>
        <v>0</v>
      </c>
      <c r="K1001" s="293">
        <f>IFERROR(Tabela_Base_Financeiro[[#This Row],[Unit Price]],0)</f>
        <v>0</v>
      </c>
      <c r="L1001" s="36">
        <f>IFERROR(Tabela_Base_Financeiro[[#This Row],[AC Qty,]],0)</f>
        <v>0</v>
      </c>
      <c r="M1001" s="60">
        <f>Tabela6[[#This Row],[Qty]]*Tabela6[[#This Row],[Preço]]</f>
        <v>0</v>
      </c>
      <c r="N1001" s="37">
        <f>IFERROR(Tabela_Base_Financeiro[[#This Row],[Proportion]],0)</f>
        <v>0</v>
      </c>
      <c r="O1001" s="60">
        <f>Tabela6[[#This Row],[Proporção]]*Tabela6[[#This Row],[Total]]</f>
        <v>0</v>
      </c>
      <c r="P1001"/>
      <c r="Q1001" s="59"/>
      <c r="R1001" s="1"/>
    </row>
    <row r="1002" spans="1:18">
      <c r="A1002" s="122" t="e">
        <f>IF(VLOOKUP(Tabela6[[#This Row],[UF]],'BASE CC'!B:C,2,0)="SP",IF(Tabela6[[#This Row],[OPERADORA]]="TIM","SP TIM","SPI"),VLOOKUP(Tabela6[[#This Row],[UF]],'BASE CC'!B:C,2,0))</f>
        <v>#N/A</v>
      </c>
      <c r="B1002" s="36" t="e">
        <f>VLOOKUP(Tabela_Base_Financeiro[[#This Row],[Item code]],'COD.FAT'!B:C,2,0)</f>
        <v>#N/A</v>
      </c>
      <c r="C1002" s="292">
        <f>Tabela_Base_Financeiro[[#This Row],[PO Ship TO]]</f>
        <v>0</v>
      </c>
      <c r="D1002" s="36" t="str">
        <f>RIGHT(Tabela_Base_Financeiro[[#This Row],[Manufacturer]],2)</f>
        <v/>
      </c>
      <c r="E100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02" s="122" t="e">
        <f>VLOOKUP(Tabela_Base_Financeiro[[#This Row],[Project Code]],'COD. PROJETOS'!B:D,3,0)</f>
        <v>#N/A</v>
      </c>
      <c r="G1002" s="36">
        <f>IFERROR(Tabela_Base_Financeiro[[#This Row],[PO No,]],0)</f>
        <v>0</v>
      </c>
      <c r="H1002" s="36">
        <f>IFERROR(Tabela_Base_Financeiro[[#This Row],[Line No,]],0)</f>
        <v>0</v>
      </c>
      <c r="I1002" s="36" t="str">
        <f>IFERROR(MID(Tabela_Base_Financeiro[[#This Row],[Manufacturer]],19,14),"")</f>
        <v/>
      </c>
      <c r="J1002" s="113">
        <f>IFERROR(Tabela_Base_Financeiro[[#This Row],[Item code]],0)</f>
        <v>0</v>
      </c>
      <c r="K1002" s="293">
        <f>IFERROR(Tabela_Base_Financeiro[[#This Row],[Unit Price]],0)</f>
        <v>0</v>
      </c>
      <c r="L1002" s="36">
        <f>IFERROR(Tabela_Base_Financeiro[[#This Row],[AC Qty,]],0)</f>
        <v>0</v>
      </c>
      <c r="M1002" s="60">
        <f>Tabela6[[#This Row],[Qty]]*Tabela6[[#This Row],[Preço]]</f>
        <v>0</v>
      </c>
      <c r="N1002" s="37">
        <f>IFERROR(Tabela_Base_Financeiro[[#This Row],[Proportion]],0)</f>
        <v>0</v>
      </c>
      <c r="O1002" s="60">
        <f>Tabela6[[#This Row],[Proporção]]*Tabela6[[#This Row],[Total]]</f>
        <v>0</v>
      </c>
      <c r="P1002"/>
      <c r="Q1002" s="59"/>
      <c r="R1002" s="1"/>
    </row>
    <row r="1003" spans="1:18">
      <c r="A1003" s="122" t="e">
        <f>IF(VLOOKUP(Tabela6[[#This Row],[UF]],'BASE CC'!B:C,2,0)="SP",IF(Tabela6[[#This Row],[OPERADORA]]="TIM","SP TIM","SPI"),VLOOKUP(Tabela6[[#This Row],[UF]],'BASE CC'!B:C,2,0))</f>
        <v>#N/A</v>
      </c>
      <c r="B1003" s="36" t="e">
        <f>VLOOKUP(Tabela_Base_Financeiro[[#This Row],[Item code]],'COD.FAT'!B:C,2,0)</f>
        <v>#N/A</v>
      </c>
      <c r="C1003" s="292">
        <f>Tabela_Base_Financeiro[[#This Row],[PO Ship TO]]</f>
        <v>0</v>
      </c>
      <c r="D1003" s="36" t="str">
        <f>RIGHT(Tabela_Base_Financeiro[[#This Row],[Manufacturer]],2)</f>
        <v/>
      </c>
      <c r="E100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03" s="122" t="e">
        <f>VLOOKUP(Tabela_Base_Financeiro[[#This Row],[Project Code]],'COD. PROJETOS'!B:D,3,0)</f>
        <v>#N/A</v>
      </c>
      <c r="G1003" s="36">
        <f>IFERROR(Tabela_Base_Financeiro[[#This Row],[PO No,]],0)</f>
        <v>0</v>
      </c>
      <c r="H1003" s="36">
        <f>IFERROR(Tabela_Base_Financeiro[[#This Row],[Line No,]],0)</f>
        <v>0</v>
      </c>
      <c r="I1003" s="36" t="str">
        <f>IFERROR(MID(Tabela_Base_Financeiro[[#This Row],[Manufacturer]],19,14),"")</f>
        <v/>
      </c>
      <c r="J1003" s="113">
        <f>IFERROR(Tabela_Base_Financeiro[[#This Row],[Item code]],0)</f>
        <v>0</v>
      </c>
      <c r="K1003" s="293">
        <f>IFERROR(Tabela_Base_Financeiro[[#This Row],[Unit Price]],0)</f>
        <v>0</v>
      </c>
      <c r="L1003" s="36">
        <f>IFERROR(Tabela_Base_Financeiro[[#This Row],[AC Qty,]],0)</f>
        <v>0</v>
      </c>
      <c r="M1003" s="60">
        <f>Tabela6[[#This Row],[Qty]]*Tabela6[[#This Row],[Preço]]</f>
        <v>0</v>
      </c>
      <c r="N1003" s="37">
        <f>IFERROR(Tabela_Base_Financeiro[[#This Row],[Proportion]],0)</f>
        <v>0</v>
      </c>
      <c r="O1003" s="60">
        <f>Tabela6[[#This Row],[Proporção]]*Tabela6[[#This Row],[Total]]</f>
        <v>0</v>
      </c>
      <c r="P1003"/>
      <c r="Q1003" s="59"/>
      <c r="R1003" s="1"/>
    </row>
    <row r="1004" spans="1:18">
      <c r="A1004" s="122" t="e">
        <f>IF(VLOOKUP(Tabela6[[#This Row],[UF]],'BASE CC'!B:C,2,0)="SP",IF(Tabela6[[#This Row],[OPERADORA]]="TIM","SP TIM","SPI"),VLOOKUP(Tabela6[[#This Row],[UF]],'BASE CC'!B:C,2,0))</f>
        <v>#N/A</v>
      </c>
      <c r="B1004" s="36" t="e">
        <f>VLOOKUP(Tabela_Base_Financeiro[[#This Row],[Item code]],'COD.FAT'!B:C,2,0)</f>
        <v>#N/A</v>
      </c>
      <c r="C1004" s="292">
        <f>Tabela_Base_Financeiro[[#This Row],[PO Ship TO]]</f>
        <v>0</v>
      </c>
      <c r="D1004" s="36" t="str">
        <f>RIGHT(Tabela_Base_Financeiro[[#This Row],[Manufacturer]],2)</f>
        <v/>
      </c>
      <c r="E100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04" s="122" t="e">
        <f>VLOOKUP(Tabela_Base_Financeiro[[#This Row],[Project Code]],'COD. PROJETOS'!B:D,3,0)</f>
        <v>#N/A</v>
      </c>
      <c r="G1004" s="36">
        <f>IFERROR(Tabela_Base_Financeiro[[#This Row],[PO No,]],0)</f>
        <v>0</v>
      </c>
      <c r="H1004" s="36">
        <f>IFERROR(Tabela_Base_Financeiro[[#This Row],[Line No,]],0)</f>
        <v>0</v>
      </c>
      <c r="I1004" s="36" t="str">
        <f>IFERROR(MID(Tabela_Base_Financeiro[[#This Row],[Manufacturer]],19,14),"")</f>
        <v/>
      </c>
      <c r="J1004" s="113">
        <f>IFERROR(Tabela_Base_Financeiro[[#This Row],[Item code]],0)</f>
        <v>0</v>
      </c>
      <c r="K1004" s="293">
        <f>IFERROR(Tabela_Base_Financeiro[[#This Row],[Unit Price]],0)</f>
        <v>0</v>
      </c>
      <c r="L1004" s="36">
        <f>IFERROR(Tabela_Base_Financeiro[[#This Row],[AC Qty,]],0)</f>
        <v>0</v>
      </c>
      <c r="M1004" s="60">
        <f>Tabela6[[#This Row],[Qty]]*Tabela6[[#This Row],[Preço]]</f>
        <v>0</v>
      </c>
      <c r="N1004" s="37">
        <f>IFERROR(Tabela_Base_Financeiro[[#This Row],[Proportion]],0)</f>
        <v>0</v>
      </c>
      <c r="O1004" s="60">
        <f>Tabela6[[#This Row],[Proporção]]*Tabela6[[#This Row],[Total]]</f>
        <v>0</v>
      </c>
      <c r="P1004"/>
      <c r="Q1004" s="59"/>
      <c r="R1004" s="1"/>
    </row>
    <row r="1005" spans="1:18">
      <c r="A1005" s="122" t="e">
        <f>IF(VLOOKUP(Tabela6[[#This Row],[UF]],'BASE CC'!B:C,2,0)="SP",IF(Tabela6[[#This Row],[OPERADORA]]="TIM","SP TIM","SPI"),VLOOKUP(Tabela6[[#This Row],[UF]],'BASE CC'!B:C,2,0))</f>
        <v>#N/A</v>
      </c>
      <c r="B1005" s="36" t="e">
        <f>VLOOKUP(Tabela_Base_Financeiro[[#This Row],[Item code]],'COD.FAT'!B:C,2,0)</f>
        <v>#N/A</v>
      </c>
      <c r="C1005" s="292">
        <f>Tabela_Base_Financeiro[[#This Row],[PO Ship TO]]</f>
        <v>0</v>
      </c>
      <c r="D1005" s="36" t="str">
        <f>RIGHT(Tabela_Base_Financeiro[[#This Row],[Manufacturer]],2)</f>
        <v/>
      </c>
      <c r="E100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05" s="122" t="e">
        <f>VLOOKUP(Tabela_Base_Financeiro[[#This Row],[Project Code]],'COD. PROJETOS'!B:D,3,0)</f>
        <v>#N/A</v>
      </c>
      <c r="G1005" s="36">
        <f>IFERROR(Tabela_Base_Financeiro[[#This Row],[PO No,]],0)</f>
        <v>0</v>
      </c>
      <c r="H1005" s="36">
        <f>IFERROR(Tabela_Base_Financeiro[[#This Row],[Line No,]],0)</f>
        <v>0</v>
      </c>
      <c r="I1005" s="36" t="str">
        <f>IFERROR(MID(Tabela_Base_Financeiro[[#This Row],[Manufacturer]],19,14),"")</f>
        <v/>
      </c>
      <c r="J1005" s="113">
        <f>IFERROR(Tabela_Base_Financeiro[[#This Row],[Item code]],0)</f>
        <v>0</v>
      </c>
      <c r="K1005" s="293">
        <f>IFERROR(Tabela_Base_Financeiro[[#This Row],[Unit Price]],0)</f>
        <v>0</v>
      </c>
      <c r="L1005" s="36">
        <f>IFERROR(Tabela_Base_Financeiro[[#This Row],[AC Qty,]],0)</f>
        <v>0</v>
      </c>
      <c r="M1005" s="60">
        <f>Tabela6[[#This Row],[Qty]]*Tabela6[[#This Row],[Preço]]</f>
        <v>0</v>
      </c>
      <c r="N1005" s="37">
        <f>IFERROR(Tabela_Base_Financeiro[[#This Row],[Proportion]],0)</f>
        <v>0</v>
      </c>
      <c r="O1005" s="60">
        <f>Tabela6[[#This Row],[Proporção]]*Tabela6[[#This Row],[Total]]</f>
        <v>0</v>
      </c>
      <c r="P1005"/>
      <c r="Q1005" s="59"/>
      <c r="R1005" s="1"/>
    </row>
    <row r="1006" spans="1:18">
      <c r="A1006" s="122" t="e">
        <f>IF(VLOOKUP(Tabela6[[#This Row],[UF]],'BASE CC'!B:C,2,0)="SP",IF(Tabela6[[#This Row],[OPERADORA]]="TIM","SP TIM","SPI"),VLOOKUP(Tabela6[[#This Row],[UF]],'BASE CC'!B:C,2,0))</f>
        <v>#N/A</v>
      </c>
      <c r="B1006" s="36" t="e">
        <f>VLOOKUP(Tabela_Base_Financeiro[[#This Row],[Item code]],'COD.FAT'!B:C,2,0)</f>
        <v>#N/A</v>
      </c>
      <c r="C1006" s="292">
        <f>Tabela_Base_Financeiro[[#This Row],[PO Ship TO]]</f>
        <v>0</v>
      </c>
      <c r="D1006" s="36" t="str">
        <f>RIGHT(Tabela_Base_Financeiro[[#This Row],[Manufacturer]],2)</f>
        <v/>
      </c>
      <c r="E100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06" s="122" t="e">
        <f>VLOOKUP(Tabela_Base_Financeiro[[#This Row],[Project Code]],'COD. PROJETOS'!B:D,3,0)</f>
        <v>#N/A</v>
      </c>
      <c r="G1006" s="36">
        <f>IFERROR(Tabela_Base_Financeiro[[#This Row],[PO No,]],0)</f>
        <v>0</v>
      </c>
      <c r="H1006" s="36">
        <f>IFERROR(Tabela_Base_Financeiro[[#This Row],[Line No,]],0)</f>
        <v>0</v>
      </c>
      <c r="I1006" s="36" t="str">
        <f>IFERROR(MID(Tabela_Base_Financeiro[[#This Row],[Manufacturer]],19,14),"")</f>
        <v/>
      </c>
      <c r="J1006" s="113">
        <f>IFERROR(Tabela_Base_Financeiro[[#This Row],[Item code]],0)</f>
        <v>0</v>
      </c>
      <c r="K1006" s="293">
        <f>IFERROR(Tabela_Base_Financeiro[[#This Row],[Unit Price]],0)</f>
        <v>0</v>
      </c>
      <c r="L1006" s="36">
        <f>IFERROR(Tabela_Base_Financeiro[[#This Row],[AC Qty,]],0)</f>
        <v>0</v>
      </c>
      <c r="M1006" s="60">
        <f>Tabela6[[#This Row],[Qty]]*Tabela6[[#This Row],[Preço]]</f>
        <v>0</v>
      </c>
      <c r="N1006" s="37">
        <f>IFERROR(Tabela_Base_Financeiro[[#This Row],[Proportion]],0)</f>
        <v>0</v>
      </c>
      <c r="O1006" s="60">
        <f>Tabela6[[#This Row],[Proporção]]*Tabela6[[#This Row],[Total]]</f>
        <v>0</v>
      </c>
      <c r="P1006"/>
      <c r="Q1006" s="59"/>
      <c r="R1006" s="1"/>
    </row>
    <row r="1007" spans="1:18">
      <c r="A1007" s="122" t="e">
        <f>IF(VLOOKUP(Tabela6[[#This Row],[UF]],'BASE CC'!B:C,2,0)="SP",IF(Tabela6[[#This Row],[OPERADORA]]="TIM","SP TIM","SPI"),VLOOKUP(Tabela6[[#This Row],[UF]],'BASE CC'!B:C,2,0))</f>
        <v>#N/A</v>
      </c>
      <c r="B1007" s="36" t="e">
        <f>VLOOKUP(Tabela_Base_Financeiro[[#This Row],[Item code]],'COD.FAT'!B:C,2,0)</f>
        <v>#N/A</v>
      </c>
      <c r="C1007" s="292">
        <f>Tabela_Base_Financeiro[[#This Row],[PO Ship TO]]</f>
        <v>0</v>
      </c>
      <c r="D1007" s="36" t="str">
        <f>RIGHT(Tabela_Base_Financeiro[[#This Row],[Manufacturer]],2)</f>
        <v/>
      </c>
      <c r="E100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07" s="122" t="e">
        <f>VLOOKUP(Tabela_Base_Financeiro[[#This Row],[Project Code]],'COD. PROJETOS'!B:D,3,0)</f>
        <v>#N/A</v>
      </c>
      <c r="G1007" s="36">
        <f>IFERROR(Tabela_Base_Financeiro[[#This Row],[PO No,]],0)</f>
        <v>0</v>
      </c>
      <c r="H1007" s="36">
        <f>IFERROR(Tabela_Base_Financeiro[[#This Row],[Line No,]],0)</f>
        <v>0</v>
      </c>
      <c r="I1007" s="36" t="str">
        <f>IFERROR(MID(Tabela_Base_Financeiro[[#This Row],[Manufacturer]],19,14),"")</f>
        <v/>
      </c>
      <c r="J1007" s="113">
        <f>IFERROR(Tabela_Base_Financeiro[[#This Row],[Item code]],0)</f>
        <v>0</v>
      </c>
      <c r="K1007" s="293">
        <f>IFERROR(Tabela_Base_Financeiro[[#This Row],[Unit Price]],0)</f>
        <v>0</v>
      </c>
      <c r="L1007" s="36">
        <f>IFERROR(Tabela_Base_Financeiro[[#This Row],[AC Qty,]],0)</f>
        <v>0</v>
      </c>
      <c r="M1007" s="60">
        <f>Tabela6[[#This Row],[Qty]]*Tabela6[[#This Row],[Preço]]</f>
        <v>0</v>
      </c>
      <c r="N1007" s="37">
        <f>IFERROR(Tabela_Base_Financeiro[[#This Row],[Proportion]],0)</f>
        <v>0</v>
      </c>
      <c r="O1007" s="60">
        <f>Tabela6[[#This Row],[Proporção]]*Tabela6[[#This Row],[Total]]</f>
        <v>0</v>
      </c>
      <c r="P1007"/>
      <c r="Q1007" s="59"/>
      <c r="R1007" s="1"/>
    </row>
    <row r="1008" spans="1:18">
      <c r="A1008" s="122" t="e">
        <f>IF(VLOOKUP(Tabela6[[#This Row],[UF]],'BASE CC'!B:C,2,0)="SP",IF(Tabela6[[#This Row],[OPERADORA]]="TIM","SP TIM","SPI"),VLOOKUP(Tabela6[[#This Row],[UF]],'BASE CC'!B:C,2,0))</f>
        <v>#N/A</v>
      </c>
      <c r="B1008" s="36" t="e">
        <f>VLOOKUP(Tabela_Base_Financeiro[[#This Row],[Item code]],'COD.FAT'!B:C,2,0)</f>
        <v>#N/A</v>
      </c>
      <c r="C1008" s="292">
        <f>Tabela_Base_Financeiro[[#This Row],[PO Ship TO]]</f>
        <v>0</v>
      </c>
      <c r="D1008" s="36" t="str">
        <f>RIGHT(Tabela_Base_Financeiro[[#This Row],[Manufacturer]],2)</f>
        <v/>
      </c>
      <c r="E100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08" s="122" t="e">
        <f>VLOOKUP(Tabela_Base_Financeiro[[#This Row],[Project Code]],'COD. PROJETOS'!B:D,3,0)</f>
        <v>#N/A</v>
      </c>
      <c r="G1008" s="36">
        <f>IFERROR(Tabela_Base_Financeiro[[#This Row],[PO No,]],0)</f>
        <v>0</v>
      </c>
      <c r="H1008" s="36">
        <f>IFERROR(Tabela_Base_Financeiro[[#This Row],[Line No,]],0)</f>
        <v>0</v>
      </c>
      <c r="I1008" s="36" t="str">
        <f>IFERROR(MID(Tabela_Base_Financeiro[[#This Row],[Manufacturer]],19,14),"")</f>
        <v/>
      </c>
      <c r="J1008" s="113">
        <f>IFERROR(Tabela_Base_Financeiro[[#This Row],[Item code]],0)</f>
        <v>0</v>
      </c>
      <c r="K1008" s="293">
        <f>IFERROR(Tabela_Base_Financeiro[[#This Row],[Unit Price]],0)</f>
        <v>0</v>
      </c>
      <c r="L1008" s="36">
        <f>IFERROR(Tabela_Base_Financeiro[[#This Row],[AC Qty,]],0)</f>
        <v>0</v>
      </c>
      <c r="M1008" s="60">
        <f>Tabela6[[#This Row],[Qty]]*Tabela6[[#This Row],[Preço]]</f>
        <v>0</v>
      </c>
      <c r="N1008" s="37">
        <f>IFERROR(Tabela_Base_Financeiro[[#This Row],[Proportion]],0)</f>
        <v>0</v>
      </c>
      <c r="O1008" s="60">
        <f>Tabela6[[#This Row],[Proporção]]*Tabela6[[#This Row],[Total]]</f>
        <v>0</v>
      </c>
      <c r="P1008"/>
      <c r="Q1008" s="59"/>
      <c r="R1008" s="1"/>
    </row>
    <row r="1009" spans="1:18">
      <c r="A1009" s="122" t="e">
        <f>IF(VLOOKUP(Tabela6[[#This Row],[UF]],'BASE CC'!B:C,2,0)="SP",IF(Tabela6[[#This Row],[OPERADORA]]="TIM","SP TIM","SPI"),VLOOKUP(Tabela6[[#This Row],[UF]],'BASE CC'!B:C,2,0))</f>
        <v>#N/A</v>
      </c>
      <c r="B1009" s="36" t="e">
        <f>VLOOKUP(Tabela_Base_Financeiro[[#This Row],[Item code]],'COD.FAT'!B:C,2,0)</f>
        <v>#N/A</v>
      </c>
      <c r="C1009" s="292">
        <f>Tabela_Base_Financeiro[[#This Row],[PO Ship TO]]</f>
        <v>0</v>
      </c>
      <c r="D1009" s="36" t="str">
        <f>RIGHT(Tabela_Base_Financeiro[[#This Row],[Manufacturer]],2)</f>
        <v/>
      </c>
      <c r="E100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09" s="122" t="e">
        <f>VLOOKUP(Tabela_Base_Financeiro[[#This Row],[Project Code]],'COD. PROJETOS'!B:D,3,0)</f>
        <v>#N/A</v>
      </c>
      <c r="G1009" s="36">
        <f>IFERROR(Tabela_Base_Financeiro[[#This Row],[PO No,]],0)</f>
        <v>0</v>
      </c>
      <c r="H1009" s="36">
        <f>IFERROR(Tabela_Base_Financeiro[[#This Row],[Line No,]],0)</f>
        <v>0</v>
      </c>
      <c r="I1009" s="36" t="str">
        <f>IFERROR(MID(Tabela_Base_Financeiro[[#This Row],[Manufacturer]],19,14),"")</f>
        <v/>
      </c>
      <c r="J1009" s="113">
        <f>IFERROR(Tabela_Base_Financeiro[[#This Row],[Item code]],0)</f>
        <v>0</v>
      </c>
      <c r="K1009" s="293">
        <f>IFERROR(Tabela_Base_Financeiro[[#This Row],[Unit Price]],0)</f>
        <v>0</v>
      </c>
      <c r="L1009" s="36">
        <f>IFERROR(Tabela_Base_Financeiro[[#This Row],[AC Qty,]],0)</f>
        <v>0</v>
      </c>
      <c r="M1009" s="60">
        <f>Tabela6[[#This Row],[Qty]]*Tabela6[[#This Row],[Preço]]</f>
        <v>0</v>
      </c>
      <c r="N1009" s="37">
        <f>IFERROR(Tabela_Base_Financeiro[[#This Row],[Proportion]],0)</f>
        <v>0</v>
      </c>
      <c r="O1009" s="60">
        <f>Tabela6[[#This Row],[Proporção]]*Tabela6[[#This Row],[Total]]</f>
        <v>0</v>
      </c>
      <c r="P1009"/>
      <c r="Q1009" s="59"/>
      <c r="R1009" s="1"/>
    </row>
    <row r="1010" spans="1:18">
      <c r="A1010" s="122" t="e">
        <f>IF(VLOOKUP(Tabela6[[#This Row],[UF]],'BASE CC'!B:C,2,0)="SP",IF(Tabela6[[#This Row],[OPERADORA]]="TIM","SP TIM","SPI"),VLOOKUP(Tabela6[[#This Row],[UF]],'BASE CC'!B:C,2,0))</f>
        <v>#N/A</v>
      </c>
      <c r="B1010" s="36" t="e">
        <f>VLOOKUP(Tabela_Base_Financeiro[[#This Row],[Item code]],'COD.FAT'!B:C,2,0)</f>
        <v>#N/A</v>
      </c>
      <c r="C1010" s="292">
        <f>Tabela_Base_Financeiro[[#This Row],[PO Ship TO]]</f>
        <v>0</v>
      </c>
      <c r="D1010" s="36" t="str">
        <f>RIGHT(Tabela_Base_Financeiro[[#This Row],[Manufacturer]],2)</f>
        <v/>
      </c>
      <c r="E101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10" s="122" t="e">
        <f>VLOOKUP(Tabela_Base_Financeiro[[#This Row],[Project Code]],'COD. PROJETOS'!B:D,3,0)</f>
        <v>#N/A</v>
      </c>
      <c r="G1010" s="36">
        <f>IFERROR(Tabela_Base_Financeiro[[#This Row],[PO No,]],0)</f>
        <v>0</v>
      </c>
      <c r="H1010" s="36">
        <f>IFERROR(Tabela_Base_Financeiro[[#This Row],[Line No,]],0)</f>
        <v>0</v>
      </c>
      <c r="I1010" s="36" t="str">
        <f>IFERROR(MID(Tabela_Base_Financeiro[[#This Row],[Manufacturer]],19,14),"")</f>
        <v/>
      </c>
      <c r="J1010" s="113">
        <f>IFERROR(Tabela_Base_Financeiro[[#This Row],[Item code]],0)</f>
        <v>0</v>
      </c>
      <c r="K1010" s="293">
        <f>IFERROR(Tabela_Base_Financeiro[[#This Row],[Unit Price]],0)</f>
        <v>0</v>
      </c>
      <c r="L1010" s="36">
        <f>IFERROR(Tabela_Base_Financeiro[[#This Row],[AC Qty,]],0)</f>
        <v>0</v>
      </c>
      <c r="M1010" s="60">
        <f>Tabela6[[#This Row],[Qty]]*Tabela6[[#This Row],[Preço]]</f>
        <v>0</v>
      </c>
      <c r="N1010" s="37">
        <f>IFERROR(Tabela_Base_Financeiro[[#This Row],[Proportion]],0)</f>
        <v>0</v>
      </c>
      <c r="O1010" s="60">
        <f>Tabela6[[#This Row],[Proporção]]*Tabela6[[#This Row],[Total]]</f>
        <v>0</v>
      </c>
      <c r="P1010"/>
      <c r="Q1010" s="59"/>
      <c r="R1010" s="1"/>
    </row>
    <row r="1011" spans="1:18">
      <c r="A1011" s="122" t="e">
        <f>IF(VLOOKUP(Tabela6[[#This Row],[UF]],'BASE CC'!B:C,2,0)="SP",IF(Tabela6[[#This Row],[OPERADORA]]="TIM","SP TIM","SPI"),VLOOKUP(Tabela6[[#This Row],[UF]],'BASE CC'!B:C,2,0))</f>
        <v>#N/A</v>
      </c>
      <c r="B1011" s="36" t="e">
        <f>VLOOKUP(Tabela_Base_Financeiro[[#This Row],[Item code]],'COD.FAT'!B:C,2,0)</f>
        <v>#N/A</v>
      </c>
      <c r="C1011" s="292">
        <f>Tabela_Base_Financeiro[[#This Row],[PO Ship TO]]</f>
        <v>0</v>
      </c>
      <c r="D1011" s="36" t="str">
        <f>RIGHT(Tabela_Base_Financeiro[[#This Row],[Manufacturer]],2)</f>
        <v/>
      </c>
      <c r="E101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11" s="122" t="e">
        <f>VLOOKUP(Tabela_Base_Financeiro[[#This Row],[Project Code]],'COD. PROJETOS'!B:D,3,0)</f>
        <v>#N/A</v>
      </c>
      <c r="G1011" s="36">
        <f>IFERROR(Tabela_Base_Financeiro[[#This Row],[PO No,]],0)</f>
        <v>0</v>
      </c>
      <c r="H1011" s="36">
        <f>IFERROR(Tabela_Base_Financeiro[[#This Row],[Line No,]],0)</f>
        <v>0</v>
      </c>
      <c r="I1011" s="36" t="str">
        <f>IFERROR(MID(Tabela_Base_Financeiro[[#This Row],[Manufacturer]],19,14),"")</f>
        <v/>
      </c>
      <c r="J1011" s="113">
        <f>IFERROR(Tabela_Base_Financeiro[[#This Row],[Item code]],0)</f>
        <v>0</v>
      </c>
      <c r="K1011" s="293">
        <f>IFERROR(Tabela_Base_Financeiro[[#This Row],[Unit Price]],0)</f>
        <v>0</v>
      </c>
      <c r="L1011" s="36">
        <f>IFERROR(Tabela_Base_Financeiro[[#This Row],[AC Qty,]],0)</f>
        <v>0</v>
      </c>
      <c r="M1011" s="60">
        <f>Tabela6[[#This Row],[Qty]]*Tabela6[[#This Row],[Preço]]</f>
        <v>0</v>
      </c>
      <c r="N1011" s="37">
        <f>IFERROR(Tabela_Base_Financeiro[[#This Row],[Proportion]],0)</f>
        <v>0</v>
      </c>
      <c r="O1011" s="60">
        <f>Tabela6[[#This Row],[Proporção]]*Tabela6[[#This Row],[Total]]</f>
        <v>0</v>
      </c>
      <c r="P1011"/>
      <c r="Q1011" s="59"/>
      <c r="R1011" s="1"/>
    </row>
    <row r="1012" spans="1:18">
      <c r="A1012" s="122" t="e">
        <f>IF(VLOOKUP(Tabela6[[#This Row],[UF]],'BASE CC'!B:C,2,0)="SP",IF(Tabela6[[#This Row],[OPERADORA]]="TIM","SP TIM","SPI"),VLOOKUP(Tabela6[[#This Row],[UF]],'BASE CC'!B:C,2,0))</f>
        <v>#N/A</v>
      </c>
      <c r="B1012" s="36" t="e">
        <f>VLOOKUP(Tabela_Base_Financeiro[[#This Row],[Item code]],'COD.FAT'!B:C,2,0)</f>
        <v>#N/A</v>
      </c>
      <c r="C1012" s="292">
        <f>Tabela_Base_Financeiro[[#This Row],[PO Ship TO]]</f>
        <v>0</v>
      </c>
      <c r="D1012" s="36" t="str">
        <f>RIGHT(Tabela_Base_Financeiro[[#This Row],[Manufacturer]],2)</f>
        <v/>
      </c>
      <c r="E101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12" s="122" t="e">
        <f>VLOOKUP(Tabela_Base_Financeiro[[#This Row],[Project Code]],'COD. PROJETOS'!B:D,3,0)</f>
        <v>#N/A</v>
      </c>
      <c r="G1012" s="36">
        <f>IFERROR(Tabela_Base_Financeiro[[#This Row],[PO No,]],0)</f>
        <v>0</v>
      </c>
      <c r="H1012" s="36">
        <f>IFERROR(Tabela_Base_Financeiro[[#This Row],[Line No,]],0)</f>
        <v>0</v>
      </c>
      <c r="I1012" s="36" t="str">
        <f>IFERROR(MID(Tabela_Base_Financeiro[[#This Row],[Manufacturer]],19,14),"")</f>
        <v/>
      </c>
      <c r="J1012" s="113">
        <f>IFERROR(Tabela_Base_Financeiro[[#This Row],[Item code]],0)</f>
        <v>0</v>
      </c>
      <c r="K1012" s="293">
        <f>IFERROR(Tabela_Base_Financeiro[[#This Row],[Unit Price]],0)</f>
        <v>0</v>
      </c>
      <c r="L1012" s="36">
        <f>IFERROR(Tabela_Base_Financeiro[[#This Row],[AC Qty,]],0)</f>
        <v>0</v>
      </c>
      <c r="M1012" s="60">
        <f>Tabela6[[#This Row],[Qty]]*Tabela6[[#This Row],[Preço]]</f>
        <v>0</v>
      </c>
      <c r="N1012" s="37">
        <f>IFERROR(Tabela_Base_Financeiro[[#This Row],[Proportion]],0)</f>
        <v>0</v>
      </c>
      <c r="O1012" s="60">
        <f>Tabela6[[#This Row],[Proporção]]*Tabela6[[#This Row],[Total]]</f>
        <v>0</v>
      </c>
      <c r="P1012"/>
      <c r="Q1012" s="59"/>
      <c r="R1012" s="1"/>
    </row>
    <row r="1013" spans="1:18">
      <c r="A1013" s="122" t="e">
        <f>IF(VLOOKUP(Tabela6[[#This Row],[UF]],'BASE CC'!B:C,2,0)="SP",IF(Tabela6[[#This Row],[OPERADORA]]="TIM","SP TIM","SPI"),VLOOKUP(Tabela6[[#This Row],[UF]],'BASE CC'!B:C,2,0))</f>
        <v>#N/A</v>
      </c>
      <c r="B1013" s="36" t="e">
        <f>VLOOKUP(Tabela_Base_Financeiro[[#This Row],[Item code]],'COD.FAT'!B:C,2,0)</f>
        <v>#N/A</v>
      </c>
      <c r="C1013" s="292">
        <f>Tabela_Base_Financeiro[[#This Row],[PO Ship TO]]</f>
        <v>0</v>
      </c>
      <c r="D1013" s="36" t="str">
        <f>RIGHT(Tabela_Base_Financeiro[[#This Row],[Manufacturer]],2)</f>
        <v/>
      </c>
      <c r="E101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13" s="122" t="e">
        <f>VLOOKUP(Tabela_Base_Financeiro[[#This Row],[Project Code]],'COD. PROJETOS'!B:D,3,0)</f>
        <v>#N/A</v>
      </c>
      <c r="G1013" s="36">
        <f>IFERROR(Tabela_Base_Financeiro[[#This Row],[PO No,]],0)</f>
        <v>0</v>
      </c>
      <c r="H1013" s="36">
        <f>IFERROR(Tabela_Base_Financeiro[[#This Row],[Line No,]],0)</f>
        <v>0</v>
      </c>
      <c r="I1013" s="36" t="str">
        <f>IFERROR(MID(Tabela_Base_Financeiro[[#This Row],[Manufacturer]],19,14),"")</f>
        <v/>
      </c>
      <c r="J1013" s="113">
        <f>IFERROR(Tabela_Base_Financeiro[[#This Row],[Item code]],0)</f>
        <v>0</v>
      </c>
      <c r="K1013" s="293">
        <f>IFERROR(Tabela_Base_Financeiro[[#This Row],[Unit Price]],0)</f>
        <v>0</v>
      </c>
      <c r="L1013" s="36">
        <f>IFERROR(Tabela_Base_Financeiro[[#This Row],[AC Qty,]],0)</f>
        <v>0</v>
      </c>
      <c r="M1013" s="60">
        <f>Tabela6[[#This Row],[Qty]]*Tabela6[[#This Row],[Preço]]</f>
        <v>0</v>
      </c>
      <c r="N1013" s="37">
        <f>IFERROR(Tabela_Base_Financeiro[[#This Row],[Proportion]],0)</f>
        <v>0</v>
      </c>
      <c r="O1013" s="60">
        <f>Tabela6[[#This Row],[Proporção]]*Tabela6[[#This Row],[Total]]</f>
        <v>0</v>
      </c>
      <c r="P1013"/>
      <c r="Q1013" s="59"/>
      <c r="R1013" s="1"/>
    </row>
    <row r="1014" spans="1:18">
      <c r="A1014" s="122" t="e">
        <f>IF(VLOOKUP(Tabela6[[#This Row],[UF]],'BASE CC'!B:C,2,0)="SP",IF(Tabela6[[#This Row],[OPERADORA]]="TIM","SP TIM","SPI"),VLOOKUP(Tabela6[[#This Row],[UF]],'BASE CC'!B:C,2,0))</f>
        <v>#N/A</v>
      </c>
      <c r="B1014" s="36" t="e">
        <f>VLOOKUP(Tabela_Base_Financeiro[[#This Row],[Item code]],'COD.FAT'!B:C,2,0)</f>
        <v>#N/A</v>
      </c>
      <c r="C1014" s="292">
        <f>Tabela_Base_Financeiro[[#This Row],[PO Ship TO]]</f>
        <v>0</v>
      </c>
      <c r="D1014" s="36" t="str">
        <f>RIGHT(Tabela_Base_Financeiro[[#This Row],[Manufacturer]],2)</f>
        <v/>
      </c>
      <c r="E101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14" s="122" t="e">
        <f>VLOOKUP(Tabela_Base_Financeiro[[#This Row],[Project Code]],'COD. PROJETOS'!B:D,3,0)</f>
        <v>#N/A</v>
      </c>
      <c r="G1014" s="36">
        <f>IFERROR(Tabela_Base_Financeiro[[#This Row],[PO No,]],0)</f>
        <v>0</v>
      </c>
      <c r="H1014" s="36">
        <f>IFERROR(Tabela_Base_Financeiro[[#This Row],[Line No,]],0)</f>
        <v>0</v>
      </c>
      <c r="I1014" s="36" t="str">
        <f>IFERROR(MID(Tabela_Base_Financeiro[[#This Row],[Manufacturer]],19,14),"")</f>
        <v/>
      </c>
      <c r="J1014" s="113">
        <f>IFERROR(Tabela_Base_Financeiro[[#This Row],[Item code]],0)</f>
        <v>0</v>
      </c>
      <c r="K1014" s="293">
        <f>IFERROR(Tabela_Base_Financeiro[[#This Row],[Unit Price]],0)</f>
        <v>0</v>
      </c>
      <c r="L1014" s="36">
        <f>IFERROR(Tabela_Base_Financeiro[[#This Row],[AC Qty,]],0)</f>
        <v>0</v>
      </c>
      <c r="M1014" s="60">
        <f>Tabela6[[#This Row],[Qty]]*Tabela6[[#This Row],[Preço]]</f>
        <v>0</v>
      </c>
      <c r="N1014" s="37">
        <f>IFERROR(Tabela_Base_Financeiro[[#This Row],[Proportion]],0)</f>
        <v>0</v>
      </c>
      <c r="O1014" s="60">
        <f>Tabela6[[#This Row],[Proporção]]*Tabela6[[#This Row],[Total]]</f>
        <v>0</v>
      </c>
      <c r="P1014"/>
      <c r="Q1014" s="59"/>
      <c r="R1014" s="1"/>
    </row>
    <row r="1015" spans="1:18">
      <c r="A1015" s="122" t="e">
        <f>IF(VLOOKUP(Tabela6[[#This Row],[UF]],'BASE CC'!B:C,2,0)="SP",IF(Tabela6[[#This Row],[OPERADORA]]="TIM","SP TIM","SPI"),VLOOKUP(Tabela6[[#This Row],[UF]],'BASE CC'!B:C,2,0))</f>
        <v>#N/A</v>
      </c>
      <c r="B1015" s="36" t="e">
        <f>VLOOKUP(Tabela_Base_Financeiro[[#This Row],[Item code]],'COD.FAT'!B:C,2,0)</f>
        <v>#N/A</v>
      </c>
      <c r="C1015" s="292">
        <f>Tabela_Base_Financeiro[[#This Row],[PO Ship TO]]</f>
        <v>0</v>
      </c>
      <c r="D1015" s="36" t="str">
        <f>RIGHT(Tabela_Base_Financeiro[[#This Row],[Manufacturer]],2)</f>
        <v/>
      </c>
      <c r="E101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15" s="122" t="e">
        <f>VLOOKUP(Tabela_Base_Financeiro[[#This Row],[Project Code]],'COD. PROJETOS'!B:D,3,0)</f>
        <v>#N/A</v>
      </c>
      <c r="G1015" s="36">
        <f>IFERROR(Tabela_Base_Financeiro[[#This Row],[PO No,]],0)</f>
        <v>0</v>
      </c>
      <c r="H1015" s="36">
        <f>IFERROR(Tabela_Base_Financeiro[[#This Row],[Line No,]],0)</f>
        <v>0</v>
      </c>
      <c r="I1015" s="36" t="str">
        <f>IFERROR(MID(Tabela_Base_Financeiro[[#This Row],[Manufacturer]],19,14),"")</f>
        <v/>
      </c>
      <c r="J1015" s="113">
        <f>IFERROR(Tabela_Base_Financeiro[[#This Row],[Item code]],0)</f>
        <v>0</v>
      </c>
      <c r="K1015" s="293">
        <f>IFERROR(Tabela_Base_Financeiro[[#This Row],[Unit Price]],0)</f>
        <v>0</v>
      </c>
      <c r="L1015" s="36">
        <f>IFERROR(Tabela_Base_Financeiro[[#This Row],[AC Qty,]],0)</f>
        <v>0</v>
      </c>
      <c r="M1015" s="60">
        <f>Tabela6[[#This Row],[Qty]]*Tabela6[[#This Row],[Preço]]</f>
        <v>0</v>
      </c>
      <c r="N1015" s="37">
        <f>IFERROR(Tabela_Base_Financeiro[[#This Row],[Proportion]],0)</f>
        <v>0</v>
      </c>
      <c r="O1015" s="60">
        <f>Tabela6[[#This Row],[Proporção]]*Tabela6[[#This Row],[Total]]</f>
        <v>0</v>
      </c>
      <c r="P1015"/>
      <c r="Q1015" s="59"/>
      <c r="R1015" s="1"/>
    </row>
    <row r="1016" spans="1:18">
      <c r="A1016" s="122" t="e">
        <f>IF(VLOOKUP(Tabela6[[#This Row],[UF]],'BASE CC'!B:C,2,0)="SP",IF(Tabela6[[#This Row],[OPERADORA]]="TIM","SP TIM","SPI"),VLOOKUP(Tabela6[[#This Row],[UF]],'BASE CC'!B:C,2,0))</f>
        <v>#N/A</v>
      </c>
      <c r="B1016" s="36" t="e">
        <f>VLOOKUP(Tabela_Base_Financeiro[[#This Row],[Item code]],'COD.FAT'!B:C,2,0)</f>
        <v>#N/A</v>
      </c>
      <c r="C1016" s="292">
        <f>Tabela_Base_Financeiro[[#This Row],[PO Ship TO]]</f>
        <v>0</v>
      </c>
      <c r="D1016" s="36" t="str">
        <f>RIGHT(Tabela_Base_Financeiro[[#This Row],[Manufacturer]],2)</f>
        <v/>
      </c>
      <c r="E101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16" s="122" t="e">
        <f>VLOOKUP(Tabela_Base_Financeiro[[#This Row],[Project Code]],'COD. PROJETOS'!B:D,3,0)</f>
        <v>#N/A</v>
      </c>
      <c r="G1016" s="36">
        <f>IFERROR(Tabela_Base_Financeiro[[#This Row],[PO No,]],0)</f>
        <v>0</v>
      </c>
      <c r="H1016" s="36">
        <f>IFERROR(Tabela_Base_Financeiro[[#This Row],[Line No,]],0)</f>
        <v>0</v>
      </c>
      <c r="I1016" s="36" t="str">
        <f>IFERROR(MID(Tabela_Base_Financeiro[[#This Row],[Manufacturer]],19,14),"")</f>
        <v/>
      </c>
      <c r="J1016" s="113">
        <f>IFERROR(Tabela_Base_Financeiro[[#This Row],[Item code]],0)</f>
        <v>0</v>
      </c>
      <c r="K1016" s="293">
        <f>IFERROR(Tabela_Base_Financeiro[[#This Row],[Unit Price]],0)</f>
        <v>0</v>
      </c>
      <c r="L1016" s="36">
        <f>IFERROR(Tabela_Base_Financeiro[[#This Row],[AC Qty,]],0)</f>
        <v>0</v>
      </c>
      <c r="M1016" s="60">
        <f>Tabela6[[#This Row],[Qty]]*Tabela6[[#This Row],[Preço]]</f>
        <v>0</v>
      </c>
      <c r="N1016" s="37">
        <f>IFERROR(Tabela_Base_Financeiro[[#This Row],[Proportion]],0)</f>
        <v>0</v>
      </c>
      <c r="O1016" s="60">
        <f>Tabela6[[#This Row],[Proporção]]*Tabela6[[#This Row],[Total]]</f>
        <v>0</v>
      </c>
      <c r="P1016"/>
      <c r="Q1016" s="59"/>
      <c r="R1016" s="1"/>
    </row>
    <row r="1017" spans="1:18">
      <c r="A1017" s="122" t="e">
        <f>IF(VLOOKUP(Tabela6[[#This Row],[UF]],'BASE CC'!B:C,2,0)="SP",IF(Tabela6[[#This Row],[OPERADORA]]="TIM","SP TIM","SPI"),VLOOKUP(Tabela6[[#This Row],[UF]],'BASE CC'!B:C,2,0))</f>
        <v>#N/A</v>
      </c>
      <c r="B1017" s="36" t="e">
        <f>VLOOKUP(Tabela_Base_Financeiro[[#This Row],[Item code]],'COD.FAT'!B:C,2,0)</f>
        <v>#N/A</v>
      </c>
      <c r="C1017" s="292">
        <f>Tabela_Base_Financeiro[[#This Row],[PO Ship TO]]</f>
        <v>0</v>
      </c>
      <c r="D1017" s="36" t="str">
        <f>RIGHT(Tabela_Base_Financeiro[[#This Row],[Manufacturer]],2)</f>
        <v/>
      </c>
      <c r="E101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17" s="122" t="e">
        <f>VLOOKUP(Tabela_Base_Financeiro[[#This Row],[Project Code]],'COD. PROJETOS'!B:D,3,0)</f>
        <v>#N/A</v>
      </c>
      <c r="G1017" s="36">
        <f>IFERROR(Tabela_Base_Financeiro[[#This Row],[PO No,]],0)</f>
        <v>0</v>
      </c>
      <c r="H1017" s="36">
        <f>IFERROR(Tabela_Base_Financeiro[[#This Row],[Line No,]],0)</f>
        <v>0</v>
      </c>
      <c r="I1017" s="36" t="str">
        <f>IFERROR(MID(Tabela_Base_Financeiro[[#This Row],[Manufacturer]],19,14),"")</f>
        <v/>
      </c>
      <c r="J1017" s="113">
        <f>IFERROR(Tabela_Base_Financeiro[[#This Row],[Item code]],0)</f>
        <v>0</v>
      </c>
      <c r="K1017" s="293">
        <f>IFERROR(Tabela_Base_Financeiro[[#This Row],[Unit Price]],0)</f>
        <v>0</v>
      </c>
      <c r="L1017" s="36">
        <f>IFERROR(Tabela_Base_Financeiro[[#This Row],[AC Qty,]],0)</f>
        <v>0</v>
      </c>
      <c r="M1017" s="60">
        <f>Tabela6[[#This Row],[Qty]]*Tabela6[[#This Row],[Preço]]</f>
        <v>0</v>
      </c>
      <c r="N1017" s="37">
        <f>IFERROR(Tabela_Base_Financeiro[[#This Row],[Proportion]],0)</f>
        <v>0</v>
      </c>
      <c r="O1017" s="60">
        <f>Tabela6[[#This Row],[Proporção]]*Tabela6[[#This Row],[Total]]</f>
        <v>0</v>
      </c>
      <c r="P1017"/>
      <c r="Q1017" s="59"/>
      <c r="R1017" s="1"/>
    </row>
    <row r="1018" spans="1:18">
      <c r="A1018" s="122" t="e">
        <f>IF(VLOOKUP(Tabela6[[#This Row],[UF]],'BASE CC'!B:C,2,0)="SP",IF(Tabela6[[#This Row],[OPERADORA]]="TIM","SP TIM","SPI"),VLOOKUP(Tabela6[[#This Row],[UF]],'BASE CC'!B:C,2,0))</f>
        <v>#N/A</v>
      </c>
      <c r="B1018" s="36" t="e">
        <f>VLOOKUP(Tabela_Base_Financeiro[[#This Row],[Item code]],'COD.FAT'!B:C,2,0)</f>
        <v>#N/A</v>
      </c>
      <c r="C1018" s="292">
        <f>Tabela_Base_Financeiro[[#This Row],[PO Ship TO]]</f>
        <v>0</v>
      </c>
      <c r="D1018" s="36" t="str">
        <f>RIGHT(Tabela_Base_Financeiro[[#This Row],[Manufacturer]],2)</f>
        <v/>
      </c>
      <c r="E101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18" s="122" t="e">
        <f>VLOOKUP(Tabela_Base_Financeiro[[#This Row],[Project Code]],'COD. PROJETOS'!B:D,3,0)</f>
        <v>#N/A</v>
      </c>
      <c r="G1018" s="36">
        <f>IFERROR(Tabela_Base_Financeiro[[#This Row],[PO No,]],0)</f>
        <v>0</v>
      </c>
      <c r="H1018" s="36">
        <f>IFERROR(Tabela_Base_Financeiro[[#This Row],[Line No,]],0)</f>
        <v>0</v>
      </c>
      <c r="I1018" s="36" t="str">
        <f>IFERROR(MID(Tabela_Base_Financeiro[[#This Row],[Manufacturer]],19,14),"")</f>
        <v/>
      </c>
      <c r="J1018" s="113">
        <f>IFERROR(Tabela_Base_Financeiro[[#This Row],[Item code]],0)</f>
        <v>0</v>
      </c>
      <c r="K1018" s="293">
        <f>IFERROR(Tabela_Base_Financeiro[[#This Row],[Unit Price]],0)</f>
        <v>0</v>
      </c>
      <c r="L1018" s="36">
        <f>IFERROR(Tabela_Base_Financeiro[[#This Row],[AC Qty,]],0)</f>
        <v>0</v>
      </c>
      <c r="M1018" s="60">
        <f>Tabela6[[#This Row],[Qty]]*Tabela6[[#This Row],[Preço]]</f>
        <v>0</v>
      </c>
      <c r="N1018" s="37">
        <f>IFERROR(Tabela_Base_Financeiro[[#This Row],[Proportion]],0)</f>
        <v>0</v>
      </c>
      <c r="O1018" s="60">
        <f>Tabela6[[#This Row],[Proporção]]*Tabela6[[#This Row],[Total]]</f>
        <v>0</v>
      </c>
      <c r="P1018"/>
      <c r="Q1018" s="59"/>
      <c r="R1018" s="1"/>
    </row>
    <row r="1019" spans="1:18">
      <c r="A1019" s="122" t="e">
        <f>IF(VLOOKUP(Tabela6[[#This Row],[UF]],'BASE CC'!B:C,2,0)="SP",IF(Tabela6[[#This Row],[OPERADORA]]="TIM","SP TIM","SPI"),VLOOKUP(Tabela6[[#This Row],[UF]],'BASE CC'!B:C,2,0))</f>
        <v>#N/A</v>
      </c>
      <c r="B1019" s="36" t="e">
        <f>VLOOKUP(Tabela_Base_Financeiro[[#This Row],[Item code]],'COD.FAT'!B:C,2,0)</f>
        <v>#N/A</v>
      </c>
      <c r="C1019" s="292">
        <f>Tabela_Base_Financeiro[[#This Row],[PO Ship TO]]</f>
        <v>0</v>
      </c>
      <c r="D1019" s="36" t="str">
        <f>RIGHT(Tabela_Base_Financeiro[[#This Row],[Manufacturer]],2)</f>
        <v/>
      </c>
      <c r="E101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19" s="122" t="e">
        <f>VLOOKUP(Tabela_Base_Financeiro[[#This Row],[Project Code]],'COD. PROJETOS'!B:D,3,0)</f>
        <v>#N/A</v>
      </c>
      <c r="G1019" s="36">
        <f>IFERROR(Tabela_Base_Financeiro[[#This Row],[PO No,]],0)</f>
        <v>0</v>
      </c>
      <c r="H1019" s="36">
        <f>IFERROR(Tabela_Base_Financeiro[[#This Row],[Line No,]],0)</f>
        <v>0</v>
      </c>
      <c r="I1019" s="36" t="str">
        <f>IFERROR(MID(Tabela_Base_Financeiro[[#This Row],[Manufacturer]],19,14),"")</f>
        <v/>
      </c>
      <c r="J1019" s="113">
        <f>IFERROR(Tabela_Base_Financeiro[[#This Row],[Item code]],0)</f>
        <v>0</v>
      </c>
      <c r="K1019" s="293">
        <f>IFERROR(Tabela_Base_Financeiro[[#This Row],[Unit Price]],0)</f>
        <v>0</v>
      </c>
      <c r="L1019" s="36">
        <f>IFERROR(Tabela_Base_Financeiro[[#This Row],[AC Qty,]],0)</f>
        <v>0</v>
      </c>
      <c r="M1019" s="60">
        <f>Tabela6[[#This Row],[Qty]]*Tabela6[[#This Row],[Preço]]</f>
        <v>0</v>
      </c>
      <c r="N1019" s="37">
        <f>IFERROR(Tabela_Base_Financeiro[[#This Row],[Proportion]],0)</f>
        <v>0</v>
      </c>
      <c r="O1019" s="60">
        <f>Tabela6[[#This Row],[Proporção]]*Tabela6[[#This Row],[Total]]</f>
        <v>0</v>
      </c>
      <c r="P1019"/>
      <c r="Q1019" s="59"/>
      <c r="R1019" s="1"/>
    </row>
    <row r="1020" spans="1:18">
      <c r="A1020" s="122" t="e">
        <f>IF(VLOOKUP(Tabela6[[#This Row],[UF]],'BASE CC'!B:C,2,0)="SP",IF(Tabela6[[#This Row],[OPERADORA]]="TIM","SP TIM","SPI"),VLOOKUP(Tabela6[[#This Row],[UF]],'BASE CC'!B:C,2,0))</f>
        <v>#N/A</v>
      </c>
      <c r="B1020" s="36" t="e">
        <f>VLOOKUP(Tabela_Base_Financeiro[[#This Row],[Item code]],'COD.FAT'!B:C,2,0)</f>
        <v>#N/A</v>
      </c>
      <c r="C1020" s="292">
        <f>Tabela_Base_Financeiro[[#This Row],[PO Ship TO]]</f>
        <v>0</v>
      </c>
      <c r="D1020" s="36" t="str">
        <f>RIGHT(Tabela_Base_Financeiro[[#This Row],[Manufacturer]],2)</f>
        <v/>
      </c>
      <c r="E102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20" s="122" t="e">
        <f>VLOOKUP(Tabela_Base_Financeiro[[#This Row],[Project Code]],'COD. PROJETOS'!B:D,3,0)</f>
        <v>#N/A</v>
      </c>
      <c r="G1020" s="36">
        <f>IFERROR(Tabela_Base_Financeiro[[#This Row],[PO No,]],0)</f>
        <v>0</v>
      </c>
      <c r="H1020" s="36">
        <f>IFERROR(Tabela_Base_Financeiro[[#This Row],[Line No,]],0)</f>
        <v>0</v>
      </c>
      <c r="I1020" s="36" t="str">
        <f>IFERROR(MID(Tabela_Base_Financeiro[[#This Row],[Manufacturer]],19,14),"")</f>
        <v/>
      </c>
      <c r="J1020" s="113">
        <f>IFERROR(Tabela_Base_Financeiro[[#This Row],[Item code]],0)</f>
        <v>0</v>
      </c>
      <c r="K1020" s="293">
        <f>IFERROR(Tabela_Base_Financeiro[[#This Row],[Unit Price]],0)</f>
        <v>0</v>
      </c>
      <c r="L1020" s="36">
        <f>IFERROR(Tabela_Base_Financeiro[[#This Row],[AC Qty,]],0)</f>
        <v>0</v>
      </c>
      <c r="M1020" s="60">
        <f>Tabela6[[#This Row],[Qty]]*Tabela6[[#This Row],[Preço]]</f>
        <v>0</v>
      </c>
      <c r="N1020" s="37">
        <f>IFERROR(Tabela_Base_Financeiro[[#This Row],[Proportion]],0)</f>
        <v>0</v>
      </c>
      <c r="O1020" s="60">
        <f>Tabela6[[#This Row],[Proporção]]*Tabela6[[#This Row],[Total]]</f>
        <v>0</v>
      </c>
      <c r="P1020"/>
      <c r="Q1020" s="59"/>
      <c r="R1020" s="1"/>
    </row>
    <row r="1021" spans="1:18">
      <c r="A1021" s="122" t="e">
        <f>IF(VLOOKUP(Tabela6[[#This Row],[UF]],'BASE CC'!B:C,2,0)="SP",IF(Tabela6[[#This Row],[OPERADORA]]="TIM","SP TIM","SPI"),VLOOKUP(Tabela6[[#This Row],[UF]],'BASE CC'!B:C,2,0))</f>
        <v>#N/A</v>
      </c>
      <c r="B1021" s="36" t="e">
        <f>VLOOKUP(Tabela_Base_Financeiro[[#This Row],[Item code]],'COD.FAT'!B:C,2,0)</f>
        <v>#N/A</v>
      </c>
      <c r="C1021" s="292">
        <f>Tabela_Base_Financeiro[[#This Row],[PO Ship TO]]</f>
        <v>0</v>
      </c>
      <c r="D1021" s="36" t="str">
        <f>RIGHT(Tabela_Base_Financeiro[[#This Row],[Manufacturer]],2)</f>
        <v/>
      </c>
      <c r="E102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21" s="122" t="e">
        <f>VLOOKUP(Tabela_Base_Financeiro[[#This Row],[Project Code]],'COD. PROJETOS'!B:D,3,0)</f>
        <v>#N/A</v>
      </c>
      <c r="G1021" s="36">
        <f>IFERROR(Tabela_Base_Financeiro[[#This Row],[PO No,]],0)</f>
        <v>0</v>
      </c>
      <c r="H1021" s="36">
        <f>IFERROR(Tabela_Base_Financeiro[[#This Row],[Line No,]],0)</f>
        <v>0</v>
      </c>
      <c r="I1021" s="36" t="str">
        <f>IFERROR(MID(Tabela_Base_Financeiro[[#This Row],[Manufacturer]],19,14),"")</f>
        <v/>
      </c>
      <c r="J1021" s="113">
        <f>IFERROR(Tabela_Base_Financeiro[[#This Row],[Item code]],0)</f>
        <v>0</v>
      </c>
      <c r="K1021" s="293">
        <f>IFERROR(Tabela_Base_Financeiro[[#This Row],[Unit Price]],0)</f>
        <v>0</v>
      </c>
      <c r="L1021" s="36">
        <f>IFERROR(Tabela_Base_Financeiro[[#This Row],[AC Qty,]],0)</f>
        <v>0</v>
      </c>
      <c r="M1021" s="60">
        <f>Tabela6[[#This Row],[Qty]]*Tabela6[[#This Row],[Preço]]</f>
        <v>0</v>
      </c>
      <c r="N1021" s="37">
        <f>IFERROR(Tabela_Base_Financeiro[[#This Row],[Proportion]],0)</f>
        <v>0</v>
      </c>
      <c r="O1021" s="60">
        <f>Tabela6[[#This Row],[Proporção]]*Tabela6[[#This Row],[Total]]</f>
        <v>0</v>
      </c>
      <c r="P1021"/>
      <c r="Q1021" s="59"/>
      <c r="R1021" s="1"/>
    </row>
    <row r="1022" spans="1:18">
      <c r="A1022" s="122" t="e">
        <f>IF(VLOOKUP(Tabela6[[#This Row],[UF]],'BASE CC'!B:C,2,0)="SP",IF(Tabela6[[#This Row],[OPERADORA]]="TIM","SP TIM","SPI"),VLOOKUP(Tabela6[[#This Row],[UF]],'BASE CC'!B:C,2,0))</f>
        <v>#N/A</v>
      </c>
      <c r="B1022" s="36" t="e">
        <f>VLOOKUP(Tabela_Base_Financeiro[[#This Row],[Item code]],'COD.FAT'!B:C,2,0)</f>
        <v>#N/A</v>
      </c>
      <c r="C1022" s="292">
        <f>Tabela_Base_Financeiro[[#This Row],[PO Ship TO]]</f>
        <v>0</v>
      </c>
      <c r="D1022" s="36" t="str">
        <f>RIGHT(Tabela_Base_Financeiro[[#This Row],[Manufacturer]],2)</f>
        <v/>
      </c>
      <c r="E102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22" s="122" t="e">
        <f>VLOOKUP(Tabela_Base_Financeiro[[#This Row],[Project Code]],'COD. PROJETOS'!B:D,3,0)</f>
        <v>#N/A</v>
      </c>
      <c r="G1022" s="36">
        <f>IFERROR(Tabela_Base_Financeiro[[#This Row],[PO No,]],0)</f>
        <v>0</v>
      </c>
      <c r="H1022" s="36">
        <f>IFERROR(Tabela_Base_Financeiro[[#This Row],[Line No,]],0)</f>
        <v>0</v>
      </c>
      <c r="I1022" s="36" t="str">
        <f>IFERROR(MID(Tabela_Base_Financeiro[[#This Row],[Manufacturer]],19,14),"")</f>
        <v/>
      </c>
      <c r="J1022" s="113">
        <f>IFERROR(Tabela_Base_Financeiro[[#This Row],[Item code]],0)</f>
        <v>0</v>
      </c>
      <c r="K1022" s="293">
        <f>IFERROR(Tabela_Base_Financeiro[[#This Row],[Unit Price]],0)</f>
        <v>0</v>
      </c>
      <c r="L1022" s="36">
        <f>IFERROR(Tabela_Base_Financeiro[[#This Row],[AC Qty,]],0)</f>
        <v>0</v>
      </c>
      <c r="M1022" s="60">
        <f>Tabela6[[#This Row],[Qty]]*Tabela6[[#This Row],[Preço]]</f>
        <v>0</v>
      </c>
      <c r="N1022" s="37">
        <f>IFERROR(Tabela_Base_Financeiro[[#This Row],[Proportion]],0)</f>
        <v>0</v>
      </c>
      <c r="O1022" s="60">
        <f>Tabela6[[#This Row],[Proporção]]*Tabela6[[#This Row],[Total]]</f>
        <v>0</v>
      </c>
      <c r="P1022"/>
      <c r="Q1022" s="59"/>
      <c r="R1022" s="1"/>
    </row>
    <row r="1023" spans="1:18">
      <c r="A1023" s="122" t="e">
        <f>IF(VLOOKUP(Tabela6[[#This Row],[UF]],'BASE CC'!B:C,2,0)="SP",IF(Tabela6[[#This Row],[OPERADORA]]="TIM","SP TIM","SPI"),VLOOKUP(Tabela6[[#This Row],[UF]],'BASE CC'!B:C,2,0))</f>
        <v>#N/A</v>
      </c>
      <c r="B1023" s="36" t="e">
        <f>VLOOKUP(Tabela_Base_Financeiro[[#This Row],[Item code]],'COD.FAT'!B:C,2,0)</f>
        <v>#N/A</v>
      </c>
      <c r="C1023" s="292">
        <f>Tabela_Base_Financeiro[[#This Row],[PO Ship TO]]</f>
        <v>0</v>
      </c>
      <c r="D1023" s="36" t="str">
        <f>RIGHT(Tabela_Base_Financeiro[[#This Row],[Manufacturer]],2)</f>
        <v/>
      </c>
      <c r="E102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23" s="122" t="e">
        <f>VLOOKUP(Tabela_Base_Financeiro[[#This Row],[Project Code]],'COD. PROJETOS'!B:D,3,0)</f>
        <v>#N/A</v>
      </c>
      <c r="G1023" s="36">
        <f>IFERROR(Tabela_Base_Financeiro[[#This Row],[PO No,]],0)</f>
        <v>0</v>
      </c>
      <c r="H1023" s="36">
        <f>IFERROR(Tabela_Base_Financeiro[[#This Row],[Line No,]],0)</f>
        <v>0</v>
      </c>
      <c r="I1023" s="36" t="str">
        <f>IFERROR(MID(Tabela_Base_Financeiro[[#This Row],[Manufacturer]],19,14),"")</f>
        <v/>
      </c>
      <c r="J1023" s="113">
        <f>IFERROR(Tabela_Base_Financeiro[[#This Row],[Item code]],0)</f>
        <v>0</v>
      </c>
      <c r="K1023" s="293">
        <f>IFERROR(Tabela_Base_Financeiro[[#This Row],[Unit Price]],0)</f>
        <v>0</v>
      </c>
      <c r="L1023" s="36">
        <f>IFERROR(Tabela_Base_Financeiro[[#This Row],[AC Qty,]],0)</f>
        <v>0</v>
      </c>
      <c r="M1023" s="60">
        <f>Tabela6[[#This Row],[Qty]]*Tabela6[[#This Row],[Preço]]</f>
        <v>0</v>
      </c>
      <c r="N1023" s="37">
        <f>IFERROR(Tabela_Base_Financeiro[[#This Row],[Proportion]],0)</f>
        <v>0</v>
      </c>
      <c r="O1023" s="60">
        <f>Tabela6[[#This Row],[Proporção]]*Tabela6[[#This Row],[Total]]</f>
        <v>0</v>
      </c>
      <c r="P1023"/>
      <c r="Q1023" s="59"/>
      <c r="R1023" s="1"/>
    </row>
    <row r="1024" spans="1:18">
      <c r="A1024" s="122" t="e">
        <f>IF(VLOOKUP(Tabela6[[#This Row],[UF]],'BASE CC'!B:C,2,0)="SP",IF(Tabela6[[#This Row],[OPERADORA]]="TIM","SP TIM","SPI"),VLOOKUP(Tabela6[[#This Row],[UF]],'BASE CC'!B:C,2,0))</f>
        <v>#N/A</v>
      </c>
      <c r="B1024" s="36" t="e">
        <f>VLOOKUP(Tabela_Base_Financeiro[[#This Row],[Item code]],'COD.FAT'!B:C,2,0)</f>
        <v>#N/A</v>
      </c>
      <c r="C1024" s="292">
        <f>Tabela_Base_Financeiro[[#This Row],[PO Ship TO]]</f>
        <v>0</v>
      </c>
      <c r="D1024" s="36" t="str">
        <f>RIGHT(Tabela_Base_Financeiro[[#This Row],[Manufacturer]],2)</f>
        <v/>
      </c>
      <c r="E102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24" s="122" t="e">
        <f>VLOOKUP(Tabela_Base_Financeiro[[#This Row],[Project Code]],'COD. PROJETOS'!B:D,3,0)</f>
        <v>#N/A</v>
      </c>
      <c r="G1024" s="36">
        <f>IFERROR(Tabela_Base_Financeiro[[#This Row],[PO No,]],0)</f>
        <v>0</v>
      </c>
      <c r="H1024" s="36">
        <f>IFERROR(Tabela_Base_Financeiro[[#This Row],[Line No,]],0)</f>
        <v>0</v>
      </c>
      <c r="I1024" s="36" t="str">
        <f>IFERROR(MID(Tabela_Base_Financeiro[[#This Row],[Manufacturer]],19,14),"")</f>
        <v/>
      </c>
      <c r="J1024" s="113">
        <f>IFERROR(Tabela_Base_Financeiro[[#This Row],[Item code]],0)</f>
        <v>0</v>
      </c>
      <c r="K1024" s="293">
        <f>IFERROR(Tabela_Base_Financeiro[[#This Row],[Unit Price]],0)</f>
        <v>0</v>
      </c>
      <c r="L1024" s="36">
        <f>IFERROR(Tabela_Base_Financeiro[[#This Row],[AC Qty,]],0)</f>
        <v>0</v>
      </c>
      <c r="M1024" s="60">
        <f>Tabela6[[#This Row],[Qty]]*Tabela6[[#This Row],[Preço]]</f>
        <v>0</v>
      </c>
      <c r="N1024" s="37">
        <f>IFERROR(Tabela_Base_Financeiro[[#This Row],[Proportion]],0)</f>
        <v>0</v>
      </c>
      <c r="O1024" s="60">
        <f>Tabela6[[#This Row],[Proporção]]*Tabela6[[#This Row],[Total]]</f>
        <v>0</v>
      </c>
      <c r="P1024"/>
      <c r="Q1024" s="59"/>
      <c r="R1024" s="1"/>
    </row>
    <row r="1025" spans="1:18">
      <c r="A1025" s="122" t="e">
        <f>IF(VLOOKUP(Tabela6[[#This Row],[UF]],'BASE CC'!B:C,2,0)="SP",IF(Tabela6[[#This Row],[OPERADORA]]="TIM","SP TIM","SPI"),VLOOKUP(Tabela6[[#This Row],[UF]],'BASE CC'!B:C,2,0))</f>
        <v>#N/A</v>
      </c>
      <c r="B1025" s="36" t="e">
        <f>VLOOKUP(Tabela_Base_Financeiro[[#This Row],[Item code]],'COD.FAT'!B:C,2,0)</f>
        <v>#N/A</v>
      </c>
      <c r="C1025" s="292">
        <f>Tabela_Base_Financeiro[[#This Row],[PO Ship TO]]</f>
        <v>0</v>
      </c>
      <c r="D1025" s="36" t="str">
        <f>RIGHT(Tabela_Base_Financeiro[[#This Row],[Manufacturer]],2)</f>
        <v/>
      </c>
      <c r="E102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25" s="122" t="e">
        <f>VLOOKUP(Tabela_Base_Financeiro[[#This Row],[Project Code]],'COD. PROJETOS'!B:D,3,0)</f>
        <v>#N/A</v>
      </c>
      <c r="G1025" s="36">
        <f>IFERROR(Tabela_Base_Financeiro[[#This Row],[PO No,]],0)</f>
        <v>0</v>
      </c>
      <c r="H1025" s="36">
        <f>IFERROR(Tabela_Base_Financeiro[[#This Row],[Line No,]],0)</f>
        <v>0</v>
      </c>
      <c r="I1025" s="36" t="str">
        <f>IFERROR(MID(Tabela_Base_Financeiro[[#This Row],[Manufacturer]],19,14),"")</f>
        <v/>
      </c>
      <c r="J1025" s="113">
        <f>IFERROR(Tabela_Base_Financeiro[[#This Row],[Item code]],0)</f>
        <v>0</v>
      </c>
      <c r="K1025" s="293">
        <f>IFERROR(Tabela_Base_Financeiro[[#This Row],[Unit Price]],0)</f>
        <v>0</v>
      </c>
      <c r="L1025" s="36">
        <f>IFERROR(Tabela_Base_Financeiro[[#This Row],[AC Qty,]],0)</f>
        <v>0</v>
      </c>
      <c r="M1025" s="60">
        <f>Tabela6[[#This Row],[Qty]]*Tabela6[[#This Row],[Preço]]</f>
        <v>0</v>
      </c>
      <c r="N1025" s="37">
        <f>IFERROR(Tabela_Base_Financeiro[[#This Row],[Proportion]],0)</f>
        <v>0</v>
      </c>
      <c r="O1025" s="60">
        <f>Tabela6[[#This Row],[Proporção]]*Tabela6[[#This Row],[Total]]</f>
        <v>0</v>
      </c>
      <c r="P1025"/>
      <c r="Q1025" s="59"/>
      <c r="R1025" s="1"/>
    </row>
    <row r="1026" spans="1:18">
      <c r="A1026" s="122" t="e">
        <f>IF(VLOOKUP(Tabela6[[#This Row],[UF]],'BASE CC'!B:C,2,0)="SP",IF(Tabela6[[#This Row],[OPERADORA]]="TIM","SP TIM","SPI"),VLOOKUP(Tabela6[[#This Row],[UF]],'BASE CC'!B:C,2,0))</f>
        <v>#N/A</v>
      </c>
      <c r="B1026" s="36" t="e">
        <f>VLOOKUP(Tabela_Base_Financeiro[[#This Row],[Item code]],'COD.FAT'!B:C,2,0)</f>
        <v>#N/A</v>
      </c>
      <c r="C1026" s="292">
        <f>Tabela_Base_Financeiro[[#This Row],[PO Ship TO]]</f>
        <v>0</v>
      </c>
      <c r="D1026" s="36" t="str">
        <f>RIGHT(Tabela_Base_Financeiro[[#This Row],[Manufacturer]],2)</f>
        <v/>
      </c>
      <c r="E102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26" s="122" t="e">
        <f>VLOOKUP(Tabela_Base_Financeiro[[#This Row],[Project Code]],'COD. PROJETOS'!B:D,3,0)</f>
        <v>#N/A</v>
      </c>
      <c r="G1026" s="36">
        <f>IFERROR(Tabela_Base_Financeiro[[#This Row],[PO No,]],0)</f>
        <v>0</v>
      </c>
      <c r="H1026" s="36">
        <f>IFERROR(Tabela_Base_Financeiro[[#This Row],[Line No,]],0)</f>
        <v>0</v>
      </c>
      <c r="I1026" s="36" t="str">
        <f>IFERROR(MID(Tabela_Base_Financeiro[[#This Row],[Manufacturer]],19,14),"")</f>
        <v/>
      </c>
      <c r="J1026" s="113">
        <f>IFERROR(Tabela_Base_Financeiro[[#This Row],[Item code]],0)</f>
        <v>0</v>
      </c>
      <c r="K1026" s="293">
        <f>IFERROR(Tabela_Base_Financeiro[[#This Row],[Unit Price]],0)</f>
        <v>0</v>
      </c>
      <c r="L1026" s="36">
        <f>IFERROR(Tabela_Base_Financeiro[[#This Row],[AC Qty,]],0)</f>
        <v>0</v>
      </c>
      <c r="M1026" s="60">
        <f>Tabela6[[#This Row],[Qty]]*Tabela6[[#This Row],[Preço]]</f>
        <v>0</v>
      </c>
      <c r="N1026" s="37">
        <f>IFERROR(Tabela_Base_Financeiro[[#This Row],[Proportion]],0)</f>
        <v>0</v>
      </c>
      <c r="O1026" s="60">
        <f>Tabela6[[#This Row],[Proporção]]*Tabela6[[#This Row],[Total]]</f>
        <v>0</v>
      </c>
      <c r="P1026"/>
      <c r="Q1026" s="59"/>
      <c r="R1026" s="1"/>
    </row>
    <row r="1027" spans="1:18">
      <c r="A1027" s="122" t="e">
        <f>IF(VLOOKUP(Tabela6[[#This Row],[UF]],'BASE CC'!B:C,2,0)="SP",IF(Tabela6[[#This Row],[OPERADORA]]="TIM","SP TIM","SPI"),VLOOKUP(Tabela6[[#This Row],[UF]],'BASE CC'!B:C,2,0))</f>
        <v>#N/A</v>
      </c>
      <c r="B1027" s="36" t="e">
        <f>VLOOKUP(Tabela_Base_Financeiro[[#This Row],[Item code]],'COD.FAT'!B:C,2,0)</f>
        <v>#N/A</v>
      </c>
      <c r="C1027" s="292">
        <f>Tabela_Base_Financeiro[[#This Row],[PO Ship TO]]</f>
        <v>0</v>
      </c>
      <c r="D1027" s="36" t="str">
        <f>RIGHT(Tabela_Base_Financeiro[[#This Row],[Manufacturer]],2)</f>
        <v/>
      </c>
      <c r="E102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27" s="122" t="e">
        <f>VLOOKUP(Tabela_Base_Financeiro[[#This Row],[Project Code]],'COD. PROJETOS'!B:D,3,0)</f>
        <v>#N/A</v>
      </c>
      <c r="G1027" s="36">
        <f>IFERROR(Tabela_Base_Financeiro[[#This Row],[PO No,]],0)</f>
        <v>0</v>
      </c>
      <c r="H1027" s="36">
        <f>IFERROR(Tabela_Base_Financeiro[[#This Row],[Line No,]],0)</f>
        <v>0</v>
      </c>
      <c r="I1027" s="36" t="str">
        <f>IFERROR(MID(Tabela_Base_Financeiro[[#This Row],[Manufacturer]],19,14),"")</f>
        <v/>
      </c>
      <c r="J1027" s="113">
        <f>IFERROR(Tabela_Base_Financeiro[[#This Row],[Item code]],0)</f>
        <v>0</v>
      </c>
      <c r="K1027" s="293">
        <f>IFERROR(Tabela_Base_Financeiro[[#This Row],[Unit Price]],0)</f>
        <v>0</v>
      </c>
      <c r="L1027" s="36">
        <f>IFERROR(Tabela_Base_Financeiro[[#This Row],[AC Qty,]],0)</f>
        <v>0</v>
      </c>
      <c r="M1027" s="60">
        <f>Tabela6[[#This Row],[Qty]]*Tabela6[[#This Row],[Preço]]</f>
        <v>0</v>
      </c>
      <c r="N1027" s="37">
        <f>IFERROR(Tabela_Base_Financeiro[[#This Row],[Proportion]],0)</f>
        <v>0</v>
      </c>
      <c r="O1027" s="60">
        <f>Tabela6[[#This Row],[Proporção]]*Tabela6[[#This Row],[Total]]</f>
        <v>0</v>
      </c>
      <c r="P1027"/>
      <c r="Q1027" s="59"/>
      <c r="R1027" s="1"/>
    </row>
    <row r="1028" spans="1:18">
      <c r="A1028" s="122" t="e">
        <f>IF(VLOOKUP(Tabela6[[#This Row],[UF]],'BASE CC'!B:C,2,0)="SP",IF(Tabela6[[#This Row],[OPERADORA]]="TIM","SP TIM","SPI"),VLOOKUP(Tabela6[[#This Row],[UF]],'BASE CC'!B:C,2,0))</f>
        <v>#N/A</v>
      </c>
      <c r="B1028" s="36" t="e">
        <f>VLOOKUP(Tabela_Base_Financeiro[[#This Row],[Item code]],'COD.FAT'!B:C,2,0)</f>
        <v>#N/A</v>
      </c>
      <c r="C1028" s="292">
        <f>Tabela_Base_Financeiro[[#This Row],[PO Ship TO]]</f>
        <v>0</v>
      </c>
      <c r="D1028" s="36" t="str">
        <f>RIGHT(Tabela_Base_Financeiro[[#This Row],[Manufacturer]],2)</f>
        <v/>
      </c>
      <c r="E102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28" s="122" t="e">
        <f>VLOOKUP(Tabela_Base_Financeiro[[#This Row],[Project Code]],'COD. PROJETOS'!B:D,3,0)</f>
        <v>#N/A</v>
      </c>
      <c r="G1028" s="36">
        <f>IFERROR(Tabela_Base_Financeiro[[#This Row],[PO No,]],0)</f>
        <v>0</v>
      </c>
      <c r="H1028" s="36">
        <f>IFERROR(Tabela_Base_Financeiro[[#This Row],[Line No,]],0)</f>
        <v>0</v>
      </c>
      <c r="I1028" s="36" t="str">
        <f>IFERROR(MID(Tabela_Base_Financeiro[[#This Row],[Manufacturer]],19,14),"")</f>
        <v/>
      </c>
      <c r="J1028" s="113">
        <f>IFERROR(Tabela_Base_Financeiro[[#This Row],[Item code]],0)</f>
        <v>0</v>
      </c>
      <c r="K1028" s="293">
        <f>IFERROR(Tabela_Base_Financeiro[[#This Row],[Unit Price]],0)</f>
        <v>0</v>
      </c>
      <c r="L1028" s="36">
        <f>IFERROR(Tabela_Base_Financeiro[[#This Row],[AC Qty,]],0)</f>
        <v>0</v>
      </c>
      <c r="M1028" s="60">
        <f>Tabela6[[#This Row],[Qty]]*Tabela6[[#This Row],[Preço]]</f>
        <v>0</v>
      </c>
      <c r="N1028" s="37">
        <f>IFERROR(Tabela_Base_Financeiro[[#This Row],[Proportion]],0)</f>
        <v>0</v>
      </c>
      <c r="O1028" s="60">
        <f>Tabela6[[#This Row],[Proporção]]*Tabela6[[#This Row],[Total]]</f>
        <v>0</v>
      </c>
      <c r="P1028"/>
      <c r="Q1028" s="59"/>
      <c r="R1028" s="1"/>
    </row>
    <row r="1029" spans="1:18">
      <c r="A1029" s="122" t="e">
        <f>IF(VLOOKUP(Tabela6[[#This Row],[UF]],'BASE CC'!B:C,2,0)="SP",IF(Tabela6[[#This Row],[OPERADORA]]="TIM","SP TIM","SPI"),VLOOKUP(Tabela6[[#This Row],[UF]],'BASE CC'!B:C,2,0))</f>
        <v>#N/A</v>
      </c>
      <c r="B1029" s="36" t="e">
        <f>VLOOKUP(Tabela_Base_Financeiro[[#This Row],[Item code]],'COD.FAT'!B:C,2,0)</f>
        <v>#N/A</v>
      </c>
      <c r="C1029" s="292">
        <f>Tabela_Base_Financeiro[[#This Row],[PO Ship TO]]</f>
        <v>0</v>
      </c>
      <c r="D1029" s="36" t="str">
        <f>RIGHT(Tabela_Base_Financeiro[[#This Row],[Manufacturer]],2)</f>
        <v/>
      </c>
      <c r="E102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29" s="122" t="e">
        <f>VLOOKUP(Tabela_Base_Financeiro[[#This Row],[Project Code]],'COD. PROJETOS'!B:D,3,0)</f>
        <v>#N/A</v>
      </c>
      <c r="G1029" s="36">
        <f>IFERROR(Tabela_Base_Financeiro[[#This Row],[PO No,]],0)</f>
        <v>0</v>
      </c>
      <c r="H1029" s="36">
        <f>IFERROR(Tabela_Base_Financeiro[[#This Row],[Line No,]],0)</f>
        <v>0</v>
      </c>
      <c r="I1029" s="36" t="str">
        <f>IFERROR(MID(Tabela_Base_Financeiro[[#This Row],[Manufacturer]],19,14),"")</f>
        <v/>
      </c>
      <c r="J1029" s="113">
        <f>IFERROR(Tabela_Base_Financeiro[[#This Row],[Item code]],0)</f>
        <v>0</v>
      </c>
      <c r="K1029" s="293">
        <f>IFERROR(Tabela_Base_Financeiro[[#This Row],[Unit Price]],0)</f>
        <v>0</v>
      </c>
      <c r="L1029" s="36">
        <f>IFERROR(Tabela_Base_Financeiro[[#This Row],[AC Qty,]],0)</f>
        <v>0</v>
      </c>
      <c r="M1029" s="60">
        <f>Tabela6[[#This Row],[Qty]]*Tabela6[[#This Row],[Preço]]</f>
        <v>0</v>
      </c>
      <c r="N1029" s="37">
        <f>IFERROR(Tabela_Base_Financeiro[[#This Row],[Proportion]],0)</f>
        <v>0</v>
      </c>
      <c r="O1029" s="60">
        <f>Tabela6[[#This Row],[Proporção]]*Tabela6[[#This Row],[Total]]</f>
        <v>0</v>
      </c>
      <c r="P1029"/>
      <c r="Q1029" s="59"/>
      <c r="R1029" s="1"/>
    </row>
    <row r="1030" spans="1:18">
      <c r="A1030" s="122" t="e">
        <f>IF(VLOOKUP(Tabela6[[#This Row],[UF]],'BASE CC'!B:C,2,0)="SP",IF(Tabela6[[#This Row],[OPERADORA]]="TIM","SP TIM","SPI"),VLOOKUP(Tabela6[[#This Row],[UF]],'BASE CC'!B:C,2,0))</f>
        <v>#N/A</v>
      </c>
      <c r="B1030" s="36" t="e">
        <f>VLOOKUP(Tabela_Base_Financeiro[[#This Row],[Item code]],'COD.FAT'!B:C,2,0)</f>
        <v>#N/A</v>
      </c>
      <c r="C1030" s="292">
        <f>Tabela_Base_Financeiro[[#This Row],[PO Ship TO]]</f>
        <v>0</v>
      </c>
      <c r="D1030" s="36" t="str">
        <f>RIGHT(Tabela_Base_Financeiro[[#This Row],[Manufacturer]],2)</f>
        <v/>
      </c>
      <c r="E103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30" s="122" t="e">
        <f>VLOOKUP(Tabela_Base_Financeiro[[#This Row],[Project Code]],'COD. PROJETOS'!B:D,3,0)</f>
        <v>#N/A</v>
      </c>
      <c r="G1030" s="36">
        <f>IFERROR(Tabela_Base_Financeiro[[#This Row],[PO No,]],0)</f>
        <v>0</v>
      </c>
      <c r="H1030" s="36">
        <f>IFERROR(Tabela_Base_Financeiro[[#This Row],[Line No,]],0)</f>
        <v>0</v>
      </c>
      <c r="I1030" s="36" t="str">
        <f>IFERROR(MID(Tabela_Base_Financeiro[[#This Row],[Manufacturer]],19,14),"")</f>
        <v/>
      </c>
      <c r="J1030" s="113">
        <f>IFERROR(Tabela_Base_Financeiro[[#This Row],[Item code]],0)</f>
        <v>0</v>
      </c>
      <c r="K1030" s="293">
        <f>IFERROR(Tabela_Base_Financeiro[[#This Row],[Unit Price]],0)</f>
        <v>0</v>
      </c>
      <c r="L1030" s="36">
        <f>IFERROR(Tabela_Base_Financeiro[[#This Row],[AC Qty,]],0)</f>
        <v>0</v>
      </c>
      <c r="M1030" s="60">
        <f>Tabela6[[#This Row],[Qty]]*Tabela6[[#This Row],[Preço]]</f>
        <v>0</v>
      </c>
      <c r="N1030" s="37">
        <f>IFERROR(Tabela_Base_Financeiro[[#This Row],[Proportion]],0)</f>
        <v>0</v>
      </c>
      <c r="O1030" s="60">
        <f>Tabela6[[#This Row],[Proporção]]*Tabela6[[#This Row],[Total]]</f>
        <v>0</v>
      </c>
      <c r="P1030"/>
      <c r="Q1030" s="59"/>
      <c r="R1030" s="1"/>
    </row>
    <row r="1031" spans="1:18">
      <c r="A1031" s="122" t="e">
        <f>IF(VLOOKUP(Tabela6[[#This Row],[UF]],'BASE CC'!B:C,2,0)="SP",IF(Tabela6[[#This Row],[OPERADORA]]="TIM","SP TIM","SPI"),VLOOKUP(Tabela6[[#This Row],[UF]],'BASE CC'!B:C,2,0))</f>
        <v>#N/A</v>
      </c>
      <c r="B1031" s="36" t="e">
        <f>VLOOKUP(Tabela_Base_Financeiro[[#This Row],[Item code]],'COD.FAT'!B:C,2,0)</f>
        <v>#N/A</v>
      </c>
      <c r="C1031" s="292">
        <f>Tabela_Base_Financeiro[[#This Row],[PO Ship TO]]</f>
        <v>0</v>
      </c>
      <c r="D1031" s="36" t="str">
        <f>RIGHT(Tabela_Base_Financeiro[[#This Row],[Manufacturer]],2)</f>
        <v/>
      </c>
      <c r="E103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31" s="122" t="e">
        <f>VLOOKUP(Tabela_Base_Financeiro[[#This Row],[Project Code]],'COD. PROJETOS'!B:D,3,0)</f>
        <v>#N/A</v>
      </c>
      <c r="G1031" s="36">
        <f>IFERROR(Tabela_Base_Financeiro[[#This Row],[PO No,]],0)</f>
        <v>0</v>
      </c>
      <c r="H1031" s="36">
        <f>IFERROR(Tabela_Base_Financeiro[[#This Row],[Line No,]],0)</f>
        <v>0</v>
      </c>
      <c r="I1031" s="36" t="str">
        <f>IFERROR(MID(Tabela_Base_Financeiro[[#This Row],[Manufacturer]],19,14),"")</f>
        <v/>
      </c>
      <c r="J1031" s="113">
        <f>IFERROR(Tabela_Base_Financeiro[[#This Row],[Item code]],0)</f>
        <v>0</v>
      </c>
      <c r="K1031" s="293">
        <f>IFERROR(Tabela_Base_Financeiro[[#This Row],[Unit Price]],0)</f>
        <v>0</v>
      </c>
      <c r="L1031" s="36">
        <f>IFERROR(Tabela_Base_Financeiro[[#This Row],[AC Qty,]],0)</f>
        <v>0</v>
      </c>
      <c r="M1031" s="60">
        <f>Tabela6[[#This Row],[Qty]]*Tabela6[[#This Row],[Preço]]</f>
        <v>0</v>
      </c>
      <c r="N1031" s="37">
        <f>IFERROR(Tabela_Base_Financeiro[[#This Row],[Proportion]],0)</f>
        <v>0</v>
      </c>
      <c r="O1031" s="60">
        <f>Tabela6[[#This Row],[Proporção]]*Tabela6[[#This Row],[Total]]</f>
        <v>0</v>
      </c>
      <c r="P1031"/>
      <c r="Q1031" s="59"/>
      <c r="R1031" s="1"/>
    </row>
    <row r="1032" spans="1:18">
      <c r="A1032" s="122" t="e">
        <f>IF(VLOOKUP(Tabela6[[#This Row],[UF]],'BASE CC'!B:C,2,0)="SP",IF(Tabela6[[#This Row],[OPERADORA]]="TIM","SP TIM","SPI"),VLOOKUP(Tabela6[[#This Row],[UF]],'BASE CC'!B:C,2,0))</f>
        <v>#N/A</v>
      </c>
      <c r="B1032" s="36" t="e">
        <f>VLOOKUP(Tabela_Base_Financeiro[[#This Row],[Item code]],'COD.FAT'!B:C,2,0)</f>
        <v>#N/A</v>
      </c>
      <c r="C1032" s="292">
        <f>Tabela_Base_Financeiro[[#This Row],[PO Ship TO]]</f>
        <v>0</v>
      </c>
      <c r="D1032" s="36" t="str">
        <f>RIGHT(Tabela_Base_Financeiro[[#This Row],[Manufacturer]],2)</f>
        <v/>
      </c>
      <c r="E103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32" s="122" t="e">
        <f>VLOOKUP(Tabela_Base_Financeiro[[#This Row],[Project Code]],'COD. PROJETOS'!B:D,3,0)</f>
        <v>#N/A</v>
      </c>
      <c r="G1032" s="36">
        <f>IFERROR(Tabela_Base_Financeiro[[#This Row],[PO No,]],0)</f>
        <v>0</v>
      </c>
      <c r="H1032" s="36">
        <f>IFERROR(Tabela_Base_Financeiro[[#This Row],[Line No,]],0)</f>
        <v>0</v>
      </c>
      <c r="I1032" s="36" t="str">
        <f>IFERROR(MID(Tabela_Base_Financeiro[[#This Row],[Manufacturer]],19,14),"")</f>
        <v/>
      </c>
      <c r="J1032" s="113">
        <f>IFERROR(Tabela_Base_Financeiro[[#This Row],[Item code]],0)</f>
        <v>0</v>
      </c>
      <c r="K1032" s="293">
        <f>IFERROR(Tabela_Base_Financeiro[[#This Row],[Unit Price]],0)</f>
        <v>0</v>
      </c>
      <c r="L1032" s="36">
        <f>IFERROR(Tabela_Base_Financeiro[[#This Row],[AC Qty,]],0)</f>
        <v>0</v>
      </c>
      <c r="M1032" s="60">
        <f>Tabela6[[#This Row],[Qty]]*Tabela6[[#This Row],[Preço]]</f>
        <v>0</v>
      </c>
      <c r="N1032" s="37">
        <f>IFERROR(Tabela_Base_Financeiro[[#This Row],[Proportion]],0)</f>
        <v>0</v>
      </c>
      <c r="O1032" s="60">
        <f>Tabela6[[#This Row],[Proporção]]*Tabela6[[#This Row],[Total]]</f>
        <v>0</v>
      </c>
      <c r="P1032"/>
      <c r="Q1032" s="59"/>
      <c r="R1032" s="1"/>
    </row>
    <row r="1033" spans="1:18">
      <c r="A1033" s="122" t="e">
        <f>IF(VLOOKUP(Tabela6[[#This Row],[UF]],'BASE CC'!B:C,2,0)="SP",IF(Tabela6[[#This Row],[OPERADORA]]="TIM","SP TIM","SPI"),VLOOKUP(Tabela6[[#This Row],[UF]],'BASE CC'!B:C,2,0))</f>
        <v>#N/A</v>
      </c>
      <c r="B1033" s="36" t="e">
        <f>VLOOKUP(Tabela_Base_Financeiro[[#This Row],[Item code]],'COD.FAT'!B:C,2,0)</f>
        <v>#N/A</v>
      </c>
      <c r="C1033" s="292">
        <f>Tabela_Base_Financeiro[[#This Row],[PO Ship TO]]</f>
        <v>0</v>
      </c>
      <c r="D1033" s="36" t="str">
        <f>RIGHT(Tabela_Base_Financeiro[[#This Row],[Manufacturer]],2)</f>
        <v/>
      </c>
      <c r="E103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33" s="122" t="e">
        <f>VLOOKUP(Tabela_Base_Financeiro[[#This Row],[Project Code]],'COD. PROJETOS'!B:D,3,0)</f>
        <v>#N/A</v>
      </c>
      <c r="G1033" s="36">
        <f>IFERROR(Tabela_Base_Financeiro[[#This Row],[PO No,]],0)</f>
        <v>0</v>
      </c>
      <c r="H1033" s="36">
        <f>IFERROR(Tabela_Base_Financeiro[[#This Row],[Line No,]],0)</f>
        <v>0</v>
      </c>
      <c r="I1033" s="36" t="str">
        <f>IFERROR(MID(Tabela_Base_Financeiro[[#This Row],[Manufacturer]],19,14),"")</f>
        <v/>
      </c>
      <c r="J1033" s="113">
        <f>IFERROR(Tabela_Base_Financeiro[[#This Row],[Item code]],0)</f>
        <v>0</v>
      </c>
      <c r="K1033" s="293">
        <f>IFERROR(Tabela_Base_Financeiro[[#This Row],[Unit Price]],0)</f>
        <v>0</v>
      </c>
      <c r="L1033" s="36">
        <f>IFERROR(Tabela_Base_Financeiro[[#This Row],[AC Qty,]],0)</f>
        <v>0</v>
      </c>
      <c r="M1033" s="60">
        <f>Tabela6[[#This Row],[Qty]]*Tabela6[[#This Row],[Preço]]</f>
        <v>0</v>
      </c>
      <c r="N1033" s="37">
        <f>IFERROR(Tabela_Base_Financeiro[[#This Row],[Proportion]],0)</f>
        <v>0</v>
      </c>
      <c r="O1033" s="60">
        <f>Tabela6[[#This Row],[Proporção]]*Tabela6[[#This Row],[Total]]</f>
        <v>0</v>
      </c>
      <c r="P1033"/>
      <c r="Q1033" s="59"/>
      <c r="R1033" s="1"/>
    </row>
    <row r="1034" spans="1:18">
      <c r="A1034" s="122" t="e">
        <f>IF(VLOOKUP(Tabela6[[#This Row],[UF]],'BASE CC'!B:C,2,0)="SP",IF(Tabela6[[#This Row],[OPERADORA]]="TIM","SP TIM","SPI"),VLOOKUP(Tabela6[[#This Row],[UF]],'BASE CC'!B:C,2,0))</f>
        <v>#N/A</v>
      </c>
      <c r="B1034" s="36" t="e">
        <f>VLOOKUP(Tabela_Base_Financeiro[[#This Row],[Item code]],'COD.FAT'!B:C,2,0)</f>
        <v>#N/A</v>
      </c>
      <c r="C1034" s="292">
        <f>Tabela_Base_Financeiro[[#This Row],[PO Ship TO]]</f>
        <v>0</v>
      </c>
      <c r="D1034" s="36" t="str">
        <f>RIGHT(Tabela_Base_Financeiro[[#This Row],[Manufacturer]],2)</f>
        <v/>
      </c>
      <c r="E103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34" s="122" t="e">
        <f>VLOOKUP(Tabela_Base_Financeiro[[#This Row],[Project Code]],'COD. PROJETOS'!B:D,3,0)</f>
        <v>#N/A</v>
      </c>
      <c r="G1034" s="36">
        <f>IFERROR(Tabela_Base_Financeiro[[#This Row],[PO No,]],0)</f>
        <v>0</v>
      </c>
      <c r="H1034" s="36">
        <f>IFERROR(Tabela_Base_Financeiro[[#This Row],[Line No,]],0)</f>
        <v>0</v>
      </c>
      <c r="I1034" s="36" t="str">
        <f>IFERROR(MID(Tabela_Base_Financeiro[[#This Row],[Manufacturer]],19,14),"")</f>
        <v/>
      </c>
      <c r="J1034" s="113">
        <f>IFERROR(Tabela_Base_Financeiro[[#This Row],[Item code]],0)</f>
        <v>0</v>
      </c>
      <c r="K1034" s="293">
        <f>IFERROR(Tabela_Base_Financeiro[[#This Row],[Unit Price]],0)</f>
        <v>0</v>
      </c>
      <c r="L1034" s="36">
        <f>IFERROR(Tabela_Base_Financeiro[[#This Row],[AC Qty,]],0)</f>
        <v>0</v>
      </c>
      <c r="M1034" s="60">
        <f>Tabela6[[#This Row],[Qty]]*Tabela6[[#This Row],[Preço]]</f>
        <v>0</v>
      </c>
      <c r="N1034" s="37">
        <f>IFERROR(Tabela_Base_Financeiro[[#This Row],[Proportion]],0)</f>
        <v>0</v>
      </c>
      <c r="O1034" s="60">
        <f>Tabela6[[#This Row],[Proporção]]*Tabela6[[#This Row],[Total]]</f>
        <v>0</v>
      </c>
      <c r="P1034"/>
      <c r="Q1034" s="59"/>
      <c r="R1034" s="1"/>
    </row>
    <row r="1035" spans="1:18">
      <c r="A1035" s="122" t="e">
        <f>IF(VLOOKUP(Tabela6[[#This Row],[UF]],'BASE CC'!B:C,2,0)="SP",IF(Tabela6[[#This Row],[OPERADORA]]="TIM","SP TIM","SPI"),VLOOKUP(Tabela6[[#This Row],[UF]],'BASE CC'!B:C,2,0))</f>
        <v>#N/A</v>
      </c>
      <c r="B1035" s="36" t="e">
        <f>VLOOKUP(Tabela_Base_Financeiro[[#This Row],[Item code]],'COD.FAT'!B:C,2,0)</f>
        <v>#N/A</v>
      </c>
      <c r="C1035" s="292">
        <f>Tabela_Base_Financeiro[[#This Row],[PO Ship TO]]</f>
        <v>0</v>
      </c>
      <c r="D1035" s="36" t="str">
        <f>RIGHT(Tabela_Base_Financeiro[[#This Row],[Manufacturer]],2)</f>
        <v/>
      </c>
      <c r="E103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35" s="122" t="e">
        <f>VLOOKUP(Tabela_Base_Financeiro[[#This Row],[Project Code]],'COD. PROJETOS'!B:D,3,0)</f>
        <v>#N/A</v>
      </c>
      <c r="G1035" s="36">
        <f>IFERROR(Tabela_Base_Financeiro[[#This Row],[PO No,]],0)</f>
        <v>0</v>
      </c>
      <c r="H1035" s="36">
        <f>IFERROR(Tabela_Base_Financeiro[[#This Row],[Line No,]],0)</f>
        <v>0</v>
      </c>
      <c r="I1035" s="36" t="str">
        <f>IFERROR(MID(Tabela_Base_Financeiro[[#This Row],[Manufacturer]],19,14),"")</f>
        <v/>
      </c>
      <c r="J1035" s="113">
        <f>IFERROR(Tabela_Base_Financeiro[[#This Row],[Item code]],0)</f>
        <v>0</v>
      </c>
      <c r="K1035" s="293">
        <f>IFERROR(Tabela_Base_Financeiro[[#This Row],[Unit Price]],0)</f>
        <v>0</v>
      </c>
      <c r="L1035" s="36">
        <f>IFERROR(Tabela_Base_Financeiro[[#This Row],[AC Qty,]],0)</f>
        <v>0</v>
      </c>
      <c r="M1035" s="60">
        <f>Tabela6[[#This Row],[Qty]]*Tabela6[[#This Row],[Preço]]</f>
        <v>0</v>
      </c>
      <c r="N1035" s="37">
        <f>IFERROR(Tabela_Base_Financeiro[[#This Row],[Proportion]],0)</f>
        <v>0</v>
      </c>
      <c r="O1035" s="60">
        <f>Tabela6[[#This Row],[Proporção]]*Tabela6[[#This Row],[Total]]</f>
        <v>0</v>
      </c>
      <c r="P1035"/>
      <c r="Q1035" s="59"/>
      <c r="R1035" s="1"/>
    </row>
    <row r="1036" spans="1:18">
      <c r="A1036" s="122" t="e">
        <f>IF(VLOOKUP(Tabela6[[#This Row],[UF]],'BASE CC'!B:C,2,0)="SP",IF(Tabela6[[#This Row],[OPERADORA]]="TIM","SP TIM","SPI"),VLOOKUP(Tabela6[[#This Row],[UF]],'BASE CC'!B:C,2,0))</f>
        <v>#N/A</v>
      </c>
      <c r="B1036" s="36" t="e">
        <f>VLOOKUP(Tabela_Base_Financeiro[[#This Row],[Item code]],'COD.FAT'!B:C,2,0)</f>
        <v>#N/A</v>
      </c>
      <c r="C1036" s="292">
        <f>Tabela_Base_Financeiro[[#This Row],[PO Ship TO]]</f>
        <v>0</v>
      </c>
      <c r="D1036" s="36" t="str">
        <f>RIGHT(Tabela_Base_Financeiro[[#This Row],[Manufacturer]],2)</f>
        <v/>
      </c>
      <c r="E103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36" s="122" t="e">
        <f>VLOOKUP(Tabela_Base_Financeiro[[#This Row],[Project Code]],'COD. PROJETOS'!B:D,3,0)</f>
        <v>#N/A</v>
      </c>
      <c r="G1036" s="36">
        <f>IFERROR(Tabela_Base_Financeiro[[#This Row],[PO No,]],0)</f>
        <v>0</v>
      </c>
      <c r="H1036" s="36">
        <f>IFERROR(Tabela_Base_Financeiro[[#This Row],[Line No,]],0)</f>
        <v>0</v>
      </c>
      <c r="I1036" s="36" t="str">
        <f>IFERROR(MID(Tabela_Base_Financeiro[[#This Row],[Manufacturer]],19,14),"")</f>
        <v/>
      </c>
      <c r="J1036" s="113">
        <f>IFERROR(Tabela_Base_Financeiro[[#This Row],[Item code]],0)</f>
        <v>0</v>
      </c>
      <c r="K1036" s="293">
        <f>IFERROR(Tabela_Base_Financeiro[[#This Row],[Unit Price]],0)</f>
        <v>0</v>
      </c>
      <c r="L1036" s="36">
        <f>IFERROR(Tabela_Base_Financeiro[[#This Row],[AC Qty,]],0)</f>
        <v>0</v>
      </c>
      <c r="M1036" s="60">
        <f>Tabela6[[#This Row],[Qty]]*Tabela6[[#This Row],[Preço]]</f>
        <v>0</v>
      </c>
      <c r="N1036" s="37">
        <f>IFERROR(Tabela_Base_Financeiro[[#This Row],[Proportion]],0)</f>
        <v>0</v>
      </c>
      <c r="O1036" s="60">
        <f>Tabela6[[#This Row],[Proporção]]*Tabela6[[#This Row],[Total]]</f>
        <v>0</v>
      </c>
      <c r="P1036"/>
      <c r="Q1036" s="59"/>
      <c r="R1036" s="1"/>
    </row>
    <row r="1037" spans="1:18">
      <c r="A1037" s="122" t="e">
        <f>IF(VLOOKUP(Tabela6[[#This Row],[UF]],'BASE CC'!B:C,2,0)="SP",IF(Tabela6[[#This Row],[OPERADORA]]="TIM","SP TIM","SPI"),VLOOKUP(Tabela6[[#This Row],[UF]],'BASE CC'!B:C,2,0))</f>
        <v>#N/A</v>
      </c>
      <c r="B1037" s="36" t="e">
        <f>VLOOKUP(Tabela_Base_Financeiro[[#This Row],[Item code]],'COD.FAT'!B:C,2,0)</f>
        <v>#N/A</v>
      </c>
      <c r="C1037" s="292">
        <f>Tabela_Base_Financeiro[[#This Row],[PO Ship TO]]</f>
        <v>0</v>
      </c>
      <c r="D1037" s="36" t="str">
        <f>RIGHT(Tabela_Base_Financeiro[[#This Row],[Manufacturer]],2)</f>
        <v/>
      </c>
      <c r="E103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37" s="122" t="e">
        <f>VLOOKUP(Tabela_Base_Financeiro[[#This Row],[Project Code]],'COD. PROJETOS'!B:D,3,0)</f>
        <v>#N/A</v>
      </c>
      <c r="G1037" s="36">
        <f>IFERROR(Tabela_Base_Financeiro[[#This Row],[PO No,]],0)</f>
        <v>0</v>
      </c>
      <c r="H1037" s="36">
        <f>IFERROR(Tabela_Base_Financeiro[[#This Row],[Line No,]],0)</f>
        <v>0</v>
      </c>
      <c r="I1037" s="36" t="str">
        <f>IFERROR(MID(Tabela_Base_Financeiro[[#This Row],[Manufacturer]],19,14),"")</f>
        <v/>
      </c>
      <c r="J1037" s="113">
        <f>IFERROR(Tabela_Base_Financeiro[[#This Row],[Item code]],0)</f>
        <v>0</v>
      </c>
      <c r="K1037" s="293">
        <f>IFERROR(Tabela_Base_Financeiro[[#This Row],[Unit Price]],0)</f>
        <v>0</v>
      </c>
      <c r="L1037" s="36">
        <f>IFERROR(Tabela_Base_Financeiro[[#This Row],[AC Qty,]],0)</f>
        <v>0</v>
      </c>
      <c r="M1037" s="60">
        <f>Tabela6[[#This Row],[Qty]]*Tabela6[[#This Row],[Preço]]</f>
        <v>0</v>
      </c>
      <c r="N1037" s="37">
        <f>IFERROR(Tabela_Base_Financeiro[[#This Row],[Proportion]],0)</f>
        <v>0</v>
      </c>
      <c r="O1037" s="60">
        <f>Tabela6[[#This Row],[Proporção]]*Tabela6[[#This Row],[Total]]</f>
        <v>0</v>
      </c>
      <c r="P1037"/>
      <c r="Q1037" s="59"/>
      <c r="R1037" s="1"/>
    </row>
    <row r="1038" spans="1:18">
      <c r="A1038" s="122" t="e">
        <f>IF(VLOOKUP(Tabela6[[#This Row],[UF]],'BASE CC'!B:C,2,0)="SP",IF(Tabela6[[#This Row],[OPERADORA]]="TIM","SP TIM","SPI"),VLOOKUP(Tabela6[[#This Row],[UF]],'BASE CC'!B:C,2,0))</f>
        <v>#N/A</v>
      </c>
      <c r="B1038" s="36" t="e">
        <f>VLOOKUP(Tabela_Base_Financeiro[[#This Row],[Item code]],'COD.FAT'!B:C,2,0)</f>
        <v>#N/A</v>
      </c>
      <c r="C1038" s="292">
        <f>Tabela_Base_Financeiro[[#This Row],[PO Ship TO]]</f>
        <v>0</v>
      </c>
      <c r="D1038" s="36" t="str">
        <f>RIGHT(Tabela_Base_Financeiro[[#This Row],[Manufacturer]],2)</f>
        <v/>
      </c>
      <c r="E103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38" s="122" t="e">
        <f>VLOOKUP(Tabela_Base_Financeiro[[#This Row],[Project Code]],'COD. PROJETOS'!B:D,3,0)</f>
        <v>#N/A</v>
      </c>
      <c r="G1038" s="36">
        <f>IFERROR(Tabela_Base_Financeiro[[#This Row],[PO No,]],0)</f>
        <v>0</v>
      </c>
      <c r="H1038" s="36">
        <f>IFERROR(Tabela_Base_Financeiro[[#This Row],[Line No,]],0)</f>
        <v>0</v>
      </c>
      <c r="I1038" s="36" t="str">
        <f>IFERROR(MID(Tabela_Base_Financeiro[[#This Row],[Manufacturer]],19,14),"")</f>
        <v/>
      </c>
      <c r="J1038" s="113">
        <f>IFERROR(Tabela_Base_Financeiro[[#This Row],[Item code]],0)</f>
        <v>0</v>
      </c>
      <c r="K1038" s="293">
        <f>IFERROR(Tabela_Base_Financeiro[[#This Row],[Unit Price]],0)</f>
        <v>0</v>
      </c>
      <c r="L1038" s="36">
        <f>IFERROR(Tabela_Base_Financeiro[[#This Row],[AC Qty,]],0)</f>
        <v>0</v>
      </c>
      <c r="M1038" s="60">
        <f>Tabela6[[#This Row],[Qty]]*Tabela6[[#This Row],[Preço]]</f>
        <v>0</v>
      </c>
      <c r="N1038" s="37">
        <f>IFERROR(Tabela_Base_Financeiro[[#This Row],[Proportion]],0)</f>
        <v>0</v>
      </c>
      <c r="O1038" s="60">
        <f>Tabela6[[#This Row],[Proporção]]*Tabela6[[#This Row],[Total]]</f>
        <v>0</v>
      </c>
      <c r="P1038"/>
      <c r="Q1038" s="59"/>
      <c r="R1038" s="1"/>
    </row>
    <row r="1039" spans="1:18">
      <c r="A1039" s="122" t="e">
        <f>IF(VLOOKUP(Tabela6[[#This Row],[UF]],'BASE CC'!B:C,2,0)="SP",IF(Tabela6[[#This Row],[OPERADORA]]="TIM","SP TIM","SPI"),VLOOKUP(Tabela6[[#This Row],[UF]],'BASE CC'!B:C,2,0))</f>
        <v>#N/A</v>
      </c>
      <c r="B1039" s="36" t="e">
        <f>VLOOKUP(Tabela_Base_Financeiro[[#This Row],[Item code]],'COD.FAT'!B:C,2,0)</f>
        <v>#N/A</v>
      </c>
      <c r="C1039" s="292">
        <f>Tabela_Base_Financeiro[[#This Row],[PO Ship TO]]</f>
        <v>0</v>
      </c>
      <c r="D1039" s="36" t="str">
        <f>RIGHT(Tabela_Base_Financeiro[[#This Row],[Manufacturer]],2)</f>
        <v/>
      </c>
      <c r="E103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39" s="122" t="e">
        <f>VLOOKUP(Tabela_Base_Financeiro[[#This Row],[Project Code]],'COD. PROJETOS'!B:D,3,0)</f>
        <v>#N/A</v>
      </c>
      <c r="G1039" s="36">
        <f>IFERROR(Tabela_Base_Financeiro[[#This Row],[PO No,]],0)</f>
        <v>0</v>
      </c>
      <c r="H1039" s="36">
        <f>IFERROR(Tabela_Base_Financeiro[[#This Row],[Line No,]],0)</f>
        <v>0</v>
      </c>
      <c r="I1039" s="36" t="str">
        <f>IFERROR(MID(Tabela_Base_Financeiro[[#This Row],[Manufacturer]],19,14),"")</f>
        <v/>
      </c>
      <c r="J1039" s="113">
        <f>IFERROR(Tabela_Base_Financeiro[[#This Row],[Item code]],0)</f>
        <v>0</v>
      </c>
      <c r="K1039" s="293">
        <f>IFERROR(Tabela_Base_Financeiro[[#This Row],[Unit Price]],0)</f>
        <v>0</v>
      </c>
      <c r="L1039" s="36">
        <f>IFERROR(Tabela_Base_Financeiro[[#This Row],[AC Qty,]],0)</f>
        <v>0</v>
      </c>
      <c r="M1039" s="60">
        <f>Tabela6[[#This Row],[Qty]]*Tabela6[[#This Row],[Preço]]</f>
        <v>0</v>
      </c>
      <c r="N1039" s="37">
        <f>IFERROR(Tabela_Base_Financeiro[[#This Row],[Proportion]],0)</f>
        <v>0</v>
      </c>
      <c r="O1039" s="60">
        <f>Tabela6[[#This Row],[Proporção]]*Tabela6[[#This Row],[Total]]</f>
        <v>0</v>
      </c>
      <c r="P1039"/>
      <c r="Q1039" s="59"/>
      <c r="R1039" s="1"/>
    </row>
    <row r="1040" spans="1:18">
      <c r="A1040" s="122" t="e">
        <f>IF(VLOOKUP(Tabela6[[#This Row],[UF]],'BASE CC'!B:C,2,0)="SP",IF(Tabela6[[#This Row],[OPERADORA]]="TIM","SP TIM","SPI"),VLOOKUP(Tabela6[[#This Row],[UF]],'BASE CC'!B:C,2,0))</f>
        <v>#N/A</v>
      </c>
      <c r="B1040" s="36" t="e">
        <f>VLOOKUP(Tabela_Base_Financeiro[[#This Row],[Item code]],'COD.FAT'!B:C,2,0)</f>
        <v>#N/A</v>
      </c>
      <c r="C1040" s="292">
        <f>Tabela_Base_Financeiro[[#This Row],[PO Ship TO]]</f>
        <v>0</v>
      </c>
      <c r="D1040" s="36" t="str">
        <f>RIGHT(Tabela_Base_Financeiro[[#This Row],[Manufacturer]],2)</f>
        <v/>
      </c>
      <c r="E104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40" s="122" t="e">
        <f>VLOOKUP(Tabela_Base_Financeiro[[#This Row],[Project Code]],'COD. PROJETOS'!B:D,3,0)</f>
        <v>#N/A</v>
      </c>
      <c r="G1040" s="36">
        <f>IFERROR(Tabela_Base_Financeiro[[#This Row],[PO No,]],0)</f>
        <v>0</v>
      </c>
      <c r="H1040" s="36">
        <f>IFERROR(Tabela_Base_Financeiro[[#This Row],[Line No,]],0)</f>
        <v>0</v>
      </c>
      <c r="I1040" s="36" t="str">
        <f>IFERROR(MID(Tabela_Base_Financeiro[[#This Row],[Manufacturer]],19,14),"")</f>
        <v/>
      </c>
      <c r="J1040" s="113">
        <f>IFERROR(Tabela_Base_Financeiro[[#This Row],[Item code]],0)</f>
        <v>0</v>
      </c>
      <c r="K1040" s="293">
        <f>IFERROR(Tabela_Base_Financeiro[[#This Row],[Unit Price]],0)</f>
        <v>0</v>
      </c>
      <c r="L1040" s="36">
        <f>IFERROR(Tabela_Base_Financeiro[[#This Row],[AC Qty,]],0)</f>
        <v>0</v>
      </c>
      <c r="M1040" s="60">
        <f>Tabela6[[#This Row],[Qty]]*Tabela6[[#This Row],[Preço]]</f>
        <v>0</v>
      </c>
      <c r="N1040" s="37">
        <f>IFERROR(Tabela_Base_Financeiro[[#This Row],[Proportion]],0)</f>
        <v>0</v>
      </c>
      <c r="O1040" s="60">
        <f>Tabela6[[#This Row],[Proporção]]*Tabela6[[#This Row],[Total]]</f>
        <v>0</v>
      </c>
      <c r="P1040"/>
      <c r="Q1040" s="59"/>
      <c r="R1040" s="1"/>
    </row>
    <row r="1041" spans="1:18">
      <c r="A1041" s="122" t="e">
        <f>IF(VLOOKUP(Tabela6[[#This Row],[UF]],'BASE CC'!B:C,2,0)="SP",IF(Tabela6[[#This Row],[OPERADORA]]="TIM","SP TIM","SPI"),VLOOKUP(Tabela6[[#This Row],[UF]],'BASE CC'!B:C,2,0))</f>
        <v>#N/A</v>
      </c>
      <c r="B1041" s="36" t="e">
        <f>VLOOKUP(Tabela_Base_Financeiro[[#This Row],[Item code]],'COD.FAT'!B:C,2,0)</f>
        <v>#N/A</v>
      </c>
      <c r="C1041" s="292">
        <f>Tabela_Base_Financeiro[[#This Row],[PO Ship TO]]</f>
        <v>0</v>
      </c>
      <c r="D1041" s="36" t="str">
        <f>RIGHT(Tabela_Base_Financeiro[[#This Row],[Manufacturer]],2)</f>
        <v/>
      </c>
      <c r="E104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41" s="122" t="e">
        <f>VLOOKUP(Tabela_Base_Financeiro[[#This Row],[Project Code]],'COD. PROJETOS'!B:D,3,0)</f>
        <v>#N/A</v>
      </c>
      <c r="G1041" s="36">
        <f>IFERROR(Tabela_Base_Financeiro[[#This Row],[PO No,]],0)</f>
        <v>0</v>
      </c>
      <c r="H1041" s="36">
        <f>IFERROR(Tabela_Base_Financeiro[[#This Row],[Line No,]],0)</f>
        <v>0</v>
      </c>
      <c r="I1041" s="36" t="str">
        <f>IFERROR(MID(Tabela_Base_Financeiro[[#This Row],[Manufacturer]],19,14),"")</f>
        <v/>
      </c>
      <c r="J1041" s="113">
        <f>IFERROR(Tabela_Base_Financeiro[[#This Row],[Item code]],0)</f>
        <v>0</v>
      </c>
      <c r="K1041" s="293">
        <f>IFERROR(Tabela_Base_Financeiro[[#This Row],[Unit Price]],0)</f>
        <v>0</v>
      </c>
      <c r="L1041" s="36">
        <f>IFERROR(Tabela_Base_Financeiro[[#This Row],[AC Qty,]],0)</f>
        <v>0</v>
      </c>
      <c r="M1041" s="60">
        <f>Tabela6[[#This Row],[Qty]]*Tabela6[[#This Row],[Preço]]</f>
        <v>0</v>
      </c>
      <c r="N1041" s="37">
        <f>IFERROR(Tabela_Base_Financeiro[[#This Row],[Proportion]],0)</f>
        <v>0</v>
      </c>
      <c r="O1041" s="60">
        <f>Tabela6[[#This Row],[Proporção]]*Tabela6[[#This Row],[Total]]</f>
        <v>0</v>
      </c>
      <c r="P1041"/>
      <c r="Q1041" s="59"/>
      <c r="R1041" s="1"/>
    </row>
    <row r="1042" spans="1:18">
      <c r="A1042" s="122" t="e">
        <f>IF(VLOOKUP(Tabela6[[#This Row],[UF]],'BASE CC'!B:C,2,0)="SP",IF(Tabela6[[#This Row],[OPERADORA]]="TIM","SP TIM","SPI"),VLOOKUP(Tabela6[[#This Row],[UF]],'BASE CC'!B:C,2,0))</f>
        <v>#N/A</v>
      </c>
      <c r="B1042" s="36" t="e">
        <f>VLOOKUP(Tabela_Base_Financeiro[[#This Row],[Item code]],'COD.FAT'!B:C,2,0)</f>
        <v>#N/A</v>
      </c>
      <c r="C1042" s="292">
        <f>Tabela_Base_Financeiro[[#This Row],[PO Ship TO]]</f>
        <v>0</v>
      </c>
      <c r="D1042" s="36" t="str">
        <f>RIGHT(Tabela_Base_Financeiro[[#This Row],[Manufacturer]],2)</f>
        <v/>
      </c>
      <c r="E104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42" s="122" t="e">
        <f>VLOOKUP(Tabela_Base_Financeiro[[#This Row],[Project Code]],'COD. PROJETOS'!B:D,3,0)</f>
        <v>#N/A</v>
      </c>
      <c r="G1042" s="36">
        <f>IFERROR(Tabela_Base_Financeiro[[#This Row],[PO No,]],0)</f>
        <v>0</v>
      </c>
      <c r="H1042" s="36">
        <f>IFERROR(Tabela_Base_Financeiro[[#This Row],[Line No,]],0)</f>
        <v>0</v>
      </c>
      <c r="I1042" s="36" t="str">
        <f>IFERROR(MID(Tabela_Base_Financeiro[[#This Row],[Manufacturer]],19,14),"")</f>
        <v/>
      </c>
      <c r="J1042" s="113">
        <f>IFERROR(Tabela_Base_Financeiro[[#This Row],[Item code]],0)</f>
        <v>0</v>
      </c>
      <c r="K1042" s="293">
        <f>IFERROR(Tabela_Base_Financeiro[[#This Row],[Unit Price]],0)</f>
        <v>0</v>
      </c>
      <c r="L1042" s="36">
        <f>IFERROR(Tabela_Base_Financeiro[[#This Row],[AC Qty,]],0)</f>
        <v>0</v>
      </c>
      <c r="M1042" s="60">
        <f>Tabela6[[#This Row],[Qty]]*Tabela6[[#This Row],[Preço]]</f>
        <v>0</v>
      </c>
      <c r="N1042" s="37">
        <f>IFERROR(Tabela_Base_Financeiro[[#This Row],[Proportion]],0)</f>
        <v>0</v>
      </c>
      <c r="O1042" s="60">
        <f>Tabela6[[#This Row],[Proporção]]*Tabela6[[#This Row],[Total]]</f>
        <v>0</v>
      </c>
      <c r="P1042"/>
      <c r="Q1042" s="59"/>
      <c r="R1042" s="1"/>
    </row>
    <row r="1043" spans="1:18">
      <c r="A1043" s="122" t="e">
        <f>IF(VLOOKUP(Tabela6[[#This Row],[UF]],'BASE CC'!B:C,2,0)="SP",IF(Tabela6[[#This Row],[OPERADORA]]="TIM","SP TIM","SPI"),VLOOKUP(Tabela6[[#This Row],[UF]],'BASE CC'!B:C,2,0))</f>
        <v>#N/A</v>
      </c>
      <c r="B1043" s="36" t="e">
        <f>VLOOKUP(Tabela_Base_Financeiro[[#This Row],[Item code]],'COD.FAT'!B:C,2,0)</f>
        <v>#N/A</v>
      </c>
      <c r="C1043" s="292">
        <f>Tabela_Base_Financeiro[[#This Row],[PO Ship TO]]</f>
        <v>0</v>
      </c>
      <c r="D1043" s="36" t="str">
        <f>RIGHT(Tabela_Base_Financeiro[[#This Row],[Manufacturer]],2)</f>
        <v/>
      </c>
      <c r="E104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43" s="122" t="e">
        <f>VLOOKUP(Tabela_Base_Financeiro[[#This Row],[Project Code]],'COD. PROJETOS'!B:D,3,0)</f>
        <v>#N/A</v>
      </c>
      <c r="G1043" s="36">
        <f>IFERROR(Tabela_Base_Financeiro[[#This Row],[PO No,]],0)</f>
        <v>0</v>
      </c>
      <c r="H1043" s="36">
        <f>IFERROR(Tabela_Base_Financeiro[[#This Row],[Line No,]],0)</f>
        <v>0</v>
      </c>
      <c r="I1043" s="36" t="str">
        <f>IFERROR(MID(Tabela_Base_Financeiro[[#This Row],[Manufacturer]],19,14),"")</f>
        <v/>
      </c>
      <c r="J1043" s="113">
        <f>IFERROR(Tabela_Base_Financeiro[[#This Row],[Item code]],0)</f>
        <v>0</v>
      </c>
      <c r="K1043" s="293">
        <f>IFERROR(Tabela_Base_Financeiro[[#This Row],[Unit Price]],0)</f>
        <v>0</v>
      </c>
      <c r="L1043" s="36">
        <f>IFERROR(Tabela_Base_Financeiro[[#This Row],[AC Qty,]],0)</f>
        <v>0</v>
      </c>
      <c r="M1043" s="60">
        <f>Tabela6[[#This Row],[Qty]]*Tabela6[[#This Row],[Preço]]</f>
        <v>0</v>
      </c>
      <c r="N1043" s="37">
        <f>IFERROR(Tabela_Base_Financeiro[[#This Row],[Proportion]],0)</f>
        <v>0</v>
      </c>
      <c r="O1043" s="60">
        <f>Tabela6[[#This Row],[Proporção]]*Tabela6[[#This Row],[Total]]</f>
        <v>0</v>
      </c>
      <c r="P1043"/>
      <c r="Q1043" s="59"/>
      <c r="R1043" s="1"/>
    </row>
    <row r="1044" spans="1:18">
      <c r="A1044" s="122" t="e">
        <f>IF(VLOOKUP(Tabela6[[#This Row],[UF]],'BASE CC'!B:C,2,0)="SP",IF(Tabela6[[#This Row],[OPERADORA]]="TIM","SP TIM","SPI"),VLOOKUP(Tabela6[[#This Row],[UF]],'BASE CC'!B:C,2,0))</f>
        <v>#N/A</v>
      </c>
      <c r="B1044" s="36" t="e">
        <f>VLOOKUP(Tabela_Base_Financeiro[[#This Row],[Item code]],'COD.FAT'!B:C,2,0)</f>
        <v>#N/A</v>
      </c>
      <c r="C1044" s="292">
        <f>Tabela_Base_Financeiro[[#This Row],[PO Ship TO]]</f>
        <v>0</v>
      </c>
      <c r="D1044" s="36" t="str">
        <f>RIGHT(Tabela_Base_Financeiro[[#This Row],[Manufacturer]],2)</f>
        <v/>
      </c>
      <c r="E104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44" s="122" t="e">
        <f>VLOOKUP(Tabela_Base_Financeiro[[#This Row],[Project Code]],'COD. PROJETOS'!B:D,3,0)</f>
        <v>#N/A</v>
      </c>
      <c r="G1044" s="36">
        <f>IFERROR(Tabela_Base_Financeiro[[#This Row],[PO No,]],0)</f>
        <v>0</v>
      </c>
      <c r="H1044" s="36">
        <f>IFERROR(Tabela_Base_Financeiro[[#This Row],[Line No,]],0)</f>
        <v>0</v>
      </c>
      <c r="I1044" s="36" t="str">
        <f>IFERROR(MID(Tabela_Base_Financeiro[[#This Row],[Manufacturer]],19,14),"")</f>
        <v/>
      </c>
      <c r="J1044" s="113">
        <f>IFERROR(Tabela_Base_Financeiro[[#This Row],[Item code]],0)</f>
        <v>0</v>
      </c>
      <c r="K1044" s="293">
        <f>IFERROR(Tabela_Base_Financeiro[[#This Row],[Unit Price]],0)</f>
        <v>0</v>
      </c>
      <c r="L1044" s="36">
        <f>IFERROR(Tabela_Base_Financeiro[[#This Row],[AC Qty,]],0)</f>
        <v>0</v>
      </c>
      <c r="M1044" s="60">
        <f>Tabela6[[#This Row],[Qty]]*Tabela6[[#This Row],[Preço]]</f>
        <v>0</v>
      </c>
      <c r="N1044" s="37">
        <f>IFERROR(Tabela_Base_Financeiro[[#This Row],[Proportion]],0)</f>
        <v>0</v>
      </c>
      <c r="O1044" s="60">
        <f>Tabela6[[#This Row],[Proporção]]*Tabela6[[#This Row],[Total]]</f>
        <v>0</v>
      </c>
      <c r="P1044"/>
      <c r="Q1044" s="59"/>
      <c r="R1044" s="1"/>
    </row>
    <row r="1045" spans="1:18">
      <c r="A1045" s="122" t="e">
        <f>IF(VLOOKUP(Tabela6[[#This Row],[UF]],'BASE CC'!B:C,2,0)="SP",IF(Tabela6[[#This Row],[OPERADORA]]="TIM","SP TIM","SPI"),VLOOKUP(Tabela6[[#This Row],[UF]],'BASE CC'!B:C,2,0))</f>
        <v>#N/A</v>
      </c>
      <c r="B1045" s="36" t="e">
        <f>VLOOKUP(Tabela_Base_Financeiro[[#This Row],[Item code]],'COD.FAT'!B:C,2,0)</f>
        <v>#N/A</v>
      </c>
      <c r="C1045" s="292">
        <f>Tabela_Base_Financeiro[[#This Row],[PO Ship TO]]</f>
        <v>0</v>
      </c>
      <c r="D1045" s="36" t="str">
        <f>RIGHT(Tabela_Base_Financeiro[[#This Row],[Manufacturer]],2)</f>
        <v/>
      </c>
      <c r="E104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45" s="122" t="e">
        <f>VLOOKUP(Tabela_Base_Financeiro[[#This Row],[Project Code]],'COD. PROJETOS'!B:D,3,0)</f>
        <v>#N/A</v>
      </c>
      <c r="G1045" s="36">
        <f>IFERROR(Tabela_Base_Financeiro[[#This Row],[PO No,]],0)</f>
        <v>0</v>
      </c>
      <c r="H1045" s="36">
        <f>IFERROR(Tabela_Base_Financeiro[[#This Row],[Line No,]],0)</f>
        <v>0</v>
      </c>
      <c r="I1045" s="36" t="str">
        <f>IFERROR(MID(Tabela_Base_Financeiro[[#This Row],[Manufacturer]],19,14),"")</f>
        <v/>
      </c>
      <c r="J1045" s="113">
        <f>IFERROR(Tabela_Base_Financeiro[[#This Row],[Item code]],0)</f>
        <v>0</v>
      </c>
      <c r="K1045" s="293">
        <f>IFERROR(Tabela_Base_Financeiro[[#This Row],[Unit Price]],0)</f>
        <v>0</v>
      </c>
      <c r="L1045" s="36">
        <f>IFERROR(Tabela_Base_Financeiro[[#This Row],[AC Qty,]],0)</f>
        <v>0</v>
      </c>
      <c r="M1045" s="60">
        <f>Tabela6[[#This Row],[Qty]]*Tabela6[[#This Row],[Preço]]</f>
        <v>0</v>
      </c>
      <c r="N1045" s="37">
        <f>IFERROR(Tabela_Base_Financeiro[[#This Row],[Proportion]],0)</f>
        <v>0</v>
      </c>
      <c r="O1045" s="60">
        <f>Tabela6[[#This Row],[Proporção]]*Tabela6[[#This Row],[Total]]</f>
        <v>0</v>
      </c>
      <c r="P1045"/>
      <c r="Q1045" s="59"/>
      <c r="R1045" s="1"/>
    </row>
    <row r="1046" spans="1:18">
      <c r="A1046" s="122" t="e">
        <f>IF(VLOOKUP(Tabela6[[#This Row],[UF]],'BASE CC'!B:C,2,0)="SP",IF(Tabela6[[#This Row],[OPERADORA]]="TIM","SP TIM","SPI"),VLOOKUP(Tabela6[[#This Row],[UF]],'BASE CC'!B:C,2,0))</f>
        <v>#N/A</v>
      </c>
      <c r="B1046" s="36" t="e">
        <f>VLOOKUP(Tabela_Base_Financeiro[[#This Row],[Item code]],'COD.FAT'!B:C,2,0)</f>
        <v>#N/A</v>
      </c>
      <c r="C1046" s="292">
        <f>Tabela_Base_Financeiro[[#This Row],[PO Ship TO]]</f>
        <v>0</v>
      </c>
      <c r="D1046" s="36" t="str">
        <f>RIGHT(Tabela_Base_Financeiro[[#This Row],[Manufacturer]],2)</f>
        <v/>
      </c>
      <c r="E104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46" s="122" t="e">
        <f>VLOOKUP(Tabela_Base_Financeiro[[#This Row],[Project Code]],'COD. PROJETOS'!B:D,3,0)</f>
        <v>#N/A</v>
      </c>
      <c r="G1046" s="36">
        <f>IFERROR(Tabela_Base_Financeiro[[#This Row],[PO No,]],0)</f>
        <v>0</v>
      </c>
      <c r="H1046" s="36">
        <f>IFERROR(Tabela_Base_Financeiro[[#This Row],[Line No,]],0)</f>
        <v>0</v>
      </c>
      <c r="I1046" s="36" t="str">
        <f>IFERROR(MID(Tabela_Base_Financeiro[[#This Row],[Manufacturer]],19,14),"")</f>
        <v/>
      </c>
      <c r="J1046" s="113">
        <f>IFERROR(Tabela_Base_Financeiro[[#This Row],[Item code]],0)</f>
        <v>0</v>
      </c>
      <c r="K1046" s="293">
        <f>IFERROR(Tabela_Base_Financeiro[[#This Row],[Unit Price]],0)</f>
        <v>0</v>
      </c>
      <c r="L1046" s="36">
        <f>IFERROR(Tabela_Base_Financeiro[[#This Row],[AC Qty,]],0)</f>
        <v>0</v>
      </c>
      <c r="M1046" s="60">
        <f>Tabela6[[#This Row],[Qty]]*Tabela6[[#This Row],[Preço]]</f>
        <v>0</v>
      </c>
      <c r="N1046" s="37">
        <f>IFERROR(Tabela_Base_Financeiro[[#This Row],[Proportion]],0)</f>
        <v>0</v>
      </c>
      <c r="O1046" s="60">
        <f>Tabela6[[#This Row],[Proporção]]*Tabela6[[#This Row],[Total]]</f>
        <v>0</v>
      </c>
      <c r="P1046"/>
      <c r="Q1046" s="59"/>
      <c r="R1046" s="1"/>
    </row>
    <row r="1047" spans="1:18">
      <c r="A1047" s="122" t="e">
        <f>IF(VLOOKUP(Tabela6[[#This Row],[UF]],'BASE CC'!B:C,2,0)="SP",IF(Tabela6[[#This Row],[OPERADORA]]="TIM","SP TIM","SPI"),VLOOKUP(Tabela6[[#This Row],[UF]],'BASE CC'!B:C,2,0))</f>
        <v>#N/A</v>
      </c>
      <c r="B1047" s="36" t="e">
        <f>VLOOKUP(Tabela_Base_Financeiro[[#This Row],[Item code]],'COD.FAT'!B:C,2,0)</f>
        <v>#N/A</v>
      </c>
      <c r="C1047" s="292">
        <f>Tabela_Base_Financeiro[[#This Row],[PO Ship TO]]</f>
        <v>0</v>
      </c>
      <c r="D1047" s="36" t="str">
        <f>RIGHT(Tabela_Base_Financeiro[[#This Row],[Manufacturer]],2)</f>
        <v/>
      </c>
      <c r="E104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47" s="122" t="e">
        <f>VLOOKUP(Tabela_Base_Financeiro[[#This Row],[Project Code]],'COD. PROJETOS'!B:D,3,0)</f>
        <v>#N/A</v>
      </c>
      <c r="G1047" s="36">
        <f>IFERROR(Tabela_Base_Financeiro[[#This Row],[PO No,]],0)</f>
        <v>0</v>
      </c>
      <c r="H1047" s="36">
        <f>IFERROR(Tabela_Base_Financeiro[[#This Row],[Line No,]],0)</f>
        <v>0</v>
      </c>
      <c r="I1047" s="36" t="str">
        <f>IFERROR(MID(Tabela_Base_Financeiro[[#This Row],[Manufacturer]],19,14),"")</f>
        <v/>
      </c>
      <c r="J1047" s="113">
        <f>IFERROR(Tabela_Base_Financeiro[[#This Row],[Item code]],0)</f>
        <v>0</v>
      </c>
      <c r="K1047" s="293">
        <f>IFERROR(Tabela_Base_Financeiro[[#This Row],[Unit Price]],0)</f>
        <v>0</v>
      </c>
      <c r="L1047" s="36">
        <f>IFERROR(Tabela_Base_Financeiro[[#This Row],[AC Qty,]],0)</f>
        <v>0</v>
      </c>
      <c r="M1047" s="60">
        <f>Tabela6[[#This Row],[Qty]]*Tabela6[[#This Row],[Preço]]</f>
        <v>0</v>
      </c>
      <c r="N1047" s="37">
        <f>IFERROR(Tabela_Base_Financeiro[[#This Row],[Proportion]],0)</f>
        <v>0</v>
      </c>
      <c r="O1047" s="60">
        <f>Tabela6[[#This Row],[Proporção]]*Tabela6[[#This Row],[Total]]</f>
        <v>0</v>
      </c>
      <c r="P1047"/>
      <c r="Q1047" s="59"/>
      <c r="R1047" s="1"/>
    </row>
    <row r="1048" spans="1:18">
      <c r="A1048" s="122" t="e">
        <f>IF(VLOOKUP(Tabela6[[#This Row],[UF]],'BASE CC'!B:C,2,0)="SP",IF(Tabela6[[#This Row],[OPERADORA]]="TIM","SP TIM","SPI"),VLOOKUP(Tabela6[[#This Row],[UF]],'BASE CC'!B:C,2,0))</f>
        <v>#N/A</v>
      </c>
      <c r="B1048" s="36" t="e">
        <f>VLOOKUP(Tabela_Base_Financeiro[[#This Row],[Item code]],'COD.FAT'!B:C,2,0)</f>
        <v>#N/A</v>
      </c>
      <c r="C1048" s="292">
        <f>Tabela_Base_Financeiro[[#This Row],[PO Ship TO]]</f>
        <v>0</v>
      </c>
      <c r="D1048" s="36" t="str">
        <f>RIGHT(Tabela_Base_Financeiro[[#This Row],[Manufacturer]],2)</f>
        <v/>
      </c>
      <c r="E104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48" s="122" t="e">
        <f>VLOOKUP(Tabela_Base_Financeiro[[#This Row],[Project Code]],'COD. PROJETOS'!B:D,3,0)</f>
        <v>#N/A</v>
      </c>
      <c r="G1048" s="36">
        <f>IFERROR(Tabela_Base_Financeiro[[#This Row],[PO No,]],0)</f>
        <v>0</v>
      </c>
      <c r="H1048" s="36">
        <f>IFERROR(Tabela_Base_Financeiro[[#This Row],[Line No,]],0)</f>
        <v>0</v>
      </c>
      <c r="I1048" s="36" t="str">
        <f>IFERROR(MID(Tabela_Base_Financeiro[[#This Row],[Manufacturer]],19,14),"")</f>
        <v/>
      </c>
      <c r="J1048" s="113">
        <f>IFERROR(Tabela_Base_Financeiro[[#This Row],[Item code]],0)</f>
        <v>0</v>
      </c>
      <c r="K1048" s="293">
        <f>IFERROR(Tabela_Base_Financeiro[[#This Row],[Unit Price]],0)</f>
        <v>0</v>
      </c>
      <c r="L1048" s="36">
        <f>IFERROR(Tabela_Base_Financeiro[[#This Row],[AC Qty,]],0)</f>
        <v>0</v>
      </c>
      <c r="M1048" s="60">
        <f>Tabela6[[#This Row],[Qty]]*Tabela6[[#This Row],[Preço]]</f>
        <v>0</v>
      </c>
      <c r="N1048" s="37">
        <f>IFERROR(Tabela_Base_Financeiro[[#This Row],[Proportion]],0)</f>
        <v>0</v>
      </c>
      <c r="O1048" s="60">
        <f>Tabela6[[#This Row],[Proporção]]*Tabela6[[#This Row],[Total]]</f>
        <v>0</v>
      </c>
      <c r="P1048"/>
      <c r="Q1048" s="59"/>
      <c r="R1048" s="1"/>
    </row>
    <row r="1049" spans="1:18">
      <c r="A1049" s="122" t="e">
        <f>IF(VLOOKUP(Tabela6[[#This Row],[UF]],'BASE CC'!B:C,2,0)="SP",IF(Tabela6[[#This Row],[OPERADORA]]="TIM","SP TIM","SPI"),VLOOKUP(Tabela6[[#This Row],[UF]],'BASE CC'!B:C,2,0))</f>
        <v>#N/A</v>
      </c>
      <c r="B1049" s="36" t="e">
        <f>VLOOKUP(Tabela_Base_Financeiro[[#This Row],[Item code]],'COD.FAT'!B:C,2,0)</f>
        <v>#N/A</v>
      </c>
      <c r="C1049" s="292">
        <f>Tabela_Base_Financeiro[[#This Row],[PO Ship TO]]</f>
        <v>0</v>
      </c>
      <c r="D1049" s="36" t="str">
        <f>RIGHT(Tabela_Base_Financeiro[[#This Row],[Manufacturer]],2)</f>
        <v/>
      </c>
      <c r="E104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49" s="122" t="e">
        <f>VLOOKUP(Tabela_Base_Financeiro[[#This Row],[Project Code]],'COD. PROJETOS'!B:D,3,0)</f>
        <v>#N/A</v>
      </c>
      <c r="G1049" s="36">
        <f>IFERROR(Tabela_Base_Financeiro[[#This Row],[PO No,]],0)</f>
        <v>0</v>
      </c>
      <c r="H1049" s="36">
        <f>IFERROR(Tabela_Base_Financeiro[[#This Row],[Line No,]],0)</f>
        <v>0</v>
      </c>
      <c r="I1049" s="36" t="str">
        <f>IFERROR(MID(Tabela_Base_Financeiro[[#This Row],[Manufacturer]],19,14),"")</f>
        <v/>
      </c>
      <c r="J1049" s="113">
        <f>IFERROR(Tabela_Base_Financeiro[[#This Row],[Item code]],0)</f>
        <v>0</v>
      </c>
      <c r="K1049" s="293">
        <f>IFERROR(Tabela_Base_Financeiro[[#This Row],[Unit Price]],0)</f>
        <v>0</v>
      </c>
      <c r="L1049" s="36">
        <f>IFERROR(Tabela_Base_Financeiro[[#This Row],[AC Qty,]],0)</f>
        <v>0</v>
      </c>
      <c r="M1049" s="60">
        <f>Tabela6[[#This Row],[Qty]]*Tabela6[[#This Row],[Preço]]</f>
        <v>0</v>
      </c>
      <c r="N1049" s="37">
        <f>IFERROR(Tabela_Base_Financeiro[[#This Row],[Proportion]],0)</f>
        <v>0</v>
      </c>
      <c r="O1049" s="60">
        <f>Tabela6[[#This Row],[Proporção]]*Tabela6[[#This Row],[Total]]</f>
        <v>0</v>
      </c>
      <c r="P1049"/>
      <c r="Q1049" s="59"/>
      <c r="R1049" s="1"/>
    </row>
    <row r="1050" spans="1:18">
      <c r="A1050" s="122" t="e">
        <f>IF(VLOOKUP(Tabela6[[#This Row],[UF]],'BASE CC'!B:C,2,0)="SP",IF(Tabela6[[#This Row],[OPERADORA]]="TIM","SP TIM","SPI"),VLOOKUP(Tabela6[[#This Row],[UF]],'BASE CC'!B:C,2,0))</f>
        <v>#N/A</v>
      </c>
      <c r="B1050" s="36" t="e">
        <f>VLOOKUP(Tabela_Base_Financeiro[[#This Row],[Item code]],'COD.FAT'!B:C,2,0)</f>
        <v>#N/A</v>
      </c>
      <c r="C1050" s="292">
        <f>Tabela_Base_Financeiro[[#This Row],[PO Ship TO]]</f>
        <v>0</v>
      </c>
      <c r="D1050" s="36" t="str">
        <f>RIGHT(Tabela_Base_Financeiro[[#This Row],[Manufacturer]],2)</f>
        <v/>
      </c>
      <c r="E105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50" s="122" t="e">
        <f>VLOOKUP(Tabela_Base_Financeiro[[#This Row],[Project Code]],'COD. PROJETOS'!B:D,3,0)</f>
        <v>#N/A</v>
      </c>
      <c r="G1050" s="36">
        <f>IFERROR(Tabela_Base_Financeiro[[#This Row],[PO No,]],0)</f>
        <v>0</v>
      </c>
      <c r="H1050" s="36">
        <f>IFERROR(Tabela_Base_Financeiro[[#This Row],[Line No,]],0)</f>
        <v>0</v>
      </c>
      <c r="I1050" s="36" t="str">
        <f>IFERROR(MID(Tabela_Base_Financeiro[[#This Row],[Manufacturer]],19,14),"")</f>
        <v/>
      </c>
      <c r="J1050" s="113">
        <f>IFERROR(Tabela_Base_Financeiro[[#This Row],[Item code]],0)</f>
        <v>0</v>
      </c>
      <c r="K1050" s="293">
        <f>IFERROR(Tabela_Base_Financeiro[[#This Row],[Unit Price]],0)</f>
        <v>0</v>
      </c>
      <c r="L1050" s="36">
        <f>IFERROR(Tabela_Base_Financeiro[[#This Row],[AC Qty,]],0)</f>
        <v>0</v>
      </c>
      <c r="M1050" s="60">
        <f>Tabela6[[#This Row],[Qty]]*Tabela6[[#This Row],[Preço]]</f>
        <v>0</v>
      </c>
      <c r="N1050" s="37">
        <f>IFERROR(Tabela_Base_Financeiro[[#This Row],[Proportion]],0)</f>
        <v>0</v>
      </c>
      <c r="O1050" s="60">
        <f>Tabela6[[#This Row],[Proporção]]*Tabela6[[#This Row],[Total]]</f>
        <v>0</v>
      </c>
      <c r="P1050"/>
      <c r="Q1050" s="59"/>
      <c r="R1050" s="1"/>
    </row>
    <row r="1051" spans="1:18">
      <c r="A1051" s="122" t="e">
        <f>IF(VLOOKUP(Tabela6[[#This Row],[UF]],'BASE CC'!B:C,2,0)="SP",IF(Tabela6[[#This Row],[OPERADORA]]="TIM","SP TIM","SPI"),VLOOKUP(Tabela6[[#This Row],[UF]],'BASE CC'!B:C,2,0))</f>
        <v>#N/A</v>
      </c>
      <c r="B1051" s="36" t="e">
        <f>VLOOKUP(Tabela_Base_Financeiro[[#This Row],[Item code]],'COD.FAT'!B:C,2,0)</f>
        <v>#N/A</v>
      </c>
      <c r="C1051" s="292">
        <f>Tabela_Base_Financeiro[[#This Row],[PO Ship TO]]</f>
        <v>0</v>
      </c>
      <c r="D1051" s="36" t="str">
        <f>RIGHT(Tabela_Base_Financeiro[[#This Row],[Manufacturer]],2)</f>
        <v/>
      </c>
      <c r="E105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51" s="122" t="e">
        <f>VLOOKUP(Tabela_Base_Financeiro[[#This Row],[Project Code]],'COD. PROJETOS'!B:D,3,0)</f>
        <v>#N/A</v>
      </c>
      <c r="G1051" s="36">
        <f>IFERROR(Tabela_Base_Financeiro[[#This Row],[PO No,]],0)</f>
        <v>0</v>
      </c>
      <c r="H1051" s="36">
        <f>IFERROR(Tabela_Base_Financeiro[[#This Row],[Line No,]],0)</f>
        <v>0</v>
      </c>
      <c r="I1051" s="36" t="str">
        <f>IFERROR(MID(Tabela_Base_Financeiro[[#This Row],[Manufacturer]],19,14),"")</f>
        <v/>
      </c>
      <c r="J1051" s="113">
        <f>IFERROR(Tabela_Base_Financeiro[[#This Row],[Item code]],0)</f>
        <v>0</v>
      </c>
      <c r="K1051" s="293">
        <f>IFERROR(Tabela_Base_Financeiro[[#This Row],[Unit Price]],0)</f>
        <v>0</v>
      </c>
      <c r="L1051" s="36">
        <f>IFERROR(Tabela_Base_Financeiro[[#This Row],[AC Qty,]],0)</f>
        <v>0</v>
      </c>
      <c r="M1051" s="60">
        <f>Tabela6[[#This Row],[Qty]]*Tabela6[[#This Row],[Preço]]</f>
        <v>0</v>
      </c>
      <c r="N1051" s="37">
        <f>IFERROR(Tabela_Base_Financeiro[[#This Row],[Proportion]],0)</f>
        <v>0</v>
      </c>
      <c r="O1051" s="60">
        <f>Tabela6[[#This Row],[Proporção]]*Tabela6[[#This Row],[Total]]</f>
        <v>0</v>
      </c>
      <c r="P1051"/>
      <c r="Q1051" s="59"/>
      <c r="R1051" s="1"/>
    </row>
    <row r="1052" spans="1:18">
      <c r="A1052" s="122" t="e">
        <f>IF(VLOOKUP(Tabela6[[#This Row],[UF]],'BASE CC'!B:C,2,0)="SP",IF(Tabela6[[#This Row],[OPERADORA]]="TIM","SP TIM","SPI"),VLOOKUP(Tabela6[[#This Row],[UF]],'BASE CC'!B:C,2,0))</f>
        <v>#N/A</v>
      </c>
      <c r="B1052" s="36" t="e">
        <f>VLOOKUP(Tabela_Base_Financeiro[[#This Row],[Item code]],'COD.FAT'!B:C,2,0)</f>
        <v>#N/A</v>
      </c>
      <c r="C1052" s="292">
        <f>Tabela_Base_Financeiro[[#This Row],[PO Ship TO]]</f>
        <v>0</v>
      </c>
      <c r="D1052" s="36" t="str">
        <f>RIGHT(Tabela_Base_Financeiro[[#This Row],[Manufacturer]],2)</f>
        <v/>
      </c>
      <c r="E105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52" s="122" t="e">
        <f>VLOOKUP(Tabela_Base_Financeiro[[#This Row],[Project Code]],'COD. PROJETOS'!B:D,3,0)</f>
        <v>#N/A</v>
      </c>
      <c r="G1052" s="36">
        <f>IFERROR(Tabela_Base_Financeiro[[#This Row],[PO No,]],0)</f>
        <v>0</v>
      </c>
      <c r="H1052" s="36">
        <f>IFERROR(Tabela_Base_Financeiro[[#This Row],[Line No,]],0)</f>
        <v>0</v>
      </c>
      <c r="I1052" s="36" t="str">
        <f>IFERROR(MID(Tabela_Base_Financeiro[[#This Row],[Manufacturer]],19,14),"")</f>
        <v/>
      </c>
      <c r="J1052" s="113">
        <f>IFERROR(Tabela_Base_Financeiro[[#This Row],[Item code]],0)</f>
        <v>0</v>
      </c>
      <c r="K1052" s="293">
        <f>IFERROR(Tabela_Base_Financeiro[[#This Row],[Unit Price]],0)</f>
        <v>0</v>
      </c>
      <c r="L1052" s="36">
        <f>IFERROR(Tabela_Base_Financeiro[[#This Row],[AC Qty,]],0)</f>
        <v>0</v>
      </c>
      <c r="M1052" s="60">
        <f>Tabela6[[#This Row],[Qty]]*Tabela6[[#This Row],[Preço]]</f>
        <v>0</v>
      </c>
      <c r="N1052" s="37">
        <f>IFERROR(Tabela_Base_Financeiro[[#This Row],[Proportion]],0)</f>
        <v>0</v>
      </c>
      <c r="O1052" s="60">
        <f>Tabela6[[#This Row],[Proporção]]*Tabela6[[#This Row],[Total]]</f>
        <v>0</v>
      </c>
      <c r="P1052"/>
      <c r="Q1052" s="59"/>
      <c r="R1052" s="1"/>
    </row>
    <row r="1053" spans="1:18">
      <c r="A1053" s="122" t="e">
        <f>IF(VLOOKUP(Tabela6[[#This Row],[UF]],'BASE CC'!B:C,2,0)="SP",IF(Tabela6[[#This Row],[OPERADORA]]="TIM","SP TIM","SPI"),VLOOKUP(Tabela6[[#This Row],[UF]],'BASE CC'!B:C,2,0))</f>
        <v>#N/A</v>
      </c>
      <c r="B1053" s="36" t="e">
        <f>VLOOKUP(Tabela_Base_Financeiro[[#This Row],[Item code]],'COD.FAT'!B:C,2,0)</f>
        <v>#N/A</v>
      </c>
      <c r="C1053" s="292">
        <f>Tabela_Base_Financeiro[[#This Row],[PO Ship TO]]</f>
        <v>0</v>
      </c>
      <c r="D1053" s="36" t="str">
        <f>RIGHT(Tabela_Base_Financeiro[[#This Row],[Manufacturer]],2)</f>
        <v/>
      </c>
      <c r="E105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53" s="122" t="e">
        <f>VLOOKUP(Tabela_Base_Financeiro[[#This Row],[Project Code]],'COD. PROJETOS'!B:D,3,0)</f>
        <v>#N/A</v>
      </c>
      <c r="G1053" s="36">
        <f>IFERROR(Tabela_Base_Financeiro[[#This Row],[PO No,]],0)</f>
        <v>0</v>
      </c>
      <c r="H1053" s="36">
        <f>IFERROR(Tabela_Base_Financeiro[[#This Row],[Line No,]],0)</f>
        <v>0</v>
      </c>
      <c r="I1053" s="36" t="str">
        <f>IFERROR(MID(Tabela_Base_Financeiro[[#This Row],[Manufacturer]],19,14),"")</f>
        <v/>
      </c>
      <c r="J1053" s="113">
        <f>IFERROR(Tabela_Base_Financeiro[[#This Row],[Item code]],0)</f>
        <v>0</v>
      </c>
      <c r="K1053" s="293">
        <f>IFERROR(Tabela_Base_Financeiro[[#This Row],[Unit Price]],0)</f>
        <v>0</v>
      </c>
      <c r="L1053" s="36">
        <f>IFERROR(Tabela_Base_Financeiro[[#This Row],[AC Qty,]],0)</f>
        <v>0</v>
      </c>
      <c r="M1053" s="60">
        <f>Tabela6[[#This Row],[Qty]]*Tabela6[[#This Row],[Preço]]</f>
        <v>0</v>
      </c>
      <c r="N1053" s="37">
        <f>IFERROR(Tabela_Base_Financeiro[[#This Row],[Proportion]],0)</f>
        <v>0</v>
      </c>
      <c r="O1053" s="60">
        <f>Tabela6[[#This Row],[Proporção]]*Tabela6[[#This Row],[Total]]</f>
        <v>0</v>
      </c>
      <c r="P1053"/>
      <c r="Q1053" s="59"/>
      <c r="R1053" s="1"/>
    </row>
    <row r="1054" spans="1:18">
      <c r="A1054" s="122" t="e">
        <f>IF(VLOOKUP(Tabela6[[#This Row],[UF]],'BASE CC'!B:C,2,0)="SP",IF(Tabela6[[#This Row],[OPERADORA]]="TIM","SP TIM","SPI"),VLOOKUP(Tabela6[[#This Row],[UF]],'BASE CC'!B:C,2,0))</f>
        <v>#N/A</v>
      </c>
      <c r="B1054" s="36" t="e">
        <f>VLOOKUP(Tabela_Base_Financeiro[[#This Row],[Item code]],'COD.FAT'!B:C,2,0)</f>
        <v>#N/A</v>
      </c>
      <c r="C1054" s="292">
        <f>Tabela_Base_Financeiro[[#This Row],[PO Ship TO]]</f>
        <v>0</v>
      </c>
      <c r="D1054" s="36" t="str">
        <f>RIGHT(Tabela_Base_Financeiro[[#This Row],[Manufacturer]],2)</f>
        <v/>
      </c>
      <c r="E105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54" s="122" t="e">
        <f>VLOOKUP(Tabela_Base_Financeiro[[#This Row],[Project Code]],'COD. PROJETOS'!B:D,3,0)</f>
        <v>#N/A</v>
      </c>
      <c r="G1054" s="36">
        <f>IFERROR(Tabela_Base_Financeiro[[#This Row],[PO No,]],0)</f>
        <v>0</v>
      </c>
      <c r="H1054" s="36">
        <f>IFERROR(Tabela_Base_Financeiro[[#This Row],[Line No,]],0)</f>
        <v>0</v>
      </c>
      <c r="I1054" s="36" t="str">
        <f>IFERROR(MID(Tabela_Base_Financeiro[[#This Row],[Manufacturer]],19,14),"")</f>
        <v/>
      </c>
      <c r="J1054" s="113">
        <f>IFERROR(Tabela_Base_Financeiro[[#This Row],[Item code]],0)</f>
        <v>0</v>
      </c>
      <c r="K1054" s="293">
        <f>IFERROR(Tabela_Base_Financeiro[[#This Row],[Unit Price]],0)</f>
        <v>0</v>
      </c>
      <c r="L1054" s="36">
        <f>IFERROR(Tabela_Base_Financeiro[[#This Row],[AC Qty,]],0)</f>
        <v>0</v>
      </c>
      <c r="M1054" s="60">
        <f>Tabela6[[#This Row],[Qty]]*Tabela6[[#This Row],[Preço]]</f>
        <v>0</v>
      </c>
      <c r="N1054" s="37">
        <f>IFERROR(Tabela_Base_Financeiro[[#This Row],[Proportion]],0)</f>
        <v>0</v>
      </c>
      <c r="O1054" s="60">
        <f>Tabela6[[#This Row],[Proporção]]*Tabela6[[#This Row],[Total]]</f>
        <v>0</v>
      </c>
      <c r="P1054"/>
      <c r="Q1054" s="59"/>
      <c r="R1054" s="1"/>
    </row>
    <row r="1055" spans="1:18">
      <c r="A1055" s="122" t="e">
        <f>IF(VLOOKUP(Tabela6[[#This Row],[UF]],'BASE CC'!B:C,2,0)="SP",IF(Tabela6[[#This Row],[OPERADORA]]="TIM","SP TIM","SPI"),VLOOKUP(Tabela6[[#This Row],[UF]],'BASE CC'!B:C,2,0))</f>
        <v>#N/A</v>
      </c>
      <c r="B1055" s="36" t="e">
        <f>VLOOKUP(Tabela_Base_Financeiro[[#This Row],[Item code]],'COD.FAT'!B:C,2,0)</f>
        <v>#N/A</v>
      </c>
      <c r="C1055" s="292">
        <f>Tabela_Base_Financeiro[[#This Row],[PO Ship TO]]</f>
        <v>0</v>
      </c>
      <c r="D1055" s="36" t="str">
        <f>RIGHT(Tabela_Base_Financeiro[[#This Row],[Manufacturer]],2)</f>
        <v/>
      </c>
      <c r="E105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55" s="122" t="e">
        <f>VLOOKUP(Tabela_Base_Financeiro[[#This Row],[Project Code]],'COD. PROJETOS'!B:D,3,0)</f>
        <v>#N/A</v>
      </c>
      <c r="G1055" s="36">
        <f>IFERROR(Tabela_Base_Financeiro[[#This Row],[PO No,]],0)</f>
        <v>0</v>
      </c>
      <c r="H1055" s="36">
        <f>IFERROR(Tabela_Base_Financeiro[[#This Row],[Line No,]],0)</f>
        <v>0</v>
      </c>
      <c r="I1055" s="36" t="str">
        <f>IFERROR(MID(Tabela_Base_Financeiro[[#This Row],[Manufacturer]],19,14),"")</f>
        <v/>
      </c>
      <c r="J1055" s="113">
        <f>IFERROR(Tabela_Base_Financeiro[[#This Row],[Item code]],0)</f>
        <v>0</v>
      </c>
      <c r="K1055" s="293">
        <f>IFERROR(Tabela_Base_Financeiro[[#This Row],[Unit Price]],0)</f>
        <v>0</v>
      </c>
      <c r="L1055" s="36">
        <f>IFERROR(Tabela_Base_Financeiro[[#This Row],[AC Qty,]],0)</f>
        <v>0</v>
      </c>
      <c r="M1055" s="60">
        <f>Tabela6[[#This Row],[Qty]]*Tabela6[[#This Row],[Preço]]</f>
        <v>0</v>
      </c>
      <c r="N1055" s="37">
        <f>IFERROR(Tabela_Base_Financeiro[[#This Row],[Proportion]],0)</f>
        <v>0</v>
      </c>
      <c r="O1055" s="60">
        <f>Tabela6[[#This Row],[Proporção]]*Tabela6[[#This Row],[Total]]</f>
        <v>0</v>
      </c>
      <c r="P1055"/>
      <c r="Q1055" s="59"/>
      <c r="R1055" s="1"/>
    </row>
    <row r="1056" spans="1:18">
      <c r="A1056" s="122" t="e">
        <f>IF(VLOOKUP(Tabela6[[#This Row],[UF]],'BASE CC'!B:C,2,0)="SP",IF(Tabela6[[#This Row],[OPERADORA]]="TIM","SP TIM","SPI"),VLOOKUP(Tabela6[[#This Row],[UF]],'BASE CC'!B:C,2,0))</f>
        <v>#N/A</v>
      </c>
      <c r="B1056" s="36" t="e">
        <f>VLOOKUP(Tabela_Base_Financeiro[[#This Row],[Item code]],'COD.FAT'!B:C,2,0)</f>
        <v>#N/A</v>
      </c>
      <c r="C1056" s="292">
        <f>Tabela_Base_Financeiro[[#This Row],[PO Ship TO]]</f>
        <v>0</v>
      </c>
      <c r="D1056" s="36" t="str">
        <f>RIGHT(Tabela_Base_Financeiro[[#This Row],[Manufacturer]],2)</f>
        <v/>
      </c>
      <c r="E105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56" s="122" t="e">
        <f>VLOOKUP(Tabela_Base_Financeiro[[#This Row],[Project Code]],'COD. PROJETOS'!B:D,3,0)</f>
        <v>#N/A</v>
      </c>
      <c r="G1056" s="36">
        <f>IFERROR(Tabela_Base_Financeiro[[#This Row],[PO No,]],0)</f>
        <v>0</v>
      </c>
      <c r="H1056" s="36">
        <f>IFERROR(Tabela_Base_Financeiro[[#This Row],[Line No,]],0)</f>
        <v>0</v>
      </c>
      <c r="I1056" s="36" t="str">
        <f>IFERROR(MID(Tabela_Base_Financeiro[[#This Row],[Manufacturer]],19,14),"")</f>
        <v/>
      </c>
      <c r="J1056" s="113">
        <f>IFERROR(Tabela_Base_Financeiro[[#This Row],[Item code]],0)</f>
        <v>0</v>
      </c>
      <c r="K1056" s="293">
        <f>IFERROR(Tabela_Base_Financeiro[[#This Row],[Unit Price]],0)</f>
        <v>0</v>
      </c>
      <c r="L1056" s="36">
        <f>IFERROR(Tabela_Base_Financeiro[[#This Row],[AC Qty,]],0)</f>
        <v>0</v>
      </c>
      <c r="M1056" s="60">
        <f>Tabela6[[#This Row],[Qty]]*Tabela6[[#This Row],[Preço]]</f>
        <v>0</v>
      </c>
      <c r="N1056" s="37">
        <f>IFERROR(Tabela_Base_Financeiro[[#This Row],[Proportion]],0)</f>
        <v>0</v>
      </c>
      <c r="O1056" s="60">
        <f>Tabela6[[#This Row],[Proporção]]*Tabela6[[#This Row],[Total]]</f>
        <v>0</v>
      </c>
      <c r="P1056"/>
      <c r="Q1056" s="59"/>
      <c r="R1056" s="1"/>
    </row>
    <row r="1057" spans="1:18">
      <c r="A1057" s="122" t="e">
        <f>IF(VLOOKUP(Tabela6[[#This Row],[UF]],'BASE CC'!B:C,2,0)="SP",IF(Tabela6[[#This Row],[OPERADORA]]="TIM","SP TIM","SPI"),VLOOKUP(Tabela6[[#This Row],[UF]],'BASE CC'!B:C,2,0))</f>
        <v>#N/A</v>
      </c>
      <c r="B1057" s="36" t="e">
        <f>VLOOKUP(Tabela_Base_Financeiro[[#This Row],[Item code]],'COD.FAT'!B:C,2,0)</f>
        <v>#N/A</v>
      </c>
      <c r="C1057" s="292">
        <f>Tabela_Base_Financeiro[[#This Row],[PO Ship TO]]</f>
        <v>0</v>
      </c>
      <c r="D1057" s="36" t="str">
        <f>RIGHT(Tabela_Base_Financeiro[[#This Row],[Manufacturer]],2)</f>
        <v/>
      </c>
      <c r="E105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57" s="122" t="e">
        <f>VLOOKUP(Tabela_Base_Financeiro[[#This Row],[Project Code]],'COD. PROJETOS'!B:D,3,0)</f>
        <v>#N/A</v>
      </c>
      <c r="G1057" s="36">
        <f>IFERROR(Tabela_Base_Financeiro[[#This Row],[PO No,]],0)</f>
        <v>0</v>
      </c>
      <c r="H1057" s="36">
        <f>IFERROR(Tabela_Base_Financeiro[[#This Row],[Line No,]],0)</f>
        <v>0</v>
      </c>
      <c r="I1057" s="36" t="str">
        <f>IFERROR(MID(Tabela_Base_Financeiro[[#This Row],[Manufacturer]],19,14),"")</f>
        <v/>
      </c>
      <c r="J1057" s="113">
        <f>IFERROR(Tabela_Base_Financeiro[[#This Row],[Item code]],0)</f>
        <v>0</v>
      </c>
      <c r="K1057" s="293">
        <f>IFERROR(Tabela_Base_Financeiro[[#This Row],[Unit Price]],0)</f>
        <v>0</v>
      </c>
      <c r="L1057" s="36">
        <f>IFERROR(Tabela_Base_Financeiro[[#This Row],[AC Qty,]],0)</f>
        <v>0</v>
      </c>
      <c r="M1057" s="60">
        <f>Tabela6[[#This Row],[Qty]]*Tabela6[[#This Row],[Preço]]</f>
        <v>0</v>
      </c>
      <c r="N1057" s="37">
        <f>IFERROR(Tabela_Base_Financeiro[[#This Row],[Proportion]],0)</f>
        <v>0</v>
      </c>
      <c r="O1057" s="60">
        <f>Tabela6[[#This Row],[Proporção]]*Tabela6[[#This Row],[Total]]</f>
        <v>0</v>
      </c>
      <c r="P1057"/>
      <c r="Q1057" s="59"/>
      <c r="R1057" s="1"/>
    </row>
    <row r="1058" spans="1:18">
      <c r="A1058" s="122" t="e">
        <f>IF(VLOOKUP(Tabela6[[#This Row],[UF]],'BASE CC'!B:C,2,0)="SP",IF(Tabela6[[#This Row],[OPERADORA]]="TIM","SP TIM","SPI"),VLOOKUP(Tabela6[[#This Row],[UF]],'BASE CC'!B:C,2,0))</f>
        <v>#N/A</v>
      </c>
      <c r="B1058" s="36" t="e">
        <f>VLOOKUP(Tabela_Base_Financeiro[[#This Row],[Item code]],'COD.FAT'!B:C,2,0)</f>
        <v>#N/A</v>
      </c>
      <c r="C1058" s="292">
        <f>Tabela_Base_Financeiro[[#This Row],[PO Ship TO]]</f>
        <v>0</v>
      </c>
      <c r="D1058" s="36" t="str">
        <f>RIGHT(Tabela_Base_Financeiro[[#This Row],[Manufacturer]],2)</f>
        <v/>
      </c>
      <c r="E105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58" s="122" t="e">
        <f>VLOOKUP(Tabela_Base_Financeiro[[#This Row],[Project Code]],'COD. PROJETOS'!B:D,3,0)</f>
        <v>#N/A</v>
      </c>
      <c r="G1058" s="36">
        <f>IFERROR(Tabela_Base_Financeiro[[#This Row],[PO No,]],0)</f>
        <v>0</v>
      </c>
      <c r="H1058" s="36">
        <f>IFERROR(Tabela_Base_Financeiro[[#This Row],[Line No,]],0)</f>
        <v>0</v>
      </c>
      <c r="I1058" s="36" t="str">
        <f>IFERROR(MID(Tabela_Base_Financeiro[[#This Row],[Manufacturer]],19,14),"")</f>
        <v/>
      </c>
      <c r="J1058" s="113">
        <f>IFERROR(Tabela_Base_Financeiro[[#This Row],[Item code]],0)</f>
        <v>0</v>
      </c>
      <c r="K1058" s="293">
        <f>IFERROR(Tabela_Base_Financeiro[[#This Row],[Unit Price]],0)</f>
        <v>0</v>
      </c>
      <c r="L1058" s="36">
        <f>IFERROR(Tabela_Base_Financeiro[[#This Row],[AC Qty,]],0)</f>
        <v>0</v>
      </c>
      <c r="M1058" s="60">
        <f>Tabela6[[#This Row],[Qty]]*Tabela6[[#This Row],[Preço]]</f>
        <v>0</v>
      </c>
      <c r="N1058" s="37">
        <f>IFERROR(Tabela_Base_Financeiro[[#This Row],[Proportion]],0)</f>
        <v>0</v>
      </c>
      <c r="O1058" s="60">
        <f>Tabela6[[#This Row],[Proporção]]*Tabela6[[#This Row],[Total]]</f>
        <v>0</v>
      </c>
      <c r="P1058"/>
      <c r="Q1058" s="59"/>
      <c r="R1058" s="1"/>
    </row>
    <row r="1059" spans="1:18">
      <c r="A1059" s="122" t="e">
        <f>IF(VLOOKUP(Tabela6[[#This Row],[UF]],'BASE CC'!B:C,2,0)="SP",IF(Tabela6[[#This Row],[OPERADORA]]="TIM","SP TIM","SPI"),VLOOKUP(Tabela6[[#This Row],[UF]],'BASE CC'!B:C,2,0))</f>
        <v>#N/A</v>
      </c>
      <c r="B1059" s="36" t="e">
        <f>VLOOKUP(Tabela_Base_Financeiro[[#This Row],[Item code]],'COD.FAT'!B:C,2,0)</f>
        <v>#N/A</v>
      </c>
      <c r="C1059" s="292">
        <f>Tabela_Base_Financeiro[[#This Row],[PO Ship TO]]</f>
        <v>0</v>
      </c>
      <c r="D1059" s="36" t="str">
        <f>RIGHT(Tabela_Base_Financeiro[[#This Row],[Manufacturer]],2)</f>
        <v/>
      </c>
      <c r="E105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59" s="122" t="e">
        <f>VLOOKUP(Tabela_Base_Financeiro[[#This Row],[Project Code]],'COD. PROJETOS'!B:D,3,0)</f>
        <v>#N/A</v>
      </c>
      <c r="G1059" s="36">
        <f>IFERROR(Tabela_Base_Financeiro[[#This Row],[PO No,]],0)</f>
        <v>0</v>
      </c>
      <c r="H1059" s="36">
        <f>IFERROR(Tabela_Base_Financeiro[[#This Row],[Line No,]],0)</f>
        <v>0</v>
      </c>
      <c r="I1059" s="36" t="str">
        <f>IFERROR(MID(Tabela_Base_Financeiro[[#This Row],[Manufacturer]],19,14),"")</f>
        <v/>
      </c>
      <c r="J1059" s="113">
        <f>IFERROR(Tabela_Base_Financeiro[[#This Row],[Item code]],0)</f>
        <v>0</v>
      </c>
      <c r="K1059" s="293">
        <f>IFERROR(Tabela_Base_Financeiro[[#This Row],[Unit Price]],0)</f>
        <v>0</v>
      </c>
      <c r="L1059" s="36">
        <f>IFERROR(Tabela_Base_Financeiro[[#This Row],[AC Qty,]],0)</f>
        <v>0</v>
      </c>
      <c r="M1059" s="60">
        <f>Tabela6[[#This Row],[Qty]]*Tabela6[[#This Row],[Preço]]</f>
        <v>0</v>
      </c>
      <c r="N1059" s="37">
        <f>IFERROR(Tabela_Base_Financeiro[[#This Row],[Proportion]],0)</f>
        <v>0</v>
      </c>
      <c r="O1059" s="60">
        <f>Tabela6[[#This Row],[Proporção]]*Tabela6[[#This Row],[Total]]</f>
        <v>0</v>
      </c>
      <c r="P1059"/>
      <c r="Q1059" s="59"/>
      <c r="R1059" s="1"/>
    </row>
    <row r="1060" spans="1:18">
      <c r="A1060" s="122" t="e">
        <f>IF(VLOOKUP(Tabela6[[#This Row],[UF]],'BASE CC'!B:C,2,0)="SP",IF(Tabela6[[#This Row],[OPERADORA]]="TIM","SP TIM","SPI"),VLOOKUP(Tabela6[[#This Row],[UF]],'BASE CC'!B:C,2,0))</f>
        <v>#N/A</v>
      </c>
      <c r="B1060" s="36" t="e">
        <f>VLOOKUP(Tabela_Base_Financeiro[[#This Row],[Item code]],'COD.FAT'!B:C,2,0)</f>
        <v>#N/A</v>
      </c>
      <c r="C1060" s="292">
        <f>Tabela_Base_Financeiro[[#This Row],[PO Ship TO]]</f>
        <v>0</v>
      </c>
      <c r="D1060" s="36" t="str">
        <f>RIGHT(Tabela_Base_Financeiro[[#This Row],[Manufacturer]],2)</f>
        <v/>
      </c>
      <c r="E106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60" s="122" t="e">
        <f>VLOOKUP(Tabela_Base_Financeiro[[#This Row],[Project Code]],'COD. PROJETOS'!B:D,3,0)</f>
        <v>#N/A</v>
      </c>
      <c r="G1060" s="36">
        <f>IFERROR(Tabela_Base_Financeiro[[#This Row],[PO No,]],0)</f>
        <v>0</v>
      </c>
      <c r="H1060" s="36">
        <f>IFERROR(Tabela_Base_Financeiro[[#This Row],[Line No,]],0)</f>
        <v>0</v>
      </c>
      <c r="I1060" s="36" t="str">
        <f>IFERROR(MID(Tabela_Base_Financeiro[[#This Row],[Manufacturer]],19,14),"")</f>
        <v/>
      </c>
      <c r="J1060" s="113">
        <f>IFERROR(Tabela_Base_Financeiro[[#This Row],[Item code]],0)</f>
        <v>0</v>
      </c>
      <c r="K1060" s="293">
        <f>IFERROR(Tabela_Base_Financeiro[[#This Row],[Unit Price]],0)</f>
        <v>0</v>
      </c>
      <c r="L1060" s="36">
        <f>IFERROR(Tabela_Base_Financeiro[[#This Row],[AC Qty,]],0)</f>
        <v>0</v>
      </c>
      <c r="M1060" s="60">
        <f>Tabela6[[#This Row],[Qty]]*Tabela6[[#This Row],[Preço]]</f>
        <v>0</v>
      </c>
      <c r="N1060" s="37">
        <f>IFERROR(Tabela_Base_Financeiro[[#This Row],[Proportion]],0)</f>
        <v>0</v>
      </c>
      <c r="O1060" s="60">
        <f>Tabela6[[#This Row],[Proporção]]*Tabela6[[#This Row],[Total]]</f>
        <v>0</v>
      </c>
      <c r="P1060"/>
      <c r="Q1060" s="59"/>
      <c r="R1060" s="1"/>
    </row>
    <row r="1061" spans="1:18">
      <c r="A1061" s="122" t="e">
        <f>IF(VLOOKUP(Tabela6[[#This Row],[UF]],'BASE CC'!B:C,2,0)="SP",IF(Tabela6[[#This Row],[OPERADORA]]="TIM","SP TIM","SPI"),VLOOKUP(Tabela6[[#This Row],[UF]],'BASE CC'!B:C,2,0))</f>
        <v>#N/A</v>
      </c>
      <c r="B1061" s="36" t="e">
        <f>VLOOKUP(Tabela_Base_Financeiro[[#This Row],[Item code]],'COD.FAT'!B:C,2,0)</f>
        <v>#N/A</v>
      </c>
      <c r="C1061" s="292">
        <f>Tabela_Base_Financeiro[[#This Row],[PO Ship TO]]</f>
        <v>0</v>
      </c>
      <c r="D1061" s="36" t="str">
        <f>RIGHT(Tabela_Base_Financeiro[[#This Row],[Manufacturer]],2)</f>
        <v/>
      </c>
      <c r="E106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61" s="122" t="e">
        <f>VLOOKUP(Tabela_Base_Financeiro[[#This Row],[Project Code]],'COD. PROJETOS'!B:D,3,0)</f>
        <v>#N/A</v>
      </c>
      <c r="G1061" s="36">
        <f>IFERROR(Tabela_Base_Financeiro[[#This Row],[PO No,]],0)</f>
        <v>0</v>
      </c>
      <c r="H1061" s="36">
        <f>IFERROR(Tabela_Base_Financeiro[[#This Row],[Line No,]],0)</f>
        <v>0</v>
      </c>
      <c r="I1061" s="36" t="str">
        <f>IFERROR(MID(Tabela_Base_Financeiro[[#This Row],[Manufacturer]],19,14),"")</f>
        <v/>
      </c>
      <c r="J1061" s="113">
        <f>IFERROR(Tabela_Base_Financeiro[[#This Row],[Item code]],0)</f>
        <v>0</v>
      </c>
      <c r="K1061" s="293">
        <f>IFERROR(Tabela_Base_Financeiro[[#This Row],[Unit Price]],0)</f>
        <v>0</v>
      </c>
      <c r="L1061" s="36">
        <f>IFERROR(Tabela_Base_Financeiro[[#This Row],[AC Qty,]],0)</f>
        <v>0</v>
      </c>
      <c r="M1061" s="60">
        <f>Tabela6[[#This Row],[Qty]]*Tabela6[[#This Row],[Preço]]</f>
        <v>0</v>
      </c>
      <c r="N1061" s="37">
        <f>IFERROR(Tabela_Base_Financeiro[[#This Row],[Proportion]],0)</f>
        <v>0</v>
      </c>
      <c r="O1061" s="60">
        <f>Tabela6[[#This Row],[Proporção]]*Tabela6[[#This Row],[Total]]</f>
        <v>0</v>
      </c>
      <c r="P1061"/>
      <c r="Q1061" s="59"/>
      <c r="R1061" s="1"/>
    </row>
    <row r="1062" spans="1:18">
      <c r="A1062" s="122" t="e">
        <f>IF(VLOOKUP(Tabela6[[#This Row],[UF]],'BASE CC'!B:C,2,0)="SP",IF(Tabela6[[#This Row],[OPERADORA]]="TIM","SP TIM","SPI"),VLOOKUP(Tabela6[[#This Row],[UF]],'BASE CC'!B:C,2,0))</f>
        <v>#N/A</v>
      </c>
      <c r="B1062" s="36" t="e">
        <f>VLOOKUP(Tabela_Base_Financeiro[[#This Row],[Item code]],'COD.FAT'!B:C,2,0)</f>
        <v>#N/A</v>
      </c>
      <c r="C1062" s="292">
        <f>Tabela_Base_Financeiro[[#This Row],[PO Ship TO]]</f>
        <v>0</v>
      </c>
      <c r="D1062" s="36" t="str">
        <f>RIGHT(Tabela_Base_Financeiro[[#This Row],[Manufacturer]],2)</f>
        <v/>
      </c>
      <c r="E106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62" s="122" t="e">
        <f>VLOOKUP(Tabela_Base_Financeiro[[#This Row],[Project Code]],'COD. PROJETOS'!B:D,3,0)</f>
        <v>#N/A</v>
      </c>
      <c r="G1062" s="36">
        <f>IFERROR(Tabela_Base_Financeiro[[#This Row],[PO No,]],0)</f>
        <v>0</v>
      </c>
      <c r="H1062" s="36">
        <f>IFERROR(Tabela_Base_Financeiro[[#This Row],[Line No,]],0)</f>
        <v>0</v>
      </c>
      <c r="I1062" s="36" t="str">
        <f>IFERROR(MID(Tabela_Base_Financeiro[[#This Row],[Manufacturer]],19,14),"")</f>
        <v/>
      </c>
      <c r="J1062" s="113">
        <f>IFERROR(Tabela_Base_Financeiro[[#This Row],[Item code]],0)</f>
        <v>0</v>
      </c>
      <c r="K1062" s="293">
        <f>IFERROR(Tabela_Base_Financeiro[[#This Row],[Unit Price]],0)</f>
        <v>0</v>
      </c>
      <c r="L1062" s="36">
        <f>IFERROR(Tabela_Base_Financeiro[[#This Row],[AC Qty,]],0)</f>
        <v>0</v>
      </c>
      <c r="M1062" s="60">
        <f>Tabela6[[#This Row],[Qty]]*Tabela6[[#This Row],[Preço]]</f>
        <v>0</v>
      </c>
      <c r="N1062" s="37">
        <f>IFERROR(Tabela_Base_Financeiro[[#This Row],[Proportion]],0)</f>
        <v>0</v>
      </c>
      <c r="O1062" s="60">
        <f>Tabela6[[#This Row],[Proporção]]*Tabela6[[#This Row],[Total]]</f>
        <v>0</v>
      </c>
      <c r="P1062"/>
      <c r="Q1062" s="59"/>
      <c r="R1062" s="1"/>
    </row>
    <row r="1063" spans="1:18">
      <c r="A1063" s="122" t="e">
        <f>IF(VLOOKUP(Tabela6[[#This Row],[UF]],'BASE CC'!B:C,2,0)="SP",IF(Tabela6[[#This Row],[OPERADORA]]="TIM","SP TIM","SPI"),VLOOKUP(Tabela6[[#This Row],[UF]],'BASE CC'!B:C,2,0))</f>
        <v>#N/A</v>
      </c>
      <c r="B1063" s="36" t="e">
        <f>VLOOKUP(Tabela_Base_Financeiro[[#This Row],[Item code]],'COD.FAT'!B:C,2,0)</f>
        <v>#N/A</v>
      </c>
      <c r="C1063" s="292">
        <f>Tabela_Base_Financeiro[[#This Row],[PO Ship TO]]</f>
        <v>0</v>
      </c>
      <c r="D1063" s="36" t="str">
        <f>RIGHT(Tabela_Base_Financeiro[[#This Row],[Manufacturer]],2)</f>
        <v/>
      </c>
      <c r="E106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63" s="122" t="e">
        <f>VLOOKUP(Tabela_Base_Financeiro[[#This Row],[Project Code]],'COD. PROJETOS'!B:D,3,0)</f>
        <v>#N/A</v>
      </c>
      <c r="G1063" s="36">
        <f>IFERROR(Tabela_Base_Financeiro[[#This Row],[PO No,]],0)</f>
        <v>0</v>
      </c>
      <c r="H1063" s="36">
        <f>IFERROR(Tabela_Base_Financeiro[[#This Row],[Line No,]],0)</f>
        <v>0</v>
      </c>
      <c r="I1063" s="36" t="str">
        <f>IFERROR(MID(Tabela_Base_Financeiro[[#This Row],[Manufacturer]],19,14),"")</f>
        <v/>
      </c>
      <c r="J1063" s="113">
        <f>IFERROR(Tabela_Base_Financeiro[[#This Row],[Item code]],0)</f>
        <v>0</v>
      </c>
      <c r="K1063" s="293">
        <f>IFERROR(Tabela_Base_Financeiro[[#This Row],[Unit Price]],0)</f>
        <v>0</v>
      </c>
      <c r="L1063" s="36">
        <f>IFERROR(Tabela_Base_Financeiro[[#This Row],[AC Qty,]],0)</f>
        <v>0</v>
      </c>
      <c r="M1063" s="60">
        <f>Tabela6[[#This Row],[Qty]]*Tabela6[[#This Row],[Preço]]</f>
        <v>0</v>
      </c>
      <c r="N1063" s="37">
        <f>IFERROR(Tabela_Base_Financeiro[[#This Row],[Proportion]],0)</f>
        <v>0</v>
      </c>
      <c r="O1063" s="60">
        <f>Tabela6[[#This Row],[Proporção]]*Tabela6[[#This Row],[Total]]</f>
        <v>0</v>
      </c>
      <c r="P1063"/>
      <c r="Q1063" s="59"/>
      <c r="R1063" s="1"/>
    </row>
    <row r="1064" spans="1:18">
      <c r="A1064" s="122" t="e">
        <f>IF(VLOOKUP(Tabela6[[#This Row],[UF]],'BASE CC'!B:C,2,0)="SP",IF(Tabela6[[#This Row],[OPERADORA]]="TIM","SP TIM","SPI"),VLOOKUP(Tabela6[[#This Row],[UF]],'BASE CC'!B:C,2,0))</f>
        <v>#N/A</v>
      </c>
      <c r="B1064" s="36" t="e">
        <f>VLOOKUP(Tabela_Base_Financeiro[[#This Row],[Item code]],'COD.FAT'!B:C,2,0)</f>
        <v>#N/A</v>
      </c>
      <c r="C1064" s="292">
        <f>Tabela_Base_Financeiro[[#This Row],[PO Ship TO]]</f>
        <v>0</v>
      </c>
      <c r="D1064" s="36" t="str">
        <f>RIGHT(Tabela_Base_Financeiro[[#This Row],[Manufacturer]],2)</f>
        <v/>
      </c>
      <c r="E106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64" s="122" t="e">
        <f>VLOOKUP(Tabela_Base_Financeiro[[#This Row],[Project Code]],'COD. PROJETOS'!B:D,3,0)</f>
        <v>#N/A</v>
      </c>
      <c r="G1064" s="36">
        <f>IFERROR(Tabela_Base_Financeiro[[#This Row],[PO No,]],0)</f>
        <v>0</v>
      </c>
      <c r="H1064" s="36">
        <f>IFERROR(Tabela_Base_Financeiro[[#This Row],[Line No,]],0)</f>
        <v>0</v>
      </c>
      <c r="I1064" s="36" t="str">
        <f>IFERROR(MID(Tabela_Base_Financeiro[[#This Row],[Manufacturer]],19,14),"")</f>
        <v/>
      </c>
      <c r="J1064" s="113">
        <f>IFERROR(Tabela_Base_Financeiro[[#This Row],[Item code]],0)</f>
        <v>0</v>
      </c>
      <c r="K1064" s="293">
        <f>IFERROR(Tabela_Base_Financeiro[[#This Row],[Unit Price]],0)</f>
        <v>0</v>
      </c>
      <c r="L1064" s="36">
        <f>IFERROR(Tabela_Base_Financeiro[[#This Row],[AC Qty,]],0)</f>
        <v>0</v>
      </c>
      <c r="M1064" s="60">
        <f>Tabela6[[#This Row],[Qty]]*Tabela6[[#This Row],[Preço]]</f>
        <v>0</v>
      </c>
      <c r="N1064" s="37">
        <f>IFERROR(Tabela_Base_Financeiro[[#This Row],[Proportion]],0)</f>
        <v>0</v>
      </c>
      <c r="O1064" s="60">
        <f>Tabela6[[#This Row],[Proporção]]*Tabela6[[#This Row],[Total]]</f>
        <v>0</v>
      </c>
      <c r="P1064"/>
      <c r="Q1064" s="59"/>
      <c r="R1064" s="1"/>
    </row>
    <row r="1065" spans="1:18">
      <c r="A1065" s="122" t="e">
        <f>IF(VLOOKUP(Tabela6[[#This Row],[UF]],'BASE CC'!B:C,2,0)="SP",IF(Tabela6[[#This Row],[OPERADORA]]="TIM","SP TIM","SPI"),VLOOKUP(Tabela6[[#This Row],[UF]],'BASE CC'!B:C,2,0))</f>
        <v>#N/A</v>
      </c>
      <c r="B1065" s="36" t="e">
        <f>VLOOKUP(Tabela_Base_Financeiro[[#This Row],[Item code]],'COD.FAT'!B:C,2,0)</f>
        <v>#N/A</v>
      </c>
      <c r="C1065" s="292">
        <f>Tabela_Base_Financeiro[[#This Row],[PO Ship TO]]</f>
        <v>0</v>
      </c>
      <c r="D1065" s="36" t="str">
        <f>RIGHT(Tabela_Base_Financeiro[[#This Row],[Manufacturer]],2)</f>
        <v/>
      </c>
      <c r="E106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65" s="122" t="e">
        <f>VLOOKUP(Tabela_Base_Financeiro[[#This Row],[Project Code]],'COD. PROJETOS'!B:D,3,0)</f>
        <v>#N/A</v>
      </c>
      <c r="G1065" s="36">
        <f>IFERROR(Tabela_Base_Financeiro[[#This Row],[PO No,]],0)</f>
        <v>0</v>
      </c>
      <c r="H1065" s="36">
        <f>IFERROR(Tabela_Base_Financeiro[[#This Row],[Line No,]],0)</f>
        <v>0</v>
      </c>
      <c r="I1065" s="36" t="str">
        <f>IFERROR(MID(Tabela_Base_Financeiro[[#This Row],[Manufacturer]],19,14),"")</f>
        <v/>
      </c>
      <c r="J1065" s="113">
        <f>IFERROR(Tabela_Base_Financeiro[[#This Row],[Item code]],0)</f>
        <v>0</v>
      </c>
      <c r="K1065" s="293">
        <f>IFERROR(Tabela_Base_Financeiro[[#This Row],[Unit Price]],0)</f>
        <v>0</v>
      </c>
      <c r="L1065" s="36">
        <f>IFERROR(Tabela_Base_Financeiro[[#This Row],[AC Qty,]],0)</f>
        <v>0</v>
      </c>
      <c r="M1065" s="60">
        <f>Tabela6[[#This Row],[Qty]]*Tabela6[[#This Row],[Preço]]</f>
        <v>0</v>
      </c>
      <c r="N1065" s="37">
        <f>IFERROR(Tabela_Base_Financeiro[[#This Row],[Proportion]],0)</f>
        <v>0</v>
      </c>
      <c r="O1065" s="60">
        <f>Tabela6[[#This Row],[Proporção]]*Tabela6[[#This Row],[Total]]</f>
        <v>0</v>
      </c>
      <c r="P1065"/>
      <c r="Q1065" s="59"/>
      <c r="R1065" s="1"/>
    </row>
    <row r="1066" spans="1:18">
      <c r="A1066" s="122" t="e">
        <f>IF(VLOOKUP(Tabela6[[#This Row],[UF]],'BASE CC'!B:C,2,0)="SP",IF(Tabela6[[#This Row],[OPERADORA]]="TIM","SP TIM","SPI"),VLOOKUP(Tabela6[[#This Row],[UF]],'BASE CC'!B:C,2,0))</f>
        <v>#N/A</v>
      </c>
      <c r="B1066" s="36" t="e">
        <f>VLOOKUP(Tabela_Base_Financeiro[[#This Row],[Item code]],'COD.FAT'!B:C,2,0)</f>
        <v>#N/A</v>
      </c>
      <c r="C1066" s="292">
        <f>Tabela_Base_Financeiro[[#This Row],[PO Ship TO]]</f>
        <v>0</v>
      </c>
      <c r="D1066" s="36" t="str">
        <f>RIGHT(Tabela_Base_Financeiro[[#This Row],[Manufacturer]],2)</f>
        <v/>
      </c>
      <c r="E106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66" s="122" t="e">
        <f>VLOOKUP(Tabela_Base_Financeiro[[#This Row],[Project Code]],'COD. PROJETOS'!B:D,3,0)</f>
        <v>#N/A</v>
      </c>
      <c r="G1066" s="36">
        <f>IFERROR(Tabela_Base_Financeiro[[#This Row],[PO No,]],0)</f>
        <v>0</v>
      </c>
      <c r="H1066" s="36">
        <f>IFERROR(Tabela_Base_Financeiro[[#This Row],[Line No,]],0)</f>
        <v>0</v>
      </c>
      <c r="I1066" s="36" t="str">
        <f>IFERROR(MID(Tabela_Base_Financeiro[[#This Row],[Manufacturer]],19,14),"")</f>
        <v/>
      </c>
      <c r="J1066" s="113">
        <f>IFERROR(Tabela_Base_Financeiro[[#This Row],[Item code]],0)</f>
        <v>0</v>
      </c>
      <c r="K1066" s="293">
        <f>IFERROR(Tabela_Base_Financeiro[[#This Row],[Unit Price]],0)</f>
        <v>0</v>
      </c>
      <c r="L1066" s="36">
        <f>IFERROR(Tabela_Base_Financeiro[[#This Row],[AC Qty,]],0)</f>
        <v>0</v>
      </c>
      <c r="M1066" s="60">
        <f>Tabela6[[#This Row],[Qty]]*Tabela6[[#This Row],[Preço]]</f>
        <v>0</v>
      </c>
      <c r="N1066" s="37">
        <f>IFERROR(Tabela_Base_Financeiro[[#This Row],[Proportion]],0)</f>
        <v>0</v>
      </c>
      <c r="O1066" s="60">
        <f>Tabela6[[#This Row],[Proporção]]*Tabela6[[#This Row],[Total]]</f>
        <v>0</v>
      </c>
      <c r="P1066"/>
      <c r="Q1066" s="59"/>
      <c r="R1066" s="1"/>
    </row>
    <row r="1067" spans="1:18">
      <c r="A1067" s="122" t="e">
        <f>IF(VLOOKUP(Tabela6[[#This Row],[UF]],'BASE CC'!B:C,2,0)="SP",IF(Tabela6[[#This Row],[OPERADORA]]="TIM","SP TIM","SPI"),VLOOKUP(Tabela6[[#This Row],[UF]],'BASE CC'!B:C,2,0))</f>
        <v>#N/A</v>
      </c>
      <c r="B1067" s="36" t="e">
        <f>VLOOKUP(Tabela_Base_Financeiro[[#This Row],[Item code]],'COD.FAT'!B:C,2,0)</f>
        <v>#N/A</v>
      </c>
      <c r="C1067" s="292">
        <f>Tabela_Base_Financeiro[[#This Row],[PO Ship TO]]</f>
        <v>0</v>
      </c>
      <c r="D1067" s="36" t="str">
        <f>RIGHT(Tabela_Base_Financeiro[[#This Row],[Manufacturer]],2)</f>
        <v/>
      </c>
      <c r="E106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67" s="122" t="e">
        <f>VLOOKUP(Tabela_Base_Financeiro[[#This Row],[Project Code]],'COD. PROJETOS'!B:D,3,0)</f>
        <v>#N/A</v>
      </c>
      <c r="G1067" s="36">
        <f>IFERROR(Tabela_Base_Financeiro[[#This Row],[PO No,]],0)</f>
        <v>0</v>
      </c>
      <c r="H1067" s="36">
        <f>IFERROR(Tabela_Base_Financeiro[[#This Row],[Line No,]],0)</f>
        <v>0</v>
      </c>
      <c r="I1067" s="36" t="str">
        <f>IFERROR(MID(Tabela_Base_Financeiro[[#This Row],[Manufacturer]],19,14),"")</f>
        <v/>
      </c>
      <c r="J1067" s="113">
        <f>IFERROR(Tabela_Base_Financeiro[[#This Row],[Item code]],0)</f>
        <v>0</v>
      </c>
      <c r="K1067" s="293">
        <f>IFERROR(Tabela_Base_Financeiro[[#This Row],[Unit Price]],0)</f>
        <v>0</v>
      </c>
      <c r="L1067" s="36">
        <f>IFERROR(Tabela_Base_Financeiro[[#This Row],[AC Qty,]],0)</f>
        <v>0</v>
      </c>
      <c r="M1067" s="60">
        <f>Tabela6[[#This Row],[Qty]]*Tabela6[[#This Row],[Preço]]</f>
        <v>0</v>
      </c>
      <c r="N1067" s="37">
        <f>IFERROR(Tabela_Base_Financeiro[[#This Row],[Proportion]],0)</f>
        <v>0</v>
      </c>
      <c r="O1067" s="60">
        <f>Tabela6[[#This Row],[Proporção]]*Tabela6[[#This Row],[Total]]</f>
        <v>0</v>
      </c>
      <c r="P1067"/>
      <c r="Q1067" s="59"/>
      <c r="R1067" s="1"/>
    </row>
    <row r="1068" spans="1:18">
      <c r="A1068" s="122" t="e">
        <f>IF(VLOOKUP(Tabela6[[#This Row],[UF]],'BASE CC'!B:C,2,0)="SP",IF(Tabela6[[#This Row],[OPERADORA]]="TIM","SP TIM","SPI"),VLOOKUP(Tabela6[[#This Row],[UF]],'BASE CC'!B:C,2,0))</f>
        <v>#N/A</v>
      </c>
      <c r="B1068" s="36" t="e">
        <f>VLOOKUP(Tabela_Base_Financeiro[[#This Row],[Item code]],'COD.FAT'!B:C,2,0)</f>
        <v>#N/A</v>
      </c>
      <c r="C1068" s="292">
        <f>Tabela_Base_Financeiro[[#This Row],[PO Ship TO]]</f>
        <v>0</v>
      </c>
      <c r="D1068" s="36" t="str">
        <f>RIGHT(Tabela_Base_Financeiro[[#This Row],[Manufacturer]],2)</f>
        <v/>
      </c>
      <c r="E106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68" s="122" t="e">
        <f>VLOOKUP(Tabela_Base_Financeiro[[#This Row],[Project Code]],'COD. PROJETOS'!B:D,3,0)</f>
        <v>#N/A</v>
      </c>
      <c r="G1068" s="36">
        <f>IFERROR(Tabela_Base_Financeiro[[#This Row],[PO No,]],0)</f>
        <v>0</v>
      </c>
      <c r="H1068" s="36">
        <f>IFERROR(Tabela_Base_Financeiro[[#This Row],[Line No,]],0)</f>
        <v>0</v>
      </c>
      <c r="I1068" s="36" t="str">
        <f>IFERROR(MID(Tabela_Base_Financeiro[[#This Row],[Manufacturer]],19,14),"")</f>
        <v/>
      </c>
      <c r="J1068" s="113">
        <f>IFERROR(Tabela_Base_Financeiro[[#This Row],[Item code]],0)</f>
        <v>0</v>
      </c>
      <c r="K1068" s="293">
        <f>IFERROR(Tabela_Base_Financeiro[[#This Row],[Unit Price]],0)</f>
        <v>0</v>
      </c>
      <c r="L1068" s="36">
        <f>IFERROR(Tabela_Base_Financeiro[[#This Row],[AC Qty,]],0)</f>
        <v>0</v>
      </c>
      <c r="M1068" s="60">
        <f>Tabela6[[#This Row],[Qty]]*Tabela6[[#This Row],[Preço]]</f>
        <v>0</v>
      </c>
      <c r="N1068" s="37">
        <f>IFERROR(Tabela_Base_Financeiro[[#This Row],[Proportion]],0)</f>
        <v>0</v>
      </c>
      <c r="O1068" s="60">
        <f>Tabela6[[#This Row],[Proporção]]*Tabela6[[#This Row],[Total]]</f>
        <v>0</v>
      </c>
      <c r="P1068"/>
      <c r="Q1068" s="59"/>
      <c r="R1068" s="1"/>
    </row>
    <row r="1069" spans="1:18">
      <c r="A1069" s="122" t="e">
        <f>IF(VLOOKUP(Tabela6[[#This Row],[UF]],'BASE CC'!B:C,2,0)="SP",IF(Tabela6[[#This Row],[OPERADORA]]="TIM","SP TIM","SPI"),VLOOKUP(Tabela6[[#This Row],[UF]],'BASE CC'!B:C,2,0))</f>
        <v>#N/A</v>
      </c>
      <c r="B1069" s="36" t="e">
        <f>VLOOKUP(Tabela_Base_Financeiro[[#This Row],[Item code]],'COD.FAT'!B:C,2,0)</f>
        <v>#N/A</v>
      </c>
      <c r="C1069" s="292">
        <f>Tabela_Base_Financeiro[[#This Row],[PO Ship TO]]</f>
        <v>0</v>
      </c>
      <c r="D1069" s="36" t="str">
        <f>RIGHT(Tabela_Base_Financeiro[[#This Row],[Manufacturer]],2)</f>
        <v/>
      </c>
      <c r="E106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69" s="122" t="e">
        <f>VLOOKUP(Tabela_Base_Financeiro[[#This Row],[Project Code]],'COD. PROJETOS'!B:D,3,0)</f>
        <v>#N/A</v>
      </c>
      <c r="G1069" s="36">
        <f>IFERROR(Tabela_Base_Financeiro[[#This Row],[PO No,]],0)</f>
        <v>0</v>
      </c>
      <c r="H1069" s="36">
        <f>IFERROR(Tabela_Base_Financeiro[[#This Row],[Line No,]],0)</f>
        <v>0</v>
      </c>
      <c r="I1069" s="36" t="str">
        <f>IFERROR(MID(Tabela_Base_Financeiro[[#This Row],[Manufacturer]],19,14),"")</f>
        <v/>
      </c>
      <c r="J1069" s="113">
        <f>IFERROR(Tabela_Base_Financeiro[[#This Row],[Item code]],0)</f>
        <v>0</v>
      </c>
      <c r="K1069" s="293">
        <f>IFERROR(Tabela_Base_Financeiro[[#This Row],[Unit Price]],0)</f>
        <v>0</v>
      </c>
      <c r="L1069" s="36">
        <f>IFERROR(Tabela_Base_Financeiro[[#This Row],[AC Qty,]],0)</f>
        <v>0</v>
      </c>
      <c r="M1069" s="60">
        <f>Tabela6[[#This Row],[Qty]]*Tabela6[[#This Row],[Preço]]</f>
        <v>0</v>
      </c>
      <c r="N1069" s="37">
        <f>IFERROR(Tabela_Base_Financeiro[[#This Row],[Proportion]],0)</f>
        <v>0</v>
      </c>
      <c r="O1069" s="60">
        <f>Tabela6[[#This Row],[Proporção]]*Tabela6[[#This Row],[Total]]</f>
        <v>0</v>
      </c>
      <c r="P1069"/>
      <c r="Q1069" s="59"/>
      <c r="R1069" s="1"/>
    </row>
    <row r="1070" spans="1:18">
      <c r="A1070" s="122" t="e">
        <f>IF(VLOOKUP(Tabela6[[#This Row],[UF]],'BASE CC'!B:C,2,0)="SP",IF(Tabela6[[#This Row],[OPERADORA]]="TIM","SP TIM","SPI"),VLOOKUP(Tabela6[[#This Row],[UF]],'BASE CC'!B:C,2,0))</f>
        <v>#N/A</v>
      </c>
      <c r="B1070" s="36" t="e">
        <f>VLOOKUP(Tabela_Base_Financeiro[[#This Row],[Item code]],'COD.FAT'!B:C,2,0)</f>
        <v>#N/A</v>
      </c>
      <c r="C1070" s="292">
        <f>Tabela_Base_Financeiro[[#This Row],[PO Ship TO]]</f>
        <v>0</v>
      </c>
      <c r="D1070" s="36" t="str">
        <f>RIGHT(Tabela_Base_Financeiro[[#This Row],[Manufacturer]],2)</f>
        <v/>
      </c>
      <c r="E107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70" s="122" t="e">
        <f>VLOOKUP(Tabela_Base_Financeiro[[#This Row],[Project Code]],'COD. PROJETOS'!B:D,3,0)</f>
        <v>#N/A</v>
      </c>
      <c r="G1070" s="36">
        <f>IFERROR(Tabela_Base_Financeiro[[#This Row],[PO No,]],0)</f>
        <v>0</v>
      </c>
      <c r="H1070" s="36">
        <f>IFERROR(Tabela_Base_Financeiro[[#This Row],[Line No,]],0)</f>
        <v>0</v>
      </c>
      <c r="I1070" s="36" t="str">
        <f>IFERROR(MID(Tabela_Base_Financeiro[[#This Row],[Manufacturer]],19,14),"")</f>
        <v/>
      </c>
      <c r="J1070" s="113">
        <f>IFERROR(Tabela_Base_Financeiro[[#This Row],[Item code]],0)</f>
        <v>0</v>
      </c>
      <c r="K1070" s="293">
        <f>IFERROR(Tabela_Base_Financeiro[[#This Row],[Unit Price]],0)</f>
        <v>0</v>
      </c>
      <c r="L1070" s="36">
        <f>IFERROR(Tabela_Base_Financeiro[[#This Row],[AC Qty,]],0)</f>
        <v>0</v>
      </c>
      <c r="M1070" s="60">
        <f>Tabela6[[#This Row],[Qty]]*Tabela6[[#This Row],[Preço]]</f>
        <v>0</v>
      </c>
      <c r="N1070" s="37">
        <f>IFERROR(Tabela_Base_Financeiro[[#This Row],[Proportion]],0)</f>
        <v>0</v>
      </c>
      <c r="O1070" s="60">
        <f>Tabela6[[#This Row],[Proporção]]*Tabela6[[#This Row],[Total]]</f>
        <v>0</v>
      </c>
      <c r="P1070"/>
      <c r="Q1070" s="59"/>
      <c r="R1070" s="1"/>
    </row>
    <row r="1071" spans="1:18">
      <c r="A1071" s="122" t="e">
        <f>IF(VLOOKUP(Tabela6[[#This Row],[UF]],'BASE CC'!B:C,2,0)="SP",IF(Tabela6[[#This Row],[OPERADORA]]="TIM","SP TIM","SPI"),VLOOKUP(Tabela6[[#This Row],[UF]],'BASE CC'!B:C,2,0))</f>
        <v>#N/A</v>
      </c>
      <c r="B1071" s="36" t="e">
        <f>VLOOKUP(Tabela_Base_Financeiro[[#This Row],[Item code]],'COD.FAT'!B:C,2,0)</f>
        <v>#N/A</v>
      </c>
      <c r="C1071" s="292">
        <f>Tabela_Base_Financeiro[[#This Row],[PO Ship TO]]</f>
        <v>0</v>
      </c>
      <c r="D1071" s="36" t="str">
        <f>RIGHT(Tabela_Base_Financeiro[[#This Row],[Manufacturer]],2)</f>
        <v/>
      </c>
      <c r="E107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71" s="122" t="e">
        <f>VLOOKUP(Tabela_Base_Financeiro[[#This Row],[Project Code]],'COD. PROJETOS'!B:D,3,0)</f>
        <v>#N/A</v>
      </c>
      <c r="G1071" s="36">
        <f>IFERROR(Tabela_Base_Financeiro[[#This Row],[PO No,]],0)</f>
        <v>0</v>
      </c>
      <c r="H1071" s="36">
        <f>IFERROR(Tabela_Base_Financeiro[[#This Row],[Line No,]],0)</f>
        <v>0</v>
      </c>
      <c r="I1071" s="36" t="str">
        <f>IFERROR(MID(Tabela_Base_Financeiro[[#This Row],[Manufacturer]],19,14),"")</f>
        <v/>
      </c>
      <c r="J1071" s="113">
        <f>IFERROR(Tabela_Base_Financeiro[[#This Row],[Item code]],0)</f>
        <v>0</v>
      </c>
      <c r="K1071" s="293">
        <f>IFERROR(Tabela_Base_Financeiro[[#This Row],[Unit Price]],0)</f>
        <v>0</v>
      </c>
      <c r="L1071" s="36">
        <f>IFERROR(Tabela_Base_Financeiro[[#This Row],[AC Qty,]],0)</f>
        <v>0</v>
      </c>
      <c r="M1071" s="60">
        <f>Tabela6[[#This Row],[Qty]]*Tabela6[[#This Row],[Preço]]</f>
        <v>0</v>
      </c>
      <c r="N1071" s="37">
        <f>IFERROR(Tabela_Base_Financeiro[[#This Row],[Proportion]],0)</f>
        <v>0</v>
      </c>
      <c r="O1071" s="60">
        <f>Tabela6[[#This Row],[Proporção]]*Tabela6[[#This Row],[Total]]</f>
        <v>0</v>
      </c>
      <c r="P1071"/>
      <c r="Q1071" s="59"/>
      <c r="R1071" s="1"/>
    </row>
    <row r="1072" spans="1:18">
      <c r="A1072" s="122" t="e">
        <f>IF(VLOOKUP(Tabela6[[#This Row],[UF]],'BASE CC'!B:C,2,0)="SP",IF(Tabela6[[#This Row],[OPERADORA]]="TIM","SP TIM","SPI"),VLOOKUP(Tabela6[[#This Row],[UF]],'BASE CC'!B:C,2,0))</f>
        <v>#N/A</v>
      </c>
      <c r="B1072" s="36" t="e">
        <f>VLOOKUP(Tabela_Base_Financeiro[[#This Row],[Item code]],'COD.FAT'!B:C,2,0)</f>
        <v>#N/A</v>
      </c>
      <c r="C1072" s="292">
        <f>Tabela_Base_Financeiro[[#This Row],[PO Ship TO]]</f>
        <v>0</v>
      </c>
      <c r="D1072" s="36" t="str">
        <f>RIGHT(Tabela_Base_Financeiro[[#This Row],[Manufacturer]],2)</f>
        <v/>
      </c>
      <c r="E107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72" s="122" t="e">
        <f>VLOOKUP(Tabela_Base_Financeiro[[#This Row],[Project Code]],'COD. PROJETOS'!B:D,3,0)</f>
        <v>#N/A</v>
      </c>
      <c r="G1072" s="36">
        <f>IFERROR(Tabela_Base_Financeiro[[#This Row],[PO No,]],0)</f>
        <v>0</v>
      </c>
      <c r="H1072" s="36">
        <f>IFERROR(Tabela_Base_Financeiro[[#This Row],[Line No,]],0)</f>
        <v>0</v>
      </c>
      <c r="I1072" s="36" t="str">
        <f>IFERROR(MID(Tabela_Base_Financeiro[[#This Row],[Manufacturer]],19,14),"")</f>
        <v/>
      </c>
      <c r="J1072" s="113">
        <f>IFERROR(Tabela_Base_Financeiro[[#This Row],[Item code]],0)</f>
        <v>0</v>
      </c>
      <c r="K1072" s="293">
        <f>IFERROR(Tabela_Base_Financeiro[[#This Row],[Unit Price]],0)</f>
        <v>0</v>
      </c>
      <c r="L1072" s="36">
        <f>IFERROR(Tabela_Base_Financeiro[[#This Row],[AC Qty,]],0)</f>
        <v>0</v>
      </c>
      <c r="M1072" s="60">
        <f>Tabela6[[#This Row],[Qty]]*Tabela6[[#This Row],[Preço]]</f>
        <v>0</v>
      </c>
      <c r="N1072" s="37">
        <f>IFERROR(Tabela_Base_Financeiro[[#This Row],[Proportion]],0)</f>
        <v>0</v>
      </c>
      <c r="O1072" s="60">
        <f>Tabela6[[#This Row],[Proporção]]*Tabela6[[#This Row],[Total]]</f>
        <v>0</v>
      </c>
      <c r="P1072"/>
      <c r="Q1072" s="59"/>
      <c r="R1072" s="1"/>
    </row>
    <row r="1073" spans="1:18">
      <c r="A1073" s="122" t="e">
        <f>IF(VLOOKUP(Tabela6[[#This Row],[UF]],'BASE CC'!B:C,2,0)="SP",IF(Tabela6[[#This Row],[OPERADORA]]="TIM","SP TIM","SPI"),VLOOKUP(Tabela6[[#This Row],[UF]],'BASE CC'!B:C,2,0))</f>
        <v>#N/A</v>
      </c>
      <c r="B1073" s="36" t="e">
        <f>VLOOKUP(Tabela_Base_Financeiro[[#This Row],[Item code]],'COD.FAT'!B:C,2,0)</f>
        <v>#N/A</v>
      </c>
      <c r="C1073" s="292">
        <f>Tabela_Base_Financeiro[[#This Row],[PO Ship TO]]</f>
        <v>0</v>
      </c>
      <c r="D1073" s="36" t="str">
        <f>RIGHT(Tabela_Base_Financeiro[[#This Row],[Manufacturer]],2)</f>
        <v/>
      </c>
      <c r="E107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73" s="122" t="e">
        <f>VLOOKUP(Tabela_Base_Financeiro[[#This Row],[Project Code]],'COD. PROJETOS'!B:D,3,0)</f>
        <v>#N/A</v>
      </c>
      <c r="G1073" s="36">
        <f>IFERROR(Tabela_Base_Financeiro[[#This Row],[PO No,]],0)</f>
        <v>0</v>
      </c>
      <c r="H1073" s="36">
        <f>IFERROR(Tabela_Base_Financeiro[[#This Row],[Line No,]],0)</f>
        <v>0</v>
      </c>
      <c r="I1073" s="36" t="str">
        <f>IFERROR(MID(Tabela_Base_Financeiro[[#This Row],[Manufacturer]],19,14),"")</f>
        <v/>
      </c>
      <c r="J1073" s="113">
        <f>IFERROR(Tabela_Base_Financeiro[[#This Row],[Item code]],0)</f>
        <v>0</v>
      </c>
      <c r="K1073" s="293">
        <f>IFERROR(Tabela_Base_Financeiro[[#This Row],[Unit Price]],0)</f>
        <v>0</v>
      </c>
      <c r="L1073" s="36">
        <f>IFERROR(Tabela_Base_Financeiro[[#This Row],[AC Qty,]],0)</f>
        <v>0</v>
      </c>
      <c r="M1073" s="60">
        <f>Tabela6[[#This Row],[Qty]]*Tabela6[[#This Row],[Preço]]</f>
        <v>0</v>
      </c>
      <c r="N1073" s="37">
        <f>IFERROR(Tabela_Base_Financeiro[[#This Row],[Proportion]],0)</f>
        <v>0</v>
      </c>
      <c r="O1073" s="60">
        <f>Tabela6[[#This Row],[Proporção]]*Tabela6[[#This Row],[Total]]</f>
        <v>0</v>
      </c>
      <c r="P1073"/>
      <c r="Q1073" s="59"/>
      <c r="R1073" s="1"/>
    </row>
    <row r="1074" spans="1:18">
      <c r="A1074" s="122" t="e">
        <f>IF(VLOOKUP(Tabela6[[#This Row],[UF]],'BASE CC'!B:C,2,0)="SP",IF(Tabela6[[#This Row],[OPERADORA]]="TIM","SP TIM","SPI"),VLOOKUP(Tabela6[[#This Row],[UF]],'BASE CC'!B:C,2,0))</f>
        <v>#N/A</v>
      </c>
      <c r="B1074" s="36" t="e">
        <f>VLOOKUP(Tabela_Base_Financeiro[[#This Row],[Item code]],'COD.FAT'!B:C,2,0)</f>
        <v>#N/A</v>
      </c>
      <c r="C1074" s="292">
        <f>Tabela_Base_Financeiro[[#This Row],[PO Ship TO]]</f>
        <v>0</v>
      </c>
      <c r="D1074" s="36" t="str">
        <f>RIGHT(Tabela_Base_Financeiro[[#This Row],[Manufacturer]],2)</f>
        <v/>
      </c>
      <c r="E107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74" s="122" t="e">
        <f>VLOOKUP(Tabela_Base_Financeiro[[#This Row],[Project Code]],'COD. PROJETOS'!B:D,3,0)</f>
        <v>#N/A</v>
      </c>
      <c r="G1074" s="36">
        <f>IFERROR(Tabela_Base_Financeiro[[#This Row],[PO No,]],0)</f>
        <v>0</v>
      </c>
      <c r="H1074" s="36">
        <f>IFERROR(Tabela_Base_Financeiro[[#This Row],[Line No,]],0)</f>
        <v>0</v>
      </c>
      <c r="I1074" s="36" t="str">
        <f>IFERROR(MID(Tabela_Base_Financeiro[[#This Row],[Manufacturer]],19,14),"")</f>
        <v/>
      </c>
      <c r="J1074" s="113">
        <f>IFERROR(Tabela_Base_Financeiro[[#This Row],[Item code]],0)</f>
        <v>0</v>
      </c>
      <c r="K1074" s="293">
        <f>IFERROR(Tabela_Base_Financeiro[[#This Row],[Unit Price]],0)</f>
        <v>0</v>
      </c>
      <c r="L1074" s="36">
        <f>IFERROR(Tabela_Base_Financeiro[[#This Row],[AC Qty,]],0)</f>
        <v>0</v>
      </c>
      <c r="M1074" s="60">
        <f>Tabela6[[#This Row],[Qty]]*Tabela6[[#This Row],[Preço]]</f>
        <v>0</v>
      </c>
      <c r="N1074" s="37">
        <f>IFERROR(Tabela_Base_Financeiro[[#This Row],[Proportion]],0)</f>
        <v>0</v>
      </c>
      <c r="O1074" s="60">
        <f>Tabela6[[#This Row],[Proporção]]*Tabela6[[#This Row],[Total]]</f>
        <v>0</v>
      </c>
      <c r="P1074"/>
      <c r="Q1074" s="59"/>
      <c r="R1074" s="1"/>
    </row>
    <row r="1075" spans="1:18">
      <c r="A1075" s="122" t="e">
        <f>IF(VLOOKUP(Tabela6[[#This Row],[UF]],'BASE CC'!B:C,2,0)="SP",IF(Tabela6[[#This Row],[OPERADORA]]="TIM","SP TIM","SPI"),VLOOKUP(Tabela6[[#This Row],[UF]],'BASE CC'!B:C,2,0))</f>
        <v>#N/A</v>
      </c>
      <c r="B1075" s="36" t="e">
        <f>VLOOKUP(Tabela_Base_Financeiro[[#This Row],[Item code]],'COD.FAT'!B:C,2,0)</f>
        <v>#N/A</v>
      </c>
      <c r="C1075" s="292">
        <f>Tabela_Base_Financeiro[[#This Row],[PO Ship TO]]</f>
        <v>0</v>
      </c>
      <c r="D1075" s="36" t="str">
        <f>RIGHT(Tabela_Base_Financeiro[[#This Row],[Manufacturer]],2)</f>
        <v/>
      </c>
      <c r="E107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75" s="122" t="e">
        <f>VLOOKUP(Tabela_Base_Financeiro[[#This Row],[Project Code]],'COD. PROJETOS'!B:D,3,0)</f>
        <v>#N/A</v>
      </c>
      <c r="G1075" s="36">
        <f>IFERROR(Tabela_Base_Financeiro[[#This Row],[PO No,]],0)</f>
        <v>0</v>
      </c>
      <c r="H1075" s="36">
        <f>IFERROR(Tabela_Base_Financeiro[[#This Row],[Line No,]],0)</f>
        <v>0</v>
      </c>
      <c r="I1075" s="36" t="str">
        <f>IFERROR(MID(Tabela_Base_Financeiro[[#This Row],[Manufacturer]],19,14),"")</f>
        <v/>
      </c>
      <c r="J1075" s="113">
        <f>IFERROR(Tabela_Base_Financeiro[[#This Row],[Item code]],0)</f>
        <v>0</v>
      </c>
      <c r="K1075" s="293">
        <f>IFERROR(Tabela_Base_Financeiro[[#This Row],[Unit Price]],0)</f>
        <v>0</v>
      </c>
      <c r="L1075" s="36">
        <f>IFERROR(Tabela_Base_Financeiro[[#This Row],[AC Qty,]],0)</f>
        <v>0</v>
      </c>
      <c r="M1075" s="60">
        <f>Tabela6[[#This Row],[Qty]]*Tabela6[[#This Row],[Preço]]</f>
        <v>0</v>
      </c>
      <c r="N1075" s="37">
        <f>IFERROR(Tabela_Base_Financeiro[[#This Row],[Proportion]],0)</f>
        <v>0</v>
      </c>
      <c r="O1075" s="60">
        <f>Tabela6[[#This Row],[Proporção]]*Tabela6[[#This Row],[Total]]</f>
        <v>0</v>
      </c>
      <c r="P1075"/>
      <c r="Q1075" s="59"/>
      <c r="R1075" s="1"/>
    </row>
    <row r="1076" spans="1:18">
      <c r="A1076" s="122" t="e">
        <f>IF(VLOOKUP(Tabela6[[#This Row],[UF]],'BASE CC'!B:C,2,0)="SP",IF(Tabela6[[#This Row],[OPERADORA]]="TIM","SP TIM","SPI"),VLOOKUP(Tabela6[[#This Row],[UF]],'BASE CC'!B:C,2,0))</f>
        <v>#N/A</v>
      </c>
      <c r="B1076" s="36" t="e">
        <f>VLOOKUP(Tabela_Base_Financeiro[[#This Row],[Item code]],'COD.FAT'!B:C,2,0)</f>
        <v>#N/A</v>
      </c>
      <c r="C1076" s="292">
        <f>Tabela_Base_Financeiro[[#This Row],[PO Ship TO]]</f>
        <v>0</v>
      </c>
      <c r="D1076" s="36" t="str">
        <f>RIGHT(Tabela_Base_Financeiro[[#This Row],[Manufacturer]],2)</f>
        <v/>
      </c>
      <c r="E107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76" s="122" t="e">
        <f>VLOOKUP(Tabela_Base_Financeiro[[#This Row],[Project Code]],'COD. PROJETOS'!B:D,3,0)</f>
        <v>#N/A</v>
      </c>
      <c r="G1076" s="36">
        <f>IFERROR(Tabela_Base_Financeiro[[#This Row],[PO No,]],0)</f>
        <v>0</v>
      </c>
      <c r="H1076" s="36">
        <f>IFERROR(Tabela_Base_Financeiro[[#This Row],[Line No,]],0)</f>
        <v>0</v>
      </c>
      <c r="I1076" s="36" t="str">
        <f>IFERROR(MID(Tabela_Base_Financeiro[[#This Row],[Manufacturer]],19,14),"")</f>
        <v/>
      </c>
      <c r="J1076" s="113">
        <f>IFERROR(Tabela_Base_Financeiro[[#This Row],[Item code]],0)</f>
        <v>0</v>
      </c>
      <c r="K1076" s="293">
        <f>IFERROR(Tabela_Base_Financeiro[[#This Row],[Unit Price]],0)</f>
        <v>0</v>
      </c>
      <c r="L1076" s="36">
        <f>IFERROR(Tabela_Base_Financeiro[[#This Row],[AC Qty,]],0)</f>
        <v>0</v>
      </c>
      <c r="M1076" s="60">
        <f>Tabela6[[#This Row],[Qty]]*Tabela6[[#This Row],[Preço]]</f>
        <v>0</v>
      </c>
      <c r="N1076" s="37">
        <f>IFERROR(Tabela_Base_Financeiro[[#This Row],[Proportion]],0)</f>
        <v>0</v>
      </c>
      <c r="O1076" s="60">
        <f>Tabela6[[#This Row],[Proporção]]*Tabela6[[#This Row],[Total]]</f>
        <v>0</v>
      </c>
      <c r="P1076"/>
      <c r="Q1076" s="59"/>
      <c r="R1076" s="1"/>
    </row>
    <row r="1077" spans="1:18">
      <c r="A1077" s="122" t="e">
        <f>IF(VLOOKUP(Tabela6[[#This Row],[UF]],'BASE CC'!B:C,2,0)="SP",IF(Tabela6[[#This Row],[OPERADORA]]="TIM","SP TIM","SPI"),VLOOKUP(Tabela6[[#This Row],[UF]],'BASE CC'!B:C,2,0))</f>
        <v>#N/A</v>
      </c>
      <c r="B1077" s="36" t="e">
        <f>VLOOKUP(Tabela_Base_Financeiro[[#This Row],[Item code]],'COD.FAT'!B:C,2,0)</f>
        <v>#N/A</v>
      </c>
      <c r="C1077" s="292">
        <f>Tabela_Base_Financeiro[[#This Row],[PO Ship TO]]</f>
        <v>0</v>
      </c>
      <c r="D1077" s="36" t="str">
        <f>RIGHT(Tabela_Base_Financeiro[[#This Row],[Manufacturer]],2)</f>
        <v/>
      </c>
      <c r="E107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77" s="122" t="e">
        <f>VLOOKUP(Tabela_Base_Financeiro[[#This Row],[Project Code]],'COD. PROJETOS'!B:D,3,0)</f>
        <v>#N/A</v>
      </c>
      <c r="G1077" s="36">
        <f>IFERROR(Tabela_Base_Financeiro[[#This Row],[PO No,]],0)</f>
        <v>0</v>
      </c>
      <c r="H1077" s="36">
        <f>IFERROR(Tabela_Base_Financeiro[[#This Row],[Line No,]],0)</f>
        <v>0</v>
      </c>
      <c r="I1077" s="36" t="str">
        <f>IFERROR(MID(Tabela_Base_Financeiro[[#This Row],[Manufacturer]],19,14),"")</f>
        <v/>
      </c>
      <c r="J1077" s="113">
        <f>IFERROR(Tabela_Base_Financeiro[[#This Row],[Item code]],0)</f>
        <v>0</v>
      </c>
      <c r="K1077" s="293">
        <f>IFERROR(Tabela_Base_Financeiro[[#This Row],[Unit Price]],0)</f>
        <v>0</v>
      </c>
      <c r="L1077" s="36">
        <f>IFERROR(Tabela_Base_Financeiro[[#This Row],[AC Qty,]],0)</f>
        <v>0</v>
      </c>
      <c r="M1077" s="60">
        <f>Tabela6[[#This Row],[Qty]]*Tabela6[[#This Row],[Preço]]</f>
        <v>0</v>
      </c>
      <c r="N1077" s="37">
        <f>IFERROR(Tabela_Base_Financeiro[[#This Row],[Proportion]],0)</f>
        <v>0</v>
      </c>
      <c r="O1077" s="60">
        <f>Tabela6[[#This Row],[Proporção]]*Tabela6[[#This Row],[Total]]</f>
        <v>0</v>
      </c>
      <c r="P1077"/>
      <c r="Q1077" s="59"/>
      <c r="R1077" s="1"/>
    </row>
    <row r="1078" spans="1:18">
      <c r="A1078" s="122" t="e">
        <f>IF(VLOOKUP(Tabela6[[#This Row],[UF]],'BASE CC'!B:C,2,0)="SP",IF(Tabela6[[#This Row],[OPERADORA]]="TIM","SP TIM","SPI"),VLOOKUP(Tabela6[[#This Row],[UF]],'BASE CC'!B:C,2,0))</f>
        <v>#N/A</v>
      </c>
      <c r="B1078" s="36" t="e">
        <f>VLOOKUP(Tabela_Base_Financeiro[[#This Row],[Item code]],'COD.FAT'!B:C,2,0)</f>
        <v>#N/A</v>
      </c>
      <c r="C1078" s="292">
        <f>Tabela_Base_Financeiro[[#This Row],[PO Ship TO]]</f>
        <v>0</v>
      </c>
      <c r="D1078" s="36" t="str">
        <f>RIGHT(Tabela_Base_Financeiro[[#This Row],[Manufacturer]],2)</f>
        <v/>
      </c>
      <c r="E107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78" s="122" t="e">
        <f>VLOOKUP(Tabela_Base_Financeiro[[#This Row],[Project Code]],'COD. PROJETOS'!B:D,3,0)</f>
        <v>#N/A</v>
      </c>
      <c r="G1078" s="36">
        <f>IFERROR(Tabela_Base_Financeiro[[#This Row],[PO No,]],0)</f>
        <v>0</v>
      </c>
      <c r="H1078" s="36">
        <f>IFERROR(Tabela_Base_Financeiro[[#This Row],[Line No,]],0)</f>
        <v>0</v>
      </c>
      <c r="I1078" s="36" t="str">
        <f>IFERROR(MID(Tabela_Base_Financeiro[[#This Row],[Manufacturer]],19,14),"")</f>
        <v/>
      </c>
      <c r="J1078" s="113">
        <f>IFERROR(Tabela_Base_Financeiro[[#This Row],[Item code]],0)</f>
        <v>0</v>
      </c>
      <c r="K1078" s="293">
        <f>IFERROR(Tabela_Base_Financeiro[[#This Row],[Unit Price]],0)</f>
        <v>0</v>
      </c>
      <c r="L1078" s="36">
        <f>IFERROR(Tabela_Base_Financeiro[[#This Row],[AC Qty,]],0)</f>
        <v>0</v>
      </c>
      <c r="M1078" s="60">
        <f>Tabela6[[#This Row],[Qty]]*Tabela6[[#This Row],[Preço]]</f>
        <v>0</v>
      </c>
      <c r="N1078" s="37">
        <f>IFERROR(Tabela_Base_Financeiro[[#This Row],[Proportion]],0)</f>
        <v>0</v>
      </c>
      <c r="O1078" s="60">
        <f>Tabela6[[#This Row],[Proporção]]*Tabela6[[#This Row],[Total]]</f>
        <v>0</v>
      </c>
      <c r="P1078"/>
      <c r="Q1078" s="59"/>
      <c r="R1078" s="1"/>
    </row>
    <row r="1079" spans="1:18">
      <c r="A1079" s="122" t="e">
        <f>IF(VLOOKUP(Tabela6[[#This Row],[UF]],'BASE CC'!B:C,2,0)="SP",IF(Tabela6[[#This Row],[OPERADORA]]="TIM","SP TIM","SPI"),VLOOKUP(Tabela6[[#This Row],[UF]],'BASE CC'!B:C,2,0))</f>
        <v>#N/A</v>
      </c>
      <c r="B1079" s="36" t="e">
        <f>VLOOKUP(Tabela_Base_Financeiro[[#This Row],[Item code]],'COD.FAT'!B:C,2,0)</f>
        <v>#N/A</v>
      </c>
      <c r="C1079" s="292">
        <f>Tabela_Base_Financeiro[[#This Row],[PO Ship TO]]</f>
        <v>0</v>
      </c>
      <c r="D1079" s="36" t="str">
        <f>RIGHT(Tabela_Base_Financeiro[[#This Row],[Manufacturer]],2)</f>
        <v/>
      </c>
      <c r="E107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79" s="122" t="e">
        <f>VLOOKUP(Tabela_Base_Financeiro[[#This Row],[Project Code]],'COD. PROJETOS'!B:D,3,0)</f>
        <v>#N/A</v>
      </c>
      <c r="G1079" s="36">
        <f>IFERROR(Tabela_Base_Financeiro[[#This Row],[PO No,]],0)</f>
        <v>0</v>
      </c>
      <c r="H1079" s="36">
        <f>IFERROR(Tabela_Base_Financeiro[[#This Row],[Line No,]],0)</f>
        <v>0</v>
      </c>
      <c r="I1079" s="36" t="str">
        <f>IFERROR(MID(Tabela_Base_Financeiro[[#This Row],[Manufacturer]],19,14),"")</f>
        <v/>
      </c>
      <c r="J1079" s="113">
        <f>IFERROR(Tabela_Base_Financeiro[[#This Row],[Item code]],0)</f>
        <v>0</v>
      </c>
      <c r="K1079" s="293">
        <f>IFERROR(Tabela_Base_Financeiro[[#This Row],[Unit Price]],0)</f>
        <v>0</v>
      </c>
      <c r="L1079" s="36">
        <f>IFERROR(Tabela_Base_Financeiro[[#This Row],[AC Qty,]],0)</f>
        <v>0</v>
      </c>
      <c r="M1079" s="60">
        <f>Tabela6[[#This Row],[Qty]]*Tabela6[[#This Row],[Preço]]</f>
        <v>0</v>
      </c>
      <c r="N1079" s="37">
        <f>IFERROR(Tabela_Base_Financeiro[[#This Row],[Proportion]],0)</f>
        <v>0</v>
      </c>
      <c r="O1079" s="60">
        <f>Tabela6[[#This Row],[Proporção]]*Tabela6[[#This Row],[Total]]</f>
        <v>0</v>
      </c>
      <c r="P1079"/>
      <c r="Q1079" s="59"/>
      <c r="R1079" s="1"/>
    </row>
    <row r="1080" spans="1:18">
      <c r="A1080" s="122" t="e">
        <f>IF(VLOOKUP(Tabela6[[#This Row],[UF]],'BASE CC'!B:C,2,0)="SP",IF(Tabela6[[#This Row],[OPERADORA]]="TIM","SP TIM","SPI"),VLOOKUP(Tabela6[[#This Row],[UF]],'BASE CC'!B:C,2,0))</f>
        <v>#N/A</v>
      </c>
      <c r="B1080" s="36" t="e">
        <f>VLOOKUP(Tabela_Base_Financeiro[[#This Row],[Item code]],'COD.FAT'!B:C,2,0)</f>
        <v>#N/A</v>
      </c>
      <c r="C1080" s="292">
        <f>Tabela_Base_Financeiro[[#This Row],[PO Ship TO]]</f>
        <v>0</v>
      </c>
      <c r="D1080" s="36" t="str">
        <f>RIGHT(Tabela_Base_Financeiro[[#This Row],[Manufacturer]],2)</f>
        <v/>
      </c>
      <c r="E108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80" s="122" t="e">
        <f>VLOOKUP(Tabela_Base_Financeiro[[#This Row],[Project Code]],'COD. PROJETOS'!B:D,3,0)</f>
        <v>#N/A</v>
      </c>
      <c r="G1080" s="36">
        <f>IFERROR(Tabela_Base_Financeiro[[#This Row],[PO No,]],0)</f>
        <v>0</v>
      </c>
      <c r="H1080" s="36">
        <f>IFERROR(Tabela_Base_Financeiro[[#This Row],[Line No,]],0)</f>
        <v>0</v>
      </c>
      <c r="I1080" s="36" t="str">
        <f>IFERROR(MID(Tabela_Base_Financeiro[[#This Row],[Manufacturer]],19,14),"")</f>
        <v/>
      </c>
      <c r="J1080" s="113">
        <f>IFERROR(Tabela_Base_Financeiro[[#This Row],[Item code]],0)</f>
        <v>0</v>
      </c>
      <c r="K1080" s="293">
        <f>IFERROR(Tabela_Base_Financeiro[[#This Row],[Unit Price]],0)</f>
        <v>0</v>
      </c>
      <c r="L1080" s="36">
        <f>IFERROR(Tabela_Base_Financeiro[[#This Row],[AC Qty,]],0)</f>
        <v>0</v>
      </c>
      <c r="M1080" s="60">
        <f>Tabela6[[#This Row],[Qty]]*Tabela6[[#This Row],[Preço]]</f>
        <v>0</v>
      </c>
      <c r="N1080" s="37">
        <f>IFERROR(Tabela_Base_Financeiro[[#This Row],[Proportion]],0)</f>
        <v>0</v>
      </c>
      <c r="O1080" s="60">
        <f>Tabela6[[#This Row],[Proporção]]*Tabela6[[#This Row],[Total]]</f>
        <v>0</v>
      </c>
      <c r="P1080"/>
      <c r="Q1080" s="59"/>
      <c r="R1080" s="1"/>
    </row>
    <row r="1081" spans="1:18">
      <c r="A1081" s="122" t="e">
        <f>IF(VLOOKUP(Tabela6[[#This Row],[UF]],'BASE CC'!B:C,2,0)="SP",IF(Tabela6[[#This Row],[OPERADORA]]="TIM","SP TIM","SPI"),VLOOKUP(Tabela6[[#This Row],[UF]],'BASE CC'!B:C,2,0))</f>
        <v>#N/A</v>
      </c>
      <c r="B1081" s="36" t="e">
        <f>VLOOKUP(Tabela_Base_Financeiro[[#This Row],[Item code]],'COD.FAT'!B:C,2,0)</f>
        <v>#N/A</v>
      </c>
      <c r="C1081" s="292">
        <f>Tabela_Base_Financeiro[[#This Row],[PO Ship TO]]</f>
        <v>0</v>
      </c>
      <c r="D1081" s="36" t="str">
        <f>RIGHT(Tabela_Base_Financeiro[[#This Row],[Manufacturer]],2)</f>
        <v/>
      </c>
      <c r="E108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81" s="122" t="e">
        <f>VLOOKUP(Tabela_Base_Financeiro[[#This Row],[Project Code]],'COD. PROJETOS'!B:D,3,0)</f>
        <v>#N/A</v>
      </c>
      <c r="G1081" s="36">
        <f>IFERROR(Tabela_Base_Financeiro[[#This Row],[PO No,]],0)</f>
        <v>0</v>
      </c>
      <c r="H1081" s="36">
        <f>IFERROR(Tabela_Base_Financeiro[[#This Row],[Line No,]],0)</f>
        <v>0</v>
      </c>
      <c r="I1081" s="36" t="str">
        <f>IFERROR(MID(Tabela_Base_Financeiro[[#This Row],[Manufacturer]],19,14),"")</f>
        <v/>
      </c>
      <c r="J1081" s="113">
        <f>IFERROR(Tabela_Base_Financeiro[[#This Row],[Item code]],0)</f>
        <v>0</v>
      </c>
      <c r="K1081" s="293">
        <f>IFERROR(Tabela_Base_Financeiro[[#This Row],[Unit Price]],0)</f>
        <v>0</v>
      </c>
      <c r="L1081" s="36">
        <f>IFERROR(Tabela_Base_Financeiro[[#This Row],[AC Qty,]],0)</f>
        <v>0</v>
      </c>
      <c r="M1081" s="60">
        <f>Tabela6[[#This Row],[Qty]]*Tabela6[[#This Row],[Preço]]</f>
        <v>0</v>
      </c>
      <c r="N1081" s="37">
        <f>IFERROR(Tabela_Base_Financeiro[[#This Row],[Proportion]],0)</f>
        <v>0</v>
      </c>
      <c r="O1081" s="60">
        <f>Tabela6[[#This Row],[Proporção]]*Tabela6[[#This Row],[Total]]</f>
        <v>0</v>
      </c>
      <c r="P1081"/>
      <c r="Q1081" s="59"/>
      <c r="R1081" s="1"/>
    </row>
    <row r="1082" spans="1:18">
      <c r="A1082" s="122" t="e">
        <f>IF(VLOOKUP(Tabela6[[#This Row],[UF]],'BASE CC'!B:C,2,0)="SP",IF(Tabela6[[#This Row],[OPERADORA]]="TIM","SP TIM","SPI"),VLOOKUP(Tabela6[[#This Row],[UF]],'BASE CC'!B:C,2,0))</f>
        <v>#N/A</v>
      </c>
      <c r="B1082" s="36" t="e">
        <f>VLOOKUP(Tabela_Base_Financeiro[[#This Row],[Item code]],'COD.FAT'!B:C,2,0)</f>
        <v>#N/A</v>
      </c>
      <c r="C1082" s="292">
        <f>Tabela_Base_Financeiro[[#This Row],[PO Ship TO]]</f>
        <v>0</v>
      </c>
      <c r="D1082" s="36" t="str">
        <f>RIGHT(Tabela_Base_Financeiro[[#This Row],[Manufacturer]],2)</f>
        <v/>
      </c>
      <c r="E108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82" s="122" t="e">
        <f>VLOOKUP(Tabela_Base_Financeiro[[#This Row],[Project Code]],'COD. PROJETOS'!B:D,3,0)</f>
        <v>#N/A</v>
      </c>
      <c r="G1082" s="36">
        <f>IFERROR(Tabela_Base_Financeiro[[#This Row],[PO No,]],0)</f>
        <v>0</v>
      </c>
      <c r="H1082" s="36">
        <f>IFERROR(Tabela_Base_Financeiro[[#This Row],[Line No,]],0)</f>
        <v>0</v>
      </c>
      <c r="I1082" s="36" t="str">
        <f>IFERROR(MID(Tabela_Base_Financeiro[[#This Row],[Manufacturer]],19,14),"")</f>
        <v/>
      </c>
      <c r="J1082" s="113">
        <f>IFERROR(Tabela_Base_Financeiro[[#This Row],[Item code]],0)</f>
        <v>0</v>
      </c>
      <c r="K1082" s="293">
        <f>IFERROR(Tabela_Base_Financeiro[[#This Row],[Unit Price]],0)</f>
        <v>0</v>
      </c>
      <c r="L1082" s="36">
        <f>IFERROR(Tabela_Base_Financeiro[[#This Row],[AC Qty,]],0)</f>
        <v>0</v>
      </c>
      <c r="M1082" s="60">
        <f>Tabela6[[#This Row],[Qty]]*Tabela6[[#This Row],[Preço]]</f>
        <v>0</v>
      </c>
      <c r="N1082" s="37">
        <f>IFERROR(Tabela_Base_Financeiro[[#This Row],[Proportion]],0)</f>
        <v>0</v>
      </c>
      <c r="O1082" s="60">
        <f>Tabela6[[#This Row],[Proporção]]*Tabela6[[#This Row],[Total]]</f>
        <v>0</v>
      </c>
      <c r="P1082"/>
      <c r="Q1082" s="59"/>
      <c r="R1082" s="1"/>
    </row>
    <row r="1083" spans="1:18">
      <c r="A1083" s="122" t="e">
        <f>IF(VLOOKUP(Tabela6[[#This Row],[UF]],'BASE CC'!B:C,2,0)="SP",IF(Tabela6[[#This Row],[OPERADORA]]="TIM","SP TIM","SPI"),VLOOKUP(Tabela6[[#This Row],[UF]],'BASE CC'!B:C,2,0))</f>
        <v>#N/A</v>
      </c>
      <c r="B1083" s="36" t="e">
        <f>VLOOKUP(Tabela_Base_Financeiro[[#This Row],[Item code]],'COD.FAT'!B:C,2,0)</f>
        <v>#N/A</v>
      </c>
      <c r="C1083" s="292">
        <f>Tabela_Base_Financeiro[[#This Row],[PO Ship TO]]</f>
        <v>0</v>
      </c>
      <c r="D1083" s="36" t="str">
        <f>RIGHT(Tabela_Base_Financeiro[[#This Row],[Manufacturer]],2)</f>
        <v/>
      </c>
      <c r="E108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83" s="122" t="e">
        <f>VLOOKUP(Tabela_Base_Financeiro[[#This Row],[Project Code]],'COD. PROJETOS'!B:D,3,0)</f>
        <v>#N/A</v>
      </c>
      <c r="G1083" s="36">
        <f>IFERROR(Tabela_Base_Financeiro[[#This Row],[PO No,]],0)</f>
        <v>0</v>
      </c>
      <c r="H1083" s="36">
        <f>IFERROR(Tabela_Base_Financeiro[[#This Row],[Line No,]],0)</f>
        <v>0</v>
      </c>
      <c r="I1083" s="36" t="str">
        <f>IFERROR(MID(Tabela_Base_Financeiro[[#This Row],[Manufacturer]],19,14),"")</f>
        <v/>
      </c>
      <c r="J1083" s="113">
        <f>IFERROR(Tabela_Base_Financeiro[[#This Row],[Item code]],0)</f>
        <v>0</v>
      </c>
      <c r="K1083" s="293">
        <f>IFERROR(Tabela_Base_Financeiro[[#This Row],[Unit Price]],0)</f>
        <v>0</v>
      </c>
      <c r="L1083" s="36">
        <f>IFERROR(Tabela_Base_Financeiro[[#This Row],[AC Qty,]],0)</f>
        <v>0</v>
      </c>
      <c r="M1083" s="60">
        <f>Tabela6[[#This Row],[Qty]]*Tabela6[[#This Row],[Preço]]</f>
        <v>0</v>
      </c>
      <c r="N1083" s="37">
        <f>IFERROR(Tabela_Base_Financeiro[[#This Row],[Proportion]],0)</f>
        <v>0</v>
      </c>
      <c r="O1083" s="60">
        <f>Tabela6[[#This Row],[Proporção]]*Tabela6[[#This Row],[Total]]</f>
        <v>0</v>
      </c>
      <c r="P1083"/>
      <c r="Q1083" s="59"/>
      <c r="R1083" s="1"/>
    </row>
    <row r="1084" spans="1:18">
      <c r="A1084" s="122" t="e">
        <f>IF(VLOOKUP(Tabela6[[#This Row],[UF]],'BASE CC'!B:C,2,0)="SP",IF(Tabela6[[#This Row],[OPERADORA]]="TIM","SP TIM","SPI"),VLOOKUP(Tabela6[[#This Row],[UF]],'BASE CC'!B:C,2,0))</f>
        <v>#N/A</v>
      </c>
      <c r="B1084" s="36" t="e">
        <f>VLOOKUP(Tabela_Base_Financeiro[[#This Row],[Item code]],'COD.FAT'!B:C,2,0)</f>
        <v>#N/A</v>
      </c>
      <c r="C1084" s="292">
        <f>Tabela_Base_Financeiro[[#This Row],[PO Ship TO]]</f>
        <v>0</v>
      </c>
      <c r="D1084" s="36" t="str">
        <f>RIGHT(Tabela_Base_Financeiro[[#This Row],[Manufacturer]],2)</f>
        <v/>
      </c>
      <c r="E108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84" s="122" t="e">
        <f>VLOOKUP(Tabela_Base_Financeiro[[#This Row],[Project Code]],'COD. PROJETOS'!B:D,3,0)</f>
        <v>#N/A</v>
      </c>
      <c r="G1084" s="36">
        <f>IFERROR(Tabela_Base_Financeiro[[#This Row],[PO No,]],0)</f>
        <v>0</v>
      </c>
      <c r="H1084" s="36">
        <f>IFERROR(Tabela_Base_Financeiro[[#This Row],[Line No,]],0)</f>
        <v>0</v>
      </c>
      <c r="I1084" s="36" t="str">
        <f>IFERROR(MID(Tabela_Base_Financeiro[[#This Row],[Manufacturer]],19,14),"")</f>
        <v/>
      </c>
      <c r="J1084" s="113">
        <f>IFERROR(Tabela_Base_Financeiro[[#This Row],[Item code]],0)</f>
        <v>0</v>
      </c>
      <c r="K1084" s="293">
        <f>IFERROR(Tabela_Base_Financeiro[[#This Row],[Unit Price]],0)</f>
        <v>0</v>
      </c>
      <c r="L1084" s="36">
        <f>IFERROR(Tabela_Base_Financeiro[[#This Row],[AC Qty,]],0)</f>
        <v>0</v>
      </c>
      <c r="M1084" s="60">
        <f>Tabela6[[#This Row],[Qty]]*Tabela6[[#This Row],[Preço]]</f>
        <v>0</v>
      </c>
      <c r="N1084" s="37">
        <f>IFERROR(Tabela_Base_Financeiro[[#This Row],[Proportion]],0)</f>
        <v>0</v>
      </c>
      <c r="O1084" s="60">
        <f>Tabela6[[#This Row],[Proporção]]*Tabela6[[#This Row],[Total]]</f>
        <v>0</v>
      </c>
      <c r="P1084"/>
      <c r="Q1084" s="59"/>
      <c r="R1084" s="1"/>
    </row>
    <row r="1085" spans="1:18">
      <c r="A1085" s="122" t="e">
        <f>IF(VLOOKUP(Tabela6[[#This Row],[UF]],'BASE CC'!B:C,2,0)="SP",IF(Tabela6[[#This Row],[OPERADORA]]="TIM","SP TIM","SPI"),VLOOKUP(Tabela6[[#This Row],[UF]],'BASE CC'!B:C,2,0))</f>
        <v>#N/A</v>
      </c>
      <c r="B1085" s="36" t="e">
        <f>VLOOKUP(Tabela_Base_Financeiro[[#This Row],[Item code]],'COD.FAT'!B:C,2,0)</f>
        <v>#N/A</v>
      </c>
      <c r="C1085" s="292">
        <f>Tabela_Base_Financeiro[[#This Row],[PO Ship TO]]</f>
        <v>0</v>
      </c>
      <c r="D1085" s="36" t="str">
        <f>RIGHT(Tabela_Base_Financeiro[[#This Row],[Manufacturer]],2)</f>
        <v/>
      </c>
      <c r="E108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85" s="122" t="e">
        <f>VLOOKUP(Tabela_Base_Financeiro[[#This Row],[Project Code]],'COD. PROJETOS'!B:D,3,0)</f>
        <v>#N/A</v>
      </c>
      <c r="G1085" s="36">
        <f>IFERROR(Tabela_Base_Financeiro[[#This Row],[PO No,]],0)</f>
        <v>0</v>
      </c>
      <c r="H1085" s="36">
        <f>IFERROR(Tabela_Base_Financeiro[[#This Row],[Line No,]],0)</f>
        <v>0</v>
      </c>
      <c r="I1085" s="36" t="str">
        <f>IFERROR(MID(Tabela_Base_Financeiro[[#This Row],[Manufacturer]],19,14),"")</f>
        <v/>
      </c>
      <c r="J1085" s="113">
        <f>IFERROR(Tabela_Base_Financeiro[[#This Row],[Item code]],0)</f>
        <v>0</v>
      </c>
      <c r="K1085" s="293">
        <f>IFERROR(Tabela_Base_Financeiro[[#This Row],[Unit Price]],0)</f>
        <v>0</v>
      </c>
      <c r="L1085" s="36">
        <f>IFERROR(Tabela_Base_Financeiro[[#This Row],[AC Qty,]],0)</f>
        <v>0</v>
      </c>
      <c r="M1085" s="60">
        <f>Tabela6[[#This Row],[Qty]]*Tabela6[[#This Row],[Preço]]</f>
        <v>0</v>
      </c>
      <c r="N1085" s="37">
        <f>IFERROR(Tabela_Base_Financeiro[[#This Row],[Proportion]],0)</f>
        <v>0</v>
      </c>
      <c r="O1085" s="60">
        <f>Tabela6[[#This Row],[Proporção]]*Tabela6[[#This Row],[Total]]</f>
        <v>0</v>
      </c>
      <c r="P1085"/>
      <c r="Q1085" s="59"/>
      <c r="R1085" s="1"/>
    </row>
    <row r="1086" spans="1:18">
      <c r="A1086" s="122" t="e">
        <f>IF(VLOOKUP(Tabela6[[#This Row],[UF]],'BASE CC'!B:C,2,0)="SP",IF(Tabela6[[#This Row],[OPERADORA]]="TIM","SP TIM","SPI"),VLOOKUP(Tabela6[[#This Row],[UF]],'BASE CC'!B:C,2,0))</f>
        <v>#N/A</v>
      </c>
      <c r="B1086" s="36" t="e">
        <f>VLOOKUP(Tabela_Base_Financeiro[[#This Row],[Item code]],'COD.FAT'!B:C,2,0)</f>
        <v>#N/A</v>
      </c>
      <c r="C1086" s="292">
        <f>Tabela_Base_Financeiro[[#This Row],[PO Ship TO]]</f>
        <v>0</v>
      </c>
      <c r="D1086" s="36" t="str">
        <f>RIGHT(Tabela_Base_Financeiro[[#This Row],[Manufacturer]],2)</f>
        <v/>
      </c>
      <c r="E108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86" s="122" t="e">
        <f>VLOOKUP(Tabela_Base_Financeiro[[#This Row],[Project Code]],'COD. PROJETOS'!B:D,3,0)</f>
        <v>#N/A</v>
      </c>
      <c r="G1086" s="36">
        <f>IFERROR(Tabela_Base_Financeiro[[#This Row],[PO No,]],0)</f>
        <v>0</v>
      </c>
      <c r="H1086" s="36">
        <f>IFERROR(Tabela_Base_Financeiro[[#This Row],[Line No,]],0)</f>
        <v>0</v>
      </c>
      <c r="I1086" s="36" t="str">
        <f>IFERROR(MID(Tabela_Base_Financeiro[[#This Row],[Manufacturer]],19,14),"")</f>
        <v/>
      </c>
      <c r="J1086" s="113">
        <f>IFERROR(Tabela_Base_Financeiro[[#This Row],[Item code]],0)</f>
        <v>0</v>
      </c>
      <c r="K1086" s="293">
        <f>IFERROR(Tabela_Base_Financeiro[[#This Row],[Unit Price]],0)</f>
        <v>0</v>
      </c>
      <c r="L1086" s="36">
        <f>IFERROR(Tabela_Base_Financeiro[[#This Row],[AC Qty,]],0)</f>
        <v>0</v>
      </c>
      <c r="M1086" s="60">
        <f>Tabela6[[#This Row],[Qty]]*Tabela6[[#This Row],[Preço]]</f>
        <v>0</v>
      </c>
      <c r="N1086" s="37">
        <f>IFERROR(Tabela_Base_Financeiro[[#This Row],[Proportion]],0)</f>
        <v>0</v>
      </c>
      <c r="O1086" s="60">
        <f>Tabela6[[#This Row],[Proporção]]*Tabela6[[#This Row],[Total]]</f>
        <v>0</v>
      </c>
      <c r="P1086"/>
      <c r="Q1086" s="59"/>
      <c r="R1086" s="1"/>
    </row>
    <row r="1087" spans="1:18">
      <c r="A1087" s="122" t="e">
        <f>IF(VLOOKUP(Tabela6[[#This Row],[UF]],'BASE CC'!B:C,2,0)="SP",IF(Tabela6[[#This Row],[OPERADORA]]="TIM","SP TIM","SPI"),VLOOKUP(Tabela6[[#This Row],[UF]],'BASE CC'!B:C,2,0))</f>
        <v>#N/A</v>
      </c>
      <c r="B1087" s="36" t="e">
        <f>VLOOKUP(Tabela_Base_Financeiro[[#This Row],[Item code]],'COD.FAT'!B:C,2,0)</f>
        <v>#N/A</v>
      </c>
      <c r="C1087" s="292">
        <f>Tabela_Base_Financeiro[[#This Row],[PO Ship TO]]</f>
        <v>0</v>
      </c>
      <c r="D1087" s="36" t="str">
        <f>RIGHT(Tabela_Base_Financeiro[[#This Row],[Manufacturer]],2)</f>
        <v/>
      </c>
      <c r="E108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87" s="122" t="e">
        <f>VLOOKUP(Tabela_Base_Financeiro[[#This Row],[Project Code]],'COD. PROJETOS'!B:D,3,0)</f>
        <v>#N/A</v>
      </c>
      <c r="G1087" s="36">
        <f>IFERROR(Tabela_Base_Financeiro[[#This Row],[PO No,]],0)</f>
        <v>0</v>
      </c>
      <c r="H1087" s="36">
        <f>IFERROR(Tabela_Base_Financeiro[[#This Row],[Line No,]],0)</f>
        <v>0</v>
      </c>
      <c r="I1087" s="36" t="str">
        <f>IFERROR(MID(Tabela_Base_Financeiro[[#This Row],[Manufacturer]],19,14),"")</f>
        <v/>
      </c>
      <c r="J1087" s="113">
        <f>IFERROR(Tabela_Base_Financeiro[[#This Row],[Item code]],0)</f>
        <v>0</v>
      </c>
      <c r="K1087" s="293">
        <f>IFERROR(Tabela_Base_Financeiro[[#This Row],[Unit Price]],0)</f>
        <v>0</v>
      </c>
      <c r="L1087" s="36">
        <f>IFERROR(Tabela_Base_Financeiro[[#This Row],[AC Qty,]],0)</f>
        <v>0</v>
      </c>
      <c r="M1087" s="60">
        <f>Tabela6[[#This Row],[Qty]]*Tabela6[[#This Row],[Preço]]</f>
        <v>0</v>
      </c>
      <c r="N1087" s="37">
        <f>IFERROR(Tabela_Base_Financeiro[[#This Row],[Proportion]],0)</f>
        <v>0</v>
      </c>
      <c r="O1087" s="60">
        <f>Tabela6[[#This Row],[Proporção]]*Tabela6[[#This Row],[Total]]</f>
        <v>0</v>
      </c>
      <c r="P1087"/>
      <c r="Q1087" s="59"/>
      <c r="R1087" s="1"/>
    </row>
    <row r="1088" spans="1:18">
      <c r="A1088" s="122" t="e">
        <f>IF(VLOOKUP(Tabela6[[#This Row],[UF]],'BASE CC'!B:C,2,0)="SP",IF(Tabela6[[#This Row],[OPERADORA]]="TIM","SP TIM","SPI"),VLOOKUP(Tabela6[[#This Row],[UF]],'BASE CC'!B:C,2,0))</f>
        <v>#N/A</v>
      </c>
      <c r="B1088" s="36" t="e">
        <f>VLOOKUP(Tabela_Base_Financeiro[[#This Row],[Item code]],'COD.FAT'!B:C,2,0)</f>
        <v>#N/A</v>
      </c>
      <c r="C1088" s="292">
        <f>Tabela_Base_Financeiro[[#This Row],[PO Ship TO]]</f>
        <v>0</v>
      </c>
      <c r="D1088" s="36" t="str">
        <f>RIGHT(Tabela_Base_Financeiro[[#This Row],[Manufacturer]],2)</f>
        <v/>
      </c>
      <c r="E108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88" s="122" t="e">
        <f>VLOOKUP(Tabela_Base_Financeiro[[#This Row],[Project Code]],'COD. PROJETOS'!B:D,3,0)</f>
        <v>#N/A</v>
      </c>
      <c r="G1088" s="36">
        <f>IFERROR(Tabela_Base_Financeiro[[#This Row],[PO No,]],0)</f>
        <v>0</v>
      </c>
      <c r="H1088" s="36">
        <f>IFERROR(Tabela_Base_Financeiro[[#This Row],[Line No,]],0)</f>
        <v>0</v>
      </c>
      <c r="I1088" s="36" t="str">
        <f>IFERROR(MID(Tabela_Base_Financeiro[[#This Row],[Manufacturer]],19,14),"")</f>
        <v/>
      </c>
      <c r="J1088" s="113">
        <f>IFERROR(Tabela_Base_Financeiro[[#This Row],[Item code]],0)</f>
        <v>0</v>
      </c>
      <c r="K1088" s="293">
        <f>IFERROR(Tabela_Base_Financeiro[[#This Row],[Unit Price]],0)</f>
        <v>0</v>
      </c>
      <c r="L1088" s="36">
        <f>IFERROR(Tabela_Base_Financeiro[[#This Row],[AC Qty,]],0)</f>
        <v>0</v>
      </c>
      <c r="M1088" s="60">
        <f>Tabela6[[#This Row],[Qty]]*Tabela6[[#This Row],[Preço]]</f>
        <v>0</v>
      </c>
      <c r="N1088" s="37">
        <f>IFERROR(Tabela_Base_Financeiro[[#This Row],[Proportion]],0)</f>
        <v>0</v>
      </c>
      <c r="O1088" s="60">
        <f>Tabela6[[#This Row],[Proporção]]*Tabela6[[#This Row],[Total]]</f>
        <v>0</v>
      </c>
      <c r="P1088"/>
      <c r="Q1088" s="59"/>
      <c r="R1088" s="1"/>
    </row>
    <row r="1089" spans="1:18">
      <c r="A1089" s="122" t="e">
        <f>IF(VLOOKUP(Tabela6[[#This Row],[UF]],'BASE CC'!B:C,2,0)="SP",IF(Tabela6[[#This Row],[OPERADORA]]="TIM","SP TIM","SPI"),VLOOKUP(Tabela6[[#This Row],[UF]],'BASE CC'!B:C,2,0))</f>
        <v>#N/A</v>
      </c>
      <c r="B1089" s="36" t="e">
        <f>VLOOKUP(Tabela_Base_Financeiro[[#This Row],[Item code]],'COD.FAT'!B:C,2,0)</f>
        <v>#N/A</v>
      </c>
      <c r="C1089" s="292">
        <f>Tabela_Base_Financeiro[[#This Row],[PO Ship TO]]</f>
        <v>0</v>
      </c>
      <c r="D1089" s="36" t="str">
        <f>RIGHT(Tabela_Base_Financeiro[[#This Row],[Manufacturer]],2)</f>
        <v/>
      </c>
      <c r="E108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89" s="122" t="e">
        <f>VLOOKUP(Tabela_Base_Financeiro[[#This Row],[Project Code]],'COD. PROJETOS'!B:D,3,0)</f>
        <v>#N/A</v>
      </c>
      <c r="G1089" s="36">
        <f>IFERROR(Tabela_Base_Financeiro[[#This Row],[PO No,]],0)</f>
        <v>0</v>
      </c>
      <c r="H1089" s="36">
        <f>IFERROR(Tabela_Base_Financeiro[[#This Row],[Line No,]],0)</f>
        <v>0</v>
      </c>
      <c r="I1089" s="36" t="str">
        <f>IFERROR(MID(Tabela_Base_Financeiro[[#This Row],[Manufacturer]],19,14),"")</f>
        <v/>
      </c>
      <c r="J1089" s="113">
        <f>IFERROR(Tabela_Base_Financeiro[[#This Row],[Item code]],0)</f>
        <v>0</v>
      </c>
      <c r="K1089" s="293">
        <f>IFERROR(Tabela_Base_Financeiro[[#This Row],[Unit Price]],0)</f>
        <v>0</v>
      </c>
      <c r="L1089" s="36">
        <f>IFERROR(Tabela_Base_Financeiro[[#This Row],[AC Qty,]],0)</f>
        <v>0</v>
      </c>
      <c r="M1089" s="60">
        <f>Tabela6[[#This Row],[Qty]]*Tabela6[[#This Row],[Preço]]</f>
        <v>0</v>
      </c>
      <c r="N1089" s="37">
        <f>IFERROR(Tabela_Base_Financeiro[[#This Row],[Proportion]],0)</f>
        <v>0</v>
      </c>
      <c r="O1089" s="60">
        <f>Tabela6[[#This Row],[Proporção]]*Tabela6[[#This Row],[Total]]</f>
        <v>0</v>
      </c>
      <c r="P1089"/>
      <c r="Q1089" s="59"/>
      <c r="R1089" s="1"/>
    </row>
    <row r="1090" spans="1:18">
      <c r="A1090" s="122" t="e">
        <f>IF(VLOOKUP(Tabela6[[#This Row],[UF]],'BASE CC'!B:C,2,0)="SP",IF(Tabela6[[#This Row],[OPERADORA]]="TIM","SP TIM","SPI"),VLOOKUP(Tabela6[[#This Row],[UF]],'BASE CC'!B:C,2,0))</f>
        <v>#N/A</v>
      </c>
      <c r="B1090" s="36" t="e">
        <f>VLOOKUP(Tabela_Base_Financeiro[[#This Row],[Item code]],'COD.FAT'!B:C,2,0)</f>
        <v>#N/A</v>
      </c>
      <c r="C1090" s="292">
        <f>Tabela_Base_Financeiro[[#This Row],[PO Ship TO]]</f>
        <v>0</v>
      </c>
      <c r="D1090" s="36" t="str">
        <f>RIGHT(Tabela_Base_Financeiro[[#This Row],[Manufacturer]],2)</f>
        <v/>
      </c>
      <c r="E109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90" s="122" t="e">
        <f>VLOOKUP(Tabela_Base_Financeiro[[#This Row],[Project Code]],'COD. PROJETOS'!B:D,3,0)</f>
        <v>#N/A</v>
      </c>
      <c r="G1090" s="36">
        <f>IFERROR(Tabela_Base_Financeiro[[#This Row],[PO No,]],0)</f>
        <v>0</v>
      </c>
      <c r="H1090" s="36">
        <f>IFERROR(Tabela_Base_Financeiro[[#This Row],[Line No,]],0)</f>
        <v>0</v>
      </c>
      <c r="I1090" s="36" t="str">
        <f>IFERROR(MID(Tabela_Base_Financeiro[[#This Row],[Manufacturer]],19,14),"")</f>
        <v/>
      </c>
      <c r="J1090" s="113">
        <f>IFERROR(Tabela_Base_Financeiro[[#This Row],[Item code]],0)</f>
        <v>0</v>
      </c>
      <c r="K1090" s="293">
        <f>IFERROR(Tabela_Base_Financeiro[[#This Row],[Unit Price]],0)</f>
        <v>0</v>
      </c>
      <c r="L1090" s="36">
        <f>IFERROR(Tabela_Base_Financeiro[[#This Row],[AC Qty,]],0)</f>
        <v>0</v>
      </c>
      <c r="M1090" s="60">
        <f>Tabela6[[#This Row],[Qty]]*Tabela6[[#This Row],[Preço]]</f>
        <v>0</v>
      </c>
      <c r="N1090" s="37">
        <f>IFERROR(Tabela_Base_Financeiro[[#This Row],[Proportion]],0)</f>
        <v>0</v>
      </c>
      <c r="O1090" s="60">
        <f>Tabela6[[#This Row],[Proporção]]*Tabela6[[#This Row],[Total]]</f>
        <v>0</v>
      </c>
      <c r="P1090"/>
      <c r="Q1090" s="59"/>
      <c r="R1090" s="1"/>
    </row>
    <row r="1091" spans="1:18">
      <c r="A1091" s="122" t="e">
        <f>IF(VLOOKUP(Tabela6[[#This Row],[UF]],'BASE CC'!B:C,2,0)="SP",IF(Tabela6[[#This Row],[OPERADORA]]="TIM","SP TIM","SPI"),VLOOKUP(Tabela6[[#This Row],[UF]],'BASE CC'!B:C,2,0))</f>
        <v>#N/A</v>
      </c>
      <c r="B1091" s="36" t="e">
        <f>VLOOKUP(Tabela_Base_Financeiro[[#This Row],[Item code]],'COD.FAT'!B:C,2,0)</f>
        <v>#N/A</v>
      </c>
      <c r="C1091" s="292">
        <f>Tabela_Base_Financeiro[[#This Row],[PO Ship TO]]</f>
        <v>0</v>
      </c>
      <c r="D1091" s="36" t="str">
        <f>RIGHT(Tabela_Base_Financeiro[[#This Row],[Manufacturer]],2)</f>
        <v/>
      </c>
      <c r="E109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91" s="122" t="e">
        <f>VLOOKUP(Tabela_Base_Financeiro[[#This Row],[Project Code]],'COD. PROJETOS'!B:D,3,0)</f>
        <v>#N/A</v>
      </c>
      <c r="G1091" s="36">
        <f>IFERROR(Tabela_Base_Financeiro[[#This Row],[PO No,]],0)</f>
        <v>0</v>
      </c>
      <c r="H1091" s="36">
        <f>IFERROR(Tabela_Base_Financeiro[[#This Row],[Line No,]],0)</f>
        <v>0</v>
      </c>
      <c r="I1091" s="36" t="str">
        <f>IFERROR(MID(Tabela_Base_Financeiro[[#This Row],[Manufacturer]],19,14),"")</f>
        <v/>
      </c>
      <c r="J1091" s="113">
        <f>IFERROR(Tabela_Base_Financeiro[[#This Row],[Item code]],0)</f>
        <v>0</v>
      </c>
      <c r="K1091" s="293">
        <f>IFERROR(Tabela_Base_Financeiro[[#This Row],[Unit Price]],0)</f>
        <v>0</v>
      </c>
      <c r="L1091" s="36">
        <f>IFERROR(Tabela_Base_Financeiro[[#This Row],[AC Qty,]],0)</f>
        <v>0</v>
      </c>
      <c r="M1091" s="60">
        <f>Tabela6[[#This Row],[Qty]]*Tabela6[[#This Row],[Preço]]</f>
        <v>0</v>
      </c>
      <c r="N1091" s="37">
        <f>IFERROR(Tabela_Base_Financeiro[[#This Row],[Proportion]],0)</f>
        <v>0</v>
      </c>
      <c r="O1091" s="60">
        <f>Tabela6[[#This Row],[Proporção]]*Tabela6[[#This Row],[Total]]</f>
        <v>0</v>
      </c>
      <c r="P1091"/>
      <c r="Q1091" s="59"/>
      <c r="R1091" s="1"/>
    </row>
    <row r="1092" spans="1:18">
      <c r="A1092" s="122" t="e">
        <f>IF(VLOOKUP(Tabela6[[#This Row],[UF]],'BASE CC'!B:C,2,0)="SP",IF(Tabela6[[#This Row],[OPERADORA]]="TIM","SP TIM","SPI"),VLOOKUP(Tabela6[[#This Row],[UF]],'BASE CC'!B:C,2,0))</f>
        <v>#N/A</v>
      </c>
      <c r="B1092" s="36" t="e">
        <f>VLOOKUP(Tabela_Base_Financeiro[[#This Row],[Item code]],'COD.FAT'!B:C,2,0)</f>
        <v>#N/A</v>
      </c>
      <c r="C1092" s="292">
        <f>Tabela_Base_Financeiro[[#This Row],[PO Ship TO]]</f>
        <v>0</v>
      </c>
      <c r="D1092" s="36" t="str">
        <f>RIGHT(Tabela_Base_Financeiro[[#This Row],[Manufacturer]],2)</f>
        <v/>
      </c>
      <c r="E109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92" s="122" t="e">
        <f>VLOOKUP(Tabela_Base_Financeiro[[#This Row],[Project Code]],'COD. PROJETOS'!B:D,3,0)</f>
        <v>#N/A</v>
      </c>
      <c r="G1092" s="36">
        <f>IFERROR(Tabela_Base_Financeiro[[#This Row],[PO No,]],0)</f>
        <v>0</v>
      </c>
      <c r="H1092" s="36">
        <f>IFERROR(Tabela_Base_Financeiro[[#This Row],[Line No,]],0)</f>
        <v>0</v>
      </c>
      <c r="I1092" s="36" t="str">
        <f>IFERROR(MID(Tabela_Base_Financeiro[[#This Row],[Manufacturer]],19,14),"")</f>
        <v/>
      </c>
      <c r="J1092" s="113">
        <f>IFERROR(Tabela_Base_Financeiro[[#This Row],[Item code]],0)</f>
        <v>0</v>
      </c>
      <c r="K1092" s="293">
        <f>IFERROR(Tabela_Base_Financeiro[[#This Row],[Unit Price]],0)</f>
        <v>0</v>
      </c>
      <c r="L1092" s="36">
        <f>IFERROR(Tabela_Base_Financeiro[[#This Row],[AC Qty,]],0)</f>
        <v>0</v>
      </c>
      <c r="M1092" s="60">
        <f>Tabela6[[#This Row],[Qty]]*Tabela6[[#This Row],[Preço]]</f>
        <v>0</v>
      </c>
      <c r="N1092" s="37">
        <f>IFERROR(Tabela_Base_Financeiro[[#This Row],[Proportion]],0)</f>
        <v>0</v>
      </c>
      <c r="O1092" s="60">
        <f>Tabela6[[#This Row],[Proporção]]*Tabela6[[#This Row],[Total]]</f>
        <v>0</v>
      </c>
      <c r="P1092"/>
      <c r="Q1092" s="59"/>
      <c r="R1092" s="1"/>
    </row>
    <row r="1093" spans="1:18">
      <c r="A1093" s="122" t="e">
        <f>IF(VLOOKUP(Tabela6[[#This Row],[UF]],'BASE CC'!B:C,2,0)="SP",IF(Tabela6[[#This Row],[OPERADORA]]="TIM","SP TIM","SPI"),VLOOKUP(Tabela6[[#This Row],[UF]],'BASE CC'!B:C,2,0))</f>
        <v>#N/A</v>
      </c>
      <c r="B1093" s="36" t="e">
        <f>VLOOKUP(Tabela_Base_Financeiro[[#This Row],[Item code]],'COD.FAT'!B:C,2,0)</f>
        <v>#N/A</v>
      </c>
      <c r="C1093" s="292">
        <f>Tabela_Base_Financeiro[[#This Row],[PO Ship TO]]</f>
        <v>0</v>
      </c>
      <c r="D1093" s="36" t="str">
        <f>RIGHT(Tabela_Base_Financeiro[[#This Row],[Manufacturer]],2)</f>
        <v/>
      </c>
      <c r="E109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93" s="122" t="e">
        <f>VLOOKUP(Tabela_Base_Financeiro[[#This Row],[Project Code]],'COD. PROJETOS'!B:D,3,0)</f>
        <v>#N/A</v>
      </c>
      <c r="G1093" s="36">
        <f>IFERROR(Tabela_Base_Financeiro[[#This Row],[PO No,]],0)</f>
        <v>0</v>
      </c>
      <c r="H1093" s="36">
        <f>IFERROR(Tabela_Base_Financeiro[[#This Row],[Line No,]],0)</f>
        <v>0</v>
      </c>
      <c r="I1093" s="36" t="str">
        <f>IFERROR(MID(Tabela_Base_Financeiro[[#This Row],[Manufacturer]],19,14),"")</f>
        <v/>
      </c>
      <c r="J1093" s="113">
        <f>IFERROR(Tabela_Base_Financeiro[[#This Row],[Item code]],0)</f>
        <v>0</v>
      </c>
      <c r="K1093" s="293">
        <f>IFERROR(Tabela_Base_Financeiro[[#This Row],[Unit Price]],0)</f>
        <v>0</v>
      </c>
      <c r="L1093" s="36">
        <f>IFERROR(Tabela_Base_Financeiro[[#This Row],[AC Qty,]],0)</f>
        <v>0</v>
      </c>
      <c r="M1093" s="60">
        <f>Tabela6[[#This Row],[Qty]]*Tabela6[[#This Row],[Preço]]</f>
        <v>0</v>
      </c>
      <c r="N1093" s="37">
        <f>IFERROR(Tabela_Base_Financeiro[[#This Row],[Proportion]],0)</f>
        <v>0</v>
      </c>
      <c r="O1093" s="60">
        <f>Tabela6[[#This Row],[Proporção]]*Tabela6[[#This Row],[Total]]</f>
        <v>0</v>
      </c>
      <c r="P1093"/>
      <c r="Q1093" s="59"/>
      <c r="R1093" s="1"/>
    </row>
    <row r="1094" spans="1:18">
      <c r="A1094" s="122" t="e">
        <f>IF(VLOOKUP(Tabela6[[#This Row],[UF]],'BASE CC'!B:C,2,0)="SP",IF(Tabela6[[#This Row],[OPERADORA]]="TIM","SP TIM","SPI"),VLOOKUP(Tabela6[[#This Row],[UF]],'BASE CC'!B:C,2,0))</f>
        <v>#N/A</v>
      </c>
      <c r="B1094" s="36" t="e">
        <f>VLOOKUP(Tabela_Base_Financeiro[[#This Row],[Item code]],'COD.FAT'!B:C,2,0)</f>
        <v>#N/A</v>
      </c>
      <c r="C1094" s="292">
        <f>Tabela_Base_Financeiro[[#This Row],[PO Ship TO]]</f>
        <v>0</v>
      </c>
      <c r="D1094" s="36" t="str">
        <f>RIGHT(Tabela_Base_Financeiro[[#This Row],[Manufacturer]],2)</f>
        <v/>
      </c>
      <c r="E109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94" s="122" t="e">
        <f>VLOOKUP(Tabela_Base_Financeiro[[#This Row],[Project Code]],'COD. PROJETOS'!B:D,3,0)</f>
        <v>#N/A</v>
      </c>
      <c r="G1094" s="36">
        <f>IFERROR(Tabela_Base_Financeiro[[#This Row],[PO No,]],0)</f>
        <v>0</v>
      </c>
      <c r="H1094" s="36">
        <f>IFERROR(Tabela_Base_Financeiro[[#This Row],[Line No,]],0)</f>
        <v>0</v>
      </c>
      <c r="I1094" s="36" t="str">
        <f>IFERROR(MID(Tabela_Base_Financeiro[[#This Row],[Manufacturer]],19,14),"")</f>
        <v/>
      </c>
      <c r="J1094" s="113">
        <f>IFERROR(Tabela_Base_Financeiro[[#This Row],[Item code]],0)</f>
        <v>0</v>
      </c>
      <c r="K1094" s="293">
        <f>IFERROR(Tabela_Base_Financeiro[[#This Row],[Unit Price]],0)</f>
        <v>0</v>
      </c>
      <c r="L1094" s="36">
        <f>IFERROR(Tabela_Base_Financeiro[[#This Row],[AC Qty,]],0)</f>
        <v>0</v>
      </c>
      <c r="M1094" s="60">
        <f>Tabela6[[#This Row],[Qty]]*Tabela6[[#This Row],[Preço]]</f>
        <v>0</v>
      </c>
      <c r="N1094" s="37">
        <f>IFERROR(Tabela_Base_Financeiro[[#This Row],[Proportion]],0)</f>
        <v>0</v>
      </c>
      <c r="O1094" s="60">
        <f>Tabela6[[#This Row],[Proporção]]*Tabela6[[#This Row],[Total]]</f>
        <v>0</v>
      </c>
      <c r="P1094"/>
      <c r="Q1094" s="59"/>
      <c r="R1094" s="1"/>
    </row>
    <row r="1095" spans="1:18">
      <c r="A1095" s="122" t="e">
        <f>IF(VLOOKUP(Tabela6[[#This Row],[UF]],'BASE CC'!B:C,2,0)="SP",IF(Tabela6[[#This Row],[OPERADORA]]="TIM","SP TIM","SPI"),VLOOKUP(Tabela6[[#This Row],[UF]],'BASE CC'!B:C,2,0))</f>
        <v>#N/A</v>
      </c>
      <c r="B1095" s="36" t="e">
        <f>VLOOKUP(Tabela_Base_Financeiro[[#This Row],[Item code]],'COD.FAT'!B:C,2,0)</f>
        <v>#N/A</v>
      </c>
      <c r="C1095" s="292">
        <f>Tabela_Base_Financeiro[[#This Row],[PO Ship TO]]</f>
        <v>0</v>
      </c>
      <c r="D1095" s="36" t="str">
        <f>RIGHT(Tabela_Base_Financeiro[[#This Row],[Manufacturer]],2)</f>
        <v/>
      </c>
      <c r="E109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95" s="122" t="e">
        <f>VLOOKUP(Tabela_Base_Financeiro[[#This Row],[Project Code]],'COD. PROJETOS'!B:D,3,0)</f>
        <v>#N/A</v>
      </c>
      <c r="G1095" s="36">
        <f>IFERROR(Tabela_Base_Financeiro[[#This Row],[PO No,]],0)</f>
        <v>0</v>
      </c>
      <c r="H1095" s="36">
        <f>IFERROR(Tabela_Base_Financeiro[[#This Row],[Line No,]],0)</f>
        <v>0</v>
      </c>
      <c r="I1095" s="36" t="str">
        <f>IFERROR(MID(Tabela_Base_Financeiro[[#This Row],[Manufacturer]],19,14),"")</f>
        <v/>
      </c>
      <c r="J1095" s="113">
        <f>IFERROR(Tabela_Base_Financeiro[[#This Row],[Item code]],0)</f>
        <v>0</v>
      </c>
      <c r="K1095" s="293">
        <f>IFERROR(Tabela_Base_Financeiro[[#This Row],[Unit Price]],0)</f>
        <v>0</v>
      </c>
      <c r="L1095" s="36">
        <f>IFERROR(Tabela_Base_Financeiro[[#This Row],[AC Qty,]],0)</f>
        <v>0</v>
      </c>
      <c r="M1095" s="60">
        <f>Tabela6[[#This Row],[Qty]]*Tabela6[[#This Row],[Preço]]</f>
        <v>0</v>
      </c>
      <c r="N1095" s="37">
        <f>IFERROR(Tabela_Base_Financeiro[[#This Row],[Proportion]],0)</f>
        <v>0</v>
      </c>
      <c r="O1095" s="60">
        <f>Tabela6[[#This Row],[Proporção]]*Tabela6[[#This Row],[Total]]</f>
        <v>0</v>
      </c>
      <c r="P1095"/>
      <c r="Q1095" s="59"/>
      <c r="R1095" s="1"/>
    </row>
    <row r="1096" spans="1:18">
      <c r="A1096" s="122" t="e">
        <f>IF(VLOOKUP(Tabela6[[#This Row],[UF]],'BASE CC'!B:C,2,0)="SP",IF(Tabela6[[#This Row],[OPERADORA]]="TIM","SP TIM","SPI"),VLOOKUP(Tabela6[[#This Row],[UF]],'BASE CC'!B:C,2,0))</f>
        <v>#N/A</v>
      </c>
      <c r="B1096" s="36" t="e">
        <f>VLOOKUP(Tabela_Base_Financeiro[[#This Row],[Item code]],'COD.FAT'!B:C,2,0)</f>
        <v>#N/A</v>
      </c>
      <c r="C1096" s="292">
        <f>Tabela_Base_Financeiro[[#This Row],[PO Ship TO]]</f>
        <v>0</v>
      </c>
      <c r="D1096" s="36" t="str">
        <f>RIGHT(Tabela_Base_Financeiro[[#This Row],[Manufacturer]],2)</f>
        <v/>
      </c>
      <c r="E109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96" s="122" t="e">
        <f>VLOOKUP(Tabela_Base_Financeiro[[#This Row],[Project Code]],'COD. PROJETOS'!B:D,3,0)</f>
        <v>#N/A</v>
      </c>
      <c r="G1096" s="36">
        <f>IFERROR(Tabela_Base_Financeiro[[#This Row],[PO No,]],0)</f>
        <v>0</v>
      </c>
      <c r="H1096" s="36">
        <f>IFERROR(Tabela_Base_Financeiro[[#This Row],[Line No,]],0)</f>
        <v>0</v>
      </c>
      <c r="I1096" s="36" t="str">
        <f>IFERROR(MID(Tabela_Base_Financeiro[[#This Row],[Manufacturer]],19,14),"")</f>
        <v/>
      </c>
      <c r="J1096" s="113">
        <f>IFERROR(Tabela_Base_Financeiro[[#This Row],[Item code]],0)</f>
        <v>0</v>
      </c>
      <c r="K1096" s="293">
        <f>IFERROR(Tabela_Base_Financeiro[[#This Row],[Unit Price]],0)</f>
        <v>0</v>
      </c>
      <c r="L1096" s="36">
        <f>IFERROR(Tabela_Base_Financeiro[[#This Row],[AC Qty,]],0)</f>
        <v>0</v>
      </c>
      <c r="M1096" s="60">
        <f>Tabela6[[#This Row],[Qty]]*Tabela6[[#This Row],[Preço]]</f>
        <v>0</v>
      </c>
      <c r="N1096" s="37">
        <f>IFERROR(Tabela_Base_Financeiro[[#This Row],[Proportion]],0)</f>
        <v>0</v>
      </c>
      <c r="O1096" s="60">
        <f>Tabela6[[#This Row],[Proporção]]*Tabela6[[#This Row],[Total]]</f>
        <v>0</v>
      </c>
      <c r="P1096"/>
      <c r="Q1096" s="59"/>
      <c r="R1096" s="1"/>
    </row>
    <row r="1097" spans="1:18">
      <c r="A1097" s="122" t="e">
        <f>IF(VLOOKUP(Tabela6[[#This Row],[UF]],'BASE CC'!B:C,2,0)="SP",IF(Tabela6[[#This Row],[OPERADORA]]="TIM","SP TIM","SPI"),VLOOKUP(Tabela6[[#This Row],[UF]],'BASE CC'!B:C,2,0))</f>
        <v>#N/A</v>
      </c>
      <c r="B1097" s="36" t="e">
        <f>VLOOKUP(Tabela_Base_Financeiro[[#This Row],[Item code]],'COD.FAT'!B:C,2,0)</f>
        <v>#N/A</v>
      </c>
      <c r="C1097" s="292">
        <f>Tabela_Base_Financeiro[[#This Row],[PO Ship TO]]</f>
        <v>0</v>
      </c>
      <c r="D1097" s="36" t="str">
        <f>RIGHT(Tabela_Base_Financeiro[[#This Row],[Manufacturer]],2)</f>
        <v/>
      </c>
      <c r="E109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97" s="122" t="e">
        <f>VLOOKUP(Tabela_Base_Financeiro[[#This Row],[Project Code]],'COD. PROJETOS'!B:D,3,0)</f>
        <v>#N/A</v>
      </c>
      <c r="G1097" s="36">
        <f>IFERROR(Tabela_Base_Financeiro[[#This Row],[PO No,]],0)</f>
        <v>0</v>
      </c>
      <c r="H1097" s="36">
        <f>IFERROR(Tabela_Base_Financeiro[[#This Row],[Line No,]],0)</f>
        <v>0</v>
      </c>
      <c r="I1097" s="36" t="str">
        <f>IFERROR(MID(Tabela_Base_Financeiro[[#This Row],[Manufacturer]],19,14),"")</f>
        <v/>
      </c>
      <c r="J1097" s="113">
        <f>IFERROR(Tabela_Base_Financeiro[[#This Row],[Item code]],0)</f>
        <v>0</v>
      </c>
      <c r="K1097" s="293">
        <f>IFERROR(Tabela_Base_Financeiro[[#This Row],[Unit Price]],0)</f>
        <v>0</v>
      </c>
      <c r="L1097" s="36">
        <f>IFERROR(Tabela_Base_Financeiro[[#This Row],[AC Qty,]],0)</f>
        <v>0</v>
      </c>
      <c r="M1097" s="60">
        <f>Tabela6[[#This Row],[Qty]]*Tabela6[[#This Row],[Preço]]</f>
        <v>0</v>
      </c>
      <c r="N1097" s="37">
        <f>IFERROR(Tabela_Base_Financeiro[[#This Row],[Proportion]],0)</f>
        <v>0</v>
      </c>
      <c r="O1097" s="60">
        <f>Tabela6[[#This Row],[Proporção]]*Tabela6[[#This Row],[Total]]</f>
        <v>0</v>
      </c>
      <c r="P1097"/>
      <c r="Q1097" s="59"/>
      <c r="R1097" s="1"/>
    </row>
    <row r="1098" spans="1:18">
      <c r="A1098" s="122" t="e">
        <f>IF(VLOOKUP(Tabela6[[#This Row],[UF]],'BASE CC'!B:C,2,0)="SP",IF(Tabela6[[#This Row],[OPERADORA]]="TIM","SP TIM","SPI"),VLOOKUP(Tabela6[[#This Row],[UF]],'BASE CC'!B:C,2,0))</f>
        <v>#N/A</v>
      </c>
      <c r="B1098" s="36" t="e">
        <f>VLOOKUP(Tabela_Base_Financeiro[[#This Row],[Item code]],'COD.FAT'!B:C,2,0)</f>
        <v>#N/A</v>
      </c>
      <c r="C1098" s="292">
        <f>Tabela_Base_Financeiro[[#This Row],[PO Ship TO]]</f>
        <v>0</v>
      </c>
      <c r="D1098" s="36" t="str">
        <f>RIGHT(Tabela_Base_Financeiro[[#This Row],[Manufacturer]],2)</f>
        <v/>
      </c>
      <c r="E109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98" s="122" t="e">
        <f>VLOOKUP(Tabela_Base_Financeiro[[#This Row],[Project Code]],'COD. PROJETOS'!B:D,3,0)</f>
        <v>#N/A</v>
      </c>
      <c r="G1098" s="36">
        <f>IFERROR(Tabela_Base_Financeiro[[#This Row],[PO No,]],0)</f>
        <v>0</v>
      </c>
      <c r="H1098" s="36">
        <f>IFERROR(Tabela_Base_Financeiro[[#This Row],[Line No,]],0)</f>
        <v>0</v>
      </c>
      <c r="I1098" s="36" t="str">
        <f>IFERROR(MID(Tabela_Base_Financeiro[[#This Row],[Manufacturer]],19,14),"")</f>
        <v/>
      </c>
      <c r="J1098" s="113">
        <f>IFERROR(Tabela_Base_Financeiro[[#This Row],[Item code]],0)</f>
        <v>0</v>
      </c>
      <c r="K1098" s="293">
        <f>IFERROR(Tabela_Base_Financeiro[[#This Row],[Unit Price]],0)</f>
        <v>0</v>
      </c>
      <c r="L1098" s="36">
        <f>IFERROR(Tabela_Base_Financeiro[[#This Row],[AC Qty,]],0)</f>
        <v>0</v>
      </c>
      <c r="M1098" s="60">
        <f>Tabela6[[#This Row],[Qty]]*Tabela6[[#This Row],[Preço]]</f>
        <v>0</v>
      </c>
      <c r="N1098" s="37">
        <f>IFERROR(Tabela_Base_Financeiro[[#This Row],[Proportion]],0)</f>
        <v>0</v>
      </c>
      <c r="O1098" s="60">
        <f>Tabela6[[#This Row],[Proporção]]*Tabela6[[#This Row],[Total]]</f>
        <v>0</v>
      </c>
      <c r="P1098"/>
      <c r="Q1098" s="59"/>
      <c r="R1098" s="1"/>
    </row>
    <row r="1099" spans="1:18">
      <c r="A1099" s="122" t="e">
        <f>IF(VLOOKUP(Tabela6[[#This Row],[UF]],'BASE CC'!B:C,2,0)="SP",IF(Tabela6[[#This Row],[OPERADORA]]="TIM","SP TIM","SPI"),VLOOKUP(Tabela6[[#This Row],[UF]],'BASE CC'!B:C,2,0))</f>
        <v>#N/A</v>
      </c>
      <c r="B1099" s="36" t="e">
        <f>VLOOKUP(Tabela_Base_Financeiro[[#This Row],[Item code]],'COD.FAT'!B:C,2,0)</f>
        <v>#N/A</v>
      </c>
      <c r="C1099" s="292">
        <f>Tabela_Base_Financeiro[[#This Row],[PO Ship TO]]</f>
        <v>0</v>
      </c>
      <c r="D1099" s="36" t="str">
        <f>RIGHT(Tabela_Base_Financeiro[[#This Row],[Manufacturer]],2)</f>
        <v/>
      </c>
      <c r="E109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099" s="122" t="e">
        <f>VLOOKUP(Tabela_Base_Financeiro[[#This Row],[Project Code]],'COD. PROJETOS'!B:D,3,0)</f>
        <v>#N/A</v>
      </c>
      <c r="G1099" s="36">
        <f>IFERROR(Tabela_Base_Financeiro[[#This Row],[PO No,]],0)</f>
        <v>0</v>
      </c>
      <c r="H1099" s="36">
        <f>IFERROR(Tabela_Base_Financeiro[[#This Row],[Line No,]],0)</f>
        <v>0</v>
      </c>
      <c r="I1099" s="36" t="str">
        <f>IFERROR(MID(Tabela_Base_Financeiro[[#This Row],[Manufacturer]],19,14),"")</f>
        <v/>
      </c>
      <c r="J1099" s="113">
        <f>IFERROR(Tabela_Base_Financeiro[[#This Row],[Item code]],0)</f>
        <v>0</v>
      </c>
      <c r="K1099" s="293">
        <f>IFERROR(Tabela_Base_Financeiro[[#This Row],[Unit Price]],0)</f>
        <v>0</v>
      </c>
      <c r="L1099" s="36">
        <f>IFERROR(Tabela_Base_Financeiro[[#This Row],[AC Qty,]],0)</f>
        <v>0</v>
      </c>
      <c r="M1099" s="60">
        <f>Tabela6[[#This Row],[Qty]]*Tabela6[[#This Row],[Preço]]</f>
        <v>0</v>
      </c>
      <c r="N1099" s="37">
        <f>IFERROR(Tabela_Base_Financeiro[[#This Row],[Proportion]],0)</f>
        <v>0</v>
      </c>
      <c r="O1099" s="60">
        <f>Tabela6[[#This Row],[Proporção]]*Tabela6[[#This Row],[Total]]</f>
        <v>0</v>
      </c>
      <c r="P1099"/>
      <c r="Q1099" s="59"/>
      <c r="R1099" s="1"/>
    </row>
    <row r="1100" spans="1:18">
      <c r="A1100" s="122" t="e">
        <f>IF(VLOOKUP(Tabela6[[#This Row],[UF]],'BASE CC'!B:C,2,0)="SP",IF(Tabela6[[#This Row],[OPERADORA]]="TIM","SP TIM","SPI"),VLOOKUP(Tabela6[[#This Row],[UF]],'BASE CC'!B:C,2,0))</f>
        <v>#N/A</v>
      </c>
      <c r="B1100" s="36" t="e">
        <f>VLOOKUP(Tabela_Base_Financeiro[[#This Row],[Item code]],'COD.FAT'!B:C,2,0)</f>
        <v>#N/A</v>
      </c>
      <c r="C1100" s="292">
        <f>Tabela_Base_Financeiro[[#This Row],[PO Ship TO]]</f>
        <v>0</v>
      </c>
      <c r="D1100" s="36" t="str">
        <f>RIGHT(Tabela_Base_Financeiro[[#This Row],[Manufacturer]],2)</f>
        <v/>
      </c>
      <c r="E110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100" s="122" t="e">
        <f>VLOOKUP(Tabela_Base_Financeiro[[#This Row],[Project Code]],'COD. PROJETOS'!B:D,3,0)</f>
        <v>#N/A</v>
      </c>
      <c r="G1100" s="36">
        <f>IFERROR(Tabela_Base_Financeiro[[#This Row],[PO No,]],0)</f>
        <v>0</v>
      </c>
      <c r="H1100" s="36">
        <f>IFERROR(Tabela_Base_Financeiro[[#This Row],[Line No,]],0)</f>
        <v>0</v>
      </c>
      <c r="I1100" s="36" t="str">
        <f>IFERROR(MID(Tabela_Base_Financeiro[[#This Row],[Manufacturer]],19,14),"")</f>
        <v/>
      </c>
      <c r="J1100" s="113">
        <f>IFERROR(Tabela_Base_Financeiro[[#This Row],[Item code]],0)</f>
        <v>0</v>
      </c>
      <c r="K1100" s="293">
        <f>IFERROR(Tabela_Base_Financeiro[[#This Row],[Unit Price]],0)</f>
        <v>0</v>
      </c>
      <c r="L1100" s="36">
        <f>IFERROR(Tabela_Base_Financeiro[[#This Row],[AC Qty,]],0)</f>
        <v>0</v>
      </c>
      <c r="M1100" s="60">
        <f>Tabela6[[#This Row],[Qty]]*Tabela6[[#This Row],[Preço]]</f>
        <v>0</v>
      </c>
      <c r="N1100" s="37">
        <f>IFERROR(Tabela_Base_Financeiro[[#This Row],[Proportion]],0)</f>
        <v>0</v>
      </c>
      <c r="O1100" s="60">
        <f>Tabela6[[#This Row],[Proporção]]*Tabela6[[#This Row],[Total]]</f>
        <v>0</v>
      </c>
      <c r="P1100"/>
      <c r="Q1100" s="59"/>
      <c r="R1100" s="1"/>
    </row>
    <row r="1101" spans="1:18">
      <c r="A1101" s="122" t="e">
        <f>IF(VLOOKUP(Tabela6[[#This Row],[UF]],'BASE CC'!B:C,2,0)="SP",IF(Tabela6[[#This Row],[OPERADORA]]="TIM","SP TIM","SPI"),VLOOKUP(Tabela6[[#This Row],[UF]],'BASE CC'!B:C,2,0))</f>
        <v>#N/A</v>
      </c>
      <c r="B1101" s="36" t="e">
        <f>VLOOKUP(Tabela_Base_Financeiro[[#This Row],[Item code]],'COD.FAT'!B:C,2,0)</f>
        <v>#N/A</v>
      </c>
      <c r="C1101" s="292">
        <f>Tabela_Base_Financeiro[[#This Row],[PO Ship TO]]</f>
        <v>0</v>
      </c>
      <c r="D1101" s="36" t="str">
        <f>RIGHT(Tabela_Base_Financeiro[[#This Row],[Manufacturer]],2)</f>
        <v/>
      </c>
      <c r="E110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101" s="122" t="e">
        <f>VLOOKUP(Tabela_Base_Financeiro[[#This Row],[Project Code]],'COD. PROJETOS'!B:D,3,0)</f>
        <v>#N/A</v>
      </c>
      <c r="G1101" s="36">
        <f>IFERROR(Tabela_Base_Financeiro[[#This Row],[PO No,]],0)</f>
        <v>0</v>
      </c>
      <c r="H1101" s="36">
        <f>IFERROR(Tabela_Base_Financeiro[[#This Row],[Line No,]],0)</f>
        <v>0</v>
      </c>
      <c r="I1101" s="36" t="str">
        <f>IFERROR(MID(Tabela_Base_Financeiro[[#This Row],[Manufacturer]],19,14),"")</f>
        <v/>
      </c>
      <c r="J1101" s="113">
        <f>IFERROR(Tabela_Base_Financeiro[[#This Row],[Item code]],0)</f>
        <v>0</v>
      </c>
      <c r="K1101" s="293">
        <f>IFERROR(Tabela_Base_Financeiro[[#This Row],[Unit Price]],0)</f>
        <v>0</v>
      </c>
      <c r="L1101" s="36">
        <f>IFERROR(Tabela_Base_Financeiro[[#This Row],[AC Qty,]],0)</f>
        <v>0</v>
      </c>
      <c r="M1101" s="60">
        <f>Tabela6[[#This Row],[Qty]]*Tabela6[[#This Row],[Preço]]</f>
        <v>0</v>
      </c>
      <c r="N1101" s="37">
        <f>IFERROR(Tabela_Base_Financeiro[[#This Row],[Proportion]],0)</f>
        <v>0</v>
      </c>
      <c r="O1101" s="60">
        <f>Tabela6[[#This Row],[Proporção]]*Tabela6[[#This Row],[Total]]</f>
        <v>0</v>
      </c>
      <c r="P1101"/>
      <c r="Q1101" s="59"/>
      <c r="R1101" s="1"/>
    </row>
    <row r="1102" spans="1:18">
      <c r="A1102" s="122" t="e">
        <f>IF(VLOOKUP(Tabela6[[#This Row],[UF]],'BASE CC'!B:C,2,0)="SP",IF(Tabela6[[#This Row],[OPERADORA]]="TIM","SP TIM","SPI"),VLOOKUP(Tabela6[[#This Row],[UF]],'BASE CC'!B:C,2,0))</f>
        <v>#N/A</v>
      </c>
      <c r="B1102" s="36" t="e">
        <f>VLOOKUP(Tabela_Base_Financeiro[[#This Row],[Item code]],'COD.FAT'!B:C,2,0)</f>
        <v>#N/A</v>
      </c>
      <c r="C1102" s="292">
        <f>Tabela_Base_Financeiro[[#This Row],[PO Ship TO]]</f>
        <v>0</v>
      </c>
      <c r="D1102" s="36" t="str">
        <f>RIGHT(Tabela_Base_Financeiro[[#This Row],[Manufacturer]],2)</f>
        <v/>
      </c>
      <c r="E110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102" s="122" t="e">
        <f>VLOOKUP(Tabela_Base_Financeiro[[#This Row],[Project Code]],'COD. PROJETOS'!B:D,3,0)</f>
        <v>#N/A</v>
      </c>
      <c r="G1102" s="36">
        <f>IFERROR(Tabela_Base_Financeiro[[#This Row],[PO No,]],0)</f>
        <v>0</v>
      </c>
      <c r="H1102" s="36">
        <f>IFERROR(Tabela_Base_Financeiro[[#This Row],[Line No,]],0)</f>
        <v>0</v>
      </c>
      <c r="I1102" s="36" t="str">
        <f>IFERROR(MID(Tabela_Base_Financeiro[[#This Row],[Manufacturer]],19,14),"")</f>
        <v/>
      </c>
      <c r="J1102" s="113">
        <f>IFERROR(Tabela_Base_Financeiro[[#This Row],[Item code]],0)</f>
        <v>0</v>
      </c>
      <c r="K1102" s="293">
        <f>IFERROR(Tabela_Base_Financeiro[[#This Row],[Unit Price]],0)</f>
        <v>0</v>
      </c>
      <c r="L1102" s="36">
        <f>IFERROR(Tabela_Base_Financeiro[[#This Row],[AC Qty,]],0)</f>
        <v>0</v>
      </c>
      <c r="M1102" s="60">
        <f>Tabela6[[#This Row],[Qty]]*Tabela6[[#This Row],[Preço]]</f>
        <v>0</v>
      </c>
      <c r="N1102" s="37">
        <f>IFERROR(Tabela_Base_Financeiro[[#This Row],[Proportion]],0)</f>
        <v>0</v>
      </c>
      <c r="O1102" s="60">
        <f>Tabela6[[#This Row],[Proporção]]*Tabela6[[#This Row],[Total]]</f>
        <v>0</v>
      </c>
      <c r="P1102"/>
      <c r="Q1102" s="59"/>
      <c r="R1102" s="1"/>
    </row>
    <row r="1103" spans="1:18">
      <c r="A1103" s="122" t="e">
        <f>IF(VLOOKUP(Tabela6[[#This Row],[UF]],'BASE CC'!B:C,2,0)="SP",IF(Tabela6[[#This Row],[OPERADORA]]="TIM","SP TIM","SPI"),VLOOKUP(Tabela6[[#This Row],[UF]],'BASE CC'!B:C,2,0))</f>
        <v>#N/A</v>
      </c>
      <c r="B1103" s="36" t="e">
        <f>VLOOKUP(Tabela_Base_Financeiro[[#This Row],[Item code]],'COD.FAT'!B:C,2,0)</f>
        <v>#N/A</v>
      </c>
      <c r="C1103" s="292">
        <f>Tabela_Base_Financeiro[[#This Row],[PO Ship TO]]</f>
        <v>0</v>
      </c>
      <c r="D1103" s="36" t="str">
        <f>RIGHT(Tabela_Base_Financeiro[[#This Row],[Manufacturer]],2)</f>
        <v/>
      </c>
      <c r="E110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103" s="122" t="e">
        <f>VLOOKUP(Tabela_Base_Financeiro[[#This Row],[Project Code]],'COD. PROJETOS'!B:D,3,0)</f>
        <v>#N/A</v>
      </c>
      <c r="G1103" s="36">
        <f>IFERROR(Tabela_Base_Financeiro[[#This Row],[PO No,]],0)</f>
        <v>0</v>
      </c>
      <c r="H1103" s="36">
        <f>IFERROR(Tabela_Base_Financeiro[[#This Row],[Line No,]],0)</f>
        <v>0</v>
      </c>
      <c r="I1103" s="36" t="str">
        <f>IFERROR(MID(Tabela_Base_Financeiro[[#This Row],[Manufacturer]],19,14),"")</f>
        <v/>
      </c>
      <c r="J1103" s="113">
        <f>IFERROR(Tabela_Base_Financeiro[[#This Row],[Item code]],0)</f>
        <v>0</v>
      </c>
      <c r="K1103" s="293">
        <f>IFERROR(Tabela_Base_Financeiro[[#This Row],[Unit Price]],0)</f>
        <v>0</v>
      </c>
      <c r="L1103" s="36">
        <f>IFERROR(Tabela_Base_Financeiro[[#This Row],[AC Qty,]],0)</f>
        <v>0</v>
      </c>
      <c r="M1103" s="60">
        <f>Tabela6[[#This Row],[Qty]]*Tabela6[[#This Row],[Preço]]</f>
        <v>0</v>
      </c>
      <c r="N1103" s="37">
        <f>IFERROR(Tabela_Base_Financeiro[[#This Row],[Proportion]],0)</f>
        <v>0</v>
      </c>
      <c r="O1103" s="60">
        <f>Tabela6[[#This Row],[Proporção]]*Tabela6[[#This Row],[Total]]</f>
        <v>0</v>
      </c>
      <c r="P1103"/>
      <c r="Q1103" s="59"/>
      <c r="R1103" s="1"/>
    </row>
    <row r="1104" spans="1:18">
      <c r="A1104" s="122" t="e">
        <f>IF(VLOOKUP(Tabela6[[#This Row],[UF]],'BASE CC'!B:C,2,0)="SP",IF(Tabela6[[#This Row],[OPERADORA]]="TIM","SP TIM","SPI"),VLOOKUP(Tabela6[[#This Row],[UF]],'BASE CC'!B:C,2,0))</f>
        <v>#N/A</v>
      </c>
      <c r="B1104" s="36" t="e">
        <f>VLOOKUP(Tabela_Base_Financeiro[[#This Row],[Item code]],'COD.FAT'!B:C,2,0)</f>
        <v>#N/A</v>
      </c>
      <c r="C1104" s="292">
        <f>Tabela_Base_Financeiro[[#This Row],[PO Ship TO]]</f>
        <v>0</v>
      </c>
      <c r="D1104" s="36" t="str">
        <f>RIGHT(Tabela_Base_Financeiro[[#This Row],[Manufacturer]],2)</f>
        <v/>
      </c>
      <c r="E110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104" s="122" t="e">
        <f>VLOOKUP(Tabela_Base_Financeiro[[#This Row],[Project Code]],'COD. PROJETOS'!B:D,3,0)</f>
        <v>#N/A</v>
      </c>
      <c r="G1104" s="36">
        <f>IFERROR(Tabela_Base_Financeiro[[#This Row],[PO No,]],0)</f>
        <v>0</v>
      </c>
      <c r="H1104" s="36">
        <f>IFERROR(Tabela_Base_Financeiro[[#This Row],[Line No,]],0)</f>
        <v>0</v>
      </c>
      <c r="I1104" s="36" t="str">
        <f>IFERROR(MID(Tabela_Base_Financeiro[[#This Row],[Manufacturer]],19,14),"")</f>
        <v/>
      </c>
      <c r="J1104" s="113">
        <f>IFERROR(Tabela_Base_Financeiro[[#This Row],[Item code]],0)</f>
        <v>0</v>
      </c>
      <c r="K1104" s="293">
        <f>IFERROR(Tabela_Base_Financeiro[[#This Row],[Unit Price]],0)</f>
        <v>0</v>
      </c>
      <c r="L1104" s="36">
        <f>IFERROR(Tabela_Base_Financeiro[[#This Row],[AC Qty,]],0)</f>
        <v>0</v>
      </c>
      <c r="M1104" s="60">
        <f>Tabela6[[#This Row],[Qty]]*Tabela6[[#This Row],[Preço]]</f>
        <v>0</v>
      </c>
      <c r="N1104" s="37">
        <f>IFERROR(Tabela_Base_Financeiro[[#This Row],[Proportion]],0)</f>
        <v>0</v>
      </c>
      <c r="O1104" s="60">
        <f>Tabela6[[#This Row],[Proporção]]*Tabela6[[#This Row],[Total]]</f>
        <v>0</v>
      </c>
      <c r="P1104"/>
      <c r="Q1104" s="59"/>
      <c r="R1104" s="1"/>
    </row>
    <row r="1105" spans="1:18">
      <c r="A1105" s="122" t="e">
        <f>IF(VLOOKUP(Tabela6[[#This Row],[UF]],'BASE CC'!B:C,2,0)="SP",IF(Tabela6[[#This Row],[OPERADORA]]="TIM","SP TIM","SPI"),VLOOKUP(Tabela6[[#This Row],[UF]],'BASE CC'!B:C,2,0))</f>
        <v>#N/A</v>
      </c>
      <c r="B1105" s="36" t="e">
        <f>VLOOKUP(Tabela_Base_Financeiro[[#This Row],[Item code]],'COD.FAT'!B:C,2,0)</f>
        <v>#N/A</v>
      </c>
      <c r="C1105" s="292">
        <f>Tabela_Base_Financeiro[[#This Row],[PO Ship TO]]</f>
        <v>0</v>
      </c>
      <c r="D1105" s="36" t="str">
        <f>RIGHT(Tabela_Base_Financeiro[[#This Row],[Manufacturer]],2)</f>
        <v/>
      </c>
      <c r="E110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105" s="122" t="e">
        <f>VLOOKUP(Tabela_Base_Financeiro[[#This Row],[Project Code]],'COD. PROJETOS'!B:D,3,0)</f>
        <v>#N/A</v>
      </c>
      <c r="G1105" s="36">
        <f>IFERROR(Tabela_Base_Financeiro[[#This Row],[PO No,]],0)</f>
        <v>0</v>
      </c>
      <c r="H1105" s="36">
        <f>IFERROR(Tabela_Base_Financeiro[[#This Row],[Line No,]],0)</f>
        <v>0</v>
      </c>
      <c r="I1105" s="36" t="str">
        <f>IFERROR(MID(Tabela_Base_Financeiro[[#This Row],[Manufacturer]],19,14),"")</f>
        <v/>
      </c>
      <c r="J1105" s="113">
        <f>IFERROR(Tabela_Base_Financeiro[[#This Row],[Item code]],0)</f>
        <v>0</v>
      </c>
      <c r="K1105" s="293">
        <f>IFERROR(Tabela_Base_Financeiro[[#This Row],[Unit Price]],0)</f>
        <v>0</v>
      </c>
      <c r="L1105" s="36">
        <f>IFERROR(Tabela_Base_Financeiro[[#This Row],[AC Qty,]],0)</f>
        <v>0</v>
      </c>
      <c r="M1105" s="60">
        <f>Tabela6[[#This Row],[Qty]]*Tabela6[[#This Row],[Preço]]</f>
        <v>0</v>
      </c>
      <c r="N1105" s="37">
        <f>IFERROR(Tabela_Base_Financeiro[[#This Row],[Proportion]],0)</f>
        <v>0</v>
      </c>
      <c r="O1105" s="60">
        <f>Tabela6[[#This Row],[Proporção]]*Tabela6[[#This Row],[Total]]</f>
        <v>0</v>
      </c>
      <c r="P1105"/>
      <c r="Q1105" s="59"/>
      <c r="R1105" s="1"/>
    </row>
    <row r="1106" spans="1:18">
      <c r="A1106" s="122" t="e">
        <f>IF(VLOOKUP(Tabela6[[#This Row],[UF]],'BASE CC'!B:C,2,0)="SP",IF(Tabela6[[#This Row],[OPERADORA]]="TIM","SP TIM","SPI"),VLOOKUP(Tabela6[[#This Row],[UF]],'BASE CC'!B:C,2,0))</f>
        <v>#N/A</v>
      </c>
      <c r="B1106" s="36" t="e">
        <f>VLOOKUP(Tabela_Base_Financeiro[[#This Row],[Item code]],'COD.FAT'!B:C,2,0)</f>
        <v>#N/A</v>
      </c>
      <c r="C1106" s="292">
        <f>Tabela_Base_Financeiro[[#This Row],[PO Ship TO]]</f>
        <v>0</v>
      </c>
      <c r="D1106" s="36" t="str">
        <f>RIGHT(Tabela_Base_Financeiro[[#This Row],[Manufacturer]],2)</f>
        <v/>
      </c>
      <c r="E110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106" s="122" t="e">
        <f>VLOOKUP(Tabela_Base_Financeiro[[#This Row],[Project Code]],'COD. PROJETOS'!B:D,3,0)</f>
        <v>#N/A</v>
      </c>
      <c r="G1106" s="36">
        <f>IFERROR(Tabela_Base_Financeiro[[#This Row],[PO No,]],0)</f>
        <v>0</v>
      </c>
      <c r="H1106" s="36">
        <f>IFERROR(Tabela_Base_Financeiro[[#This Row],[Line No,]],0)</f>
        <v>0</v>
      </c>
      <c r="I1106" s="36" t="str">
        <f>IFERROR(MID(Tabela_Base_Financeiro[[#This Row],[Manufacturer]],19,14),"")</f>
        <v/>
      </c>
      <c r="J1106" s="113">
        <f>IFERROR(Tabela_Base_Financeiro[[#This Row],[Item code]],0)</f>
        <v>0</v>
      </c>
      <c r="K1106" s="293">
        <f>IFERROR(Tabela_Base_Financeiro[[#This Row],[Unit Price]],0)</f>
        <v>0</v>
      </c>
      <c r="L1106" s="36">
        <f>IFERROR(Tabela_Base_Financeiro[[#This Row],[AC Qty,]],0)</f>
        <v>0</v>
      </c>
      <c r="M1106" s="60">
        <f>Tabela6[[#This Row],[Qty]]*Tabela6[[#This Row],[Preço]]</f>
        <v>0</v>
      </c>
      <c r="N1106" s="37">
        <f>IFERROR(Tabela_Base_Financeiro[[#This Row],[Proportion]],0)</f>
        <v>0</v>
      </c>
      <c r="O1106" s="60">
        <f>Tabela6[[#This Row],[Proporção]]*Tabela6[[#This Row],[Total]]</f>
        <v>0</v>
      </c>
      <c r="P1106"/>
      <c r="Q1106" s="59"/>
      <c r="R1106" s="1"/>
    </row>
    <row r="1107" spans="1:18">
      <c r="A1107" s="122" t="e">
        <f>IF(VLOOKUP(Tabela6[[#This Row],[UF]],'BASE CC'!B:C,2,0)="SP",IF(Tabela6[[#This Row],[OPERADORA]]="TIM","SP TIM","SPI"),VLOOKUP(Tabela6[[#This Row],[UF]],'BASE CC'!B:C,2,0))</f>
        <v>#N/A</v>
      </c>
      <c r="B1107" s="36" t="e">
        <f>VLOOKUP(Tabela_Base_Financeiro[[#This Row],[Item code]],'COD.FAT'!B:C,2,0)</f>
        <v>#N/A</v>
      </c>
      <c r="C1107" s="292">
        <f>Tabela_Base_Financeiro[[#This Row],[PO Ship TO]]</f>
        <v>0</v>
      </c>
      <c r="D1107" s="36" t="str">
        <f>RIGHT(Tabela_Base_Financeiro[[#This Row],[Manufacturer]],2)</f>
        <v/>
      </c>
      <c r="E110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107" s="122" t="e">
        <f>VLOOKUP(Tabela_Base_Financeiro[[#This Row],[Project Code]],'COD. PROJETOS'!B:D,3,0)</f>
        <v>#N/A</v>
      </c>
      <c r="G1107" s="36">
        <f>IFERROR(Tabela_Base_Financeiro[[#This Row],[PO No,]],0)</f>
        <v>0</v>
      </c>
      <c r="H1107" s="36">
        <f>IFERROR(Tabela_Base_Financeiro[[#This Row],[Line No,]],0)</f>
        <v>0</v>
      </c>
      <c r="I1107" s="36" t="str">
        <f>IFERROR(MID(Tabela_Base_Financeiro[[#This Row],[Manufacturer]],19,14),"")</f>
        <v/>
      </c>
      <c r="J1107" s="113">
        <f>IFERROR(Tabela_Base_Financeiro[[#This Row],[Item code]],0)</f>
        <v>0</v>
      </c>
      <c r="K1107" s="293">
        <f>IFERROR(Tabela_Base_Financeiro[[#This Row],[Unit Price]],0)</f>
        <v>0</v>
      </c>
      <c r="L1107" s="36">
        <f>IFERROR(Tabela_Base_Financeiro[[#This Row],[AC Qty,]],0)</f>
        <v>0</v>
      </c>
      <c r="M1107" s="60">
        <f>Tabela6[[#This Row],[Qty]]*Tabela6[[#This Row],[Preço]]</f>
        <v>0</v>
      </c>
      <c r="N1107" s="37">
        <f>IFERROR(Tabela_Base_Financeiro[[#This Row],[Proportion]],0)</f>
        <v>0</v>
      </c>
      <c r="O1107" s="60">
        <f>Tabela6[[#This Row],[Proporção]]*Tabela6[[#This Row],[Total]]</f>
        <v>0</v>
      </c>
      <c r="P1107"/>
      <c r="Q1107" s="59"/>
      <c r="R1107" s="1"/>
    </row>
    <row r="1108" spans="1:18">
      <c r="A1108" s="122" t="e">
        <f>IF(VLOOKUP(Tabela6[[#This Row],[UF]],'BASE CC'!B:C,2,0)="SP",IF(Tabela6[[#This Row],[OPERADORA]]="TIM","SP TIM","SPI"),VLOOKUP(Tabela6[[#This Row],[UF]],'BASE CC'!B:C,2,0))</f>
        <v>#N/A</v>
      </c>
      <c r="B1108" s="36" t="e">
        <f>VLOOKUP(Tabela_Base_Financeiro[[#This Row],[Item code]],'COD.FAT'!B:C,2,0)</f>
        <v>#N/A</v>
      </c>
      <c r="C1108" s="292">
        <f>Tabela_Base_Financeiro[[#This Row],[PO Ship TO]]</f>
        <v>0</v>
      </c>
      <c r="D1108" s="36" t="str">
        <f>RIGHT(Tabela_Base_Financeiro[[#This Row],[Manufacturer]],2)</f>
        <v/>
      </c>
      <c r="E110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108" s="122" t="e">
        <f>VLOOKUP(Tabela_Base_Financeiro[[#This Row],[Project Code]],'COD. PROJETOS'!B:D,3,0)</f>
        <v>#N/A</v>
      </c>
      <c r="G1108" s="36">
        <f>IFERROR(Tabela_Base_Financeiro[[#This Row],[PO No,]],0)</f>
        <v>0</v>
      </c>
      <c r="H1108" s="36">
        <f>IFERROR(Tabela_Base_Financeiro[[#This Row],[Line No,]],0)</f>
        <v>0</v>
      </c>
      <c r="I1108" s="36" t="str">
        <f>IFERROR(MID(Tabela_Base_Financeiro[[#This Row],[Manufacturer]],19,14),"")</f>
        <v/>
      </c>
      <c r="J1108" s="113">
        <f>IFERROR(Tabela_Base_Financeiro[[#This Row],[Item code]],0)</f>
        <v>0</v>
      </c>
      <c r="K1108" s="293">
        <f>IFERROR(Tabela_Base_Financeiro[[#This Row],[Unit Price]],0)</f>
        <v>0</v>
      </c>
      <c r="L1108" s="36">
        <f>IFERROR(Tabela_Base_Financeiro[[#This Row],[AC Qty,]],0)</f>
        <v>0</v>
      </c>
      <c r="M1108" s="60">
        <f>Tabela6[[#This Row],[Qty]]*Tabela6[[#This Row],[Preço]]</f>
        <v>0</v>
      </c>
      <c r="N1108" s="37">
        <f>IFERROR(Tabela_Base_Financeiro[[#This Row],[Proportion]],0)</f>
        <v>0</v>
      </c>
      <c r="O1108" s="60">
        <f>Tabela6[[#This Row],[Proporção]]*Tabela6[[#This Row],[Total]]</f>
        <v>0</v>
      </c>
      <c r="P1108"/>
      <c r="Q1108" s="59"/>
      <c r="R1108" s="1"/>
    </row>
    <row r="1109" spans="1:18">
      <c r="A1109" s="122" t="e">
        <f>IF(VLOOKUP(Tabela6[[#This Row],[UF]],'BASE CC'!B:C,2,0)="SP",IF(Tabela6[[#This Row],[OPERADORA]]="TIM","SP TIM","SPI"),VLOOKUP(Tabela6[[#This Row],[UF]],'BASE CC'!B:C,2,0))</f>
        <v>#N/A</v>
      </c>
      <c r="B1109" s="36" t="e">
        <f>VLOOKUP(Tabela_Base_Financeiro[[#This Row],[Item code]],'COD.FAT'!B:C,2,0)</f>
        <v>#N/A</v>
      </c>
      <c r="C1109" s="292">
        <f>Tabela_Base_Financeiro[[#This Row],[PO Ship TO]]</f>
        <v>0</v>
      </c>
      <c r="D1109" s="36" t="str">
        <f>RIGHT(Tabela_Base_Financeiro[[#This Row],[Manufacturer]],2)</f>
        <v/>
      </c>
      <c r="E110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109" s="122" t="e">
        <f>VLOOKUP(Tabela_Base_Financeiro[[#This Row],[Project Code]],'COD. PROJETOS'!B:D,3,0)</f>
        <v>#N/A</v>
      </c>
      <c r="G1109" s="36">
        <f>IFERROR(Tabela_Base_Financeiro[[#This Row],[PO No,]],0)</f>
        <v>0</v>
      </c>
      <c r="H1109" s="36">
        <f>IFERROR(Tabela_Base_Financeiro[[#This Row],[Line No,]],0)</f>
        <v>0</v>
      </c>
      <c r="I1109" s="36" t="str">
        <f>IFERROR(MID(Tabela_Base_Financeiro[[#This Row],[Manufacturer]],19,14),"")</f>
        <v/>
      </c>
      <c r="J1109" s="113">
        <f>IFERROR(Tabela_Base_Financeiro[[#This Row],[Item code]],0)</f>
        <v>0</v>
      </c>
      <c r="K1109" s="293">
        <f>IFERROR(Tabela_Base_Financeiro[[#This Row],[Unit Price]],0)</f>
        <v>0</v>
      </c>
      <c r="L1109" s="36">
        <f>IFERROR(Tabela_Base_Financeiro[[#This Row],[AC Qty,]],0)</f>
        <v>0</v>
      </c>
      <c r="M1109" s="60">
        <f>Tabela6[[#This Row],[Qty]]*Tabela6[[#This Row],[Preço]]</f>
        <v>0</v>
      </c>
      <c r="N1109" s="37">
        <f>IFERROR(Tabela_Base_Financeiro[[#This Row],[Proportion]],0)</f>
        <v>0</v>
      </c>
      <c r="O1109" s="60">
        <f>Tabela6[[#This Row],[Proporção]]*Tabela6[[#This Row],[Total]]</f>
        <v>0</v>
      </c>
      <c r="P1109"/>
      <c r="Q1109" s="59"/>
      <c r="R1109" s="1"/>
    </row>
    <row r="1110" spans="1:18">
      <c r="A1110" s="122" t="e">
        <f>IF(VLOOKUP(Tabela6[[#This Row],[UF]],'BASE CC'!B:C,2,0)="SP",IF(Tabela6[[#This Row],[OPERADORA]]="TIM","SP TIM","SPI"),VLOOKUP(Tabela6[[#This Row],[UF]],'BASE CC'!B:C,2,0))</f>
        <v>#N/A</v>
      </c>
      <c r="B1110" s="36" t="e">
        <f>VLOOKUP(Tabela_Base_Financeiro[[#This Row],[Item code]],'COD.FAT'!B:C,2,0)</f>
        <v>#N/A</v>
      </c>
      <c r="C1110" s="292">
        <f>Tabela_Base_Financeiro[[#This Row],[PO Ship TO]]</f>
        <v>0</v>
      </c>
      <c r="D1110" s="36" t="str">
        <f>RIGHT(Tabela_Base_Financeiro[[#This Row],[Manufacturer]],2)</f>
        <v/>
      </c>
      <c r="E1110"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110" s="122" t="e">
        <f>VLOOKUP(Tabela_Base_Financeiro[[#This Row],[Project Code]],'COD. PROJETOS'!B:D,3,0)</f>
        <v>#N/A</v>
      </c>
      <c r="G1110" s="36">
        <f>IFERROR(Tabela_Base_Financeiro[[#This Row],[PO No,]],0)</f>
        <v>0</v>
      </c>
      <c r="H1110" s="36">
        <f>IFERROR(Tabela_Base_Financeiro[[#This Row],[Line No,]],0)</f>
        <v>0</v>
      </c>
      <c r="I1110" s="36" t="str">
        <f>IFERROR(MID(Tabela_Base_Financeiro[[#This Row],[Manufacturer]],19,14),"")</f>
        <v/>
      </c>
      <c r="J1110" s="113">
        <f>IFERROR(Tabela_Base_Financeiro[[#This Row],[Item code]],0)</f>
        <v>0</v>
      </c>
      <c r="K1110" s="293">
        <f>IFERROR(Tabela_Base_Financeiro[[#This Row],[Unit Price]],0)</f>
        <v>0</v>
      </c>
      <c r="L1110" s="36">
        <f>IFERROR(Tabela_Base_Financeiro[[#This Row],[AC Qty,]],0)</f>
        <v>0</v>
      </c>
      <c r="M1110" s="60">
        <f>Tabela6[[#This Row],[Qty]]*Tabela6[[#This Row],[Preço]]</f>
        <v>0</v>
      </c>
      <c r="N1110" s="37">
        <f>IFERROR(Tabela_Base_Financeiro[[#This Row],[Proportion]],0)</f>
        <v>0</v>
      </c>
      <c r="O1110" s="60">
        <f>Tabela6[[#This Row],[Proporção]]*Tabela6[[#This Row],[Total]]</f>
        <v>0</v>
      </c>
      <c r="P1110"/>
      <c r="Q1110" s="59"/>
      <c r="R1110" s="1"/>
    </row>
    <row r="1111" spans="1:18">
      <c r="A1111" s="122" t="e">
        <f>IF(VLOOKUP(Tabela6[[#This Row],[UF]],'BASE CC'!B:C,2,0)="SP",IF(Tabela6[[#This Row],[OPERADORA]]="TIM","SP TIM","SPI"),VLOOKUP(Tabela6[[#This Row],[UF]],'BASE CC'!B:C,2,0))</f>
        <v>#N/A</v>
      </c>
      <c r="B1111" s="36" t="e">
        <f>VLOOKUP(Tabela_Base_Financeiro[[#This Row],[Item code]],'COD.FAT'!B:C,2,0)</f>
        <v>#N/A</v>
      </c>
      <c r="C1111" s="292">
        <f>Tabela_Base_Financeiro[[#This Row],[PO Ship TO]]</f>
        <v>0</v>
      </c>
      <c r="D1111" s="36" t="str">
        <f>RIGHT(Tabela_Base_Financeiro[[#This Row],[Manufacturer]],2)</f>
        <v/>
      </c>
      <c r="E1111"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111" s="122" t="e">
        <f>VLOOKUP(Tabela_Base_Financeiro[[#This Row],[Project Code]],'COD. PROJETOS'!B:D,3,0)</f>
        <v>#N/A</v>
      </c>
      <c r="G1111" s="36">
        <f>IFERROR(Tabela_Base_Financeiro[[#This Row],[PO No,]],0)</f>
        <v>0</v>
      </c>
      <c r="H1111" s="36">
        <f>IFERROR(Tabela_Base_Financeiro[[#This Row],[Line No,]],0)</f>
        <v>0</v>
      </c>
      <c r="I1111" s="36" t="str">
        <f>IFERROR(MID(Tabela_Base_Financeiro[[#This Row],[Manufacturer]],19,14),"")</f>
        <v/>
      </c>
      <c r="J1111" s="113">
        <f>IFERROR(Tabela_Base_Financeiro[[#This Row],[Item code]],0)</f>
        <v>0</v>
      </c>
      <c r="K1111" s="293">
        <f>IFERROR(Tabela_Base_Financeiro[[#This Row],[Unit Price]],0)</f>
        <v>0</v>
      </c>
      <c r="L1111" s="36">
        <f>IFERROR(Tabela_Base_Financeiro[[#This Row],[AC Qty,]],0)</f>
        <v>0</v>
      </c>
      <c r="M1111" s="60">
        <f>Tabela6[[#This Row],[Qty]]*Tabela6[[#This Row],[Preço]]</f>
        <v>0</v>
      </c>
      <c r="N1111" s="37">
        <f>IFERROR(Tabela_Base_Financeiro[[#This Row],[Proportion]],0)</f>
        <v>0</v>
      </c>
      <c r="O1111" s="60">
        <f>Tabela6[[#This Row],[Proporção]]*Tabela6[[#This Row],[Total]]</f>
        <v>0</v>
      </c>
      <c r="P1111"/>
      <c r="Q1111" s="59"/>
      <c r="R1111" s="1"/>
    </row>
    <row r="1112" spans="1:18">
      <c r="A1112" s="122" t="e">
        <f>IF(VLOOKUP(Tabela6[[#This Row],[UF]],'BASE CC'!B:C,2,0)="SP",IF(Tabela6[[#This Row],[OPERADORA]]="TIM","SP TIM","SPI"),VLOOKUP(Tabela6[[#This Row],[UF]],'BASE CC'!B:C,2,0))</f>
        <v>#N/A</v>
      </c>
      <c r="B1112" s="36" t="e">
        <f>VLOOKUP(Tabela_Base_Financeiro[[#This Row],[Item code]],'COD.FAT'!B:C,2,0)</f>
        <v>#N/A</v>
      </c>
      <c r="C1112" s="292">
        <f>Tabela_Base_Financeiro[[#This Row],[PO Ship TO]]</f>
        <v>0</v>
      </c>
      <c r="D1112" s="36" t="str">
        <f>RIGHT(Tabela_Base_Financeiro[[#This Row],[Manufacturer]],2)</f>
        <v/>
      </c>
      <c r="E1112"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112" s="122" t="e">
        <f>VLOOKUP(Tabela_Base_Financeiro[[#This Row],[Project Code]],'COD. PROJETOS'!B:D,3,0)</f>
        <v>#N/A</v>
      </c>
      <c r="G1112" s="36">
        <f>IFERROR(Tabela_Base_Financeiro[[#This Row],[PO No,]],0)</f>
        <v>0</v>
      </c>
      <c r="H1112" s="36">
        <f>IFERROR(Tabela_Base_Financeiro[[#This Row],[Line No,]],0)</f>
        <v>0</v>
      </c>
      <c r="I1112" s="36" t="str">
        <f>IFERROR(MID(Tabela_Base_Financeiro[[#This Row],[Manufacturer]],19,14),"")</f>
        <v/>
      </c>
      <c r="J1112" s="113">
        <f>IFERROR(Tabela_Base_Financeiro[[#This Row],[Item code]],0)</f>
        <v>0</v>
      </c>
      <c r="K1112" s="293">
        <f>IFERROR(Tabela_Base_Financeiro[[#This Row],[Unit Price]],0)</f>
        <v>0</v>
      </c>
      <c r="L1112" s="36">
        <f>IFERROR(Tabela_Base_Financeiro[[#This Row],[AC Qty,]],0)</f>
        <v>0</v>
      </c>
      <c r="M1112" s="60">
        <f>Tabela6[[#This Row],[Qty]]*Tabela6[[#This Row],[Preço]]</f>
        <v>0</v>
      </c>
      <c r="N1112" s="37">
        <f>IFERROR(Tabela_Base_Financeiro[[#This Row],[Proportion]],0)</f>
        <v>0</v>
      </c>
      <c r="O1112" s="60">
        <f>Tabela6[[#This Row],[Proporção]]*Tabela6[[#This Row],[Total]]</f>
        <v>0</v>
      </c>
      <c r="P1112"/>
      <c r="Q1112" s="59"/>
      <c r="R1112" s="1"/>
    </row>
    <row r="1113" spans="1:18">
      <c r="A1113" s="122" t="e">
        <f>IF(VLOOKUP(Tabela6[[#This Row],[UF]],'BASE CC'!B:C,2,0)="SP",IF(Tabela6[[#This Row],[OPERADORA]]="TIM","SP TIM","SPI"),VLOOKUP(Tabela6[[#This Row],[UF]],'BASE CC'!B:C,2,0))</f>
        <v>#N/A</v>
      </c>
      <c r="B1113" s="36" t="e">
        <f>VLOOKUP(Tabela_Base_Financeiro[[#This Row],[Item code]],'COD.FAT'!B:C,2,0)</f>
        <v>#N/A</v>
      </c>
      <c r="C1113" s="292">
        <f>Tabela_Base_Financeiro[[#This Row],[PO Ship TO]]</f>
        <v>0</v>
      </c>
      <c r="D1113" s="36" t="str">
        <f>RIGHT(Tabela_Base_Financeiro[[#This Row],[Manufacturer]],2)</f>
        <v/>
      </c>
      <c r="E1113"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113" s="122" t="e">
        <f>VLOOKUP(Tabela_Base_Financeiro[[#This Row],[Project Code]],'COD. PROJETOS'!B:D,3,0)</f>
        <v>#N/A</v>
      </c>
      <c r="G1113" s="36">
        <f>IFERROR(Tabela_Base_Financeiro[[#This Row],[PO No,]],0)</f>
        <v>0</v>
      </c>
      <c r="H1113" s="36">
        <f>IFERROR(Tabela_Base_Financeiro[[#This Row],[Line No,]],0)</f>
        <v>0</v>
      </c>
      <c r="I1113" s="36" t="str">
        <f>IFERROR(MID(Tabela_Base_Financeiro[[#This Row],[Manufacturer]],19,14),"")</f>
        <v/>
      </c>
      <c r="J1113" s="113">
        <f>IFERROR(Tabela_Base_Financeiro[[#This Row],[Item code]],0)</f>
        <v>0</v>
      </c>
      <c r="K1113" s="293">
        <f>IFERROR(Tabela_Base_Financeiro[[#This Row],[Unit Price]],0)</f>
        <v>0</v>
      </c>
      <c r="L1113" s="36">
        <f>IFERROR(Tabela_Base_Financeiro[[#This Row],[AC Qty,]],0)</f>
        <v>0</v>
      </c>
      <c r="M1113" s="60">
        <f>Tabela6[[#This Row],[Qty]]*Tabela6[[#This Row],[Preço]]</f>
        <v>0</v>
      </c>
      <c r="N1113" s="37">
        <f>IFERROR(Tabela_Base_Financeiro[[#This Row],[Proportion]],0)</f>
        <v>0</v>
      </c>
      <c r="O1113" s="60">
        <f>Tabela6[[#This Row],[Proporção]]*Tabela6[[#This Row],[Total]]</f>
        <v>0</v>
      </c>
      <c r="P1113"/>
      <c r="Q1113" s="59"/>
      <c r="R1113" s="1"/>
    </row>
    <row r="1114" spans="1:18">
      <c r="A1114" s="122" t="e">
        <f>IF(VLOOKUP(Tabela6[[#This Row],[UF]],'BASE CC'!B:C,2,0)="SP",IF(Tabela6[[#This Row],[OPERADORA]]="TIM","SP TIM","SPI"),VLOOKUP(Tabela6[[#This Row],[UF]],'BASE CC'!B:C,2,0))</f>
        <v>#N/A</v>
      </c>
      <c r="B1114" s="36" t="e">
        <f>VLOOKUP(Tabela_Base_Financeiro[[#This Row],[Item code]],'COD.FAT'!B:C,2,0)</f>
        <v>#N/A</v>
      </c>
      <c r="C1114" s="292">
        <f>Tabela_Base_Financeiro[[#This Row],[PO Ship TO]]</f>
        <v>0</v>
      </c>
      <c r="D1114" s="36" t="str">
        <f>RIGHT(Tabela_Base_Financeiro[[#This Row],[Manufacturer]],2)</f>
        <v/>
      </c>
      <c r="E1114"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#N/A</v>
      </c>
      <c r="F1114" s="122" t="e">
        <f>VLOOKUP(Tabela_Base_Financeiro[[#This Row],[Project Code]],'COD. PROJETOS'!B:D,3,0)</f>
        <v>#N/A</v>
      </c>
      <c r="G1114" s="36">
        <f>IFERROR(Tabela_Base_Financeiro[[#This Row],[PO No,]],0)</f>
        <v>0</v>
      </c>
      <c r="H1114" s="36">
        <f>IFERROR(Tabela_Base_Financeiro[[#This Row],[Line No,]],0)</f>
        <v>0</v>
      </c>
      <c r="I1114" s="36" t="str">
        <f>IFERROR(MID(Tabela_Base_Financeiro[[#This Row],[Manufacturer]],19,14),"")</f>
        <v/>
      </c>
      <c r="J1114" s="113">
        <f>IFERROR(Tabela_Base_Financeiro[[#This Row],[Item code]],0)</f>
        <v>0</v>
      </c>
      <c r="K1114" s="293">
        <f>IFERROR(Tabela_Base_Financeiro[[#This Row],[Unit Price]],0)</f>
        <v>0</v>
      </c>
      <c r="L1114" s="36">
        <f>IFERROR(Tabela_Base_Financeiro[[#This Row],[AC Qty,]],0)</f>
        <v>0</v>
      </c>
      <c r="M1114" s="60">
        <f>Tabela6[[#This Row],[Qty]]*Tabela6[[#This Row],[Preço]]</f>
        <v>0</v>
      </c>
      <c r="N1114" s="37">
        <f>IFERROR(Tabela_Base_Financeiro[[#This Row],[Proportion]],0)</f>
        <v>0</v>
      </c>
      <c r="O1114" s="60">
        <f>Tabela6[[#This Row],[Proporção]]*Tabela6[[#This Row],[Total]]</f>
        <v>0</v>
      </c>
      <c r="P1114"/>
      <c r="Q1114" s="59"/>
      <c r="R1114" s="1"/>
    </row>
    <row r="1115" spans="1:18">
      <c r="A1115" s="122" t="e">
        <f>IF(VLOOKUP(Tabela6[[#This Row],[UF]],'BASE CC'!B:C,2,0)="SP",IF(Tabela6[[#This Row],[OPERADORA]]="TIM","SP TIM","SPI"),VLOOKUP(Tabela6[[#This Row],[UF]],'BASE CC'!B:C,2,0))</f>
        <v>#VALUE!</v>
      </c>
      <c r="B1115" s="36" t="e">
        <f>VLOOKUP(Tabela_Base_Financeiro[[#This Row],[Item code]],'COD.FAT'!B:C,2,0)</f>
        <v>#VALUE!</v>
      </c>
      <c r="C1115" s="292" t="e">
        <f>Tabela_Base_Financeiro[[#This Row],[PO Ship TO]]</f>
        <v>#VALUE!</v>
      </c>
      <c r="D1115" s="36" t="e">
        <f>RIGHT(Tabela_Base_Financeiro[[#This Row],[Manufacturer]],2)</f>
        <v>#VALUE!</v>
      </c>
      <c r="E1115"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#VALUE!</v>
      </c>
      <c r="F1115" s="122" t="e">
        <f>VLOOKUP(Tabela_Base_Financeiro[[#This Row],[Project Code]],'COD. PROJETOS'!B:D,3,0)</f>
        <v>#VALUE!</v>
      </c>
      <c r="G1115" s="36">
        <f>IFERROR(Tabela_Base_Financeiro[[#This Row],[PO No,]],0)</f>
        <v>0</v>
      </c>
      <c r="H1115" s="36">
        <f>IFERROR(Tabela_Base_Financeiro[[#This Row],[Line No,]],0)</f>
        <v>0</v>
      </c>
      <c r="I1115" s="36" t="str">
        <f>IFERROR(MID(Tabela_Base_Financeiro[[#This Row],[Manufacturer]],19,14),"")</f>
        <v/>
      </c>
      <c r="J1115" s="113">
        <f>IFERROR(Tabela_Base_Financeiro[[#This Row],[Item code]],0)</f>
        <v>0</v>
      </c>
      <c r="K1115" s="293">
        <f>IFERROR(Tabela_Base_Financeiro[[#This Row],[Unit Price]],0)</f>
        <v>0</v>
      </c>
      <c r="L1115" s="36">
        <f>IFERROR(Tabela_Base_Financeiro[[#This Row],[AC Qty,]],0)</f>
        <v>0</v>
      </c>
      <c r="M1115" s="60">
        <f>Tabela6[[#This Row],[Qty]]*Tabela6[[#This Row],[Preço]]</f>
        <v>0</v>
      </c>
      <c r="N1115" s="37">
        <f>IFERROR(Tabela_Base_Financeiro[[#This Row],[Proportion]],0)</f>
        <v>0</v>
      </c>
      <c r="O1115" s="60">
        <f>Tabela6[[#This Row],[Proporção]]*Tabela6[[#This Row],[Total]]</f>
        <v>0</v>
      </c>
      <c r="P1115"/>
      <c r="Q1115" s="59"/>
      <c r="R1115" s="1"/>
    </row>
    <row r="1116" spans="1:18">
      <c r="A1116" s="122" t="e">
        <f>IF(VLOOKUP(Tabela6[[#This Row],[UF]],'BASE CC'!B:C,2,0)="SP",IF(Tabela6[[#This Row],[OPERADORA]]="TIM","SP TIM","SPI"),VLOOKUP(Tabela6[[#This Row],[UF]],'BASE CC'!B:C,2,0))</f>
        <v>#VALUE!</v>
      </c>
      <c r="B1116" s="36" t="e">
        <f>VLOOKUP(Tabela_Base_Financeiro[[#This Row],[Item code]],'COD.FAT'!B:C,2,0)</f>
        <v>#VALUE!</v>
      </c>
      <c r="C1116" s="292" t="e">
        <f>Tabela_Base_Financeiro[[#This Row],[PO Ship TO]]</f>
        <v>#VALUE!</v>
      </c>
      <c r="D1116" s="36" t="e">
        <f>RIGHT(Tabela_Base_Financeiro[[#This Row],[Manufacturer]],2)</f>
        <v>#VALUE!</v>
      </c>
      <c r="E1116"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#VALUE!</v>
      </c>
      <c r="F1116" s="122" t="e">
        <f>VLOOKUP(Tabela_Base_Financeiro[[#This Row],[Project Code]],'COD. PROJETOS'!B:D,3,0)</f>
        <v>#VALUE!</v>
      </c>
      <c r="G1116" s="36">
        <f>IFERROR(Tabela_Base_Financeiro[[#This Row],[PO No,]],0)</f>
        <v>0</v>
      </c>
      <c r="H1116" s="36">
        <f>IFERROR(Tabela_Base_Financeiro[[#This Row],[Line No,]],0)</f>
        <v>0</v>
      </c>
      <c r="I1116" s="36" t="str">
        <f>IFERROR(MID(Tabela_Base_Financeiro[[#This Row],[Manufacturer]],19,14),"")</f>
        <v/>
      </c>
      <c r="J1116" s="113">
        <f>IFERROR(Tabela_Base_Financeiro[[#This Row],[Item code]],0)</f>
        <v>0</v>
      </c>
      <c r="K1116" s="293">
        <f>IFERROR(Tabela_Base_Financeiro[[#This Row],[Unit Price]],0)</f>
        <v>0</v>
      </c>
      <c r="L1116" s="36">
        <f>IFERROR(Tabela_Base_Financeiro[[#This Row],[AC Qty,]],0)</f>
        <v>0</v>
      </c>
      <c r="M1116" s="60">
        <f>Tabela6[[#This Row],[Qty]]*Tabela6[[#This Row],[Preço]]</f>
        <v>0</v>
      </c>
      <c r="N1116" s="37">
        <f>IFERROR(Tabela_Base_Financeiro[[#This Row],[Proportion]],0)</f>
        <v>0</v>
      </c>
      <c r="O1116" s="60">
        <f>Tabela6[[#This Row],[Proporção]]*Tabela6[[#This Row],[Total]]</f>
        <v>0</v>
      </c>
      <c r="P1116"/>
      <c r="Q1116" s="59"/>
      <c r="R1116" s="1"/>
    </row>
    <row r="1117" spans="1:18">
      <c r="A1117" s="122" t="e">
        <f>IF(VLOOKUP(Tabela6[[#This Row],[UF]],'BASE CC'!B:C,2,0)="SP",IF(Tabela6[[#This Row],[OPERADORA]]="TIM","SP TIM","SPI"),VLOOKUP(Tabela6[[#This Row],[UF]],'BASE CC'!B:C,2,0))</f>
        <v>#VALUE!</v>
      </c>
      <c r="B1117" s="36" t="e">
        <f>VLOOKUP(Tabela_Base_Financeiro[[#This Row],[Item code]],'COD.FAT'!B:C,2,0)</f>
        <v>#VALUE!</v>
      </c>
      <c r="C1117" s="292" t="e">
        <f>Tabela_Base_Financeiro[[#This Row],[PO Ship TO]]</f>
        <v>#VALUE!</v>
      </c>
      <c r="D1117" s="36" t="e">
        <f>RIGHT(Tabela_Base_Financeiro[[#This Row],[Manufacturer]],2)</f>
        <v>#VALUE!</v>
      </c>
      <c r="E1117"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#VALUE!</v>
      </c>
      <c r="F1117" s="122" t="e">
        <f>VLOOKUP(Tabela_Base_Financeiro[[#This Row],[Project Code]],'COD. PROJETOS'!B:D,3,0)</f>
        <v>#VALUE!</v>
      </c>
      <c r="G1117" s="36">
        <f>IFERROR(Tabela_Base_Financeiro[[#This Row],[PO No,]],0)</f>
        <v>0</v>
      </c>
      <c r="H1117" s="36">
        <f>IFERROR(Tabela_Base_Financeiro[[#This Row],[Line No,]],0)</f>
        <v>0</v>
      </c>
      <c r="I1117" s="36" t="str">
        <f>IFERROR(MID(Tabela_Base_Financeiro[[#This Row],[Manufacturer]],19,14),"")</f>
        <v/>
      </c>
      <c r="J1117" s="113">
        <f>IFERROR(Tabela_Base_Financeiro[[#This Row],[Item code]],0)</f>
        <v>0</v>
      </c>
      <c r="K1117" s="293">
        <f>IFERROR(Tabela_Base_Financeiro[[#This Row],[Unit Price]],0)</f>
        <v>0</v>
      </c>
      <c r="L1117" s="36">
        <f>IFERROR(Tabela_Base_Financeiro[[#This Row],[AC Qty,]],0)</f>
        <v>0</v>
      </c>
      <c r="M1117" s="60">
        <f>Tabela6[[#This Row],[Qty]]*Tabela6[[#This Row],[Preço]]</f>
        <v>0</v>
      </c>
      <c r="N1117" s="37">
        <f>IFERROR(Tabela_Base_Financeiro[[#This Row],[Proportion]],0)</f>
        <v>0</v>
      </c>
      <c r="O1117" s="60">
        <f>Tabela6[[#This Row],[Proporção]]*Tabela6[[#This Row],[Total]]</f>
        <v>0</v>
      </c>
      <c r="P1117"/>
      <c r="Q1117" s="59"/>
      <c r="R1117" s="1"/>
    </row>
    <row r="1118" spans="1:18">
      <c r="A1118" s="122" t="e">
        <f>IF(VLOOKUP(Tabela6[[#This Row],[UF]],'BASE CC'!B:C,2,0)="SP",IF(Tabela6[[#This Row],[OPERADORA]]="TIM","SP TIM","SPI"),VLOOKUP(Tabela6[[#This Row],[UF]],'BASE CC'!B:C,2,0))</f>
        <v>#VALUE!</v>
      </c>
      <c r="B1118" s="36" t="e">
        <f>VLOOKUP(Tabela_Base_Financeiro[[#This Row],[Item code]],'COD.FAT'!B:C,2,0)</f>
        <v>#VALUE!</v>
      </c>
      <c r="C1118" s="292" t="e">
        <f>Tabela_Base_Financeiro[[#This Row],[PO Ship TO]]</f>
        <v>#VALUE!</v>
      </c>
      <c r="D1118" s="36" t="e">
        <f>RIGHT(Tabela_Base_Financeiro[[#This Row],[Manufacturer]],2)</f>
        <v>#VALUE!</v>
      </c>
      <c r="E1118"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#VALUE!</v>
      </c>
      <c r="F1118" s="122" t="e">
        <f>VLOOKUP(Tabela_Base_Financeiro[[#This Row],[Project Code]],'COD. PROJETOS'!B:D,3,0)</f>
        <v>#VALUE!</v>
      </c>
      <c r="G1118" s="36">
        <f>IFERROR(Tabela_Base_Financeiro[[#This Row],[PO No,]],0)</f>
        <v>0</v>
      </c>
      <c r="H1118" s="36">
        <f>IFERROR(Tabela_Base_Financeiro[[#This Row],[Line No,]],0)</f>
        <v>0</v>
      </c>
      <c r="I1118" s="36" t="str">
        <f>IFERROR(MID(Tabela_Base_Financeiro[[#This Row],[Manufacturer]],19,14),"")</f>
        <v/>
      </c>
      <c r="J1118" s="113">
        <f>IFERROR(Tabela_Base_Financeiro[[#This Row],[Item code]],0)</f>
        <v>0</v>
      </c>
      <c r="K1118" s="293">
        <f>IFERROR(Tabela_Base_Financeiro[[#This Row],[Unit Price]],0)</f>
        <v>0</v>
      </c>
      <c r="L1118" s="36">
        <f>IFERROR(Tabela_Base_Financeiro[[#This Row],[AC Qty,]],0)</f>
        <v>0</v>
      </c>
      <c r="M1118" s="60">
        <f>Tabela6[[#This Row],[Qty]]*Tabela6[[#This Row],[Preço]]</f>
        <v>0</v>
      </c>
      <c r="N1118" s="37">
        <f>IFERROR(Tabela_Base_Financeiro[[#This Row],[Proportion]],0)</f>
        <v>0</v>
      </c>
      <c r="O1118" s="60">
        <f>Tabela6[[#This Row],[Proporção]]*Tabela6[[#This Row],[Total]]</f>
        <v>0</v>
      </c>
      <c r="P1118"/>
      <c r="Q1118" s="59"/>
      <c r="R1118" s="1"/>
    </row>
    <row r="1119" spans="1:18">
      <c r="A1119" s="122" t="e">
        <f>IF(VLOOKUP(Tabela6[[#This Row],[UF]],'BASE CC'!B:C,2,0)="SP",IF(Tabela6[[#This Row],[OPERADORA]]="TIM","SP TIM","SPI"),VLOOKUP(Tabela6[[#This Row],[UF]],'BASE CC'!B:C,2,0))</f>
        <v>#VALUE!</v>
      </c>
      <c r="B1119" s="36" t="e">
        <f>VLOOKUP(Tabela_Base_Financeiro[[#This Row],[Item code]],'COD.FAT'!B:C,2,0)</f>
        <v>#VALUE!</v>
      </c>
      <c r="C1119" s="292" t="e">
        <f>Tabela_Base_Financeiro[[#This Row],[PO Ship TO]]</f>
        <v>#VALUE!</v>
      </c>
      <c r="D1119" s="36" t="e">
        <f>RIGHT(Tabela_Base_Financeiro[[#This Row],[Manufacturer]],2)</f>
        <v>#VALUE!</v>
      </c>
      <c r="E1119" s="122" t="e">
        <f>IF(VLOOKUP(Tabela_Base_Financeiro[[#This Row],[Project Code]],'COD. PROJETOS'!B:D,3,0)="VIVO",MID(Tabela_Base_Financeiro[[#This Row],[Manufacturer]],36,6),IF(VLOOKUP(Tabela_Base_Financeiro[[#This Row],[Project Code]],'COD. PROJETOS'!B:D,3,0)="CLARO",MID(Tabela_Base_Financeiro[[#This Row],[Manufacturer]],36,7),IF(VLOOKUP(Tabela_Base_Financeiro[[#This Row],[Project Code]],'COD. PROJETOS'!B:D,3,0)="TIM",MID(Tabela_Base_Financeiro[[#This Row],[Manufacturer]],36,9),"PROJETO?")))</f>
        <v>#VALUE!</v>
      </c>
      <c r="F1119" s="122" t="e">
        <f>VLOOKUP(Tabela_Base_Financeiro[[#This Row],[Project Code]],'COD. PROJETOS'!B:D,3,0)</f>
        <v>#VALUE!</v>
      </c>
      <c r="G1119" s="36">
        <f>IFERROR(Tabela_Base_Financeiro[[#This Row],[PO No,]],0)</f>
        <v>0</v>
      </c>
      <c r="H1119" s="36">
        <f>IFERROR(Tabela_Base_Financeiro[[#This Row],[Line No,]],0)</f>
        <v>0</v>
      </c>
      <c r="I1119" s="36" t="str">
        <f>IFERROR(MID(Tabela_Base_Financeiro[[#This Row],[Manufacturer]],19,14),"")</f>
        <v/>
      </c>
      <c r="J1119" s="113">
        <f>IFERROR(Tabela_Base_Financeiro[[#This Row],[Item code]],0)</f>
        <v>0</v>
      </c>
      <c r="K1119" s="293">
        <f>IFERROR(Tabela_Base_Financeiro[[#This Row],[Unit Price]],0)</f>
        <v>0</v>
      </c>
      <c r="L1119" s="36">
        <f>IFERROR(Tabela_Base_Financeiro[[#This Row],[AC Qty,]],0)</f>
        <v>0</v>
      </c>
      <c r="M1119" s="60">
        <f>Tabela6[[#This Row],[Qty]]*Tabela6[[#This Row],[Preço]]</f>
        <v>0</v>
      </c>
      <c r="N1119" s="37">
        <f>IFERROR(Tabela_Base_Financeiro[[#This Row],[Proportion]],0)</f>
        <v>0</v>
      </c>
      <c r="O1119" s="60">
        <f>Tabela6[[#This Row],[Proporção]]*Tabela6[[#This Row],[Total]]</f>
        <v>0</v>
      </c>
      <c r="P1119"/>
      <c r="Q1119" s="59"/>
      <c r="R1119" s="1"/>
    </row>
  </sheetData>
  <phoneticPr fontId="10" type="noConversion"/>
  <conditionalFormatting sqref="G3:H1119">
    <cfRule type="cellIs" dxfId="516" priority="46" operator="equal">
      <formula>"PENDENTE"</formula>
    </cfRule>
  </conditionalFormatting>
  <pageMargins left="0.511811024" right="0.511811024" top="0.78740157499999996" bottom="0.78740157499999996" header="0.31496062000000002" footer="0.31496062000000002"/>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M1115"/>
  <sheetViews>
    <sheetView topLeftCell="O1" zoomScale="98" zoomScaleNormal="98" workbookViewId="0">
      <selection activeCell="BB4" sqref="BB4:BB5"/>
    </sheetView>
  </sheetViews>
  <sheetFormatPr defaultRowHeight="14.4"/>
  <cols>
    <col min="1" max="1" width="47.21875" customWidth="1"/>
    <col min="2" max="2" width="19.109375" bestFit="1" customWidth="1"/>
    <col min="3" max="3" width="12.5546875" bestFit="1" customWidth="1"/>
    <col min="4" max="4" width="10.33203125" bestFit="1" customWidth="1"/>
    <col min="5" max="5" width="14.33203125" bestFit="1" customWidth="1"/>
    <col min="6" max="6" width="15.6640625" customWidth="1"/>
    <col min="7" max="7" width="12.5546875" bestFit="1" customWidth="1"/>
    <col min="8" max="8" width="16" customWidth="1"/>
    <col min="9" max="9" width="13.33203125" bestFit="1" customWidth="1"/>
    <col min="10" max="10" width="9.44140625" bestFit="1" customWidth="1"/>
    <col min="11" max="11" width="14.6640625" bestFit="1" customWidth="1"/>
    <col min="12" max="12" width="14.109375" bestFit="1" customWidth="1"/>
    <col min="13" max="13" width="12.44140625" bestFit="1" customWidth="1"/>
    <col min="14" max="14" width="13.5546875" bestFit="1" customWidth="1"/>
    <col min="15" max="15" width="20.5546875" customWidth="1"/>
    <col min="16" max="16" width="10" bestFit="1" customWidth="1"/>
    <col min="17" max="17" width="21.5546875" customWidth="1"/>
    <col min="18" max="18" width="26" customWidth="1"/>
    <col min="19" max="19" width="11.6640625" customWidth="1"/>
    <col min="20" max="20" width="9.109375" customWidth="1"/>
    <col min="21" max="21" width="13.109375" customWidth="1"/>
    <col min="22" max="22" width="30.21875" customWidth="1"/>
    <col min="23" max="23" width="8.33203125" customWidth="1"/>
    <col min="24" max="24" width="10.88671875" customWidth="1"/>
    <col min="25" max="25" width="10.33203125" customWidth="1"/>
    <col min="26" max="26" width="9.6640625" customWidth="1"/>
    <col min="27" max="27" width="12.6640625" customWidth="1"/>
    <col min="28" max="28" width="11.6640625" customWidth="1"/>
    <col min="29" max="29" width="18" customWidth="1"/>
    <col min="30" max="36" width="11.33203125" customWidth="1"/>
    <col min="37" max="37" width="13.33203125" customWidth="1"/>
    <col min="38" max="38" width="26.33203125" customWidth="1"/>
    <col min="39" max="39" width="15.44140625" customWidth="1"/>
    <col min="40" max="40" width="12.109375" customWidth="1"/>
    <col min="41" max="41" width="17.44140625" customWidth="1"/>
    <col min="42" max="42" width="13.44140625" customWidth="1"/>
    <col min="43" max="43" width="13.33203125" customWidth="1"/>
    <col min="44" max="44" width="12.5546875" customWidth="1"/>
    <col min="45" max="45" width="18.5546875" customWidth="1"/>
    <col min="46" max="46" width="37" customWidth="1"/>
    <col min="47" max="47" width="8.33203125" customWidth="1"/>
    <col min="48" max="48" width="22.88671875" customWidth="1"/>
    <col min="49" max="49" width="14.109375" customWidth="1"/>
    <col min="50" max="50" width="44.109375" customWidth="1"/>
    <col min="51" max="51" width="16.5546875" customWidth="1"/>
    <col min="52" max="52" width="63.5546875" customWidth="1"/>
    <col min="53" max="53" width="55.109375" customWidth="1"/>
    <col min="54" max="54" width="14.109375" customWidth="1"/>
    <col min="55" max="55" width="15.44140625" customWidth="1"/>
    <col min="56" max="56" width="16.109375" customWidth="1"/>
    <col min="57" max="57" width="60.44140625" customWidth="1"/>
    <col min="58" max="58" width="20" customWidth="1"/>
    <col min="59" max="59" width="9.6640625" customWidth="1"/>
    <col min="60" max="60" width="33.88671875" customWidth="1"/>
    <col min="61" max="61" width="79.88671875" customWidth="1"/>
    <col min="62" max="62" width="11.109375" bestFit="1" customWidth="1"/>
    <col min="63" max="63" width="21" bestFit="1" customWidth="1"/>
    <col min="64" max="64" width="14" bestFit="1" customWidth="1"/>
    <col min="65" max="65" width="10.109375" bestFit="1" customWidth="1"/>
    <col min="66" max="66" width="14.5546875" bestFit="1" customWidth="1"/>
    <col min="67" max="67" width="16" bestFit="1" customWidth="1"/>
    <col min="68" max="68" width="27.109375" bestFit="1" customWidth="1"/>
    <col min="69" max="69" width="14.44140625" bestFit="1" customWidth="1"/>
    <col min="70" max="70" width="14.88671875" bestFit="1" customWidth="1"/>
    <col min="71" max="71" width="13.5546875" bestFit="1" customWidth="1"/>
    <col min="72" max="72" width="13.6640625" bestFit="1" customWidth="1"/>
    <col min="73" max="73" width="16.5546875" bestFit="1" customWidth="1"/>
    <col min="74" max="74" width="16.109375" bestFit="1" customWidth="1"/>
    <col min="75" max="75" width="19.109375" bestFit="1" customWidth="1"/>
    <col min="76" max="76" width="11.6640625" bestFit="1" customWidth="1"/>
    <col min="77" max="77" width="14.5546875" bestFit="1" customWidth="1"/>
    <col min="78" max="78" width="11.88671875" bestFit="1" customWidth="1"/>
    <col min="79" max="79" width="13" bestFit="1" customWidth="1"/>
    <col min="80" max="80" width="12.44140625" bestFit="1" customWidth="1"/>
    <col min="81" max="81" width="15.6640625" bestFit="1" customWidth="1"/>
    <col min="82" max="82" width="12" bestFit="1" customWidth="1"/>
    <col min="83" max="83" width="13.6640625" bestFit="1" customWidth="1"/>
    <col min="84" max="84" width="12.88671875" bestFit="1" customWidth="1"/>
    <col min="85" max="85" width="11.6640625" bestFit="1" customWidth="1"/>
    <col min="86" max="86" width="12.44140625" bestFit="1" customWidth="1"/>
    <col min="87" max="88" width="11.5546875" bestFit="1" customWidth="1"/>
    <col min="89" max="89" width="15" bestFit="1" customWidth="1"/>
    <col min="90" max="90" width="11.33203125" bestFit="1" customWidth="1"/>
    <col min="91" max="91" width="11.5546875" customWidth="1"/>
  </cols>
  <sheetData>
    <row r="1" spans="1:91" s="72" customFormat="1">
      <c r="X1" s="23" t="s">
        <v>132</v>
      </c>
      <c r="AK1" s="23" t="s">
        <v>132</v>
      </c>
      <c r="AL1" s="229" t="s">
        <v>132</v>
      </c>
      <c r="AW1" s="23" t="s">
        <v>132</v>
      </c>
      <c r="BB1" s="23" t="s">
        <v>132</v>
      </c>
      <c r="BC1" s="23" t="s">
        <v>132</v>
      </c>
      <c r="BH1" s="243" t="s">
        <v>132</v>
      </c>
      <c r="BI1" s="23" t="s">
        <v>132</v>
      </c>
      <c r="CM1" s="106">
        <f>SUM(Tabela_Base_Financeiro[TOTAL])</f>
        <v>0</v>
      </c>
    </row>
    <row r="2" spans="1:91" s="72" customFormat="1">
      <c r="R2" s="23"/>
      <c r="BI2" s="197"/>
    </row>
    <row r="3" spans="1:91">
      <c r="A3" s="67" t="s">
        <v>48</v>
      </c>
      <c r="B3" s="62" t="s">
        <v>49</v>
      </c>
      <c r="C3" s="63" t="s">
        <v>50</v>
      </c>
      <c r="D3" s="63" t="s">
        <v>51</v>
      </c>
      <c r="E3" s="63" t="s">
        <v>52</v>
      </c>
      <c r="F3" s="63" t="s">
        <v>53</v>
      </c>
      <c r="G3" s="63" t="s">
        <v>54</v>
      </c>
      <c r="H3" s="63" t="s">
        <v>55</v>
      </c>
      <c r="I3" s="63" t="s">
        <v>56</v>
      </c>
      <c r="J3" s="63" t="s">
        <v>57</v>
      </c>
      <c r="K3" s="68" t="s">
        <v>58</v>
      </c>
      <c r="L3" s="68" t="s">
        <v>59</v>
      </c>
      <c r="M3" s="68" t="s">
        <v>60</v>
      </c>
      <c r="N3" s="68" t="s">
        <v>61</v>
      </c>
      <c r="O3" s="68" t="s">
        <v>62</v>
      </c>
      <c r="P3" s="67" t="s">
        <v>63</v>
      </c>
      <c r="Q3" s="67" t="s">
        <v>64</v>
      </c>
      <c r="R3" s="248" t="s">
        <v>2409</v>
      </c>
      <c r="S3" s="67" t="s">
        <v>2410</v>
      </c>
      <c r="T3" s="67" t="s">
        <v>2411</v>
      </c>
      <c r="U3" s="67" t="s">
        <v>2412</v>
      </c>
      <c r="V3" s="67" t="s">
        <v>65</v>
      </c>
      <c r="W3" s="67" t="s">
        <v>66</v>
      </c>
      <c r="X3" s="67" t="s">
        <v>2413</v>
      </c>
      <c r="Y3" s="67" t="s">
        <v>67</v>
      </c>
      <c r="Z3" s="67" t="s">
        <v>68</v>
      </c>
      <c r="AA3" s="67" t="s">
        <v>2414</v>
      </c>
      <c r="AB3" s="64" t="s">
        <v>69</v>
      </c>
      <c r="AC3" s="64" t="s">
        <v>70</v>
      </c>
      <c r="AD3" s="64" t="s">
        <v>122</v>
      </c>
      <c r="AE3" s="64" t="s">
        <v>123</v>
      </c>
      <c r="AF3" s="64" t="s">
        <v>124</v>
      </c>
      <c r="AG3" s="64" t="s">
        <v>125</v>
      </c>
      <c r="AH3" s="64" t="s">
        <v>126</v>
      </c>
      <c r="AI3" s="64" t="s">
        <v>127</v>
      </c>
      <c r="AJ3" s="64" t="s">
        <v>128</v>
      </c>
      <c r="AK3" s="64" t="s">
        <v>71</v>
      </c>
      <c r="AL3" s="64" t="s">
        <v>72</v>
      </c>
      <c r="AM3" s="69" t="s">
        <v>73</v>
      </c>
      <c r="AN3" s="69" t="s">
        <v>74</v>
      </c>
      <c r="AO3" s="69" t="s">
        <v>75</v>
      </c>
      <c r="AP3" s="69" t="s">
        <v>76</v>
      </c>
      <c r="AQ3" s="69" t="s">
        <v>77</v>
      </c>
      <c r="AR3" s="69" t="s">
        <v>78</v>
      </c>
      <c r="AS3" s="64" t="s">
        <v>79</v>
      </c>
      <c r="AT3" s="64" t="s">
        <v>80</v>
      </c>
      <c r="AU3" s="64" t="s">
        <v>81</v>
      </c>
      <c r="AV3" s="64" t="s">
        <v>82</v>
      </c>
      <c r="AW3" s="64" t="s">
        <v>83</v>
      </c>
      <c r="AX3" s="64" t="s">
        <v>84</v>
      </c>
      <c r="AY3" s="64" t="s">
        <v>85</v>
      </c>
      <c r="AZ3" s="67" t="s">
        <v>86</v>
      </c>
      <c r="BA3" s="67" t="s">
        <v>87</v>
      </c>
      <c r="BB3" s="93" t="s">
        <v>88</v>
      </c>
      <c r="BC3" s="64" t="s">
        <v>89</v>
      </c>
      <c r="BD3" s="64" t="s">
        <v>90</v>
      </c>
      <c r="BE3" s="64" t="s">
        <v>2415</v>
      </c>
      <c r="BF3" s="64" t="s">
        <v>2416</v>
      </c>
      <c r="BG3" s="64" t="s">
        <v>91</v>
      </c>
      <c r="BH3" s="67" t="s">
        <v>92</v>
      </c>
      <c r="BI3" s="67" t="s">
        <v>93</v>
      </c>
      <c r="BJ3" s="70" t="s">
        <v>94</v>
      </c>
      <c r="BK3" s="71" t="s">
        <v>95</v>
      </c>
      <c r="BL3" s="71" t="s">
        <v>96</v>
      </c>
      <c r="BM3" s="71" t="s">
        <v>97</v>
      </c>
      <c r="BN3" s="71" t="s">
        <v>98</v>
      </c>
      <c r="BO3" s="71" t="s">
        <v>99</v>
      </c>
      <c r="BP3" s="70" t="s">
        <v>2417</v>
      </c>
      <c r="BQ3" s="65" t="s">
        <v>100</v>
      </c>
      <c r="BR3" s="65" t="s">
        <v>101</v>
      </c>
      <c r="BS3" s="65" t="s">
        <v>102</v>
      </c>
      <c r="BT3" s="65" t="s">
        <v>103</v>
      </c>
      <c r="BU3" s="65" t="s">
        <v>104</v>
      </c>
      <c r="BV3" s="65" t="s">
        <v>105</v>
      </c>
      <c r="BW3" s="66" t="s">
        <v>106</v>
      </c>
      <c r="BX3" s="65" t="s">
        <v>107</v>
      </c>
      <c r="BY3" s="66" t="s">
        <v>108</v>
      </c>
      <c r="BZ3" s="66" t="s">
        <v>109</v>
      </c>
      <c r="CA3" s="66" t="s">
        <v>110</v>
      </c>
      <c r="CB3" s="65" t="s">
        <v>111</v>
      </c>
      <c r="CC3" s="66" t="s">
        <v>112</v>
      </c>
      <c r="CD3" s="66" t="s">
        <v>113</v>
      </c>
      <c r="CE3" s="65" t="s">
        <v>114</v>
      </c>
      <c r="CF3" s="65" t="s">
        <v>115</v>
      </c>
      <c r="CG3" s="65" t="s">
        <v>116</v>
      </c>
      <c r="CH3" s="65" t="s">
        <v>117</v>
      </c>
      <c r="CI3" s="65" t="s">
        <v>118</v>
      </c>
      <c r="CJ3" s="65" t="s">
        <v>119</v>
      </c>
      <c r="CK3" s="65" t="s">
        <v>120</v>
      </c>
      <c r="CL3" s="65" t="s">
        <v>121</v>
      </c>
      <c r="CM3" s="115" t="s">
        <v>2282</v>
      </c>
    </row>
    <row r="4" spans="1:91" s="270" customFormat="1" ht="14.25" customHeight="1">
      <c r="A4" s="95" t="s">
        <v>8347</v>
      </c>
      <c r="B4" s="263" t="s">
        <v>8455</v>
      </c>
      <c r="C4" s="263" t="s">
        <v>8348</v>
      </c>
      <c r="D4" s="263" t="s">
        <v>8349</v>
      </c>
      <c r="E4" s="263" t="s">
        <v>8350</v>
      </c>
      <c r="F4" s="263" t="s">
        <v>8456</v>
      </c>
      <c r="G4" s="263" t="s">
        <v>2406</v>
      </c>
      <c r="H4" s="95" t="s">
        <v>8457</v>
      </c>
      <c r="I4" s="95" t="s">
        <v>8351</v>
      </c>
      <c r="J4" s="263" t="s">
        <v>8352</v>
      </c>
      <c r="K4" s="263" t="s">
        <v>2406</v>
      </c>
      <c r="L4" s="263" t="s">
        <v>8458</v>
      </c>
      <c r="M4" s="263" t="s">
        <v>8353</v>
      </c>
      <c r="N4" s="263" t="s">
        <v>2406</v>
      </c>
      <c r="O4" s="263" t="s">
        <v>8354</v>
      </c>
      <c r="P4" s="95" t="s">
        <v>8355</v>
      </c>
      <c r="Q4" s="95" t="s">
        <v>8356</v>
      </c>
      <c r="R4" s="95" t="s">
        <v>8459</v>
      </c>
      <c r="S4" s="95" t="s">
        <v>2406</v>
      </c>
      <c r="T4" s="95" t="s">
        <v>8296</v>
      </c>
      <c r="U4" s="95" t="s">
        <v>8296</v>
      </c>
      <c r="V4" s="95" t="s">
        <v>8354</v>
      </c>
      <c r="W4" s="95" t="s">
        <v>8296</v>
      </c>
      <c r="X4" s="95" t="s">
        <v>8358</v>
      </c>
      <c r="Y4" s="95" t="s">
        <v>8359</v>
      </c>
      <c r="Z4" s="95" t="s">
        <v>8359</v>
      </c>
      <c r="AA4" s="95" t="s">
        <v>8296</v>
      </c>
      <c r="AB4" s="95" t="s">
        <v>8360</v>
      </c>
      <c r="AC4" s="95" t="s">
        <v>8460</v>
      </c>
      <c r="AD4" s="95" t="s">
        <v>8361</v>
      </c>
      <c r="AE4" s="95"/>
      <c r="AF4" s="95"/>
      <c r="AG4" s="95"/>
      <c r="AH4" s="95"/>
      <c r="AI4" s="95"/>
      <c r="AJ4" s="95"/>
      <c r="AK4" s="95" t="s">
        <v>8461</v>
      </c>
      <c r="AL4" s="95" t="s">
        <v>8450</v>
      </c>
      <c r="AM4" s="95" t="s">
        <v>2406</v>
      </c>
      <c r="AN4" s="264"/>
      <c r="AO4" s="95" t="s">
        <v>2406</v>
      </c>
      <c r="AP4" s="95"/>
      <c r="AQ4" s="95" t="s">
        <v>2406</v>
      </c>
      <c r="AR4" s="95" t="s">
        <v>2406</v>
      </c>
      <c r="AS4" s="95" t="s">
        <v>2406</v>
      </c>
      <c r="AT4" s="95" t="s">
        <v>8363</v>
      </c>
      <c r="AU4" s="95" t="s">
        <v>8364</v>
      </c>
      <c r="AV4" s="95" t="s">
        <v>8368</v>
      </c>
      <c r="AW4" s="95" t="s">
        <v>8296</v>
      </c>
      <c r="AX4" s="95" t="s">
        <v>8397</v>
      </c>
      <c r="AY4" s="95" t="s">
        <v>2406</v>
      </c>
      <c r="AZ4" s="95" t="s">
        <v>8381</v>
      </c>
      <c r="BA4" s="95"/>
      <c r="BB4" s="374">
        <v>8812441617</v>
      </c>
      <c r="BC4" s="214" t="s">
        <v>2439</v>
      </c>
      <c r="BD4" s="95" t="s">
        <v>2406</v>
      </c>
      <c r="BE4" s="95" t="s">
        <v>8367</v>
      </c>
      <c r="BF4" s="95" t="s">
        <v>8462</v>
      </c>
      <c r="BG4" s="95" t="s">
        <v>129</v>
      </c>
      <c r="BH4" s="95" t="s">
        <v>8463</v>
      </c>
      <c r="BI4" s="95" t="s">
        <v>8464</v>
      </c>
      <c r="BJ4" s="95" t="s">
        <v>8296</v>
      </c>
      <c r="BK4" s="265"/>
      <c r="BL4" s="265"/>
      <c r="BM4" s="265"/>
      <c r="BN4" s="266"/>
      <c r="BO4" s="267"/>
      <c r="BP4" s="268"/>
      <c r="BQ4" s="269"/>
      <c r="BR4" s="269"/>
      <c r="BS4" s="269"/>
      <c r="BT4" s="269"/>
      <c r="BU4" s="269"/>
      <c r="BV4" s="269"/>
      <c r="BW4" s="268"/>
      <c r="BX4" s="269"/>
      <c r="BY4" s="268"/>
      <c r="BZ4" s="268"/>
      <c r="CA4" s="268"/>
      <c r="CB4" s="269"/>
      <c r="CC4" s="268"/>
      <c r="CD4" s="268"/>
      <c r="CE4" s="269"/>
      <c r="CF4" s="269"/>
      <c r="CG4" s="269"/>
      <c r="CH4" s="269"/>
      <c r="CI4" s="269"/>
      <c r="CJ4" s="269"/>
      <c r="CK4" s="269"/>
      <c r="CL4" s="266"/>
    </row>
    <row r="5" spans="1:91" s="270" customFormat="1" ht="14.25" customHeight="1">
      <c r="A5" s="95" t="s">
        <v>8347</v>
      </c>
      <c r="B5" s="263" t="s">
        <v>8442</v>
      </c>
      <c r="C5" s="263" t="s">
        <v>8348</v>
      </c>
      <c r="D5" s="263" t="s">
        <v>8349</v>
      </c>
      <c r="E5" s="263" t="s">
        <v>8350</v>
      </c>
      <c r="F5" s="263" t="s">
        <v>8401</v>
      </c>
      <c r="G5" s="263" t="s">
        <v>2406</v>
      </c>
      <c r="H5" s="95" t="s">
        <v>8419</v>
      </c>
      <c r="I5" s="95" t="s">
        <v>8351</v>
      </c>
      <c r="J5" s="263" t="s">
        <v>8352</v>
      </c>
      <c r="K5" s="263" t="s">
        <v>2406</v>
      </c>
      <c r="L5" s="263" t="s">
        <v>8443</v>
      </c>
      <c r="M5" s="263" t="s">
        <v>8353</v>
      </c>
      <c r="N5" s="263" t="s">
        <v>2406</v>
      </c>
      <c r="O5" s="263" t="s">
        <v>8354</v>
      </c>
      <c r="P5" s="95" t="s">
        <v>8355</v>
      </c>
      <c r="Q5" s="95" t="s">
        <v>8356</v>
      </c>
      <c r="R5" s="95" t="s">
        <v>8402</v>
      </c>
      <c r="S5" s="95" t="s">
        <v>2406</v>
      </c>
      <c r="T5" s="95" t="s">
        <v>8373</v>
      </c>
      <c r="U5" s="95" t="s">
        <v>8357</v>
      </c>
      <c r="V5" s="95" t="s">
        <v>8354</v>
      </c>
      <c r="W5" s="95" t="s">
        <v>8296</v>
      </c>
      <c r="X5" s="95" t="s">
        <v>8358</v>
      </c>
      <c r="Y5" s="95" t="s">
        <v>8359</v>
      </c>
      <c r="Z5" s="95" t="s">
        <v>8359</v>
      </c>
      <c r="AA5" s="95" t="s">
        <v>8296</v>
      </c>
      <c r="AB5" s="95" t="s">
        <v>8360</v>
      </c>
      <c r="AC5" s="95" t="s">
        <v>8403</v>
      </c>
      <c r="AD5" s="95" t="s">
        <v>8361</v>
      </c>
      <c r="AE5" s="95"/>
      <c r="AF5" s="95"/>
      <c r="AG5" s="95"/>
      <c r="AH5" s="95"/>
      <c r="AI5" s="95"/>
      <c r="AJ5" s="95"/>
      <c r="AK5" s="95" t="s">
        <v>8447</v>
      </c>
      <c r="AL5" s="95" t="s">
        <v>8362</v>
      </c>
      <c r="AM5" s="95" t="s">
        <v>2406</v>
      </c>
      <c r="AN5" s="264"/>
      <c r="AO5" s="95" t="s">
        <v>2406</v>
      </c>
      <c r="AP5" s="95"/>
      <c r="AQ5" s="95" t="s">
        <v>2406</v>
      </c>
      <c r="AR5" s="95" t="s">
        <v>2406</v>
      </c>
      <c r="AS5" s="95" t="s">
        <v>2406</v>
      </c>
      <c r="AT5" s="95" t="s">
        <v>8363</v>
      </c>
      <c r="AU5" s="95" t="s">
        <v>8364</v>
      </c>
      <c r="AV5" s="95" t="s">
        <v>8365</v>
      </c>
      <c r="AW5" s="95" t="s">
        <v>8296</v>
      </c>
      <c r="AX5" s="95" t="s">
        <v>8374</v>
      </c>
      <c r="AY5" s="95" t="s">
        <v>2406</v>
      </c>
      <c r="AZ5" s="95" t="s">
        <v>8366</v>
      </c>
      <c r="BA5" s="95"/>
      <c r="BB5" s="374">
        <v>8812441757</v>
      </c>
      <c r="BC5" s="214" t="s">
        <v>8250</v>
      </c>
      <c r="BD5" s="95" t="s">
        <v>2406</v>
      </c>
      <c r="BE5" s="95" t="s">
        <v>8367</v>
      </c>
      <c r="BF5" s="95" t="s">
        <v>8404</v>
      </c>
      <c r="BG5" s="95" t="s">
        <v>129</v>
      </c>
      <c r="BH5" s="95" t="s">
        <v>8405</v>
      </c>
      <c r="BI5" s="95" t="s">
        <v>8406</v>
      </c>
      <c r="BJ5" s="95" t="s">
        <v>8296</v>
      </c>
      <c r="BK5" s="265"/>
      <c r="BL5" s="265"/>
      <c r="BM5" s="265"/>
      <c r="BN5" s="266"/>
      <c r="BO5" s="267"/>
      <c r="BP5" s="268"/>
      <c r="BQ5" s="269"/>
      <c r="BR5" s="269"/>
      <c r="BS5" s="269"/>
      <c r="BT5" s="269"/>
      <c r="BU5" s="269"/>
      <c r="BV5" s="269"/>
      <c r="BW5" s="268"/>
      <c r="BX5" s="269"/>
      <c r="BY5" s="268"/>
      <c r="BZ5" s="268"/>
      <c r="CA5" s="268"/>
      <c r="CB5" s="269"/>
      <c r="CC5" s="268"/>
      <c r="CD5" s="268"/>
      <c r="CE5" s="269"/>
      <c r="CF5" s="269"/>
      <c r="CG5" s="269"/>
      <c r="CH5" s="269"/>
      <c r="CI5" s="269"/>
      <c r="CJ5" s="269"/>
      <c r="CK5" s="269"/>
      <c r="CL5" s="266"/>
    </row>
    <row r="6" spans="1:91" s="270" customFormat="1" ht="14.25" customHeight="1">
      <c r="A6" s="95"/>
      <c r="B6" s="263"/>
      <c r="C6" s="263"/>
      <c r="D6" s="263"/>
      <c r="E6" s="263"/>
      <c r="F6" s="263"/>
      <c r="G6" s="263"/>
      <c r="H6" s="95"/>
      <c r="I6" s="95"/>
      <c r="J6" s="263"/>
      <c r="K6" s="263"/>
      <c r="L6" s="263"/>
      <c r="M6" s="263"/>
      <c r="N6" s="263"/>
      <c r="O6" s="263"/>
      <c r="P6" s="95"/>
      <c r="Q6" s="95"/>
      <c r="R6" s="95"/>
      <c r="S6" s="95"/>
      <c r="T6" s="95"/>
      <c r="U6" s="95"/>
      <c r="V6" s="95"/>
      <c r="W6" s="95"/>
      <c r="X6" s="95"/>
      <c r="Y6" s="95"/>
      <c r="Z6" s="95"/>
      <c r="AA6" s="95"/>
      <c r="AB6" s="95"/>
      <c r="AC6" s="95"/>
      <c r="AD6" s="95"/>
      <c r="AE6" s="95"/>
      <c r="AF6" s="95"/>
      <c r="AG6" s="95"/>
      <c r="AH6" s="95"/>
      <c r="AI6" s="95"/>
      <c r="AJ6" s="95"/>
      <c r="AK6" s="275"/>
      <c r="AL6" s="95"/>
      <c r="AM6" s="95"/>
      <c r="AN6" s="264"/>
      <c r="AO6" s="95"/>
      <c r="AP6" s="95"/>
      <c r="AQ6" s="95"/>
      <c r="AR6" s="95"/>
      <c r="AS6" s="95"/>
      <c r="AT6" s="95"/>
      <c r="AU6" s="95"/>
      <c r="AV6" s="95"/>
      <c r="AW6" s="95"/>
      <c r="AX6" s="95"/>
      <c r="AY6" s="95"/>
      <c r="AZ6" s="95"/>
      <c r="BA6" s="95"/>
      <c r="BB6" s="95"/>
      <c r="BC6" s="214"/>
      <c r="BD6" s="95"/>
      <c r="BE6" s="95"/>
      <c r="BF6" s="95"/>
      <c r="BG6" s="95"/>
      <c r="BH6" s="95"/>
      <c r="BI6" s="95"/>
      <c r="BJ6" s="95"/>
      <c r="BK6" s="265"/>
      <c r="BL6" s="265"/>
      <c r="BM6" s="265"/>
      <c r="BN6" s="266"/>
      <c r="BO6" s="267"/>
      <c r="BP6" s="268"/>
      <c r="BQ6" s="269"/>
      <c r="BR6" s="269"/>
      <c r="BS6" s="269"/>
      <c r="BT6" s="269"/>
      <c r="BU6" s="269"/>
      <c r="BV6" s="269"/>
      <c r="BW6" s="268"/>
      <c r="BX6" s="269"/>
      <c r="BY6" s="268"/>
      <c r="BZ6" s="268"/>
      <c r="CA6" s="268"/>
      <c r="CB6" s="269"/>
      <c r="CC6" s="268"/>
      <c r="CD6" s="268"/>
      <c r="CE6" s="269"/>
      <c r="CF6" s="269"/>
      <c r="CG6" s="269"/>
      <c r="CH6" s="269"/>
      <c r="CI6" s="269"/>
      <c r="CJ6" s="269"/>
      <c r="CK6" s="269"/>
      <c r="CL6" s="266"/>
    </row>
    <row r="7" spans="1:91" s="270" customFormat="1" ht="14.25" customHeight="1">
      <c r="A7" s="95"/>
      <c r="B7" s="263"/>
      <c r="C7" s="263"/>
      <c r="D7" s="263"/>
      <c r="E7" s="263"/>
      <c r="F7" s="263"/>
      <c r="G7" s="263"/>
      <c r="H7" s="95"/>
      <c r="I7" s="95"/>
      <c r="J7" s="263"/>
      <c r="K7" s="263"/>
      <c r="L7" s="263"/>
      <c r="M7" s="263"/>
      <c r="N7" s="263"/>
      <c r="O7" s="263"/>
      <c r="P7" s="95"/>
      <c r="Q7" s="95"/>
      <c r="R7" s="95"/>
      <c r="S7" s="95"/>
      <c r="T7" s="95"/>
      <c r="U7" s="95"/>
      <c r="V7" s="95"/>
      <c r="W7" s="95"/>
      <c r="X7" s="95"/>
      <c r="Y7" s="95"/>
      <c r="Z7" s="95"/>
      <c r="AA7" s="95"/>
      <c r="AB7" s="95"/>
      <c r="AC7" s="95"/>
      <c r="AD7" s="95"/>
      <c r="AE7" s="95"/>
      <c r="AF7" s="95"/>
      <c r="AG7" s="95"/>
      <c r="AH7" s="95"/>
      <c r="AI7" s="95"/>
      <c r="AJ7" s="95"/>
      <c r="AK7" s="275"/>
      <c r="AL7" s="95"/>
      <c r="AM7" s="95"/>
      <c r="AN7" s="264"/>
      <c r="AO7" s="95"/>
      <c r="AP7" s="95"/>
      <c r="AQ7" s="95"/>
      <c r="AR7" s="95"/>
      <c r="AS7" s="95"/>
      <c r="AT7" s="95"/>
      <c r="AU7" s="95"/>
      <c r="AV7" s="95"/>
      <c r="AW7" s="95"/>
      <c r="AX7" s="95"/>
      <c r="AY7" s="95"/>
      <c r="AZ7" s="95"/>
      <c r="BA7" s="95"/>
      <c r="BB7" s="95"/>
      <c r="BC7" s="214"/>
      <c r="BD7" s="95"/>
      <c r="BE7" s="95"/>
      <c r="BF7" s="95"/>
      <c r="BG7" s="95"/>
      <c r="BH7" s="95"/>
      <c r="BI7" s="95"/>
      <c r="BJ7" s="95"/>
      <c r="BK7" s="265"/>
      <c r="BL7" s="265"/>
      <c r="BM7" s="265"/>
      <c r="BN7" s="266"/>
      <c r="BO7" s="267"/>
      <c r="BP7" s="268"/>
      <c r="BQ7" s="269"/>
      <c r="BR7" s="269"/>
      <c r="BS7" s="269"/>
      <c r="BT7" s="269"/>
      <c r="BU7" s="269"/>
      <c r="BV7" s="269"/>
      <c r="BW7" s="268"/>
      <c r="BX7" s="269"/>
      <c r="BY7" s="268"/>
      <c r="BZ7" s="268"/>
      <c r="CA7" s="268"/>
      <c r="CB7" s="269"/>
      <c r="CC7" s="268"/>
      <c r="CD7" s="268"/>
      <c r="CE7" s="269"/>
      <c r="CF7" s="269"/>
      <c r="CG7" s="269"/>
      <c r="CH7" s="269"/>
      <c r="CI7" s="269"/>
      <c r="CJ7" s="269"/>
      <c r="CK7" s="269"/>
      <c r="CL7" s="266"/>
    </row>
    <row r="8" spans="1:91" s="270" customFormat="1" ht="14.25" customHeight="1">
      <c r="A8" s="95"/>
      <c r="B8" s="263"/>
      <c r="C8" s="263"/>
      <c r="D8" s="263"/>
      <c r="E8" s="263"/>
      <c r="F8" s="263"/>
      <c r="G8" s="263"/>
      <c r="H8" s="95"/>
      <c r="I8" s="95"/>
      <c r="J8" s="263"/>
      <c r="K8" s="263"/>
      <c r="L8" s="263"/>
      <c r="M8" s="263"/>
      <c r="N8" s="263"/>
      <c r="O8" s="263"/>
      <c r="P8" s="95"/>
      <c r="Q8" s="95"/>
      <c r="R8" s="95"/>
      <c r="S8" s="95"/>
      <c r="T8" s="95"/>
      <c r="U8" s="95"/>
      <c r="V8" s="95"/>
      <c r="W8" s="95"/>
      <c r="X8" s="95"/>
      <c r="Y8" s="95"/>
      <c r="Z8" s="95"/>
      <c r="AA8" s="95"/>
      <c r="AB8" s="95"/>
      <c r="AC8" s="95"/>
      <c r="AD8" s="95"/>
      <c r="AE8" s="95"/>
      <c r="AF8" s="95"/>
      <c r="AG8" s="95"/>
      <c r="AH8" s="95"/>
      <c r="AI8" s="95"/>
      <c r="AJ8" s="95"/>
      <c r="AK8" s="95"/>
      <c r="AL8" s="95"/>
      <c r="AM8" s="95"/>
      <c r="AN8" s="264"/>
      <c r="AO8" s="95"/>
      <c r="AP8" s="95"/>
      <c r="AQ8" s="95"/>
      <c r="AR8" s="95"/>
      <c r="AS8" s="95"/>
      <c r="AT8" s="95"/>
      <c r="AU8" s="95"/>
      <c r="AV8" s="95"/>
      <c r="AW8" s="95"/>
      <c r="AX8" s="95"/>
      <c r="AY8" s="95"/>
      <c r="AZ8" s="95"/>
      <c r="BA8" s="95"/>
      <c r="BB8" s="95"/>
      <c r="BC8" s="214"/>
      <c r="BD8" s="95"/>
      <c r="BE8" s="95"/>
      <c r="BF8" s="95"/>
      <c r="BG8" s="95"/>
      <c r="BH8" s="95"/>
      <c r="BI8" s="95"/>
      <c r="BJ8" s="95"/>
      <c r="BK8" s="265"/>
      <c r="BL8" s="265"/>
      <c r="BM8" s="265"/>
      <c r="BN8" s="266"/>
      <c r="BO8" s="267"/>
      <c r="BP8" s="268"/>
      <c r="BQ8" s="269"/>
      <c r="BR8" s="269"/>
      <c r="BS8" s="269"/>
      <c r="BT8" s="269"/>
      <c r="BU8" s="269"/>
      <c r="BV8" s="269"/>
      <c r="BW8" s="268"/>
      <c r="BX8" s="269"/>
      <c r="BY8" s="268"/>
      <c r="BZ8" s="268"/>
      <c r="CA8" s="268"/>
      <c r="CB8" s="269"/>
      <c r="CC8" s="268"/>
      <c r="CD8" s="268"/>
      <c r="CE8" s="269"/>
      <c r="CF8" s="269"/>
      <c r="CG8" s="269"/>
      <c r="CH8" s="269"/>
      <c r="CI8" s="269"/>
      <c r="CJ8" s="269"/>
      <c r="CK8" s="269"/>
      <c r="CL8" s="266"/>
    </row>
    <row r="9" spans="1:91" s="270" customFormat="1" ht="14.25" customHeight="1">
      <c r="A9" s="95"/>
      <c r="B9" s="263"/>
      <c r="C9" s="263"/>
      <c r="D9" s="263"/>
      <c r="E9" s="263"/>
      <c r="F9" s="263"/>
      <c r="G9" s="263"/>
      <c r="H9" s="95"/>
      <c r="I9" s="95"/>
      <c r="J9" s="263"/>
      <c r="K9" s="263"/>
      <c r="L9" s="263"/>
      <c r="M9" s="263"/>
      <c r="N9" s="263"/>
      <c r="O9" s="263"/>
      <c r="P9" s="95"/>
      <c r="Q9" s="95"/>
      <c r="R9" s="95"/>
      <c r="S9" s="95"/>
      <c r="T9" s="95"/>
      <c r="U9" s="95"/>
      <c r="V9" s="95"/>
      <c r="W9" s="95"/>
      <c r="X9" s="95"/>
      <c r="Y9" s="95"/>
      <c r="Z9" s="95"/>
      <c r="AA9" s="95"/>
      <c r="AB9" s="95"/>
      <c r="AC9" s="95"/>
      <c r="AD9" s="95"/>
      <c r="AE9" s="95"/>
      <c r="AF9" s="95"/>
      <c r="AG9" s="95"/>
      <c r="AH9" s="95"/>
      <c r="AI9" s="95"/>
      <c r="AJ9" s="95"/>
      <c r="AK9" s="275"/>
      <c r="AL9" s="95"/>
      <c r="AM9" s="95"/>
      <c r="AN9" s="264"/>
      <c r="AO9" s="95"/>
      <c r="AP9" s="95"/>
      <c r="AQ9" s="95"/>
      <c r="AR9" s="95"/>
      <c r="AS9" s="95"/>
      <c r="AT9" s="95"/>
      <c r="AU9" s="95"/>
      <c r="AV9" s="95"/>
      <c r="AW9" s="95"/>
      <c r="AX9" s="95"/>
      <c r="AY9" s="95"/>
      <c r="AZ9" s="95"/>
      <c r="BA9" s="95"/>
      <c r="BB9" s="95"/>
      <c r="BC9" s="214"/>
      <c r="BD9" s="95"/>
      <c r="BE9" s="95"/>
      <c r="BF9" s="95"/>
      <c r="BG9" s="95"/>
      <c r="BH9" s="95"/>
      <c r="BI9" s="95"/>
      <c r="BJ9" s="95"/>
      <c r="BK9" s="265"/>
      <c r="BL9" s="265"/>
      <c r="BM9" s="265"/>
      <c r="BN9" s="266"/>
      <c r="BO9" s="267"/>
      <c r="BP9" s="268"/>
      <c r="BQ9" s="269"/>
      <c r="BR9" s="269"/>
      <c r="BS9" s="269"/>
      <c r="BT9" s="269"/>
      <c r="BU9" s="269"/>
      <c r="BV9" s="269"/>
      <c r="BW9" s="268"/>
      <c r="BX9" s="269"/>
      <c r="BY9" s="268"/>
      <c r="BZ9" s="268"/>
      <c r="CA9" s="268"/>
      <c r="CB9" s="269"/>
      <c r="CC9" s="268"/>
      <c r="CD9" s="268"/>
      <c r="CE9" s="269"/>
      <c r="CF9" s="269"/>
      <c r="CG9" s="269"/>
      <c r="CH9" s="269"/>
      <c r="CI9" s="269"/>
      <c r="CJ9" s="269"/>
      <c r="CK9" s="269"/>
      <c r="CL9" s="266"/>
    </row>
    <row r="10" spans="1:91" s="270" customFormat="1" ht="14.25" customHeight="1">
      <c r="A10" s="95"/>
      <c r="B10" s="263"/>
      <c r="C10" s="263"/>
      <c r="D10" s="263"/>
      <c r="E10" s="263"/>
      <c r="F10" s="263"/>
      <c r="G10" s="263"/>
      <c r="H10" s="95"/>
      <c r="I10" s="95"/>
      <c r="J10" s="263"/>
      <c r="K10" s="263"/>
      <c r="L10" s="263"/>
      <c r="M10" s="263"/>
      <c r="N10" s="263"/>
      <c r="O10" s="263"/>
      <c r="P10" s="95"/>
      <c r="Q10" s="95"/>
      <c r="R10" s="95"/>
      <c r="S10" s="95"/>
      <c r="T10" s="95"/>
      <c r="U10" s="95"/>
      <c r="V10" s="95"/>
      <c r="W10" s="95"/>
      <c r="X10" s="95"/>
      <c r="Y10" s="95"/>
      <c r="Z10" s="95"/>
      <c r="AA10" s="95"/>
      <c r="AB10" s="95"/>
      <c r="AC10" s="95"/>
      <c r="AD10" s="95"/>
      <c r="AE10" s="95"/>
      <c r="AF10" s="95"/>
      <c r="AG10" s="95"/>
      <c r="AH10" s="95"/>
      <c r="AI10" s="95"/>
      <c r="AJ10" s="95"/>
      <c r="AK10" s="95"/>
      <c r="AL10" s="95"/>
      <c r="AM10" s="95"/>
      <c r="AN10" s="264"/>
      <c r="AO10" s="95"/>
      <c r="AP10" s="95"/>
      <c r="AQ10" s="95"/>
      <c r="AR10" s="95"/>
      <c r="AS10" s="95"/>
      <c r="AT10" s="95"/>
      <c r="AU10" s="95"/>
      <c r="AV10" s="95"/>
      <c r="AW10" s="95"/>
      <c r="AX10" s="95"/>
      <c r="AY10" s="95"/>
      <c r="AZ10" s="95"/>
      <c r="BA10" s="95"/>
      <c r="BB10" s="95"/>
      <c r="BC10" s="214"/>
      <c r="BD10" s="95"/>
      <c r="BE10" s="95"/>
      <c r="BF10" s="95"/>
      <c r="BG10" s="95"/>
      <c r="BH10" s="95"/>
      <c r="BI10" s="95"/>
      <c r="BJ10" s="95"/>
      <c r="BK10" s="265"/>
      <c r="BL10" s="265"/>
      <c r="BM10" s="265"/>
      <c r="BN10" s="266"/>
      <c r="BO10" s="267"/>
      <c r="BP10" s="268"/>
      <c r="BQ10" s="269"/>
      <c r="BR10" s="269"/>
      <c r="BS10" s="269"/>
      <c r="BT10" s="269"/>
      <c r="BU10" s="269"/>
      <c r="BV10" s="269"/>
      <c r="BW10" s="268"/>
      <c r="BX10" s="269"/>
      <c r="BY10" s="268"/>
      <c r="BZ10" s="268"/>
      <c r="CA10" s="268"/>
      <c r="CB10" s="269"/>
      <c r="CC10" s="268"/>
      <c r="CD10" s="268"/>
      <c r="CE10" s="269"/>
      <c r="CF10" s="269"/>
      <c r="CG10" s="269"/>
      <c r="CH10" s="269"/>
      <c r="CI10" s="269"/>
      <c r="CJ10" s="269"/>
      <c r="CK10" s="269"/>
      <c r="CL10" s="266"/>
    </row>
    <row r="11" spans="1:91" s="270" customFormat="1" ht="14.25" customHeight="1">
      <c r="A11" s="95"/>
      <c r="B11" s="263"/>
      <c r="C11" s="263"/>
      <c r="D11" s="263"/>
      <c r="E11" s="263"/>
      <c r="F11" s="263"/>
      <c r="G11" s="263"/>
      <c r="H11" s="95"/>
      <c r="I11" s="95"/>
      <c r="J11" s="263"/>
      <c r="K11" s="263"/>
      <c r="L11" s="263"/>
      <c r="M11" s="263"/>
      <c r="N11" s="263"/>
      <c r="O11" s="263"/>
      <c r="P11" s="95"/>
      <c r="Q11" s="95"/>
      <c r="R11" s="95"/>
      <c r="S11" s="95"/>
      <c r="T11" s="95"/>
      <c r="U11" s="95"/>
      <c r="V11" s="95"/>
      <c r="W11" s="95"/>
      <c r="X11" s="95"/>
      <c r="Y11" s="95"/>
      <c r="Z11" s="95"/>
      <c r="AA11" s="95"/>
      <c r="AB11" s="95"/>
      <c r="AC11" s="95"/>
      <c r="AD11" s="95"/>
      <c r="AE11" s="95"/>
      <c r="AF11" s="95"/>
      <c r="AG11" s="95"/>
      <c r="AH11" s="95"/>
      <c r="AI11" s="95"/>
      <c r="AJ11" s="95"/>
      <c r="AK11" s="275"/>
      <c r="AL11" s="95"/>
      <c r="AM11" s="95"/>
      <c r="AN11" s="264"/>
      <c r="AO11" s="95"/>
      <c r="AP11" s="95"/>
      <c r="AQ11" s="95"/>
      <c r="AR11" s="95"/>
      <c r="AS11" s="95"/>
      <c r="AT11" s="95"/>
      <c r="AU11" s="95"/>
      <c r="AV11" s="95"/>
      <c r="AW11" s="95"/>
      <c r="AX11" s="95"/>
      <c r="AY11" s="95"/>
      <c r="AZ11" s="95"/>
      <c r="BA11" s="95"/>
      <c r="BB11" s="95"/>
      <c r="BC11" s="214"/>
      <c r="BD11" s="95"/>
      <c r="BE11" s="95"/>
      <c r="BF11" s="95"/>
      <c r="BG11" s="95"/>
      <c r="BH11" s="95"/>
      <c r="BI11" s="95"/>
      <c r="BJ11" s="95"/>
      <c r="BK11" s="265"/>
      <c r="BL11" s="265"/>
      <c r="BM11" s="265"/>
      <c r="BN11" s="266"/>
      <c r="BO11" s="267"/>
      <c r="BP11" s="268"/>
      <c r="BQ11" s="269"/>
      <c r="BR11" s="269"/>
      <c r="BS11" s="269"/>
      <c r="BT11" s="269"/>
      <c r="BU11" s="269"/>
      <c r="BV11" s="269"/>
      <c r="BW11" s="268"/>
      <c r="BX11" s="269"/>
      <c r="BY11" s="268"/>
      <c r="BZ11" s="268"/>
      <c r="CA11" s="268"/>
      <c r="CB11" s="269"/>
      <c r="CC11" s="268"/>
      <c r="CD11" s="268"/>
      <c r="CE11" s="269"/>
      <c r="CF11" s="269"/>
      <c r="CG11" s="269"/>
      <c r="CH11" s="269"/>
      <c r="CI11" s="269"/>
      <c r="CJ11" s="269"/>
      <c r="CK11" s="269"/>
      <c r="CL11" s="266"/>
    </row>
    <row r="12" spans="1:91" s="270" customFormat="1" ht="14.25" customHeight="1">
      <c r="A12" s="95"/>
      <c r="B12" s="263"/>
      <c r="C12" s="263"/>
      <c r="D12" s="263"/>
      <c r="E12" s="263"/>
      <c r="F12" s="263"/>
      <c r="G12" s="263"/>
      <c r="H12" s="95"/>
      <c r="I12" s="95"/>
      <c r="J12" s="263"/>
      <c r="K12" s="263"/>
      <c r="L12" s="263"/>
      <c r="M12" s="263"/>
      <c r="N12" s="263"/>
      <c r="O12" s="263"/>
      <c r="P12" s="95"/>
      <c r="Q12" s="95"/>
      <c r="R12" s="95"/>
      <c r="S12" s="95"/>
      <c r="T12" s="95"/>
      <c r="U12" s="95"/>
      <c r="V12" s="95"/>
      <c r="W12" s="95"/>
      <c r="X12" s="95"/>
      <c r="Y12" s="95"/>
      <c r="Z12" s="95"/>
      <c r="AA12" s="95"/>
      <c r="AB12" s="95"/>
      <c r="AC12" s="95"/>
      <c r="AD12" s="95"/>
      <c r="AE12" s="95"/>
      <c r="AF12" s="95"/>
      <c r="AG12" s="95"/>
      <c r="AH12" s="95"/>
      <c r="AI12" s="95"/>
      <c r="AJ12" s="95"/>
      <c r="AK12" s="95"/>
      <c r="AL12" s="95"/>
      <c r="AM12" s="95"/>
      <c r="AN12" s="264"/>
      <c r="AO12" s="95"/>
      <c r="AP12" s="95"/>
      <c r="AQ12" s="95"/>
      <c r="AR12" s="95"/>
      <c r="AS12" s="95"/>
      <c r="AT12" s="95"/>
      <c r="AU12" s="95"/>
      <c r="AV12" s="95"/>
      <c r="AW12" s="95"/>
      <c r="AX12" s="95"/>
      <c r="AY12" s="95"/>
      <c r="AZ12" s="95"/>
      <c r="BA12" s="95"/>
      <c r="BB12" s="95"/>
      <c r="BC12" s="214"/>
      <c r="BD12" s="95"/>
      <c r="BE12" s="95"/>
      <c r="BF12" s="95"/>
      <c r="BG12" s="95"/>
      <c r="BH12" s="95"/>
      <c r="BI12" s="95"/>
      <c r="BJ12" s="95"/>
      <c r="BK12" s="265"/>
      <c r="BL12" s="265"/>
      <c r="BM12" s="265"/>
      <c r="BN12" s="266"/>
      <c r="BO12" s="267"/>
      <c r="BP12" s="268"/>
      <c r="BQ12" s="269"/>
      <c r="BR12" s="269"/>
      <c r="BS12" s="269"/>
      <c r="BT12" s="269"/>
      <c r="BU12" s="269"/>
      <c r="BV12" s="269"/>
      <c r="BW12" s="268"/>
      <c r="BX12" s="269"/>
      <c r="BY12" s="268"/>
      <c r="BZ12" s="268"/>
      <c r="CA12" s="268"/>
      <c r="CB12" s="269"/>
      <c r="CC12" s="268"/>
      <c r="CD12" s="268"/>
      <c r="CE12" s="269"/>
      <c r="CF12" s="269"/>
      <c r="CG12" s="269"/>
      <c r="CH12" s="269"/>
      <c r="CI12" s="269"/>
      <c r="CJ12" s="269"/>
      <c r="CK12" s="269"/>
      <c r="CL12" s="266"/>
    </row>
    <row r="13" spans="1:91" s="270" customFormat="1" ht="14.25" customHeight="1">
      <c r="A13" s="95"/>
      <c r="B13" s="263"/>
      <c r="C13" s="263"/>
      <c r="D13" s="263"/>
      <c r="E13" s="263"/>
      <c r="F13" s="263"/>
      <c r="G13" s="263"/>
      <c r="H13" s="95"/>
      <c r="I13" s="95"/>
      <c r="J13" s="263"/>
      <c r="K13" s="263"/>
      <c r="L13" s="263"/>
      <c r="M13" s="263"/>
      <c r="N13" s="263"/>
      <c r="O13" s="263"/>
      <c r="P13" s="95"/>
      <c r="Q13" s="95"/>
      <c r="R13" s="95"/>
      <c r="S13" s="95"/>
      <c r="T13" s="95"/>
      <c r="U13" s="95"/>
      <c r="V13" s="95"/>
      <c r="W13" s="95"/>
      <c r="X13" s="95"/>
      <c r="Y13" s="95"/>
      <c r="Z13" s="95"/>
      <c r="AA13" s="95"/>
      <c r="AB13" s="95"/>
      <c r="AC13" s="95"/>
      <c r="AD13" s="95"/>
      <c r="AE13" s="95"/>
      <c r="AF13" s="95"/>
      <c r="AG13" s="95"/>
      <c r="AH13" s="95"/>
      <c r="AI13" s="95"/>
      <c r="AJ13" s="95"/>
      <c r="AK13" s="95"/>
      <c r="AL13" s="95"/>
      <c r="AM13" s="95"/>
      <c r="AN13" s="264"/>
      <c r="AO13" s="95"/>
      <c r="AP13" s="95"/>
      <c r="AQ13" s="95"/>
      <c r="AR13" s="95"/>
      <c r="AS13" s="95"/>
      <c r="AT13" s="95"/>
      <c r="AU13" s="95"/>
      <c r="AV13" s="95"/>
      <c r="AW13" s="95"/>
      <c r="AX13" s="95"/>
      <c r="AY13" s="95"/>
      <c r="AZ13" s="95"/>
      <c r="BA13" s="95"/>
      <c r="BB13" s="95"/>
      <c r="BC13" s="214"/>
      <c r="BD13" s="95"/>
      <c r="BE13" s="95"/>
      <c r="BF13" s="95"/>
      <c r="BG13" s="95"/>
      <c r="BH13" s="95"/>
      <c r="BI13" s="95"/>
      <c r="BJ13" s="95"/>
      <c r="BK13" s="265"/>
      <c r="BL13" s="265"/>
      <c r="BM13" s="265"/>
      <c r="BN13" s="266"/>
      <c r="BO13" s="267"/>
      <c r="BP13" s="268"/>
      <c r="BQ13" s="269"/>
      <c r="BR13" s="269"/>
      <c r="BS13" s="269"/>
      <c r="BT13" s="269"/>
      <c r="BU13" s="269"/>
      <c r="BV13" s="269"/>
      <c r="BW13" s="268"/>
      <c r="BX13" s="269"/>
      <c r="BY13" s="268"/>
      <c r="BZ13" s="268"/>
      <c r="CA13" s="268"/>
      <c r="CB13" s="269"/>
      <c r="CC13" s="268"/>
      <c r="CD13" s="268"/>
      <c r="CE13" s="269"/>
      <c r="CF13" s="269"/>
      <c r="CG13" s="269"/>
      <c r="CH13" s="269"/>
      <c r="CI13" s="269"/>
      <c r="CJ13" s="269"/>
      <c r="CK13" s="269"/>
      <c r="CL13" s="266"/>
    </row>
    <row r="14" spans="1:91" s="270" customFormat="1" ht="14.25" customHeight="1">
      <c r="A14" s="95"/>
      <c r="B14" s="263"/>
      <c r="C14" s="263"/>
      <c r="D14" s="263"/>
      <c r="E14" s="263"/>
      <c r="F14" s="263"/>
      <c r="G14" s="263"/>
      <c r="H14" s="95"/>
      <c r="I14" s="95"/>
      <c r="J14" s="263"/>
      <c r="K14" s="263"/>
      <c r="L14" s="263"/>
      <c r="M14" s="263"/>
      <c r="N14" s="263"/>
      <c r="O14" s="263"/>
      <c r="P14" s="95"/>
      <c r="Q14" s="95"/>
      <c r="R14" s="95"/>
      <c r="S14" s="95"/>
      <c r="T14" s="95"/>
      <c r="U14" s="95"/>
      <c r="V14" s="95"/>
      <c r="W14" s="95"/>
      <c r="X14" s="95"/>
      <c r="Y14" s="95"/>
      <c r="Z14" s="95"/>
      <c r="AA14" s="95"/>
      <c r="AB14" s="95"/>
      <c r="AC14" s="95"/>
      <c r="AD14" s="95"/>
      <c r="AE14" s="95"/>
      <c r="AF14" s="95"/>
      <c r="AG14" s="95"/>
      <c r="AH14" s="95"/>
      <c r="AI14" s="95"/>
      <c r="AJ14" s="95"/>
      <c r="AK14" s="275"/>
      <c r="AL14" s="95"/>
      <c r="AM14" s="95"/>
      <c r="AN14" s="264"/>
      <c r="AO14" s="95"/>
      <c r="AP14" s="95"/>
      <c r="AQ14" s="95"/>
      <c r="AR14" s="95"/>
      <c r="AS14" s="95"/>
      <c r="AT14" s="95"/>
      <c r="AU14" s="95"/>
      <c r="AV14" s="95"/>
      <c r="AW14" s="95"/>
      <c r="AX14" s="95"/>
      <c r="AY14" s="95"/>
      <c r="AZ14" s="95"/>
      <c r="BA14" s="95"/>
      <c r="BB14" s="95"/>
      <c r="BC14" s="214"/>
      <c r="BD14" s="95"/>
      <c r="BE14" s="95"/>
      <c r="BF14" s="95"/>
      <c r="BG14" s="95"/>
      <c r="BH14" s="95"/>
      <c r="BI14" s="95"/>
      <c r="BJ14" s="95"/>
      <c r="BK14" s="265"/>
      <c r="BL14" s="265"/>
      <c r="BM14" s="265"/>
      <c r="BN14" s="266"/>
      <c r="BO14" s="267"/>
      <c r="BP14" s="268"/>
      <c r="BQ14" s="269"/>
      <c r="BR14" s="269"/>
      <c r="BS14" s="269"/>
      <c r="BT14" s="269"/>
      <c r="BU14" s="269"/>
      <c r="BV14" s="269"/>
      <c r="BW14" s="268"/>
      <c r="BX14" s="269"/>
      <c r="BY14" s="268"/>
      <c r="BZ14" s="268"/>
      <c r="CA14" s="268"/>
      <c r="CB14" s="269"/>
      <c r="CC14" s="268"/>
      <c r="CD14" s="268"/>
      <c r="CE14" s="269"/>
      <c r="CF14" s="269"/>
      <c r="CG14" s="269"/>
      <c r="CH14" s="269"/>
      <c r="CI14" s="269"/>
      <c r="CJ14" s="269"/>
      <c r="CK14" s="269"/>
      <c r="CL14" s="266"/>
    </row>
    <row r="15" spans="1:91" s="270" customFormat="1" ht="14.25" customHeight="1">
      <c r="A15" s="95"/>
      <c r="B15" s="263"/>
      <c r="C15" s="263"/>
      <c r="D15" s="263"/>
      <c r="E15" s="263"/>
      <c r="F15" s="263"/>
      <c r="G15" s="263"/>
      <c r="H15" s="95"/>
      <c r="I15" s="95"/>
      <c r="J15" s="263"/>
      <c r="K15" s="263"/>
      <c r="L15" s="263"/>
      <c r="M15" s="263"/>
      <c r="N15" s="263"/>
      <c r="O15" s="263"/>
      <c r="P15" s="95"/>
      <c r="Q15" s="95"/>
      <c r="R15" s="95"/>
      <c r="S15" s="95"/>
      <c r="T15" s="95"/>
      <c r="U15" s="95"/>
      <c r="V15" s="95"/>
      <c r="W15" s="95"/>
      <c r="X15" s="95"/>
      <c r="Y15" s="95"/>
      <c r="Z15" s="95"/>
      <c r="AA15" s="95"/>
      <c r="AB15" s="95"/>
      <c r="AC15" s="95"/>
      <c r="AD15" s="95"/>
      <c r="AE15" s="95"/>
      <c r="AF15" s="95"/>
      <c r="AG15" s="95"/>
      <c r="AH15" s="95"/>
      <c r="AI15" s="95"/>
      <c r="AJ15" s="95"/>
      <c r="AK15" s="95"/>
      <c r="AL15" s="95"/>
      <c r="AM15" s="95"/>
      <c r="AN15" s="264"/>
      <c r="AO15" s="95"/>
      <c r="AP15" s="95"/>
      <c r="AQ15" s="95"/>
      <c r="AR15" s="95"/>
      <c r="AS15" s="95"/>
      <c r="AT15" s="95"/>
      <c r="AU15" s="95"/>
      <c r="AV15" s="95"/>
      <c r="AW15" s="95"/>
      <c r="AX15" s="95"/>
      <c r="AY15" s="95"/>
      <c r="AZ15" s="95"/>
      <c r="BA15" s="95"/>
      <c r="BB15" s="95"/>
      <c r="BC15" s="214"/>
      <c r="BD15" s="95"/>
      <c r="BE15" s="95"/>
      <c r="BF15" s="95"/>
      <c r="BG15" s="95"/>
      <c r="BH15" s="95"/>
      <c r="BI15" s="95"/>
      <c r="BJ15" s="95"/>
      <c r="BK15" s="265"/>
      <c r="BL15" s="265"/>
      <c r="BM15" s="265"/>
      <c r="BN15" s="266"/>
      <c r="BO15" s="267"/>
      <c r="BP15" s="268"/>
      <c r="BQ15" s="269"/>
      <c r="BR15" s="269"/>
      <c r="BS15" s="269"/>
      <c r="BT15" s="269"/>
      <c r="BU15" s="269"/>
      <c r="BV15" s="269"/>
      <c r="BW15" s="268"/>
      <c r="BX15" s="269"/>
      <c r="BY15" s="268"/>
      <c r="BZ15" s="268"/>
      <c r="CA15" s="268"/>
      <c r="CB15" s="269"/>
      <c r="CC15" s="268"/>
      <c r="CD15" s="268"/>
      <c r="CE15" s="269"/>
      <c r="CF15" s="269"/>
      <c r="CG15" s="269"/>
      <c r="CH15" s="269"/>
      <c r="CI15" s="269"/>
      <c r="CJ15" s="269"/>
      <c r="CK15" s="269"/>
      <c r="CL15" s="266"/>
    </row>
    <row r="16" spans="1:91" s="270" customFormat="1" ht="14.25" customHeight="1">
      <c r="A16" s="95"/>
      <c r="B16" s="263"/>
      <c r="C16" s="263"/>
      <c r="D16" s="263"/>
      <c r="E16" s="263"/>
      <c r="F16" s="263"/>
      <c r="G16" s="263"/>
      <c r="H16" s="95"/>
      <c r="I16" s="95"/>
      <c r="J16" s="263"/>
      <c r="K16" s="263"/>
      <c r="L16" s="263"/>
      <c r="M16" s="263"/>
      <c r="N16" s="263"/>
      <c r="O16" s="263"/>
      <c r="P16" s="95"/>
      <c r="Q16" s="95"/>
      <c r="R16" s="95"/>
      <c r="S16" s="95"/>
      <c r="T16" s="95"/>
      <c r="U16" s="95"/>
      <c r="V16" s="95"/>
      <c r="W16" s="95"/>
      <c r="X16" s="95"/>
      <c r="Y16" s="95"/>
      <c r="Z16" s="95"/>
      <c r="AA16" s="95"/>
      <c r="AB16" s="95"/>
      <c r="AC16" s="95"/>
      <c r="AD16" s="95"/>
      <c r="AE16" s="95"/>
      <c r="AF16" s="95"/>
      <c r="AG16" s="95"/>
      <c r="AH16" s="95"/>
      <c r="AI16" s="95"/>
      <c r="AJ16" s="95"/>
      <c r="AK16" s="275"/>
      <c r="AL16" s="95"/>
      <c r="AM16" s="95"/>
      <c r="AN16" s="264"/>
      <c r="AO16" s="95"/>
      <c r="AP16" s="95"/>
      <c r="AQ16" s="95"/>
      <c r="AR16" s="95"/>
      <c r="AS16" s="95"/>
      <c r="AT16" s="95"/>
      <c r="AU16" s="95"/>
      <c r="AV16" s="95"/>
      <c r="AW16" s="95"/>
      <c r="AX16" s="95"/>
      <c r="AY16" s="95"/>
      <c r="AZ16" s="95"/>
      <c r="BA16" s="95"/>
      <c r="BB16" s="95"/>
      <c r="BC16" s="214"/>
      <c r="BD16" s="95"/>
      <c r="BE16" s="95"/>
      <c r="BF16" s="95"/>
      <c r="BG16" s="95"/>
      <c r="BH16" s="95"/>
      <c r="BI16" s="95"/>
      <c r="BJ16" s="95"/>
      <c r="BK16" s="265"/>
      <c r="BL16" s="265"/>
      <c r="BM16" s="265"/>
      <c r="BN16" s="266"/>
      <c r="BO16" s="267"/>
      <c r="BP16" s="268"/>
      <c r="BQ16" s="269"/>
      <c r="BR16" s="269"/>
      <c r="BS16" s="269"/>
      <c r="BT16" s="269"/>
      <c r="BU16" s="269"/>
      <c r="BV16" s="269"/>
      <c r="BW16" s="268"/>
      <c r="BX16" s="269"/>
      <c r="BY16" s="268"/>
      <c r="BZ16" s="268"/>
      <c r="CA16" s="268"/>
      <c r="CB16" s="269"/>
      <c r="CC16" s="268"/>
      <c r="CD16" s="268"/>
      <c r="CE16" s="269"/>
      <c r="CF16" s="269"/>
      <c r="CG16" s="269"/>
      <c r="CH16" s="269"/>
      <c r="CI16" s="269"/>
      <c r="CJ16" s="269"/>
      <c r="CK16" s="269"/>
      <c r="CL16" s="266"/>
    </row>
    <row r="17" spans="1:90" s="270" customFormat="1" ht="14.25" customHeight="1">
      <c r="A17" s="95"/>
      <c r="B17" s="263"/>
      <c r="C17" s="263"/>
      <c r="D17" s="263"/>
      <c r="E17" s="263"/>
      <c r="F17" s="263"/>
      <c r="G17" s="263"/>
      <c r="H17" s="95"/>
      <c r="I17" s="95"/>
      <c r="J17" s="263"/>
      <c r="K17" s="263"/>
      <c r="L17" s="263"/>
      <c r="M17" s="263"/>
      <c r="N17" s="263"/>
      <c r="O17" s="263"/>
      <c r="P17" s="95"/>
      <c r="Q17" s="95"/>
      <c r="R17" s="95"/>
      <c r="S17" s="95"/>
      <c r="T17" s="95"/>
      <c r="U17" s="95"/>
      <c r="V17" s="95"/>
      <c r="W17" s="95"/>
      <c r="X17" s="95"/>
      <c r="Y17" s="95"/>
      <c r="Z17" s="95"/>
      <c r="AA17" s="95"/>
      <c r="AB17" s="95"/>
      <c r="AC17" s="95"/>
      <c r="AD17" s="95"/>
      <c r="AE17" s="95"/>
      <c r="AF17" s="95"/>
      <c r="AG17" s="95"/>
      <c r="AH17" s="95"/>
      <c r="AI17" s="95"/>
      <c r="AJ17" s="95"/>
      <c r="AK17" s="275"/>
      <c r="AL17" s="95"/>
      <c r="AM17" s="95"/>
      <c r="AN17" s="264"/>
      <c r="AO17" s="95"/>
      <c r="AP17" s="95"/>
      <c r="AQ17" s="95"/>
      <c r="AR17" s="95"/>
      <c r="AS17" s="95"/>
      <c r="AT17" s="95"/>
      <c r="AU17" s="95"/>
      <c r="AV17" s="95"/>
      <c r="AW17" s="95"/>
      <c r="AX17" s="95"/>
      <c r="AY17" s="95"/>
      <c r="AZ17" s="95"/>
      <c r="BA17" s="95"/>
      <c r="BB17" s="95"/>
      <c r="BC17" s="214"/>
      <c r="BD17" s="95"/>
      <c r="BE17" s="95"/>
      <c r="BF17" s="95"/>
      <c r="BG17" s="95"/>
      <c r="BH17" s="95"/>
      <c r="BI17" s="95"/>
      <c r="BJ17" s="95"/>
      <c r="BK17" s="265"/>
      <c r="BL17" s="265"/>
      <c r="BM17" s="265"/>
      <c r="BN17" s="266"/>
      <c r="BO17" s="267"/>
      <c r="BP17" s="268"/>
      <c r="BQ17" s="269"/>
      <c r="BR17" s="269"/>
      <c r="BS17" s="269"/>
      <c r="BT17" s="269"/>
      <c r="BU17" s="269"/>
      <c r="BV17" s="269"/>
      <c r="BW17" s="268"/>
      <c r="BX17" s="269"/>
      <c r="BY17" s="268"/>
      <c r="BZ17" s="268"/>
      <c r="CA17" s="268"/>
      <c r="CB17" s="269"/>
      <c r="CC17" s="268"/>
      <c r="CD17" s="268"/>
      <c r="CE17" s="269"/>
      <c r="CF17" s="269"/>
      <c r="CG17" s="269"/>
      <c r="CH17" s="269"/>
      <c r="CI17" s="269"/>
      <c r="CJ17" s="269"/>
      <c r="CK17" s="269"/>
      <c r="CL17" s="266"/>
    </row>
    <row r="18" spans="1:90" s="270" customFormat="1" ht="14.25" customHeight="1">
      <c r="A18" s="95"/>
      <c r="B18" s="263"/>
      <c r="C18" s="263"/>
      <c r="D18" s="263"/>
      <c r="E18" s="263"/>
      <c r="F18" s="263"/>
      <c r="G18" s="263"/>
      <c r="H18" s="95"/>
      <c r="I18" s="95"/>
      <c r="J18" s="263"/>
      <c r="K18" s="263"/>
      <c r="L18" s="263"/>
      <c r="M18" s="263"/>
      <c r="N18" s="263"/>
      <c r="O18" s="263"/>
      <c r="P18" s="95"/>
      <c r="Q18" s="95"/>
      <c r="R18" s="95"/>
      <c r="S18" s="95"/>
      <c r="T18" s="95"/>
      <c r="U18" s="95"/>
      <c r="V18" s="95"/>
      <c r="W18" s="95"/>
      <c r="X18" s="95"/>
      <c r="Y18" s="95"/>
      <c r="Z18" s="95"/>
      <c r="AA18" s="95"/>
      <c r="AB18" s="95"/>
      <c r="AC18" s="95"/>
      <c r="AD18" s="95"/>
      <c r="AE18" s="95"/>
      <c r="AF18" s="95"/>
      <c r="AG18" s="95"/>
      <c r="AH18" s="95"/>
      <c r="AI18" s="95"/>
      <c r="AJ18" s="95"/>
      <c r="AK18" s="95"/>
      <c r="AL18" s="95"/>
      <c r="AM18" s="95"/>
      <c r="AN18" s="264"/>
      <c r="AO18" s="95"/>
      <c r="AP18" s="95"/>
      <c r="AQ18" s="95"/>
      <c r="AR18" s="95"/>
      <c r="AS18" s="95"/>
      <c r="AT18" s="95"/>
      <c r="AU18" s="95"/>
      <c r="AV18" s="95"/>
      <c r="AW18" s="95"/>
      <c r="AX18" s="95"/>
      <c r="AY18" s="95"/>
      <c r="AZ18" s="95"/>
      <c r="BA18" s="95"/>
      <c r="BB18" s="95"/>
      <c r="BC18" s="214"/>
      <c r="BD18" s="95"/>
      <c r="BE18" s="95"/>
      <c r="BF18" s="95"/>
      <c r="BG18" s="95"/>
      <c r="BH18" s="95"/>
      <c r="BI18" s="95"/>
      <c r="BJ18" s="95"/>
      <c r="BK18" s="265"/>
      <c r="BL18" s="265"/>
      <c r="BM18" s="265"/>
      <c r="BN18" s="266"/>
      <c r="BO18" s="267"/>
      <c r="BP18" s="268"/>
      <c r="BQ18" s="269"/>
      <c r="BR18" s="269"/>
      <c r="BS18" s="269"/>
      <c r="BT18" s="269"/>
      <c r="BU18" s="269"/>
      <c r="BV18" s="269"/>
      <c r="BW18" s="268"/>
      <c r="BX18" s="269"/>
      <c r="BY18" s="268"/>
      <c r="BZ18" s="268"/>
      <c r="CA18" s="268"/>
      <c r="CB18" s="269"/>
      <c r="CC18" s="268"/>
      <c r="CD18" s="268"/>
      <c r="CE18" s="269"/>
      <c r="CF18" s="269"/>
      <c r="CG18" s="269"/>
      <c r="CH18" s="269"/>
      <c r="CI18" s="269"/>
      <c r="CJ18" s="269"/>
      <c r="CK18" s="269"/>
      <c r="CL18" s="266"/>
    </row>
    <row r="19" spans="1:90" s="270" customFormat="1" ht="14.25" customHeight="1">
      <c r="A19" s="95"/>
      <c r="B19" s="263"/>
      <c r="C19" s="263"/>
      <c r="D19" s="263"/>
      <c r="E19" s="263"/>
      <c r="F19" s="263"/>
      <c r="G19" s="263"/>
      <c r="H19" s="95"/>
      <c r="I19" s="95"/>
      <c r="J19" s="263"/>
      <c r="K19" s="263"/>
      <c r="L19" s="263"/>
      <c r="M19" s="263"/>
      <c r="N19" s="263"/>
      <c r="O19" s="263"/>
      <c r="P19" s="95"/>
      <c r="Q19" s="95"/>
      <c r="R19" s="95"/>
      <c r="S19" s="95"/>
      <c r="T19" s="95"/>
      <c r="U19" s="95"/>
      <c r="V19" s="95"/>
      <c r="W19" s="95"/>
      <c r="X19" s="95"/>
      <c r="Y19" s="95"/>
      <c r="Z19" s="95"/>
      <c r="AA19" s="95"/>
      <c r="AB19" s="95"/>
      <c r="AC19" s="95"/>
      <c r="AD19" s="95"/>
      <c r="AE19" s="95"/>
      <c r="AF19" s="95"/>
      <c r="AG19" s="95"/>
      <c r="AH19" s="95"/>
      <c r="AI19" s="95"/>
      <c r="AJ19" s="95"/>
      <c r="AK19" s="275"/>
      <c r="AL19" s="95"/>
      <c r="AM19" s="95"/>
      <c r="AN19" s="264"/>
      <c r="AO19" s="95"/>
      <c r="AP19" s="95"/>
      <c r="AQ19" s="95"/>
      <c r="AR19" s="95"/>
      <c r="AS19" s="95"/>
      <c r="AT19" s="95"/>
      <c r="AU19" s="95"/>
      <c r="AV19" s="95"/>
      <c r="AW19" s="95"/>
      <c r="AX19" s="95"/>
      <c r="AY19" s="95"/>
      <c r="AZ19" s="95"/>
      <c r="BA19" s="95"/>
      <c r="BB19" s="95"/>
      <c r="BC19" s="214"/>
      <c r="BD19" s="95"/>
      <c r="BE19" s="95"/>
      <c r="BF19" s="95"/>
      <c r="BG19" s="95"/>
      <c r="BH19" s="95"/>
      <c r="BI19" s="95"/>
      <c r="BJ19" s="95"/>
      <c r="BK19" s="265"/>
      <c r="BL19" s="265"/>
      <c r="BM19" s="265"/>
      <c r="BN19" s="266"/>
      <c r="BO19" s="267"/>
      <c r="BP19" s="268"/>
      <c r="BQ19" s="269"/>
      <c r="BR19" s="269"/>
      <c r="BS19" s="269"/>
      <c r="BT19" s="269"/>
      <c r="BU19" s="269"/>
      <c r="BV19" s="269"/>
      <c r="BW19" s="268"/>
      <c r="BX19" s="269"/>
      <c r="BY19" s="268"/>
      <c r="BZ19" s="268"/>
      <c r="CA19" s="268"/>
      <c r="CB19" s="269"/>
      <c r="CC19" s="268"/>
      <c r="CD19" s="268"/>
      <c r="CE19" s="269"/>
      <c r="CF19" s="269"/>
      <c r="CG19" s="269"/>
      <c r="CH19" s="269"/>
      <c r="CI19" s="269"/>
      <c r="CJ19" s="269"/>
      <c r="CK19" s="269"/>
      <c r="CL19" s="266"/>
    </row>
    <row r="20" spans="1:90" s="270" customFormat="1" ht="14.25" customHeight="1">
      <c r="A20" s="95"/>
      <c r="B20" s="263"/>
      <c r="C20" s="263"/>
      <c r="D20" s="263"/>
      <c r="E20" s="263"/>
      <c r="F20" s="263"/>
      <c r="G20" s="263"/>
      <c r="H20" s="95"/>
      <c r="I20" s="95"/>
      <c r="J20" s="263"/>
      <c r="K20" s="263"/>
      <c r="L20" s="263"/>
      <c r="M20" s="263"/>
      <c r="N20" s="263"/>
      <c r="O20" s="263"/>
      <c r="P20" s="95"/>
      <c r="Q20" s="95"/>
      <c r="R20" s="95"/>
      <c r="S20" s="95"/>
      <c r="T20" s="95"/>
      <c r="U20" s="95"/>
      <c r="V20" s="95"/>
      <c r="W20" s="95"/>
      <c r="X20" s="95"/>
      <c r="Y20" s="95"/>
      <c r="Z20" s="95"/>
      <c r="AA20" s="95"/>
      <c r="AB20" s="95"/>
      <c r="AC20" s="95"/>
      <c r="AD20" s="95"/>
      <c r="AE20" s="95"/>
      <c r="AF20" s="95"/>
      <c r="AG20" s="95"/>
      <c r="AH20" s="95"/>
      <c r="AI20" s="95"/>
      <c r="AJ20" s="95"/>
      <c r="AK20" s="95"/>
      <c r="AL20" s="95"/>
      <c r="AM20" s="95"/>
      <c r="AN20" s="264"/>
      <c r="AO20" s="95"/>
      <c r="AP20" s="95"/>
      <c r="AQ20" s="95"/>
      <c r="AR20" s="95"/>
      <c r="AS20" s="95"/>
      <c r="AT20" s="95"/>
      <c r="AU20" s="95"/>
      <c r="AV20" s="95"/>
      <c r="AW20" s="95"/>
      <c r="AX20" s="95"/>
      <c r="AY20" s="95"/>
      <c r="AZ20" s="95"/>
      <c r="BA20" s="95"/>
      <c r="BB20" s="95"/>
      <c r="BC20" s="214"/>
      <c r="BD20" s="95"/>
      <c r="BE20" s="95"/>
      <c r="BF20" s="95"/>
      <c r="BG20" s="95"/>
      <c r="BH20" s="95"/>
      <c r="BI20" s="95"/>
      <c r="BJ20" s="95"/>
      <c r="BK20" s="265"/>
      <c r="BL20" s="265"/>
      <c r="BM20" s="265"/>
      <c r="BN20" s="266"/>
      <c r="BO20" s="267"/>
      <c r="BP20" s="268"/>
      <c r="BQ20" s="269"/>
      <c r="BR20" s="269"/>
      <c r="BS20" s="269"/>
      <c r="BT20" s="269"/>
      <c r="BU20" s="269"/>
      <c r="BV20" s="269"/>
      <c r="BW20" s="268"/>
      <c r="BX20" s="269"/>
      <c r="BY20" s="268"/>
      <c r="BZ20" s="268"/>
      <c r="CA20" s="268"/>
      <c r="CB20" s="269"/>
      <c r="CC20" s="268"/>
      <c r="CD20" s="268"/>
      <c r="CE20" s="269"/>
      <c r="CF20" s="269"/>
      <c r="CG20" s="269"/>
      <c r="CH20" s="269"/>
      <c r="CI20" s="269"/>
      <c r="CJ20" s="269"/>
      <c r="CK20" s="269"/>
      <c r="CL20" s="266"/>
    </row>
    <row r="21" spans="1:90" s="270" customFormat="1" ht="14.25" customHeight="1">
      <c r="A21" s="95"/>
      <c r="B21" s="263"/>
      <c r="C21" s="263"/>
      <c r="D21" s="263"/>
      <c r="E21" s="263"/>
      <c r="F21" s="263"/>
      <c r="G21" s="263"/>
      <c r="H21" s="95"/>
      <c r="I21" s="95"/>
      <c r="J21" s="263"/>
      <c r="K21" s="263"/>
      <c r="L21" s="263"/>
      <c r="M21" s="263"/>
      <c r="N21" s="263"/>
      <c r="O21" s="263"/>
      <c r="P21" s="95"/>
      <c r="Q21" s="95"/>
      <c r="R21" s="95"/>
      <c r="S21" s="95"/>
      <c r="T21" s="95"/>
      <c r="U21" s="95"/>
      <c r="V21" s="95"/>
      <c r="W21" s="95"/>
      <c r="X21" s="95"/>
      <c r="Y21" s="95"/>
      <c r="Z21" s="95"/>
      <c r="AA21" s="95"/>
      <c r="AB21" s="95"/>
      <c r="AC21" s="95"/>
      <c r="AD21" s="95"/>
      <c r="AE21" s="95"/>
      <c r="AF21" s="95"/>
      <c r="AG21" s="95"/>
      <c r="AH21" s="95"/>
      <c r="AI21" s="95"/>
      <c r="AJ21" s="95"/>
      <c r="AK21" s="275"/>
      <c r="AL21" s="95"/>
      <c r="AM21" s="95"/>
      <c r="AN21" s="264"/>
      <c r="AO21" s="95"/>
      <c r="AP21" s="95"/>
      <c r="AQ21" s="95"/>
      <c r="AR21" s="95"/>
      <c r="AS21" s="95"/>
      <c r="AT21" s="95"/>
      <c r="AU21" s="95"/>
      <c r="AV21" s="95"/>
      <c r="AW21" s="95"/>
      <c r="AX21" s="95"/>
      <c r="AY21" s="95"/>
      <c r="AZ21" s="95"/>
      <c r="BA21" s="95"/>
      <c r="BB21" s="95"/>
      <c r="BC21" s="214"/>
      <c r="BD21" s="95"/>
      <c r="BE21" s="95"/>
      <c r="BF21" s="95"/>
      <c r="BG21" s="95"/>
      <c r="BH21" s="95"/>
      <c r="BI21" s="95"/>
      <c r="BJ21" s="95"/>
      <c r="BK21" s="265"/>
      <c r="BL21" s="265"/>
      <c r="BM21" s="265"/>
      <c r="BN21" s="266"/>
      <c r="BO21" s="267"/>
      <c r="BP21" s="268"/>
      <c r="BQ21" s="269"/>
      <c r="BR21" s="269"/>
      <c r="BS21" s="269"/>
      <c r="BT21" s="269"/>
      <c r="BU21" s="269"/>
      <c r="BV21" s="269"/>
      <c r="BW21" s="268"/>
      <c r="BX21" s="269"/>
      <c r="BY21" s="268"/>
      <c r="BZ21" s="268"/>
      <c r="CA21" s="268"/>
      <c r="CB21" s="269"/>
      <c r="CC21" s="268"/>
      <c r="CD21" s="268"/>
      <c r="CE21" s="269"/>
      <c r="CF21" s="269"/>
      <c r="CG21" s="269"/>
      <c r="CH21" s="269"/>
      <c r="CI21" s="269"/>
      <c r="CJ21" s="269"/>
      <c r="CK21" s="269"/>
      <c r="CL21" s="266"/>
    </row>
    <row r="22" spans="1:90" s="270" customFormat="1" ht="14.25" customHeight="1">
      <c r="A22" s="95"/>
      <c r="B22" s="263"/>
      <c r="C22" s="263"/>
      <c r="D22" s="263"/>
      <c r="E22" s="263"/>
      <c r="F22" s="263"/>
      <c r="G22" s="263"/>
      <c r="H22" s="95"/>
      <c r="I22" s="95"/>
      <c r="J22" s="263"/>
      <c r="K22" s="263"/>
      <c r="L22" s="263"/>
      <c r="M22" s="263"/>
      <c r="N22" s="263"/>
      <c r="O22" s="263"/>
      <c r="P22" s="95"/>
      <c r="Q22" s="95"/>
      <c r="R22" s="95"/>
      <c r="S22" s="95"/>
      <c r="T22" s="95"/>
      <c r="U22" s="95"/>
      <c r="V22" s="95"/>
      <c r="W22" s="95"/>
      <c r="X22" s="95"/>
      <c r="Y22" s="95"/>
      <c r="Z22" s="95"/>
      <c r="AA22" s="95"/>
      <c r="AB22" s="95"/>
      <c r="AC22" s="95"/>
      <c r="AD22" s="95"/>
      <c r="AE22" s="95"/>
      <c r="AF22" s="95"/>
      <c r="AG22" s="95"/>
      <c r="AH22" s="95"/>
      <c r="AI22" s="95"/>
      <c r="AJ22" s="95"/>
      <c r="AK22" s="275"/>
      <c r="AL22" s="95"/>
      <c r="AM22" s="95"/>
      <c r="AN22" s="264"/>
      <c r="AO22" s="95"/>
      <c r="AP22" s="95"/>
      <c r="AQ22" s="95"/>
      <c r="AR22" s="95"/>
      <c r="AS22" s="95"/>
      <c r="AT22" s="95"/>
      <c r="AU22" s="95"/>
      <c r="AV22" s="95"/>
      <c r="AW22" s="95"/>
      <c r="AX22" s="95"/>
      <c r="AY22" s="95"/>
      <c r="AZ22" s="95"/>
      <c r="BA22" s="95"/>
      <c r="BB22" s="95"/>
      <c r="BC22" s="214"/>
      <c r="BD22" s="95"/>
      <c r="BE22" s="95"/>
      <c r="BF22" s="95"/>
      <c r="BG22" s="95"/>
      <c r="BH22" s="95"/>
      <c r="BI22" s="95"/>
      <c r="BJ22" s="95"/>
      <c r="BK22" s="265"/>
      <c r="BL22" s="265"/>
      <c r="BM22" s="265"/>
      <c r="BN22" s="266"/>
      <c r="BO22" s="267"/>
      <c r="BP22" s="268"/>
      <c r="BQ22" s="269"/>
      <c r="BR22" s="269"/>
      <c r="BS22" s="269"/>
      <c r="BT22" s="269"/>
      <c r="BU22" s="269"/>
      <c r="BV22" s="269"/>
      <c r="BW22" s="268"/>
      <c r="BX22" s="269"/>
      <c r="BY22" s="268"/>
      <c r="BZ22" s="268"/>
      <c r="CA22" s="268"/>
      <c r="CB22" s="269"/>
      <c r="CC22" s="268"/>
      <c r="CD22" s="268"/>
      <c r="CE22" s="269"/>
      <c r="CF22" s="269"/>
      <c r="CG22" s="269"/>
      <c r="CH22" s="269"/>
      <c r="CI22" s="269"/>
      <c r="CJ22" s="269"/>
      <c r="CK22" s="269"/>
      <c r="CL22" s="266"/>
    </row>
    <row r="23" spans="1:90" s="270" customFormat="1" ht="14.25" customHeight="1">
      <c r="A23" s="95"/>
      <c r="B23" s="263"/>
      <c r="C23" s="263"/>
      <c r="D23" s="263"/>
      <c r="E23" s="263"/>
      <c r="F23" s="263"/>
      <c r="G23" s="263"/>
      <c r="H23" s="95"/>
      <c r="I23" s="95"/>
      <c r="J23" s="263"/>
      <c r="K23" s="263"/>
      <c r="L23" s="263"/>
      <c r="M23" s="263"/>
      <c r="N23" s="263"/>
      <c r="O23" s="263"/>
      <c r="P23" s="95"/>
      <c r="Q23" s="95"/>
      <c r="R23" s="95"/>
      <c r="S23" s="95"/>
      <c r="T23" s="95"/>
      <c r="U23" s="95"/>
      <c r="V23" s="95"/>
      <c r="W23" s="95"/>
      <c r="X23" s="95"/>
      <c r="Y23" s="95"/>
      <c r="Z23" s="95"/>
      <c r="AA23" s="95"/>
      <c r="AB23" s="95"/>
      <c r="AC23" s="95"/>
      <c r="AD23" s="95"/>
      <c r="AE23" s="95"/>
      <c r="AF23" s="95"/>
      <c r="AG23" s="95"/>
      <c r="AH23" s="95"/>
      <c r="AI23" s="95"/>
      <c r="AJ23" s="95"/>
      <c r="AK23" s="275"/>
      <c r="AL23" s="95"/>
      <c r="AM23" s="95"/>
      <c r="AN23" s="264"/>
      <c r="AO23" s="95"/>
      <c r="AP23" s="95"/>
      <c r="AQ23" s="95"/>
      <c r="AR23" s="95"/>
      <c r="AS23" s="95"/>
      <c r="AT23" s="95"/>
      <c r="AU23" s="95"/>
      <c r="AV23" s="95"/>
      <c r="AW23" s="95"/>
      <c r="AX23" s="95"/>
      <c r="AY23" s="95"/>
      <c r="AZ23" s="95"/>
      <c r="BA23" s="95"/>
      <c r="BB23" s="95"/>
      <c r="BC23" s="214"/>
      <c r="BD23" s="95"/>
      <c r="BE23" s="95"/>
      <c r="BF23" s="95"/>
      <c r="BG23" s="95"/>
      <c r="BH23" s="95"/>
      <c r="BI23" s="95"/>
      <c r="BJ23" s="95"/>
      <c r="BK23" s="265"/>
      <c r="BL23" s="265"/>
      <c r="BM23" s="265"/>
      <c r="BN23" s="266"/>
      <c r="BO23" s="267"/>
      <c r="BP23" s="268"/>
      <c r="BQ23" s="269"/>
      <c r="BR23" s="269"/>
      <c r="BS23" s="269"/>
      <c r="BT23" s="269"/>
      <c r="BU23" s="269"/>
      <c r="BV23" s="269"/>
      <c r="BW23" s="268"/>
      <c r="BX23" s="269"/>
      <c r="BY23" s="268"/>
      <c r="BZ23" s="268"/>
      <c r="CA23" s="268"/>
      <c r="CB23" s="269"/>
      <c r="CC23" s="268"/>
      <c r="CD23" s="268"/>
      <c r="CE23" s="269"/>
      <c r="CF23" s="269"/>
      <c r="CG23" s="269"/>
      <c r="CH23" s="269"/>
      <c r="CI23" s="269"/>
      <c r="CJ23" s="269"/>
      <c r="CK23" s="269"/>
      <c r="CL23" s="266"/>
    </row>
    <row r="24" spans="1:90" s="270" customFormat="1" ht="14.25" customHeight="1">
      <c r="A24" s="95"/>
      <c r="B24" s="263"/>
      <c r="C24" s="263"/>
      <c r="D24" s="263"/>
      <c r="E24" s="263"/>
      <c r="F24" s="263"/>
      <c r="G24" s="263"/>
      <c r="H24" s="95"/>
      <c r="I24" s="95"/>
      <c r="J24" s="263"/>
      <c r="K24" s="263"/>
      <c r="L24" s="263"/>
      <c r="M24" s="263"/>
      <c r="N24" s="263"/>
      <c r="O24" s="263"/>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264"/>
      <c r="AO24" s="95"/>
      <c r="AP24" s="95"/>
      <c r="AQ24" s="95"/>
      <c r="AR24" s="95"/>
      <c r="AS24" s="95"/>
      <c r="AT24" s="95"/>
      <c r="AU24" s="95"/>
      <c r="AV24" s="95"/>
      <c r="AW24" s="95"/>
      <c r="AX24" s="95"/>
      <c r="AY24" s="95"/>
      <c r="AZ24" s="95"/>
      <c r="BA24" s="95"/>
      <c r="BB24" s="95"/>
      <c r="BC24" s="214"/>
      <c r="BD24" s="95"/>
      <c r="BE24" s="95"/>
      <c r="BF24" s="95"/>
      <c r="BG24" s="95"/>
      <c r="BH24" s="95"/>
      <c r="BI24" s="95"/>
      <c r="BJ24" s="95"/>
      <c r="BK24" s="265"/>
      <c r="BL24" s="265"/>
      <c r="BM24" s="265"/>
      <c r="BN24" s="266"/>
      <c r="BO24" s="267"/>
      <c r="BP24" s="268"/>
      <c r="BQ24" s="269"/>
      <c r="BR24" s="269"/>
      <c r="BS24" s="269"/>
      <c r="BT24" s="269"/>
      <c r="BU24" s="269"/>
      <c r="BV24" s="269"/>
      <c r="BW24" s="268"/>
      <c r="BX24" s="269"/>
      <c r="BY24" s="268"/>
      <c r="BZ24" s="268"/>
      <c r="CA24" s="268"/>
      <c r="CB24" s="269"/>
      <c r="CC24" s="268"/>
      <c r="CD24" s="268"/>
      <c r="CE24" s="269"/>
      <c r="CF24" s="269"/>
      <c r="CG24" s="269"/>
      <c r="CH24" s="269"/>
      <c r="CI24" s="269"/>
      <c r="CJ24" s="269"/>
      <c r="CK24" s="269"/>
      <c r="CL24" s="266"/>
    </row>
    <row r="25" spans="1:90" s="270" customFormat="1" ht="14.25" customHeight="1">
      <c r="A25" s="95"/>
      <c r="B25" s="263"/>
      <c r="C25" s="263"/>
      <c r="D25" s="263"/>
      <c r="E25" s="263"/>
      <c r="F25" s="263"/>
      <c r="G25" s="263"/>
      <c r="H25" s="95"/>
      <c r="I25" s="95"/>
      <c r="J25" s="263"/>
      <c r="K25" s="263"/>
      <c r="L25" s="263"/>
      <c r="M25" s="263"/>
      <c r="N25" s="263"/>
      <c r="O25" s="263"/>
      <c r="P25" s="95"/>
      <c r="Q25" s="95"/>
      <c r="R25" s="95"/>
      <c r="S25" s="95"/>
      <c r="T25" s="95"/>
      <c r="U25" s="95"/>
      <c r="V25" s="95"/>
      <c r="W25" s="95"/>
      <c r="X25" s="95"/>
      <c r="Y25" s="95"/>
      <c r="Z25" s="95"/>
      <c r="AA25" s="95"/>
      <c r="AB25" s="95"/>
      <c r="AC25" s="95"/>
      <c r="AD25" s="95"/>
      <c r="AE25" s="95"/>
      <c r="AF25" s="95"/>
      <c r="AG25" s="95"/>
      <c r="AH25" s="95"/>
      <c r="AI25" s="95"/>
      <c r="AJ25" s="95"/>
      <c r="AK25" s="275"/>
      <c r="AL25" s="95"/>
      <c r="AM25" s="95"/>
      <c r="AN25" s="264"/>
      <c r="AO25" s="95"/>
      <c r="AP25" s="95"/>
      <c r="AQ25" s="95"/>
      <c r="AR25" s="95"/>
      <c r="AS25" s="95"/>
      <c r="AT25" s="95"/>
      <c r="AU25" s="95"/>
      <c r="AV25" s="95"/>
      <c r="AW25" s="95"/>
      <c r="AX25" s="95"/>
      <c r="AY25" s="95"/>
      <c r="AZ25" s="95"/>
      <c r="BA25" s="95"/>
      <c r="BB25" s="95"/>
      <c r="BC25" s="214"/>
      <c r="BD25" s="95"/>
      <c r="BE25" s="95"/>
      <c r="BF25" s="95"/>
      <c r="BG25" s="95"/>
      <c r="BH25" s="95"/>
      <c r="BI25" s="95"/>
      <c r="BJ25" s="95"/>
      <c r="BK25" s="265"/>
      <c r="BL25" s="265"/>
      <c r="BM25" s="265"/>
      <c r="BN25" s="266"/>
      <c r="BO25" s="267"/>
      <c r="BP25" s="268"/>
      <c r="BQ25" s="269"/>
      <c r="BR25" s="269"/>
      <c r="BS25" s="269"/>
      <c r="BT25" s="269"/>
      <c r="BU25" s="269"/>
      <c r="BV25" s="269"/>
      <c r="BW25" s="268"/>
      <c r="BX25" s="269"/>
      <c r="BY25" s="268"/>
      <c r="BZ25" s="268"/>
      <c r="CA25" s="268"/>
      <c r="CB25" s="269"/>
      <c r="CC25" s="268"/>
      <c r="CD25" s="268"/>
      <c r="CE25" s="269"/>
      <c r="CF25" s="269"/>
      <c r="CG25" s="269"/>
      <c r="CH25" s="269"/>
      <c r="CI25" s="269"/>
      <c r="CJ25" s="269"/>
      <c r="CK25" s="269"/>
      <c r="CL25" s="266"/>
    </row>
    <row r="26" spans="1:90" s="270" customFormat="1" ht="14.25" customHeight="1">
      <c r="A26" s="95"/>
      <c r="B26" s="263"/>
      <c r="C26" s="263"/>
      <c r="D26" s="263"/>
      <c r="E26" s="263"/>
      <c r="F26" s="263"/>
      <c r="G26" s="263"/>
      <c r="H26" s="95"/>
      <c r="I26" s="95"/>
      <c r="J26" s="263"/>
      <c r="K26" s="263"/>
      <c r="L26" s="263"/>
      <c r="M26" s="263"/>
      <c r="N26" s="263"/>
      <c r="O26" s="263"/>
      <c r="P26" s="95"/>
      <c r="Q26" s="95"/>
      <c r="R26" s="95"/>
      <c r="S26" s="95"/>
      <c r="T26" s="95"/>
      <c r="U26" s="95"/>
      <c r="V26" s="95"/>
      <c r="W26" s="95"/>
      <c r="X26" s="95"/>
      <c r="Y26" s="95"/>
      <c r="Z26" s="95"/>
      <c r="AA26" s="95"/>
      <c r="AB26" s="95"/>
      <c r="AC26" s="95"/>
      <c r="AD26" s="95"/>
      <c r="AE26" s="95"/>
      <c r="AF26" s="95"/>
      <c r="AG26" s="95"/>
      <c r="AH26" s="95"/>
      <c r="AI26" s="95"/>
      <c r="AJ26" s="95"/>
      <c r="AK26" s="95"/>
      <c r="AL26" s="95"/>
      <c r="AM26" s="95"/>
      <c r="AN26" s="264"/>
      <c r="AO26" s="95"/>
      <c r="AP26" s="95"/>
      <c r="AQ26" s="95"/>
      <c r="AR26" s="95"/>
      <c r="AS26" s="95"/>
      <c r="AT26" s="95"/>
      <c r="AU26" s="95"/>
      <c r="AV26" s="95"/>
      <c r="AW26" s="95"/>
      <c r="AX26" s="95"/>
      <c r="AY26" s="95"/>
      <c r="AZ26" s="95"/>
      <c r="BA26" s="95"/>
      <c r="BB26" s="95"/>
      <c r="BC26" s="214"/>
      <c r="BD26" s="95"/>
      <c r="BE26" s="95"/>
      <c r="BF26" s="95"/>
      <c r="BG26" s="95"/>
      <c r="BH26" s="95"/>
      <c r="BI26" s="95"/>
      <c r="BJ26" s="95"/>
      <c r="BK26" s="265"/>
      <c r="BL26" s="265"/>
      <c r="BM26" s="265"/>
      <c r="BN26" s="266"/>
      <c r="BO26" s="267"/>
      <c r="BP26" s="268"/>
      <c r="BQ26" s="269"/>
      <c r="BR26" s="269"/>
      <c r="BS26" s="269"/>
      <c r="BT26" s="269"/>
      <c r="BU26" s="269"/>
      <c r="BV26" s="269"/>
      <c r="BW26" s="268"/>
      <c r="BX26" s="269"/>
      <c r="BY26" s="268"/>
      <c r="BZ26" s="268"/>
      <c r="CA26" s="268"/>
      <c r="CB26" s="269"/>
      <c r="CC26" s="268"/>
      <c r="CD26" s="268"/>
      <c r="CE26" s="269"/>
      <c r="CF26" s="269"/>
      <c r="CG26" s="269"/>
      <c r="CH26" s="269"/>
      <c r="CI26" s="269"/>
      <c r="CJ26" s="269"/>
      <c r="CK26" s="269"/>
      <c r="CL26" s="266"/>
    </row>
    <row r="27" spans="1:90" s="270" customFormat="1" ht="14.25" customHeight="1">
      <c r="A27" s="95"/>
      <c r="B27" s="263"/>
      <c r="C27" s="263"/>
      <c r="D27" s="263"/>
      <c r="E27" s="263"/>
      <c r="F27" s="263"/>
      <c r="G27" s="263"/>
      <c r="H27" s="95"/>
      <c r="I27" s="95"/>
      <c r="J27" s="263"/>
      <c r="K27" s="263"/>
      <c r="L27" s="263"/>
      <c r="M27" s="263"/>
      <c r="N27" s="263"/>
      <c r="O27" s="263"/>
      <c r="P27" s="95"/>
      <c r="Q27" s="95"/>
      <c r="R27" s="95"/>
      <c r="S27" s="95"/>
      <c r="T27" s="95"/>
      <c r="U27" s="95"/>
      <c r="V27" s="95"/>
      <c r="W27" s="95"/>
      <c r="X27" s="95"/>
      <c r="Y27" s="95"/>
      <c r="Z27" s="95"/>
      <c r="AA27" s="95"/>
      <c r="AB27" s="95"/>
      <c r="AC27" s="95"/>
      <c r="AD27" s="95"/>
      <c r="AE27" s="95"/>
      <c r="AF27" s="95"/>
      <c r="AG27" s="95"/>
      <c r="AH27" s="95"/>
      <c r="AI27" s="95"/>
      <c r="AJ27" s="95"/>
      <c r="AK27" s="275"/>
      <c r="AL27" s="95"/>
      <c r="AM27" s="95"/>
      <c r="AN27" s="264"/>
      <c r="AO27" s="95"/>
      <c r="AP27" s="95"/>
      <c r="AQ27" s="95"/>
      <c r="AR27" s="95"/>
      <c r="AS27" s="95"/>
      <c r="AT27" s="95"/>
      <c r="AU27" s="95"/>
      <c r="AV27" s="95"/>
      <c r="AW27" s="95"/>
      <c r="AX27" s="95"/>
      <c r="AY27" s="95"/>
      <c r="AZ27" s="95"/>
      <c r="BA27" s="95"/>
      <c r="BB27" s="95"/>
      <c r="BC27" s="214"/>
      <c r="BD27" s="95"/>
      <c r="BE27" s="95"/>
      <c r="BF27" s="95"/>
      <c r="BG27" s="95"/>
      <c r="BH27" s="95"/>
      <c r="BI27" s="95"/>
      <c r="BJ27" s="95"/>
      <c r="BK27" s="265"/>
      <c r="BL27" s="265"/>
      <c r="BM27" s="265"/>
      <c r="BN27" s="266"/>
      <c r="BO27" s="267"/>
      <c r="BP27" s="268"/>
      <c r="BQ27" s="269"/>
      <c r="BR27" s="269"/>
      <c r="BS27" s="269"/>
      <c r="BT27" s="269"/>
      <c r="BU27" s="269"/>
      <c r="BV27" s="269"/>
      <c r="BW27" s="268"/>
      <c r="BX27" s="269"/>
      <c r="BY27" s="268"/>
      <c r="BZ27" s="268"/>
      <c r="CA27" s="268"/>
      <c r="CB27" s="269"/>
      <c r="CC27" s="268"/>
      <c r="CD27" s="268"/>
      <c r="CE27" s="269"/>
      <c r="CF27" s="269"/>
      <c r="CG27" s="269"/>
      <c r="CH27" s="269"/>
      <c r="CI27" s="269"/>
      <c r="CJ27" s="269"/>
      <c r="CK27" s="269"/>
      <c r="CL27" s="266"/>
    </row>
    <row r="28" spans="1:90" s="270" customFormat="1" ht="14.25" customHeight="1">
      <c r="A28" s="95"/>
      <c r="B28" s="263"/>
      <c r="C28" s="263"/>
      <c r="D28" s="263"/>
      <c r="E28" s="263"/>
      <c r="F28" s="263"/>
      <c r="G28" s="263"/>
      <c r="H28" s="95"/>
      <c r="I28" s="95"/>
      <c r="J28" s="263"/>
      <c r="K28" s="263"/>
      <c r="L28" s="263"/>
      <c r="M28" s="263"/>
      <c r="N28" s="263"/>
      <c r="O28" s="263"/>
      <c r="P28" s="95"/>
      <c r="Q28" s="95"/>
      <c r="R28" s="95"/>
      <c r="S28" s="95"/>
      <c r="T28" s="95"/>
      <c r="U28" s="95"/>
      <c r="V28" s="95"/>
      <c r="W28" s="95"/>
      <c r="X28" s="95"/>
      <c r="Y28" s="95"/>
      <c r="Z28" s="95"/>
      <c r="AA28" s="95"/>
      <c r="AB28" s="95"/>
      <c r="AC28" s="95"/>
      <c r="AD28" s="95"/>
      <c r="AE28" s="95"/>
      <c r="AF28" s="95"/>
      <c r="AG28" s="95"/>
      <c r="AH28" s="95"/>
      <c r="AI28" s="95"/>
      <c r="AJ28" s="95"/>
      <c r="AK28" s="275"/>
      <c r="AL28" s="95"/>
      <c r="AM28" s="95"/>
      <c r="AN28" s="264"/>
      <c r="AO28" s="95"/>
      <c r="AP28" s="95"/>
      <c r="AQ28" s="95"/>
      <c r="AR28" s="95"/>
      <c r="AS28" s="95"/>
      <c r="AT28" s="95"/>
      <c r="AU28" s="95"/>
      <c r="AV28" s="95"/>
      <c r="AW28" s="95"/>
      <c r="AX28" s="95"/>
      <c r="AY28" s="95"/>
      <c r="AZ28" s="95"/>
      <c r="BA28" s="95"/>
      <c r="BB28" s="95"/>
      <c r="BC28" s="214"/>
      <c r="BD28" s="95"/>
      <c r="BE28" s="95"/>
      <c r="BF28" s="95"/>
      <c r="BG28" s="95"/>
      <c r="BH28" s="95"/>
      <c r="BI28" s="95"/>
      <c r="BJ28" s="95"/>
      <c r="BK28" s="265"/>
      <c r="BL28" s="265"/>
      <c r="BM28" s="265"/>
      <c r="BN28" s="266"/>
      <c r="BO28" s="267"/>
      <c r="BP28" s="268"/>
      <c r="BQ28" s="269"/>
      <c r="BR28" s="269"/>
      <c r="BS28" s="269"/>
      <c r="BT28" s="269"/>
      <c r="BU28" s="269"/>
      <c r="BV28" s="269"/>
      <c r="BW28" s="268"/>
      <c r="BX28" s="269"/>
      <c r="BY28" s="268"/>
      <c r="BZ28" s="268"/>
      <c r="CA28" s="268"/>
      <c r="CB28" s="269"/>
      <c r="CC28" s="268"/>
      <c r="CD28" s="268"/>
      <c r="CE28" s="269"/>
      <c r="CF28" s="269"/>
      <c r="CG28" s="269"/>
      <c r="CH28" s="269"/>
      <c r="CI28" s="269"/>
      <c r="CJ28" s="269"/>
      <c r="CK28" s="269"/>
      <c r="CL28" s="266"/>
    </row>
    <row r="29" spans="1:90" s="270" customFormat="1" ht="14.25" customHeight="1">
      <c r="A29" s="95"/>
      <c r="B29" s="263"/>
      <c r="C29" s="263"/>
      <c r="D29" s="263"/>
      <c r="E29" s="263"/>
      <c r="F29" s="263"/>
      <c r="G29" s="263"/>
      <c r="H29" s="95"/>
      <c r="I29" s="95"/>
      <c r="J29" s="263"/>
      <c r="K29" s="263"/>
      <c r="L29" s="263"/>
      <c r="M29" s="263"/>
      <c r="N29" s="263"/>
      <c r="O29" s="263"/>
      <c r="P29" s="95"/>
      <c r="Q29" s="95"/>
      <c r="R29" s="95"/>
      <c r="S29" s="95"/>
      <c r="T29" s="95"/>
      <c r="U29" s="95"/>
      <c r="V29" s="95"/>
      <c r="W29" s="95"/>
      <c r="X29" s="95"/>
      <c r="Y29" s="95"/>
      <c r="Z29" s="95"/>
      <c r="AA29" s="95"/>
      <c r="AB29" s="95"/>
      <c r="AC29" s="95"/>
      <c r="AD29" s="95"/>
      <c r="AE29" s="95"/>
      <c r="AF29" s="95"/>
      <c r="AG29" s="95"/>
      <c r="AH29" s="95"/>
      <c r="AI29" s="95"/>
      <c r="AJ29" s="95"/>
      <c r="AK29" s="275"/>
      <c r="AL29" s="95"/>
      <c r="AM29" s="95"/>
      <c r="AN29" s="264"/>
      <c r="AO29" s="95"/>
      <c r="AP29" s="95"/>
      <c r="AQ29" s="95"/>
      <c r="AR29" s="95"/>
      <c r="AS29" s="95"/>
      <c r="AT29" s="95"/>
      <c r="AU29" s="95"/>
      <c r="AV29" s="95"/>
      <c r="AW29" s="95"/>
      <c r="AX29" s="95"/>
      <c r="AY29" s="95"/>
      <c r="AZ29" s="95"/>
      <c r="BA29" s="95"/>
      <c r="BB29" s="95"/>
      <c r="BC29" s="214"/>
      <c r="BD29" s="95"/>
      <c r="BE29" s="95"/>
      <c r="BF29" s="95"/>
      <c r="BG29" s="95"/>
      <c r="BH29" s="95"/>
      <c r="BI29" s="95"/>
      <c r="BJ29" s="95"/>
      <c r="BK29" s="265"/>
      <c r="BL29" s="265"/>
      <c r="BM29" s="265"/>
      <c r="BN29" s="266"/>
      <c r="BO29" s="267"/>
      <c r="BP29" s="268"/>
      <c r="BQ29" s="269"/>
      <c r="BR29" s="269"/>
      <c r="BS29" s="269"/>
      <c r="BT29" s="269"/>
      <c r="BU29" s="269"/>
      <c r="BV29" s="269"/>
      <c r="BW29" s="268"/>
      <c r="BX29" s="269"/>
      <c r="BY29" s="268"/>
      <c r="BZ29" s="268"/>
      <c r="CA29" s="268"/>
      <c r="CB29" s="269"/>
      <c r="CC29" s="268"/>
      <c r="CD29" s="268"/>
      <c r="CE29" s="269"/>
      <c r="CF29" s="269"/>
      <c r="CG29" s="269"/>
      <c r="CH29" s="269"/>
      <c r="CI29" s="269"/>
      <c r="CJ29" s="269"/>
      <c r="CK29" s="269"/>
      <c r="CL29" s="266"/>
    </row>
    <row r="30" spans="1:90" s="270" customFormat="1" ht="14.25" customHeight="1">
      <c r="A30" s="95"/>
      <c r="B30" s="263"/>
      <c r="C30" s="263"/>
      <c r="D30" s="263"/>
      <c r="E30" s="263"/>
      <c r="F30" s="263"/>
      <c r="G30" s="263"/>
      <c r="H30" s="95"/>
      <c r="I30" s="95"/>
      <c r="J30" s="263"/>
      <c r="K30" s="263"/>
      <c r="L30" s="263"/>
      <c r="M30" s="263"/>
      <c r="N30" s="263"/>
      <c r="O30" s="263"/>
      <c r="P30" s="95"/>
      <c r="Q30" s="95"/>
      <c r="R30" s="95"/>
      <c r="S30" s="95"/>
      <c r="T30" s="95"/>
      <c r="U30" s="95"/>
      <c r="V30" s="95"/>
      <c r="W30" s="95"/>
      <c r="X30" s="95"/>
      <c r="Y30" s="95"/>
      <c r="Z30" s="95"/>
      <c r="AA30" s="95"/>
      <c r="AB30" s="95"/>
      <c r="AC30" s="95"/>
      <c r="AD30" s="95"/>
      <c r="AE30" s="95"/>
      <c r="AF30" s="95"/>
      <c r="AG30" s="95"/>
      <c r="AH30" s="95"/>
      <c r="AI30" s="95"/>
      <c r="AJ30" s="95"/>
      <c r="AK30" s="275"/>
      <c r="AL30" s="95"/>
      <c r="AM30" s="95"/>
      <c r="AN30" s="264"/>
      <c r="AO30" s="95"/>
      <c r="AP30" s="95"/>
      <c r="AQ30" s="95"/>
      <c r="AR30" s="95"/>
      <c r="AS30" s="95"/>
      <c r="AT30" s="95"/>
      <c r="AU30" s="95"/>
      <c r="AV30" s="95"/>
      <c r="AW30" s="95"/>
      <c r="AX30" s="95"/>
      <c r="AY30" s="95"/>
      <c r="AZ30" s="95"/>
      <c r="BA30" s="95"/>
      <c r="BB30" s="95"/>
      <c r="BC30" s="214"/>
      <c r="BD30" s="95"/>
      <c r="BE30" s="95"/>
      <c r="BF30" s="95"/>
      <c r="BG30" s="95"/>
      <c r="BH30" s="95"/>
      <c r="BI30" s="95"/>
      <c r="BJ30" s="95"/>
      <c r="BK30" s="265"/>
      <c r="BL30" s="265"/>
      <c r="BM30" s="265"/>
      <c r="BN30" s="266"/>
      <c r="BO30" s="267"/>
      <c r="BP30" s="268"/>
      <c r="BQ30" s="269"/>
      <c r="BR30" s="269"/>
      <c r="BS30" s="269"/>
      <c r="BT30" s="269"/>
      <c r="BU30" s="269"/>
      <c r="BV30" s="269"/>
      <c r="BW30" s="268"/>
      <c r="BX30" s="269"/>
      <c r="BY30" s="268"/>
      <c r="BZ30" s="268"/>
      <c r="CA30" s="268"/>
      <c r="CB30" s="269"/>
      <c r="CC30" s="268"/>
      <c r="CD30" s="268"/>
      <c r="CE30" s="269"/>
      <c r="CF30" s="269"/>
      <c r="CG30" s="269"/>
      <c r="CH30" s="269"/>
      <c r="CI30" s="269"/>
      <c r="CJ30" s="269"/>
      <c r="CK30" s="269"/>
      <c r="CL30" s="266"/>
    </row>
    <row r="31" spans="1:90" s="270" customFormat="1" ht="14.25" customHeight="1">
      <c r="A31" s="95"/>
      <c r="B31" s="263"/>
      <c r="C31" s="263"/>
      <c r="D31" s="263"/>
      <c r="E31" s="263"/>
      <c r="F31" s="263"/>
      <c r="G31" s="263"/>
      <c r="H31" s="95"/>
      <c r="I31" s="95"/>
      <c r="J31" s="263"/>
      <c r="K31" s="263"/>
      <c r="L31" s="263"/>
      <c r="M31" s="263"/>
      <c r="N31" s="263"/>
      <c r="O31" s="263"/>
      <c r="P31" s="95"/>
      <c r="Q31" s="95"/>
      <c r="R31" s="95"/>
      <c r="S31" s="95"/>
      <c r="T31" s="95"/>
      <c r="U31" s="95"/>
      <c r="V31" s="95"/>
      <c r="W31" s="95"/>
      <c r="X31" s="95"/>
      <c r="Y31" s="95"/>
      <c r="Z31" s="95"/>
      <c r="AA31" s="95"/>
      <c r="AB31" s="95"/>
      <c r="AC31" s="95"/>
      <c r="AD31" s="95"/>
      <c r="AE31" s="95"/>
      <c r="AF31" s="95"/>
      <c r="AG31" s="95"/>
      <c r="AH31" s="95"/>
      <c r="AI31" s="95"/>
      <c r="AJ31" s="95"/>
      <c r="AK31" s="275"/>
      <c r="AL31" s="95"/>
      <c r="AM31" s="95"/>
      <c r="AN31" s="264"/>
      <c r="AO31" s="95"/>
      <c r="AP31" s="95"/>
      <c r="AQ31" s="95"/>
      <c r="AR31" s="95"/>
      <c r="AS31" s="95"/>
      <c r="AT31" s="95"/>
      <c r="AU31" s="95"/>
      <c r="AV31" s="95"/>
      <c r="AW31" s="95"/>
      <c r="AX31" s="95"/>
      <c r="AY31" s="95"/>
      <c r="AZ31" s="95"/>
      <c r="BA31" s="95"/>
      <c r="BB31" s="95"/>
      <c r="BC31" s="214"/>
      <c r="BD31" s="95"/>
      <c r="BE31" s="95"/>
      <c r="BF31" s="95"/>
      <c r="BG31" s="95"/>
      <c r="BH31" s="95"/>
      <c r="BI31" s="95"/>
      <c r="BJ31" s="95"/>
      <c r="BK31" s="265"/>
      <c r="BL31" s="265"/>
      <c r="BM31" s="265"/>
      <c r="BN31" s="266"/>
      <c r="BO31" s="267"/>
      <c r="BP31" s="268"/>
      <c r="BQ31" s="269"/>
      <c r="BR31" s="269"/>
      <c r="BS31" s="269"/>
      <c r="BT31" s="269"/>
      <c r="BU31" s="269"/>
      <c r="BV31" s="269"/>
      <c r="BW31" s="268"/>
      <c r="BX31" s="269"/>
      <c r="BY31" s="268"/>
      <c r="BZ31" s="268"/>
      <c r="CA31" s="268"/>
      <c r="CB31" s="269"/>
      <c r="CC31" s="268"/>
      <c r="CD31" s="268"/>
      <c r="CE31" s="269"/>
      <c r="CF31" s="269"/>
      <c r="CG31" s="269"/>
      <c r="CH31" s="269"/>
      <c r="CI31" s="269"/>
      <c r="CJ31" s="269"/>
      <c r="CK31" s="269"/>
      <c r="CL31" s="266"/>
    </row>
    <row r="32" spans="1:90" s="270" customFormat="1" ht="14.25" customHeight="1">
      <c r="A32" s="95"/>
      <c r="B32" s="263"/>
      <c r="C32" s="263"/>
      <c r="D32" s="263"/>
      <c r="E32" s="263"/>
      <c r="F32" s="263"/>
      <c r="G32" s="263"/>
      <c r="H32" s="95"/>
      <c r="I32" s="95"/>
      <c r="J32" s="263"/>
      <c r="K32" s="263"/>
      <c r="L32" s="263"/>
      <c r="M32" s="263"/>
      <c r="N32" s="263"/>
      <c r="O32" s="263"/>
      <c r="P32" s="95"/>
      <c r="Q32" s="95"/>
      <c r="R32" s="95"/>
      <c r="S32" s="95"/>
      <c r="T32" s="95"/>
      <c r="U32" s="95"/>
      <c r="V32" s="95"/>
      <c r="W32" s="95"/>
      <c r="X32" s="95"/>
      <c r="Y32" s="95"/>
      <c r="Z32" s="95"/>
      <c r="AA32" s="95"/>
      <c r="AB32" s="95"/>
      <c r="AC32" s="95"/>
      <c r="AD32" s="95"/>
      <c r="AE32" s="95"/>
      <c r="AF32" s="95"/>
      <c r="AG32" s="95"/>
      <c r="AH32" s="95"/>
      <c r="AI32" s="95"/>
      <c r="AJ32" s="95"/>
      <c r="AK32" s="95"/>
      <c r="AL32" s="95"/>
      <c r="AM32" s="95"/>
      <c r="AN32" s="264"/>
      <c r="AO32" s="95"/>
      <c r="AP32" s="95"/>
      <c r="AQ32" s="95"/>
      <c r="AR32" s="95"/>
      <c r="AS32" s="95"/>
      <c r="AT32" s="95"/>
      <c r="AU32" s="95"/>
      <c r="AV32" s="95"/>
      <c r="AW32" s="95"/>
      <c r="AX32" s="95"/>
      <c r="AY32" s="95"/>
      <c r="AZ32" s="95"/>
      <c r="BA32" s="95"/>
      <c r="BB32" s="95"/>
      <c r="BC32" s="214"/>
      <c r="BD32" s="95"/>
      <c r="BE32" s="95"/>
      <c r="BF32" s="95"/>
      <c r="BG32" s="95"/>
      <c r="BH32" s="95"/>
      <c r="BI32" s="95"/>
      <c r="BJ32" s="95"/>
      <c r="BK32" s="265"/>
      <c r="BL32" s="265"/>
      <c r="BM32" s="265"/>
      <c r="BN32" s="266"/>
      <c r="BO32" s="267"/>
      <c r="BP32" s="268"/>
      <c r="BQ32" s="269"/>
      <c r="BR32" s="269"/>
      <c r="BS32" s="269"/>
      <c r="BT32" s="269"/>
      <c r="BU32" s="269"/>
      <c r="BV32" s="269"/>
      <c r="BW32" s="268"/>
      <c r="BX32" s="269"/>
      <c r="BY32" s="268"/>
      <c r="BZ32" s="268"/>
      <c r="CA32" s="268"/>
      <c r="CB32" s="269"/>
      <c r="CC32" s="268"/>
      <c r="CD32" s="268"/>
      <c r="CE32" s="269"/>
      <c r="CF32" s="269"/>
      <c r="CG32" s="269"/>
      <c r="CH32" s="269"/>
      <c r="CI32" s="269"/>
      <c r="CJ32" s="269"/>
      <c r="CK32" s="269"/>
      <c r="CL32" s="266"/>
    </row>
    <row r="33" spans="1:90" s="270" customFormat="1" ht="14.25" customHeight="1">
      <c r="A33" s="95"/>
      <c r="B33" s="263"/>
      <c r="C33" s="263"/>
      <c r="D33" s="263"/>
      <c r="E33" s="263"/>
      <c r="F33" s="263"/>
      <c r="G33" s="263"/>
      <c r="H33" s="95"/>
      <c r="I33" s="95"/>
      <c r="J33" s="263"/>
      <c r="K33" s="263"/>
      <c r="L33" s="263"/>
      <c r="M33" s="263"/>
      <c r="N33" s="263"/>
      <c r="O33" s="263"/>
      <c r="P33" s="95"/>
      <c r="Q33" s="95"/>
      <c r="R33" s="95"/>
      <c r="S33" s="95"/>
      <c r="T33" s="95"/>
      <c r="U33" s="95"/>
      <c r="V33" s="95"/>
      <c r="W33" s="95"/>
      <c r="X33" s="95"/>
      <c r="Y33" s="95"/>
      <c r="Z33" s="95"/>
      <c r="AA33" s="95"/>
      <c r="AB33" s="95"/>
      <c r="AC33" s="95"/>
      <c r="AD33" s="95"/>
      <c r="AE33" s="95"/>
      <c r="AF33" s="95"/>
      <c r="AG33" s="95"/>
      <c r="AH33" s="95"/>
      <c r="AI33" s="95"/>
      <c r="AJ33" s="95"/>
      <c r="AK33" s="275"/>
      <c r="AL33" s="95"/>
      <c r="AM33" s="95"/>
      <c r="AN33" s="264"/>
      <c r="AO33" s="95"/>
      <c r="AP33" s="95"/>
      <c r="AQ33" s="95"/>
      <c r="AR33" s="95"/>
      <c r="AS33" s="95"/>
      <c r="AT33" s="95"/>
      <c r="AU33" s="95"/>
      <c r="AV33" s="95"/>
      <c r="AW33" s="95"/>
      <c r="AX33" s="95"/>
      <c r="AY33" s="95"/>
      <c r="AZ33" s="95"/>
      <c r="BA33" s="95"/>
      <c r="BB33" s="95"/>
      <c r="BC33" s="214"/>
      <c r="BD33" s="95"/>
      <c r="BE33" s="95"/>
      <c r="BF33" s="95"/>
      <c r="BG33" s="95"/>
      <c r="BH33" s="95"/>
      <c r="BI33" s="95"/>
      <c r="BJ33" s="95"/>
      <c r="BK33" s="265"/>
      <c r="BL33" s="265"/>
      <c r="BM33" s="265"/>
      <c r="BN33" s="266"/>
      <c r="BO33" s="267"/>
      <c r="BP33" s="268"/>
      <c r="BQ33" s="269"/>
      <c r="BR33" s="269"/>
      <c r="BS33" s="269"/>
      <c r="BT33" s="269"/>
      <c r="BU33" s="269"/>
      <c r="BV33" s="269"/>
      <c r="BW33" s="268"/>
      <c r="BX33" s="269"/>
      <c r="BY33" s="268"/>
      <c r="BZ33" s="268"/>
      <c r="CA33" s="268"/>
      <c r="CB33" s="269"/>
      <c r="CC33" s="268"/>
      <c r="CD33" s="268"/>
      <c r="CE33" s="269"/>
      <c r="CF33" s="269"/>
      <c r="CG33" s="269"/>
      <c r="CH33" s="269"/>
      <c r="CI33" s="269"/>
      <c r="CJ33" s="269"/>
      <c r="CK33" s="269"/>
      <c r="CL33" s="266"/>
    </row>
    <row r="34" spans="1:90" s="270" customFormat="1" ht="14.25" customHeight="1">
      <c r="A34" s="95"/>
      <c r="B34" s="263"/>
      <c r="C34" s="263"/>
      <c r="D34" s="263"/>
      <c r="E34" s="263"/>
      <c r="F34" s="263"/>
      <c r="G34" s="263"/>
      <c r="H34" s="95"/>
      <c r="I34" s="95"/>
      <c r="J34" s="263"/>
      <c r="K34" s="263"/>
      <c r="L34" s="263"/>
      <c r="M34" s="263"/>
      <c r="N34" s="263"/>
      <c r="O34" s="263"/>
      <c r="P34" s="95"/>
      <c r="Q34" s="95"/>
      <c r="R34" s="95"/>
      <c r="S34" s="95"/>
      <c r="T34" s="95"/>
      <c r="U34" s="95"/>
      <c r="V34" s="95"/>
      <c r="W34" s="95"/>
      <c r="X34" s="95"/>
      <c r="Y34" s="95"/>
      <c r="Z34" s="95"/>
      <c r="AA34" s="95"/>
      <c r="AB34" s="95"/>
      <c r="AC34" s="95"/>
      <c r="AD34" s="95"/>
      <c r="AE34" s="95"/>
      <c r="AF34" s="95"/>
      <c r="AG34" s="95"/>
      <c r="AH34" s="95"/>
      <c r="AI34" s="95"/>
      <c r="AJ34" s="95"/>
      <c r="AK34" s="275"/>
      <c r="AL34" s="95"/>
      <c r="AM34" s="95"/>
      <c r="AN34" s="264"/>
      <c r="AO34" s="95"/>
      <c r="AP34" s="95"/>
      <c r="AQ34" s="95"/>
      <c r="AR34" s="95"/>
      <c r="AS34" s="95"/>
      <c r="AT34" s="95"/>
      <c r="AU34" s="95"/>
      <c r="AV34" s="95"/>
      <c r="AW34" s="95"/>
      <c r="AX34" s="95"/>
      <c r="AY34" s="95"/>
      <c r="AZ34" s="95"/>
      <c r="BA34" s="95"/>
      <c r="BB34" s="95"/>
      <c r="BC34" s="214"/>
      <c r="BD34" s="95"/>
      <c r="BE34" s="95"/>
      <c r="BF34" s="95"/>
      <c r="BG34" s="95"/>
      <c r="BH34" s="95"/>
      <c r="BI34" s="95"/>
      <c r="BJ34" s="95"/>
      <c r="BK34" s="265"/>
      <c r="BL34" s="265"/>
      <c r="BM34" s="265"/>
      <c r="BN34" s="266"/>
      <c r="BO34" s="267"/>
      <c r="BP34" s="268"/>
      <c r="BQ34" s="269"/>
      <c r="BR34" s="269"/>
      <c r="BS34" s="269"/>
      <c r="BT34" s="269"/>
      <c r="BU34" s="269"/>
      <c r="BV34" s="269"/>
      <c r="BW34" s="268"/>
      <c r="BX34" s="269"/>
      <c r="BY34" s="268"/>
      <c r="BZ34" s="268"/>
      <c r="CA34" s="268"/>
      <c r="CB34" s="269"/>
      <c r="CC34" s="268"/>
      <c r="CD34" s="268"/>
      <c r="CE34" s="269"/>
      <c r="CF34" s="269"/>
      <c r="CG34" s="269"/>
      <c r="CH34" s="269"/>
      <c r="CI34" s="269"/>
      <c r="CJ34" s="269"/>
      <c r="CK34" s="269"/>
      <c r="CL34" s="266"/>
    </row>
    <row r="35" spans="1:90" s="270" customFormat="1" ht="14.25" customHeight="1">
      <c r="A35" s="95"/>
      <c r="B35" s="263"/>
      <c r="C35" s="263"/>
      <c r="D35" s="263"/>
      <c r="E35" s="263"/>
      <c r="F35" s="263"/>
      <c r="G35" s="263"/>
      <c r="H35" s="95"/>
      <c r="I35" s="95"/>
      <c r="J35" s="263"/>
      <c r="K35" s="263"/>
      <c r="L35" s="263"/>
      <c r="M35" s="263"/>
      <c r="N35" s="263"/>
      <c r="O35" s="263"/>
      <c r="P35" s="95"/>
      <c r="Q35" s="95"/>
      <c r="R35" s="95"/>
      <c r="S35" s="95"/>
      <c r="T35" s="95"/>
      <c r="U35" s="95"/>
      <c r="V35" s="95"/>
      <c r="W35" s="95"/>
      <c r="X35" s="95"/>
      <c r="Y35" s="95"/>
      <c r="Z35" s="95"/>
      <c r="AA35" s="95"/>
      <c r="AB35" s="95"/>
      <c r="AC35" s="95"/>
      <c r="AD35" s="95"/>
      <c r="AE35" s="95"/>
      <c r="AF35" s="95"/>
      <c r="AG35" s="95"/>
      <c r="AH35" s="95"/>
      <c r="AI35" s="95"/>
      <c r="AJ35" s="95"/>
      <c r="AK35" s="275"/>
      <c r="AL35" s="95"/>
      <c r="AM35" s="95"/>
      <c r="AN35" s="264"/>
      <c r="AO35" s="95"/>
      <c r="AP35" s="95"/>
      <c r="AQ35" s="95"/>
      <c r="AR35" s="95"/>
      <c r="AS35" s="95"/>
      <c r="AT35" s="95"/>
      <c r="AU35" s="95"/>
      <c r="AV35" s="95"/>
      <c r="AW35" s="95"/>
      <c r="AX35" s="95"/>
      <c r="AY35" s="95"/>
      <c r="AZ35" s="95"/>
      <c r="BA35" s="95"/>
      <c r="BB35" s="95"/>
      <c r="BC35" s="214"/>
      <c r="BD35" s="95"/>
      <c r="BE35" s="95"/>
      <c r="BF35" s="95"/>
      <c r="BG35" s="95"/>
      <c r="BH35" s="95"/>
      <c r="BI35" s="95"/>
      <c r="BJ35" s="95"/>
      <c r="BK35" s="265"/>
      <c r="BL35" s="265"/>
      <c r="BM35" s="265"/>
      <c r="BN35" s="266"/>
      <c r="BO35" s="267"/>
      <c r="BP35" s="268"/>
      <c r="BQ35" s="269"/>
      <c r="BR35" s="269"/>
      <c r="BS35" s="269"/>
      <c r="BT35" s="269"/>
      <c r="BU35" s="269"/>
      <c r="BV35" s="269"/>
      <c r="BW35" s="268"/>
      <c r="BX35" s="269"/>
      <c r="BY35" s="268"/>
      <c r="BZ35" s="268"/>
      <c r="CA35" s="268"/>
      <c r="CB35" s="269"/>
      <c r="CC35" s="268"/>
      <c r="CD35" s="268"/>
      <c r="CE35" s="269"/>
      <c r="CF35" s="269"/>
      <c r="CG35" s="269"/>
      <c r="CH35" s="269"/>
      <c r="CI35" s="269"/>
      <c r="CJ35" s="269"/>
      <c r="CK35" s="269"/>
      <c r="CL35" s="266"/>
    </row>
    <row r="36" spans="1:90" s="270" customFormat="1" ht="14.25" customHeight="1">
      <c r="A36" s="95"/>
      <c r="B36" s="263"/>
      <c r="C36" s="263"/>
      <c r="D36" s="263"/>
      <c r="E36" s="263"/>
      <c r="F36" s="263"/>
      <c r="G36" s="263"/>
      <c r="H36" s="95"/>
      <c r="I36" s="95"/>
      <c r="J36" s="263"/>
      <c r="K36" s="263"/>
      <c r="L36" s="263"/>
      <c r="M36" s="263"/>
      <c r="N36" s="263"/>
      <c r="O36" s="263"/>
      <c r="P36" s="95"/>
      <c r="Q36" s="95"/>
      <c r="R36" s="95"/>
      <c r="S36" s="95"/>
      <c r="T36" s="95"/>
      <c r="U36" s="95"/>
      <c r="V36" s="95"/>
      <c r="W36" s="95"/>
      <c r="X36" s="95"/>
      <c r="Y36" s="95"/>
      <c r="Z36" s="95"/>
      <c r="AA36" s="95"/>
      <c r="AB36" s="95"/>
      <c r="AC36" s="95"/>
      <c r="AD36" s="95"/>
      <c r="AE36" s="95"/>
      <c r="AF36" s="95"/>
      <c r="AG36" s="95"/>
      <c r="AH36" s="95"/>
      <c r="AI36" s="95"/>
      <c r="AJ36" s="95"/>
      <c r="AK36" s="275"/>
      <c r="AL36" s="95"/>
      <c r="AM36" s="95"/>
      <c r="AN36" s="264"/>
      <c r="AO36" s="95"/>
      <c r="AP36" s="95"/>
      <c r="AQ36" s="95"/>
      <c r="AR36" s="95"/>
      <c r="AS36" s="95"/>
      <c r="AT36" s="95"/>
      <c r="AU36" s="95"/>
      <c r="AV36" s="95"/>
      <c r="AW36" s="95"/>
      <c r="AX36" s="95"/>
      <c r="AY36" s="95"/>
      <c r="AZ36" s="95"/>
      <c r="BA36" s="95"/>
      <c r="BB36" s="95"/>
      <c r="BC36" s="214"/>
      <c r="BD36" s="95"/>
      <c r="BE36" s="95"/>
      <c r="BF36" s="95"/>
      <c r="BG36" s="95"/>
      <c r="BH36" s="95"/>
      <c r="BI36" s="95"/>
      <c r="BJ36" s="95"/>
      <c r="BK36" s="265"/>
      <c r="BL36" s="265"/>
      <c r="BM36" s="265"/>
      <c r="BN36" s="266"/>
      <c r="BO36" s="267"/>
      <c r="BP36" s="268"/>
      <c r="BQ36" s="269"/>
      <c r="BR36" s="269"/>
      <c r="BS36" s="269"/>
      <c r="BT36" s="269"/>
      <c r="BU36" s="269"/>
      <c r="BV36" s="269"/>
      <c r="BW36" s="268"/>
      <c r="BX36" s="269"/>
      <c r="BY36" s="268"/>
      <c r="BZ36" s="268"/>
      <c r="CA36" s="268"/>
      <c r="CB36" s="269"/>
      <c r="CC36" s="268"/>
      <c r="CD36" s="268"/>
      <c r="CE36" s="269"/>
      <c r="CF36" s="269"/>
      <c r="CG36" s="269"/>
      <c r="CH36" s="269"/>
      <c r="CI36" s="269"/>
      <c r="CJ36" s="269"/>
      <c r="CK36" s="269"/>
      <c r="CL36" s="266"/>
    </row>
    <row r="37" spans="1:90" s="270" customFormat="1" ht="14.25" customHeight="1">
      <c r="A37" s="95"/>
      <c r="B37" s="263"/>
      <c r="C37" s="263"/>
      <c r="D37" s="263"/>
      <c r="E37" s="263"/>
      <c r="F37" s="263"/>
      <c r="G37" s="263"/>
      <c r="H37" s="95"/>
      <c r="I37" s="95"/>
      <c r="J37" s="263"/>
      <c r="K37" s="263"/>
      <c r="L37" s="263"/>
      <c r="M37" s="263"/>
      <c r="N37" s="263"/>
      <c r="O37" s="263"/>
      <c r="P37" s="95"/>
      <c r="Q37" s="95"/>
      <c r="R37" s="95"/>
      <c r="S37" s="95"/>
      <c r="T37" s="95"/>
      <c r="U37" s="95"/>
      <c r="V37" s="95"/>
      <c r="W37" s="95"/>
      <c r="X37" s="95"/>
      <c r="Y37" s="95"/>
      <c r="Z37" s="95"/>
      <c r="AA37" s="95"/>
      <c r="AB37" s="95"/>
      <c r="AC37" s="95"/>
      <c r="AD37" s="95"/>
      <c r="AE37" s="95"/>
      <c r="AF37" s="95"/>
      <c r="AG37" s="95"/>
      <c r="AH37" s="95"/>
      <c r="AI37" s="95"/>
      <c r="AJ37" s="95"/>
      <c r="AK37" s="95"/>
      <c r="AL37" s="95"/>
      <c r="AM37" s="95"/>
      <c r="AN37" s="264"/>
      <c r="AO37" s="95"/>
      <c r="AP37" s="95"/>
      <c r="AQ37" s="95"/>
      <c r="AR37" s="95"/>
      <c r="AS37" s="95"/>
      <c r="AT37" s="95"/>
      <c r="AU37" s="95"/>
      <c r="AV37" s="95"/>
      <c r="AW37" s="95"/>
      <c r="AX37" s="95"/>
      <c r="AY37" s="95"/>
      <c r="AZ37" s="95"/>
      <c r="BA37" s="95"/>
      <c r="BB37" s="95"/>
      <c r="BC37" s="214"/>
      <c r="BD37" s="95"/>
      <c r="BE37" s="95"/>
      <c r="BF37" s="95"/>
      <c r="BG37" s="95"/>
      <c r="BH37" s="95"/>
      <c r="BI37" s="95"/>
      <c r="BJ37" s="95"/>
      <c r="BK37" s="265"/>
      <c r="BL37" s="265"/>
      <c r="BM37" s="265"/>
      <c r="BN37" s="266"/>
      <c r="BO37" s="267"/>
      <c r="BP37" s="268"/>
      <c r="BQ37" s="269"/>
      <c r="BR37" s="269"/>
      <c r="BS37" s="269"/>
      <c r="BT37" s="269"/>
      <c r="BU37" s="269"/>
      <c r="BV37" s="269"/>
      <c r="BW37" s="268"/>
      <c r="BX37" s="269"/>
      <c r="BY37" s="268"/>
      <c r="BZ37" s="268"/>
      <c r="CA37" s="268"/>
      <c r="CB37" s="269"/>
      <c r="CC37" s="268"/>
      <c r="CD37" s="268"/>
      <c r="CE37" s="269"/>
      <c r="CF37" s="269"/>
      <c r="CG37" s="269"/>
      <c r="CH37" s="269"/>
      <c r="CI37" s="269"/>
      <c r="CJ37" s="269"/>
      <c r="CK37" s="269"/>
      <c r="CL37" s="266"/>
    </row>
    <row r="38" spans="1:90" s="270" customFormat="1" ht="14.25" customHeight="1">
      <c r="A38" s="95"/>
      <c r="B38" s="263"/>
      <c r="C38" s="263"/>
      <c r="D38" s="263"/>
      <c r="E38" s="263"/>
      <c r="F38" s="263"/>
      <c r="G38" s="263"/>
      <c r="H38" s="95"/>
      <c r="I38" s="95"/>
      <c r="J38" s="263"/>
      <c r="K38" s="263"/>
      <c r="L38" s="263"/>
      <c r="M38" s="263"/>
      <c r="N38" s="263"/>
      <c r="O38" s="263"/>
      <c r="P38" s="95"/>
      <c r="Q38" s="95"/>
      <c r="R38" s="95"/>
      <c r="S38" s="95"/>
      <c r="T38" s="95"/>
      <c r="U38" s="95"/>
      <c r="V38" s="95"/>
      <c r="W38" s="95"/>
      <c r="X38" s="95"/>
      <c r="Y38" s="95"/>
      <c r="Z38" s="95"/>
      <c r="AA38" s="95"/>
      <c r="AB38" s="95"/>
      <c r="AC38" s="95"/>
      <c r="AD38" s="95"/>
      <c r="AE38" s="95"/>
      <c r="AF38" s="95"/>
      <c r="AG38" s="95"/>
      <c r="AH38" s="95"/>
      <c r="AI38" s="95"/>
      <c r="AJ38" s="95"/>
      <c r="AK38" s="275"/>
      <c r="AL38" s="95"/>
      <c r="AM38" s="95"/>
      <c r="AN38" s="264"/>
      <c r="AO38" s="95"/>
      <c r="AP38" s="95"/>
      <c r="AQ38" s="95"/>
      <c r="AR38" s="95"/>
      <c r="AS38" s="95"/>
      <c r="AT38" s="95"/>
      <c r="AU38" s="95"/>
      <c r="AV38" s="95"/>
      <c r="AW38" s="95"/>
      <c r="AX38" s="95"/>
      <c r="AY38" s="95"/>
      <c r="AZ38" s="95"/>
      <c r="BA38" s="95"/>
      <c r="BB38" s="95"/>
      <c r="BC38" s="214"/>
      <c r="BD38" s="95"/>
      <c r="BE38" s="95"/>
      <c r="BF38" s="95"/>
      <c r="BG38" s="95"/>
      <c r="BH38" s="95"/>
      <c r="BI38" s="95"/>
      <c r="BJ38" s="95"/>
      <c r="BK38" s="265"/>
      <c r="BL38" s="265"/>
      <c r="BM38" s="265"/>
      <c r="BN38" s="266"/>
      <c r="BO38" s="267"/>
      <c r="BP38" s="268"/>
      <c r="BQ38" s="269"/>
      <c r="BR38" s="269"/>
      <c r="BS38" s="269"/>
      <c r="BT38" s="269"/>
      <c r="BU38" s="269"/>
      <c r="BV38" s="269"/>
      <c r="BW38" s="268"/>
      <c r="BX38" s="269"/>
      <c r="BY38" s="268"/>
      <c r="BZ38" s="268"/>
      <c r="CA38" s="268"/>
      <c r="CB38" s="269"/>
      <c r="CC38" s="268"/>
      <c r="CD38" s="268"/>
      <c r="CE38" s="269"/>
      <c r="CF38" s="269"/>
      <c r="CG38" s="269"/>
      <c r="CH38" s="269"/>
      <c r="CI38" s="269"/>
      <c r="CJ38" s="269"/>
      <c r="CK38" s="269"/>
      <c r="CL38" s="266"/>
    </row>
    <row r="39" spans="1:90" s="270" customFormat="1" ht="14.25" customHeight="1">
      <c r="A39" s="95"/>
      <c r="B39" s="263"/>
      <c r="C39" s="263"/>
      <c r="D39" s="263"/>
      <c r="E39" s="263"/>
      <c r="F39" s="263"/>
      <c r="G39" s="263"/>
      <c r="H39" s="95"/>
      <c r="I39" s="95"/>
      <c r="J39" s="263"/>
      <c r="K39" s="263"/>
      <c r="L39" s="263"/>
      <c r="M39" s="263"/>
      <c r="N39" s="263"/>
      <c r="O39" s="263"/>
      <c r="P39" s="95"/>
      <c r="Q39" s="95"/>
      <c r="R39" s="95"/>
      <c r="S39" s="95"/>
      <c r="T39" s="95"/>
      <c r="U39" s="95"/>
      <c r="V39" s="95"/>
      <c r="W39" s="95"/>
      <c r="X39" s="95"/>
      <c r="Y39" s="95"/>
      <c r="Z39" s="95"/>
      <c r="AA39" s="95"/>
      <c r="AB39" s="95"/>
      <c r="AC39" s="95"/>
      <c r="AD39" s="95"/>
      <c r="AE39" s="95"/>
      <c r="AF39" s="95"/>
      <c r="AG39" s="95"/>
      <c r="AH39" s="95"/>
      <c r="AI39" s="95"/>
      <c r="AJ39" s="95"/>
      <c r="AK39" s="275"/>
      <c r="AL39" s="95"/>
      <c r="AM39" s="95"/>
      <c r="AN39" s="264"/>
      <c r="AO39" s="95"/>
      <c r="AP39" s="95"/>
      <c r="AQ39" s="95"/>
      <c r="AR39" s="95"/>
      <c r="AS39" s="95"/>
      <c r="AT39" s="95"/>
      <c r="AU39" s="95"/>
      <c r="AV39" s="95"/>
      <c r="AW39" s="95"/>
      <c r="AX39" s="95"/>
      <c r="AY39" s="95"/>
      <c r="AZ39" s="95"/>
      <c r="BA39" s="95"/>
      <c r="BB39" s="95"/>
      <c r="BC39" s="214"/>
      <c r="BD39" s="95"/>
      <c r="BE39" s="95"/>
      <c r="BF39" s="95"/>
      <c r="BG39" s="95"/>
      <c r="BH39" s="95"/>
      <c r="BI39" s="95"/>
      <c r="BJ39" s="95"/>
      <c r="BK39" s="265"/>
      <c r="BL39" s="265"/>
      <c r="BM39" s="265"/>
      <c r="BN39" s="266"/>
      <c r="BO39" s="267"/>
      <c r="BP39" s="268"/>
      <c r="BQ39" s="269"/>
      <c r="BR39" s="269"/>
      <c r="BS39" s="269"/>
      <c r="BT39" s="269"/>
      <c r="BU39" s="269"/>
      <c r="BV39" s="269"/>
      <c r="BW39" s="268"/>
      <c r="BX39" s="269"/>
      <c r="BY39" s="268"/>
      <c r="BZ39" s="268"/>
      <c r="CA39" s="268"/>
      <c r="CB39" s="269"/>
      <c r="CC39" s="268"/>
      <c r="CD39" s="268"/>
      <c r="CE39" s="269"/>
      <c r="CF39" s="269"/>
      <c r="CG39" s="269"/>
      <c r="CH39" s="269"/>
      <c r="CI39" s="269"/>
      <c r="CJ39" s="269"/>
      <c r="CK39" s="269"/>
      <c r="CL39" s="266"/>
    </row>
    <row r="40" spans="1:90" s="270" customFormat="1" ht="14.25" customHeight="1">
      <c r="A40" s="95"/>
      <c r="B40" s="263"/>
      <c r="C40" s="263"/>
      <c r="D40" s="263"/>
      <c r="E40" s="263"/>
      <c r="F40" s="263"/>
      <c r="G40" s="263"/>
      <c r="H40" s="95"/>
      <c r="I40" s="95"/>
      <c r="J40" s="263"/>
      <c r="K40" s="263"/>
      <c r="L40" s="263"/>
      <c r="M40" s="263"/>
      <c r="N40" s="263"/>
      <c r="O40" s="263"/>
      <c r="P40" s="95"/>
      <c r="Q40" s="95"/>
      <c r="R40" s="95"/>
      <c r="S40" s="95"/>
      <c r="T40" s="95"/>
      <c r="U40" s="95"/>
      <c r="V40" s="95"/>
      <c r="W40" s="95"/>
      <c r="X40" s="95"/>
      <c r="Y40" s="95"/>
      <c r="Z40" s="95"/>
      <c r="AA40" s="95"/>
      <c r="AB40" s="95"/>
      <c r="AC40" s="95"/>
      <c r="AD40" s="95"/>
      <c r="AE40" s="95"/>
      <c r="AF40" s="95"/>
      <c r="AG40" s="95"/>
      <c r="AH40" s="95"/>
      <c r="AI40" s="95"/>
      <c r="AJ40" s="95"/>
      <c r="AK40" s="275"/>
      <c r="AL40" s="95"/>
      <c r="AM40" s="95"/>
      <c r="AN40" s="264"/>
      <c r="AO40" s="95"/>
      <c r="AP40" s="95"/>
      <c r="AQ40" s="95"/>
      <c r="AR40" s="95"/>
      <c r="AS40" s="95"/>
      <c r="AT40" s="95"/>
      <c r="AU40" s="95"/>
      <c r="AV40" s="95"/>
      <c r="AW40" s="95"/>
      <c r="AX40" s="95"/>
      <c r="AY40" s="95"/>
      <c r="AZ40" s="95"/>
      <c r="BA40" s="95"/>
      <c r="BB40" s="95"/>
      <c r="BC40" s="214"/>
      <c r="BD40" s="95"/>
      <c r="BE40" s="95"/>
      <c r="BF40" s="95"/>
      <c r="BG40" s="95"/>
      <c r="BH40" s="95"/>
      <c r="BI40" s="95"/>
      <c r="BJ40" s="95"/>
      <c r="BK40" s="265"/>
      <c r="BL40" s="265"/>
      <c r="BM40" s="265"/>
      <c r="BN40" s="266"/>
      <c r="BO40" s="267"/>
      <c r="BP40" s="268"/>
      <c r="BQ40" s="269"/>
      <c r="BR40" s="269"/>
      <c r="BS40" s="269"/>
      <c r="BT40" s="269"/>
      <c r="BU40" s="269"/>
      <c r="BV40" s="269"/>
      <c r="BW40" s="268"/>
      <c r="BX40" s="269"/>
      <c r="BY40" s="268"/>
      <c r="BZ40" s="268"/>
      <c r="CA40" s="268"/>
      <c r="CB40" s="269"/>
      <c r="CC40" s="268"/>
      <c r="CD40" s="268"/>
      <c r="CE40" s="269"/>
      <c r="CF40" s="269"/>
      <c r="CG40" s="269"/>
      <c r="CH40" s="269"/>
      <c r="CI40" s="269"/>
      <c r="CJ40" s="269"/>
      <c r="CK40" s="269"/>
      <c r="CL40" s="266"/>
    </row>
    <row r="41" spans="1:90" s="270" customFormat="1" ht="14.25" customHeight="1">
      <c r="A41" s="95"/>
      <c r="B41" s="263"/>
      <c r="C41" s="263"/>
      <c r="D41" s="263"/>
      <c r="E41" s="263"/>
      <c r="F41" s="263"/>
      <c r="G41" s="263"/>
      <c r="H41" s="95"/>
      <c r="I41" s="95"/>
      <c r="J41" s="263"/>
      <c r="K41" s="263"/>
      <c r="L41" s="263"/>
      <c r="M41" s="263"/>
      <c r="N41" s="263"/>
      <c r="O41" s="263"/>
      <c r="P41" s="95"/>
      <c r="Q41" s="95"/>
      <c r="R41" s="95"/>
      <c r="S41" s="95"/>
      <c r="T41" s="95"/>
      <c r="U41" s="95"/>
      <c r="V41" s="95"/>
      <c r="W41" s="95"/>
      <c r="X41" s="95"/>
      <c r="Y41" s="95"/>
      <c r="Z41" s="95"/>
      <c r="AA41" s="95"/>
      <c r="AB41" s="95"/>
      <c r="AC41" s="95"/>
      <c r="AD41" s="95"/>
      <c r="AE41" s="95"/>
      <c r="AF41" s="95"/>
      <c r="AG41" s="95"/>
      <c r="AH41" s="95"/>
      <c r="AI41" s="95"/>
      <c r="AJ41" s="95"/>
      <c r="AK41" s="95"/>
      <c r="AL41" s="95"/>
      <c r="AM41" s="95"/>
      <c r="AN41" s="264"/>
      <c r="AO41" s="95"/>
      <c r="AP41" s="95"/>
      <c r="AQ41" s="95"/>
      <c r="AR41" s="95"/>
      <c r="AS41" s="95"/>
      <c r="AT41" s="95"/>
      <c r="AU41" s="95"/>
      <c r="AV41" s="95"/>
      <c r="AW41" s="95"/>
      <c r="AX41" s="95"/>
      <c r="AY41" s="95"/>
      <c r="AZ41" s="95"/>
      <c r="BA41" s="95"/>
      <c r="BB41" s="95"/>
      <c r="BC41" s="214"/>
      <c r="BD41" s="95"/>
      <c r="BE41" s="95"/>
      <c r="BF41" s="95"/>
      <c r="BG41" s="95"/>
      <c r="BH41" s="95"/>
      <c r="BI41" s="95"/>
      <c r="BJ41" s="95"/>
      <c r="BK41" s="265"/>
      <c r="BL41" s="265"/>
      <c r="BM41" s="265"/>
      <c r="BN41" s="266"/>
      <c r="BO41" s="267"/>
      <c r="BP41" s="268"/>
      <c r="BQ41" s="269"/>
      <c r="BR41" s="269"/>
      <c r="BS41" s="269"/>
      <c r="BT41" s="269"/>
      <c r="BU41" s="269"/>
      <c r="BV41" s="269"/>
      <c r="BW41" s="268"/>
      <c r="BX41" s="269"/>
      <c r="BY41" s="268"/>
      <c r="BZ41" s="268"/>
      <c r="CA41" s="268"/>
      <c r="CB41" s="269"/>
      <c r="CC41" s="268"/>
      <c r="CD41" s="268"/>
      <c r="CE41" s="269"/>
      <c r="CF41" s="269"/>
      <c r="CG41" s="269"/>
      <c r="CH41" s="269"/>
      <c r="CI41" s="269"/>
      <c r="CJ41" s="269"/>
      <c r="CK41" s="269"/>
      <c r="CL41" s="266"/>
    </row>
    <row r="42" spans="1:90" s="270" customFormat="1" ht="14.25" customHeight="1">
      <c r="A42" s="95"/>
      <c r="B42" s="263"/>
      <c r="C42" s="263"/>
      <c r="D42" s="263"/>
      <c r="E42" s="263"/>
      <c r="F42" s="263"/>
      <c r="G42" s="263"/>
      <c r="H42" s="95"/>
      <c r="I42" s="95"/>
      <c r="J42" s="263"/>
      <c r="K42" s="263"/>
      <c r="L42" s="263"/>
      <c r="M42" s="263"/>
      <c r="N42" s="263"/>
      <c r="O42" s="263"/>
      <c r="P42" s="95"/>
      <c r="Q42" s="95"/>
      <c r="R42" s="95"/>
      <c r="S42" s="95"/>
      <c r="T42" s="95"/>
      <c r="U42" s="95"/>
      <c r="V42" s="95"/>
      <c r="W42" s="95"/>
      <c r="X42" s="95"/>
      <c r="Y42" s="95"/>
      <c r="Z42" s="95"/>
      <c r="AA42" s="95"/>
      <c r="AB42" s="95"/>
      <c r="AC42" s="95"/>
      <c r="AD42" s="95"/>
      <c r="AE42" s="95"/>
      <c r="AF42" s="95"/>
      <c r="AG42" s="95"/>
      <c r="AH42" s="95"/>
      <c r="AI42" s="95"/>
      <c r="AJ42" s="95"/>
      <c r="AK42" s="95"/>
      <c r="AL42" s="95"/>
      <c r="AM42" s="95"/>
      <c r="AN42" s="264"/>
      <c r="AO42" s="95"/>
      <c r="AP42" s="95"/>
      <c r="AQ42" s="95"/>
      <c r="AR42" s="95"/>
      <c r="AS42" s="95"/>
      <c r="AT42" s="95"/>
      <c r="AU42" s="95"/>
      <c r="AV42" s="95"/>
      <c r="AW42" s="95"/>
      <c r="AX42" s="95"/>
      <c r="AY42" s="95"/>
      <c r="AZ42" s="95"/>
      <c r="BA42" s="95"/>
      <c r="BB42" s="95"/>
      <c r="BC42" s="214"/>
      <c r="BD42" s="95"/>
      <c r="BE42" s="95"/>
      <c r="BF42" s="95"/>
      <c r="BG42" s="95"/>
      <c r="BH42" s="95"/>
      <c r="BI42" s="95"/>
      <c r="BJ42" s="95"/>
      <c r="BK42" s="265"/>
      <c r="BL42" s="265"/>
      <c r="BM42" s="265"/>
      <c r="BN42" s="266"/>
      <c r="BO42" s="267"/>
      <c r="BP42" s="268"/>
      <c r="BQ42" s="269"/>
      <c r="BR42" s="269"/>
      <c r="BS42" s="269"/>
      <c r="BT42" s="269"/>
      <c r="BU42" s="269"/>
      <c r="BV42" s="269"/>
      <c r="BW42" s="268"/>
      <c r="BX42" s="269"/>
      <c r="BY42" s="268"/>
      <c r="BZ42" s="268"/>
      <c r="CA42" s="268"/>
      <c r="CB42" s="269"/>
      <c r="CC42" s="268"/>
      <c r="CD42" s="268"/>
      <c r="CE42" s="269"/>
      <c r="CF42" s="269"/>
      <c r="CG42" s="269"/>
      <c r="CH42" s="269"/>
      <c r="CI42" s="269"/>
      <c r="CJ42" s="269"/>
      <c r="CK42" s="269"/>
      <c r="CL42" s="266"/>
    </row>
    <row r="43" spans="1:90" s="270" customFormat="1" ht="14.25" customHeight="1">
      <c r="A43" s="95"/>
      <c r="B43" s="263"/>
      <c r="C43" s="263"/>
      <c r="D43" s="263"/>
      <c r="E43" s="263"/>
      <c r="F43" s="263"/>
      <c r="G43" s="263"/>
      <c r="H43" s="95"/>
      <c r="I43" s="95"/>
      <c r="J43" s="263"/>
      <c r="K43" s="263"/>
      <c r="L43" s="263"/>
      <c r="M43" s="263"/>
      <c r="N43" s="263"/>
      <c r="O43" s="263"/>
      <c r="P43" s="95"/>
      <c r="Q43" s="95"/>
      <c r="R43" s="95"/>
      <c r="S43" s="95"/>
      <c r="T43" s="95"/>
      <c r="U43" s="95"/>
      <c r="V43" s="95"/>
      <c r="W43" s="95"/>
      <c r="X43" s="95"/>
      <c r="Y43" s="95"/>
      <c r="Z43" s="95"/>
      <c r="AA43" s="95"/>
      <c r="AB43" s="95"/>
      <c r="AC43" s="95"/>
      <c r="AD43" s="95"/>
      <c r="AE43" s="95"/>
      <c r="AF43" s="95"/>
      <c r="AG43" s="95"/>
      <c r="AH43" s="95"/>
      <c r="AI43" s="95"/>
      <c r="AJ43" s="95"/>
      <c r="AK43" s="275"/>
      <c r="AL43" s="95"/>
      <c r="AM43" s="95"/>
      <c r="AN43" s="264"/>
      <c r="AO43" s="95"/>
      <c r="AP43" s="95"/>
      <c r="AQ43" s="95"/>
      <c r="AR43" s="95"/>
      <c r="AS43" s="95"/>
      <c r="AT43" s="95"/>
      <c r="AU43" s="95"/>
      <c r="AV43" s="95"/>
      <c r="AW43" s="95"/>
      <c r="AX43" s="95"/>
      <c r="AY43" s="95"/>
      <c r="AZ43" s="95"/>
      <c r="BA43" s="95"/>
      <c r="BB43" s="95"/>
      <c r="BC43" s="214"/>
      <c r="BD43" s="95"/>
      <c r="BE43" s="95"/>
      <c r="BF43" s="95"/>
      <c r="BG43" s="95"/>
      <c r="BH43" s="95"/>
      <c r="BI43" s="95"/>
      <c r="BJ43" s="95"/>
      <c r="BK43" s="265"/>
      <c r="BL43" s="265"/>
      <c r="BM43" s="265"/>
      <c r="BN43" s="266"/>
      <c r="BO43" s="267"/>
      <c r="BP43" s="268"/>
      <c r="BQ43" s="269"/>
      <c r="BR43" s="269"/>
      <c r="BS43" s="269"/>
      <c r="BT43" s="269"/>
      <c r="BU43" s="269"/>
      <c r="BV43" s="269"/>
      <c r="BW43" s="268"/>
      <c r="BX43" s="269"/>
      <c r="BY43" s="268"/>
      <c r="BZ43" s="268"/>
      <c r="CA43" s="268"/>
      <c r="CB43" s="269"/>
      <c r="CC43" s="268"/>
      <c r="CD43" s="268"/>
      <c r="CE43" s="269"/>
      <c r="CF43" s="269"/>
      <c r="CG43" s="269"/>
      <c r="CH43" s="269"/>
      <c r="CI43" s="269"/>
      <c r="CJ43" s="269"/>
      <c r="CK43" s="269"/>
      <c r="CL43" s="266"/>
    </row>
    <row r="44" spans="1:90" s="270" customFormat="1" ht="14.25" customHeight="1">
      <c r="A44" s="95"/>
      <c r="B44" s="263"/>
      <c r="C44" s="263"/>
      <c r="D44" s="263"/>
      <c r="E44" s="263"/>
      <c r="F44" s="263"/>
      <c r="G44" s="263"/>
      <c r="H44" s="95"/>
      <c r="I44" s="95"/>
      <c r="J44" s="263"/>
      <c r="K44" s="263"/>
      <c r="L44" s="263"/>
      <c r="M44" s="263"/>
      <c r="N44" s="263"/>
      <c r="O44" s="263"/>
      <c r="P44" s="95"/>
      <c r="Q44" s="95"/>
      <c r="R44" s="95"/>
      <c r="S44" s="95"/>
      <c r="T44" s="95"/>
      <c r="U44" s="95"/>
      <c r="V44" s="95"/>
      <c r="W44" s="95"/>
      <c r="X44" s="95"/>
      <c r="Y44" s="95"/>
      <c r="Z44" s="95"/>
      <c r="AA44" s="95"/>
      <c r="AB44" s="95"/>
      <c r="AC44" s="95"/>
      <c r="AD44" s="95"/>
      <c r="AE44" s="95"/>
      <c r="AF44" s="95"/>
      <c r="AG44" s="95"/>
      <c r="AH44" s="95"/>
      <c r="AI44" s="95"/>
      <c r="AJ44" s="95"/>
      <c r="AK44" s="275"/>
      <c r="AL44" s="95"/>
      <c r="AM44" s="95"/>
      <c r="AN44" s="264"/>
      <c r="AO44" s="95"/>
      <c r="AP44" s="95"/>
      <c r="AQ44" s="95"/>
      <c r="AR44" s="95"/>
      <c r="AS44" s="95"/>
      <c r="AT44" s="95"/>
      <c r="AU44" s="95"/>
      <c r="AV44" s="95"/>
      <c r="AW44" s="95"/>
      <c r="AX44" s="95"/>
      <c r="AY44" s="95"/>
      <c r="AZ44" s="95"/>
      <c r="BA44" s="95"/>
      <c r="BB44" s="95"/>
      <c r="BC44" s="214"/>
      <c r="BD44" s="95"/>
      <c r="BE44" s="95"/>
      <c r="BF44" s="95"/>
      <c r="BG44" s="95"/>
      <c r="BH44" s="95"/>
      <c r="BI44" s="95"/>
      <c r="BJ44" s="95"/>
      <c r="BK44" s="265"/>
      <c r="BL44" s="265"/>
      <c r="BM44" s="265"/>
      <c r="BN44" s="266"/>
      <c r="BO44" s="267"/>
      <c r="BP44" s="268"/>
      <c r="BQ44" s="269"/>
      <c r="BR44" s="269"/>
      <c r="BS44" s="269"/>
      <c r="BT44" s="269"/>
      <c r="BU44" s="269"/>
      <c r="BV44" s="269"/>
      <c r="BW44" s="268"/>
      <c r="BX44" s="269"/>
      <c r="BY44" s="268"/>
      <c r="BZ44" s="268"/>
      <c r="CA44" s="268"/>
      <c r="CB44" s="269"/>
      <c r="CC44" s="268"/>
      <c r="CD44" s="268"/>
      <c r="CE44" s="269"/>
      <c r="CF44" s="269"/>
      <c r="CG44" s="269"/>
      <c r="CH44" s="269"/>
      <c r="CI44" s="269"/>
      <c r="CJ44" s="269"/>
      <c r="CK44" s="269"/>
      <c r="CL44" s="266"/>
    </row>
    <row r="45" spans="1:90" s="270" customFormat="1" ht="14.25" customHeight="1">
      <c r="A45" s="95"/>
      <c r="B45" s="263"/>
      <c r="C45" s="263"/>
      <c r="D45" s="263"/>
      <c r="E45" s="263"/>
      <c r="F45" s="263"/>
      <c r="G45" s="263"/>
      <c r="H45" s="95"/>
      <c r="I45" s="95"/>
      <c r="J45" s="263"/>
      <c r="K45" s="263"/>
      <c r="L45" s="263"/>
      <c r="M45" s="263"/>
      <c r="N45" s="263"/>
      <c r="O45" s="263"/>
      <c r="P45" s="95"/>
      <c r="Q45" s="95"/>
      <c r="R45" s="95"/>
      <c r="S45" s="95"/>
      <c r="T45" s="95"/>
      <c r="U45" s="95"/>
      <c r="V45" s="95"/>
      <c r="W45" s="95"/>
      <c r="X45" s="95"/>
      <c r="Y45" s="95"/>
      <c r="Z45" s="95"/>
      <c r="AA45" s="95"/>
      <c r="AB45" s="95"/>
      <c r="AC45" s="95"/>
      <c r="AD45" s="95"/>
      <c r="AE45" s="95"/>
      <c r="AF45" s="95"/>
      <c r="AG45" s="95"/>
      <c r="AH45" s="95"/>
      <c r="AI45" s="95"/>
      <c r="AJ45" s="95"/>
      <c r="AK45" s="95"/>
      <c r="AL45" s="95"/>
      <c r="AM45" s="95"/>
      <c r="AN45" s="264"/>
      <c r="AO45" s="95"/>
      <c r="AP45" s="95"/>
      <c r="AQ45" s="95"/>
      <c r="AR45" s="95"/>
      <c r="AS45" s="95"/>
      <c r="AT45" s="95"/>
      <c r="AU45" s="95"/>
      <c r="AV45" s="95"/>
      <c r="AW45" s="95"/>
      <c r="AX45" s="95"/>
      <c r="AY45" s="95"/>
      <c r="AZ45" s="95"/>
      <c r="BA45" s="95"/>
      <c r="BB45" s="95"/>
      <c r="BC45" s="214"/>
      <c r="BD45" s="95"/>
      <c r="BE45" s="95"/>
      <c r="BF45" s="95"/>
      <c r="BG45" s="95"/>
      <c r="BH45" s="95"/>
      <c r="BI45" s="95"/>
      <c r="BJ45" s="95"/>
      <c r="BK45" s="265"/>
      <c r="BL45" s="265"/>
      <c r="BM45" s="265"/>
      <c r="BN45" s="266"/>
      <c r="BO45" s="267"/>
      <c r="BP45" s="268"/>
      <c r="BQ45" s="269"/>
      <c r="BR45" s="269"/>
      <c r="BS45" s="269"/>
      <c r="BT45" s="269"/>
      <c r="BU45" s="269"/>
      <c r="BV45" s="269"/>
      <c r="BW45" s="268"/>
      <c r="BX45" s="269"/>
      <c r="BY45" s="268"/>
      <c r="BZ45" s="268"/>
      <c r="CA45" s="268"/>
      <c r="CB45" s="269"/>
      <c r="CC45" s="268"/>
      <c r="CD45" s="268"/>
      <c r="CE45" s="269"/>
      <c r="CF45" s="269"/>
      <c r="CG45" s="269"/>
      <c r="CH45" s="269"/>
      <c r="CI45" s="269"/>
      <c r="CJ45" s="269"/>
      <c r="CK45" s="269"/>
      <c r="CL45" s="266"/>
    </row>
    <row r="46" spans="1:90" s="270" customFormat="1" ht="18.75" customHeight="1">
      <c r="A46" s="95"/>
      <c r="B46" s="263"/>
      <c r="C46" s="263"/>
      <c r="D46" s="263"/>
      <c r="E46" s="263"/>
      <c r="F46" s="263"/>
      <c r="G46" s="263"/>
      <c r="H46" s="95"/>
      <c r="I46" s="95"/>
      <c r="J46" s="263"/>
      <c r="K46" s="263"/>
      <c r="L46" s="263"/>
      <c r="M46" s="263"/>
      <c r="N46" s="263"/>
      <c r="O46" s="263"/>
      <c r="P46" s="95"/>
      <c r="Q46" s="95"/>
      <c r="R46" s="95"/>
      <c r="S46" s="95"/>
      <c r="T46" s="95"/>
      <c r="U46" s="95"/>
      <c r="V46" s="95"/>
      <c r="W46" s="95"/>
      <c r="X46" s="95"/>
      <c r="Y46" s="95"/>
      <c r="Z46" s="95"/>
      <c r="AA46" s="95"/>
      <c r="AB46" s="95"/>
      <c r="AC46" s="95"/>
      <c r="AD46" s="95"/>
      <c r="AE46" s="95"/>
      <c r="AF46" s="95"/>
      <c r="AG46" s="95"/>
      <c r="AH46" s="95"/>
      <c r="AI46" s="95"/>
      <c r="AJ46" s="95"/>
      <c r="AK46" s="275"/>
      <c r="AL46" s="95"/>
      <c r="AM46" s="95"/>
      <c r="AN46" s="264"/>
      <c r="AO46" s="95"/>
      <c r="AP46" s="95"/>
      <c r="AQ46" s="95"/>
      <c r="AR46" s="95"/>
      <c r="AS46" s="95"/>
      <c r="AT46" s="95"/>
      <c r="AU46" s="95"/>
      <c r="AV46" s="95"/>
      <c r="AW46" s="95"/>
      <c r="AX46" s="95"/>
      <c r="AY46" s="95"/>
      <c r="AZ46" s="95"/>
      <c r="BA46" s="95"/>
      <c r="BB46" s="95"/>
      <c r="BC46" s="214"/>
      <c r="BD46" s="95"/>
      <c r="BE46" s="95"/>
      <c r="BF46" s="95"/>
      <c r="BG46" s="95"/>
      <c r="BH46" s="95"/>
      <c r="BI46" s="95"/>
      <c r="BJ46" s="95"/>
      <c r="BK46" s="265"/>
      <c r="BL46" s="265"/>
      <c r="BM46" s="265"/>
      <c r="BN46" s="266"/>
      <c r="BO46" s="267"/>
      <c r="BP46" s="268"/>
      <c r="BQ46" s="269"/>
      <c r="BR46" s="269"/>
      <c r="BS46" s="269"/>
      <c r="BT46" s="269"/>
      <c r="BU46" s="269"/>
      <c r="BV46" s="269"/>
      <c r="BW46" s="268"/>
      <c r="BX46" s="269"/>
      <c r="BY46" s="268"/>
      <c r="BZ46" s="268"/>
      <c r="CA46" s="268"/>
      <c r="CB46" s="269"/>
      <c r="CC46" s="268"/>
      <c r="CD46" s="268"/>
      <c r="CE46" s="269"/>
      <c r="CF46" s="269"/>
      <c r="CG46" s="269"/>
      <c r="CH46" s="269"/>
      <c r="CI46" s="269"/>
      <c r="CJ46" s="269"/>
      <c r="CK46" s="269"/>
      <c r="CL46" s="266"/>
    </row>
    <row r="47" spans="1:90" s="270" customFormat="1" ht="15.75" customHeight="1">
      <c r="A47" s="95"/>
      <c r="B47" s="263"/>
      <c r="C47" s="263"/>
      <c r="D47" s="263"/>
      <c r="E47" s="263"/>
      <c r="F47" s="263"/>
      <c r="G47" s="263"/>
      <c r="H47" s="95"/>
      <c r="I47" s="95"/>
      <c r="J47" s="263"/>
      <c r="K47" s="263"/>
      <c r="L47" s="263"/>
      <c r="M47" s="263"/>
      <c r="N47" s="263"/>
      <c r="O47" s="263"/>
      <c r="P47" s="95"/>
      <c r="Q47" s="95"/>
      <c r="R47" s="95"/>
      <c r="S47" s="95"/>
      <c r="T47" s="95"/>
      <c r="U47" s="95"/>
      <c r="V47" s="95"/>
      <c r="W47" s="95"/>
      <c r="X47" s="95"/>
      <c r="Y47" s="95"/>
      <c r="Z47" s="95"/>
      <c r="AA47" s="95"/>
      <c r="AB47" s="95"/>
      <c r="AC47" s="95"/>
      <c r="AD47" s="95"/>
      <c r="AE47" s="95"/>
      <c r="AF47" s="95"/>
      <c r="AG47" s="95"/>
      <c r="AH47" s="95"/>
      <c r="AI47" s="95"/>
      <c r="AJ47" s="95"/>
      <c r="AK47" s="275"/>
      <c r="AL47" s="95"/>
      <c r="AM47" s="95"/>
      <c r="AN47" s="264"/>
      <c r="AO47" s="95"/>
      <c r="AP47" s="95"/>
      <c r="AQ47" s="95"/>
      <c r="AR47" s="95"/>
      <c r="AS47" s="95"/>
      <c r="AT47" s="95"/>
      <c r="AU47" s="95"/>
      <c r="AV47" s="95"/>
      <c r="AW47" s="95"/>
      <c r="AX47" s="95"/>
      <c r="AY47" s="95"/>
      <c r="AZ47" s="95"/>
      <c r="BA47" s="95"/>
      <c r="BB47" s="95"/>
      <c r="BC47" s="214"/>
      <c r="BD47" s="95"/>
      <c r="BE47" s="95"/>
      <c r="BF47" s="95"/>
      <c r="BG47" s="95"/>
      <c r="BH47" s="95"/>
      <c r="BI47" s="95"/>
      <c r="BJ47" s="95"/>
      <c r="BK47" s="265"/>
      <c r="BL47" s="265"/>
      <c r="BM47" s="265"/>
      <c r="BN47" s="266"/>
      <c r="BO47" s="267"/>
      <c r="BP47" s="268"/>
      <c r="BQ47" s="269"/>
      <c r="BR47" s="269"/>
      <c r="BS47" s="269"/>
      <c r="BT47" s="269"/>
      <c r="BU47" s="269"/>
      <c r="BV47" s="269"/>
      <c r="BW47" s="268"/>
      <c r="BX47" s="269"/>
      <c r="BY47" s="268"/>
      <c r="BZ47" s="268"/>
      <c r="CA47" s="268"/>
      <c r="CB47" s="269"/>
      <c r="CC47" s="268"/>
      <c r="CD47" s="268"/>
      <c r="CE47" s="269"/>
      <c r="CF47" s="269"/>
      <c r="CG47" s="269"/>
      <c r="CH47" s="269"/>
      <c r="CI47" s="269"/>
      <c r="CJ47" s="269"/>
      <c r="CK47" s="269"/>
      <c r="CL47" s="266"/>
    </row>
    <row r="48" spans="1:90" s="270" customFormat="1" ht="18.75" customHeight="1">
      <c r="A48" s="95"/>
      <c r="B48" s="263"/>
      <c r="C48" s="263"/>
      <c r="D48" s="263"/>
      <c r="E48" s="263"/>
      <c r="F48" s="263"/>
      <c r="G48" s="263"/>
      <c r="H48" s="95"/>
      <c r="I48" s="95"/>
      <c r="J48" s="263"/>
      <c r="K48" s="263"/>
      <c r="L48" s="263"/>
      <c r="M48" s="263"/>
      <c r="N48" s="263"/>
      <c r="O48" s="263"/>
      <c r="P48" s="95"/>
      <c r="Q48" s="95"/>
      <c r="R48" s="95"/>
      <c r="S48" s="95"/>
      <c r="T48" s="95"/>
      <c r="U48" s="95"/>
      <c r="V48" s="95"/>
      <c r="W48" s="95"/>
      <c r="X48" s="95"/>
      <c r="Y48" s="95"/>
      <c r="Z48" s="95"/>
      <c r="AA48" s="95"/>
      <c r="AB48" s="95"/>
      <c r="AC48" s="95"/>
      <c r="AD48" s="95"/>
      <c r="AE48" s="95"/>
      <c r="AF48" s="95"/>
      <c r="AG48" s="95"/>
      <c r="AH48" s="95"/>
      <c r="AI48" s="95"/>
      <c r="AJ48" s="95"/>
      <c r="AK48" s="275"/>
      <c r="AL48" s="95"/>
      <c r="AM48" s="95"/>
      <c r="AN48" s="264"/>
      <c r="AO48" s="95"/>
      <c r="AP48" s="95"/>
      <c r="AQ48" s="95"/>
      <c r="AR48" s="95"/>
      <c r="AS48" s="95"/>
      <c r="AT48" s="95"/>
      <c r="AU48" s="95"/>
      <c r="AV48" s="95"/>
      <c r="AW48" s="95"/>
      <c r="AX48" s="95"/>
      <c r="AY48" s="95"/>
      <c r="AZ48" s="95"/>
      <c r="BA48" s="95"/>
      <c r="BB48" s="95"/>
      <c r="BC48" s="214"/>
      <c r="BD48" s="95"/>
      <c r="BE48" s="95"/>
      <c r="BF48" s="95"/>
      <c r="BG48" s="95"/>
      <c r="BH48" s="95"/>
      <c r="BI48" s="95"/>
      <c r="BJ48" s="95"/>
      <c r="BK48" s="265"/>
      <c r="BL48" s="265"/>
      <c r="BM48" s="265"/>
      <c r="BN48" s="266"/>
      <c r="BO48" s="267"/>
      <c r="BP48" s="268"/>
      <c r="BQ48" s="269"/>
      <c r="BR48" s="269"/>
      <c r="BS48" s="269"/>
      <c r="BT48" s="269"/>
      <c r="BU48" s="269"/>
      <c r="BV48" s="269"/>
      <c r="BW48" s="268"/>
      <c r="BX48" s="269"/>
      <c r="BY48" s="268"/>
      <c r="BZ48" s="268"/>
      <c r="CA48" s="268"/>
      <c r="CB48" s="269"/>
      <c r="CC48" s="268"/>
      <c r="CD48" s="268"/>
      <c r="CE48" s="269"/>
      <c r="CF48" s="269"/>
      <c r="CG48" s="269"/>
      <c r="CH48" s="269"/>
      <c r="CI48" s="269"/>
      <c r="CJ48" s="269"/>
      <c r="CK48" s="269"/>
      <c r="CL48" s="266"/>
    </row>
    <row r="49" spans="1:90" s="270" customFormat="1" ht="23.25" customHeight="1">
      <c r="A49" s="95"/>
      <c r="B49" s="263"/>
      <c r="C49" s="263"/>
      <c r="D49" s="263"/>
      <c r="E49" s="263"/>
      <c r="F49" s="263"/>
      <c r="G49" s="263"/>
      <c r="H49" s="95"/>
      <c r="I49" s="95"/>
      <c r="J49" s="263"/>
      <c r="K49" s="263"/>
      <c r="L49" s="263"/>
      <c r="M49" s="263"/>
      <c r="N49" s="263"/>
      <c r="O49" s="263"/>
      <c r="P49" s="95"/>
      <c r="Q49" s="95"/>
      <c r="R49" s="95"/>
      <c r="S49" s="95"/>
      <c r="T49" s="95"/>
      <c r="U49" s="95"/>
      <c r="V49" s="95"/>
      <c r="W49" s="95"/>
      <c r="X49" s="95"/>
      <c r="Y49" s="95"/>
      <c r="Z49" s="95"/>
      <c r="AA49" s="95"/>
      <c r="AB49" s="95"/>
      <c r="AC49" s="95"/>
      <c r="AD49" s="95"/>
      <c r="AE49" s="95"/>
      <c r="AF49" s="95"/>
      <c r="AG49" s="95"/>
      <c r="AH49" s="95"/>
      <c r="AI49" s="95"/>
      <c r="AJ49" s="95"/>
      <c r="AK49" s="95"/>
      <c r="AL49" s="95"/>
      <c r="AM49" s="95"/>
      <c r="AN49" s="264"/>
      <c r="AO49" s="95"/>
      <c r="AP49" s="95"/>
      <c r="AQ49" s="95"/>
      <c r="AR49" s="95"/>
      <c r="AS49" s="95"/>
      <c r="AT49" s="95"/>
      <c r="AU49" s="95"/>
      <c r="AV49" s="95"/>
      <c r="AW49" s="95"/>
      <c r="AX49" s="95"/>
      <c r="AY49" s="95"/>
      <c r="AZ49" s="95"/>
      <c r="BA49" s="95"/>
      <c r="BB49" s="95"/>
      <c r="BC49" s="214"/>
      <c r="BD49" s="95"/>
      <c r="BE49" s="95"/>
      <c r="BF49" s="95"/>
      <c r="BG49" s="95"/>
      <c r="BH49" s="95"/>
      <c r="BI49" s="95"/>
      <c r="BJ49" s="95"/>
      <c r="BK49" s="265"/>
      <c r="BL49" s="265"/>
      <c r="BM49" s="265"/>
      <c r="BN49" s="266"/>
      <c r="BO49" s="267"/>
      <c r="BP49" s="268"/>
      <c r="BQ49" s="269"/>
      <c r="BR49" s="269"/>
      <c r="BS49" s="269"/>
      <c r="BT49" s="269"/>
      <c r="BU49" s="269"/>
      <c r="BV49" s="269"/>
      <c r="BW49" s="268"/>
      <c r="BX49" s="269"/>
      <c r="BY49" s="268"/>
      <c r="BZ49" s="268"/>
      <c r="CA49" s="268"/>
      <c r="CB49" s="269"/>
      <c r="CC49" s="268"/>
      <c r="CD49" s="268"/>
      <c r="CE49" s="269"/>
      <c r="CF49" s="269"/>
      <c r="CG49" s="269"/>
      <c r="CH49" s="269"/>
      <c r="CI49" s="269"/>
      <c r="CJ49" s="269"/>
      <c r="CK49" s="269"/>
      <c r="CL49" s="266"/>
    </row>
    <row r="50" spans="1:90" s="270" customFormat="1" ht="21.75" customHeight="1">
      <c r="A50" s="95"/>
      <c r="B50" s="263"/>
      <c r="C50" s="263"/>
      <c r="D50" s="263"/>
      <c r="E50" s="263"/>
      <c r="F50" s="263"/>
      <c r="G50" s="263"/>
      <c r="H50" s="95"/>
      <c r="I50" s="95"/>
      <c r="J50" s="263"/>
      <c r="K50" s="263"/>
      <c r="L50" s="263"/>
      <c r="M50" s="263"/>
      <c r="N50" s="263"/>
      <c r="O50" s="263"/>
      <c r="P50" s="95"/>
      <c r="Q50" s="95"/>
      <c r="R50" s="95"/>
      <c r="S50" s="95"/>
      <c r="T50" s="95"/>
      <c r="U50" s="95"/>
      <c r="V50" s="95"/>
      <c r="W50" s="95"/>
      <c r="X50" s="95"/>
      <c r="Y50" s="95"/>
      <c r="Z50" s="95"/>
      <c r="AA50" s="95"/>
      <c r="AB50" s="95"/>
      <c r="AC50" s="95"/>
      <c r="AD50" s="95"/>
      <c r="AE50" s="95"/>
      <c r="AF50" s="95"/>
      <c r="AG50" s="95"/>
      <c r="AH50" s="95"/>
      <c r="AI50" s="95"/>
      <c r="AJ50" s="95"/>
      <c r="AK50" s="275"/>
      <c r="AL50" s="95"/>
      <c r="AM50" s="95"/>
      <c r="AN50" s="264"/>
      <c r="AO50" s="95"/>
      <c r="AP50" s="95"/>
      <c r="AQ50" s="95"/>
      <c r="AR50" s="95"/>
      <c r="AS50" s="95"/>
      <c r="AT50" s="95"/>
      <c r="AU50" s="95"/>
      <c r="AV50" s="95"/>
      <c r="AW50" s="95"/>
      <c r="AX50" s="95"/>
      <c r="AY50" s="95"/>
      <c r="AZ50" s="95"/>
      <c r="BA50" s="95"/>
      <c r="BB50" s="95"/>
      <c r="BC50" s="214"/>
      <c r="BD50" s="95"/>
      <c r="BE50" s="95"/>
      <c r="BF50" s="95"/>
      <c r="BG50" s="95"/>
      <c r="BH50" s="95"/>
      <c r="BI50" s="95"/>
      <c r="BJ50" s="95"/>
      <c r="BK50" s="265"/>
      <c r="BL50" s="265"/>
      <c r="BM50" s="265"/>
      <c r="BN50" s="266"/>
      <c r="BO50" s="267"/>
      <c r="BP50" s="268"/>
      <c r="BQ50" s="269"/>
      <c r="BR50" s="269"/>
      <c r="BS50" s="269"/>
      <c r="BT50" s="269"/>
      <c r="BU50" s="269"/>
      <c r="BV50" s="269"/>
      <c r="BW50" s="268"/>
      <c r="BX50" s="269"/>
      <c r="BY50" s="268"/>
      <c r="BZ50" s="268"/>
      <c r="CA50" s="268"/>
      <c r="CB50" s="269"/>
      <c r="CC50" s="268"/>
      <c r="CD50" s="268"/>
      <c r="CE50" s="269"/>
      <c r="CF50" s="269"/>
      <c r="CG50" s="269"/>
      <c r="CH50" s="269"/>
      <c r="CI50" s="269"/>
      <c r="CJ50" s="269"/>
      <c r="CK50" s="269"/>
      <c r="CL50" s="266"/>
    </row>
    <row r="51" spans="1:90" s="270" customFormat="1">
      <c r="A51" s="95"/>
      <c r="B51" s="263"/>
      <c r="C51" s="263"/>
      <c r="D51" s="263"/>
      <c r="E51" s="263"/>
      <c r="F51" s="263"/>
      <c r="G51" s="263"/>
      <c r="H51" s="95"/>
      <c r="I51" s="95"/>
      <c r="J51" s="263"/>
      <c r="K51" s="263"/>
      <c r="L51" s="263"/>
      <c r="M51" s="263"/>
      <c r="N51" s="263"/>
      <c r="O51" s="263"/>
      <c r="P51" s="95"/>
      <c r="Q51" s="95"/>
      <c r="R51" s="95"/>
      <c r="S51" s="95"/>
      <c r="T51" s="95"/>
      <c r="U51" s="95"/>
      <c r="V51" s="95"/>
      <c r="W51" s="95"/>
      <c r="X51" s="95"/>
      <c r="Y51" s="95"/>
      <c r="Z51" s="95"/>
      <c r="AA51" s="95"/>
      <c r="AB51" s="95"/>
      <c r="AC51" s="95"/>
      <c r="AD51" s="95"/>
      <c r="AE51" s="95"/>
      <c r="AF51" s="95"/>
      <c r="AG51" s="95"/>
      <c r="AH51" s="95"/>
      <c r="AI51" s="95"/>
      <c r="AJ51" s="95"/>
      <c r="AK51" s="275"/>
      <c r="AL51" s="95"/>
      <c r="AM51" s="95"/>
      <c r="AN51" s="264"/>
      <c r="AO51" s="95"/>
      <c r="AP51" s="95"/>
      <c r="AQ51" s="95"/>
      <c r="AR51" s="95"/>
      <c r="AS51" s="95"/>
      <c r="AT51" s="95"/>
      <c r="AU51" s="95"/>
      <c r="AV51" s="95"/>
      <c r="AW51" s="95"/>
      <c r="AX51" s="95"/>
      <c r="AY51" s="95"/>
      <c r="AZ51" s="95"/>
      <c r="BA51" s="95"/>
      <c r="BB51" s="95"/>
      <c r="BC51" s="214"/>
      <c r="BD51" s="95"/>
      <c r="BE51" s="95"/>
      <c r="BF51" s="95"/>
      <c r="BG51" s="95"/>
      <c r="BH51" s="95"/>
      <c r="BI51" s="95"/>
      <c r="BJ51" s="95"/>
      <c r="BK51" s="265"/>
      <c r="BL51" s="265"/>
      <c r="BM51" s="265"/>
      <c r="BN51" s="266"/>
      <c r="BO51" s="267"/>
      <c r="BP51" s="268"/>
      <c r="BQ51" s="269"/>
      <c r="BR51" s="269"/>
      <c r="BS51" s="269"/>
      <c r="BT51" s="269"/>
      <c r="BU51" s="269"/>
      <c r="BV51" s="269"/>
      <c r="BW51" s="268"/>
      <c r="BX51" s="269"/>
      <c r="BY51" s="268"/>
      <c r="BZ51" s="268"/>
      <c r="CA51" s="268"/>
      <c r="CB51" s="269"/>
      <c r="CC51" s="268"/>
      <c r="CD51" s="268"/>
      <c r="CE51" s="269"/>
      <c r="CF51" s="269"/>
      <c r="CG51" s="269"/>
      <c r="CH51" s="269"/>
      <c r="CI51" s="269"/>
      <c r="CJ51" s="269"/>
      <c r="CK51" s="269"/>
      <c r="CL51" s="266"/>
    </row>
    <row r="52" spans="1:90" s="270" customFormat="1">
      <c r="A52" s="95"/>
      <c r="B52" s="263"/>
      <c r="C52" s="263"/>
      <c r="D52" s="263"/>
      <c r="E52" s="263"/>
      <c r="F52" s="263"/>
      <c r="G52" s="263"/>
      <c r="H52" s="95"/>
      <c r="I52" s="95"/>
      <c r="J52" s="263"/>
      <c r="K52" s="263"/>
      <c r="L52" s="263"/>
      <c r="M52" s="263"/>
      <c r="N52" s="263"/>
      <c r="O52" s="263"/>
      <c r="P52" s="95"/>
      <c r="Q52" s="95"/>
      <c r="R52" s="95"/>
      <c r="S52" s="95"/>
      <c r="T52" s="95"/>
      <c r="U52" s="95"/>
      <c r="V52" s="95"/>
      <c r="W52" s="95"/>
      <c r="X52" s="95"/>
      <c r="Y52" s="95"/>
      <c r="Z52" s="95"/>
      <c r="AA52" s="95"/>
      <c r="AB52" s="95"/>
      <c r="AC52" s="95"/>
      <c r="AD52" s="95"/>
      <c r="AE52" s="95"/>
      <c r="AF52" s="95"/>
      <c r="AG52" s="95"/>
      <c r="AH52" s="95"/>
      <c r="AI52" s="95"/>
      <c r="AJ52" s="95"/>
      <c r="AK52" s="275"/>
      <c r="AL52" s="95"/>
      <c r="AM52" s="95"/>
      <c r="AN52" s="264"/>
      <c r="AO52" s="95"/>
      <c r="AP52" s="95"/>
      <c r="AQ52" s="95"/>
      <c r="AR52" s="95"/>
      <c r="AS52" s="95"/>
      <c r="AT52" s="95"/>
      <c r="AU52" s="95"/>
      <c r="AV52" s="95"/>
      <c r="AW52" s="95"/>
      <c r="AX52" s="95"/>
      <c r="AY52" s="95"/>
      <c r="AZ52" s="95"/>
      <c r="BA52" s="95"/>
      <c r="BB52" s="95"/>
      <c r="BC52" s="214"/>
      <c r="BD52" s="95"/>
      <c r="BE52" s="95"/>
      <c r="BF52" s="95"/>
      <c r="BG52" s="95"/>
      <c r="BH52" s="95"/>
      <c r="BI52" s="95"/>
      <c r="BJ52" s="95"/>
      <c r="BK52" s="265"/>
      <c r="BL52" s="265"/>
      <c r="BM52" s="265"/>
      <c r="BN52" s="266"/>
      <c r="BO52" s="267"/>
      <c r="BP52" s="268"/>
      <c r="BQ52" s="269"/>
      <c r="BR52" s="269"/>
      <c r="BS52" s="269"/>
      <c r="BT52" s="269"/>
      <c r="BU52" s="269"/>
      <c r="BV52" s="269"/>
      <c r="BW52" s="268"/>
      <c r="BX52" s="269"/>
      <c r="BY52" s="268"/>
      <c r="BZ52" s="268"/>
      <c r="CA52" s="268"/>
      <c r="CB52" s="269"/>
      <c r="CC52" s="268"/>
      <c r="CD52" s="268"/>
      <c r="CE52" s="269"/>
      <c r="CF52" s="269"/>
      <c r="CG52" s="269"/>
      <c r="CH52" s="269"/>
      <c r="CI52" s="269"/>
      <c r="CJ52" s="269"/>
      <c r="CK52" s="269"/>
      <c r="CL52" s="266"/>
    </row>
    <row r="53" spans="1:90" s="270" customFormat="1">
      <c r="A53" s="95"/>
      <c r="B53" s="263"/>
      <c r="C53" s="263"/>
      <c r="D53" s="263"/>
      <c r="E53" s="263"/>
      <c r="F53" s="263"/>
      <c r="G53" s="263"/>
      <c r="H53" s="95"/>
      <c r="I53" s="95"/>
      <c r="J53" s="263"/>
      <c r="K53" s="263"/>
      <c r="L53" s="263"/>
      <c r="M53" s="263"/>
      <c r="N53" s="263"/>
      <c r="O53" s="263"/>
      <c r="P53" s="95"/>
      <c r="Q53" s="95"/>
      <c r="R53" s="95"/>
      <c r="S53" s="95"/>
      <c r="T53" s="95"/>
      <c r="U53" s="95"/>
      <c r="V53" s="95"/>
      <c r="W53" s="95"/>
      <c r="X53" s="95"/>
      <c r="Y53" s="95"/>
      <c r="Z53" s="95"/>
      <c r="AA53" s="95"/>
      <c r="AB53" s="95"/>
      <c r="AC53" s="95"/>
      <c r="AD53" s="95"/>
      <c r="AE53" s="95"/>
      <c r="AF53" s="95"/>
      <c r="AG53" s="95"/>
      <c r="AH53" s="95"/>
      <c r="AI53" s="95"/>
      <c r="AJ53" s="95"/>
      <c r="AK53" s="275"/>
      <c r="AL53" s="95"/>
      <c r="AM53" s="95"/>
      <c r="AN53" s="264"/>
      <c r="AO53" s="95"/>
      <c r="AP53" s="95"/>
      <c r="AQ53" s="95"/>
      <c r="AR53" s="95"/>
      <c r="AS53" s="95"/>
      <c r="AT53" s="95"/>
      <c r="AU53" s="95"/>
      <c r="AV53" s="95"/>
      <c r="AW53" s="95"/>
      <c r="AX53" s="95"/>
      <c r="AY53" s="95"/>
      <c r="AZ53" s="95"/>
      <c r="BA53" s="95"/>
      <c r="BB53" s="95"/>
      <c r="BC53" s="214"/>
      <c r="BD53" s="95"/>
      <c r="BE53" s="95"/>
      <c r="BF53" s="95"/>
      <c r="BG53" s="95"/>
      <c r="BH53" s="95"/>
      <c r="BI53" s="95"/>
      <c r="BJ53" s="95"/>
      <c r="BK53" s="265"/>
      <c r="BL53" s="265"/>
      <c r="BM53" s="265"/>
      <c r="BN53" s="266"/>
      <c r="BO53" s="267"/>
      <c r="BP53" s="268"/>
      <c r="BQ53" s="269"/>
      <c r="BR53" s="269"/>
      <c r="BS53" s="269"/>
      <c r="BT53" s="269"/>
      <c r="BU53" s="269"/>
      <c r="BV53" s="269"/>
      <c r="BW53" s="268"/>
      <c r="BX53" s="269"/>
      <c r="BY53" s="268"/>
      <c r="BZ53" s="268"/>
      <c r="CA53" s="268"/>
      <c r="CB53" s="269"/>
      <c r="CC53" s="268"/>
      <c r="CD53" s="268"/>
      <c r="CE53" s="269"/>
      <c r="CF53" s="269"/>
      <c r="CG53" s="269"/>
      <c r="CH53" s="269"/>
      <c r="CI53" s="269"/>
      <c r="CJ53" s="269"/>
      <c r="CK53" s="269"/>
      <c r="CL53" s="266"/>
    </row>
    <row r="54" spans="1:90" s="270" customFormat="1">
      <c r="A54" s="95"/>
      <c r="B54" s="263"/>
      <c r="C54" s="263"/>
      <c r="D54" s="263"/>
      <c r="E54" s="263"/>
      <c r="F54" s="263"/>
      <c r="G54" s="263"/>
      <c r="H54" s="95"/>
      <c r="I54" s="95"/>
      <c r="J54" s="263"/>
      <c r="K54" s="263"/>
      <c r="L54" s="263"/>
      <c r="M54" s="263"/>
      <c r="N54" s="263"/>
      <c r="O54" s="263"/>
      <c r="P54" s="95"/>
      <c r="Q54" s="95"/>
      <c r="R54" s="95"/>
      <c r="S54" s="95"/>
      <c r="T54" s="95"/>
      <c r="U54" s="95"/>
      <c r="V54" s="95"/>
      <c r="W54" s="95"/>
      <c r="X54" s="95"/>
      <c r="Y54" s="95"/>
      <c r="Z54" s="95"/>
      <c r="AA54" s="95"/>
      <c r="AB54" s="95"/>
      <c r="AC54" s="95"/>
      <c r="AD54" s="95"/>
      <c r="AE54" s="95"/>
      <c r="AF54" s="95"/>
      <c r="AG54" s="95"/>
      <c r="AH54" s="95"/>
      <c r="AI54" s="95"/>
      <c r="AJ54" s="95"/>
      <c r="AK54" s="275"/>
      <c r="AL54" s="95"/>
      <c r="AM54" s="95"/>
      <c r="AN54" s="264"/>
      <c r="AO54" s="95"/>
      <c r="AP54" s="95"/>
      <c r="AQ54" s="95"/>
      <c r="AR54" s="95"/>
      <c r="AS54" s="95"/>
      <c r="AT54" s="95"/>
      <c r="AU54" s="95"/>
      <c r="AV54" s="95"/>
      <c r="AW54" s="95"/>
      <c r="AX54" s="95"/>
      <c r="AY54" s="95"/>
      <c r="AZ54" s="95"/>
      <c r="BA54" s="95"/>
      <c r="BB54" s="95"/>
      <c r="BC54" s="214"/>
      <c r="BD54" s="95"/>
      <c r="BE54" s="95"/>
      <c r="BF54" s="95"/>
      <c r="BG54" s="95"/>
      <c r="BH54" s="95"/>
      <c r="BI54" s="95"/>
      <c r="BJ54" s="95"/>
      <c r="BK54" s="265"/>
      <c r="BL54" s="265"/>
      <c r="BM54" s="265"/>
      <c r="BN54" s="266"/>
      <c r="BO54" s="267"/>
      <c r="BP54" s="268"/>
      <c r="BQ54" s="269"/>
      <c r="BR54" s="269"/>
      <c r="BS54" s="269"/>
      <c r="BT54" s="269"/>
      <c r="BU54" s="269"/>
      <c r="BV54" s="269"/>
      <c r="BW54" s="268"/>
      <c r="BX54" s="269"/>
      <c r="BY54" s="268"/>
      <c r="BZ54" s="268"/>
      <c r="CA54" s="268"/>
      <c r="CB54" s="269"/>
      <c r="CC54" s="268"/>
      <c r="CD54" s="268"/>
      <c r="CE54" s="269"/>
      <c r="CF54" s="269"/>
      <c r="CG54" s="269"/>
      <c r="CH54" s="269"/>
      <c r="CI54" s="269"/>
      <c r="CJ54" s="269"/>
      <c r="CK54" s="269"/>
      <c r="CL54" s="266"/>
    </row>
    <row r="55" spans="1:90" s="270" customFormat="1">
      <c r="A55" s="95"/>
      <c r="B55" s="263"/>
      <c r="C55" s="263"/>
      <c r="D55" s="263"/>
      <c r="E55" s="263"/>
      <c r="F55" s="263"/>
      <c r="G55" s="263"/>
      <c r="H55" s="95"/>
      <c r="I55" s="95"/>
      <c r="J55" s="263"/>
      <c r="K55" s="263"/>
      <c r="L55" s="263"/>
      <c r="M55" s="263"/>
      <c r="N55" s="263"/>
      <c r="O55" s="263"/>
      <c r="P55" s="95"/>
      <c r="Q55" s="95"/>
      <c r="R55" s="95"/>
      <c r="S55" s="95"/>
      <c r="T55" s="95"/>
      <c r="U55" s="95"/>
      <c r="V55" s="95"/>
      <c r="W55" s="95"/>
      <c r="X55" s="95"/>
      <c r="Y55" s="95"/>
      <c r="Z55" s="95"/>
      <c r="AA55" s="95"/>
      <c r="AB55" s="95"/>
      <c r="AC55" s="95"/>
      <c r="AD55" s="95"/>
      <c r="AE55" s="95"/>
      <c r="AF55" s="95"/>
      <c r="AG55" s="95"/>
      <c r="AH55" s="95"/>
      <c r="AI55" s="95"/>
      <c r="AJ55" s="95"/>
      <c r="AK55" s="95"/>
      <c r="AL55" s="95"/>
      <c r="AM55" s="95"/>
      <c r="AN55" s="264"/>
      <c r="AO55" s="95"/>
      <c r="AP55" s="95"/>
      <c r="AQ55" s="95"/>
      <c r="AR55" s="95"/>
      <c r="AS55" s="95"/>
      <c r="AT55" s="95"/>
      <c r="AU55" s="95"/>
      <c r="AV55" s="95"/>
      <c r="AW55" s="95"/>
      <c r="AX55" s="95"/>
      <c r="AY55" s="95"/>
      <c r="AZ55" s="95"/>
      <c r="BA55" s="95"/>
      <c r="BB55" s="95"/>
      <c r="BC55" s="214"/>
      <c r="BD55" s="95"/>
      <c r="BE55" s="95"/>
      <c r="BF55" s="95"/>
      <c r="BG55" s="95"/>
      <c r="BH55" s="95"/>
      <c r="BI55" s="95"/>
      <c r="BJ55" s="95"/>
      <c r="BK55" s="265"/>
      <c r="BL55" s="265"/>
      <c r="BM55" s="265"/>
      <c r="BN55" s="266"/>
      <c r="BO55" s="267"/>
      <c r="BP55" s="268"/>
      <c r="BQ55" s="269"/>
      <c r="BR55" s="269"/>
      <c r="BS55" s="269"/>
      <c r="BT55" s="269"/>
      <c r="BU55" s="269"/>
      <c r="BV55" s="269"/>
      <c r="BW55" s="268"/>
      <c r="BX55" s="269"/>
      <c r="BY55" s="268"/>
      <c r="BZ55" s="268"/>
      <c r="CA55" s="268"/>
      <c r="CB55" s="269"/>
      <c r="CC55" s="268"/>
      <c r="CD55" s="268"/>
      <c r="CE55" s="269"/>
      <c r="CF55" s="269"/>
      <c r="CG55" s="269"/>
      <c r="CH55" s="269"/>
      <c r="CI55" s="269"/>
      <c r="CJ55" s="269"/>
      <c r="CK55" s="269"/>
      <c r="CL55" s="266"/>
    </row>
    <row r="56" spans="1:90" s="270" customFormat="1">
      <c r="A56" s="95"/>
      <c r="B56" s="263"/>
      <c r="C56" s="263"/>
      <c r="D56" s="263"/>
      <c r="E56" s="263"/>
      <c r="F56" s="263"/>
      <c r="G56" s="263"/>
      <c r="H56" s="95"/>
      <c r="I56" s="95"/>
      <c r="J56" s="263"/>
      <c r="K56" s="263"/>
      <c r="L56" s="263"/>
      <c r="M56" s="263"/>
      <c r="N56" s="263"/>
      <c r="O56" s="263"/>
      <c r="P56" s="95"/>
      <c r="Q56" s="95"/>
      <c r="R56" s="95"/>
      <c r="S56" s="95"/>
      <c r="T56" s="95"/>
      <c r="U56" s="95"/>
      <c r="V56" s="95"/>
      <c r="W56" s="95"/>
      <c r="X56" s="95"/>
      <c r="Y56" s="95"/>
      <c r="Z56" s="95"/>
      <c r="AA56" s="95"/>
      <c r="AB56" s="95"/>
      <c r="AC56" s="95"/>
      <c r="AD56" s="95"/>
      <c r="AE56" s="95"/>
      <c r="AF56" s="95"/>
      <c r="AG56" s="95"/>
      <c r="AH56" s="95"/>
      <c r="AI56" s="95"/>
      <c r="AJ56" s="95"/>
      <c r="AK56" s="275"/>
      <c r="AL56" s="95"/>
      <c r="AM56" s="95"/>
      <c r="AN56" s="264"/>
      <c r="AO56" s="95"/>
      <c r="AP56" s="95"/>
      <c r="AQ56" s="95"/>
      <c r="AR56" s="95"/>
      <c r="AS56" s="95"/>
      <c r="AT56" s="95"/>
      <c r="AU56" s="95"/>
      <c r="AV56" s="95"/>
      <c r="AW56" s="95"/>
      <c r="AX56" s="95"/>
      <c r="AY56" s="95"/>
      <c r="AZ56" s="95"/>
      <c r="BA56" s="95"/>
      <c r="BB56" s="95"/>
      <c r="BC56" s="214"/>
      <c r="BD56" s="95"/>
      <c r="BE56" s="95"/>
      <c r="BF56" s="95"/>
      <c r="BG56" s="95"/>
      <c r="BH56" s="95"/>
      <c r="BI56" s="95"/>
      <c r="BJ56" s="95"/>
      <c r="BK56" s="265"/>
      <c r="BL56" s="265"/>
      <c r="BM56" s="265"/>
      <c r="BN56" s="266"/>
      <c r="BO56" s="267"/>
      <c r="BP56" s="268"/>
      <c r="BQ56" s="269"/>
      <c r="BR56" s="269"/>
      <c r="BS56" s="269"/>
      <c r="BT56" s="269"/>
      <c r="BU56" s="269"/>
      <c r="BV56" s="269"/>
      <c r="BW56" s="268"/>
      <c r="BX56" s="269"/>
      <c r="BY56" s="268"/>
      <c r="BZ56" s="268"/>
      <c r="CA56" s="268"/>
      <c r="CB56" s="269"/>
      <c r="CC56" s="268"/>
      <c r="CD56" s="268"/>
      <c r="CE56" s="269"/>
      <c r="CF56" s="269"/>
      <c r="CG56" s="269"/>
      <c r="CH56" s="269"/>
      <c r="CI56" s="269"/>
      <c r="CJ56" s="269"/>
      <c r="CK56" s="269"/>
      <c r="CL56" s="266"/>
    </row>
    <row r="57" spans="1:90" s="270" customFormat="1">
      <c r="A57" s="95"/>
      <c r="B57" s="263"/>
      <c r="C57" s="263"/>
      <c r="D57" s="263"/>
      <c r="E57" s="263"/>
      <c r="F57" s="263"/>
      <c r="G57" s="263"/>
      <c r="H57" s="95"/>
      <c r="I57" s="95"/>
      <c r="J57" s="263"/>
      <c r="K57" s="263"/>
      <c r="L57" s="263"/>
      <c r="M57" s="263"/>
      <c r="N57" s="263"/>
      <c r="O57" s="263"/>
      <c r="P57" s="95"/>
      <c r="Q57" s="95"/>
      <c r="R57" s="95"/>
      <c r="S57" s="95"/>
      <c r="T57" s="95"/>
      <c r="U57" s="95"/>
      <c r="V57" s="95"/>
      <c r="W57" s="95"/>
      <c r="X57" s="95"/>
      <c r="Y57" s="95"/>
      <c r="Z57" s="95"/>
      <c r="AA57" s="95"/>
      <c r="AB57" s="95"/>
      <c r="AC57" s="95"/>
      <c r="AD57" s="95"/>
      <c r="AE57" s="95"/>
      <c r="AF57" s="95"/>
      <c r="AG57" s="95"/>
      <c r="AH57" s="95"/>
      <c r="AI57" s="95"/>
      <c r="AJ57" s="95"/>
      <c r="AK57" s="95"/>
      <c r="AL57" s="95"/>
      <c r="AM57" s="95"/>
      <c r="AN57" s="264"/>
      <c r="AO57" s="95"/>
      <c r="AP57" s="95"/>
      <c r="AQ57" s="95"/>
      <c r="AR57" s="95"/>
      <c r="AS57" s="95"/>
      <c r="AT57" s="95"/>
      <c r="AU57" s="95"/>
      <c r="AV57" s="95"/>
      <c r="AW57" s="95"/>
      <c r="AX57" s="95"/>
      <c r="AY57" s="95"/>
      <c r="AZ57" s="95"/>
      <c r="BA57" s="95"/>
      <c r="BB57" s="95"/>
      <c r="BC57" s="214"/>
      <c r="BD57" s="95"/>
      <c r="BE57" s="95"/>
      <c r="BF57" s="95"/>
      <c r="BG57" s="95"/>
      <c r="BH57" s="95"/>
      <c r="BI57" s="95"/>
      <c r="BJ57" s="95"/>
      <c r="BK57" s="265"/>
      <c r="BL57" s="265"/>
      <c r="BM57" s="265"/>
      <c r="BN57" s="266"/>
      <c r="BO57" s="267"/>
      <c r="BP57" s="268"/>
      <c r="BQ57" s="269"/>
      <c r="BR57" s="269"/>
      <c r="BS57" s="269"/>
      <c r="BT57" s="269"/>
      <c r="BU57" s="269"/>
      <c r="BV57" s="269"/>
      <c r="BW57" s="268"/>
      <c r="BX57" s="269"/>
      <c r="BY57" s="268"/>
      <c r="BZ57" s="268"/>
      <c r="CA57" s="268"/>
      <c r="CB57" s="269"/>
      <c r="CC57" s="268"/>
      <c r="CD57" s="268"/>
      <c r="CE57" s="269"/>
      <c r="CF57" s="269"/>
      <c r="CG57" s="269"/>
      <c r="CH57" s="269"/>
      <c r="CI57" s="269"/>
      <c r="CJ57" s="269"/>
      <c r="CK57" s="269"/>
      <c r="CL57" s="266"/>
    </row>
    <row r="58" spans="1:90" s="270" customFormat="1">
      <c r="A58" s="95"/>
      <c r="B58" s="263"/>
      <c r="C58" s="263"/>
      <c r="D58" s="263"/>
      <c r="E58" s="263"/>
      <c r="F58" s="263"/>
      <c r="G58" s="263"/>
      <c r="H58" s="95"/>
      <c r="I58" s="95"/>
      <c r="J58" s="263"/>
      <c r="K58" s="263"/>
      <c r="L58" s="263"/>
      <c r="M58" s="263"/>
      <c r="N58" s="263"/>
      <c r="O58" s="263"/>
      <c r="P58" s="95"/>
      <c r="Q58" s="95"/>
      <c r="R58" s="95"/>
      <c r="S58" s="95"/>
      <c r="T58" s="95"/>
      <c r="U58" s="95"/>
      <c r="V58" s="95"/>
      <c r="W58" s="95"/>
      <c r="X58" s="95"/>
      <c r="Y58" s="95"/>
      <c r="Z58" s="95"/>
      <c r="AA58" s="95"/>
      <c r="AB58" s="95"/>
      <c r="AC58" s="95"/>
      <c r="AD58" s="95"/>
      <c r="AE58" s="95"/>
      <c r="AF58" s="95"/>
      <c r="AG58" s="95"/>
      <c r="AH58" s="95"/>
      <c r="AI58" s="95"/>
      <c r="AJ58" s="95"/>
      <c r="AK58" s="95"/>
      <c r="AL58" s="95"/>
      <c r="AM58" s="95"/>
      <c r="AN58" s="264"/>
      <c r="AO58" s="95"/>
      <c r="AP58" s="95"/>
      <c r="AQ58" s="95"/>
      <c r="AR58" s="95"/>
      <c r="AS58" s="95"/>
      <c r="AT58" s="95"/>
      <c r="AU58" s="95"/>
      <c r="AV58" s="95"/>
      <c r="AW58" s="95"/>
      <c r="AX58" s="95"/>
      <c r="AY58" s="95"/>
      <c r="AZ58" s="95"/>
      <c r="BA58" s="95"/>
      <c r="BB58" s="95"/>
      <c r="BC58" s="214"/>
      <c r="BD58" s="95"/>
      <c r="BE58" s="95"/>
      <c r="BF58" s="95"/>
      <c r="BG58" s="95"/>
      <c r="BH58" s="95"/>
      <c r="BI58" s="95"/>
      <c r="BJ58" s="95"/>
      <c r="BK58" s="265"/>
      <c r="BL58" s="265"/>
      <c r="BM58" s="265"/>
      <c r="BN58" s="266"/>
      <c r="BO58" s="267"/>
      <c r="BP58" s="268"/>
      <c r="BQ58" s="269"/>
      <c r="BR58" s="269"/>
      <c r="BS58" s="269"/>
      <c r="BT58" s="269"/>
      <c r="BU58" s="269"/>
      <c r="BV58" s="269"/>
      <c r="BW58" s="268"/>
      <c r="BX58" s="269"/>
      <c r="BY58" s="268"/>
      <c r="BZ58" s="268"/>
      <c r="CA58" s="268"/>
      <c r="CB58" s="269"/>
      <c r="CC58" s="268"/>
      <c r="CD58" s="268"/>
      <c r="CE58" s="269"/>
      <c r="CF58" s="269"/>
      <c r="CG58" s="269"/>
      <c r="CH58" s="269"/>
      <c r="CI58" s="269"/>
      <c r="CJ58" s="269"/>
      <c r="CK58" s="269"/>
      <c r="CL58" s="266"/>
    </row>
    <row r="59" spans="1:90" s="270" customFormat="1">
      <c r="A59" s="95"/>
      <c r="B59" s="263"/>
      <c r="C59" s="263"/>
      <c r="D59" s="263"/>
      <c r="E59" s="263"/>
      <c r="F59" s="263"/>
      <c r="G59" s="263"/>
      <c r="H59" s="95"/>
      <c r="I59" s="95"/>
      <c r="J59" s="263"/>
      <c r="K59" s="263"/>
      <c r="L59" s="263"/>
      <c r="M59" s="263"/>
      <c r="N59" s="263"/>
      <c r="O59" s="263"/>
      <c r="P59" s="95"/>
      <c r="Q59" s="95"/>
      <c r="R59" s="95"/>
      <c r="S59" s="95"/>
      <c r="T59" s="95"/>
      <c r="U59" s="95"/>
      <c r="V59" s="95"/>
      <c r="W59" s="95"/>
      <c r="X59" s="95"/>
      <c r="Y59" s="95"/>
      <c r="Z59" s="95"/>
      <c r="AA59" s="95"/>
      <c r="AB59" s="95"/>
      <c r="AC59" s="95"/>
      <c r="AD59" s="95"/>
      <c r="AE59" s="95"/>
      <c r="AF59" s="95"/>
      <c r="AG59" s="95"/>
      <c r="AH59" s="95"/>
      <c r="AI59" s="95"/>
      <c r="AJ59" s="95"/>
      <c r="AK59" s="95"/>
      <c r="AL59" s="95"/>
      <c r="AM59" s="95"/>
      <c r="AN59" s="264"/>
      <c r="AO59" s="95"/>
      <c r="AP59" s="95"/>
      <c r="AQ59" s="95"/>
      <c r="AR59" s="95"/>
      <c r="AS59" s="95"/>
      <c r="AT59" s="95"/>
      <c r="AU59" s="95"/>
      <c r="AV59" s="95"/>
      <c r="AW59" s="95"/>
      <c r="AX59" s="95"/>
      <c r="AY59" s="95"/>
      <c r="AZ59" s="95"/>
      <c r="BA59" s="95"/>
      <c r="BB59" s="95"/>
      <c r="BC59" s="214"/>
      <c r="BD59" s="95"/>
      <c r="BE59" s="95"/>
      <c r="BF59" s="95"/>
      <c r="BG59" s="95"/>
      <c r="BH59" s="95"/>
      <c r="BI59" s="95"/>
      <c r="BJ59" s="95"/>
      <c r="BK59" s="265"/>
      <c r="BL59" s="265"/>
      <c r="BM59" s="265"/>
      <c r="BN59" s="266"/>
      <c r="BO59" s="267"/>
      <c r="BP59" s="268"/>
      <c r="BQ59" s="269"/>
      <c r="BR59" s="269"/>
      <c r="BS59" s="269"/>
      <c r="BT59" s="269"/>
      <c r="BU59" s="269"/>
      <c r="BV59" s="269"/>
      <c r="BW59" s="268"/>
      <c r="BX59" s="269"/>
      <c r="BY59" s="268"/>
      <c r="BZ59" s="268"/>
      <c r="CA59" s="268"/>
      <c r="CB59" s="269"/>
      <c r="CC59" s="268"/>
      <c r="CD59" s="268"/>
      <c r="CE59" s="269"/>
      <c r="CF59" s="269"/>
      <c r="CG59" s="269"/>
      <c r="CH59" s="269"/>
      <c r="CI59" s="269"/>
      <c r="CJ59" s="269"/>
      <c r="CK59" s="269"/>
      <c r="CL59" s="266"/>
    </row>
    <row r="60" spans="1:90" s="270" customFormat="1">
      <c r="A60" s="95"/>
      <c r="B60" s="263"/>
      <c r="C60" s="263"/>
      <c r="D60" s="263"/>
      <c r="E60" s="263"/>
      <c r="F60" s="263"/>
      <c r="G60" s="263"/>
      <c r="H60" s="95"/>
      <c r="I60" s="95"/>
      <c r="J60" s="263"/>
      <c r="K60" s="263"/>
      <c r="L60" s="263"/>
      <c r="M60" s="263"/>
      <c r="N60" s="263"/>
      <c r="O60" s="263"/>
      <c r="P60" s="95"/>
      <c r="Q60" s="95"/>
      <c r="R60" s="95"/>
      <c r="S60" s="95"/>
      <c r="T60" s="95"/>
      <c r="U60" s="95"/>
      <c r="V60" s="95"/>
      <c r="W60" s="95"/>
      <c r="X60" s="95"/>
      <c r="Y60" s="95"/>
      <c r="Z60" s="95"/>
      <c r="AA60" s="95"/>
      <c r="AB60" s="95"/>
      <c r="AC60" s="95"/>
      <c r="AD60" s="95"/>
      <c r="AE60" s="95"/>
      <c r="AF60" s="95"/>
      <c r="AG60" s="95"/>
      <c r="AH60" s="95"/>
      <c r="AI60" s="95"/>
      <c r="AJ60" s="95"/>
      <c r="AK60" s="95"/>
      <c r="AL60" s="95"/>
      <c r="AM60" s="95"/>
      <c r="AN60" s="264"/>
      <c r="AO60" s="95"/>
      <c r="AP60" s="95"/>
      <c r="AQ60" s="95"/>
      <c r="AR60" s="95"/>
      <c r="AS60" s="95"/>
      <c r="AT60" s="95"/>
      <c r="AU60" s="95"/>
      <c r="AV60" s="95"/>
      <c r="AW60" s="95"/>
      <c r="AX60" s="95"/>
      <c r="AY60" s="95"/>
      <c r="AZ60" s="95"/>
      <c r="BA60" s="95"/>
      <c r="BB60" s="95"/>
      <c r="BC60" s="214"/>
      <c r="BD60" s="95"/>
      <c r="BE60" s="95"/>
      <c r="BF60" s="95"/>
      <c r="BG60" s="95"/>
      <c r="BH60" s="95"/>
      <c r="BI60" s="95"/>
      <c r="BJ60" s="95"/>
      <c r="BK60" s="265"/>
      <c r="BL60" s="265"/>
      <c r="BM60" s="265"/>
      <c r="BN60" s="266"/>
      <c r="BO60" s="267"/>
      <c r="BP60" s="268"/>
      <c r="BQ60" s="269"/>
      <c r="BR60" s="269"/>
      <c r="BS60" s="269"/>
      <c r="BT60" s="269"/>
      <c r="BU60" s="269"/>
      <c r="BV60" s="269"/>
      <c r="BW60" s="268"/>
      <c r="BX60" s="269"/>
      <c r="BY60" s="268"/>
      <c r="BZ60" s="268"/>
      <c r="CA60" s="268"/>
      <c r="CB60" s="269"/>
      <c r="CC60" s="268"/>
      <c r="CD60" s="268"/>
      <c r="CE60" s="269"/>
      <c r="CF60" s="269"/>
      <c r="CG60" s="269"/>
      <c r="CH60" s="269"/>
      <c r="CI60" s="269"/>
      <c r="CJ60" s="269"/>
      <c r="CK60" s="269"/>
      <c r="CL60" s="266"/>
    </row>
    <row r="61" spans="1:90" s="270" customFormat="1">
      <c r="A61" s="95"/>
      <c r="B61" s="263"/>
      <c r="C61" s="263"/>
      <c r="D61" s="263"/>
      <c r="E61" s="263"/>
      <c r="F61" s="263"/>
      <c r="G61" s="263"/>
      <c r="H61" s="95"/>
      <c r="I61" s="95"/>
      <c r="J61" s="263"/>
      <c r="K61" s="263"/>
      <c r="L61" s="263"/>
      <c r="M61" s="263"/>
      <c r="N61" s="263"/>
      <c r="O61" s="263"/>
      <c r="P61" s="95"/>
      <c r="Q61" s="95"/>
      <c r="R61" s="95"/>
      <c r="S61" s="95"/>
      <c r="T61" s="95"/>
      <c r="U61" s="95"/>
      <c r="V61" s="95"/>
      <c r="W61" s="95"/>
      <c r="X61" s="95"/>
      <c r="Y61" s="95"/>
      <c r="Z61" s="95"/>
      <c r="AA61" s="95"/>
      <c r="AB61" s="95"/>
      <c r="AC61" s="95"/>
      <c r="AD61" s="95"/>
      <c r="AE61" s="95"/>
      <c r="AF61" s="95"/>
      <c r="AG61" s="95"/>
      <c r="AH61" s="95"/>
      <c r="AI61" s="95"/>
      <c r="AJ61" s="95"/>
      <c r="AK61" s="95"/>
      <c r="AL61" s="95"/>
      <c r="AM61" s="95"/>
      <c r="AN61" s="264"/>
      <c r="AO61" s="95"/>
      <c r="AP61" s="95"/>
      <c r="AQ61" s="95"/>
      <c r="AR61" s="95"/>
      <c r="AS61" s="95"/>
      <c r="AT61" s="95"/>
      <c r="AU61" s="95"/>
      <c r="AV61" s="95"/>
      <c r="AW61" s="95"/>
      <c r="AX61" s="95"/>
      <c r="AY61" s="95"/>
      <c r="AZ61" s="95"/>
      <c r="BA61" s="95"/>
      <c r="BB61" s="95"/>
      <c r="BC61" s="214"/>
      <c r="BD61" s="95"/>
      <c r="BE61" s="95"/>
      <c r="BF61" s="95"/>
      <c r="BG61" s="95"/>
      <c r="BH61" s="95"/>
      <c r="BI61" s="95"/>
      <c r="BJ61" s="95"/>
      <c r="BK61" s="265"/>
      <c r="BL61" s="265"/>
      <c r="BM61" s="265"/>
      <c r="BN61" s="266"/>
      <c r="BO61" s="267"/>
      <c r="BP61" s="268"/>
      <c r="BQ61" s="269"/>
      <c r="BR61" s="269"/>
      <c r="BS61" s="269"/>
      <c r="BT61" s="269"/>
      <c r="BU61" s="269"/>
      <c r="BV61" s="269"/>
      <c r="BW61" s="268"/>
      <c r="BX61" s="269"/>
      <c r="BY61" s="268"/>
      <c r="BZ61" s="268"/>
      <c r="CA61" s="268"/>
      <c r="CB61" s="269"/>
      <c r="CC61" s="268"/>
      <c r="CD61" s="268"/>
      <c r="CE61" s="269"/>
      <c r="CF61" s="269"/>
      <c r="CG61" s="269"/>
      <c r="CH61" s="269"/>
      <c r="CI61" s="269"/>
      <c r="CJ61" s="269"/>
      <c r="CK61" s="269"/>
      <c r="CL61" s="266"/>
    </row>
    <row r="62" spans="1:90" s="270" customFormat="1">
      <c r="A62" s="95"/>
      <c r="B62" s="263"/>
      <c r="C62" s="263"/>
      <c r="D62" s="263"/>
      <c r="E62" s="263"/>
      <c r="F62" s="263"/>
      <c r="G62" s="263"/>
      <c r="H62" s="95"/>
      <c r="I62" s="95"/>
      <c r="J62" s="263"/>
      <c r="K62" s="263"/>
      <c r="L62" s="263"/>
      <c r="M62" s="263"/>
      <c r="N62" s="263"/>
      <c r="O62" s="263"/>
      <c r="P62" s="95"/>
      <c r="Q62" s="95"/>
      <c r="R62" s="95"/>
      <c r="S62" s="95"/>
      <c r="T62" s="95"/>
      <c r="U62" s="95"/>
      <c r="V62" s="95"/>
      <c r="W62" s="95"/>
      <c r="X62" s="95"/>
      <c r="Y62" s="95"/>
      <c r="Z62" s="95"/>
      <c r="AA62" s="95"/>
      <c r="AB62" s="95"/>
      <c r="AC62" s="95"/>
      <c r="AD62" s="95"/>
      <c r="AE62" s="95"/>
      <c r="AF62" s="95"/>
      <c r="AG62" s="95"/>
      <c r="AH62" s="95"/>
      <c r="AI62" s="95"/>
      <c r="AJ62" s="95"/>
      <c r="AK62" s="95"/>
      <c r="AL62" s="95"/>
      <c r="AM62" s="95"/>
      <c r="AN62" s="264"/>
      <c r="AO62" s="95"/>
      <c r="AP62" s="95"/>
      <c r="AQ62" s="95"/>
      <c r="AR62" s="95"/>
      <c r="AS62" s="95"/>
      <c r="AT62" s="95"/>
      <c r="AU62" s="95"/>
      <c r="AV62" s="95"/>
      <c r="AW62" s="95"/>
      <c r="AX62" s="95"/>
      <c r="AY62" s="95"/>
      <c r="AZ62" s="95"/>
      <c r="BA62" s="95"/>
      <c r="BB62" s="95"/>
      <c r="BC62" s="214"/>
      <c r="BD62" s="95"/>
      <c r="BE62" s="95"/>
      <c r="BF62" s="95"/>
      <c r="BG62" s="95"/>
      <c r="BH62" s="95"/>
      <c r="BI62" s="95"/>
      <c r="BJ62" s="95"/>
      <c r="BK62" s="265"/>
      <c r="BL62" s="265"/>
      <c r="BM62" s="265"/>
      <c r="BN62" s="266"/>
      <c r="BO62" s="267"/>
      <c r="BP62" s="268"/>
      <c r="BQ62" s="269"/>
      <c r="BR62" s="269"/>
      <c r="BS62" s="269"/>
      <c r="BT62" s="269"/>
      <c r="BU62" s="269"/>
      <c r="BV62" s="269"/>
      <c r="BW62" s="268"/>
      <c r="BX62" s="269"/>
      <c r="BY62" s="268"/>
      <c r="BZ62" s="268"/>
      <c r="CA62" s="268"/>
      <c r="CB62" s="269"/>
      <c r="CC62" s="268"/>
      <c r="CD62" s="268"/>
      <c r="CE62" s="269"/>
      <c r="CF62" s="269"/>
      <c r="CG62" s="269"/>
      <c r="CH62" s="269"/>
      <c r="CI62" s="269"/>
      <c r="CJ62" s="269"/>
      <c r="CK62" s="269"/>
      <c r="CL62" s="266"/>
    </row>
    <row r="63" spans="1:90" s="270" customFormat="1" ht="14.25" customHeight="1">
      <c r="A63" s="95"/>
      <c r="B63" s="263"/>
      <c r="C63" s="263"/>
      <c r="D63" s="263"/>
      <c r="E63" s="263"/>
      <c r="F63" s="263"/>
      <c r="G63" s="263"/>
      <c r="H63" s="95"/>
      <c r="I63" s="95"/>
      <c r="J63" s="263"/>
      <c r="K63" s="263"/>
      <c r="L63" s="263"/>
      <c r="M63" s="263"/>
      <c r="N63" s="263"/>
      <c r="O63" s="263"/>
      <c r="P63" s="95"/>
      <c r="Q63" s="95"/>
      <c r="R63" s="95"/>
      <c r="S63" s="95"/>
      <c r="T63" s="95"/>
      <c r="U63" s="95"/>
      <c r="V63" s="95"/>
      <c r="W63" s="95"/>
      <c r="X63" s="95"/>
      <c r="Y63" s="95"/>
      <c r="Z63" s="95"/>
      <c r="AA63" s="95"/>
      <c r="AB63" s="95"/>
      <c r="AC63" s="95"/>
      <c r="AD63" s="95"/>
      <c r="AE63" s="95"/>
      <c r="AF63" s="95"/>
      <c r="AG63" s="95"/>
      <c r="AH63" s="95"/>
      <c r="AI63" s="95"/>
      <c r="AJ63" s="95"/>
      <c r="AK63" s="95"/>
      <c r="AL63" s="95"/>
      <c r="AM63" s="95"/>
      <c r="AN63" s="264"/>
      <c r="AO63" s="95"/>
      <c r="AP63" s="95"/>
      <c r="AQ63" s="95"/>
      <c r="AR63" s="95"/>
      <c r="AS63" s="95"/>
      <c r="AT63" s="95"/>
      <c r="AU63" s="95"/>
      <c r="AV63" s="95"/>
      <c r="AW63" s="95"/>
      <c r="AX63" s="95"/>
      <c r="AY63" s="95"/>
      <c r="AZ63" s="95"/>
      <c r="BA63" s="95"/>
      <c r="BB63" s="95"/>
      <c r="BC63" s="214"/>
      <c r="BD63" s="95"/>
      <c r="BE63" s="95"/>
      <c r="BF63" s="95"/>
      <c r="BG63" s="95"/>
      <c r="BH63" s="95"/>
      <c r="BI63" s="95"/>
      <c r="BJ63" s="95"/>
      <c r="BK63" s="265"/>
      <c r="BL63" s="265"/>
      <c r="BM63" s="265"/>
      <c r="BN63" s="266"/>
      <c r="BO63" s="267"/>
      <c r="BP63" s="268"/>
      <c r="BQ63" s="269"/>
      <c r="BR63" s="269"/>
      <c r="BS63" s="269"/>
      <c r="BT63" s="269"/>
      <c r="BU63" s="269"/>
      <c r="BV63" s="269"/>
      <c r="BW63" s="268"/>
      <c r="BX63" s="269"/>
      <c r="BY63" s="268"/>
      <c r="BZ63" s="268"/>
      <c r="CA63" s="268"/>
      <c r="CB63" s="269"/>
      <c r="CC63" s="268"/>
      <c r="CD63" s="268"/>
      <c r="CE63" s="269"/>
      <c r="CF63" s="269"/>
      <c r="CG63" s="269"/>
      <c r="CH63" s="269"/>
      <c r="CI63" s="269"/>
      <c r="CJ63" s="269"/>
      <c r="CK63" s="269"/>
      <c r="CL63" s="266"/>
    </row>
    <row r="64" spans="1:90" s="270" customFormat="1" ht="13.5" customHeight="1">
      <c r="A64" s="95"/>
      <c r="B64" s="263"/>
      <c r="C64" s="263"/>
      <c r="D64" s="263"/>
      <c r="E64" s="263"/>
      <c r="F64" s="263"/>
      <c r="G64" s="263"/>
      <c r="H64" s="95"/>
      <c r="I64" s="95"/>
      <c r="J64" s="263"/>
      <c r="K64" s="263"/>
      <c r="L64" s="263"/>
      <c r="M64" s="263"/>
      <c r="N64" s="263"/>
      <c r="O64" s="263"/>
      <c r="P64" s="95"/>
      <c r="Q64" s="95"/>
      <c r="R64" s="95"/>
      <c r="S64" s="95"/>
      <c r="T64" s="95"/>
      <c r="U64" s="95"/>
      <c r="V64" s="95"/>
      <c r="W64" s="95"/>
      <c r="X64" s="95"/>
      <c r="Y64" s="95"/>
      <c r="Z64" s="95"/>
      <c r="AA64" s="95"/>
      <c r="AB64" s="95"/>
      <c r="AC64" s="95"/>
      <c r="AD64" s="95"/>
      <c r="AE64" s="95"/>
      <c r="AF64" s="95"/>
      <c r="AG64" s="95"/>
      <c r="AH64" s="95"/>
      <c r="AI64" s="95"/>
      <c r="AJ64" s="95"/>
      <c r="AK64" s="95"/>
      <c r="AL64" s="95"/>
      <c r="AM64" s="95"/>
      <c r="AN64" s="264"/>
      <c r="AO64" s="95"/>
      <c r="AP64" s="95"/>
      <c r="AQ64" s="95"/>
      <c r="AR64" s="95"/>
      <c r="AS64" s="95"/>
      <c r="AT64" s="95"/>
      <c r="AU64" s="95"/>
      <c r="AV64" s="95"/>
      <c r="AW64" s="95"/>
      <c r="AX64" s="95"/>
      <c r="AY64" s="95"/>
      <c r="AZ64" s="95"/>
      <c r="BA64" s="95"/>
      <c r="BB64" s="95"/>
      <c r="BC64" s="214"/>
      <c r="BD64" s="95"/>
      <c r="BE64" s="95"/>
      <c r="BF64" s="95"/>
      <c r="BG64" s="95"/>
      <c r="BH64" s="95"/>
      <c r="BI64" s="95"/>
      <c r="BJ64" s="95"/>
      <c r="BK64" s="265"/>
      <c r="BL64" s="265"/>
      <c r="BM64" s="265"/>
      <c r="BN64" s="266"/>
      <c r="BO64" s="267"/>
      <c r="BP64" s="268"/>
      <c r="BQ64" s="269"/>
      <c r="BR64" s="269"/>
      <c r="BS64" s="269"/>
      <c r="BT64" s="269"/>
      <c r="BU64" s="269"/>
      <c r="BV64" s="269"/>
      <c r="BW64" s="268"/>
      <c r="BX64" s="269"/>
      <c r="BY64" s="268"/>
      <c r="BZ64" s="268"/>
      <c r="CA64" s="268"/>
      <c r="CB64" s="269"/>
      <c r="CC64" s="268"/>
      <c r="CD64" s="268"/>
      <c r="CE64" s="269"/>
      <c r="CF64" s="269"/>
      <c r="CG64" s="269"/>
      <c r="CH64" s="269"/>
      <c r="CI64" s="269"/>
      <c r="CJ64" s="269"/>
      <c r="CK64" s="269"/>
      <c r="CL64" s="266"/>
    </row>
    <row r="65" spans="1:90" s="270" customFormat="1" ht="18" customHeight="1">
      <c r="A65" s="95"/>
      <c r="B65" s="263"/>
      <c r="C65" s="263"/>
      <c r="D65" s="263"/>
      <c r="E65" s="263"/>
      <c r="F65" s="263"/>
      <c r="G65" s="263"/>
      <c r="H65" s="95"/>
      <c r="I65" s="95"/>
      <c r="J65" s="263"/>
      <c r="K65" s="263"/>
      <c r="L65" s="263"/>
      <c r="M65" s="263"/>
      <c r="N65" s="263"/>
      <c r="O65" s="263"/>
      <c r="P65" s="95"/>
      <c r="Q65" s="95"/>
      <c r="R65" s="95"/>
      <c r="S65" s="95"/>
      <c r="T65" s="95"/>
      <c r="U65" s="95"/>
      <c r="V65" s="95"/>
      <c r="W65" s="95"/>
      <c r="X65" s="95"/>
      <c r="Y65" s="95"/>
      <c r="Z65" s="95"/>
      <c r="AA65" s="95"/>
      <c r="AB65" s="95"/>
      <c r="AC65" s="95"/>
      <c r="AD65" s="95"/>
      <c r="AE65" s="95"/>
      <c r="AF65" s="95"/>
      <c r="AG65" s="95"/>
      <c r="AH65" s="95"/>
      <c r="AI65" s="95"/>
      <c r="AJ65" s="95"/>
      <c r="AK65" s="95"/>
      <c r="AL65" s="95"/>
      <c r="AM65" s="95"/>
      <c r="AN65" s="264"/>
      <c r="AO65" s="95"/>
      <c r="AP65" s="95"/>
      <c r="AQ65" s="95"/>
      <c r="AR65" s="95"/>
      <c r="AS65" s="95"/>
      <c r="AT65" s="95"/>
      <c r="AU65" s="95"/>
      <c r="AV65" s="95"/>
      <c r="AW65" s="95"/>
      <c r="AX65" s="95"/>
      <c r="AY65" s="95"/>
      <c r="AZ65" s="95"/>
      <c r="BA65" s="95"/>
      <c r="BB65" s="95"/>
      <c r="BC65" s="214"/>
      <c r="BD65" s="95"/>
      <c r="BE65" s="95"/>
      <c r="BF65" s="95"/>
      <c r="BG65" s="95"/>
      <c r="BH65" s="95"/>
      <c r="BI65" s="95"/>
      <c r="BJ65" s="95"/>
      <c r="BK65" s="265"/>
      <c r="BL65" s="265"/>
      <c r="BM65" s="265"/>
      <c r="BN65" s="266"/>
      <c r="BO65" s="267"/>
      <c r="BP65" s="268"/>
      <c r="BQ65" s="269"/>
      <c r="BR65" s="269"/>
      <c r="BS65" s="269"/>
      <c r="BT65" s="269"/>
      <c r="BU65" s="269"/>
      <c r="BV65" s="269"/>
      <c r="BW65" s="268"/>
      <c r="BX65" s="269"/>
      <c r="BY65" s="268"/>
      <c r="BZ65" s="268"/>
      <c r="CA65" s="268"/>
      <c r="CB65" s="269"/>
      <c r="CC65" s="268"/>
      <c r="CD65" s="268"/>
      <c r="CE65" s="269"/>
      <c r="CF65" s="269"/>
      <c r="CG65" s="269"/>
      <c r="CH65" s="269"/>
      <c r="CI65" s="269"/>
      <c r="CJ65" s="269"/>
      <c r="CK65" s="269"/>
      <c r="CL65" s="266"/>
    </row>
    <row r="66" spans="1:90" s="270" customFormat="1">
      <c r="A66" s="95"/>
      <c r="B66" s="263"/>
      <c r="C66" s="263"/>
      <c r="D66" s="263"/>
      <c r="E66" s="263"/>
      <c r="F66" s="263"/>
      <c r="G66" s="263"/>
      <c r="H66" s="95"/>
      <c r="I66" s="95"/>
      <c r="J66" s="263"/>
      <c r="K66" s="263"/>
      <c r="L66" s="263"/>
      <c r="M66" s="263"/>
      <c r="N66" s="263"/>
      <c r="O66" s="263"/>
      <c r="P66" s="95"/>
      <c r="Q66" s="95"/>
      <c r="R66" s="95"/>
      <c r="S66" s="95"/>
      <c r="T66" s="95"/>
      <c r="U66" s="95"/>
      <c r="V66" s="95"/>
      <c r="W66" s="95"/>
      <c r="X66" s="95"/>
      <c r="Y66" s="95"/>
      <c r="Z66" s="95"/>
      <c r="AA66" s="95"/>
      <c r="AB66" s="95"/>
      <c r="AC66" s="95"/>
      <c r="AD66" s="95"/>
      <c r="AE66" s="95"/>
      <c r="AF66" s="95"/>
      <c r="AG66" s="95"/>
      <c r="AH66" s="95"/>
      <c r="AI66" s="95"/>
      <c r="AJ66" s="95"/>
      <c r="AK66" s="95"/>
      <c r="AL66" s="95"/>
      <c r="AM66" s="95"/>
      <c r="AN66" s="264"/>
      <c r="AO66" s="95"/>
      <c r="AP66" s="95"/>
      <c r="AQ66" s="95"/>
      <c r="AR66" s="95"/>
      <c r="AS66" s="95"/>
      <c r="AT66" s="95"/>
      <c r="AU66" s="95"/>
      <c r="AV66" s="95"/>
      <c r="AW66" s="95"/>
      <c r="AX66" s="95"/>
      <c r="AY66" s="95"/>
      <c r="AZ66" s="95"/>
      <c r="BA66" s="95"/>
      <c r="BB66" s="95"/>
      <c r="BC66" s="214"/>
      <c r="BD66" s="95"/>
      <c r="BE66" s="95"/>
      <c r="BF66" s="95"/>
      <c r="BG66" s="95"/>
      <c r="BH66" s="95"/>
      <c r="BI66" s="95"/>
      <c r="BJ66" s="95"/>
      <c r="BK66" s="265"/>
      <c r="BL66" s="265"/>
      <c r="BM66" s="265"/>
      <c r="BN66" s="266"/>
      <c r="BO66" s="267"/>
      <c r="BP66" s="268"/>
      <c r="BQ66" s="269"/>
      <c r="BR66" s="269"/>
      <c r="BS66" s="269"/>
      <c r="BT66" s="269"/>
      <c r="BU66" s="269"/>
      <c r="BV66" s="269"/>
      <c r="BW66" s="268"/>
      <c r="BX66" s="269"/>
      <c r="BY66" s="268"/>
      <c r="BZ66" s="268"/>
      <c r="CA66" s="268"/>
      <c r="CB66" s="269"/>
      <c r="CC66" s="268"/>
      <c r="CD66" s="268"/>
      <c r="CE66" s="269"/>
      <c r="CF66" s="269"/>
      <c r="CG66" s="269"/>
      <c r="CH66" s="269"/>
      <c r="CI66" s="269"/>
      <c r="CJ66" s="269"/>
      <c r="CK66" s="269"/>
      <c r="CL66" s="266"/>
    </row>
    <row r="67" spans="1:90" s="270" customFormat="1" ht="17.25" customHeight="1">
      <c r="A67" s="95"/>
      <c r="B67" s="263"/>
      <c r="C67" s="263"/>
      <c r="D67" s="263"/>
      <c r="E67" s="263"/>
      <c r="F67" s="263"/>
      <c r="G67" s="263"/>
      <c r="H67" s="95"/>
      <c r="I67" s="95"/>
      <c r="J67" s="263"/>
      <c r="K67" s="263"/>
      <c r="L67" s="263"/>
      <c r="M67" s="263"/>
      <c r="N67" s="263"/>
      <c r="O67" s="263"/>
      <c r="P67" s="95"/>
      <c r="Q67" s="95"/>
      <c r="R67" s="95"/>
      <c r="S67" s="95"/>
      <c r="T67" s="95"/>
      <c r="U67" s="95"/>
      <c r="V67" s="95"/>
      <c r="W67" s="95"/>
      <c r="X67" s="95"/>
      <c r="Y67" s="95"/>
      <c r="Z67" s="95"/>
      <c r="AA67" s="95"/>
      <c r="AB67" s="95"/>
      <c r="AC67" s="95"/>
      <c r="AD67" s="95"/>
      <c r="AE67" s="95"/>
      <c r="AF67" s="95"/>
      <c r="AG67" s="95"/>
      <c r="AH67" s="95"/>
      <c r="AI67" s="95"/>
      <c r="AJ67" s="95"/>
      <c r="AK67" s="95"/>
      <c r="AL67" s="95"/>
      <c r="AM67" s="95"/>
      <c r="AN67" s="264"/>
      <c r="AO67" s="95"/>
      <c r="AP67" s="95"/>
      <c r="AQ67" s="95"/>
      <c r="AR67" s="95"/>
      <c r="AS67" s="95"/>
      <c r="AT67" s="95"/>
      <c r="AU67" s="95"/>
      <c r="AV67" s="95"/>
      <c r="AW67" s="95"/>
      <c r="AX67" s="95"/>
      <c r="AY67" s="95"/>
      <c r="AZ67" s="95"/>
      <c r="BA67" s="95"/>
      <c r="BB67" s="95"/>
      <c r="BC67" s="214"/>
      <c r="BD67" s="95"/>
      <c r="BE67" s="95"/>
      <c r="BF67" s="95"/>
      <c r="BG67" s="95"/>
      <c r="BH67" s="95"/>
      <c r="BI67" s="95"/>
      <c r="BJ67" s="95"/>
      <c r="BK67" s="265"/>
      <c r="BL67" s="265"/>
      <c r="BM67" s="265"/>
      <c r="BN67" s="266"/>
      <c r="BO67" s="267"/>
      <c r="BP67" s="268"/>
      <c r="BQ67" s="269"/>
      <c r="BR67" s="269"/>
      <c r="BS67" s="269"/>
      <c r="BT67" s="269"/>
      <c r="BU67" s="269"/>
      <c r="BV67" s="269"/>
      <c r="BW67" s="268"/>
      <c r="BX67" s="269"/>
      <c r="BY67" s="268"/>
      <c r="BZ67" s="268"/>
      <c r="CA67" s="268"/>
      <c r="CB67" s="269"/>
      <c r="CC67" s="268"/>
      <c r="CD67" s="268"/>
      <c r="CE67" s="269"/>
      <c r="CF67" s="269"/>
      <c r="CG67" s="269"/>
      <c r="CH67" s="269"/>
      <c r="CI67" s="269"/>
      <c r="CJ67" s="269"/>
      <c r="CK67" s="269"/>
      <c r="CL67" s="266"/>
    </row>
    <row r="68" spans="1:90" s="270" customFormat="1">
      <c r="A68" s="95"/>
      <c r="B68" s="263"/>
      <c r="C68" s="263"/>
      <c r="D68" s="263"/>
      <c r="E68" s="263"/>
      <c r="F68" s="263"/>
      <c r="G68" s="263"/>
      <c r="H68" s="95"/>
      <c r="I68" s="95"/>
      <c r="J68" s="263"/>
      <c r="K68" s="263"/>
      <c r="L68" s="263"/>
      <c r="M68" s="263"/>
      <c r="N68" s="263"/>
      <c r="O68" s="263"/>
      <c r="P68" s="95"/>
      <c r="Q68" s="95"/>
      <c r="R68" s="95"/>
      <c r="S68" s="95"/>
      <c r="T68" s="95"/>
      <c r="U68" s="95"/>
      <c r="V68" s="95"/>
      <c r="W68" s="95"/>
      <c r="X68" s="95"/>
      <c r="Y68" s="95"/>
      <c r="Z68" s="95"/>
      <c r="AA68" s="95"/>
      <c r="AB68" s="95"/>
      <c r="AC68" s="95"/>
      <c r="AD68" s="95"/>
      <c r="AE68" s="95"/>
      <c r="AF68" s="95"/>
      <c r="AG68" s="95"/>
      <c r="AH68" s="95"/>
      <c r="AI68" s="95"/>
      <c r="AJ68" s="95"/>
      <c r="AK68" s="95"/>
      <c r="AL68" s="95"/>
      <c r="AM68" s="95"/>
      <c r="AN68" s="264"/>
      <c r="AO68" s="95"/>
      <c r="AP68" s="95"/>
      <c r="AQ68" s="95"/>
      <c r="AR68" s="95"/>
      <c r="AS68" s="95"/>
      <c r="AT68" s="95"/>
      <c r="AU68" s="95"/>
      <c r="AV68" s="95"/>
      <c r="AW68" s="95"/>
      <c r="AX68" s="95"/>
      <c r="AY68" s="95"/>
      <c r="AZ68" s="95"/>
      <c r="BA68" s="95"/>
      <c r="BB68" s="95"/>
      <c r="BC68" s="214"/>
      <c r="BD68" s="95"/>
      <c r="BE68" s="95"/>
      <c r="BF68" s="95"/>
      <c r="BG68" s="95"/>
      <c r="BH68" s="95"/>
      <c r="BI68" s="95"/>
      <c r="BJ68" s="95"/>
      <c r="BK68" s="265"/>
      <c r="BL68" s="265"/>
      <c r="BM68" s="265"/>
      <c r="BN68" s="266"/>
      <c r="BO68" s="267"/>
      <c r="BP68" s="268"/>
      <c r="BQ68" s="269"/>
      <c r="BR68" s="269"/>
      <c r="BS68" s="269"/>
      <c r="BT68" s="269"/>
      <c r="BU68" s="269"/>
      <c r="BV68" s="269"/>
      <c r="BW68" s="268"/>
      <c r="BX68" s="269"/>
      <c r="BY68" s="268"/>
      <c r="BZ68" s="268"/>
      <c r="CA68" s="268"/>
      <c r="CB68" s="269"/>
      <c r="CC68" s="268"/>
      <c r="CD68" s="268"/>
      <c r="CE68" s="269"/>
      <c r="CF68" s="269"/>
      <c r="CG68" s="269"/>
      <c r="CH68" s="269"/>
      <c r="CI68" s="269"/>
      <c r="CJ68" s="269"/>
      <c r="CK68" s="269"/>
      <c r="CL68" s="266"/>
    </row>
    <row r="69" spans="1:90" s="270" customFormat="1">
      <c r="A69" s="95"/>
      <c r="B69" s="263"/>
      <c r="C69" s="263"/>
      <c r="D69" s="263"/>
      <c r="E69" s="263"/>
      <c r="F69" s="263"/>
      <c r="G69" s="263"/>
      <c r="H69" s="95"/>
      <c r="I69" s="95"/>
      <c r="J69" s="263"/>
      <c r="K69" s="263"/>
      <c r="L69" s="263"/>
      <c r="M69" s="263"/>
      <c r="N69" s="263"/>
      <c r="O69" s="263"/>
      <c r="P69" s="95"/>
      <c r="Q69" s="95"/>
      <c r="R69" s="95"/>
      <c r="S69" s="95"/>
      <c r="T69" s="95"/>
      <c r="U69" s="95"/>
      <c r="V69" s="95"/>
      <c r="W69" s="95"/>
      <c r="X69" s="95"/>
      <c r="Y69" s="95"/>
      <c r="Z69" s="95"/>
      <c r="AA69" s="95"/>
      <c r="AB69" s="95"/>
      <c r="AC69" s="95"/>
      <c r="AD69" s="95"/>
      <c r="AE69" s="95"/>
      <c r="AF69" s="95"/>
      <c r="AG69" s="95"/>
      <c r="AH69" s="95"/>
      <c r="AI69" s="95"/>
      <c r="AJ69" s="95"/>
      <c r="AK69" s="95"/>
      <c r="AL69" s="95"/>
      <c r="AM69" s="95"/>
      <c r="AN69" s="264"/>
      <c r="AO69" s="95"/>
      <c r="AP69" s="95"/>
      <c r="AQ69" s="95"/>
      <c r="AR69" s="95"/>
      <c r="AS69" s="95"/>
      <c r="AT69" s="95"/>
      <c r="AU69" s="95"/>
      <c r="AV69" s="95"/>
      <c r="AW69" s="95"/>
      <c r="AX69" s="95"/>
      <c r="AY69" s="95"/>
      <c r="AZ69" s="95"/>
      <c r="BA69" s="95"/>
      <c r="BB69" s="95"/>
      <c r="BC69" s="214"/>
      <c r="BD69" s="95"/>
      <c r="BE69" s="95"/>
      <c r="BF69" s="95"/>
      <c r="BG69" s="95"/>
      <c r="BH69" s="95"/>
      <c r="BI69" s="95"/>
      <c r="BJ69" s="95"/>
      <c r="BK69" s="265"/>
      <c r="BL69" s="265"/>
      <c r="BM69" s="265"/>
      <c r="BN69" s="266"/>
      <c r="BO69" s="267"/>
      <c r="BP69" s="268"/>
      <c r="BQ69" s="269"/>
      <c r="BR69" s="269"/>
      <c r="BS69" s="269"/>
      <c r="BT69" s="269"/>
      <c r="BU69" s="269"/>
      <c r="BV69" s="269"/>
      <c r="BW69" s="268"/>
      <c r="BX69" s="269"/>
      <c r="BY69" s="268"/>
      <c r="BZ69" s="268"/>
      <c r="CA69" s="268"/>
      <c r="CB69" s="269"/>
      <c r="CC69" s="268"/>
      <c r="CD69" s="268"/>
      <c r="CE69" s="269"/>
      <c r="CF69" s="269"/>
      <c r="CG69" s="269"/>
      <c r="CH69" s="269"/>
      <c r="CI69" s="269"/>
      <c r="CJ69" s="269"/>
      <c r="CK69" s="269"/>
      <c r="CL69" s="266"/>
    </row>
    <row r="70" spans="1:90" s="270" customFormat="1">
      <c r="A70" s="95"/>
      <c r="B70" s="263"/>
      <c r="C70" s="263"/>
      <c r="D70" s="263"/>
      <c r="E70" s="263"/>
      <c r="F70" s="263"/>
      <c r="G70" s="263"/>
      <c r="H70" s="95"/>
      <c r="I70" s="95"/>
      <c r="J70" s="263"/>
      <c r="K70" s="263"/>
      <c r="L70" s="263"/>
      <c r="M70" s="263"/>
      <c r="N70" s="263"/>
      <c r="O70" s="263"/>
      <c r="P70" s="95"/>
      <c r="Q70" s="95"/>
      <c r="R70" s="95"/>
      <c r="S70" s="95"/>
      <c r="T70" s="95"/>
      <c r="U70" s="95"/>
      <c r="V70" s="95"/>
      <c r="W70" s="95"/>
      <c r="X70" s="95"/>
      <c r="Y70" s="95"/>
      <c r="Z70" s="95"/>
      <c r="AA70" s="95"/>
      <c r="AB70" s="95"/>
      <c r="AC70" s="95"/>
      <c r="AD70" s="95"/>
      <c r="AE70" s="95"/>
      <c r="AF70" s="95"/>
      <c r="AG70" s="95"/>
      <c r="AH70" s="95"/>
      <c r="AI70" s="95"/>
      <c r="AJ70" s="95"/>
      <c r="AK70" s="95"/>
      <c r="AL70" s="95"/>
      <c r="AM70" s="95"/>
      <c r="AN70" s="264"/>
      <c r="AO70" s="95"/>
      <c r="AP70" s="95"/>
      <c r="AQ70" s="95"/>
      <c r="AR70" s="95"/>
      <c r="AS70" s="95"/>
      <c r="AT70" s="95"/>
      <c r="AU70" s="95"/>
      <c r="AV70" s="95"/>
      <c r="AW70" s="95"/>
      <c r="AX70" s="95"/>
      <c r="AY70" s="95"/>
      <c r="AZ70" s="95"/>
      <c r="BA70" s="95"/>
      <c r="BB70" s="95"/>
      <c r="BC70" s="214"/>
      <c r="BD70" s="95"/>
      <c r="BE70" s="95"/>
      <c r="BF70" s="95"/>
      <c r="BG70" s="95"/>
      <c r="BH70" s="95"/>
      <c r="BI70" s="95"/>
      <c r="BJ70" s="95"/>
      <c r="BK70" s="265"/>
      <c r="BL70" s="265"/>
      <c r="BM70" s="265"/>
      <c r="BN70" s="266"/>
      <c r="BO70" s="267"/>
      <c r="BP70" s="268"/>
      <c r="BQ70" s="269"/>
      <c r="BR70" s="269"/>
      <c r="BS70" s="269"/>
      <c r="BT70" s="269"/>
      <c r="BU70" s="269"/>
      <c r="BV70" s="269"/>
      <c r="BW70" s="268"/>
      <c r="BX70" s="269"/>
      <c r="BY70" s="268"/>
      <c r="BZ70" s="268"/>
      <c r="CA70" s="268"/>
      <c r="CB70" s="269"/>
      <c r="CC70" s="268"/>
      <c r="CD70" s="268"/>
      <c r="CE70" s="269"/>
      <c r="CF70" s="269"/>
      <c r="CG70" s="269"/>
      <c r="CH70" s="269"/>
      <c r="CI70" s="269"/>
      <c r="CJ70" s="269"/>
      <c r="CK70" s="269"/>
      <c r="CL70" s="266"/>
    </row>
    <row r="71" spans="1:90" s="270" customFormat="1">
      <c r="A71" s="95"/>
      <c r="B71" s="263"/>
      <c r="C71" s="263"/>
      <c r="D71" s="263"/>
      <c r="E71" s="263"/>
      <c r="F71" s="263"/>
      <c r="G71" s="263"/>
      <c r="H71" s="95"/>
      <c r="I71" s="95"/>
      <c r="J71" s="263"/>
      <c r="K71" s="263"/>
      <c r="L71" s="263"/>
      <c r="M71" s="263"/>
      <c r="N71" s="263"/>
      <c r="O71" s="263"/>
      <c r="P71" s="95"/>
      <c r="Q71" s="95"/>
      <c r="R71" s="95"/>
      <c r="S71" s="95"/>
      <c r="T71" s="95"/>
      <c r="U71" s="95"/>
      <c r="V71" s="95"/>
      <c r="W71" s="95"/>
      <c r="X71" s="95"/>
      <c r="Y71" s="95"/>
      <c r="Z71" s="95"/>
      <c r="AA71" s="95"/>
      <c r="AB71" s="95"/>
      <c r="AC71" s="95"/>
      <c r="AD71" s="95"/>
      <c r="AE71" s="95"/>
      <c r="AF71" s="95"/>
      <c r="AG71" s="95"/>
      <c r="AH71" s="95"/>
      <c r="AI71" s="95"/>
      <c r="AJ71" s="95"/>
      <c r="AK71" s="95"/>
      <c r="AL71" s="95"/>
      <c r="AM71" s="95"/>
      <c r="AN71" s="264"/>
      <c r="AO71" s="95"/>
      <c r="AP71" s="95"/>
      <c r="AQ71" s="95"/>
      <c r="AR71" s="95"/>
      <c r="AS71" s="95"/>
      <c r="AT71" s="95"/>
      <c r="AU71" s="95"/>
      <c r="AV71" s="95"/>
      <c r="AW71" s="95"/>
      <c r="AX71" s="95"/>
      <c r="AY71" s="95"/>
      <c r="AZ71" s="95"/>
      <c r="BA71" s="95"/>
      <c r="BB71" s="95"/>
      <c r="BC71" s="214"/>
      <c r="BD71" s="95"/>
      <c r="BE71" s="95"/>
      <c r="BF71" s="95"/>
      <c r="BG71" s="95"/>
      <c r="BH71" s="95"/>
      <c r="BI71" s="95"/>
      <c r="BJ71" s="95"/>
      <c r="BK71" s="265"/>
      <c r="BL71" s="265"/>
      <c r="BM71" s="265"/>
      <c r="BN71" s="266"/>
      <c r="BO71" s="267"/>
      <c r="BP71" s="268"/>
      <c r="BQ71" s="269"/>
      <c r="BR71" s="269"/>
      <c r="BS71" s="269"/>
      <c r="BT71" s="269"/>
      <c r="BU71" s="269"/>
      <c r="BV71" s="269"/>
      <c r="BW71" s="268"/>
      <c r="BX71" s="269"/>
      <c r="BY71" s="268"/>
      <c r="BZ71" s="268"/>
      <c r="CA71" s="268"/>
      <c r="CB71" s="269"/>
      <c r="CC71" s="268"/>
      <c r="CD71" s="268"/>
      <c r="CE71" s="269"/>
      <c r="CF71" s="269"/>
      <c r="CG71" s="269"/>
      <c r="CH71" s="269"/>
      <c r="CI71" s="269"/>
      <c r="CJ71" s="269"/>
      <c r="CK71" s="269"/>
      <c r="CL71" s="266"/>
    </row>
    <row r="72" spans="1:90" s="270" customFormat="1">
      <c r="A72" s="95"/>
      <c r="B72" s="263"/>
      <c r="C72" s="263"/>
      <c r="D72" s="263"/>
      <c r="E72" s="263"/>
      <c r="F72" s="263"/>
      <c r="G72" s="263"/>
      <c r="H72" s="95"/>
      <c r="I72" s="95"/>
      <c r="J72" s="263"/>
      <c r="K72" s="263"/>
      <c r="L72" s="263"/>
      <c r="M72" s="263"/>
      <c r="N72" s="263"/>
      <c r="O72" s="263"/>
      <c r="P72" s="95"/>
      <c r="Q72" s="95"/>
      <c r="R72" s="95"/>
      <c r="S72" s="95"/>
      <c r="T72" s="95"/>
      <c r="U72" s="95"/>
      <c r="V72" s="95"/>
      <c r="W72" s="95"/>
      <c r="X72" s="95"/>
      <c r="Y72" s="95"/>
      <c r="Z72" s="95"/>
      <c r="AA72" s="95"/>
      <c r="AB72" s="95"/>
      <c r="AC72" s="95"/>
      <c r="AD72" s="95"/>
      <c r="AE72" s="95"/>
      <c r="AF72" s="95"/>
      <c r="AG72" s="95"/>
      <c r="AH72" s="95"/>
      <c r="AI72" s="95"/>
      <c r="AJ72" s="95"/>
      <c r="AK72" s="95"/>
      <c r="AL72" s="95"/>
      <c r="AM72" s="95"/>
      <c r="AN72" s="264"/>
      <c r="AO72" s="95"/>
      <c r="AP72" s="95"/>
      <c r="AQ72" s="95"/>
      <c r="AR72" s="95"/>
      <c r="AS72" s="95"/>
      <c r="AT72" s="95"/>
      <c r="AU72" s="95"/>
      <c r="AV72" s="95"/>
      <c r="AW72" s="95"/>
      <c r="AX72" s="95"/>
      <c r="AY72" s="95"/>
      <c r="AZ72" s="95"/>
      <c r="BA72" s="95"/>
      <c r="BB72" s="95"/>
      <c r="BC72" s="214"/>
      <c r="BD72" s="95"/>
      <c r="BE72" s="95"/>
      <c r="BF72" s="95"/>
      <c r="BG72" s="95"/>
      <c r="BH72" s="95"/>
      <c r="BI72" s="95"/>
      <c r="BJ72" s="95"/>
      <c r="BK72" s="265"/>
      <c r="BL72" s="265"/>
      <c r="BM72" s="265"/>
      <c r="BN72" s="266"/>
      <c r="BO72" s="267"/>
      <c r="BP72" s="268"/>
      <c r="BQ72" s="269"/>
      <c r="BR72" s="269"/>
      <c r="BS72" s="269"/>
      <c r="BT72" s="269"/>
      <c r="BU72" s="269"/>
      <c r="BV72" s="269"/>
      <c r="BW72" s="268"/>
      <c r="BX72" s="269"/>
      <c r="BY72" s="268"/>
      <c r="BZ72" s="268"/>
      <c r="CA72" s="268"/>
      <c r="CB72" s="269"/>
      <c r="CC72" s="268"/>
      <c r="CD72" s="268"/>
      <c r="CE72" s="269"/>
      <c r="CF72" s="269"/>
      <c r="CG72" s="269"/>
      <c r="CH72" s="269"/>
      <c r="CI72" s="269"/>
      <c r="CJ72" s="269"/>
      <c r="CK72" s="269"/>
      <c r="CL72" s="266"/>
    </row>
    <row r="73" spans="1:90" s="270" customFormat="1">
      <c r="A73" s="95"/>
      <c r="B73" s="263"/>
      <c r="C73" s="263"/>
      <c r="D73" s="263"/>
      <c r="E73" s="263"/>
      <c r="F73" s="263"/>
      <c r="G73" s="263"/>
      <c r="H73" s="95"/>
      <c r="I73" s="95"/>
      <c r="J73" s="263"/>
      <c r="K73" s="263"/>
      <c r="L73" s="263"/>
      <c r="M73" s="263"/>
      <c r="N73" s="263"/>
      <c r="O73" s="263"/>
      <c r="P73" s="95"/>
      <c r="Q73" s="95"/>
      <c r="R73" s="95"/>
      <c r="S73" s="95"/>
      <c r="T73" s="95"/>
      <c r="U73" s="95"/>
      <c r="V73" s="95"/>
      <c r="W73" s="95"/>
      <c r="X73" s="95"/>
      <c r="Y73" s="95"/>
      <c r="Z73" s="95"/>
      <c r="AA73" s="95"/>
      <c r="AB73" s="95"/>
      <c r="AC73" s="95"/>
      <c r="AD73" s="95"/>
      <c r="AE73" s="95"/>
      <c r="AF73" s="95"/>
      <c r="AG73" s="95"/>
      <c r="AH73" s="95"/>
      <c r="AI73" s="95"/>
      <c r="AJ73" s="95"/>
      <c r="AK73" s="95"/>
      <c r="AL73" s="95"/>
      <c r="AM73" s="95"/>
      <c r="AN73" s="264"/>
      <c r="AO73" s="95"/>
      <c r="AP73" s="95"/>
      <c r="AQ73" s="95"/>
      <c r="AR73" s="95"/>
      <c r="AS73" s="95"/>
      <c r="AT73" s="95"/>
      <c r="AU73" s="95"/>
      <c r="AV73" s="95"/>
      <c r="AW73" s="95"/>
      <c r="AX73" s="95"/>
      <c r="AY73" s="95"/>
      <c r="AZ73" s="95"/>
      <c r="BA73" s="95"/>
      <c r="BB73" s="95"/>
      <c r="BC73" s="214"/>
      <c r="BD73" s="95"/>
      <c r="BE73" s="95"/>
      <c r="BF73" s="95"/>
      <c r="BG73" s="95"/>
      <c r="BH73" s="95"/>
      <c r="BI73" s="95"/>
      <c r="BJ73" s="95"/>
      <c r="BK73" s="265"/>
      <c r="BL73" s="265"/>
      <c r="BM73" s="265"/>
      <c r="BN73" s="266"/>
      <c r="BO73" s="267"/>
      <c r="BP73" s="268"/>
      <c r="BQ73" s="269"/>
      <c r="BR73" s="269"/>
      <c r="BS73" s="269"/>
      <c r="BT73" s="269"/>
      <c r="BU73" s="269"/>
      <c r="BV73" s="269"/>
      <c r="BW73" s="268"/>
      <c r="BX73" s="269"/>
      <c r="BY73" s="268"/>
      <c r="BZ73" s="268"/>
      <c r="CA73" s="268"/>
      <c r="CB73" s="269"/>
      <c r="CC73" s="268"/>
      <c r="CD73" s="268"/>
      <c r="CE73" s="269"/>
      <c r="CF73" s="269"/>
      <c r="CG73" s="269"/>
      <c r="CH73" s="269"/>
      <c r="CI73" s="269"/>
      <c r="CJ73" s="269"/>
      <c r="CK73" s="269"/>
      <c r="CL73" s="266"/>
    </row>
    <row r="74" spans="1:90" s="270" customFormat="1" ht="15.6" customHeight="1">
      <c r="A74" s="95"/>
      <c r="B74" s="263"/>
      <c r="C74" s="263"/>
      <c r="D74" s="263"/>
      <c r="E74" s="263"/>
      <c r="F74" s="263"/>
      <c r="G74" s="263"/>
      <c r="H74" s="95"/>
      <c r="I74" s="95"/>
      <c r="J74" s="263"/>
      <c r="K74" s="263"/>
      <c r="L74" s="263"/>
      <c r="M74" s="263"/>
      <c r="N74" s="263"/>
      <c r="O74" s="263"/>
      <c r="P74" s="95"/>
      <c r="Q74" s="95"/>
      <c r="R74" s="95"/>
      <c r="S74" s="95"/>
      <c r="T74" s="95"/>
      <c r="U74" s="95"/>
      <c r="V74" s="95"/>
      <c r="W74" s="95"/>
      <c r="X74" s="95"/>
      <c r="Y74" s="95"/>
      <c r="Z74" s="95"/>
      <c r="AA74" s="95"/>
      <c r="AB74" s="95"/>
      <c r="AC74" s="95"/>
      <c r="AD74" s="95"/>
      <c r="AE74" s="95"/>
      <c r="AF74" s="95"/>
      <c r="AG74" s="95"/>
      <c r="AH74" s="95"/>
      <c r="AI74" s="95"/>
      <c r="AJ74" s="95"/>
      <c r="AK74" s="95"/>
      <c r="AL74" s="95"/>
      <c r="AM74" s="95"/>
      <c r="AN74" s="264"/>
      <c r="AO74" s="95"/>
      <c r="AP74" s="95"/>
      <c r="AQ74" s="95"/>
      <c r="AR74" s="95"/>
      <c r="AS74" s="95"/>
      <c r="AT74" s="95"/>
      <c r="AU74" s="95"/>
      <c r="AV74" s="95"/>
      <c r="AW74" s="95"/>
      <c r="AX74" s="95"/>
      <c r="AY74" s="95"/>
      <c r="AZ74" s="95"/>
      <c r="BA74" s="95"/>
      <c r="BB74" s="95"/>
      <c r="BC74" s="214"/>
      <c r="BD74" s="95"/>
      <c r="BE74" s="95"/>
      <c r="BF74" s="95"/>
      <c r="BG74" s="95"/>
      <c r="BH74" s="95"/>
      <c r="BI74" s="95"/>
      <c r="BJ74" s="95"/>
      <c r="BK74" s="265"/>
      <c r="BL74" s="265"/>
      <c r="BM74" s="265"/>
      <c r="BN74" s="266"/>
      <c r="BO74" s="267"/>
      <c r="BP74" s="268"/>
      <c r="BQ74" s="269"/>
      <c r="BR74" s="269"/>
      <c r="BS74" s="269"/>
      <c r="BT74" s="269"/>
      <c r="BU74" s="269"/>
      <c r="BV74" s="269"/>
      <c r="BW74" s="268"/>
      <c r="BX74" s="269"/>
      <c r="BY74" s="268"/>
      <c r="BZ74" s="268"/>
      <c r="CA74" s="268"/>
      <c r="CB74" s="269"/>
      <c r="CC74" s="268"/>
      <c r="CD74" s="268"/>
      <c r="CE74" s="269"/>
      <c r="CF74" s="269"/>
      <c r="CG74" s="269"/>
      <c r="CH74" s="269"/>
      <c r="CI74" s="269"/>
      <c r="CJ74" s="269"/>
      <c r="CK74" s="269"/>
      <c r="CL74" s="266"/>
    </row>
    <row r="75" spans="1:90" s="270" customFormat="1">
      <c r="A75" s="95"/>
      <c r="B75" s="263"/>
      <c r="C75" s="263"/>
      <c r="D75" s="263"/>
      <c r="E75" s="263"/>
      <c r="F75" s="263"/>
      <c r="G75" s="263"/>
      <c r="H75" s="95"/>
      <c r="I75" s="95"/>
      <c r="J75" s="263"/>
      <c r="K75" s="263"/>
      <c r="L75" s="263"/>
      <c r="M75" s="263"/>
      <c r="N75" s="263"/>
      <c r="O75" s="263"/>
      <c r="P75" s="95"/>
      <c r="Q75" s="95"/>
      <c r="R75" s="95"/>
      <c r="S75" s="95"/>
      <c r="T75" s="95"/>
      <c r="U75" s="95"/>
      <c r="V75" s="95"/>
      <c r="W75" s="95"/>
      <c r="X75" s="95"/>
      <c r="Y75" s="95"/>
      <c r="Z75" s="95"/>
      <c r="AA75" s="95"/>
      <c r="AB75" s="95"/>
      <c r="AC75" s="95"/>
      <c r="AD75" s="95"/>
      <c r="AE75" s="95"/>
      <c r="AF75" s="95"/>
      <c r="AG75" s="95"/>
      <c r="AH75" s="95"/>
      <c r="AI75" s="95"/>
      <c r="AJ75" s="95"/>
      <c r="AK75" s="95"/>
      <c r="AL75" s="95"/>
      <c r="AM75" s="95"/>
      <c r="AN75" s="264"/>
      <c r="AO75" s="95"/>
      <c r="AP75" s="95"/>
      <c r="AQ75" s="95"/>
      <c r="AR75" s="95"/>
      <c r="AS75" s="95"/>
      <c r="AT75" s="95"/>
      <c r="AU75" s="95"/>
      <c r="AV75" s="95"/>
      <c r="AW75" s="95"/>
      <c r="AX75" s="95"/>
      <c r="AY75" s="95"/>
      <c r="AZ75" s="95"/>
      <c r="BA75" s="95"/>
      <c r="BB75" s="95"/>
      <c r="BC75" s="214"/>
      <c r="BD75" s="95"/>
      <c r="BE75" s="95"/>
      <c r="BF75" s="95"/>
      <c r="BG75" s="95"/>
      <c r="BH75" s="95"/>
      <c r="BI75" s="95"/>
      <c r="BJ75" s="95"/>
      <c r="BK75" s="265"/>
      <c r="BL75" s="265"/>
      <c r="BM75" s="265"/>
      <c r="BN75" s="266"/>
      <c r="BO75" s="267"/>
      <c r="BP75" s="268"/>
      <c r="BQ75" s="269"/>
      <c r="BR75" s="269"/>
      <c r="BS75" s="269"/>
      <c r="BT75" s="269"/>
      <c r="BU75" s="269"/>
      <c r="BV75" s="269"/>
      <c r="BW75" s="268"/>
      <c r="BX75" s="269"/>
      <c r="BY75" s="268"/>
      <c r="BZ75" s="268"/>
      <c r="CA75" s="268"/>
      <c r="CB75" s="269"/>
      <c r="CC75" s="268"/>
      <c r="CD75" s="268"/>
      <c r="CE75" s="269"/>
      <c r="CF75" s="269"/>
      <c r="CG75" s="269"/>
      <c r="CH75" s="269"/>
      <c r="CI75" s="269"/>
      <c r="CJ75" s="269"/>
      <c r="CK75" s="269"/>
      <c r="CL75" s="266"/>
    </row>
    <row r="76" spans="1:90" s="270" customFormat="1">
      <c r="A76" s="95"/>
      <c r="B76" s="263"/>
      <c r="C76" s="263"/>
      <c r="D76" s="263"/>
      <c r="E76" s="263"/>
      <c r="F76" s="263"/>
      <c r="G76" s="263"/>
      <c r="H76" s="95"/>
      <c r="I76" s="95"/>
      <c r="J76" s="263"/>
      <c r="K76" s="263"/>
      <c r="L76" s="263"/>
      <c r="M76" s="263"/>
      <c r="N76" s="263"/>
      <c r="O76" s="263"/>
      <c r="P76" s="95"/>
      <c r="Q76" s="95"/>
      <c r="R76" s="95"/>
      <c r="S76" s="95"/>
      <c r="T76" s="95"/>
      <c r="U76" s="95"/>
      <c r="V76" s="95"/>
      <c r="W76" s="95"/>
      <c r="X76" s="95"/>
      <c r="Y76" s="95"/>
      <c r="Z76" s="95"/>
      <c r="AA76" s="95"/>
      <c r="AB76" s="95"/>
      <c r="AC76" s="95"/>
      <c r="AD76" s="95"/>
      <c r="AE76" s="95"/>
      <c r="AF76" s="95"/>
      <c r="AG76" s="95"/>
      <c r="AH76" s="95"/>
      <c r="AI76" s="95"/>
      <c r="AJ76" s="95"/>
      <c r="AK76" s="95"/>
      <c r="AL76" s="95"/>
      <c r="AM76" s="95"/>
      <c r="AN76" s="264"/>
      <c r="AO76" s="95"/>
      <c r="AP76" s="95"/>
      <c r="AQ76" s="95"/>
      <c r="AR76" s="95"/>
      <c r="AS76" s="95"/>
      <c r="AT76" s="95"/>
      <c r="AU76" s="95"/>
      <c r="AV76" s="95"/>
      <c r="AW76" s="95"/>
      <c r="AX76" s="95"/>
      <c r="AY76" s="95"/>
      <c r="AZ76" s="95"/>
      <c r="BA76" s="95"/>
      <c r="BB76" s="95"/>
      <c r="BC76" s="214"/>
      <c r="BD76" s="95"/>
      <c r="BE76" s="95"/>
      <c r="BF76" s="95"/>
      <c r="BG76" s="95"/>
      <c r="BH76" s="95"/>
      <c r="BI76" s="95"/>
      <c r="BJ76" s="95"/>
      <c r="BK76" s="265"/>
      <c r="BL76" s="265"/>
      <c r="BM76" s="265"/>
      <c r="BN76" s="266"/>
      <c r="BO76" s="267"/>
      <c r="BP76" s="268"/>
      <c r="BQ76" s="269"/>
      <c r="BR76" s="269"/>
      <c r="BS76" s="269"/>
      <c r="BT76" s="269"/>
      <c r="BU76" s="269"/>
      <c r="BV76" s="269"/>
      <c r="BW76" s="268"/>
      <c r="BX76" s="269"/>
      <c r="BY76" s="268"/>
      <c r="BZ76" s="268"/>
      <c r="CA76" s="268"/>
      <c r="CB76" s="269"/>
      <c r="CC76" s="268"/>
      <c r="CD76" s="268"/>
      <c r="CE76" s="269"/>
      <c r="CF76" s="269"/>
      <c r="CG76" s="269"/>
      <c r="CH76" s="269"/>
      <c r="CI76" s="269"/>
      <c r="CJ76" s="269"/>
      <c r="CK76" s="269"/>
      <c r="CL76" s="266"/>
    </row>
    <row r="77" spans="1:90" s="270" customFormat="1">
      <c r="A77" s="95"/>
      <c r="B77" s="263"/>
      <c r="C77" s="263"/>
      <c r="D77" s="263"/>
      <c r="E77" s="263"/>
      <c r="F77" s="263"/>
      <c r="G77" s="263"/>
      <c r="H77" s="95"/>
      <c r="I77" s="95"/>
      <c r="J77" s="263"/>
      <c r="K77" s="263"/>
      <c r="L77" s="263"/>
      <c r="M77" s="263"/>
      <c r="N77" s="263"/>
      <c r="O77" s="263"/>
      <c r="P77" s="95"/>
      <c r="Q77" s="95"/>
      <c r="R77" s="95"/>
      <c r="S77" s="95"/>
      <c r="T77" s="95"/>
      <c r="U77" s="95"/>
      <c r="V77" s="95"/>
      <c r="W77" s="95"/>
      <c r="X77" s="95"/>
      <c r="Y77" s="95"/>
      <c r="Z77" s="95"/>
      <c r="AA77" s="95"/>
      <c r="AB77" s="95"/>
      <c r="AC77" s="95"/>
      <c r="AD77" s="95"/>
      <c r="AE77" s="95"/>
      <c r="AF77" s="95"/>
      <c r="AG77" s="95"/>
      <c r="AH77" s="95"/>
      <c r="AI77" s="95"/>
      <c r="AJ77" s="95"/>
      <c r="AK77" s="95"/>
      <c r="AL77" s="95"/>
      <c r="AM77" s="95"/>
      <c r="AN77" s="264"/>
      <c r="AO77" s="95"/>
      <c r="AP77" s="95"/>
      <c r="AQ77" s="95"/>
      <c r="AR77" s="95"/>
      <c r="AS77" s="95"/>
      <c r="AT77" s="95"/>
      <c r="AU77" s="95"/>
      <c r="AV77" s="95"/>
      <c r="AW77" s="95"/>
      <c r="AX77" s="95"/>
      <c r="AY77" s="95"/>
      <c r="AZ77" s="95"/>
      <c r="BA77" s="95"/>
      <c r="BB77" s="95"/>
      <c r="BC77" s="214"/>
      <c r="BD77" s="95"/>
      <c r="BE77" s="95"/>
      <c r="BF77" s="95"/>
      <c r="BG77" s="95"/>
      <c r="BH77" s="95"/>
      <c r="BI77" s="95"/>
      <c r="BJ77" s="95"/>
      <c r="BK77" s="265"/>
      <c r="BL77" s="265"/>
      <c r="BM77" s="265"/>
      <c r="BN77" s="266"/>
      <c r="BO77" s="267"/>
      <c r="BP77" s="268"/>
      <c r="BQ77" s="269"/>
      <c r="BR77" s="269"/>
      <c r="BS77" s="269"/>
      <c r="BT77" s="269"/>
      <c r="BU77" s="269"/>
      <c r="BV77" s="269"/>
      <c r="BW77" s="268"/>
      <c r="BX77" s="269"/>
      <c r="BY77" s="268"/>
      <c r="BZ77" s="268"/>
      <c r="CA77" s="268"/>
      <c r="CB77" s="269"/>
      <c r="CC77" s="268"/>
      <c r="CD77" s="268"/>
      <c r="CE77" s="269"/>
      <c r="CF77" s="269"/>
      <c r="CG77" s="269"/>
      <c r="CH77" s="269"/>
      <c r="CI77" s="269"/>
      <c r="CJ77" s="269"/>
      <c r="CK77" s="269"/>
      <c r="CL77" s="266"/>
    </row>
    <row r="78" spans="1:90" s="270" customFormat="1">
      <c r="A78" s="95"/>
      <c r="B78" s="263"/>
      <c r="C78" s="263"/>
      <c r="D78" s="263"/>
      <c r="E78" s="263"/>
      <c r="F78" s="263"/>
      <c r="G78" s="263"/>
      <c r="H78" s="95"/>
      <c r="I78" s="95"/>
      <c r="J78" s="263"/>
      <c r="K78" s="263"/>
      <c r="L78" s="263"/>
      <c r="M78" s="263"/>
      <c r="N78" s="263"/>
      <c r="O78" s="263"/>
      <c r="P78" s="95"/>
      <c r="Q78" s="95"/>
      <c r="R78" s="95"/>
      <c r="S78" s="95"/>
      <c r="T78" s="95"/>
      <c r="U78" s="95"/>
      <c r="V78" s="95"/>
      <c r="W78" s="95"/>
      <c r="X78" s="95"/>
      <c r="Y78" s="95"/>
      <c r="Z78" s="95"/>
      <c r="AA78" s="95"/>
      <c r="AB78" s="95"/>
      <c r="AC78" s="95"/>
      <c r="AD78" s="95"/>
      <c r="AE78" s="95"/>
      <c r="AF78" s="95"/>
      <c r="AG78" s="95"/>
      <c r="AH78" s="95"/>
      <c r="AI78" s="95"/>
      <c r="AJ78" s="95"/>
      <c r="AK78" s="95"/>
      <c r="AL78" s="95"/>
      <c r="AM78" s="95"/>
      <c r="AN78" s="264"/>
      <c r="AO78" s="95"/>
      <c r="AP78" s="95"/>
      <c r="AQ78" s="95"/>
      <c r="AR78" s="95"/>
      <c r="AS78" s="95"/>
      <c r="AT78" s="95"/>
      <c r="AU78" s="95"/>
      <c r="AV78" s="95"/>
      <c r="AW78" s="95"/>
      <c r="AX78" s="95"/>
      <c r="AY78" s="95"/>
      <c r="AZ78" s="95"/>
      <c r="BA78" s="95"/>
      <c r="BB78" s="95"/>
      <c r="BC78" s="214"/>
      <c r="BD78" s="95"/>
      <c r="BE78" s="95"/>
      <c r="BF78" s="95"/>
      <c r="BG78" s="95"/>
      <c r="BH78" s="95"/>
      <c r="BI78" s="95"/>
      <c r="BJ78" s="95"/>
      <c r="BK78" s="265"/>
      <c r="BL78" s="265"/>
      <c r="BM78" s="265"/>
      <c r="BN78" s="266"/>
      <c r="BO78" s="267"/>
      <c r="BP78" s="268"/>
      <c r="BQ78" s="269"/>
      <c r="BR78" s="269"/>
      <c r="BS78" s="269"/>
      <c r="BT78" s="269"/>
      <c r="BU78" s="269"/>
      <c r="BV78" s="269"/>
      <c r="BW78" s="268"/>
      <c r="BX78" s="269"/>
      <c r="BY78" s="268"/>
      <c r="BZ78" s="268"/>
      <c r="CA78" s="268"/>
      <c r="CB78" s="269"/>
      <c r="CC78" s="268"/>
      <c r="CD78" s="268"/>
      <c r="CE78" s="269"/>
      <c r="CF78" s="269"/>
      <c r="CG78" s="269"/>
      <c r="CH78" s="269"/>
      <c r="CI78" s="269"/>
      <c r="CJ78" s="269"/>
      <c r="CK78" s="269"/>
      <c r="CL78" s="266"/>
    </row>
    <row r="79" spans="1:90" s="270" customFormat="1">
      <c r="A79" s="95"/>
      <c r="B79" s="263"/>
      <c r="C79" s="263"/>
      <c r="D79" s="263"/>
      <c r="E79" s="263"/>
      <c r="F79" s="263"/>
      <c r="G79" s="263"/>
      <c r="H79" s="95"/>
      <c r="I79" s="95"/>
      <c r="J79" s="263"/>
      <c r="K79" s="263"/>
      <c r="L79" s="263"/>
      <c r="M79" s="263"/>
      <c r="N79" s="263"/>
      <c r="O79" s="263"/>
      <c r="P79" s="95"/>
      <c r="Q79" s="95"/>
      <c r="R79" s="95"/>
      <c r="S79" s="95"/>
      <c r="T79" s="95"/>
      <c r="U79" s="95"/>
      <c r="V79" s="95"/>
      <c r="W79" s="95"/>
      <c r="X79" s="95"/>
      <c r="Y79" s="95"/>
      <c r="Z79" s="95"/>
      <c r="AA79" s="95"/>
      <c r="AB79" s="95"/>
      <c r="AC79" s="95"/>
      <c r="AD79" s="95"/>
      <c r="AE79" s="95"/>
      <c r="AF79" s="95"/>
      <c r="AG79" s="95"/>
      <c r="AH79" s="95"/>
      <c r="AI79" s="95"/>
      <c r="AJ79" s="95"/>
      <c r="AK79" s="95"/>
      <c r="AL79" s="95"/>
      <c r="AM79" s="95"/>
      <c r="AN79" s="264"/>
      <c r="AO79" s="95"/>
      <c r="AP79" s="95"/>
      <c r="AQ79" s="95"/>
      <c r="AR79" s="95"/>
      <c r="AS79" s="95"/>
      <c r="AT79" s="95"/>
      <c r="AU79" s="95"/>
      <c r="AV79" s="95"/>
      <c r="AW79" s="95"/>
      <c r="AX79" s="95"/>
      <c r="AY79" s="95"/>
      <c r="AZ79" s="95"/>
      <c r="BA79" s="95"/>
      <c r="BB79" s="95"/>
      <c r="BC79" s="214"/>
      <c r="BD79" s="95"/>
      <c r="BE79" s="95"/>
      <c r="BF79" s="95"/>
      <c r="BG79" s="95"/>
      <c r="BH79" s="95"/>
      <c r="BI79" s="95"/>
      <c r="BJ79" s="95"/>
      <c r="BK79" s="265"/>
      <c r="BL79" s="265"/>
      <c r="BM79" s="265"/>
      <c r="BN79" s="266"/>
      <c r="BO79" s="267"/>
      <c r="BP79" s="268"/>
      <c r="BQ79" s="269"/>
      <c r="BR79" s="269"/>
      <c r="BS79" s="269"/>
      <c r="BT79" s="269"/>
      <c r="BU79" s="269"/>
      <c r="BV79" s="269"/>
      <c r="BW79" s="268"/>
      <c r="BX79" s="269"/>
      <c r="BY79" s="268"/>
      <c r="BZ79" s="268"/>
      <c r="CA79" s="268"/>
      <c r="CB79" s="269"/>
      <c r="CC79" s="268"/>
      <c r="CD79" s="268"/>
      <c r="CE79" s="269"/>
      <c r="CF79" s="269"/>
      <c r="CG79" s="269"/>
      <c r="CH79" s="269"/>
      <c r="CI79" s="269"/>
      <c r="CJ79" s="269"/>
      <c r="CK79" s="269"/>
      <c r="CL79" s="266"/>
    </row>
    <row r="80" spans="1:90" s="270" customFormat="1">
      <c r="A80" s="95"/>
      <c r="B80" s="263"/>
      <c r="C80" s="263"/>
      <c r="D80" s="263"/>
      <c r="E80" s="263"/>
      <c r="F80" s="263"/>
      <c r="G80" s="263"/>
      <c r="H80" s="95"/>
      <c r="I80" s="95"/>
      <c r="J80" s="263"/>
      <c r="K80" s="263"/>
      <c r="L80" s="263"/>
      <c r="M80" s="263"/>
      <c r="N80" s="263"/>
      <c r="O80" s="263"/>
      <c r="P80" s="95"/>
      <c r="Q80" s="95"/>
      <c r="R80" s="95"/>
      <c r="S80" s="95"/>
      <c r="T80" s="95"/>
      <c r="U80" s="95"/>
      <c r="V80" s="95"/>
      <c r="W80" s="95"/>
      <c r="X80" s="95"/>
      <c r="Y80" s="95"/>
      <c r="Z80" s="95"/>
      <c r="AA80" s="95"/>
      <c r="AB80" s="95"/>
      <c r="AC80" s="95"/>
      <c r="AD80" s="95"/>
      <c r="AE80" s="95"/>
      <c r="AF80" s="95"/>
      <c r="AG80" s="95"/>
      <c r="AH80" s="95"/>
      <c r="AI80" s="95"/>
      <c r="AJ80" s="95"/>
      <c r="AK80" s="95"/>
      <c r="AL80" s="95"/>
      <c r="AM80" s="95"/>
      <c r="AN80" s="264"/>
      <c r="AO80" s="95"/>
      <c r="AP80" s="95"/>
      <c r="AQ80" s="95"/>
      <c r="AR80" s="95"/>
      <c r="AS80" s="95"/>
      <c r="AT80" s="95"/>
      <c r="AU80" s="95"/>
      <c r="AV80" s="95"/>
      <c r="AW80" s="95"/>
      <c r="AX80" s="95"/>
      <c r="AY80" s="95"/>
      <c r="AZ80" s="95"/>
      <c r="BA80" s="95"/>
      <c r="BB80" s="95"/>
      <c r="BC80" s="214"/>
      <c r="BD80" s="95"/>
      <c r="BE80" s="95"/>
      <c r="BF80" s="95"/>
      <c r="BG80" s="95"/>
      <c r="BH80" s="95"/>
      <c r="BI80" s="95"/>
      <c r="BJ80" s="95"/>
      <c r="BK80" s="265"/>
      <c r="BL80" s="265"/>
      <c r="BM80" s="265"/>
      <c r="BN80" s="266"/>
      <c r="BO80" s="267"/>
      <c r="BP80" s="268"/>
      <c r="BQ80" s="269"/>
      <c r="BR80" s="269"/>
      <c r="BS80" s="269"/>
      <c r="BT80" s="269"/>
      <c r="BU80" s="269"/>
      <c r="BV80" s="269"/>
      <c r="BW80" s="268"/>
      <c r="BX80" s="269"/>
      <c r="BY80" s="268"/>
      <c r="BZ80" s="268"/>
      <c r="CA80" s="268"/>
      <c r="CB80" s="269"/>
      <c r="CC80" s="268"/>
      <c r="CD80" s="268"/>
      <c r="CE80" s="269"/>
      <c r="CF80" s="269"/>
      <c r="CG80" s="269"/>
      <c r="CH80" s="269"/>
      <c r="CI80" s="269"/>
      <c r="CJ80" s="269"/>
      <c r="CK80" s="269"/>
      <c r="CL80" s="266"/>
    </row>
    <row r="81" spans="1:90" s="270" customFormat="1" ht="14.25" customHeight="1">
      <c r="A81" s="95"/>
      <c r="B81" s="263"/>
      <c r="C81" s="263"/>
      <c r="D81" s="263"/>
      <c r="E81" s="263"/>
      <c r="F81" s="263"/>
      <c r="G81" s="263"/>
      <c r="H81" s="95"/>
      <c r="I81" s="95"/>
      <c r="J81" s="263"/>
      <c r="K81" s="263"/>
      <c r="L81" s="263"/>
      <c r="M81" s="263"/>
      <c r="N81" s="263"/>
      <c r="O81" s="263"/>
      <c r="P81" s="95"/>
      <c r="Q81" s="95"/>
      <c r="R81" s="95"/>
      <c r="S81" s="95"/>
      <c r="T81" s="95"/>
      <c r="U81" s="95"/>
      <c r="V81" s="95"/>
      <c r="W81" s="95"/>
      <c r="X81" s="95"/>
      <c r="Y81" s="95"/>
      <c r="Z81" s="95"/>
      <c r="AA81" s="95"/>
      <c r="AB81" s="95"/>
      <c r="AC81" s="95"/>
      <c r="AD81" s="95"/>
      <c r="AE81" s="95"/>
      <c r="AF81" s="95"/>
      <c r="AG81" s="95"/>
      <c r="AH81" s="95"/>
      <c r="AI81" s="95"/>
      <c r="AJ81" s="95"/>
      <c r="AK81" s="95"/>
      <c r="AL81" s="95"/>
      <c r="AM81" s="95"/>
      <c r="AN81" s="264"/>
      <c r="AO81" s="95"/>
      <c r="AP81" s="95"/>
      <c r="AQ81" s="95"/>
      <c r="AR81" s="95"/>
      <c r="AS81" s="95"/>
      <c r="AT81" s="95"/>
      <c r="AU81" s="95"/>
      <c r="AV81" s="95"/>
      <c r="AW81" s="95"/>
      <c r="AX81" s="95"/>
      <c r="AY81" s="95"/>
      <c r="AZ81" s="95"/>
      <c r="BA81" s="95"/>
      <c r="BB81" s="95"/>
      <c r="BC81" s="214"/>
      <c r="BD81" s="95"/>
      <c r="BE81" s="95"/>
      <c r="BF81" s="95"/>
      <c r="BG81" s="95"/>
      <c r="BH81" s="95"/>
      <c r="BI81" s="95"/>
      <c r="BJ81" s="95"/>
      <c r="BK81" s="265"/>
      <c r="BL81" s="265"/>
      <c r="BM81" s="265"/>
      <c r="BN81" s="266"/>
      <c r="BO81" s="267"/>
      <c r="BP81" s="268"/>
      <c r="BQ81" s="269"/>
      <c r="BR81" s="269"/>
      <c r="BS81" s="269"/>
      <c r="BT81" s="269"/>
      <c r="BU81" s="269"/>
      <c r="BV81" s="269"/>
      <c r="BW81" s="268"/>
      <c r="BX81" s="269"/>
      <c r="BY81" s="268"/>
      <c r="BZ81" s="268"/>
      <c r="CA81" s="268"/>
      <c r="CB81" s="269"/>
      <c r="CC81" s="268"/>
      <c r="CD81" s="268"/>
      <c r="CE81" s="269"/>
      <c r="CF81" s="269"/>
      <c r="CG81" s="269"/>
      <c r="CH81" s="269"/>
      <c r="CI81" s="269"/>
      <c r="CJ81" s="269"/>
      <c r="CK81" s="269"/>
      <c r="CL81" s="266"/>
    </row>
    <row r="82" spans="1:90" s="270" customFormat="1" ht="13.5" customHeight="1">
      <c r="A82" s="95"/>
      <c r="B82" s="263"/>
      <c r="C82" s="263"/>
      <c r="D82" s="263"/>
      <c r="E82" s="263"/>
      <c r="F82" s="263"/>
      <c r="G82" s="263"/>
      <c r="H82" s="95"/>
      <c r="I82" s="95"/>
      <c r="J82" s="263"/>
      <c r="K82" s="263"/>
      <c r="L82" s="263"/>
      <c r="M82" s="263"/>
      <c r="N82" s="263"/>
      <c r="O82" s="263"/>
      <c r="P82" s="95"/>
      <c r="Q82" s="95"/>
      <c r="R82" s="95"/>
      <c r="S82" s="95"/>
      <c r="T82" s="95"/>
      <c r="U82" s="95"/>
      <c r="V82" s="95"/>
      <c r="W82" s="95"/>
      <c r="X82" s="95"/>
      <c r="Y82" s="95"/>
      <c r="Z82" s="95"/>
      <c r="AA82" s="95"/>
      <c r="AB82" s="95"/>
      <c r="AC82" s="95"/>
      <c r="AD82" s="95"/>
      <c r="AE82" s="95"/>
      <c r="AF82" s="95"/>
      <c r="AG82" s="95"/>
      <c r="AH82" s="95"/>
      <c r="AI82" s="95"/>
      <c r="AJ82" s="95"/>
      <c r="AK82" s="95"/>
      <c r="AL82" s="95"/>
      <c r="AM82" s="95"/>
      <c r="AN82" s="264"/>
      <c r="AO82" s="95"/>
      <c r="AP82" s="95"/>
      <c r="AQ82" s="95"/>
      <c r="AR82" s="95"/>
      <c r="AS82" s="95"/>
      <c r="AT82" s="95"/>
      <c r="AU82" s="95"/>
      <c r="AV82" s="95"/>
      <c r="AW82" s="95"/>
      <c r="AX82" s="95"/>
      <c r="AY82" s="95"/>
      <c r="AZ82" s="95"/>
      <c r="BA82" s="95"/>
      <c r="BB82" s="95"/>
      <c r="BC82" s="214"/>
      <c r="BD82" s="95"/>
      <c r="BE82" s="95"/>
      <c r="BF82" s="95"/>
      <c r="BG82" s="95"/>
      <c r="BH82" s="95"/>
      <c r="BI82" s="95"/>
      <c r="BJ82" s="95"/>
      <c r="BK82" s="265"/>
      <c r="BL82" s="265"/>
      <c r="BM82" s="265"/>
      <c r="BN82" s="266"/>
      <c r="BO82" s="267"/>
      <c r="BP82" s="268"/>
      <c r="BQ82" s="269"/>
      <c r="BR82" s="269"/>
      <c r="BS82" s="269"/>
      <c r="BT82" s="269"/>
      <c r="BU82" s="269"/>
      <c r="BV82" s="269"/>
      <c r="BW82" s="268"/>
      <c r="BX82" s="269"/>
      <c r="BY82" s="268"/>
      <c r="BZ82" s="268"/>
      <c r="CA82" s="268"/>
      <c r="CB82" s="269"/>
      <c r="CC82" s="268"/>
      <c r="CD82" s="268"/>
      <c r="CE82" s="269"/>
      <c r="CF82" s="269"/>
      <c r="CG82" s="269"/>
      <c r="CH82" s="269"/>
      <c r="CI82" s="269"/>
      <c r="CJ82" s="269"/>
      <c r="CK82" s="269"/>
      <c r="CL82" s="266"/>
    </row>
    <row r="83" spans="1:90" s="270" customFormat="1" ht="17.399999999999999" customHeight="1">
      <c r="A83" s="95"/>
      <c r="B83" s="263"/>
      <c r="C83" s="263"/>
      <c r="D83" s="263"/>
      <c r="E83" s="263"/>
      <c r="F83" s="263"/>
      <c r="G83" s="263"/>
      <c r="H83" s="95"/>
      <c r="I83" s="95"/>
      <c r="J83" s="263"/>
      <c r="K83" s="263"/>
      <c r="L83" s="263"/>
      <c r="M83" s="263"/>
      <c r="N83" s="263"/>
      <c r="O83" s="263"/>
      <c r="P83" s="95"/>
      <c r="Q83" s="95"/>
      <c r="R83" s="95"/>
      <c r="S83" s="95"/>
      <c r="T83" s="95"/>
      <c r="U83" s="95"/>
      <c r="V83" s="95"/>
      <c r="W83" s="95"/>
      <c r="X83" s="95"/>
      <c r="Y83" s="95"/>
      <c r="Z83" s="95"/>
      <c r="AA83" s="95"/>
      <c r="AB83" s="95"/>
      <c r="AC83" s="95"/>
      <c r="AD83" s="95"/>
      <c r="AE83" s="95"/>
      <c r="AF83" s="95"/>
      <c r="AG83" s="95"/>
      <c r="AH83" s="95"/>
      <c r="AI83" s="95"/>
      <c r="AJ83" s="95"/>
      <c r="AK83" s="95"/>
      <c r="AL83" s="95"/>
      <c r="AM83" s="95"/>
      <c r="AN83" s="264"/>
      <c r="AO83" s="95"/>
      <c r="AP83" s="95"/>
      <c r="AQ83" s="95"/>
      <c r="AR83" s="95"/>
      <c r="AS83" s="95"/>
      <c r="AT83" s="95"/>
      <c r="AU83" s="95"/>
      <c r="AV83" s="95"/>
      <c r="AW83" s="95"/>
      <c r="AX83" s="95"/>
      <c r="AY83" s="95"/>
      <c r="AZ83" s="95"/>
      <c r="BA83" s="95"/>
      <c r="BB83" s="95"/>
      <c r="BC83" s="214"/>
      <c r="BD83" s="95"/>
      <c r="BE83" s="95"/>
      <c r="BF83" s="95"/>
      <c r="BG83" s="95"/>
      <c r="BH83" s="95"/>
      <c r="BI83" s="95"/>
      <c r="BJ83" s="95"/>
      <c r="BK83" s="265"/>
      <c r="BL83" s="265"/>
      <c r="BM83" s="265"/>
      <c r="BN83" s="266"/>
      <c r="BO83" s="267"/>
      <c r="BP83" s="268"/>
      <c r="BQ83" s="269"/>
      <c r="BR83" s="269"/>
      <c r="BS83" s="269"/>
      <c r="BT83" s="269"/>
      <c r="BU83" s="269"/>
      <c r="BV83" s="269"/>
      <c r="BW83" s="268"/>
      <c r="BX83" s="269"/>
      <c r="BY83" s="268"/>
      <c r="BZ83" s="268"/>
      <c r="CA83" s="268"/>
      <c r="CB83" s="269"/>
      <c r="CC83" s="268"/>
      <c r="CD83" s="268"/>
      <c r="CE83" s="269"/>
      <c r="CF83" s="269"/>
      <c r="CG83" s="269"/>
      <c r="CH83" s="269"/>
      <c r="CI83" s="269"/>
      <c r="CJ83" s="269"/>
      <c r="CK83" s="269"/>
      <c r="CL83" s="266"/>
    </row>
    <row r="84" spans="1:90" s="270" customFormat="1" ht="17.399999999999999" customHeight="1">
      <c r="A84" s="95"/>
      <c r="B84" s="263"/>
      <c r="C84" s="263"/>
      <c r="D84" s="263"/>
      <c r="E84" s="263"/>
      <c r="F84" s="263"/>
      <c r="G84" s="263"/>
      <c r="H84" s="95"/>
      <c r="I84" s="95"/>
      <c r="J84" s="263"/>
      <c r="K84" s="263"/>
      <c r="L84" s="263"/>
      <c r="M84" s="263"/>
      <c r="N84" s="263"/>
      <c r="O84" s="263"/>
      <c r="P84" s="95"/>
      <c r="Q84" s="95"/>
      <c r="R84" s="95"/>
      <c r="S84" s="95"/>
      <c r="T84" s="95"/>
      <c r="U84" s="95"/>
      <c r="V84" s="95"/>
      <c r="W84" s="95"/>
      <c r="X84" s="95"/>
      <c r="Y84" s="95"/>
      <c r="Z84" s="95"/>
      <c r="AA84" s="95"/>
      <c r="AB84" s="95"/>
      <c r="AC84" s="95"/>
      <c r="AD84" s="95"/>
      <c r="AE84" s="95"/>
      <c r="AF84" s="95"/>
      <c r="AG84" s="95"/>
      <c r="AH84" s="95"/>
      <c r="AI84" s="95"/>
      <c r="AJ84" s="95"/>
      <c r="AK84" s="95"/>
      <c r="AL84" s="95"/>
      <c r="AM84" s="95"/>
      <c r="AN84" s="264"/>
      <c r="AO84" s="95"/>
      <c r="AP84" s="95"/>
      <c r="AQ84" s="95"/>
      <c r="AR84" s="95"/>
      <c r="AS84" s="95"/>
      <c r="AT84" s="95"/>
      <c r="AU84" s="95"/>
      <c r="AV84" s="95"/>
      <c r="AW84" s="95"/>
      <c r="AX84" s="95"/>
      <c r="AY84" s="95"/>
      <c r="AZ84" s="95"/>
      <c r="BA84" s="95"/>
      <c r="BB84" s="95"/>
      <c r="BC84" s="214"/>
      <c r="BD84" s="95"/>
      <c r="BE84" s="95"/>
      <c r="BF84" s="95"/>
      <c r="BG84" s="95"/>
      <c r="BH84" s="95"/>
      <c r="BI84" s="95"/>
      <c r="BJ84" s="95"/>
      <c r="BK84" s="265"/>
      <c r="BL84" s="265"/>
      <c r="BM84" s="265"/>
      <c r="BN84" s="266"/>
      <c r="BO84" s="267"/>
      <c r="BP84" s="268"/>
      <c r="BQ84" s="269"/>
      <c r="BR84" s="269"/>
      <c r="BS84" s="269"/>
      <c r="BT84" s="269"/>
      <c r="BU84" s="269"/>
      <c r="BV84" s="269"/>
      <c r="BW84" s="268"/>
      <c r="BX84" s="269"/>
      <c r="BY84" s="268"/>
      <c r="BZ84" s="268"/>
      <c r="CA84" s="268"/>
      <c r="CB84" s="269"/>
      <c r="CC84" s="268"/>
      <c r="CD84" s="268"/>
      <c r="CE84" s="269"/>
      <c r="CF84" s="269"/>
      <c r="CG84" s="269"/>
      <c r="CH84" s="269"/>
      <c r="CI84" s="269"/>
      <c r="CJ84" s="269"/>
      <c r="CK84" s="269"/>
      <c r="CL84" s="266"/>
    </row>
    <row r="85" spans="1:90" s="270" customFormat="1">
      <c r="A85" s="95"/>
      <c r="B85" s="263"/>
      <c r="C85" s="263"/>
      <c r="D85" s="263"/>
      <c r="E85" s="263"/>
      <c r="F85" s="263"/>
      <c r="G85" s="263"/>
      <c r="H85" s="95"/>
      <c r="I85" s="95"/>
      <c r="J85" s="263"/>
      <c r="K85" s="263"/>
      <c r="L85" s="263"/>
      <c r="M85" s="263"/>
      <c r="N85" s="263"/>
      <c r="O85" s="263"/>
      <c r="P85" s="95"/>
      <c r="Q85" s="95"/>
      <c r="R85" s="95"/>
      <c r="S85" s="95"/>
      <c r="T85" s="95"/>
      <c r="U85" s="95"/>
      <c r="V85" s="95"/>
      <c r="W85" s="95"/>
      <c r="X85" s="95"/>
      <c r="Y85" s="95"/>
      <c r="Z85" s="95"/>
      <c r="AA85" s="95"/>
      <c r="AB85" s="95"/>
      <c r="AC85" s="95"/>
      <c r="AD85" s="95"/>
      <c r="AE85" s="95"/>
      <c r="AF85" s="95"/>
      <c r="AG85" s="95"/>
      <c r="AH85" s="95"/>
      <c r="AI85" s="95"/>
      <c r="AJ85" s="95"/>
      <c r="AK85" s="95"/>
      <c r="AL85" s="95"/>
      <c r="AM85" s="95"/>
      <c r="AN85" s="264"/>
      <c r="AO85" s="95"/>
      <c r="AP85" s="95"/>
      <c r="AQ85" s="95"/>
      <c r="AR85" s="95"/>
      <c r="AS85" s="95"/>
      <c r="AT85" s="95"/>
      <c r="AU85" s="95"/>
      <c r="AV85" s="95"/>
      <c r="AW85" s="95"/>
      <c r="AX85" s="95"/>
      <c r="AY85" s="95"/>
      <c r="AZ85" s="95"/>
      <c r="BA85" s="95"/>
      <c r="BB85" s="95"/>
      <c r="BC85" s="214"/>
      <c r="BD85" s="95"/>
      <c r="BE85" s="95"/>
      <c r="BF85" s="95"/>
      <c r="BG85" s="95"/>
      <c r="BH85" s="95"/>
      <c r="BI85" s="95"/>
      <c r="BJ85" s="95"/>
      <c r="BK85" s="265"/>
      <c r="BL85" s="265"/>
      <c r="BM85" s="265"/>
      <c r="BN85" s="266"/>
      <c r="BO85" s="267"/>
      <c r="BP85" s="268"/>
      <c r="BQ85" s="269"/>
      <c r="BR85" s="269"/>
      <c r="BS85" s="269"/>
      <c r="BT85" s="269"/>
      <c r="BU85" s="269"/>
      <c r="BV85" s="269"/>
      <c r="BW85" s="268"/>
      <c r="BX85" s="269"/>
      <c r="BY85" s="268"/>
      <c r="BZ85" s="268"/>
      <c r="CA85" s="268"/>
      <c r="CB85" s="269"/>
      <c r="CC85" s="268"/>
      <c r="CD85" s="268"/>
      <c r="CE85" s="269"/>
      <c r="CF85" s="269"/>
      <c r="CG85" s="269"/>
      <c r="CH85" s="269"/>
      <c r="CI85" s="269"/>
      <c r="CJ85" s="269"/>
      <c r="CK85" s="269"/>
      <c r="CL85" s="266"/>
    </row>
    <row r="86" spans="1:90" s="270" customFormat="1">
      <c r="A86" s="95"/>
      <c r="B86" s="263"/>
      <c r="C86" s="263"/>
      <c r="D86" s="263"/>
      <c r="E86" s="263"/>
      <c r="F86" s="263"/>
      <c r="G86" s="263"/>
      <c r="H86" s="95"/>
      <c r="I86" s="95"/>
      <c r="J86" s="263"/>
      <c r="K86" s="263"/>
      <c r="L86" s="263"/>
      <c r="M86" s="263"/>
      <c r="N86" s="263"/>
      <c r="O86" s="263"/>
      <c r="P86" s="95"/>
      <c r="Q86" s="95"/>
      <c r="R86" s="95"/>
      <c r="S86" s="95"/>
      <c r="T86" s="95"/>
      <c r="U86" s="95"/>
      <c r="V86" s="95"/>
      <c r="W86" s="95"/>
      <c r="X86" s="95"/>
      <c r="Y86" s="95"/>
      <c r="Z86" s="95"/>
      <c r="AA86" s="95"/>
      <c r="AB86" s="95"/>
      <c r="AC86" s="95"/>
      <c r="AD86" s="95"/>
      <c r="AE86" s="95"/>
      <c r="AF86" s="95"/>
      <c r="AG86" s="95"/>
      <c r="AH86" s="95"/>
      <c r="AI86" s="95"/>
      <c r="AJ86" s="95"/>
      <c r="AK86" s="95"/>
      <c r="AL86" s="95"/>
      <c r="AM86" s="95"/>
      <c r="AN86" s="264"/>
      <c r="AO86" s="95"/>
      <c r="AP86" s="95"/>
      <c r="AQ86" s="95"/>
      <c r="AR86" s="95"/>
      <c r="AS86" s="95"/>
      <c r="AT86" s="95"/>
      <c r="AU86" s="95"/>
      <c r="AV86" s="95"/>
      <c r="AW86" s="95"/>
      <c r="AX86" s="95"/>
      <c r="AY86" s="95"/>
      <c r="AZ86" s="95"/>
      <c r="BA86" s="95"/>
      <c r="BB86" s="95"/>
      <c r="BC86" s="214"/>
      <c r="BD86" s="95"/>
      <c r="BE86" s="95"/>
      <c r="BF86" s="95"/>
      <c r="BG86" s="95"/>
      <c r="BH86" s="95"/>
      <c r="BI86" s="95"/>
      <c r="BJ86" s="95"/>
      <c r="BK86" s="265"/>
      <c r="BL86" s="265"/>
      <c r="BM86" s="265"/>
      <c r="BN86" s="266"/>
      <c r="BO86" s="267"/>
      <c r="BP86" s="268"/>
      <c r="BQ86" s="269"/>
      <c r="BR86" s="269"/>
      <c r="BS86" s="269"/>
      <c r="BT86" s="269"/>
      <c r="BU86" s="269"/>
      <c r="BV86" s="269"/>
      <c r="BW86" s="268"/>
      <c r="BX86" s="269"/>
      <c r="BY86" s="268"/>
      <c r="BZ86" s="268"/>
      <c r="CA86" s="268"/>
      <c r="CB86" s="269"/>
      <c r="CC86" s="268"/>
      <c r="CD86" s="268"/>
      <c r="CE86" s="269"/>
      <c r="CF86" s="269"/>
      <c r="CG86" s="269"/>
      <c r="CH86" s="269"/>
      <c r="CI86" s="269"/>
      <c r="CJ86" s="269"/>
      <c r="CK86" s="269"/>
      <c r="CL86" s="266"/>
    </row>
    <row r="87" spans="1:90" s="270" customFormat="1">
      <c r="A87" s="95"/>
      <c r="B87" s="263"/>
      <c r="C87" s="263"/>
      <c r="D87" s="263"/>
      <c r="E87" s="263"/>
      <c r="F87" s="263"/>
      <c r="G87" s="263"/>
      <c r="H87" s="95"/>
      <c r="I87" s="95"/>
      <c r="J87" s="263"/>
      <c r="K87" s="263"/>
      <c r="L87" s="263"/>
      <c r="M87" s="263"/>
      <c r="N87" s="263"/>
      <c r="O87" s="263"/>
      <c r="P87" s="95"/>
      <c r="Q87" s="95"/>
      <c r="R87" s="95"/>
      <c r="S87" s="95"/>
      <c r="T87" s="95"/>
      <c r="U87" s="95"/>
      <c r="V87" s="95"/>
      <c r="W87" s="95"/>
      <c r="X87" s="95"/>
      <c r="Y87" s="95"/>
      <c r="Z87" s="95"/>
      <c r="AA87" s="95"/>
      <c r="AB87" s="95"/>
      <c r="AC87" s="95"/>
      <c r="AD87" s="95"/>
      <c r="AE87" s="95"/>
      <c r="AF87" s="95"/>
      <c r="AG87" s="95"/>
      <c r="AH87" s="95"/>
      <c r="AI87" s="95"/>
      <c r="AJ87" s="95"/>
      <c r="AK87" s="95"/>
      <c r="AL87" s="95"/>
      <c r="AM87" s="95"/>
      <c r="AN87" s="264"/>
      <c r="AO87" s="95"/>
      <c r="AP87" s="95"/>
      <c r="AQ87" s="95"/>
      <c r="AR87" s="95"/>
      <c r="AS87" s="95"/>
      <c r="AT87" s="95"/>
      <c r="AU87" s="95"/>
      <c r="AV87" s="95"/>
      <c r="AW87" s="95"/>
      <c r="AX87" s="95"/>
      <c r="AY87" s="95"/>
      <c r="AZ87" s="95"/>
      <c r="BA87" s="95"/>
      <c r="BB87" s="95"/>
      <c r="BC87" s="214"/>
      <c r="BD87" s="95"/>
      <c r="BE87" s="95"/>
      <c r="BF87" s="95"/>
      <c r="BG87" s="95"/>
      <c r="BH87" s="95"/>
      <c r="BI87" s="95"/>
      <c r="BJ87" s="95"/>
      <c r="BK87" s="265"/>
      <c r="BL87" s="265"/>
      <c r="BM87" s="265"/>
      <c r="BN87" s="266"/>
      <c r="BO87" s="267"/>
      <c r="BP87" s="268"/>
      <c r="BQ87" s="269"/>
      <c r="BR87" s="269"/>
      <c r="BS87" s="269"/>
      <c r="BT87" s="269"/>
      <c r="BU87" s="269"/>
      <c r="BV87" s="269"/>
      <c r="BW87" s="268"/>
      <c r="BX87" s="269"/>
      <c r="BY87" s="268"/>
      <c r="BZ87" s="268"/>
      <c r="CA87" s="268"/>
      <c r="CB87" s="269"/>
      <c r="CC87" s="268"/>
      <c r="CD87" s="268"/>
      <c r="CE87" s="269"/>
      <c r="CF87" s="269"/>
      <c r="CG87" s="269"/>
      <c r="CH87" s="269"/>
      <c r="CI87" s="269"/>
      <c r="CJ87" s="269"/>
      <c r="CK87" s="269"/>
      <c r="CL87" s="266"/>
    </row>
    <row r="88" spans="1:90" s="270" customFormat="1">
      <c r="A88" s="95"/>
      <c r="B88" s="263"/>
      <c r="C88" s="263"/>
      <c r="D88" s="263"/>
      <c r="E88" s="263"/>
      <c r="F88" s="263"/>
      <c r="G88" s="263"/>
      <c r="H88" s="95"/>
      <c r="I88" s="95"/>
      <c r="J88" s="263"/>
      <c r="K88" s="263"/>
      <c r="L88" s="263"/>
      <c r="M88" s="263"/>
      <c r="N88" s="263"/>
      <c r="O88" s="263"/>
      <c r="P88" s="95"/>
      <c r="Q88" s="95"/>
      <c r="R88" s="95"/>
      <c r="S88" s="95"/>
      <c r="T88" s="95"/>
      <c r="U88" s="95"/>
      <c r="V88" s="95"/>
      <c r="W88" s="95"/>
      <c r="X88" s="95"/>
      <c r="Y88" s="95"/>
      <c r="Z88" s="95"/>
      <c r="AA88" s="95"/>
      <c r="AB88" s="95"/>
      <c r="AC88" s="95"/>
      <c r="AD88" s="95"/>
      <c r="AE88" s="95"/>
      <c r="AF88" s="95"/>
      <c r="AG88" s="95"/>
      <c r="AH88" s="95"/>
      <c r="AI88" s="95"/>
      <c r="AJ88" s="95"/>
      <c r="AK88" s="95"/>
      <c r="AL88" s="95"/>
      <c r="AM88" s="95"/>
      <c r="AN88" s="264"/>
      <c r="AO88" s="95"/>
      <c r="AP88" s="95"/>
      <c r="AQ88" s="95"/>
      <c r="AR88" s="95"/>
      <c r="AS88" s="95"/>
      <c r="AT88" s="95"/>
      <c r="AU88" s="95"/>
      <c r="AV88" s="95"/>
      <c r="AW88" s="95"/>
      <c r="AX88" s="95"/>
      <c r="AY88" s="95"/>
      <c r="AZ88" s="95"/>
      <c r="BA88" s="95"/>
      <c r="BB88" s="95"/>
      <c r="BC88" s="214"/>
      <c r="BD88" s="95"/>
      <c r="BE88" s="95"/>
      <c r="BF88" s="95"/>
      <c r="BG88" s="95"/>
      <c r="BH88" s="95"/>
      <c r="BI88" s="95"/>
      <c r="BJ88" s="95"/>
      <c r="BK88" s="265"/>
      <c r="BL88" s="265"/>
      <c r="BM88" s="265"/>
      <c r="BN88" s="266"/>
      <c r="BO88" s="267"/>
      <c r="BP88" s="268"/>
      <c r="BQ88" s="269"/>
      <c r="BR88" s="269"/>
      <c r="BS88" s="269"/>
      <c r="BT88" s="269"/>
      <c r="BU88" s="269"/>
      <c r="BV88" s="269"/>
      <c r="BW88" s="268"/>
      <c r="BX88" s="269"/>
      <c r="BY88" s="268"/>
      <c r="BZ88" s="268"/>
      <c r="CA88" s="268"/>
      <c r="CB88" s="269"/>
      <c r="CC88" s="268"/>
      <c r="CD88" s="268"/>
      <c r="CE88" s="269"/>
      <c r="CF88" s="269"/>
      <c r="CG88" s="269"/>
      <c r="CH88" s="269"/>
      <c r="CI88" s="269"/>
      <c r="CJ88" s="269"/>
      <c r="CK88" s="269"/>
      <c r="CL88" s="266"/>
    </row>
    <row r="89" spans="1:90" s="270" customFormat="1">
      <c r="A89" s="95"/>
      <c r="B89" s="263"/>
      <c r="C89" s="263"/>
      <c r="D89" s="263"/>
      <c r="E89" s="263"/>
      <c r="F89" s="263"/>
      <c r="G89" s="263"/>
      <c r="H89" s="95"/>
      <c r="I89" s="95"/>
      <c r="J89" s="263"/>
      <c r="K89" s="263"/>
      <c r="L89" s="263"/>
      <c r="M89" s="263"/>
      <c r="N89" s="263"/>
      <c r="O89" s="263"/>
      <c r="P89" s="95"/>
      <c r="Q89" s="95"/>
      <c r="R89" s="95"/>
      <c r="S89" s="95"/>
      <c r="T89" s="95"/>
      <c r="U89" s="95"/>
      <c r="V89" s="95"/>
      <c r="W89" s="95"/>
      <c r="X89" s="95"/>
      <c r="Y89" s="95"/>
      <c r="Z89" s="95"/>
      <c r="AA89" s="95"/>
      <c r="AB89" s="95"/>
      <c r="AC89" s="95"/>
      <c r="AD89" s="95"/>
      <c r="AE89" s="95"/>
      <c r="AF89" s="95"/>
      <c r="AG89" s="95"/>
      <c r="AH89" s="95"/>
      <c r="AI89" s="95"/>
      <c r="AJ89" s="95"/>
      <c r="AK89" s="95"/>
      <c r="AL89" s="95"/>
      <c r="AM89" s="95"/>
      <c r="AN89" s="264"/>
      <c r="AO89" s="95"/>
      <c r="AP89" s="95"/>
      <c r="AQ89" s="95"/>
      <c r="AR89" s="95"/>
      <c r="AS89" s="95"/>
      <c r="AT89" s="95"/>
      <c r="AU89" s="95"/>
      <c r="AV89" s="95"/>
      <c r="AW89" s="95"/>
      <c r="AX89" s="95"/>
      <c r="AY89" s="95"/>
      <c r="AZ89" s="95"/>
      <c r="BA89" s="95"/>
      <c r="BB89" s="95"/>
      <c r="BC89" s="214"/>
      <c r="BD89" s="95"/>
      <c r="BE89" s="95"/>
      <c r="BF89" s="95"/>
      <c r="BG89" s="95"/>
      <c r="BH89" s="95"/>
      <c r="BI89" s="95"/>
      <c r="BJ89" s="95"/>
      <c r="BK89" s="265"/>
      <c r="BL89" s="265"/>
      <c r="BM89" s="265"/>
      <c r="BN89" s="266"/>
      <c r="BO89" s="267"/>
      <c r="BP89" s="268"/>
      <c r="BQ89" s="269"/>
      <c r="BR89" s="269"/>
      <c r="BS89" s="269"/>
      <c r="BT89" s="269"/>
      <c r="BU89" s="269"/>
      <c r="BV89" s="269"/>
      <c r="BW89" s="268"/>
      <c r="BX89" s="269"/>
      <c r="BY89" s="268"/>
      <c r="BZ89" s="268"/>
      <c r="CA89" s="268"/>
      <c r="CB89" s="269"/>
      <c r="CC89" s="268"/>
      <c r="CD89" s="268"/>
      <c r="CE89" s="269"/>
      <c r="CF89" s="269"/>
      <c r="CG89" s="269"/>
      <c r="CH89" s="269"/>
      <c r="CI89" s="269"/>
      <c r="CJ89" s="269"/>
      <c r="CK89" s="269"/>
      <c r="CL89" s="266"/>
    </row>
    <row r="90" spans="1:90" s="270" customFormat="1">
      <c r="A90" s="95"/>
      <c r="B90" s="263"/>
      <c r="C90" s="263"/>
      <c r="D90" s="263"/>
      <c r="E90" s="263"/>
      <c r="F90" s="263"/>
      <c r="G90" s="263"/>
      <c r="H90" s="95"/>
      <c r="I90" s="95"/>
      <c r="J90" s="263"/>
      <c r="K90" s="263"/>
      <c r="L90" s="263"/>
      <c r="M90" s="263"/>
      <c r="N90" s="263"/>
      <c r="O90" s="263"/>
      <c r="P90" s="95"/>
      <c r="Q90" s="95"/>
      <c r="R90" s="95"/>
      <c r="S90" s="95"/>
      <c r="T90" s="95"/>
      <c r="U90" s="95"/>
      <c r="V90" s="95"/>
      <c r="W90" s="95"/>
      <c r="X90" s="95"/>
      <c r="Y90" s="95"/>
      <c r="Z90" s="95"/>
      <c r="AA90" s="95"/>
      <c r="AB90" s="95"/>
      <c r="AC90" s="95"/>
      <c r="AD90" s="95"/>
      <c r="AE90" s="95"/>
      <c r="AF90" s="95"/>
      <c r="AG90" s="95"/>
      <c r="AH90" s="95"/>
      <c r="AI90" s="95"/>
      <c r="AJ90" s="95"/>
      <c r="AK90" s="95"/>
      <c r="AL90" s="95"/>
      <c r="AM90" s="95"/>
      <c r="AN90" s="264"/>
      <c r="AO90" s="95"/>
      <c r="AP90" s="95"/>
      <c r="AQ90" s="95"/>
      <c r="AR90" s="95"/>
      <c r="AS90" s="95"/>
      <c r="AT90" s="95"/>
      <c r="AU90" s="95"/>
      <c r="AV90" s="95"/>
      <c r="AW90" s="95"/>
      <c r="AX90" s="95"/>
      <c r="AY90" s="95"/>
      <c r="AZ90" s="95"/>
      <c r="BA90" s="95"/>
      <c r="BB90" s="95"/>
      <c r="BC90" s="214"/>
      <c r="BD90" s="95"/>
      <c r="BE90" s="95"/>
      <c r="BF90" s="95"/>
      <c r="BG90" s="95"/>
      <c r="BH90" s="95"/>
      <c r="BI90" s="95"/>
      <c r="BJ90" s="95"/>
      <c r="BK90" s="265"/>
      <c r="BL90" s="265"/>
      <c r="BM90" s="265"/>
      <c r="BN90" s="266"/>
      <c r="BO90" s="267"/>
      <c r="BP90" s="268"/>
      <c r="BQ90" s="269"/>
      <c r="BR90" s="269"/>
      <c r="BS90" s="269"/>
      <c r="BT90" s="269"/>
      <c r="BU90" s="269"/>
      <c r="BV90" s="269"/>
      <c r="BW90" s="268"/>
      <c r="BX90" s="269"/>
      <c r="BY90" s="268"/>
      <c r="BZ90" s="268"/>
      <c r="CA90" s="268"/>
      <c r="CB90" s="269"/>
      <c r="CC90" s="268"/>
      <c r="CD90" s="268"/>
      <c r="CE90" s="269"/>
      <c r="CF90" s="269"/>
      <c r="CG90" s="269"/>
      <c r="CH90" s="269"/>
      <c r="CI90" s="269"/>
      <c r="CJ90" s="269"/>
      <c r="CK90" s="269"/>
      <c r="CL90" s="266"/>
    </row>
    <row r="91" spans="1:90" s="270" customFormat="1">
      <c r="A91" s="95"/>
      <c r="B91" s="263"/>
      <c r="C91" s="263"/>
      <c r="D91" s="263"/>
      <c r="E91" s="263"/>
      <c r="F91" s="263"/>
      <c r="G91" s="263"/>
      <c r="H91" s="95"/>
      <c r="I91" s="95"/>
      <c r="J91" s="263"/>
      <c r="K91" s="263"/>
      <c r="L91" s="263"/>
      <c r="M91" s="263"/>
      <c r="N91" s="263"/>
      <c r="O91" s="263"/>
      <c r="P91" s="95"/>
      <c r="Q91" s="95"/>
      <c r="R91" s="95"/>
      <c r="S91" s="95"/>
      <c r="T91" s="95"/>
      <c r="U91" s="95"/>
      <c r="V91" s="95"/>
      <c r="W91" s="95"/>
      <c r="X91" s="95"/>
      <c r="Y91" s="95"/>
      <c r="Z91" s="95"/>
      <c r="AA91" s="95"/>
      <c r="AB91" s="95"/>
      <c r="AC91" s="95"/>
      <c r="AD91" s="95"/>
      <c r="AE91" s="95"/>
      <c r="AF91" s="95"/>
      <c r="AG91" s="95"/>
      <c r="AH91" s="95"/>
      <c r="AI91" s="95"/>
      <c r="AJ91" s="95"/>
      <c r="AK91" s="95"/>
      <c r="AL91" s="95"/>
      <c r="AM91" s="95"/>
      <c r="AN91" s="264"/>
      <c r="AO91" s="95"/>
      <c r="AP91" s="95"/>
      <c r="AQ91" s="95"/>
      <c r="AR91" s="95"/>
      <c r="AS91" s="95"/>
      <c r="AT91" s="95"/>
      <c r="AU91" s="95"/>
      <c r="AV91" s="95"/>
      <c r="AW91" s="95"/>
      <c r="AX91" s="95"/>
      <c r="AY91" s="95"/>
      <c r="AZ91" s="95"/>
      <c r="BA91" s="95"/>
      <c r="BB91" s="95"/>
      <c r="BC91" s="214"/>
      <c r="BD91" s="95"/>
      <c r="BE91" s="95"/>
      <c r="BF91" s="95"/>
      <c r="BG91" s="95"/>
      <c r="BH91" s="95"/>
      <c r="BI91" s="95"/>
      <c r="BJ91" s="95"/>
      <c r="BK91" s="265"/>
      <c r="BL91" s="265"/>
      <c r="BM91" s="265"/>
      <c r="BN91" s="266"/>
      <c r="BO91" s="267"/>
      <c r="BP91" s="268"/>
      <c r="BQ91" s="269"/>
      <c r="BR91" s="269"/>
      <c r="BS91" s="269"/>
      <c r="BT91" s="269"/>
      <c r="BU91" s="269"/>
      <c r="BV91" s="269"/>
      <c r="BW91" s="268"/>
      <c r="BX91" s="269"/>
      <c r="BY91" s="268"/>
      <c r="BZ91" s="268"/>
      <c r="CA91" s="268"/>
      <c r="CB91" s="269"/>
      <c r="CC91" s="268"/>
      <c r="CD91" s="268"/>
      <c r="CE91" s="269"/>
      <c r="CF91" s="269"/>
      <c r="CG91" s="269"/>
      <c r="CH91" s="269"/>
      <c r="CI91" s="269"/>
      <c r="CJ91" s="269"/>
      <c r="CK91" s="269"/>
      <c r="CL91" s="266"/>
    </row>
    <row r="92" spans="1:90" s="270" customFormat="1">
      <c r="A92" s="95"/>
      <c r="B92" s="263"/>
      <c r="C92" s="263"/>
      <c r="D92" s="263"/>
      <c r="E92" s="263"/>
      <c r="F92" s="263"/>
      <c r="G92" s="263"/>
      <c r="H92" s="95"/>
      <c r="I92" s="95"/>
      <c r="J92" s="263"/>
      <c r="K92" s="263"/>
      <c r="L92" s="263"/>
      <c r="M92" s="263"/>
      <c r="N92" s="263"/>
      <c r="O92" s="263"/>
      <c r="P92" s="95"/>
      <c r="Q92" s="95"/>
      <c r="R92" s="95"/>
      <c r="S92" s="95"/>
      <c r="T92" s="95"/>
      <c r="U92" s="95"/>
      <c r="V92" s="95"/>
      <c r="W92" s="95"/>
      <c r="X92" s="95"/>
      <c r="Y92" s="95"/>
      <c r="Z92" s="95"/>
      <c r="AA92" s="95"/>
      <c r="AB92" s="95"/>
      <c r="AC92" s="95"/>
      <c r="AD92" s="95"/>
      <c r="AE92" s="95"/>
      <c r="AF92" s="95"/>
      <c r="AG92" s="95"/>
      <c r="AH92" s="95"/>
      <c r="AI92" s="95"/>
      <c r="AJ92" s="95"/>
      <c r="AK92" s="95"/>
      <c r="AL92" s="95"/>
      <c r="AM92" s="95"/>
      <c r="AN92" s="264"/>
      <c r="AO92" s="95"/>
      <c r="AP92" s="95"/>
      <c r="AQ92" s="95"/>
      <c r="AR92" s="95"/>
      <c r="AS92" s="95"/>
      <c r="AT92" s="95"/>
      <c r="AU92" s="95"/>
      <c r="AV92" s="95"/>
      <c r="AW92" s="95"/>
      <c r="AX92" s="95"/>
      <c r="AY92" s="95"/>
      <c r="AZ92" s="95"/>
      <c r="BA92" s="95"/>
      <c r="BB92" s="95"/>
      <c r="BC92" s="214"/>
      <c r="BD92" s="95"/>
      <c r="BE92" s="95"/>
      <c r="BF92" s="95"/>
      <c r="BG92" s="95"/>
      <c r="BH92" s="95"/>
      <c r="BI92" s="95"/>
      <c r="BJ92" s="95"/>
      <c r="BK92" s="265"/>
      <c r="BL92" s="265"/>
      <c r="BM92" s="265"/>
      <c r="BN92" s="266"/>
      <c r="BO92" s="267"/>
      <c r="BP92" s="268"/>
      <c r="BQ92" s="269"/>
      <c r="BR92" s="269"/>
      <c r="BS92" s="269"/>
      <c r="BT92" s="269"/>
      <c r="BU92" s="269"/>
      <c r="BV92" s="269"/>
      <c r="BW92" s="268"/>
      <c r="BX92" s="269"/>
      <c r="BY92" s="268"/>
      <c r="BZ92" s="268"/>
      <c r="CA92" s="268"/>
      <c r="CB92" s="269"/>
      <c r="CC92" s="268"/>
      <c r="CD92" s="268"/>
      <c r="CE92" s="269"/>
      <c r="CF92" s="269"/>
      <c r="CG92" s="269"/>
      <c r="CH92" s="269"/>
      <c r="CI92" s="269"/>
      <c r="CJ92" s="269"/>
      <c r="CK92" s="269"/>
      <c r="CL92" s="266"/>
    </row>
    <row r="93" spans="1:90" s="270" customFormat="1">
      <c r="A93" s="95"/>
      <c r="B93" s="263"/>
      <c r="C93" s="263"/>
      <c r="D93" s="263"/>
      <c r="E93" s="263"/>
      <c r="F93" s="263"/>
      <c r="G93" s="263"/>
      <c r="H93" s="95"/>
      <c r="I93" s="95"/>
      <c r="J93" s="263"/>
      <c r="K93" s="263"/>
      <c r="L93" s="263"/>
      <c r="M93" s="263"/>
      <c r="N93" s="263"/>
      <c r="O93" s="263"/>
      <c r="P93" s="95"/>
      <c r="Q93" s="95"/>
      <c r="R93" s="95"/>
      <c r="S93" s="95"/>
      <c r="T93" s="95"/>
      <c r="U93" s="95"/>
      <c r="V93" s="95"/>
      <c r="W93" s="95"/>
      <c r="X93" s="95"/>
      <c r="Y93" s="95"/>
      <c r="Z93" s="95"/>
      <c r="AA93" s="95"/>
      <c r="AB93" s="95"/>
      <c r="AC93" s="95"/>
      <c r="AD93" s="95"/>
      <c r="AE93" s="95"/>
      <c r="AF93" s="95"/>
      <c r="AG93" s="95"/>
      <c r="AH93" s="95"/>
      <c r="AI93" s="95"/>
      <c r="AJ93" s="95"/>
      <c r="AK93" s="95"/>
      <c r="AL93" s="95"/>
      <c r="AM93" s="95"/>
      <c r="AN93" s="264"/>
      <c r="AO93" s="95"/>
      <c r="AP93" s="95"/>
      <c r="AQ93" s="95"/>
      <c r="AR93" s="95"/>
      <c r="AS93" s="95"/>
      <c r="AT93" s="95"/>
      <c r="AU93" s="95"/>
      <c r="AV93" s="95"/>
      <c r="AW93" s="95"/>
      <c r="AX93" s="95"/>
      <c r="AY93" s="95"/>
      <c r="AZ93" s="95"/>
      <c r="BA93" s="95"/>
      <c r="BB93" s="95"/>
      <c r="BC93" s="214"/>
      <c r="BD93" s="95"/>
      <c r="BE93" s="95"/>
      <c r="BF93" s="95"/>
      <c r="BG93" s="95"/>
      <c r="BH93" s="95"/>
      <c r="BI93" s="95"/>
      <c r="BJ93" s="95"/>
      <c r="BK93" s="265"/>
      <c r="BL93" s="265"/>
      <c r="BM93" s="265"/>
      <c r="BN93" s="266"/>
      <c r="BO93" s="267"/>
      <c r="BP93" s="268"/>
      <c r="BQ93" s="269"/>
      <c r="BR93" s="269"/>
      <c r="BS93" s="269"/>
      <c r="BT93" s="269"/>
      <c r="BU93" s="269"/>
      <c r="BV93" s="269"/>
      <c r="BW93" s="268"/>
      <c r="BX93" s="269"/>
      <c r="BY93" s="268"/>
      <c r="BZ93" s="268"/>
      <c r="CA93" s="268"/>
      <c r="CB93" s="269"/>
      <c r="CC93" s="268"/>
      <c r="CD93" s="268"/>
      <c r="CE93" s="269"/>
      <c r="CF93" s="269"/>
      <c r="CG93" s="269"/>
      <c r="CH93" s="269"/>
      <c r="CI93" s="269"/>
      <c r="CJ93" s="269"/>
      <c r="CK93" s="269"/>
      <c r="CL93" s="266"/>
    </row>
    <row r="94" spans="1:90" s="270" customFormat="1">
      <c r="A94" s="95"/>
      <c r="B94" s="263"/>
      <c r="C94" s="263"/>
      <c r="D94" s="263"/>
      <c r="E94" s="263"/>
      <c r="F94" s="263"/>
      <c r="G94" s="263"/>
      <c r="H94" s="95"/>
      <c r="I94" s="95"/>
      <c r="J94" s="263"/>
      <c r="K94" s="263"/>
      <c r="L94" s="263"/>
      <c r="M94" s="263"/>
      <c r="N94" s="263"/>
      <c r="O94" s="263"/>
      <c r="P94" s="95"/>
      <c r="Q94" s="95"/>
      <c r="R94" s="95"/>
      <c r="S94" s="95"/>
      <c r="T94" s="95"/>
      <c r="U94" s="95"/>
      <c r="V94" s="95"/>
      <c r="W94" s="95"/>
      <c r="X94" s="95"/>
      <c r="Y94" s="95"/>
      <c r="Z94" s="95"/>
      <c r="AA94" s="95"/>
      <c r="AB94" s="95"/>
      <c r="AC94" s="95"/>
      <c r="AD94" s="95"/>
      <c r="AE94" s="95"/>
      <c r="AF94" s="95"/>
      <c r="AG94" s="95"/>
      <c r="AH94" s="95"/>
      <c r="AI94" s="95"/>
      <c r="AJ94" s="95"/>
      <c r="AK94" s="95"/>
      <c r="AL94" s="95"/>
      <c r="AM94" s="95"/>
      <c r="AN94" s="264"/>
      <c r="AO94" s="95"/>
      <c r="AP94" s="95"/>
      <c r="AQ94" s="95"/>
      <c r="AR94" s="95"/>
      <c r="AS94" s="95"/>
      <c r="AT94" s="95"/>
      <c r="AU94" s="95"/>
      <c r="AV94" s="95"/>
      <c r="AW94" s="95"/>
      <c r="AX94" s="95"/>
      <c r="AY94" s="95"/>
      <c r="AZ94" s="95"/>
      <c r="BA94" s="95"/>
      <c r="BB94" s="95"/>
      <c r="BC94" s="214"/>
      <c r="BD94" s="95"/>
      <c r="BE94" s="95"/>
      <c r="BF94" s="95"/>
      <c r="BG94" s="95"/>
      <c r="BH94" s="95"/>
      <c r="BI94" s="95"/>
      <c r="BJ94" s="95"/>
      <c r="BK94" s="265"/>
      <c r="BL94" s="265"/>
      <c r="BM94" s="265"/>
      <c r="BN94" s="266"/>
      <c r="BO94" s="267"/>
      <c r="BP94" s="268"/>
      <c r="BQ94" s="269"/>
      <c r="BR94" s="269"/>
      <c r="BS94" s="269"/>
      <c r="BT94" s="269"/>
      <c r="BU94" s="269"/>
      <c r="BV94" s="269"/>
      <c r="BW94" s="268"/>
      <c r="BX94" s="269"/>
      <c r="BY94" s="268"/>
      <c r="BZ94" s="268"/>
      <c r="CA94" s="268"/>
      <c r="CB94" s="269"/>
      <c r="CC94" s="268"/>
      <c r="CD94" s="268"/>
      <c r="CE94" s="269"/>
      <c r="CF94" s="269"/>
      <c r="CG94" s="269"/>
      <c r="CH94" s="269"/>
      <c r="CI94" s="269"/>
      <c r="CJ94" s="269"/>
      <c r="CK94" s="269"/>
      <c r="CL94" s="266"/>
    </row>
    <row r="95" spans="1:90" s="270" customFormat="1">
      <c r="A95" s="95"/>
      <c r="B95" s="263"/>
      <c r="C95" s="263"/>
      <c r="D95" s="263"/>
      <c r="E95" s="263"/>
      <c r="F95" s="263"/>
      <c r="G95" s="263"/>
      <c r="H95" s="95"/>
      <c r="I95" s="95"/>
      <c r="J95" s="263"/>
      <c r="K95" s="263"/>
      <c r="L95" s="263"/>
      <c r="M95" s="263"/>
      <c r="N95" s="263"/>
      <c r="O95" s="263"/>
      <c r="P95" s="95"/>
      <c r="Q95" s="95"/>
      <c r="R95" s="95"/>
      <c r="S95" s="95"/>
      <c r="T95" s="95"/>
      <c r="U95" s="95"/>
      <c r="V95" s="95"/>
      <c r="W95" s="95"/>
      <c r="X95" s="95"/>
      <c r="Y95" s="95"/>
      <c r="Z95" s="95"/>
      <c r="AA95" s="95"/>
      <c r="AB95" s="95"/>
      <c r="AC95" s="95"/>
      <c r="AD95" s="95"/>
      <c r="AE95" s="95"/>
      <c r="AF95" s="95"/>
      <c r="AG95" s="95"/>
      <c r="AH95" s="95"/>
      <c r="AI95" s="95"/>
      <c r="AJ95" s="95"/>
      <c r="AK95" s="95"/>
      <c r="AL95" s="95"/>
      <c r="AM95" s="95"/>
      <c r="AN95" s="264"/>
      <c r="AO95" s="95"/>
      <c r="AP95" s="95"/>
      <c r="AQ95" s="95"/>
      <c r="AR95" s="95"/>
      <c r="AS95" s="95"/>
      <c r="AT95" s="95"/>
      <c r="AU95" s="95"/>
      <c r="AV95" s="95"/>
      <c r="AW95" s="95"/>
      <c r="AX95" s="95"/>
      <c r="AY95" s="95"/>
      <c r="AZ95" s="95"/>
      <c r="BA95" s="95"/>
      <c r="BB95" s="95"/>
      <c r="BC95" s="214"/>
      <c r="BD95" s="95"/>
      <c r="BE95" s="95"/>
      <c r="BF95" s="95"/>
      <c r="BG95" s="95"/>
      <c r="BH95" s="95"/>
      <c r="BI95" s="95"/>
      <c r="BJ95" s="95"/>
      <c r="BK95" s="265"/>
      <c r="BL95" s="265"/>
      <c r="BM95" s="265"/>
      <c r="BN95" s="266"/>
      <c r="BO95" s="267"/>
      <c r="BP95" s="268"/>
      <c r="BQ95" s="269"/>
      <c r="BR95" s="269"/>
      <c r="BS95" s="269"/>
      <c r="BT95" s="269"/>
      <c r="BU95" s="269"/>
      <c r="BV95" s="269"/>
      <c r="BW95" s="268"/>
      <c r="BX95" s="269"/>
      <c r="BY95" s="268"/>
      <c r="BZ95" s="268"/>
      <c r="CA95" s="268"/>
      <c r="CB95" s="269"/>
      <c r="CC95" s="268"/>
      <c r="CD95" s="268"/>
      <c r="CE95" s="269"/>
      <c r="CF95" s="269"/>
      <c r="CG95" s="269"/>
      <c r="CH95" s="269"/>
      <c r="CI95" s="269"/>
      <c r="CJ95" s="269"/>
      <c r="CK95" s="269"/>
      <c r="CL95" s="266"/>
    </row>
    <row r="96" spans="1:90" s="270" customFormat="1">
      <c r="A96" s="95"/>
      <c r="B96" s="263"/>
      <c r="C96" s="263"/>
      <c r="D96" s="263"/>
      <c r="E96" s="263"/>
      <c r="F96" s="263"/>
      <c r="G96" s="263"/>
      <c r="H96" s="95"/>
      <c r="I96" s="95"/>
      <c r="J96" s="263"/>
      <c r="K96" s="263"/>
      <c r="L96" s="263"/>
      <c r="M96" s="263"/>
      <c r="N96" s="263"/>
      <c r="O96" s="263"/>
      <c r="P96" s="95"/>
      <c r="Q96" s="95"/>
      <c r="R96" s="95"/>
      <c r="S96" s="95"/>
      <c r="T96" s="95"/>
      <c r="U96" s="95"/>
      <c r="V96" s="95"/>
      <c r="W96" s="95"/>
      <c r="X96" s="95"/>
      <c r="Y96" s="95"/>
      <c r="Z96" s="95"/>
      <c r="AA96" s="95"/>
      <c r="AB96" s="95"/>
      <c r="AC96" s="95"/>
      <c r="AD96" s="95"/>
      <c r="AE96" s="95"/>
      <c r="AF96" s="95"/>
      <c r="AG96" s="95"/>
      <c r="AH96" s="95"/>
      <c r="AI96" s="95"/>
      <c r="AJ96" s="95"/>
      <c r="AK96" s="95"/>
      <c r="AL96" s="95"/>
      <c r="AM96" s="95"/>
      <c r="AN96" s="264"/>
      <c r="AO96" s="95"/>
      <c r="AP96" s="95"/>
      <c r="AQ96" s="95"/>
      <c r="AR96" s="95"/>
      <c r="AS96" s="95"/>
      <c r="AT96" s="95"/>
      <c r="AU96" s="95"/>
      <c r="AV96" s="95"/>
      <c r="AW96" s="95"/>
      <c r="AX96" s="95"/>
      <c r="AY96" s="95"/>
      <c r="AZ96" s="95"/>
      <c r="BA96" s="95"/>
      <c r="BB96" s="95"/>
      <c r="BC96" s="214"/>
      <c r="BD96" s="95"/>
      <c r="BE96" s="95"/>
      <c r="BF96" s="95"/>
      <c r="BG96" s="95"/>
      <c r="BH96" s="95"/>
      <c r="BI96" s="95"/>
      <c r="BJ96" s="95"/>
      <c r="BK96" s="265"/>
      <c r="BL96" s="265"/>
      <c r="BM96" s="265"/>
      <c r="BN96" s="266"/>
      <c r="BO96" s="267"/>
      <c r="BP96" s="268"/>
      <c r="BQ96" s="269"/>
      <c r="BR96" s="269"/>
      <c r="BS96" s="269"/>
      <c r="BT96" s="269"/>
      <c r="BU96" s="269"/>
      <c r="BV96" s="269"/>
      <c r="BW96" s="268"/>
      <c r="BX96" s="269"/>
      <c r="BY96" s="268"/>
      <c r="BZ96" s="268"/>
      <c r="CA96" s="268"/>
      <c r="CB96" s="269"/>
      <c r="CC96" s="268"/>
      <c r="CD96" s="268"/>
      <c r="CE96" s="269"/>
      <c r="CF96" s="269"/>
      <c r="CG96" s="269"/>
      <c r="CH96" s="269"/>
      <c r="CI96" s="269"/>
      <c r="CJ96" s="269"/>
      <c r="CK96" s="269"/>
      <c r="CL96" s="266"/>
    </row>
    <row r="97" spans="1:90" s="270" customFormat="1">
      <c r="A97" s="95"/>
      <c r="B97" s="263"/>
      <c r="C97" s="263"/>
      <c r="D97" s="263"/>
      <c r="E97" s="263"/>
      <c r="F97" s="263"/>
      <c r="G97" s="263"/>
      <c r="H97" s="95"/>
      <c r="I97" s="95"/>
      <c r="J97" s="263"/>
      <c r="K97" s="263"/>
      <c r="L97" s="263"/>
      <c r="M97" s="263"/>
      <c r="N97" s="263"/>
      <c r="O97" s="263"/>
      <c r="P97" s="95"/>
      <c r="Q97" s="95"/>
      <c r="R97" s="95"/>
      <c r="S97" s="95"/>
      <c r="T97" s="95"/>
      <c r="U97" s="95"/>
      <c r="V97" s="95"/>
      <c r="W97" s="95"/>
      <c r="X97" s="95"/>
      <c r="Y97" s="95"/>
      <c r="Z97" s="95"/>
      <c r="AA97" s="95"/>
      <c r="AB97" s="95"/>
      <c r="AC97" s="95"/>
      <c r="AD97" s="95"/>
      <c r="AE97" s="95"/>
      <c r="AF97" s="95"/>
      <c r="AG97" s="95"/>
      <c r="AH97" s="95"/>
      <c r="AI97" s="95"/>
      <c r="AJ97" s="95"/>
      <c r="AK97" s="95"/>
      <c r="AL97" s="95"/>
      <c r="AM97" s="95"/>
      <c r="AN97" s="264"/>
      <c r="AO97" s="95"/>
      <c r="AP97" s="95"/>
      <c r="AQ97" s="95"/>
      <c r="AR97" s="95"/>
      <c r="AS97" s="95"/>
      <c r="AT97" s="95"/>
      <c r="AU97" s="95"/>
      <c r="AV97" s="95"/>
      <c r="AW97" s="95"/>
      <c r="AX97" s="95"/>
      <c r="AY97" s="95"/>
      <c r="AZ97" s="95"/>
      <c r="BA97" s="95"/>
      <c r="BB97" s="95"/>
      <c r="BC97" s="214"/>
      <c r="BD97" s="95"/>
      <c r="BE97" s="95"/>
      <c r="BF97" s="95"/>
      <c r="BG97" s="95"/>
      <c r="BH97" s="95"/>
      <c r="BI97" s="95"/>
      <c r="BJ97" s="95"/>
      <c r="BK97" s="265"/>
      <c r="BL97" s="265"/>
      <c r="BM97" s="265"/>
      <c r="BN97" s="266"/>
      <c r="BO97" s="267"/>
      <c r="BP97" s="268"/>
      <c r="BQ97" s="269"/>
      <c r="BR97" s="269"/>
      <c r="BS97" s="269"/>
      <c r="BT97" s="269"/>
      <c r="BU97" s="269"/>
      <c r="BV97" s="269"/>
      <c r="BW97" s="268"/>
      <c r="BX97" s="269"/>
      <c r="BY97" s="268"/>
      <c r="BZ97" s="268"/>
      <c r="CA97" s="268"/>
      <c r="CB97" s="269"/>
      <c r="CC97" s="268"/>
      <c r="CD97" s="268"/>
      <c r="CE97" s="269"/>
      <c r="CF97" s="269"/>
      <c r="CG97" s="269"/>
      <c r="CH97" s="269"/>
      <c r="CI97" s="269"/>
      <c r="CJ97" s="269"/>
      <c r="CK97" s="269"/>
      <c r="CL97" s="266"/>
    </row>
    <row r="98" spans="1:90" s="270" customFormat="1">
      <c r="A98" s="271"/>
      <c r="B98" s="271"/>
      <c r="C98" s="271"/>
      <c r="D98" s="271"/>
      <c r="E98" s="271"/>
      <c r="F98" s="271"/>
      <c r="G98" s="271"/>
      <c r="H98" s="271"/>
      <c r="I98" s="271"/>
      <c r="J98" s="271"/>
      <c r="K98" s="271"/>
      <c r="L98" s="271"/>
      <c r="M98" s="271"/>
      <c r="N98" s="271"/>
      <c r="O98" s="271"/>
      <c r="P98" s="271"/>
      <c r="Q98" s="271"/>
      <c r="R98" s="271"/>
      <c r="S98" s="271"/>
      <c r="T98" s="271"/>
      <c r="U98" s="271"/>
      <c r="V98" s="271"/>
      <c r="W98" s="271"/>
      <c r="X98" s="271"/>
      <c r="Y98" s="271"/>
      <c r="Z98" s="271"/>
      <c r="AA98" s="271"/>
      <c r="AB98" s="271"/>
      <c r="AC98" s="271"/>
      <c r="AD98" s="271"/>
      <c r="AE98" s="271"/>
      <c r="AF98" s="271"/>
      <c r="AG98" s="271"/>
      <c r="AH98" s="271"/>
      <c r="AI98" s="271"/>
      <c r="AJ98" s="271"/>
      <c r="AK98" s="271"/>
      <c r="AL98" s="271"/>
      <c r="AM98" s="271"/>
      <c r="AN98" s="271"/>
      <c r="AO98" s="271"/>
      <c r="AP98" s="271"/>
      <c r="AQ98" s="271"/>
      <c r="AR98" s="271"/>
      <c r="AS98" s="271"/>
      <c r="AT98" s="271"/>
      <c r="AU98" s="271"/>
      <c r="AV98" s="271"/>
      <c r="AW98" s="271"/>
      <c r="AX98" s="271"/>
      <c r="AY98" s="271"/>
      <c r="AZ98" s="271"/>
      <c r="BA98" s="271"/>
      <c r="BB98" s="95"/>
      <c r="BC98" s="214"/>
      <c r="BD98" s="271"/>
      <c r="BE98" s="95"/>
      <c r="BF98" s="95"/>
      <c r="BG98" s="95"/>
      <c r="BH98" s="95"/>
      <c r="BI98" s="95"/>
      <c r="BJ98" s="95"/>
      <c r="BK98" s="271"/>
      <c r="BL98" s="271"/>
      <c r="BM98" s="271"/>
      <c r="BN98" s="271"/>
      <c r="BO98" s="271"/>
      <c r="BP98" s="271"/>
      <c r="BQ98" s="271"/>
      <c r="BR98" s="271"/>
      <c r="BS98" s="271"/>
      <c r="BT98" s="271"/>
      <c r="BU98" s="271"/>
      <c r="BV98" s="271"/>
      <c r="BW98" s="271"/>
      <c r="BX98" s="271"/>
      <c r="BY98" s="271"/>
      <c r="BZ98" s="271"/>
      <c r="CA98" s="271"/>
      <c r="CB98" s="271"/>
      <c r="CC98" s="271"/>
      <c r="CD98" s="271"/>
      <c r="CE98" s="271"/>
      <c r="CF98" s="271"/>
      <c r="CG98" s="271"/>
      <c r="CH98" s="271"/>
      <c r="CI98" s="271"/>
      <c r="CJ98" s="271"/>
      <c r="CK98" s="271"/>
      <c r="CL98" s="271"/>
    </row>
    <row r="99" spans="1:90" s="270" customFormat="1">
      <c r="A99" s="271"/>
      <c r="B99" s="271"/>
      <c r="C99" s="271"/>
      <c r="D99" s="271"/>
      <c r="E99" s="271"/>
      <c r="F99" s="271"/>
      <c r="G99" s="271"/>
      <c r="H99" s="271"/>
      <c r="I99" s="271"/>
      <c r="J99" s="271"/>
      <c r="K99" s="271"/>
      <c r="L99" s="271"/>
      <c r="M99" s="271"/>
      <c r="N99" s="271"/>
      <c r="O99" s="271"/>
      <c r="P99" s="271"/>
      <c r="Q99" s="271"/>
      <c r="R99" s="271"/>
      <c r="S99" s="271"/>
      <c r="T99" s="271"/>
      <c r="U99" s="271"/>
      <c r="V99" s="271"/>
      <c r="W99" s="271"/>
      <c r="X99" s="271"/>
      <c r="Y99" s="271"/>
      <c r="Z99" s="271"/>
      <c r="AA99" s="271"/>
      <c r="AB99" s="271"/>
      <c r="AC99" s="271"/>
      <c r="AD99" s="271"/>
      <c r="AE99" s="271"/>
      <c r="AF99" s="271"/>
      <c r="AG99" s="271"/>
      <c r="AH99" s="271"/>
      <c r="AI99" s="271"/>
      <c r="AJ99" s="271"/>
      <c r="AK99" s="271"/>
      <c r="AL99" s="271"/>
      <c r="AM99" s="271"/>
      <c r="AN99" s="271"/>
      <c r="AO99" s="271"/>
      <c r="AP99" s="271"/>
      <c r="AQ99" s="271"/>
      <c r="AR99" s="271"/>
      <c r="AS99" s="271"/>
      <c r="AT99" s="271"/>
      <c r="AU99" s="271"/>
      <c r="AV99" s="271"/>
      <c r="AW99" s="271"/>
      <c r="AX99" s="271"/>
      <c r="AY99" s="271"/>
      <c r="AZ99" s="271"/>
      <c r="BA99" s="271"/>
      <c r="BB99" s="95"/>
      <c r="BC99" s="214"/>
      <c r="BD99" s="271"/>
      <c r="BE99" s="95"/>
      <c r="BF99" s="95"/>
      <c r="BG99" s="95"/>
      <c r="BH99" s="95"/>
      <c r="BI99" s="95"/>
      <c r="BJ99" s="95"/>
      <c r="BK99" s="271"/>
      <c r="BL99" s="271"/>
      <c r="BM99" s="271"/>
      <c r="BN99" s="271"/>
      <c r="BO99" s="271"/>
      <c r="BP99" s="271"/>
      <c r="BQ99" s="271"/>
      <c r="BR99" s="271"/>
      <c r="BS99" s="271"/>
      <c r="BT99" s="271"/>
      <c r="BU99" s="271"/>
      <c r="BV99" s="271"/>
      <c r="BW99" s="271"/>
      <c r="BX99" s="271"/>
      <c r="BY99" s="271"/>
      <c r="BZ99" s="271"/>
      <c r="CA99" s="271"/>
      <c r="CB99" s="271"/>
      <c r="CC99" s="271"/>
      <c r="CD99" s="271"/>
      <c r="CE99" s="271"/>
      <c r="CF99" s="271"/>
      <c r="CG99" s="271"/>
      <c r="CH99" s="271"/>
      <c r="CI99" s="271"/>
      <c r="CJ99" s="271"/>
      <c r="CK99" s="271"/>
      <c r="CL99" s="271"/>
    </row>
    <row r="100" spans="1:90" s="270" customFormat="1">
      <c r="A100" s="271"/>
      <c r="B100" s="271"/>
      <c r="C100" s="271"/>
      <c r="D100" s="271"/>
      <c r="E100" s="271"/>
      <c r="F100" s="271"/>
      <c r="G100" s="271"/>
      <c r="H100" s="271"/>
      <c r="I100" s="271"/>
      <c r="J100" s="271"/>
      <c r="K100" s="271"/>
      <c r="L100" s="271"/>
      <c r="M100" s="271"/>
      <c r="N100" s="271"/>
      <c r="O100" s="271"/>
      <c r="P100" s="271"/>
      <c r="Q100" s="271"/>
      <c r="R100" s="271"/>
      <c r="S100" s="271"/>
      <c r="T100" s="271"/>
      <c r="U100" s="271"/>
      <c r="V100" s="271"/>
      <c r="W100" s="271"/>
      <c r="X100" s="271"/>
      <c r="Y100" s="271"/>
      <c r="Z100" s="271"/>
      <c r="AA100" s="271"/>
      <c r="AB100" s="271"/>
      <c r="AC100" s="271"/>
      <c r="AD100" s="271"/>
      <c r="AE100" s="271"/>
      <c r="AF100" s="271"/>
      <c r="AG100" s="271"/>
      <c r="AH100" s="271"/>
      <c r="AI100" s="271"/>
      <c r="AJ100" s="271"/>
      <c r="AK100" s="271"/>
      <c r="AL100" s="271"/>
      <c r="AM100" s="271"/>
      <c r="AN100" s="271"/>
      <c r="AO100" s="271"/>
      <c r="AP100" s="271"/>
      <c r="AQ100" s="271"/>
      <c r="AR100" s="271"/>
      <c r="AS100" s="271"/>
      <c r="AT100" s="271"/>
      <c r="AU100" s="271"/>
      <c r="AV100" s="271"/>
      <c r="AW100" s="271"/>
      <c r="AX100" s="271"/>
      <c r="AY100" s="271"/>
      <c r="AZ100" s="271"/>
      <c r="BA100" s="271"/>
      <c r="BB100" s="95"/>
      <c r="BC100" s="214"/>
      <c r="BD100" s="271"/>
      <c r="BE100" s="95"/>
      <c r="BF100" s="95"/>
      <c r="BG100" s="95"/>
      <c r="BH100" s="95"/>
      <c r="BI100" s="95"/>
      <c r="BJ100" s="95"/>
      <c r="BK100" s="271"/>
      <c r="BL100" s="271"/>
      <c r="BM100" s="271"/>
      <c r="BN100" s="271"/>
      <c r="BO100" s="271"/>
      <c r="BP100" s="271"/>
      <c r="BQ100" s="271"/>
      <c r="BR100" s="271"/>
      <c r="BS100" s="271"/>
      <c r="BT100" s="271"/>
      <c r="BU100" s="271"/>
      <c r="BV100" s="271"/>
      <c r="BW100" s="271"/>
      <c r="BX100" s="271"/>
      <c r="BY100" s="271"/>
      <c r="BZ100" s="271"/>
      <c r="CA100" s="271"/>
      <c r="CB100" s="271"/>
      <c r="CC100" s="271"/>
      <c r="CD100" s="271"/>
      <c r="CE100" s="271"/>
      <c r="CF100" s="271"/>
      <c r="CG100" s="271"/>
      <c r="CH100" s="271"/>
      <c r="CI100" s="271"/>
      <c r="CJ100" s="271"/>
      <c r="CK100" s="271"/>
      <c r="CL100" s="271"/>
    </row>
    <row r="101" spans="1:90" s="270" customFormat="1">
      <c r="A101" s="271"/>
      <c r="B101" s="271"/>
      <c r="C101" s="271"/>
      <c r="D101" s="271"/>
      <c r="E101" s="271"/>
      <c r="F101" s="271"/>
      <c r="G101" s="271"/>
      <c r="H101" s="271"/>
      <c r="I101" s="271"/>
      <c r="J101" s="271"/>
      <c r="K101" s="271"/>
      <c r="L101" s="271"/>
      <c r="M101" s="271"/>
      <c r="N101" s="271"/>
      <c r="O101" s="271"/>
      <c r="P101" s="271"/>
      <c r="Q101" s="271"/>
      <c r="R101" s="271"/>
      <c r="S101" s="271"/>
      <c r="T101" s="271"/>
      <c r="U101" s="271"/>
      <c r="V101" s="271"/>
      <c r="W101" s="271"/>
      <c r="X101" s="271"/>
      <c r="Y101" s="271"/>
      <c r="Z101" s="271"/>
      <c r="AA101" s="271"/>
      <c r="AB101" s="271"/>
      <c r="AC101" s="271"/>
      <c r="AD101" s="271"/>
      <c r="AE101" s="271"/>
      <c r="AF101" s="271"/>
      <c r="AG101" s="271"/>
      <c r="AH101" s="271"/>
      <c r="AI101" s="271"/>
      <c r="AJ101" s="271"/>
      <c r="AK101" s="271"/>
      <c r="AL101" s="271"/>
      <c r="AM101" s="271"/>
      <c r="AN101" s="271"/>
      <c r="AO101" s="271"/>
      <c r="AP101" s="271"/>
      <c r="AQ101" s="271"/>
      <c r="AR101" s="271"/>
      <c r="AS101" s="271"/>
      <c r="AT101" s="271"/>
      <c r="AU101" s="271"/>
      <c r="AV101" s="271"/>
      <c r="AW101" s="271"/>
      <c r="AX101" s="271"/>
      <c r="AY101" s="271"/>
      <c r="AZ101" s="271"/>
      <c r="BA101" s="271"/>
      <c r="BB101" s="95"/>
      <c r="BC101" s="214"/>
      <c r="BD101" s="271"/>
      <c r="BE101" s="95"/>
      <c r="BF101" s="95"/>
      <c r="BG101" s="95"/>
      <c r="BH101" s="95"/>
      <c r="BI101" s="95"/>
      <c r="BJ101" s="95"/>
      <c r="BK101" s="271"/>
      <c r="BL101" s="271"/>
      <c r="BM101" s="271"/>
      <c r="BN101" s="271"/>
      <c r="BO101" s="271"/>
      <c r="BP101" s="271"/>
      <c r="BQ101" s="271"/>
      <c r="BR101" s="271"/>
      <c r="BS101" s="271"/>
      <c r="BT101" s="271"/>
      <c r="BU101" s="271"/>
      <c r="BV101" s="271"/>
      <c r="BW101" s="271"/>
      <c r="BX101" s="271"/>
      <c r="BY101" s="271"/>
      <c r="BZ101" s="271"/>
      <c r="CA101" s="271"/>
      <c r="CB101" s="271"/>
      <c r="CC101" s="271"/>
      <c r="CD101" s="271"/>
      <c r="CE101" s="271"/>
      <c r="CF101" s="271"/>
      <c r="CG101" s="271"/>
      <c r="CH101" s="271"/>
      <c r="CI101" s="271"/>
      <c r="CJ101" s="271"/>
      <c r="CK101" s="271"/>
      <c r="CL101" s="271"/>
    </row>
    <row r="102" spans="1:90" s="270" customFormat="1">
      <c r="A102" s="271"/>
      <c r="B102" s="271"/>
      <c r="C102" s="271"/>
      <c r="D102" s="271"/>
      <c r="E102" s="271"/>
      <c r="F102" s="271"/>
      <c r="G102" s="271"/>
      <c r="H102" s="271"/>
      <c r="I102" s="271"/>
      <c r="J102" s="271"/>
      <c r="K102" s="271"/>
      <c r="L102" s="271"/>
      <c r="M102" s="271"/>
      <c r="N102" s="271"/>
      <c r="O102" s="271"/>
      <c r="P102" s="271"/>
      <c r="Q102" s="271"/>
      <c r="R102" s="271"/>
      <c r="S102" s="271"/>
      <c r="T102" s="271"/>
      <c r="U102" s="271"/>
      <c r="V102" s="271"/>
      <c r="W102" s="271"/>
      <c r="X102" s="271"/>
      <c r="Y102" s="271"/>
      <c r="Z102" s="271"/>
      <c r="AA102" s="271"/>
      <c r="AB102" s="271"/>
      <c r="AC102" s="271"/>
      <c r="AD102" s="271"/>
      <c r="AE102" s="271"/>
      <c r="AF102" s="271"/>
      <c r="AG102" s="271"/>
      <c r="AH102" s="271"/>
      <c r="AI102" s="271"/>
      <c r="AJ102" s="271"/>
      <c r="AK102" s="271"/>
      <c r="AL102" s="271"/>
      <c r="AM102" s="271"/>
      <c r="AN102" s="271"/>
      <c r="AO102" s="271"/>
      <c r="AP102" s="271"/>
      <c r="AQ102" s="271"/>
      <c r="AR102" s="271"/>
      <c r="AS102" s="271"/>
      <c r="AT102" s="271"/>
      <c r="AU102" s="271"/>
      <c r="AV102" s="271"/>
      <c r="AW102" s="271"/>
      <c r="AX102" s="271"/>
      <c r="AY102" s="271"/>
      <c r="AZ102" s="271"/>
      <c r="BA102" s="271"/>
      <c r="BB102" s="95"/>
      <c r="BC102" s="214"/>
      <c r="BD102" s="271"/>
      <c r="BE102" s="95"/>
      <c r="BF102" s="95"/>
      <c r="BG102" s="95"/>
      <c r="BH102" s="95"/>
      <c r="BI102" s="95"/>
      <c r="BJ102" s="95"/>
      <c r="BK102" s="271"/>
      <c r="BL102" s="271"/>
      <c r="BM102" s="271"/>
      <c r="BN102" s="271"/>
      <c r="BO102" s="271"/>
      <c r="BP102" s="271"/>
      <c r="BQ102" s="271"/>
      <c r="BR102" s="271"/>
      <c r="BS102" s="271"/>
      <c r="BT102" s="271"/>
      <c r="BU102" s="271"/>
      <c r="BV102" s="271"/>
      <c r="BW102" s="271"/>
      <c r="BX102" s="271"/>
      <c r="BY102" s="271"/>
      <c r="BZ102" s="271"/>
      <c r="CA102" s="271"/>
      <c r="CB102" s="271"/>
      <c r="CC102" s="271"/>
      <c r="CD102" s="271"/>
      <c r="CE102" s="271"/>
      <c r="CF102" s="271"/>
      <c r="CG102" s="271"/>
      <c r="CH102" s="271"/>
      <c r="CI102" s="271"/>
      <c r="CJ102" s="271"/>
      <c r="CK102" s="271"/>
      <c r="CL102" s="271"/>
    </row>
    <row r="103" spans="1:90" s="270" customFormat="1">
      <c r="A103" s="271"/>
      <c r="B103" s="271"/>
      <c r="C103" s="271"/>
      <c r="D103" s="271"/>
      <c r="E103" s="271"/>
      <c r="F103" s="271"/>
      <c r="G103" s="271"/>
      <c r="H103" s="271"/>
      <c r="I103" s="271"/>
      <c r="J103" s="271"/>
      <c r="K103" s="271"/>
      <c r="L103" s="271"/>
      <c r="M103" s="271"/>
      <c r="N103" s="271"/>
      <c r="O103" s="271"/>
      <c r="P103" s="271"/>
      <c r="Q103" s="271"/>
      <c r="R103" s="271"/>
      <c r="S103" s="271"/>
      <c r="T103" s="271"/>
      <c r="U103" s="271"/>
      <c r="V103" s="271"/>
      <c r="W103" s="271"/>
      <c r="X103" s="271"/>
      <c r="Y103" s="271"/>
      <c r="Z103" s="271"/>
      <c r="AA103" s="271"/>
      <c r="AB103" s="271"/>
      <c r="AC103" s="271"/>
      <c r="AD103" s="271"/>
      <c r="AE103" s="271"/>
      <c r="AF103" s="271"/>
      <c r="AG103" s="271"/>
      <c r="AH103" s="271"/>
      <c r="AI103" s="271"/>
      <c r="AJ103" s="271"/>
      <c r="AK103" s="271"/>
      <c r="AL103" s="271"/>
      <c r="AM103" s="271"/>
      <c r="AN103" s="271"/>
      <c r="AO103" s="271"/>
      <c r="AP103" s="271"/>
      <c r="AQ103" s="271"/>
      <c r="AR103" s="271"/>
      <c r="AS103" s="271"/>
      <c r="AT103" s="271"/>
      <c r="AU103" s="271"/>
      <c r="AV103" s="271"/>
      <c r="AW103" s="271"/>
      <c r="AX103" s="271"/>
      <c r="AY103" s="271"/>
      <c r="AZ103" s="271"/>
      <c r="BA103" s="271"/>
      <c r="BB103" s="95"/>
      <c r="BC103" s="214"/>
      <c r="BD103" s="271"/>
      <c r="BE103" s="95"/>
      <c r="BF103" s="95"/>
      <c r="BG103" s="95"/>
      <c r="BH103" s="95"/>
      <c r="BI103" s="95"/>
      <c r="BJ103" s="95"/>
      <c r="BK103" s="271"/>
      <c r="BL103" s="271"/>
      <c r="BM103" s="271"/>
      <c r="BN103" s="271"/>
      <c r="BO103" s="271"/>
      <c r="BP103" s="271"/>
      <c r="BQ103" s="271"/>
      <c r="BR103" s="271"/>
      <c r="BS103" s="271"/>
      <c r="BT103" s="271"/>
      <c r="BU103" s="271"/>
      <c r="BV103" s="271"/>
      <c r="BW103" s="271"/>
      <c r="BX103" s="271"/>
      <c r="BY103" s="271"/>
      <c r="BZ103" s="271"/>
      <c r="CA103" s="271"/>
      <c r="CB103" s="271"/>
      <c r="CC103" s="271"/>
      <c r="CD103" s="271"/>
      <c r="CE103" s="271"/>
      <c r="CF103" s="271"/>
      <c r="CG103" s="271"/>
      <c r="CH103" s="271"/>
      <c r="CI103" s="271"/>
      <c r="CJ103" s="271"/>
      <c r="CK103" s="271"/>
      <c r="CL103" s="271"/>
    </row>
    <row r="104" spans="1:90" s="270" customFormat="1">
      <c r="A104" s="271"/>
      <c r="B104" s="271"/>
      <c r="C104" s="271"/>
      <c r="D104" s="271"/>
      <c r="E104" s="271"/>
      <c r="F104" s="271"/>
      <c r="G104" s="271"/>
      <c r="H104" s="271"/>
      <c r="I104" s="271"/>
      <c r="J104" s="271"/>
      <c r="K104" s="271"/>
      <c r="L104" s="271"/>
      <c r="M104" s="271"/>
      <c r="N104" s="271"/>
      <c r="O104" s="271"/>
      <c r="P104" s="271"/>
      <c r="Q104" s="271"/>
      <c r="R104" s="271"/>
      <c r="S104" s="271"/>
      <c r="T104" s="271"/>
      <c r="U104" s="271"/>
      <c r="V104" s="271"/>
      <c r="W104" s="271"/>
      <c r="X104" s="271"/>
      <c r="Y104" s="271"/>
      <c r="Z104" s="271"/>
      <c r="AA104" s="271"/>
      <c r="AB104" s="271"/>
      <c r="AC104" s="271"/>
      <c r="AD104" s="271"/>
      <c r="AE104" s="271"/>
      <c r="AF104" s="271"/>
      <c r="AG104" s="271"/>
      <c r="AH104" s="271"/>
      <c r="AI104" s="271"/>
      <c r="AJ104" s="271"/>
      <c r="AK104" s="271"/>
      <c r="AL104" s="271"/>
      <c r="AM104" s="271"/>
      <c r="AN104" s="271"/>
      <c r="AO104" s="271"/>
      <c r="AP104" s="271"/>
      <c r="AQ104" s="271"/>
      <c r="AR104" s="271"/>
      <c r="AS104" s="271"/>
      <c r="AT104" s="271"/>
      <c r="AU104" s="271"/>
      <c r="AV104" s="271"/>
      <c r="AW104" s="271"/>
      <c r="AX104" s="271"/>
      <c r="AY104" s="271"/>
      <c r="AZ104" s="271"/>
      <c r="BA104" s="271"/>
      <c r="BB104" s="95"/>
      <c r="BC104" s="214"/>
      <c r="BD104" s="271"/>
      <c r="BE104" s="95"/>
      <c r="BF104" s="95"/>
      <c r="BG104" s="95"/>
      <c r="BH104" s="95"/>
      <c r="BI104" s="95"/>
      <c r="BJ104" s="95"/>
      <c r="BK104" s="271"/>
      <c r="BL104" s="271"/>
      <c r="BM104" s="271"/>
      <c r="BN104" s="271"/>
      <c r="BO104" s="271"/>
      <c r="BP104" s="271"/>
      <c r="BQ104" s="271"/>
      <c r="BR104" s="271"/>
      <c r="BS104" s="271"/>
      <c r="BT104" s="271"/>
      <c r="BU104" s="271"/>
      <c r="BV104" s="271"/>
      <c r="BW104" s="271"/>
      <c r="BX104" s="271"/>
      <c r="BY104" s="271"/>
      <c r="BZ104" s="271"/>
      <c r="CA104" s="271"/>
      <c r="CB104" s="271"/>
      <c r="CC104" s="271"/>
      <c r="CD104" s="271"/>
      <c r="CE104" s="271"/>
      <c r="CF104" s="271"/>
      <c r="CG104" s="271"/>
      <c r="CH104" s="271"/>
      <c r="CI104" s="271"/>
      <c r="CJ104" s="271"/>
      <c r="CK104" s="271"/>
      <c r="CL104" s="271"/>
    </row>
    <row r="105" spans="1:90" s="270" customFormat="1">
      <c r="A105" s="271"/>
      <c r="B105" s="271"/>
      <c r="C105" s="271"/>
      <c r="D105" s="271"/>
      <c r="E105" s="271"/>
      <c r="F105" s="271"/>
      <c r="G105" s="271"/>
      <c r="H105" s="271"/>
      <c r="I105" s="271"/>
      <c r="J105" s="271"/>
      <c r="K105" s="271"/>
      <c r="L105" s="271"/>
      <c r="M105" s="271"/>
      <c r="N105" s="271"/>
      <c r="O105" s="271"/>
      <c r="P105" s="271"/>
      <c r="Q105" s="271"/>
      <c r="R105" s="271"/>
      <c r="S105" s="271"/>
      <c r="T105" s="271"/>
      <c r="U105" s="271"/>
      <c r="V105" s="271"/>
      <c r="W105" s="271"/>
      <c r="X105" s="271"/>
      <c r="Y105" s="271"/>
      <c r="Z105" s="271"/>
      <c r="AA105" s="271"/>
      <c r="AB105" s="271"/>
      <c r="AC105" s="271"/>
      <c r="AD105" s="271"/>
      <c r="AE105" s="271"/>
      <c r="AF105" s="271"/>
      <c r="AG105" s="271"/>
      <c r="AH105" s="271"/>
      <c r="AI105" s="271"/>
      <c r="AJ105" s="271"/>
      <c r="AK105" s="271"/>
      <c r="AL105" s="271"/>
      <c r="AM105" s="271"/>
      <c r="AN105" s="271"/>
      <c r="AO105" s="271"/>
      <c r="AP105" s="271"/>
      <c r="AQ105" s="271"/>
      <c r="AR105" s="271"/>
      <c r="AS105" s="271"/>
      <c r="AT105" s="271"/>
      <c r="AU105" s="271"/>
      <c r="AV105" s="271"/>
      <c r="AW105" s="271"/>
      <c r="AX105" s="271"/>
      <c r="AY105" s="271"/>
      <c r="AZ105" s="271"/>
      <c r="BA105" s="271"/>
      <c r="BB105" s="95"/>
      <c r="BC105" s="214"/>
      <c r="BD105" s="271"/>
      <c r="BE105" s="311"/>
      <c r="BF105" s="271"/>
      <c r="BG105" s="271"/>
      <c r="BH105" s="271"/>
      <c r="BI105" s="95"/>
      <c r="BJ105" s="271"/>
      <c r="BK105" s="271"/>
      <c r="BL105" s="271"/>
      <c r="BM105" s="271"/>
      <c r="BN105" s="271"/>
      <c r="BO105" s="271"/>
      <c r="BP105" s="271"/>
      <c r="BQ105" s="271"/>
      <c r="BR105" s="271"/>
      <c r="BS105" s="271"/>
      <c r="BT105" s="271"/>
      <c r="BU105" s="271"/>
      <c r="BV105" s="271"/>
      <c r="BW105" s="271"/>
      <c r="BX105" s="271"/>
      <c r="BY105" s="271"/>
      <c r="BZ105" s="271"/>
      <c r="CA105" s="271"/>
      <c r="CB105" s="271"/>
      <c r="CC105" s="271"/>
      <c r="CD105" s="271"/>
      <c r="CE105" s="271"/>
      <c r="CF105" s="271"/>
      <c r="CG105" s="271"/>
      <c r="CH105" s="271"/>
      <c r="CI105" s="271"/>
      <c r="CJ105" s="271"/>
      <c r="CK105" s="271"/>
      <c r="CL105" s="271"/>
    </row>
    <row r="106" spans="1:90" s="270" customFormat="1">
      <c r="A106" s="271"/>
      <c r="B106" s="271"/>
      <c r="C106" s="271"/>
      <c r="D106" s="271"/>
      <c r="E106" s="271"/>
      <c r="F106" s="271"/>
      <c r="G106" s="271"/>
      <c r="H106" s="271"/>
      <c r="I106" s="271"/>
      <c r="J106" s="271"/>
      <c r="K106" s="271"/>
      <c r="L106" s="271"/>
      <c r="M106" s="271"/>
      <c r="N106" s="271"/>
      <c r="O106" s="271"/>
      <c r="P106" s="271"/>
      <c r="Q106" s="271"/>
      <c r="R106" s="271"/>
      <c r="S106" s="271"/>
      <c r="T106" s="271"/>
      <c r="U106" s="271"/>
      <c r="V106" s="271"/>
      <c r="W106" s="271"/>
      <c r="X106" s="271"/>
      <c r="Y106" s="271"/>
      <c r="Z106" s="271"/>
      <c r="AA106" s="271"/>
      <c r="AB106" s="271"/>
      <c r="AC106" s="271"/>
      <c r="AD106" s="271"/>
      <c r="AE106" s="271"/>
      <c r="AF106" s="271"/>
      <c r="AG106" s="271"/>
      <c r="AH106" s="271"/>
      <c r="AI106" s="271"/>
      <c r="AJ106" s="271"/>
      <c r="AK106" s="271"/>
      <c r="AL106" s="271"/>
      <c r="AM106" s="271"/>
      <c r="AN106" s="271"/>
      <c r="AO106" s="271"/>
      <c r="AP106" s="271"/>
      <c r="AQ106" s="271"/>
      <c r="AR106" s="271"/>
      <c r="AS106" s="271"/>
      <c r="AT106" s="271"/>
      <c r="AU106" s="271"/>
      <c r="AV106" s="271"/>
      <c r="AW106" s="271"/>
      <c r="AX106" s="271"/>
      <c r="AY106" s="271"/>
      <c r="AZ106" s="271"/>
      <c r="BA106" s="271"/>
      <c r="BB106" s="95"/>
      <c r="BC106" s="214"/>
      <c r="BD106" s="271"/>
      <c r="BE106" s="311"/>
      <c r="BF106" s="271"/>
      <c r="BG106" s="271"/>
      <c r="BH106" s="271"/>
      <c r="BI106" s="95"/>
      <c r="BJ106" s="271"/>
      <c r="BK106" s="271"/>
      <c r="BL106" s="271"/>
      <c r="BM106" s="271"/>
      <c r="BN106" s="271"/>
      <c r="BO106" s="271"/>
      <c r="BP106" s="271"/>
      <c r="BQ106" s="271"/>
      <c r="BR106" s="271"/>
      <c r="BS106" s="271"/>
      <c r="BT106" s="271"/>
      <c r="BU106" s="271"/>
      <c r="BV106" s="271"/>
      <c r="BW106" s="271"/>
      <c r="BX106" s="271"/>
      <c r="BY106" s="271"/>
      <c r="BZ106" s="271"/>
      <c r="CA106" s="271"/>
      <c r="CB106" s="271"/>
      <c r="CC106" s="271"/>
      <c r="CD106" s="271"/>
      <c r="CE106" s="271"/>
      <c r="CF106" s="271"/>
      <c r="CG106" s="271"/>
      <c r="CH106" s="271"/>
      <c r="CI106" s="271"/>
      <c r="CJ106" s="271"/>
      <c r="CK106" s="271"/>
      <c r="CL106" s="271"/>
    </row>
    <row r="107" spans="1:90" s="270" customFormat="1">
      <c r="A107" s="271"/>
      <c r="B107" s="271"/>
      <c r="C107" s="271"/>
      <c r="D107" s="271"/>
      <c r="E107" s="271"/>
      <c r="F107" s="271"/>
      <c r="G107" s="271"/>
      <c r="H107" s="271"/>
      <c r="I107" s="271"/>
      <c r="J107" s="271"/>
      <c r="K107" s="271"/>
      <c r="L107" s="271"/>
      <c r="M107" s="271"/>
      <c r="N107" s="271"/>
      <c r="O107" s="271"/>
      <c r="P107" s="271"/>
      <c r="Q107" s="271"/>
      <c r="R107" s="271"/>
      <c r="S107" s="271"/>
      <c r="T107" s="271"/>
      <c r="U107" s="271"/>
      <c r="V107" s="271"/>
      <c r="W107" s="271"/>
      <c r="X107" s="271"/>
      <c r="Y107" s="271"/>
      <c r="Z107" s="271"/>
      <c r="AA107" s="271"/>
      <c r="AB107" s="271"/>
      <c r="AC107" s="271"/>
      <c r="AD107" s="271"/>
      <c r="AE107" s="271"/>
      <c r="AF107" s="271"/>
      <c r="AG107" s="271"/>
      <c r="AH107" s="271"/>
      <c r="AI107" s="271"/>
      <c r="AJ107" s="271"/>
      <c r="AK107" s="271"/>
      <c r="AL107" s="271"/>
      <c r="AM107" s="271"/>
      <c r="AN107" s="271"/>
      <c r="AO107" s="271"/>
      <c r="AP107" s="271"/>
      <c r="AQ107" s="271"/>
      <c r="AR107" s="271"/>
      <c r="AS107" s="271"/>
      <c r="AT107" s="271"/>
      <c r="AU107" s="271"/>
      <c r="AV107" s="271"/>
      <c r="AW107" s="271"/>
      <c r="AX107" s="271"/>
      <c r="AY107" s="271"/>
      <c r="AZ107" s="271"/>
      <c r="BA107" s="271"/>
      <c r="BB107" s="95"/>
      <c r="BC107" s="214"/>
      <c r="BD107" s="271"/>
      <c r="BE107" s="311"/>
      <c r="BF107" s="271"/>
      <c r="BG107" s="271"/>
      <c r="BH107" s="271"/>
      <c r="BI107" s="95"/>
      <c r="BJ107" s="271"/>
      <c r="BK107" s="271"/>
      <c r="BL107" s="271"/>
      <c r="BM107" s="271"/>
      <c r="BN107" s="271"/>
      <c r="BO107" s="271"/>
      <c r="BP107" s="271"/>
      <c r="BQ107" s="271"/>
      <c r="BR107" s="271"/>
      <c r="BS107" s="271"/>
      <c r="BT107" s="271"/>
      <c r="BU107" s="271"/>
      <c r="BV107" s="271"/>
      <c r="BW107" s="271"/>
      <c r="BX107" s="271"/>
      <c r="BY107" s="271"/>
      <c r="BZ107" s="271"/>
      <c r="CA107" s="271"/>
      <c r="CB107" s="271"/>
      <c r="CC107" s="271"/>
      <c r="CD107" s="271"/>
      <c r="CE107" s="271"/>
      <c r="CF107" s="271"/>
      <c r="CG107" s="271"/>
      <c r="CH107" s="271"/>
      <c r="CI107" s="271"/>
      <c r="CJ107" s="271"/>
      <c r="CK107" s="271"/>
      <c r="CL107" s="271"/>
    </row>
    <row r="108" spans="1:90" s="270" customFormat="1">
      <c r="A108" s="271"/>
      <c r="B108" s="271"/>
      <c r="C108" s="271"/>
      <c r="D108" s="271"/>
      <c r="E108" s="271"/>
      <c r="F108" s="271"/>
      <c r="G108" s="271"/>
      <c r="H108" s="271"/>
      <c r="I108" s="271"/>
      <c r="J108" s="271"/>
      <c r="K108" s="271"/>
      <c r="L108" s="271"/>
      <c r="M108" s="271"/>
      <c r="N108" s="271"/>
      <c r="O108" s="271"/>
      <c r="P108" s="271"/>
      <c r="Q108" s="271"/>
      <c r="R108" s="271"/>
      <c r="S108" s="271"/>
      <c r="T108" s="271"/>
      <c r="U108" s="271"/>
      <c r="V108" s="271"/>
      <c r="W108" s="271"/>
      <c r="X108" s="271"/>
      <c r="Y108" s="271"/>
      <c r="Z108" s="271"/>
      <c r="AA108" s="271"/>
      <c r="AB108" s="271"/>
      <c r="AC108" s="271"/>
      <c r="AD108" s="271"/>
      <c r="AE108" s="271"/>
      <c r="AF108" s="271"/>
      <c r="AG108" s="271"/>
      <c r="AH108" s="271"/>
      <c r="AI108" s="271"/>
      <c r="AJ108" s="271"/>
      <c r="AK108" s="271"/>
      <c r="AL108" s="271"/>
      <c r="AM108" s="271"/>
      <c r="AN108" s="271"/>
      <c r="AO108" s="271"/>
      <c r="AP108" s="271"/>
      <c r="AQ108" s="271"/>
      <c r="AR108" s="271"/>
      <c r="AS108" s="271"/>
      <c r="AT108" s="271"/>
      <c r="AU108" s="271"/>
      <c r="AV108" s="271"/>
      <c r="AW108" s="271"/>
      <c r="AX108" s="271"/>
      <c r="AY108" s="271"/>
      <c r="AZ108" s="271"/>
      <c r="BA108" s="271"/>
      <c r="BB108" s="95"/>
      <c r="BC108" s="214"/>
      <c r="BD108" s="271"/>
      <c r="BE108" s="311"/>
      <c r="BF108" s="271"/>
      <c r="BG108" s="271"/>
      <c r="BH108" s="271"/>
      <c r="BI108" s="95"/>
      <c r="BJ108" s="271"/>
      <c r="BK108" s="271"/>
      <c r="BL108" s="271"/>
      <c r="BM108" s="271"/>
      <c r="BN108" s="271"/>
      <c r="BO108" s="271"/>
      <c r="BP108" s="271"/>
      <c r="BQ108" s="271"/>
      <c r="BR108" s="271"/>
      <c r="BS108" s="271"/>
      <c r="BT108" s="271"/>
      <c r="BU108" s="271"/>
      <c r="BV108" s="271"/>
      <c r="BW108" s="271"/>
      <c r="BX108" s="271"/>
      <c r="BY108" s="271"/>
      <c r="BZ108" s="271"/>
      <c r="CA108" s="271"/>
      <c r="CB108" s="271"/>
      <c r="CC108" s="271"/>
      <c r="CD108" s="271"/>
      <c r="CE108" s="271"/>
      <c r="CF108" s="271"/>
      <c r="CG108" s="271"/>
      <c r="CH108" s="271"/>
      <c r="CI108" s="271"/>
      <c r="CJ108" s="271"/>
      <c r="CK108" s="271"/>
      <c r="CL108" s="271"/>
    </row>
    <row r="109" spans="1:90" s="270" customFormat="1">
      <c r="A109" s="271"/>
      <c r="B109" s="271"/>
      <c r="C109" s="271"/>
      <c r="D109" s="271"/>
      <c r="E109" s="271"/>
      <c r="F109" s="271"/>
      <c r="G109" s="271"/>
      <c r="H109" s="271"/>
      <c r="I109" s="271"/>
      <c r="J109" s="271"/>
      <c r="K109" s="271"/>
      <c r="L109" s="271"/>
      <c r="M109" s="271"/>
      <c r="N109" s="271"/>
      <c r="O109" s="271"/>
      <c r="P109" s="271"/>
      <c r="Q109" s="271"/>
      <c r="R109" s="271"/>
      <c r="S109" s="271"/>
      <c r="T109" s="271"/>
      <c r="U109" s="271"/>
      <c r="V109" s="271"/>
      <c r="W109" s="271"/>
      <c r="X109" s="271"/>
      <c r="Y109" s="271"/>
      <c r="Z109" s="271"/>
      <c r="AA109" s="271"/>
      <c r="AB109" s="271"/>
      <c r="AC109" s="271"/>
      <c r="AD109" s="271"/>
      <c r="AE109" s="271"/>
      <c r="AF109" s="271"/>
      <c r="AG109" s="271"/>
      <c r="AH109" s="271"/>
      <c r="AI109" s="271"/>
      <c r="AJ109" s="271"/>
      <c r="AK109" s="271"/>
      <c r="AL109" s="271"/>
      <c r="AM109" s="271"/>
      <c r="AN109" s="271"/>
      <c r="AO109" s="271"/>
      <c r="AP109" s="271"/>
      <c r="AQ109" s="271"/>
      <c r="AR109" s="271"/>
      <c r="AS109" s="271"/>
      <c r="AT109" s="271"/>
      <c r="AU109" s="271"/>
      <c r="AV109" s="271"/>
      <c r="AW109" s="271"/>
      <c r="AX109" s="271"/>
      <c r="AY109" s="271"/>
      <c r="AZ109" s="271"/>
      <c r="BA109" s="271"/>
      <c r="BB109" s="95"/>
      <c r="BC109" s="214"/>
      <c r="BD109" s="271"/>
      <c r="BE109" s="311"/>
      <c r="BF109" s="271"/>
      <c r="BG109" s="271"/>
      <c r="BH109" s="271"/>
      <c r="BI109" s="95"/>
      <c r="BJ109" s="271"/>
      <c r="BK109" s="271"/>
      <c r="BL109" s="271"/>
      <c r="BM109" s="271"/>
      <c r="BN109" s="271"/>
      <c r="BO109" s="271"/>
      <c r="BP109" s="271"/>
      <c r="BQ109" s="271"/>
      <c r="BR109" s="271"/>
      <c r="BS109" s="271"/>
      <c r="BT109" s="271"/>
      <c r="BU109" s="271"/>
      <c r="BV109" s="271"/>
      <c r="BW109" s="271"/>
      <c r="BX109" s="271"/>
      <c r="BY109" s="271"/>
      <c r="BZ109" s="271"/>
      <c r="CA109" s="271"/>
      <c r="CB109" s="271"/>
      <c r="CC109" s="271"/>
      <c r="CD109" s="271"/>
      <c r="CE109" s="271"/>
      <c r="CF109" s="271"/>
      <c r="CG109" s="271"/>
      <c r="CH109" s="271"/>
      <c r="CI109" s="271"/>
      <c r="CJ109" s="271"/>
      <c r="CK109" s="271"/>
      <c r="CL109" s="271"/>
    </row>
    <row r="110" spans="1:90" s="270" customFormat="1">
      <c r="A110" s="271"/>
      <c r="B110" s="271"/>
      <c r="C110" s="271"/>
      <c r="D110" s="271"/>
      <c r="E110" s="271"/>
      <c r="F110" s="271"/>
      <c r="G110" s="271"/>
      <c r="H110" s="271"/>
      <c r="I110" s="271"/>
      <c r="J110" s="271"/>
      <c r="K110" s="271"/>
      <c r="L110" s="271"/>
      <c r="M110" s="271"/>
      <c r="N110" s="271"/>
      <c r="O110" s="271"/>
      <c r="P110" s="271"/>
      <c r="Q110" s="271"/>
      <c r="R110" s="271"/>
      <c r="S110" s="271"/>
      <c r="T110" s="271"/>
      <c r="U110" s="271"/>
      <c r="V110" s="271"/>
      <c r="W110" s="271"/>
      <c r="X110" s="271"/>
      <c r="Y110" s="271"/>
      <c r="Z110" s="271"/>
      <c r="AA110" s="271"/>
      <c r="AB110" s="271"/>
      <c r="AC110" s="271"/>
      <c r="AD110" s="271"/>
      <c r="AE110" s="271"/>
      <c r="AF110" s="271"/>
      <c r="AG110" s="271"/>
      <c r="AH110" s="271"/>
      <c r="AI110" s="271"/>
      <c r="AJ110" s="271"/>
      <c r="AK110" s="271"/>
      <c r="AL110" s="271"/>
      <c r="AM110" s="271"/>
      <c r="AN110" s="271"/>
      <c r="AO110" s="271"/>
      <c r="AP110" s="271"/>
      <c r="AQ110" s="271"/>
      <c r="AR110" s="271"/>
      <c r="AS110" s="271"/>
      <c r="AT110" s="271"/>
      <c r="AU110" s="271"/>
      <c r="AV110" s="271"/>
      <c r="AW110" s="271"/>
      <c r="AX110" s="271"/>
      <c r="AY110" s="271"/>
      <c r="AZ110" s="271"/>
      <c r="BA110" s="271"/>
      <c r="BB110" s="95"/>
      <c r="BC110" s="214"/>
      <c r="BD110" s="271"/>
      <c r="BE110" s="311"/>
      <c r="BF110" s="271"/>
      <c r="BG110" s="271"/>
      <c r="BH110" s="271"/>
      <c r="BI110" s="95"/>
      <c r="BJ110" s="271"/>
      <c r="BK110" s="271"/>
      <c r="BL110" s="271"/>
      <c r="BM110" s="271"/>
      <c r="BN110" s="271"/>
      <c r="BO110" s="271"/>
      <c r="BP110" s="271"/>
      <c r="BQ110" s="271"/>
      <c r="BR110" s="271"/>
      <c r="BS110" s="271"/>
      <c r="BT110" s="271"/>
      <c r="BU110" s="271"/>
      <c r="BV110" s="271"/>
      <c r="BW110" s="271"/>
      <c r="BX110" s="271"/>
      <c r="BY110" s="271"/>
      <c r="BZ110" s="271"/>
      <c r="CA110" s="271"/>
      <c r="CB110" s="271"/>
      <c r="CC110" s="271"/>
      <c r="CD110" s="271"/>
      <c r="CE110" s="271"/>
      <c r="CF110" s="271"/>
      <c r="CG110" s="271"/>
      <c r="CH110" s="271"/>
      <c r="CI110" s="271"/>
      <c r="CJ110" s="271"/>
      <c r="CK110" s="271"/>
      <c r="CL110" s="271"/>
    </row>
    <row r="111" spans="1:90" s="270" customFormat="1">
      <c r="A111" s="271"/>
      <c r="B111" s="271"/>
      <c r="C111" s="271"/>
      <c r="D111" s="271"/>
      <c r="E111" s="271"/>
      <c r="F111" s="271"/>
      <c r="G111" s="271"/>
      <c r="H111" s="271"/>
      <c r="I111" s="271"/>
      <c r="J111" s="271"/>
      <c r="K111" s="271"/>
      <c r="L111" s="271"/>
      <c r="M111" s="271"/>
      <c r="N111" s="271"/>
      <c r="O111" s="271"/>
      <c r="P111" s="271"/>
      <c r="Q111" s="271"/>
      <c r="R111" s="271"/>
      <c r="S111" s="271"/>
      <c r="T111" s="271"/>
      <c r="U111" s="271"/>
      <c r="V111" s="271"/>
      <c r="W111" s="271"/>
      <c r="X111" s="271"/>
      <c r="Y111" s="271"/>
      <c r="Z111" s="271"/>
      <c r="AA111" s="271"/>
      <c r="AB111" s="271"/>
      <c r="AC111" s="271"/>
      <c r="AD111" s="271"/>
      <c r="AE111" s="271"/>
      <c r="AF111" s="271"/>
      <c r="AG111" s="271"/>
      <c r="AH111" s="271"/>
      <c r="AI111" s="271"/>
      <c r="AJ111" s="271"/>
      <c r="AK111" s="271"/>
      <c r="AL111" s="271"/>
      <c r="AM111" s="271"/>
      <c r="AN111" s="271"/>
      <c r="AO111" s="271"/>
      <c r="AP111" s="271"/>
      <c r="AQ111" s="271"/>
      <c r="AR111" s="271"/>
      <c r="AS111" s="271"/>
      <c r="AT111" s="271"/>
      <c r="AU111" s="271"/>
      <c r="AV111" s="271"/>
      <c r="AW111" s="271"/>
      <c r="AX111" s="271"/>
      <c r="AY111" s="271"/>
      <c r="AZ111" s="271"/>
      <c r="BA111" s="271"/>
      <c r="BB111" s="95"/>
      <c r="BC111" s="214"/>
      <c r="BD111" s="271"/>
      <c r="BE111" s="311"/>
      <c r="BF111" s="271"/>
      <c r="BG111" s="271"/>
      <c r="BH111" s="271"/>
      <c r="BI111" s="95"/>
      <c r="BJ111" s="271"/>
      <c r="BK111" s="271"/>
      <c r="BL111" s="271"/>
      <c r="BM111" s="271"/>
      <c r="BN111" s="271"/>
      <c r="BO111" s="271"/>
      <c r="BP111" s="271"/>
      <c r="BQ111" s="271"/>
      <c r="BR111" s="271"/>
      <c r="BS111" s="271"/>
      <c r="BT111" s="271"/>
      <c r="BU111" s="271"/>
      <c r="BV111" s="271"/>
      <c r="BW111" s="271"/>
      <c r="BX111" s="271"/>
      <c r="BY111" s="271"/>
      <c r="BZ111" s="271"/>
      <c r="CA111" s="271"/>
      <c r="CB111" s="271"/>
      <c r="CC111" s="271"/>
      <c r="CD111" s="271"/>
      <c r="CE111" s="271"/>
      <c r="CF111" s="271"/>
      <c r="CG111" s="271"/>
      <c r="CH111" s="271"/>
      <c r="CI111" s="271"/>
      <c r="CJ111" s="271"/>
      <c r="CK111" s="271"/>
      <c r="CL111" s="271"/>
    </row>
    <row r="112" spans="1:90" s="270" customFormat="1">
      <c r="A112" s="271"/>
      <c r="B112" s="271"/>
      <c r="C112" s="271"/>
      <c r="D112" s="271"/>
      <c r="E112" s="271"/>
      <c r="F112" s="271"/>
      <c r="G112" s="271"/>
      <c r="H112" s="271"/>
      <c r="I112" s="271"/>
      <c r="J112" s="271"/>
      <c r="K112" s="271"/>
      <c r="L112" s="271"/>
      <c r="M112" s="271"/>
      <c r="N112" s="271"/>
      <c r="O112" s="271"/>
      <c r="P112" s="271"/>
      <c r="Q112" s="271"/>
      <c r="R112" s="271"/>
      <c r="S112" s="271"/>
      <c r="T112" s="271"/>
      <c r="U112" s="271"/>
      <c r="V112" s="271"/>
      <c r="W112" s="271"/>
      <c r="X112" s="271"/>
      <c r="Y112" s="271"/>
      <c r="Z112" s="271"/>
      <c r="AA112" s="271"/>
      <c r="AB112" s="271"/>
      <c r="AC112" s="271"/>
      <c r="AD112" s="271"/>
      <c r="AE112" s="271"/>
      <c r="AF112" s="271"/>
      <c r="AG112" s="271"/>
      <c r="AH112" s="271"/>
      <c r="AI112" s="271"/>
      <c r="AJ112" s="271"/>
      <c r="AK112" s="271"/>
      <c r="AL112" s="271"/>
      <c r="AM112" s="271"/>
      <c r="AN112" s="271"/>
      <c r="AO112" s="271"/>
      <c r="AP112" s="271"/>
      <c r="AQ112" s="271"/>
      <c r="AR112" s="271"/>
      <c r="AS112" s="271"/>
      <c r="AT112" s="271"/>
      <c r="AU112" s="271"/>
      <c r="AV112" s="271"/>
      <c r="AW112" s="271"/>
      <c r="AX112" s="271"/>
      <c r="AY112" s="271"/>
      <c r="AZ112" s="271"/>
      <c r="BA112" s="271"/>
      <c r="BB112" s="95"/>
      <c r="BC112" s="214"/>
      <c r="BD112" s="271"/>
      <c r="BE112" s="311"/>
      <c r="BF112" s="271"/>
      <c r="BG112" s="271"/>
      <c r="BH112" s="271"/>
      <c r="BI112" s="95"/>
      <c r="BJ112" s="271"/>
      <c r="BK112" s="271"/>
      <c r="BL112" s="271"/>
      <c r="BM112" s="271"/>
      <c r="BN112" s="271"/>
      <c r="BO112" s="271"/>
      <c r="BP112" s="271"/>
      <c r="BQ112" s="271"/>
      <c r="BR112" s="271"/>
      <c r="BS112" s="271"/>
      <c r="BT112" s="271"/>
      <c r="BU112" s="271"/>
      <c r="BV112" s="271"/>
      <c r="BW112" s="271"/>
      <c r="BX112" s="271"/>
      <c r="BY112" s="271"/>
      <c r="BZ112" s="271"/>
      <c r="CA112" s="271"/>
      <c r="CB112" s="271"/>
      <c r="CC112" s="271"/>
      <c r="CD112" s="271"/>
      <c r="CE112" s="271"/>
      <c r="CF112" s="271"/>
      <c r="CG112" s="271"/>
      <c r="CH112" s="271"/>
      <c r="CI112" s="271"/>
      <c r="CJ112" s="271"/>
      <c r="CK112" s="271"/>
      <c r="CL112" s="271"/>
    </row>
    <row r="113" spans="1:90" s="270" customFormat="1">
      <c r="A113" s="271"/>
      <c r="B113" s="271"/>
      <c r="C113" s="271"/>
      <c r="D113" s="271"/>
      <c r="E113" s="271"/>
      <c r="F113" s="271"/>
      <c r="G113" s="271"/>
      <c r="H113" s="271"/>
      <c r="I113" s="271"/>
      <c r="J113" s="271"/>
      <c r="K113" s="271"/>
      <c r="L113" s="271"/>
      <c r="M113" s="271"/>
      <c r="N113" s="271"/>
      <c r="O113" s="271"/>
      <c r="P113" s="271"/>
      <c r="Q113" s="271"/>
      <c r="R113" s="271"/>
      <c r="S113" s="271"/>
      <c r="T113" s="271"/>
      <c r="U113" s="271"/>
      <c r="V113" s="271"/>
      <c r="W113" s="271"/>
      <c r="X113" s="271"/>
      <c r="Y113" s="271"/>
      <c r="Z113" s="271"/>
      <c r="AA113" s="271"/>
      <c r="AB113" s="271"/>
      <c r="AC113" s="271"/>
      <c r="AD113" s="271"/>
      <c r="AE113" s="271"/>
      <c r="AF113" s="271"/>
      <c r="AG113" s="271"/>
      <c r="AH113" s="271"/>
      <c r="AI113" s="271"/>
      <c r="AJ113" s="271"/>
      <c r="AK113" s="271"/>
      <c r="AL113" s="271"/>
      <c r="AM113" s="271"/>
      <c r="AN113" s="271"/>
      <c r="AO113" s="271"/>
      <c r="AP113" s="271"/>
      <c r="AQ113" s="271"/>
      <c r="AR113" s="271"/>
      <c r="AS113" s="271"/>
      <c r="AT113" s="271"/>
      <c r="AU113" s="271"/>
      <c r="AV113" s="271"/>
      <c r="AW113" s="271"/>
      <c r="AX113" s="271"/>
      <c r="AY113" s="271"/>
      <c r="AZ113" s="271"/>
      <c r="BA113" s="271"/>
      <c r="BB113" s="95"/>
      <c r="BC113" s="214"/>
      <c r="BD113" s="271"/>
      <c r="BE113" s="311"/>
      <c r="BF113" s="271"/>
      <c r="BG113" s="271"/>
      <c r="BH113" s="271"/>
      <c r="BI113" s="95"/>
      <c r="BJ113" s="271"/>
      <c r="BK113" s="271"/>
      <c r="BL113" s="271"/>
      <c r="BM113" s="271"/>
      <c r="BN113" s="271"/>
      <c r="BO113" s="271"/>
      <c r="BP113" s="271"/>
      <c r="BQ113" s="271"/>
      <c r="BR113" s="271"/>
      <c r="BS113" s="271"/>
      <c r="BT113" s="271"/>
      <c r="BU113" s="271"/>
      <c r="BV113" s="271"/>
      <c r="BW113" s="271"/>
      <c r="BX113" s="271"/>
      <c r="BY113" s="271"/>
      <c r="BZ113" s="271"/>
      <c r="CA113" s="271"/>
      <c r="CB113" s="271"/>
      <c r="CC113" s="271"/>
      <c r="CD113" s="271"/>
      <c r="CE113" s="271"/>
      <c r="CF113" s="271"/>
      <c r="CG113" s="271"/>
      <c r="CH113" s="271"/>
      <c r="CI113" s="271"/>
      <c r="CJ113" s="271"/>
      <c r="CK113" s="271"/>
      <c r="CL113" s="271"/>
    </row>
    <row r="114" spans="1:90" s="270" customFormat="1">
      <c r="A114" s="271"/>
      <c r="B114" s="271"/>
      <c r="C114" s="271"/>
      <c r="D114" s="271"/>
      <c r="E114" s="271"/>
      <c r="F114" s="271"/>
      <c r="G114" s="271"/>
      <c r="H114" s="271"/>
      <c r="I114" s="271"/>
      <c r="J114" s="271"/>
      <c r="K114" s="271"/>
      <c r="L114" s="271"/>
      <c r="M114" s="271"/>
      <c r="N114" s="271"/>
      <c r="O114" s="271"/>
      <c r="P114" s="271"/>
      <c r="Q114" s="271"/>
      <c r="R114" s="271"/>
      <c r="S114" s="271"/>
      <c r="T114" s="271"/>
      <c r="U114" s="271"/>
      <c r="V114" s="271"/>
      <c r="W114" s="271"/>
      <c r="X114" s="271"/>
      <c r="Y114" s="271"/>
      <c r="Z114" s="271"/>
      <c r="AA114" s="271"/>
      <c r="AB114" s="271"/>
      <c r="AC114" s="271"/>
      <c r="AD114" s="271"/>
      <c r="AE114" s="271"/>
      <c r="AF114" s="271"/>
      <c r="AG114" s="271"/>
      <c r="AH114" s="271"/>
      <c r="AI114" s="271"/>
      <c r="AJ114" s="271"/>
      <c r="AK114" s="271"/>
      <c r="AL114" s="271"/>
      <c r="AM114" s="271"/>
      <c r="AN114" s="271"/>
      <c r="AO114" s="271"/>
      <c r="AP114" s="271"/>
      <c r="AQ114" s="271"/>
      <c r="AR114" s="271"/>
      <c r="AS114" s="271"/>
      <c r="AT114" s="271"/>
      <c r="AU114" s="271"/>
      <c r="AV114" s="271"/>
      <c r="AW114" s="271"/>
      <c r="AX114" s="271"/>
      <c r="AY114" s="271"/>
      <c r="AZ114" s="271"/>
      <c r="BA114" s="271"/>
      <c r="BB114" s="95"/>
      <c r="BC114" s="214"/>
      <c r="BD114" s="271"/>
      <c r="BE114" s="311"/>
      <c r="BF114" s="271"/>
      <c r="BG114" s="271"/>
      <c r="BH114" s="271"/>
      <c r="BI114" s="95"/>
      <c r="BJ114" s="271"/>
      <c r="BK114" s="271"/>
      <c r="BL114" s="271"/>
      <c r="BM114" s="271"/>
      <c r="BN114" s="271"/>
      <c r="BO114" s="271"/>
      <c r="BP114" s="271"/>
      <c r="BQ114" s="271"/>
      <c r="BR114" s="271"/>
      <c r="BS114" s="271"/>
      <c r="BT114" s="271"/>
      <c r="BU114" s="271"/>
      <c r="BV114" s="271"/>
      <c r="BW114" s="271"/>
      <c r="BX114" s="271"/>
      <c r="BY114" s="271"/>
      <c r="BZ114" s="271"/>
      <c r="CA114" s="271"/>
      <c r="CB114" s="271"/>
      <c r="CC114" s="271"/>
      <c r="CD114" s="271"/>
      <c r="CE114" s="271"/>
      <c r="CF114" s="271"/>
      <c r="CG114" s="271"/>
      <c r="CH114" s="271"/>
      <c r="CI114" s="271"/>
      <c r="CJ114" s="271"/>
      <c r="CK114" s="271"/>
      <c r="CL114" s="271"/>
    </row>
    <row r="115" spans="1:90" s="270" customFormat="1">
      <c r="A115" s="271"/>
      <c r="B115" s="271"/>
      <c r="C115" s="271"/>
      <c r="D115" s="271"/>
      <c r="E115" s="271"/>
      <c r="F115" s="271"/>
      <c r="G115" s="271"/>
      <c r="H115" s="271"/>
      <c r="I115" s="271"/>
      <c r="J115" s="271"/>
      <c r="K115" s="271"/>
      <c r="L115" s="271"/>
      <c r="M115" s="271"/>
      <c r="N115" s="271"/>
      <c r="O115" s="271"/>
      <c r="P115" s="271"/>
      <c r="Q115" s="271"/>
      <c r="R115" s="271"/>
      <c r="S115" s="271"/>
      <c r="T115" s="271"/>
      <c r="U115" s="271"/>
      <c r="V115" s="271"/>
      <c r="W115" s="271"/>
      <c r="X115" s="271"/>
      <c r="Y115" s="271"/>
      <c r="Z115" s="271"/>
      <c r="AA115" s="271"/>
      <c r="AB115" s="271"/>
      <c r="AC115" s="271"/>
      <c r="AD115" s="271"/>
      <c r="AE115" s="271"/>
      <c r="AF115" s="271"/>
      <c r="AG115" s="271"/>
      <c r="AH115" s="271"/>
      <c r="AI115" s="271"/>
      <c r="AJ115" s="271"/>
      <c r="AK115" s="271"/>
      <c r="AL115" s="271"/>
      <c r="AM115" s="271"/>
      <c r="AN115" s="271"/>
      <c r="AO115" s="271"/>
      <c r="AP115" s="271"/>
      <c r="AQ115" s="271"/>
      <c r="AR115" s="271"/>
      <c r="AS115" s="271"/>
      <c r="AT115" s="271"/>
      <c r="AU115" s="271"/>
      <c r="AV115" s="271"/>
      <c r="AW115" s="271"/>
      <c r="AX115" s="271"/>
      <c r="AY115" s="271"/>
      <c r="AZ115" s="271"/>
      <c r="BA115" s="271"/>
      <c r="BB115" s="95"/>
      <c r="BC115" s="214"/>
      <c r="BD115" s="271"/>
      <c r="BE115" s="311"/>
      <c r="BF115" s="271"/>
      <c r="BG115" s="271"/>
      <c r="BH115" s="271"/>
      <c r="BI115" s="95"/>
      <c r="BJ115" s="271"/>
      <c r="BK115" s="271"/>
      <c r="BL115" s="271"/>
      <c r="BM115" s="271"/>
      <c r="BN115" s="271"/>
      <c r="BO115" s="271"/>
      <c r="BP115" s="271"/>
      <c r="BQ115" s="271"/>
      <c r="BR115" s="271"/>
      <c r="BS115" s="271"/>
      <c r="BT115" s="271"/>
      <c r="BU115" s="271"/>
      <c r="BV115" s="271"/>
      <c r="BW115" s="271"/>
      <c r="BX115" s="271"/>
      <c r="BY115" s="271"/>
      <c r="BZ115" s="271"/>
      <c r="CA115" s="271"/>
      <c r="CB115" s="271"/>
      <c r="CC115" s="271"/>
      <c r="CD115" s="271"/>
      <c r="CE115" s="271"/>
      <c r="CF115" s="271"/>
      <c r="CG115" s="271"/>
      <c r="CH115" s="271"/>
      <c r="CI115" s="271"/>
      <c r="CJ115" s="271"/>
      <c r="CK115" s="271"/>
      <c r="CL115" s="271"/>
    </row>
    <row r="116" spans="1:90" s="270" customFormat="1">
      <c r="A116" s="271"/>
      <c r="B116" s="271"/>
      <c r="C116" s="271"/>
      <c r="D116" s="271"/>
      <c r="E116" s="271"/>
      <c r="F116" s="271"/>
      <c r="G116" s="271"/>
      <c r="H116" s="271"/>
      <c r="I116" s="271"/>
      <c r="J116" s="271"/>
      <c r="K116" s="271"/>
      <c r="L116" s="271"/>
      <c r="M116" s="271"/>
      <c r="N116" s="271"/>
      <c r="O116" s="271"/>
      <c r="P116" s="271"/>
      <c r="Q116" s="271"/>
      <c r="R116" s="271"/>
      <c r="S116" s="271"/>
      <c r="T116" s="271"/>
      <c r="U116" s="271"/>
      <c r="V116" s="271"/>
      <c r="W116" s="271"/>
      <c r="X116" s="271"/>
      <c r="Y116" s="271"/>
      <c r="Z116" s="271"/>
      <c r="AA116" s="271"/>
      <c r="AB116" s="271"/>
      <c r="AC116" s="271"/>
      <c r="AD116" s="271"/>
      <c r="AE116" s="271"/>
      <c r="AF116" s="271"/>
      <c r="AG116" s="271"/>
      <c r="AH116" s="271"/>
      <c r="AI116" s="271"/>
      <c r="AJ116" s="271"/>
      <c r="AK116" s="271"/>
      <c r="AL116" s="271"/>
      <c r="AM116" s="271"/>
      <c r="AN116" s="271"/>
      <c r="AO116" s="271"/>
      <c r="AP116" s="271"/>
      <c r="AQ116" s="271"/>
      <c r="AR116" s="271"/>
      <c r="AS116" s="271"/>
      <c r="AT116" s="271"/>
      <c r="AU116" s="271"/>
      <c r="AV116" s="271"/>
      <c r="AW116" s="271"/>
      <c r="AX116" s="271"/>
      <c r="AY116" s="271"/>
      <c r="AZ116" s="271"/>
      <c r="BA116" s="271"/>
      <c r="BB116" s="95"/>
      <c r="BC116" s="214"/>
      <c r="BD116" s="271"/>
      <c r="BE116" s="311"/>
      <c r="BF116" s="271"/>
      <c r="BG116" s="271"/>
      <c r="BH116" s="271"/>
      <c r="BI116" s="95"/>
      <c r="BJ116" s="271"/>
      <c r="BK116" s="271"/>
      <c r="BL116" s="271"/>
      <c r="BM116" s="271"/>
      <c r="BN116" s="271"/>
      <c r="BO116" s="271"/>
      <c r="BP116" s="271"/>
      <c r="BQ116" s="271"/>
      <c r="BR116" s="271"/>
      <c r="BS116" s="271"/>
      <c r="BT116" s="271"/>
      <c r="BU116" s="271"/>
      <c r="BV116" s="271"/>
      <c r="BW116" s="271"/>
      <c r="BX116" s="271"/>
      <c r="BY116" s="271"/>
      <c r="BZ116" s="271"/>
      <c r="CA116" s="271"/>
      <c r="CB116" s="271"/>
      <c r="CC116" s="271"/>
      <c r="CD116" s="271"/>
      <c r="CE116" s="271"/>
      <c r="CF116" s="271"/>
      <c r="CG116" s="271"/>
      <c r="CH116" s="271"/>
      <c r="CI116" s="271"/>
      <c r="CJ116" s="271"/>
      <c r="CK116" s="271"/>
      <c r="CL116" s="271"/>
    </row>
    <row r="117" spans="1:90" s="270" customFormat="1">
      <c r="A117" s="271"/>
      <c r="B117" s="271"/>
      <c r="C117" s="271"/>
      <c r="D117" s="271"/>
      <c r="E117" s="271"/>
      <c r="F117" s="271"/>
      <c r="G117" s="271"/>
      <c r="H117" s="271"/>
      <c r="I117" s="271"/>
      <c r="J117" s="271"/>
      <c r="K117" s="271"/>
      <c r="L117" s="271"/>
      <c r="M117" s="271"/>
      <c r="N117" s="271"/>
      <c r="O117" s="271"/>
      <c r="P117" s="271"/>
      <c r="Q117" s="271"/>
      <c r="R117" s="271"/>
      <c r="S117" s="271"/>
      <c r="T117" s="271"/>
      <c r="U117" s="271"/>
      <c r="V117" s="271"/>
      <c r="W117" s="271"/>
      <c r="X117" s="271"/>
      <c r="Y117" s="271"/>
      <c r="Z117" s="271"/>
      <c r="AA117" s="271"/>
      <c r="AB117" s="271"/>
      <c r="AC117" s="271"/>
      <c r="AD117" s="271"/>
      <c r="AE117" s="271"/>
      <c r="AF117" s="271"/>
      <c r="AG117" s="271"/>
      <c r="AH117" s="271"/>
      <c r="AI117" s="271"/>
      <c r="AJ117" s="271"/>
      <c r="AK117" s="271"/>
      <c r="AL117" s="271"/>
      <c r="AM117" s="271"/>
      <c r="AN117" s="271"/>
      <c r="AO117" s="271"/>
      <c r="AP117" s="271"/>
      <c r="AQ117" s="271"/>
      <c r="AR117" s="271"/>
      <c r="AS117" s="271"/>
      <c r="AT117" s="271"/>
      <c r="AU117" s="271"/>
      <c r="AV117" s="271"/>
      <c r="AW117" s="271"/>
      <c r="AX117" s="271"/>
      <c r="AY117" s="271"/>
      <c r="AZ117" s="271"/>
      <c r="BA117" s="271"/>
      <c r="BB117" s="95"/>
      <c r="BC117" s="214"/>
      <c r="BD117" s="271"/>
      <c r="BE117" s="311"/>
      <c r="BF117" s="271"/>
      <c r="BG117" s="271"/>
      <c r="BH117" s="271"/>
      <c r="BI117" s="95"/>
      <c r="BJ117" s="271"/>
      <c r="BK117" s="271"/>
      <c r="BL117" s="271"/>
      <c r="BM117" s="271"/>
      <c r="BN117" s="271"/>
      <c r="BO117" s="271"/>
      <c r="BP117" s="271"/>
      <c r="BQ117" s="271"/>
      <c r="BR117" s="271"/>
      <c r="BS117" s="271"/>
      <c r="BT117" s="271"/>
      <c r="BU117" s="271"/>
      <c r="BV117" s="271"/>
      <c r="BW117" s="271"/>
      <c r="BX117" s="271"/>
      <c r="BY117" s="271"/>
      <c r="BZ117" s="271"/>
      <c r="CA117" s="271"/>
      <c r="CB117" s="271"/>
      <c r="CC117" s="271"/>
      <c r="CD117" s="271"/>
      <c r="CE117" s="271"/>
      <c r="CF117" s="271"/>
      <c r="CG117" s="271"/>
      <c r="CH117" s="271"/>
      <c r="CI117" s="271"/>
      <c r="CJ117" s="271"/>
      <c r="CK117" s="271"/>
      <c r="CL117" s="271"/>
    </row>
    <row r="118" spans="1:90" s="270" customFormat="1">
      <c r="A118" s="271"/>
      <c r="B118" s="271"/>
      <c r="C118" s="271"/>
      <c r="D118" s="271"/>
      <c r="E118" s="271"/>
      <c r="F118" s="271"/>
      <c r="G118" s="271"/>
      <c r="H118" s="271"/>
      <c r="I118" s="271"/>
      <c r="J118" s="271"/>
      <c r="K118" s="271"/>
      <c r="L118" s="271"/>
      <c r="M118" s="271"/>
      <c r="N118" s="271"/>
      <c r="O118" s="271"/>
      <c r="P118" s="271"/>
      <c r="Q118" s="271"/>
      <c r="R118" s="271"/>
      <c r="S118" s="271"/>
      <c r="T118" s="271"/>
      <c r="U118" s="271"/>
      <c r="V118" s="271"/>
      <c r="W118" s="271"/>
      <c r="X118" s="271"/>
      <c r="Y118" s="271"/>
      <c r="Z118" s="271"/>
      <c r="AA118" s="271"/>
      <c r="AB118" s="271"/>
      <c r="AC118" s="271"/>
      <c r="AD118" s="271"/>
      <c r="AE118" s="271"/>
      <c r="AF118" s="271"/>
      <c r="AG118" s="271"/>
      <c r="AH118" s="271"/>
      <c r="AI118" s="271"/>
      <c r="AJ118" s="271"/>
      <c r="AK118" s="271"/>
      <c r="AL118" s="271"/>
      <c r="AM118" s="271"/>
      <c r="AN118" s="271"/>
      <c r="AO118" s="271"/>
      <c r="AP118" s="271"/>
      <c r="AQ118" s="271"/>
      <c r="AR118" s="271"/>
      <c r="AS118" s="271"/>
      <c r="AT118" s="271"/>
      <c r="AU118" s="271"/>
      <c r="AV118" s="271"/>
      <c r="AW118" s="271"/>
      <c r="AX118" s="271"/>
      <c r="AY118" s="271"/>
      <c r="AZ118" s="271"/>
      <c r="BA118" s="271"/>
      <c r="BB118" s="95"/>
      <c r="BC118" s="214"/>
      <c r="BD118" s="271"/>
      <c r="BE118" s="311"/>
      <c r="BF118" s="271"/>
      <c r="BG118" s="271"/>
      <c r="BH118" s="271"/>
      <c r="BI118" s="95"/>
      <c r="BJ118" s="271"/>
      <c r="BK118" s="271"/>
      <c r="BL118" s="271"/>
      <c r="BM118" s="271"/>
      <c r="BN118" s="271"/>
      <c r="BO118" s="271"/>
      <c r="BP118" s="271"/>
      <c r="BQ118" s="271"/>
      <c r="BR118" s="271"/>
      <c r="BS118" s="271"/>
      <c r="BT118" s="271"/>
      <c r="BU118" s="271"/>
      <c r="BV118" s="271"/>
      <c r="BW118" s="271"/>
      <c r="BX118" s="271"/>
      <c r="BY118" s="271"/>
      <c r="BZ118" s="271"/>
      <c r="CA118" s="271"/>
      <c r="CB118" s="271"/>
      <c r="CC118" s="271"/>
      <c r="CD118" s="271"/>
      <c r="CE118" s="271"/>
      <c r="CF118" s="271"/>
      <c r="CG118" s="271"/>
      <c r="CH118" s="271"/>
      <c r="CI118" s="271"/>
      <c r="CJ118" s="271"/>
      <c r="CK118" s="271"/>
      <c r="CL118" s="271"/>
    </row>
    <row r="119" spans="1:90" s="270" customFormat="1">
      <c r="A119" s="271"/>
      <c r="B119" s="271"/>
      <c r="C119" s="271"/>
      <c r="D119" s="271"/>
      <c r="E119" s="271"/>
      <c r="F119" s="271"/>
      <c r="G119" s="271"/>
      <c r="H119" s="271"/>
      <c r="I119" s="271"/>
      <c r="J119" s="271"/>
      <c r="K119" s="271"/>
      <c r="L119" s="271"/>
      <c r="M119" s="271"/>
      <c r="N119" s="271"/>
      <c r="O119" s="271"/>
      <c r="P119" s="271"/>
      <c r="Q119" s="271"/>
      <c r="R119" s="271"/>
      <c r="S119" s="271"/>
      <c r="T119" s="271"/>
      <c r="U119" s="271"/>
      <c r="V119" s="271"/>
      <c r="W119" s="271"/>
      <c r="X119" s="271"/>
      <c r="Y119" s="271"/>
      <c r="Z119" s="271"/>
      <c r="AA119" s="271"/>
      <c r="AB119" s="271"/>
      <c r="AC119" s="271"/>
      <c r="AD119" s="271"/>
      <c r="AE119" s="271"/>
      <c r="AF119" s="271"/>
      <c r="AG119" s="271"/>
      <c r="AH119" s="271"/>
      <c r="AI119" s="271"/>
      <c r="AJ119" s="271"/>
      <c r="AK119" s="271"/>
      <c r="AL119" s="271"/>
      <c r="AM119" s="271"/>
      <c r="AN119" s="271"/>
      <c r="AO119" s="271"/>
      <c r="AP119" s="271"/>
      <c r="AQ119" s="271"/>
      <c r="AR119" s="271"/>
      <c r="AS119" s="271"/>
      <c r="AT119" s="271"/>
      <c r="AU119" s="271"/>
      <c r="AV119" s="271"/>
      <c r="AW119" s="271"/>
      <c r="AX119" s="271"/>
      <c r="AY119" s="271"/>
      <c r="AZ119" s="271"/>
      <c r="BA119" s="271"/>
      <c r="BB119" s="95"/>
      <c r="BC119" s="214"/>
      <c r="BD119" s="271"/>
      <c r="BE119" s="311"/>
      <c r="BF119" s="271"/>
      <c r="BG119" s="271"/>
      <c r="BH119" s="271"/>
      <c r="BI119" s="95"/>
      <c r="BJ119" s="271"/>
      <c r="BK119" s="271"/>
      <c r="BL119" s="271"/>
      <c r="BM119" s="271"/>
      <c r="BN119" s="271"/>
      <c r="BO119" s="271"/>
      <c r="BP119" s="271"/>
      <c r="BQ119" s="271"/>
      <c r="BR119" s="271"/>
      <c r="BS119" s="271"/>
      <c r="BT119" s="271"/>
      <c r="BU119" s="271"/>
      <c r="BV119" s="271"/>
      <c r="BW119" s="271"/>
      <c r="BX119" s="271"/>
      <c r="BY119" s="271"/>
      <c r="BZ119" s="271"/>
      <c r="CA119" s="271"/>
      <c r="CB119" s="271"/>
      <c r="CC119" s="271"/>
      <c r="CD119" s="271"/>
      <c r="CE119" s="271"/>
      <c r="CF119" s="271"/>
      <c r="CG119" s="271"/>
      <c r="CH119" s="271"/>
      <c r="CI119" s="271"/>
      <c r="CJ119" s="271"/>
      <c r="CK119" s="271"/>
      <c r="CL119" s="271"/>
    </row>
    <row r="120" spans="1:90" s="270" customFormat="1">
      <c r="A120" s="271"/>
      <c r="B120" s="271"/>
      <c r="C120" s="271"/>
      <c r="D120" s="271"/>
      <c r="E120" s="271"/>
      <c r="F120" s="271"/>
      <c r="G120" s="271"/>
      <c r="H120" s="271"/>
      <c r="I120" s="271"/>
      <c r="J120" s="271"/>
      <c r="K120" s="271"/>
      <c r="L120" s="271"/>
      <c r="M120" s="271"/>
      <c r="N120" s="271"/>
      <c r="O120" s="271"/>
      <c r="P120" s="271"/>
      <c r="Q120" s="271"/>
      <c r="R120" s="271"/>
      <c r="S120" s="271"/>
      <c r="T120" s="271"/>
      <c r="U120" s="271"/>
      <c r="V120" s="271"/>
      <c r="W120" s="271"/>
      <c r="X120" s="271"/>
      <c r="Y120" s="271"/>
      <c r="Z120" s="271"/>
      <c r="AA120" s="271"/>
      <c r="AB120" s="271"/>
      <c r="AC120" s="271"/>
      <c r="AD120" s="271"/>
      <c r="AE120" s="271"/>
      <c r="AF120" s="271"/>
      <c r="AG120" s="271"/>
      <c r="AH120" s="271"/>
      <c r="AI120" s="271"/>
      <c r="AJ120" s="271"/>
      <c r="AK120" s="271"/>
      <c r="AL120" s="271"/>
      <c r="AM120" s="271"/>
      <c r="AN120" s="271"/>
      <c r="AO120" s="271"/>
      <c r="AP120" s="271"/>
      <c r="AQ120" s="271"/>
      <c r="AR120" s="271"/>
      <c r="AS120" s="271"/>
      <c r="AT120" s="271"/>
      <c r="AU120" s="271"/>
      <c r="AV120" s="271"/>
      <c r="AW120" s="271"/>
      <c r="AX120" s="271"/>
      <c r="AY120" s="271"/>
      <c r="AZ120" s="271"/>
      <c r="BA120" s="271"/>
      <c r="BB120" s="95"/>
      <c r="BC120" s="214"/>
      <c r="BD120" s="271"/>
      <c r="BE120" s="311"/>
      <c r="BF120" s="271"/>
      <c r="BG120" s="271"/>
      <c r="BH120" s="271"/>
      <c r="BI120" s="95"/>
      <c r="BJ120" s="271"/>
      <c r="BK120" s="271"/>
      <c r="BL120" s="271"/>
      <c r="BM120" s="271"/>
      <c r="BN120" s="271"/>
      <c r="BO120" s="271"/>
      <c r="BP120" s="271"/>
      <c r="BQ120" s="271"/>
      <c r="BR120" s="271"/>
      <c r="BS120" s="271"/>
      <c r="BT120" s="271"/>
      <c r="BU120" s="271"/>
      <c r="BV120" s="271"/>
      <c r="BW120" s="271"/>
      <c r="BX120" s="271"/>
      <c r="BY120" s="271"/>
      <c r="BZ120" s="271"/>
      <c r="CA120" s="271"/>
      <c r="CB120" s="271"/>
      <c r="CC120" s="271"/>
      <c r="CD120" s="271"/>
      <c r="CE120" s="271"/>
      <c r="CF120" s="271"/>
      <c r="CG120" s="271"/>
      <c r="CH120" s="271"/>
      <c r="CI120" s="271"/>
      <c r="CJ120" s="271"/>
      <c r="CK120" s="271"/>
      <c r="CL120" s="271"/>
    </row>
    <row r="121" spans="1:90" s="270" customFormat="1">
      <c r="A121" s="95"/>
      <c r="B121" s="263"/>
      <c r="C121" s="263"/>
      <c r="D121" s="263"/>
      <c r="E121" s="263"/>
      <c r="F121" s="263"/>
      <c r="G121" s="263"/>
      <c r="H121" s="95"/>
      <c r="I121" s="95"/>
      <c r="J121" s="263"/>
      <c r="K121" s="263"/>
      <c r="L121" s="263"/>
      <c r="M121" s="263"/>
      <c r="N121" s="263"/>
      <c r="O121" s="263"/>
      <c r="P121" s="95"/>
      <c r="Q121" s="95"/>
      <c r="R121" s="95"/>
      <c r="S121" s="95"/>
      <c r="T121" s="95"/>
      <c r="U121" s="95"/>
      <c r="V121" s="95"/>
      <c r="W121" s="95"/>
      <c r="X121" s="95"/>
      <c r="Y121" s="95"/>
      <c r="Z121" s="95"/>
      <c r="AA121" s="95"/>
      <c r="AB121" s="95"/>
      <c r="AC121" s="95"/>
      <c r="AD121" s="95"/>
      <c r="AE121" s="95"/>
      <c r="AF121" s="95"/>
      <c r="AG121" s="95"/>
      <c r="AH121" s="95"/>
      <c r="AI121" s="95"/>
      <c r="AJ121" s="95"/>
      <c r="AK121" s="95"/>
      <c r="AL121" s="95"/>
      <c r="AM121" s="95"/>
      <c r="AN121" s="264"/>
      <c r="AO121" s="95"/>
      <c r="AP121" s="95"/>
      <c r="AQ121" s="95"/>
      <c r="AR121" s="95"/>
      <c r="AS121" s="95"/>
      <c r="AT121" s="95"/>
      <c r="AU121" s="95"/>
      <c r="AV121" s="95"/>
      <c r="AW121" s="95"/>
      <c r="AX121" s="95"/>
      <c r="AY121" s="95"/>
      <c r="AZ121" s="95"/>
      <c r="BA121" s="95"/>
      <c r="BB121" s="95"/>
      <c r="BC121" s="214"/>
      <c r="BD121" s="95"/>
      <c r="BE121" s="95"/>
      <c r="BF121" s="95"/>
      <c r="BG121" s="95"/>
      <c r="BH121" s="95"/>
      <c r="BI121" s="95"/>
      <c r="BJ121" s="95"/>
      <c r="BK121" s="265"/>
      <c r="BL121" s="265"/>
      <c r="BM121" s="265"/>
      <c r="BN121" s="266"/>
      <c r="BO121" s="267"/>
      <c r="BP121" s="268"/>
      <c r="BQ121" s="269"/>
      <c r="BR121" s="269"/>
      <c r="BS121" s="269"/>
      <c r="BT121" s="269"/>
      <c r="BU121" s="269"/>
      <c r="BV121" s="269"/>
      <c r="BW121" s="268"/>
      <c r="BX121" s="269"/>
      <c r="BY121" s="268"/>
      <c r="BZ121" s="268"/>
      <c r="CA121" s="268"/>
      <c r="CB121" s="269"/>
      <c r="CC121" s="268"/>
      <c r="CD121" s="268"/>
      <c r="CE121" s="269"/>
      <c r="CF121" s="269"/>
      <c r="CG121" s="269"/>
      <c r="CH121" s="269"/>
      <c r="CI121" s="269"/>
      <c r="CJ121" s="269"/>
      <c r="CK121" s="269"/>
      <c r="CL121" s="266"/>
    </row>
    <row r="122" spans="1:90" s="270" customFormat="1">
      <c r="A122" s="95"/>
      <c r="B122" s="263"/>
      <c r="C122" s="263"/>
      <c r="D122" s="263"/>
      <c r="E122" s="263"/>
      <c r="F122" s="263"/>
      <c r="G122" s="263"/>
      <c r="H122" s="95"/>
      <c r="I122" s="95"/>
      <c r="J122" s="263"/>
      <c r="K122" s="263"/>
      <c r="L122" s="263"/>
      <c r="M122" s="263"/>
      <c r="N122" s="263"/>
      <c r="O122" s="263"/>
      <c r="P122" s="95"/>
      <c r="Q122" s="95"/>
      <c r="R122" s="95"/>
      <c r="S122" s="95"/>
      <c r="T122" s="95"/>
      <c r="U122" s="95"/>
      <c r="V122" s="95"/>
      <c r="W122" s="95"/>
      <c r="X122" s="95"/>
      <c r="Y122" s="95"/>
      <c r="Z122" s="95"/>
      <c r="AA122" s="95"/>
      <c r="AB122" s="95"/>
      <c r="AC122" s="95"/>
      <c r="AD122" s="95"/>
      <c r="AE122" s="95"/>
      <c r="AF122" s="95"/>
      <c r="AG122" s="95"/>
      <c r="AH122" s="95"/>
      <c r="AI122" s="95"/>
      <c r="AJ122" s="95"/>
      <c r="AK122" s="95"/>
      <c r="AL122" s="95"/>
      <c r="AM122" s="95"/>
      <c r="AN122" s="264"/>
      <c r="AO122" s="95"/>
      <c r="AP122" s="95"/>
      <c r="AQ122" s="95"/>
      <c r="AR122" s="95"/>
      <c r="AS122" s="95"/>
      <c r="AT122" s="95"/>
      <c r="AU122" s="95"/>
      <c r="AV122" s="95"/>
      <c r="AW122" s="95"/>
      <c r="AX122" s="95"/>
      <c r="AY122" s="95"/>
      <c r="AZ122" s="95"/>
      <c r="BA122" s="95"/>
      <c r="BB122" s="95"/>
      <c r="BC122" s="214"/>
      <c r="BD122" s="95"/>
      <c r="BE122" s="95"/>
      <c r="BF122" s="95"/>
      <c r="BG122" s="95"/>
      <c r="BH122" s="95"/>
      <c r="BI122" s="95"/>
      <c r="BJ122" s="95"/>
      <c r="BK122" s="265"/>
      <c r="BL122" s="265"/>
      <c r="BM122" s="265"/>
      <c r="BN122" s="266"/>
      <c r="BO122" s="267"/>
      <c r="BP122" s="268"/>
      <c r="BQ122" s="269"/>
      <c r="BR122" s="269"/>
      <c r="BS122" s="269"/>
      <c r="BT122" s="269"/>
      <c r="BU122" s="269"/>
      <c r="BV122" s="269"/>
      <c r="BW122" s="268"/>
      <c r="BX122" s="269"/>
      <c r="BY122" s="268"/>
      <c r="BZ122" s="268"/>
      <c r="CA122" s="268"/>
      <c r="CB122" s="269"/>
      <c r="CC122" s="268"/>
      <c r="CD122" s="268"/>
      <c r="CE122" s="269"/>
      <c r="CF122" s="269"/>
      <c r="CG122" s="269"/>
      <c r="CH122" s="269"/>
      <c r="CI122" s="269"/>
      <c r="CJ122" s="269"/>
      <c r="CK122" s="269"/>
      <c r="CL122" s="266"/>
    </row>
    <row r="123" spans="1:90" s="270" customFormat="1">
      <c r="A123" s="95"/>
      <c r="B123" s="263"/>
      <c r="C123" s="263"/>
      <c r="D123" s="263"/>
      <c r="E123" s="263"/>
      <c r="F123" s="263"/>
      <c r="G123" s="263"/>
      <c r="H123" s="95"/>
      <c r="I123" s="95"/>
      <c r="J123" s="263"/>
      <c r="K123" s="263"/>
      <c r="L123" s="263"/>
      <c r="M123" s="263"/>
      <c r="N123" s="263"/>
      <c r="O123" s="263"/>
      <c r="P123" s="95"/>
      <c r="Q123" s="95"/>
      <c r="R123" s="95"/>
      <c r="S123" s="95"/>
      <c r="T123" s="95"/>
      <c r="U123" s="95"/>
      <c r="V123" s="95"/>
      <c r="W123" s="95"/>
      <c r="X123" s="95"/>
      <c r="Y123" s="95"/>
      <c r="Z123" s="95"/>
      <c r="AA123" s="95"/>
      <c r="AB123" s="95"/>
      <c r="AC123" s="95"/>
      <c r="AD123" s="95"/>
      <c r="AE123" s="95"/>
      <c r="AF123" s="95"/>
      <c r="AG123" s="95"/>
      <c r="AH123" s="95"/>
      <c r="AI123" s="95"/>
      <c r="AJ123" s="95"/>
      <c r="AK123" s="95"/>
      <c r="AL123" s="95"/>
      <c r="AM123" s="95"/>
      <c r="AN123" s="264"/>
      <c r="AO123" s="95"/>
      <c r="AP123" s="95"/>
      <c r="AQ123" s="95"/>
      <c r="AR123" s="95"/>
      <c r="AS123" s="95"/>
      <c r="AT123" s="95"/>
      <c r="AU123" s="95"/>
      <c r="AV123" s="95"/>
      <c r="AW123" s="95"/>
      <c r="AX123" s="95"/>
      <c r="AY123" s="95"/>
      <c r="AZ123" s="95"/>
      <c r="BA123" s="95"/>
      <c r="BB123" s="95"/>
      <c r="BC123" s="214"/>
      <c r="BD123" s="95"/>
      <c r="BE123" s="95"/>
      <c r="BF123" s="95"/>
      <c r="BG123" s="95"/>
      <c r="BH123" s="95"/>
      <c r="BI123" s="95"/>
      <c r="BJ123" s="95"/>
      <c r="BK123" s="265"/>
      <c r="BL123" s="265"/>
      <c r="BM123" s="265"/>
      <c r="BN123" s="266"/>
      <c r="BO123" s="267"/>
      <c r="BP123" s="268"/>
      <c r="BQ123" s="269"/>
      <c r="BR123" s="269"/>
      <c r="BS123" s="269"/>
      <c r="BT123" s="269"/>
      <c r="BU123" s="269"/>
      <c r="BV123" s="269"/>
      <c r="BW123" s="268"/>
      <c r="BX123" s="269"/>
      <c r="BY123" s="268"/>
      <c r="BZ123" s="268"/>
      <c r="CA123" s="268"/>
      <c r="CB123" s="269"/>
      <c r="CC123" s="268"/>
      <c r="CD123" s="268"/>
      <c r="CE123" s="269"/>
      <c r="CF123" s="269"/>
      <c r="CG123" s="269"/>
      <c r="CH123" s="269"/>
      <c r="CI123" s="269"/>
      <c r="CJ123" s="269"/>
      <c r="CK123" s="269"/>
      <c r="CL123" s="266"/>
    </row>
    <row r="124" spans="1:90" s="270" customFormat="1">
      <c r="A124" s="95"/>
      <c r="B124" s="263"/>
      <c r="C124" s="263"/>
      <c r="D124" s="263"/>
      <c r="E124" s="263"/>
      <c r="F124" s="263"/>
      <c r="G124" s="263"/>
      <c r="H124" s="95"/>
      <c r="I124" s="95"/>
      <c r="J124" s="263"/>
      <c r="K124" s="263"/>
      <c r="L124" s="263"/>
      <c r="M124" s="263"/>
      <c r="N124" s="263"/>
      <c r="O124" s="263"/>
      <c r="P124" s="95"/>
      <c r="Q124" s="95"/>
      <c r="R124" s="95"/>
      <c r="S124" s="95"/>
      <c r="T124" s="95"/>
      <c r="U124" s="95"/>
      <c r="V124" s="95"/>
      <c r="W124" s="95"/>
      <c r="X124" s="95"/>
      <c r="Y124" s="95"/>
      <c r="Z124" s="95"/>
      <c r="AA124" s="95"/>
      <c r="AB124" s="95"/>
      <c r="AC124" s="95"/>
      <c r="AD124" s="95"/>
      <c r="AE124" s="95"/>
      <c r="AF124" s="95"/>
      <c r="AG124" s="95"/>
      <c r="AH124" s="95"/>
      <c r="AI124" s="95"/>
      <c r="AJ124" s="95"/>
      <c r="AK124" s="95"/>
      <c r="AL124" s="95"/>
      <c r="AM124" s="95"/>
      <c r="AN124" s="264"/>
      <c r="AO124" s="95"/>
      <c r="AP124" s="95"/>
      <c r="AQ124" s="95"/>
      <c r="AR124" s="95"/>
      <c r="AS124" s="95"/>
      <c r="AT124" s="95"/>
      <c r="AU124" s="95"/>
      <c r="AV124" s="95"/>
      <c r="AW124" s="95"/>
      <c r="AX124" s="95"/>
      <c r="AY124" s="95"/>
      <c r="AZ124" s="95"/>
      <c r="BA124" s="95"/>
      <c r="BB124" s="95"/>
      <c r="BC124" s="214"/>
      <c r="BD124" s="95"/>
      <c r="BE124" s="95"/>
      <c r="BF124" s="95"/>
      <c r="BG124" s="95"/>
      <c r="BH124" s="95"/>
      <c r="BI124" s="95"/>
      <c r="BJ124" s="95"/>
      <c r="BK124" s="265"/>
      <c r="BL124" s="265"/>
      <c r="BM124" s="265"/>
      <c r="BN124" s="266"/>
      <c r="BO124" s="267"/>
      <c r="BP124" s="268"/>
      <c r="BQ124" s="269"/>
      <c r="BR124" s="269"/>
      <c r="BS124" s="269"/>
      <c r="BT124" s="269"/>
      <c r="BU124" s="269"/>
      <c r="BV124" s="269"/>
      <c r="BW124" s="268"/>
      <c r="BX124" s="269"/>
      <c r="BY124" s="268"/>
      <c r="BZ124" s="268"/>
      <c r="CA124" s="268"/>
      <c r="CB124" s="269"/>
      <c r="CC124" s="268"/>
      <c r="CD124" s="268"/>
      <c r="CE124" s="269"/>
      <c r="CF124" s="269"/>
      <c r="CG124" s="269"/>
      <c r="CH124" s="269"/>
      <c r="CI124" s="269"/>
      <c r="CJ124" s="269"/>
      <c r="CK124" s="269"/>
      <c r="CL124" s="266"/>
    </row>
    <row r="125" spans="1:90" s="270" customFormat="1">
      <c r="A125" s="95"/>
      <c r="B125" s="263"/>
      <c r="C125" s="263"/>
      <c r="D125" s="263"/>
      <c r="E125" s="263"/>
      <c r="F125" s="263"/>
      <c r="G125" s="263"/>
      <c r="H125" s="95"/>
      <c r="I125" s="95"/>
      <c r="J125" s="263"/>
      <c r="K125" s="263"/>
      <c r="L125" s="263"/>
      <c r="M125" s="263"/>
      <c r="N125" s="263"/>
      <c r="O125" s="263"/>
      <c r="P125" s="95"/>
      <c r="Q125" s="95"/>
      <c r="R125" s="95"/>
      <c r="S125" s="95"/>
      <c r="T125" s="95"/>
      <c r="U125" s="95"/>
      <c r="V125" s="95"/>
      <c r="W125" s="95"/>
      <c r="X125" s="95"/>
      <c r="Y125" s="95"/>
      <c r="Z125" s="95"/>
      <c r="AA125" s="95"/>
      <c r="AB125" s="95"/>
      <c r="AC125" s="95"/>
      <c r="AD125" s="95"/>
      <c r="AE125" s="95"/>
      <c r="AF125" s="95"/>
      <c r="AG125" s="95"/>
      <c r="AH125" s="95"/>
      <c r="AI125" s="95"/>
      <c r="AJ125" s="95"/>
      <c r="AK125" s="95"/>
      <c r="AL125" s="95"/>
      <c r="AM125" s="95"/>
      <c r="AN125" s="264"/>
      <c r="AO125" s="95"/>
      <c r="AP125" s="95"/>
      <c r="AQ125" s="95"/>
      <c r="AR125" s="95"/>
      <c r="AS125" s="95"/>
      <c r="AT125" s="95"/>
      <c r="AU125" s="95"/>
      <c r="AV125" s="95"/>
      <c r="AW125" s="95"/>
      <c r="AX125" s="95"/>
      <c r="AY125" s="95"/>
      <c r="AZ125" s="95"/>
      <c r="BA125" s="95"/>
      <c r="BB125" s="95"/>
      <c r="BC125" s="214"/>
      <c r="BD125" s="95"/>
      <c r="BE125" s="95"/>
      <c r="BF125" s="95"/>
      <c r="BG125" s="95"/>
      <c r="BH125" s="95"/>
      <c r="BI125" s="95"/>
      <c r="BJ125" s="95"/>
      <c r="BK125" s="265"/>
      <c r="BL125" s="265"/>
      <c r="BM125" s="265"/>
      <c r="BN125" s="266"/>
      <c r="BO125" s="267"/>
      <c r="BP125" s="268"/>
      <c r="BQ125" s="269"/>
      <c r="BR125" s="269"/>
      <c r="BS125" s="269"/>
      <c r="BT125" s="269"/>
      <c r="BU125" s="269"/>
      <c r="BV125" s="269"/>
      <c r="BW125" s="268"/>
      <c r="BX125" s="269"/>
      <c r="BY125" s="268"/>
      <c r="BZ125" s="268"/>
      <c r="CA125" s="268"/>
      <c r="CB125" s="269"/>
      <c r="CC125" s="268"/>
      <c r="CD125" s="268"/>
      <c r="CE125" s="269"/>
      <c r="CF125" s="269"/>
      <c r="CG125" s="269"/>
      <c r="CH125" s="269"/>
      <c r="CI125" s="269"/>
      <c r="CJ125" s="269"/>
      <c r="CK125" s="269"/>
      <c r="CL125" s="266"/>
    </row>
    <row r="126" spans="1:90" s="270" customFormat="1">
      <c r="A126" s="95"/>
      <c r="B126" s="263"/>
      <c r="C126" s="263"/>
      <c r="D126" s="263"/>
      <c r="E126" s="263"/>
      <c r="F126" s="263"/>
      <c r="G126" s="263"/>
      <c r="H126" s="95"/>
      <c r="I126" s="95"/>
      <c r="J126" s="263"/>
      <c r="K126" s="263"/>
      <c r="L126" s="263"/>
      <c r="M126" s="263"/>
      <c r="N126" s="263"/>
      <c r="O126" s="263"/>
      <c r="P126" s="95"/>
      <c r="Q126" s="95"/>
      <c r="R126" s="95"/>
      <c r="S126" s="95"/>
      <c r="T126" s="95"/>
      <c r="U126" s="95"/>
      <c r="V126" s="95"/>
      <c r="W126" s="95"/>
      <c r="X126" s="95"/>
      <c r="Y126" s="95"/>
      <c r="Z126" s="95"/>
      <c r="AA126" s="95"/>
      <c r="AB126" s="95"/>
      <c r="AC126" s="95"/>
      <c r="AD126" s="95"/>
      <c r="AE126" s="95"/>
      <c r="AF126" s="95"/>
      <c r="AG126" s="95"/>
      <c r="AH126" s="95"/>
      <c r="AI126" s="95"/>
      <c r="AJ126" s="95"/>
      <c r="AK126" s="95"/>
      <c r="AL126" s="95"/>
      <c r="AM126" s="95"/>
      <c r="AN126" s="264"/>
      <c r="AO126" s="95"/>
      <c r="AP126" s="95"/>
      <c r="AQ126" s="95"/>
      <c r="AR126" s="95"/>
      <c r="AS126" s="95"/>
      <c r="AT126" s="95"/>
      <c r="AU126" s="95"/>
      <c r="AV126" s="95"/>
      <c r="AW126" s="95"/>
      <c r="AX126" s="95"/>
      <c r="AY126" s="95"/>
      <c r="AZ126" s="95"/>
      <c r="BA126" s="95"/>
      <c r="BB126" s="95"/>
      <c r="BC126" s="214"/>
      <c r="BD126" s="95"/>
      <c r="BE126" s="95"/>
      <c r="BF126" s="95"/>
      <c r="BG126" s="95"/>
      <c r="BH126" s="95"/>
      <c r="BI126" s="95"/>
      <c r="BJ126" s="95"/>
      <c r="BK126" s="265"/>
      <c r="BL126" s="265"/>
      <c r="BM126" s="265"/>
      <c r="BN126" s="266"/>
      <c r="BO126" s="267"/>
      <c r="BP126" s="268"/>
      <c r="BQ126" s="269"/>
      <c r="BR126" s="269"/>
      <c r="BS126" s="269"/>
      <c r="BT126" s="269"/>
      <c r="BU126" s="269"/>
      <c r="BV126" s="269"/>
      <c r="BW126" s="268"/>
      <c r="BX126" s="269"/>
      <c r="BY126" s="268"/>
      <c r="BZ126" s="268"/>
      <c r="CA126" s="268"/>
      <c r="CB126" s="269"/>
      <c r="CC126" s="268"/>
      <c r="CD126" s="268"/>
      <c r="CE126" s="269"/>
      <c r="CF126" s="269"/>
      <c r="CG126" s="269"/>
      <c r="CH126" s="269"/>
      <c r="CI126" s="269"/>
      <c r="CJ126" s="269"/>
      <c r="CK126" s="269"/>
      <c r="CL126" s="266"/>
    </row>
    <row r="127" spans="1:90" s="270" customFormat="1">
      <c r="A127" s="95"/>
      <c r="B127" s="263"/>
      <c r="C127" s="263"/>
      <c r="D127" s="263"/>
      <c r="E127" s="263"/>
      <c r="F127" s="263"/>
      <c r="G127" s="263"/>
      <c r="H127" s="95"/>
      <c r="I127" s="95"/>
      <c r="J127" s="263"/>
      <c r="K127" s="263"/>
      <c r="L127" s="263"/>
      <c r="M127" s="263"/>
      <c r="N127" s="263"/>
      <c r="O127" s="263"/>
      <c r="P127" s="95"/>
      <c r="Q127" s="95"/>
      <c r="R127" s="95"/>
      <c r="S127" s="95"/>
      <c r="T127" s="95"/>
      <c r="U127" s="95"/>
      <c r="V127" s="95"/>
      <c r="W127" s="95"/>
      <c r="X127" s="95"/>
      <c r="Y127" s="95"/>
      <c r="Z127" s="95"/>
      <c r="AA127" s="95"/>
      <c r="AB127" s="95"/>
      <c r="AC127" s="95"/>
      <c r="AD127" s="95"/>
      <c r="AE127" s="95"/>
      <c r="AF127" s="95"/>
      <c r="AG127" s="95"/>
      <c r="AH127" s="95"/>
      <c r="AI127" s="95"/>
      <c r="AJ127" s="95"/>
      <c r="AK127" s="95"/>
      <c r="AL127" s="95"/>
      <c r="AM127" s="95"/>
      <c r="AN127" s="264"/>
      <c r="AO127" s="95"/>
      <c r="AP127" s="95"/>
      <c r="AQ127" s="95"/>
      <c r="AR127" s="95"/>
      <c r="AS127" s="95"/>
      <c r="AT127" s="95"/>
      <c r="AU127" s="95"/>
      <c r="AV127" s="95"/>
      <c r="AW127" s="95"/>
      <c r="AX127" s="95"/>
      <c r="AY127" s="95"/>
      <c r="AZ127" s="95"/>
      <c r="BA127" s="95"/>
      <c r="BB127" s="95"/>
      <c r="BC127" s="214"/>
      <c r="BD127" s="95"/>
      <c r="BE127" s="95"/>
      <c r="BF127" s="95"/>
      <c r="BG127" s="95"/>
      <c r="BH127" s="95"/>
      <c r="BI127" s="95"/>
      <c r="BJ127" s="95"/>
      <c r="BK127" s="265"/>
      <c r="BL127" s="265"/>
      <c r="BM127" s="265"/>
      <c r="BN127" s="266"/>
      <c r="BO127" s="267"/>
      <c r="BP127" s="268"/>
      <c r="BQ127" s="269"/>
      <c r="BR127" s="269"/>
      <c r="BS127" s="269"/>
      <c r="BT127" s="269"/>
      <c r="BU127" s="269"/>
      <c r="BV127" s="269"/>
      <c r="BW127" s="268"/>
      <c r="BX127" s="269"/>
      <c r="BY127" s="268"/>
      <c r="BZ127" s="268"/>
      <c r="CA127" s="268"/>
      <c r="CB127" s="269"/>
      <c r="CC127" s="268"/>
      <c r="CD127" s="268"/>
      <c r="CE127" s="269"/>
      <c r="CF127" s="269"/>
      <c r="CG127" s="269"/>
      <c r="CH127" s="269"/>
      <c r="CI127" s="269"/>
      <c r="CJ127" s="269"/>
      <c r="CK127" s="269"/>
      <c r="CL127" s="266"/>
    </row>
    <row r="128" spans="1:90" s="270" customFormat="1">
      <c r="A128" s="95"/>
      <c r="B128" s="263"/>
      <c r="C128" s="263"/>
      <c r="D128" s="263"/>
      <c r="E128" s="263"/>
      <c r="F128" s="263"/>
      <c r="G128" s="263"/>
      <c r="H128" s="95"/>
      <c r="I128" s="95"/>
      <c r="J128" s="263"/>
      <c r="K128" s="263"/>
      <c r="L128" s="263"/>
      <c r="M128" s="263"/>
      <c r="N128" s="263"/>
      <c r="O128" s="263"/>
      <c r="P128" s="95"/>
      <c r="Q128" s="95"/>
      <c r="R128" s="95"/>
      <c r="S128" s="95"/>
      <c r="T128" s="95"/>
      <c r="U128" s="95"/>
      <c r="V128" s="95"/>
      <c r="W128" s="95"/>
      <c r="X128" s="95"/>
      <c r="Y128" s="95"/>
      <c r="Z128" s="95"/>
      <c r="AA128" s="95"/>
      <c r="AB128" s="95"/>
      <c r="AC128" s="95"/>
      <c r="AD128" s="95"/>
      <c r="AE128" s="95"/>
      <c r="AF128" s="95"/>
      <c r="AG128" s="95"/>
      <c r="AH128" s="95"/>
      <c r="AI128" s="95"/>
      <c r="AJ128" s="95"/>
      <c r="AK128" s="95"/>
      <c r="AL128" s="95"/>
      <c r="AM128" s="95"/>
      <c r="AN128" s="264"/>
      <c r="AO128" s="95"/>
      <c r="AP128" s="95"/>
      <c r="AQ128" s="95"/>
      <c r="AR128" s="95"/>
      <c r="AS128" s="95"/>
      <c r="AT128" s="95"/>
      <c r="AU128" s="95"/>
      <c r="AV128" s="95"/>
      <c r="AW128" s="95"/>
      <c r="AX128" s="95"/>
      <c r="AY128" s="95"/>
      <c r="AZ128" s="95"/>
      <c r="BA128" s="95"/>
      <c r="BB128" s="95"/>
      <c r="BC128" s="214"/>
      <c r="BD128" s="95"/>
      <c r="BE128" s="95"/>
      <c r="BF128" s="95"/>
      <c r="BG128" s="95"/>
      <c r="BH128" s="95"/>
      <c r="BI128" s="95"/>
      <c r="BJ128" s="95"/>
      <c r="BK128" s="265"/>
      <c r="BL128" s="265"/>
      <c r="BM128" s="265"/>
      <c r="BN128" s="266"/>
      <c r="BO128" s="267"/>
      <c r="BP128" s="268"/>
      <c r="BQ128" s="269"/>
      <c r="BR128" s="269"/>
      <c r="BS128" s="269"/>
      <c r="BT128" s="269"/>
      <c r="BU128" s="269"/>
      <c r="BV128" s="269"/>
      <c r="BW128" s="268"/>
      <c r="BX128" s="269"/>
      <c r="BY128" s="268"/>
      <c r="BZ128" s="268"/>
      <c r="CA128" s="268"/>
      <c r="CB128" s="269"/>
      <c r="CC128" s="268"/>
      <c r="CD128" s="268"/>
      <c r="CE128" s="269"/>
      <c r="CF128" s="269"/>
      <c r="CG128" s="269"/>
      <c r="CH128" s="269"/>
      <c r="CI128" s="269"/>
      <c r="CJ128" s="269"/>
      <c r="CK128" s="269"/>
      <c r="CL128" s="266"/>
    </row>
    <row r="129" spans="1:91" s="270" customFormat="1">
      <c r="A129" s="95"/>
      <c r="B129" s="263"/>
      <c r="C129" s="263"/>
      <c r="D129" s="263"/>
      <c r="E129" s="263"/>
      <c r="F129" s="263"/>
      <c r="G129" s="263"/>
      <c r="H129" s="95"/>
      <c r="I129" s="95"/>
      <c r="J129" s="263"/>
      <c r="K129" s="263"/>
      <c r="L129" s="263"/>
      <c r="M129" s="263"/>
      <c r="N129" s="263"/>
      <c r="O129" s="263"/>
      <c r="P129" s="95"/>
      <c r="Q129" s="95"/>
      <c r="R129" s="95"/>
      <c r="S129" s="95"/>
      <c r="T129" s="95"/>
      <c r="U129" s="95"/>
      <c r="V129" s="95"/>
      <c r="W129" s="95"/>
      <c r="X129" s="95"/>
      <c r="Y129" s="95"/>
      <c r="Z129" s="95"/>
      <c r="AA129" s="95"/>
      <c r="AB129" s="95"/>
      <c r="AC129" s="95"/>
      <c r="AD129" s="95"/>
      <c r="AE129" s="95"/>
      <c r="AF129" s="95"/>
      <c r="AG129" s="95"/>
      <c r="AH129" s="95"/>
      <c r="AI129" s="95"/>
      <c r="AJ129" s="95"/>
      <c r="AK129" s="95"/>
      <c r="AL129" s="95"/>
      <c r="AM129" s="95"/>
      <c r="AN129" s="264"/>
      <c r="AO129" s="95"/>
      <c r="AP129" s="95"/>
      <c r="AQ129" s="95"/>
      <c r="AR129" s="95"/>
      <c r="AS129" s="95"/>
      <c r="AT129" s="95"/>
      <c r="AU129" s="95"/>
      <c r="AV129" s="95"/>
      <c r="AW129" s="95"/>
      <c r="AX129" s="95"/>
      <c r="AY129" s="95"/>
      <c r="AZ129" s="95"/>
      <c r="BA129" s="95"/>
      <c r="BB129" s="95"/>
      <c r="BC129" s="214"/>
      <c r="BD129" s="95"/>
      <c r="BE129" s="95"/>
      <c r="BF129" s="95"/>
      <c r="BG129" s="95"/>
      <c r="BH129" s="95"/>
      <c r="BI129" s="95"/>
      <c r="BJ129" s="95"/>
      <c r="BK129" s="265"/>
      <c r="BL129" s="265"/>
      <c r="BM129" s="265"/>
      <c r="BN129" s="266"/>
      <c r="BO129" s="267"/>
      <c r="BP129" s="268"/>
      <c r="BQ129" s="269"/>
      <c r="BR129" s="269"/>
      <c r="BS129" s="269"/>
      <c r="BT129" s="269"/>
      <c r="BU129" s="269"/>
      <c r="BV129" s="269"/>
      <c r="BW129" s="268"/>
      <c r="BX129" s="269"/>
      <c r="BY129" s="268"/>
      <c r="BZ129" s="268"/>
      <c r="CA129" s="268"/>
      <c r="CB129" s="269"/>
      <c r="CC129" s="268"/>
      <c r="CD129" s="268"/>
      <c r="CE129" s="269"/>
      <c r="CF129" s="269"/>
      <c r="CG129" s="269"/>
      <c r="CH129" s="269"/>
      <c r="CI129" s="269"/>
      <c r="CJ129" s="269"/>
      <c r="CK129" s="269"/>
      <c r="CL129" s="266"/>
    </row>
    <row r="130" spans="1:91" s="270" customFormat="1">
      <c r="A130" s="95"/>
      <c r="B130" s="263"/>
      <c r="C130" s="263"/>
      <c r="D130" s="263"/>
      <c r="E130" s="263"/>
      <c r="F130" s="263"/>
      <c r="G130" s="263"/>
      <c r="H130" s="95"/>
      <c r="I130" s="95"/>
      <c r="J130" s="263"/>
      <c r="K130" s="263"/>
      <c r="L130" s="263"/>
      <c r="M130" s="263"/>
      <c r="N130" s="263"/>
      <c r="O130" s="263"/>
      <c r="P130" s="95"/>
      <c r="Q130" s="95"/>
      <c r="R130" s="95"/>
      <c r="S130" s="95"/>
      <c r="T130" s="95"/>
      <c r="U130" s="95"/>
      <c r="V130" s="95"/>
      <c r="W130" s="95"/>
      <c r="X130" s="95"/>
      <c r="Y130" s="95"/>
      <c r="Z130" s="95"/>
      <c r="AA130" s="95"/>
      <c r="AB130" s="95"/>
      <c r="AC130" s="95"/>
      <c r="AD130" s="95"/>
      <c r="AE130" s="95"/>
      <c r="AF130" s="95"/>
      <c r="AG130" s="95"/>
      <c r="AH130" s="95"/>
      <c r="AI130" s="95"/>
      <c r="AJ130" s="95"/>
      <c r="AK130" s="95"/>
      <c r="AL130" s="95"/>
      <c r="AM130" s="95"/>
      <c r="AN130" s="264"/>
      <c r="AO130" s="95"/>
      <c r="AP130" s="95"/>
      <c r="AQ130" s="95"/>
      <c r="AR130" s="95"/>
      <c r="AS130" s="95"/>
      <c r="AT130" s="95"/>
      <c r="AU130" s="95"/>
      <c r="AV130" s="95"/>
      <c r="AW130" s="95"/>
      <c r="AX130" s="95"/>
      <c r="AY130" s="95"/>
      <c r="AZ130" s="95"/>
      <c r="BA130" s="95"/>
      <c r="BB130" s="95"/>
      <c r="BC130" s="214"/>
      <c r="BD130" s="95"/>
      <c r="BE130" s="95"/>
      <c r="BF130" s="95"/>
      <c r="BG130" s="95"/>
      <c r="BH130" s="95"/>
      <c r="BI130" s="95"/>
      <c r="BJ130" s="95"/>
      <c r="BK130" s="265"/>
      <c r="BL130" s="265"/>
      <c r="BM130" s="265"/>
      <c r="BN130" s="266"/>
      <c r="BO130" s="267"/>
      <c r="BP130" s="268"/>
      <c r="BQ130" s="269"/>
      <c r="BR130" s="269"/>
      <c r="BS130" s="269"/>
      <c r="BT130" s="269"/>
      <c r="BU130" s="269"/>
      <c r="BV130" s="269"/>
      <c r="BW130" s="268"/>
      <c r="BX130" s="269"/>
      <c r="BY130" s="268"/>
      <c r="BZ130" s="268"/>
      <c r="CA130" s="268"/>
      <c r="CB130" s="269"/>
      <c r="CC130" s="268"/>
      <c r="CD130" s="268"/>
      <c r="CE130" s="269"/>
      <c r="CF130" s="269"/>
      <c r="CG130" s="269"/>
      <c r="CH130" s="269"/>
      <c r="CI130" s="269"/>
      <c r="CJ130" s="269"/>
      <c r="CK130" s="269"/>
      <c r="CL130" s="266"/>
    </row>
    <row r="131" spans="1:91" s="270" customFormat="1">
      <c r="A131" s="95"/>
      <c r="B131" s="263"/>
      <c r="C131" s="263"/>
      <c r="D131" s="263"/>
      <c r="E131" s="263"/>
      <c r="F131" s="263"/>
      <c r="G131" s="263"/>
      <c r="H131" s="95"/>
      <c r="I131" s="95"/>
      <c r="J131" s="263"/>
      <c r="K131" s="263"/>
      <c r="L131" s="263"/>
      <c r="M131" s="263"/>
      <c r="N131" s="263"/>
      <c r="O131" s="263"/>
      <c r="P131" s="95"/>
      <c r="Q131" s="95"/>
      <c r="R131" s="95"/>
      <c r="S131" s="95"/>
      <c r="T131" s="95"/>
      <c r="U131" s="95"/>
      <c r="V131" s="95"/>
      <c r="W131" s="95"/>
      <c r="X131" s="95"/>
      <c r="Y131" s="95"/>
      <c r="Z131" s="95"/>
      <c r="AA131" s="95"/>
      <c r="AB131" s="95"/>
      <c r="AC131" s="95"/>
      <c r="AD131" s="95"/>
      <c r="AE131" s="95"/>
      <c r="AF131" s="95"/>
      <c r="AG131" s="95"/>
      <c r="AH131" s="95"/>
      <c r="AI131" s="95"/>
      <c r="AJ131" s="95"/>
      <c r="AK131" s="95"/>
      <c r="AL131" s="95"/>
      <c r="AM131" s="95"/>
      <c r="AN131" s="264"/>
      <c r="AO131" s="95"/>
      <c r="AP131" s="95"/>
      <c r="AQ131" s="95"/>
      <c r="AR131" s="95"/>
      <c r="AS131" s="95"/>
      <c r="AT131" s="95"/>
      <c r="AU131" s="95"/>
      <c r="AV131" s="95"/>
      <c r="AW131" s="95"/>
      <c r="AX131" s="95"/>
      <c r="AY131" s="95"/>
      <c r="AZ131" s="95"/>
      <c r="BA131" s="95"/>
      <c r="BB131" s="95"/>
      <c r="BC131" s="214"/>
      <c r="BD131" s="95"/>
      <c r="BE131" s="95"/>
      <c r="BF131" s="95"/>
      <c r="BG131" s="95"/>
      <c r="BH131" s="95"/>
      <c r="BI131" s="95"/>
      <c r="BJ131" s="95"/>
      <c r="BK131" s="265"/>
      <c r="BL131" s="265"/>
      <c r="BM131" s="265"/>
      <c r="BN131" s="266"/>
      <c r="BO131" s="267"/>
      <c r="BP131" s="268"/>
      <c r="BQ131" s="269"/>
      <c r="BR131" s="269"/>
      <c r="BS131" s="269"/>
      <c r="BT131" s="269"/>
      <c r="BU131" s="269"/>
      <c r="BV131" s="269"/>
      <c r="BW131" s="268"/>
      <c r="BX131" s="269"/>
      <c r="BY131" s="268"/>
      <c r="BZ131" s="268"/>
      <c r="CA131" s="268"/>
      <c r="CB131" s="269"/>
      <c r="CC131" s="268"/>
      <c r="CD131" s="268"/>
      <c r="CE131" s="269"/>
      <c r="CF131" s="269"/>
      <c r="CG131" s="269"/>
      <c r="CH131" s="269"/>
      <c r="CI131" s="269"/>
      <c r="CJ131" s="269"/>
      <c r="CK131" s="269"/>
      <c r="CL131" s="266"/>
    </row>
    <row r="132" spans="1:91" s="270" customFormat="1">
      <c r="A132" s="95"/>
      <c r="B132" s="263"/>
      <c r="C132" s="263"/>
      <c r="D132" s="263"/>
      <c r="E132" s="263"/>
      <c r="F132" s="263"/>
      <c r="G132" s="263"/>
      <c r="H132" s="95"/>
      <c r="I132" s="95"/>
      <c r="J132" s="263"/>
      <c r="K132" s="263"/>
      <c r="L132" s="263"/>
      <c r="M132" s="263"/>
      <c r="N132" s="263"/>
      <c r="O132" s="263"/>
      <c r="P132" s="95"/>
      <c r="Q132" s="95"/>
      <c r="R132" s="95"/>
      <c r="S132" s="95"/>
      <c r="T132" s="95"/>
      <c r="U132" s="95"/>
      <c r="V132" s="95"/>
      <c r="W132" s="95"/>
      <c r="X132" s="95"/>
      <c r="Y132" s="95"/>
      <c r="Z132" s="95"/>
      <c r="AA132" s="95"/>
      <c r="AB132" s="95"/>
      <c r="AC132" s="95"/>
      <c r="AD132" s="95"/>
      <c r="AE132" s="95"/>
      <c r="AF132" s="95"/>
      <c r="AG132" s="95"/>
      <c r="AH132" s="95"/>
      <c r="AI132" s="95"/>
      <c r="AJ132" s="95"/>
      <c r="AK132" s="95"/>
      <c r="AL132" s="95"/>
      <c r="AM132" s="95"/>
      <c r="AN132" s="264"/>
      <c r="AO132" s="95"/>
      <c r="AP132" s="95"/>
      <c r="AQ132" s="95"/>
      <c r="AR132" s="95"/>
      <c r="AS132" s="95"/>
      <c r="AT132" s="95"/>
      <c r="AU132" s="95"/>
      <c r="AV132" s="95"/>
      <c r="AW132" s="95"/>
      <c r="AX132" s="95"/>
      <c r="AY132" s="95"/>
      <c r="AZ132" s="95"/>
      <c r="BA132" s="95"/>
      <c r="BB132" s="95"/>
      <c r="BC132" s="214"/>
      <c r="BD132" s="95"/>
      <c r="BE132" s="95"/>
      <c r="BF132" s="95"/>
      <c r="BG132" s="95"/>
      <c r="BH132" s="95"/>
      <c r="BI132" s="95"/>
      <c r="BJ132" s="95"/>
      <c r="BK132" s="265"/>
      <c r="BL132" s="265"/>
      <c r="BM132" s="265"/>
      <c r="BN132" s="266"/>
      <c r="BO132" s="267"/>
      <c r="BP132" s="268"/>
      <c r="BQ132" s="269"/>
      <c r="BR132" s="269"/>
      <c r="BS132" s="269"/>
      <c r="BT132" s="269"/>
      <c r="BU132" s="269"/>
      <c r="BV132" s="269"/>
      <c r="BW132" s="268"/>
      <c r="BX132" s="269"/>
      <c r="BY132" s="268"/>
      <c r="BZ132" s="268"/>
      <c r="CA132" s="268"/>
      <c r="CB132" s="269"/>
      <c r="CC132" s="268"/>
      <c r="CD132" s="268"/>
      <c r="CE132" s="269"/>
      <c r="CF132" s="269"/>
      <c r="CG132" s="269"/>
      <c r="CH132" s="269"/>
      <c r="CI132" s="269"/>
      <c r="CJ132" s="269"/>
      <c r="CK132" s="269"/>
      <c r="CL132" s="266"/>
    </row>
    <row r="133" spans="1:91" s="270" customFormat="1">
      <c r="A133" s="95"/>
      <c r="B133" s="263"/>
      <c r="C133" s="263"/>
      <c r="D133" s="263"/>
      <c r="E133" s="263"/>
      <c r="F133" s="263"/>
      <c r="G133" s="263"/>
      <c r="H133" s="95"/>
      <c r="I133" s="95"/>
      <c r="J133" s="263"/>
      <c r="K133" s="263"/>
      <c r="L133" s="263"/>
      <c r="M133" s="263"/>
      <c r="N133" s="263"/>
      <c r="O133" s="263"/>
      <c r="P133" s="95"/>
      <c r="Q133" s="95"/>
      <c r="R133" s="95"/>
      <c r="S133" s="95"/>
      <c r="T133" s="95"/>
      <c r="U133" s="95"/>
      <c r="V133" s="95"/>
      <c r="W133" s="95"/>
      <c r="X133" s="95"/>
      <c r="Y133" s="95"/>
      <c r="Z133" s="95"/>
      <c r="AA133" s="95"/>
      <c r="AB133" s="95"/>
      <c r="AC133" s="95"/>
      <c r="AD133" s="95"/>
      <c r="AE133" s="95"/>
      <c r="AF133" s="95"/>
      <c r="AG133" s="95"/>
      <c r="AH133" s="95"/>
      <c r="AI133" s="95"/>
      <c r="AJ133" s="95"/>
      <c r="AK133" s="95"/>
      <c r="AL133" s="95"/>
      <c r="AM133" s="95"/>
      <c r="AN133" s="264"/>
      <c r="AO133" s="95"/>
      <c r="AP133" s="95"/>
      <c r="AQ133" s="95"/>
      <c r="AR133" s="95"/>
      <c r="AS133" s="95"/>
      <c r="AT133" s="95"/>
      <c r="AU133" s="95"/>
      <c r="AV133" s="95"/>
      <c r="AW133" s="95"/>
      <c r="AX133" s="95"/>
      <c r="AY133" s="95"/>
      <c r="AZ133" s="95"/>
      <c r="BA133" s="95"/>
      <c r="BB133" s="95"/>
      <c r="BC133" s="214"/>
      <c r="BD133" s="95"/>
      <c r="BE133" s="95"/>
      <c r="BF133" s="95"/>
      <c r="BG133" s="95"/>
      <c r="BH133" s="95"/>
      <c r="BI133" s="95"/>
      <c r="BJ133" s="95"/>
      <c r="BK133" s="265"/>
      <c r="BL133" s="265"/>
      <c r="BM133" s="265"/>
      <c r="BN133" s="266"/>
      <c r="BO133" s="267"/>
      <c r="BP133" s="268"/>
      <c r="BQ133" s="269"/>
      <c r="BR133" s="269"/>
      <c r="BS133" s="269"/>
      <c r="BT133" s="269"/>
      <c r="BU133" s="269"/>
      <c r="BV133" s="269"/>
      <c r="BW133" s="268"/>
      <c r="BX133" s="269"/>
      <c r="BY133" s="268"/>
      <c r="BZ133" s="268"/>
      <c r="CA133" s="268"/>
      <c r="CB133" s="269"/>
      <c r="CC133" s="268"/>
      <c r="CD133" s="268"/>
      <c r="CE133" s="269"/>
      <c r="CF133" s="269"/>
      <c r="CG133" s="269"/>
      <c r="CH133" s="269"/>
      <c r="CI133" s="269"/>
      <c r="CJ133" s="269"/>
      <c r="CK133" s="269"/>
      <c r="CL133" s="266"/>
    </row>
    <row r="134" spans="1:91" s="270" customFormat="1">
      <c r="A134" s="95"/>
      <c r="B134" s="263"/>
      <c r="C134" s="263"/>
      <c r="D134" s="263"/>
      <c r="E134" s="263"/>
      <c r="F134" s="263"/>
      <c r="G134" s="263"/>
      <c r="H134" s="95"/>
      <c r="I134" s="95"/>
      <c r="J134" s="263"/>
      <c r="K134" s="263"/>
      <c r="L134" s="263"/>
      <c r="M134" s="263"/>
      <c r="N134" s="263"/>
      <c r="O134" s="263"/>
      <c r="P134" s="95"/>
      <c r="Q134" s="95"/>
      <c r="R134" s="95"/>
      <c r="S134" s="95"/>
      <c r="T134" s="95"/>
      <c r="U134" s="95"/>
      <c r="V134" s="95"/>
      <c r="W134" s="95"/>
      <c r="X134" s="95"/>
      <c r="Y134" s="95"/>
      <c r="Z134" s="95"/>
      <c r="AA134" s="95"/>
      <c r="AB134" s="95"/>
      <c r="AC134" s="95"/>
      <c r="AD134" s="95"/>
      <c r="AE134" s="95"/>
      <c r="AF134" s="95"/>
      <c r="AG134" s="95"/>
      <c r="AH134" s="95"/>
      <c r="AI134" s="95"/>
      <c r="AJ134" s="95"/>
      <c r="AK134" s="95"/>
      <c r="AL134" s="95"/>
      <c r="AM134" s="95"/>
      <c r="AN134" s="264"/>
      <c r="AO134" s="95"/>
      <c r="AP134" s="95"/>
      <c r="AQ134" s="95"/>
      <c r="AR134" s="95"/>
      <c r="AS134" s="95"/>
      <c r="AT134" s="95"/>
      <c r="AU134" s="95"/>
      <c r="AV134" s="95"/>
      <c r="AW134" s="95"/>
      <c r="AX134" s="95"/>
      <c r="AY134" s="95"/>
      <c r="AZ134" s="95"/>
      <c r="BA134" s="95"/>
      <c r="BB134" s="95"/>
      <c r="BC134" s="214"/>
      <c r="BD134" s="95"/>
      <c r="BE134" s="95"/>
      <c r="BF134" s="95"/>
      <c r="BG134" s="95"/>
      <c r="BH134" s="95"/>
      <c r="BI134" s="95"/>
      <c r="BJ134" s="95"/>
      <c r="BK134" s="265"/>
      <c r="BL134" s="265"/>
      <c r="BM134" s="265"/>
      <c r="BN134" s="266"/>
      <c r="BO134" s="267"/>
      <c r="BP134" s="268"/>
      <c r="BQ134" s="269"/>
      <c r="BR134" s="269"/>
      <c r="BS134" s="269"/>
      <c r="BT134" s="269"/>
      <c r="BU134" s="269"/>
      <c r="BV134" s="269"/>
      <c r="BW134" s="268"/>
      <c r="BX134" s="269"/>
      <c r="BY134" s="268"/>
      <c r="BZ134" s="268"/>
      <c r="CA134" s="268"/>
      <c r="CB134" s="269"/>
      <c r="CC134" s="268"/>
      <c r="CD134" s="268"/>
      <c r="CE134" s="269"/>
      <c r="CF134" s="269"/>
      <c r="CG134" s="269"/>
      <c r="CH134" s="269"/>
      <c r="CI134" s="269"/>
      <c r="CJ134" s="269"/>
      <c r="CK134" s="269"/>
      <c r="CL134" s="266"/>
    </row>
    <row r="135" spans="1:91" s="270" customFormat="1">
      <c r="A135" s="95"/>
      <c r="B135" s="263"/>
      <c r="C135" s="263"/>
      <c r="D135" s="263"/>
      <c r="E135" s="263"/>
      <c r="F135" s="263"/>
      <c r="G135" s="263"/>
      <c r="H135" s="95"/>
      <c r="I135" s="95"/>
      <c r="J135" s="263"/>
      <c r="K135" s="263"/>
      <c r="L135" s="263"/>
      <c r="M135" s="263"/>
      <c r="N135" s="263"/>
      <c r="O135" s="263"/>
      <c r="P135" s="95"/>
      <c r="Q135" s="95"/>
      <c r="R135" s="95"/>
      <c r="S135" s="95"/>
      <c r="T135" s="95"/>
      <c r="U135" s="95"/>
      <c r="V135" s="95"/>
      <c r="W135" s="95"/>
      <c r="X135" s="95"/>
      <c r="Y135" s="95"/>
      <c r="Z135" s="95"/>
      <c r="AA135" s="95"/>
      <c r="AB135" s="95"/>
      <c r="AC135" s="95"/>
      <c r="AD135" s="95"/>
      <c r="AE135" s="95"/>
      <c r="AF135" s="95"/>
      <c r="AG135" s="95"/>
      <c r="AH135" s="95"/>
      <c r="AI135" s="95"/>
      <c r="AJ135" s="95"/>
      <c r="AK135" s="95"/>
      <c r="AL135" s="95"/>
      <c r="AM135" s="95"/>
      <c r="AN135" s="264"/>
      <c r="AO135" s="95"/>
      <c r="AP135" s="95"/>
      <c r="AQ135" s="95"/>
      <c r="AR135" s="95"/>
      <c r="AS135" s="95"/>
      <c r="AT135" s="95"/>
      <c r="AU135" s="95"/>
      <c r="AV135" s="95"/>
      <c r="AW135" s="95"/>
      <c r="AX135" s="95"/>
      <c r="AY135" s="95"/>
      <c r="AZ135" s="95"/>
      <c r="BA135" s="95"/>
      <c r="BB135" s="95"/>
      <c r="BC135" s="214"/>
      <c r="BD135" s="95"/>
      <c r="BE135" s="95"/>
      <c r="BF135" s="95"/>
      <c r="BG135" s="95"/>
      <c r="BH135" s="95"/>
      <c r="BI135" s="95"/>
      <c r="BJ135" s="95"/>
      <c r="BK135" s="265"/>
      <c r="BL135" s="265"/>
      <c r="BM135" s="265"/>
      <c r="BN135" s="266"/>
      <c r="BO135" s="267"/>
      <c r="BP135" s="268"/>
      <c r="BQ135" s="269"/>
      <c r="BR135" s="269"/>
      <c r="BS135" s="269"/>
      <c r="BT135" s="269"/>
      <c r="BU135" s="269"/>
      <c r="BV135" s="269"/>
      <c r="BW135" s="268"/>
      <c r="BX135" s="269"/>
      <c r="BY135" s="268"/>
      <c r="BZ135" s="268"/>
      <c r="CA135" s="268"/>
      <c r="CB135" s="269"/>
      <c r="CC135" s="268"/>
      <c r="CD135" s="268"/>
      <c r="CE135" s="269"/>
      <c r="CF135" s="269"/>
      <c r="CG135" s="269"/>
      <c r="CH135" s="269"/>
      <c r="CI135" s="269"/>
      <c r="CJ135" s="269"/>
      <c r="CK135" s="269"/>
      <c r="CL135" s="266"/>
    </row>
    <row r="136" spans="1:91" s="270" customFormat="1">
      <c r="A136" s="95"/>
      <c r="B136" s="263"/>
      <c r="C136" s="263"/>
      <c r="D136" s="263"/>
      <c r="E136" s="263"/>
      <c r="F136" s="263"/>
      <c r="G136" s="263"/>
      <c r="H136" s="95"/>
      <c r="I136" s="95"/>
      <c r="J136" s="263"/>
      <c r="K136" s="263"/>
      <c r="L136" s="263"/>
      <c r="M136" s="263"/>
      <c r="N136" s="263"/>
      <c r="O136" s="263"/>
      <c r="P136" s="95"/>
      <c r="Q136" s="95"/>
      <c r="R136" s="95"/>
      <c r="S136" s="95"/>
      <c r="T136" s="95"/>
      <c r="U136" s="95"/>
      <c r="V136" s="95"/>
      <c r="W136" s="95"/>
      <c r="X136" s="95"/>
      <c r="Y136" s="95"/>
      <c r="Z136" s="95"/>
      <c r="AA136" s="95"/>
      <c r="AB136" s="95"/>
      <c r="AC136" s="95"/>
      <c r="AD136" s="95"/>
      <c r="AE136" s="95"/>
      <c r="AF136" s="95"/>
      <c r="AG136" s="95"/>
      <c r="AH136" s="95"/>
      <c r="AI136" s="95"/>
      <c r="AJ136" s="95"/>
      <c r="AK136" s="95"/>
      <c r="AL136" s="95"/>
      <c r="AM136" s="95"/>
      <c r="AN136" s="264"/>
      <c r="AO136" s="95"/>
      <c r="AP136" s="95"/>
      <c r="AQ136" s="95"/>
      <c r="AR136" s="95"/>
      <c r="AS136" s="95"/>
      <c r="AT136" s="95"/>
      <c r="AU136" s="95"/>
      <c r="AV136" s="95"/>
      <c r="AW136" s="95"/>
      <c r="AX136" s="95"/>
      <c r="AY136" s="95"/>
      <c r="AZ136" s="95"/>
      <c r="BA136" s="95"/>
      <c r="BB136" s="95"/>
      <c r="BC136" s="214"/>
      <c r="BD136" s="95"/>
      <c r="BE136" s="95"/>
      <c r="BF136" s="95"/>
      <c r="BG136" s="95"/>
      <c r="BH136" s="95"/>
      <c r="BI136" s="95"/>
      <c r="BJ136" s="95"/>
      <c r="BK136" s="265"/>
      <c r="BL136" s="265"/>
      <c r="BM136" s="265"/>
      <c r="BN136" s="266"/>
      <c r="BO136" s="267"/>
      <c r="BP136" s="268"/>
      <c r="BQ136" s="269"/>
      <c r="BR136" s="269"/>
      <c r="BS136" s="269"/>
      <c r="BT136" s="269"/>
      <c r="BU136" s="269"/>
      <c r="BV136" s="269"/>
      <c r="BW136" s="268"/>
      <c r="BX136" s="269"/>
      <c r="BY136" s="268"/>
      <c r="BZ136" s="268"/>
      <c r="CA136" s="268"/>
      <c r="CB136" s="269"/>
      <c r="CC136" s="268"/>
      <c r="CD136" s="268"/>
      <c r="CE136" s="269"/>
      <c r="CF136" s="269"/>
      <c r="CG136" s="269"/>
      <c r="CH136" s="269"/>
      <c r="CI136" s="269"/>
      <c r="CJ136" s="269"/>
      <c r="CK136" s="269"/>
      <c r="CL136" s="266"/>
    </row>
    <row r="137" spans="1:91" s="270" customFormat="1">
      <c r="A137" s="95"/>
      <c r="B137" s="263"/>
      <c r="C137" s="263"/>
      <c r="D137" s="263"/>
      <c r="E137" s="263"/>
      <c r="F137" s="263"/>
      <c r="G137" s="263"/>
      <c r="H137" s="95"/>
      <c r="I137" s="95"/>
      <c r="J137" s="263"/>
      <c r="K137" s="263"/>
      <c r="L137" s="263"/>
      <c r="M137" s="263"/>
      <c r="N137" s="263"/>
      <c r="O137" s="263"/>
      <c r="P137" s="95"/>
      <c r="Q137" s="95"/>
      <c r="R137" s="95"/>
      <c r="S137" s="95"/>
      <c r="T137" s="95"/>
      <c r="U137" s="95"/>
      <c r="V137" s="95"/>
      <c r="W137" s="95"/>
      <c r="X137" s="95"/>
      <c r="Y137" s="95"/>
      <c r="Z137" s="95"/>
      <c r="AA137" s="95"/>
      <c r="AB137" s="95"/>
      <c r="AC137" s="95"/>
      <c r="AD137" s="95"/>
      <c r="AE137" s="95"/>
      <c r="AF137" s="95"/>
      <c r="AG137" s="95"/>
      <c r="AH137" s="95"/>
      <c r="AI137" s="95"/>
      <c r="AJ137" s="95"/>
      <c r="AK137" s="95"/>
      <c r="AL137" s="95"/>
      <c r="AM137" s="95"/>
      <c r="AN137" s="264"/>
      <c r="AO137" s="95"/>
      <c r="AP137" s="95"/>
      <c r="AQ137" s="95"/>
      <c r="AR137" s="95"/>
      <c r="AS137" s="95"/>
      <c r="AT137" s="95"/>
      <c r="AU137" s="95"/>
      <c r="AV137" s="95"/>
      <c r="AW137" s="95"/>
      <c r="AX137" s="95"/>
      <c r="AY137" s="95"/>
      <c r="AZ137" s="95"/>
      <c r="BA137" s="95"/>
      <c r="BB137" s="95"/>
      <c r="BC137" s="214"/>
      <c r="BD137" s="95"/>
      <c r="BE137" s="95"/>
      <c r="BF137" s="95"/>
      <c r="BG137" s="95"/>
      <c r="BH137" s="95"/>
      <c r="BI137" s="95"/>
      <c r="BJ137" s="95"/>
      <c r="BK137" s="265"/>
      <c r="BL137" s="265"/>
      <c r="BM137" s="265"/>
      <c r="BN137" s="266"/>
      <c r="BO137" s="267"/>
      <c r="BP137" s="268"/>
      <c r="BQ137" s="269"/>
      <c r="BR137" s="269"/>
      <c r="BS137" s="269"/>
      <c r="BT137" s="269"/>
      <c r="BU137" s="269"/>
      <c r="BV137" s="269"/>
      <c r="BW137" s="268"/>
      <c r="BX137" s="269"/>
      <c r="BY137" s="268"/>
      <c r="BZ137" s="268"/>
      <c r="CA137" s="268"/>
      <c r="CB137" s="269"/>
      <c r="CC137" s="268"/>
      <c r="CD137" s="268"/>
      <c r="CE137" s="269"/>
      <c r="CF137" s="269"/>
      <c r="CG137" s="269"/>
      <c r="CH137" s="269"/>
      <c r="CI137" s="269"/>
      <c r="CJ137" s="269"/>
      <c r="CK137" s="269"/>
      <c r="CL137" s="266"/>
    </row>
    <row r="138" spans="1:91" s="270" customFormat="1">
      <c r="A138" s="95"/>
      <c r="B138" s="263"/>
      <c r="C138" s="263"/>
      <c r="D138" s="263"/>
      <c r="E138" s="263"/>
      <c r="F138" s="263"/>
      <c r="G138" s="263"/>
      <c r="H138" s="95"/>
      <c r="I138" s="95"/>
      <c r="J138" s="263"/>
      <c r="K138" s="263"/>
      <c r="L138" s="263"/>
      <c r="M138" s="263"/>
      <c r="N138" s="263"/>
      <c r="O138" s="263"/>
      <c r="P138" s="95"/>
      <c r="Q138" s="95"/>
      <c r="R138" s="95"/>
      <c r="S138" s="95"/>
      <c r="T138" s="95"/>
      <c r="U138" s="95"/>
      <c r="V138" s="95"/>
      <c r="W138" s="95"/>
      <c r="X138" s="95"/>
      <c r="Y138" s="95"/>
      <c r="Z138" s="95"/>
      <c r="AA138" s="95"/>
      <c r="AB138" s="95"/>
      <c r="AC138" s="95"/>
      <c r="AD138" s="95"/>
      <c r="AE138" s="95"/>
      <c r="AF138" s="95"/>
      <c r="AG138" s="95"/>
      <c r="AH138" s="95"/>
      <c r="AI138" s="95"/>
      <c r="AJ138" s="95"/>
      <c r="AK138" s="95"/>
      <c r="AL138" s="95"/>
      <c r="AM138" s="95"/>
      <c r="AN138" s="264"/>
      <c r="AO138" s="95"/>
      <c r="AP138" s="95"/>
      <c r="AQ138" s="95"/>
      <c r="AR138" s="95"/>
      <c r="AS138" s="95"/>
      <c r="AT138" s="95"/>
      <c r="AU138" s="95"/>
      <c r="AV138" s="95"/>
      <c r="AW138" s="95"/>
      <c r="AX138" s="95"/>
      <c r="AY138" s="95"/>
      <c r="AZ138" s="95"/>
      <c r="BA138" s="95"/>
      <c r="BB138" s="95"/>
      <c r="BC138" s="214"/>
      <c r="BD138" s="95"/>
      <c r="BE138" s="95"/>
      <c r="BF138" s="95"/>
      <c r="BG138" s="95"/>
      <c r="BH138" s="95"/>
      <c r="BI138" s="95"/>
      <c r="BJ138" s="95"/>
      <c r="BK138" s="265"/>
      <c r="BL138" s="265"/>
      <c r="BM138" s="265"/>
      <c r="BN138" s="266"/>
      <c r="BO138" s="267"/>
      <c r="BP138" s="268"/>
      <c r="BQ138" s="269"/>
      <c r="BR138" s="269"/>
      <c r="BS138" s="269"/>
      <c r="BT138" s="269"/>
      <c r="BU138" s="269"/>
      <c r="BV138" s="269"/>
      <c r="BW138" s="268"/>
      <c r="BX138" s="269"/>
      <c r="BY138" s="268"/>
      <c r="BZ138" s="268"/>
      <c r="CA138" s="268"/>
      <c r="CB138" s="269"/>
      <c r="CC138" s="268"/>
      <c r="CD138" s="268"/>
      <c r="CE138" s="269"/>
      <c r="CF138" s="269"/>
      <c r="CG138" s="269"/>
      <c r="CH138" s="269"/>
      <c r="CI138" s="269"/>
      <c r="CJ138" s="269"/>
      <c r="CK138" s="269"/>
      <c r="CL138" s="266"/>
    </row>
    <row r="139" spans="1:91" s="270" customFormat="1">
      <c r="A139" s="95"/>
      <c r="B139" s="263"/>
      <c r="C139" s="263"/>
      <c r="D139" s="263"/>
      <c r="E139" s="263"/>
      <c r="F139" s="263"/>
      <c r="G139" s="263"/>
      <c r="H139" s="95"/>
      <c r="I139" s="95"/>
      <c r="J139" s="263"/>
      <c r="K139" s="263"/>
      <c r="L139" s="263"/>
      <c r="M139" s="263"/>
      <c r="N139" s="263"/>
      <c r="O139" s="263"/>
      <c r="P139" s="95"/>
      <c r="Q139" s="95"/>
      <c r="R139" s="95"/>
      <c r="S139" s="95"/>
      <c r="T139" s="95"/>
      <c r="U139" s="95"/>
      <c r="V139" s="95"/>
      <c r="W139" s="95"/>
      <c r="X139" s="95"/>
      <c r="Y139" s="95"/>
      <c r="Z139" s="95"/>
      <c r="AA139" s="95"/>
      <c r="AB139" s="95"/>
      <c r="AC139" s="95"/>
      <c r="AD139" s="95"/>
      <c r="AE139" s="95"/>
      <c r="AF139" s="95"/>
      <c r="AG139" s="95"/>
      <c r="AH139" s="95"/>
      <c r="AI139" s="95"/>
      <c r="AJ139" s="95"/>
      <c r="AK139" s="95"/>
      <c r="AL139" s="95"/>
      <c r="AM139" s="95"/>
      <c r="AN139" s="264"/>
      <c r="AO139" s="95"/>
      <c r="AP139" s="95"/>
      <c r="AQ139" s="95"/>
      <c r="AR139" s="95"/>
      <c r="AS139" s="95"/>
      <c r="AT139" s="95"/>
      <c r="AU139" s="95"/>
      <c r="AV139" s="95"/>
      <c r="AW139" s="95"/>
      <c r="AX139" s="95"/>
      <c r="AY139" s="95"/>
      <c r="AZ139" s="95"/>
      <c r="BA139" s="95"/>
      <c r="BB139" s="95"/>
      <c r="BC139" s="214"/>
      <c r="BD139" s="95"/>
      <c r="BE139" s="95"/>
      <c r="BF139" s="95"/>
      <c r="BG139" s="95"/>
      <c r="BH139" s="95"/>
      <c r="BI139" s="95"/>
      <c r="BJ139" s="95"/>
      <c r="BK139" s="265"/>
      <c r="BL139" s="265"/>
      <c r="BM139" s="265"/>
      <c r="BN139" s="266"/>
      <c r="BO139" s="267"/>
      <c r="BP139" s="268"/>
      <c r="BQ139" s="269"/>
      <c r="BR139" s="269"/>
      <c r="BS139" s="269"/>
      <c r="BT139" s="269"/>
      <c r="BU139" s="269"/>
      <c r="BV139" s="269"/>
      <c r="BW139" s="268"/>
      <c r="BX139" s="269"/>
      <c r="BY139" s="268"/>
      <c r="BZ139" s="268"/>
      <c r="CA139" s="268"/>
      <c r="CB139" s="269"/>
      <c r="CC139" s="268"/>
      <c r="CD139" s="268"/>
      <c r="CE139" s="269"/>
      <c r="CF139" s="269"/>
      <c r="CG139" s="269"/>
      <c r="CH139" s="269"/>
      <c r="CI139" s="269"/>
      <c r="CJ139" s="269"/>
      <c r="CK139" s="269"/>
      <c r="CL139" s="266"/>
    </row>
    <row r="140" spans="1:91" s="270" customFormat="1">
      <c r="A140" s="95"/>
      <c r="B140" s="263"/>
      <c r="C140" s="263"/>
      <c r="D140" s="263"/>
      <c r="E140" s="263"/>
      <c r="F140" s="263"/>
      <c r="G140" s="263"/>
      <c r="H140" s="95"/>
      <c r="I140" s="95"/>
      <c r="J140" s="263"/>
      <c r="K140" s="263"/>
      <c r="L140" s="263"/>
      <c r="M140" s="263"/>
      <c r="N140" s="263"/>
      <c r="O140" s="263"/>
      <c r="P140" s="95"/>
      <c r="Q140" s="95"/>
      <c r="R140" s="95"/>
      <c r="S140" s="95"/>
      <c r="T140" s="95"/>
      <c r="U140" s="95"/>
      <c r="V140" s="95"/>
      <c r="W140" s="95"/>
      <c r="X140" s="95"/>
      <c r="Y140" s="95"/>
      <c r="Z140" s="95"/>
      <c r="AA140" s="95"/>
      <c r="AB140" s="95"/>
      <c r="AC140" s="95"/>
      <c r="AD140" s="95"/>
      <c r="AE140" s="95"/>
      <c r="AF140" s="95"/>
      <c r="AG140" s="95"/>
      <c r="AH140" s="95"/>
      <c r="AI140" s="95"/>
      <c r="AJ140" s="95"/>
      <c r="AK140" s="95"/>
      <c r="AL140" s="95"/>
      <c r="AM140" s="95"/>
      <c r="AN140" s="264"/>
      <c r="AO140" s="95"/>
      <c r="AP140" s="95"/>
      <c r="AQ140" s="95"/>
      <c r="AR140" s="95"/>
      <c r="AS140" s="95"/>
      <c r="AT140" s="95"/>
      <c r="AU140" s="95"/>
      <c r="AV140" s="95"/>
      <c r="AW140" s="95"/>
      <c r="AX140" s="95"/>
      <c r="AY140" s="95"/>
      <c r="AZ140" s="95"/>
      <c r="BA140" s="95"/>
      <c r="BB140" s="95"/>
      <c r="BC140" s="214"/>
      <c r="BD140" s="95"/>
      <c r="BE140" s="95"/>
      <c r="BF140" s="95"/>
      <c r="BG140" s="95"/>
      <c r="BH140" s="95"/>
      <c r="BI140" s="95"/>
      <c r="BJ140" s="95"/>
      <c r="BK140" s="265"/>
      <c r="BL140" s="265"/>
      <c r="BM140" s="265"/>
      <c r="BN140" s="266"/>
      <c r="BO140" s="267"/>
      <c r="BP140" s="268"/>
      <c r="BQ140" s="269"/>
      <c r="BR140" s="269"/>
      <c r="BS140" s="269"/>
      <c r="BT140" s="269"/>
      <c r="BU140" s="269"/>
      <c r="BV140" s="269"/>
      <c r="BW140" s="268"/>
      <c r="BX140" s="269"/>
      <c r="BY140" s="268"/>
      <c r="BZ140" s="268"/>
      <c r="CA140" s="268"/>
      <c r="CB140" s="269"/>
      <c r="CC140" s="268"/>
      <c r="CD140" s="268"/>
      <c r="CE140" s="269"/>
      <c r="CF140" s="269"/>
      <c r="CG140" s="269"/>
      <c r="CH140" s="269"/>
      <c r="CI140" s="269"/>
      <c r="CJ140" s="269"/>
      <c r="CK140" s="269"/>
      <c r="CL140" s="266"/>
    </row>
    <row r="141" spans="1:91" s="272" customFormat="1">
      <c r="A141" s="95"/>
      <c r="B141" s="263"/>
      <c r="C141" s="263"/>
      <c r="D141" s="263"/>
      <c r="E141" s="263"/>
      <c r="F141" s="263"/>
      <c r="G141" s="263"/>
      <c r="H141" s="95"/>
      <c r="I141" s="95"/>
      <c r="J141" s="263"/>
      <c r="K141" s="263"/>
      <c r="L141" s="263"/>
      <c r="M141" s="263"/>
      <c r="N141" s="263"/>
      <c r="O141" s="263"/>
      <c r="P141" s="95"/>
      <c r="Q141" s="95"/>
      <c r="R141" s="95"/>
      <c r="S141" s="95"/>
      <c r="T141" s="95"/>
      <c r="U141" s="95"/>
      <c r="V141" s="95"/>
      <c r="W141" s="95"/>
      <c r="X141" s="95"/>
      <c r="Y141" s="95"/>
      <c r="Z141" s="95"/>
      <c r="AA141" s="95"/>
      <c r="AB141" s="95"/>
      <c r="AC141" s="95"/>
      <c r="AD141" s="95"/>
      <c r="AE141" s="95"/>
      <c r="AF141" s="95"/>
      <c r="AG141" s="95"/>
      <c r="AH141" s="95"/>
      <c r="AI141" s="95"/>
      <c r="AJ141" s="95"/>
      <c r="AK141" s="95"/>
      <c r="AL141" s="95"/>
      <c r="AM141" s="95"/>
      <c r="AN141" s="264"/>
      <c r="AO141" s="95"/>
      <c r="AP141" s="95"/>
      <c r="AQ141" s="95"/>
      <c r="AR141" s="95"/>
      <c r="AS141" s="95"/>
      <c r="AT141" s="95"/>
      <c r="AU141" s="95"/>
      <c r="AV141" s="95"/>
      <c r="AW141" s="95"/>
      <c r="AX141" s="95"/>
      <c r="AY141" s="95"/>
      <c r="AZ141" s="95"/>
      <c r="BA141" s="95"/>
      <c r="BB141" s="95"/>
      <c r="BC141" s="214"/>
      <c r="BD141" s="95"/>
      <c r="BE141" s="95"/>
      <c r="BF141" s="95"/>
      <c r="BG141" s="95"/>
      <c r="BH141" s="95"/>
      <c r="BI141" s="95"/>
      <c r="BJ141" s="95"/>
      <c r="BK141" s="265"/>
      <c r="BL141" s="265"/>
      <c r="BM141" s="265"/>
      <c r="BN141" s="266"/>
      <c r="BO141" s="267"/>
      <c r="BP141" s="268"/>
      <c r="BQ141" s="269"/>
      <c r="BR141" s="269"/>
      <c r="BS141" s="269"/>
      <c r="BT141" s="269"/>
      <c r="BU141" s="269"/>
      <c r="BV141" s="269"/>
      <c r="BW141" s="268"/>
      <c r="BX141" s="269"/>
      <c r="BY141" s="268"/>
      <c r="BZ141" s="268"/>
      <c r="CA141" s="268"/>
      <c r="CB141" s="269"/>
      <c r="CC141" s="268"/>
      <c r="CD141" s="268"/>
      <c r="CE141" s="269"/>
      <c r="CF141" s="269"/>
      <c r="CG141" s="269"/>
      <c r="CH141" s="269"/>
      <c r="CI141" s="269"/>
      <c r="CJ141" s="269"/>
      <c r="CK141" s="269"/>
      <c r="CL141" s="266"/>
      <c r="CM141" s="270"/>
    </row>
    <row r="142" spans="1:91" s="272" customFormat="1">
      <c r="A142" s="95"/>
      <c r="B142" s="263"/>
      <c r="C142" s="263"/>
      <c r="D142" s="263"/>
      <c r="E142" s="263"/>
      <c r="F142" s="263"/>
      <c r="G142" s="263"/>
      <c r="H142" s="95"/>
      <c r="I142" s="95"/>
      <c r="J142" s="263"/>
      <c r="K142" s="263"/>
      <c r="L142" s="263"/>
      <c r="M142" s="263"/>
      <c r="N142" s="263"/>
      <c r="O142" s="263"/>
      <c r="P142" s="95"/>
      <c r="Q142" s="95"/>
      <c r="R142" s="95"/>
      <c r="S142" s="95"/>
      <c r="T142" s="95"/>
      <c r="U142" s="95"/>
      <c r="V142" s="95"/>
      <c r="W142" s="95"/>
      <c r="X142" s="95"/>
      <c r="Y142" s="95"/>
      <c r="Z142" s="95"/>
      <c r="AA142" s="95"/>
      <c r="AB142" s="95"/>
      <c r="AC142" s="95"/>
      <c r="AD142" s="95"/>
      <c r="AE142" s="95"/>
      <c r="AF142" s="95"/>
      <c r="AG142" s="95"/>
      <c r="AH142" s="95"/>
      <c r="AI142" s="95"/>
      <c r="AJ142" s="95"/>
      <c r="AK142" s="95"/>
      <c r="AL142" s="95"/>
      <c r="AM142" s="95"/>
      <c r="AN142" s="264"/>
      <c r="AO142" s="95"/>
      <c r="AP142" s="95"/>
      <c r="AQ142" s="95"/>
      <c r="AR142" s="95"/>
      <c r="AS142" s="95"/>
      <c r="AT142" s="95"/>
      <c r="AU142" s="95"/>
      <c r="AV142" s="95"/>
      <c r="AW142" s="95"/>
      <c r="AX142" s="95"/>
      <c r="AY142" s="95"/>
      <c r="AZ142" s="95"/>
      <c r="BA142" s="95"/>
      <c r="BB142" s="95"/>
      <c r="BC142" s="214"/>
      <c r="BD142" s="95"/>
      <c r="BE142" s="95"/>
      <c r="BF142" s="95"/>
      <c r="BG142" s="95"/>
      <c r="BH142" s="95"/>
      <c r="BI142" s="95"/>
      <c r="BJ142" s="95"/>
      <c r="BK142" s="265"/>
      <c r="BL142" s="265"/>
      <c r="BM142" s="265"/>
      <c r="BN142" s="266"/>
      <c r="BO142" s="267"/>
      <c r="BP142" s="268"/>
      <c r="BQ142" s="269"/>
      <c r="BR142" s="269"/>
      <c r="BS142" s="269"/>
      <c r="BT142" s="269"/>
      <c r="BU142" s="269"/>
      <c r="BV142" s="269"/>
      <c r="BW142" s="268"/>
      <c r="BX142" s="269"/>
      <c r="BY142" s="268"/>
      <c r="BZ142" s="268"/>
      <c r="CA142" s="268"/>
      <c r="CB142" s="269"/>
      <c r="CC142" s="268"/>
      <c r="CD142" s="268"/>
      <c r="CE142" s="269"/>
      <c r="CF142" s="269"/>
      <c r="CG142" s="269"/>
      <c r="CH142" s="269"/>
      <c r="CI142" s="269"/>
      <c r="CJ142" s="269"/>
      <c r="CK142" s="269"/>
      <c r="CL142" s="266"/>
      <c r="CM142" s="270"/>
    </row>
    <row r="143" spans="1:91" s="272" customFormat="1">
      <c r="A143" s="95"/>
      <c r="B143" s="263"/>
      <c r="C143" s="263"/>
      <c r="D143" s="263"/>
      <c r="E143" s="263"/>
      <c r="F143" s="263"/>
      <c r="G143" s="263"/>
      <c r="H143" s="95"/>
      <c r="I143" s="95"/>
      <c r="J143" s="263"/>
      <c r="K143" s="263"/>
      <c r="L143" s="263"/>
      <c r="M143" s="263"/>
      <c r="N143" s="263"/>
      <c r="O143" s="263"/>
      <c r="P143" s="95"/>
      <c r="Q143" s="95"/>
      <c r="R143" s="95"/>
      <c r="S143" s="95"/>
      <c r="T143" s="95"/>
      <c r="U143" s="95"/>
      <c r="V143" s="95"/>
      <c r="W143" s="95"/>
      <c r="X143" s="95"/>
      <c r="Y143" s="95"/>
      <c r="Z143" s="95"/>
      <c r="AA143" s="95"/>
      <c r="AB143" s="95"/>
      <c r="AC143" s="95"/>
      <c r="AD143" s="95"/>
      <c r="AE143" s="95"/>
      <c r="AF143" s="95"/>
      <c r="AG143" s="95"/>
      <c r="AH143" s="95"/>
      <c r="AI143" s="95"/>
      <c r="AJ143" s="95"/>
      <c r="AK143" s="95"/>
      <c r="AL143" s="95"/>
      <c r="AM143" s="95"/>
      <c r="AN143" s="264"/>
      <c r="AO143" s="95"/>
      <c r="AP143" s="95"/>
      <c r="AQ143" s="95"/>
      <c r="AR143" s="95"/>
      <c r="AS143" s="95"/>
      <c r="AT143" s="95"/>
      <c r="AU143" s="95"/>
      <c r="AV143" s="95"/>
      <c r="AW143" s="95"/>
      <c r="AX143" s="95"/>
      <c r="AY143" s="95"/>
      <c r="AZ143" s="95"/>
      <c r="BA143" s="95"/>
      <c r="BB143" s="95"/>
      <c r="BC143" s="214"/>
      <c r="BD143" s="95"/>
      <c r="BE143" s="95"/>
      <c r="BF143" s="95"/>
      <c r="BG143" s="95"/>
      <c r="BH143" s="95"/>
      <c r="BI143" s="95"/>
      <c r="BJ143" s="95"/>
      <c r="BK143" s="265"/>
      <c r="BL143" s="265"/>
      <c r="BM143" s="265"/>
      <c r="BN143" s="266"/>
      <c r="BO143" s="267"/>
      <c r="BP143" s="268"/>
      <c r="BQ143" s="269"/>
      <c r="BR143" s="269"/>
      <c r="BS143" s="269"/>
      <c r="BT143" s="269"/>
      <c r="BU143" s="269"/>
      <c r="BV143" s="269"/>
      <c r="BW143" s="268"/>
      <c r="BX143" s="269"/>
      <c r="BY143" s="268"/>
      <c r="BZ143" s="268"/>
      <c r="CA143" s="268"/>
      <c r="CB143" s="269"/>
      <c r="CC143" s="268"/>
      <c r="CD143" s="268"/>
      <c r="CE143" s="269"/>
      <c r="CF143" s="269"/>
      <c r="CG143" s="269"/>
      <c r="CH143" s="269"/>
      <c r="CI143" s="269"/>
      <c r="CJ143" s="269"/>
      <c r="CK143" s="269"/>
      <c r="CL143" s="266"/>
      <c r="CM143" s="270"/>
    </row>
    <row r="144" spans="1:91" s="270" customFormat="1">
      <c r="A144" s="95"/>
      <c r="B144" s="263"/>
      <c r="C144" s="263"/>
      <c r="D144" s="263"/>
      <c r="E144" s="263"/>
      <c r="F144" s="263"/>
      <c r="G144" s="263"/>
      <c r="H144" s="95"/>
      <c r="I144" s="95"/>
      <c r="J144" s="263"/>
      <c r="K144" s="263"/>
      <c r="L144" s="263"/>
      <c r="M144" s="263"/>
      <c r="N144" s="263"/>
      <c r="O144" s="263"/>
      <c r="P144" s="95"/>
      <c r="Q144" s="95"/>
      <c r="R144" s="95"/>
      <c r="S144" s="95"/>
      <c r="T144" s="95"/>
      <c r="U144" s="95"/>
      <c r="V144" s="95"/>
      <c r="W144" s="95"/>
      <c r="X144" s="95"/>
      <c r="Y144" s="95"/>
      <c r="Z144" s="95"/>
      <c r="AA144" s="95"/>
      <c r="AB144" s="95"/>
      <c r="AC144" s="95"/>
      <c r="AD144" s="95"/>
      <c r="AE144" s="95"/>
      <c r="AF144" s="95"/>
      <c r="AG144" s="95"/>
      <c r="AH144" s="95"/>
      <c r="AI144" s="95"/>
      <c r="AJ144" s="95"/>
      <c r="AK144" s="95"/>
      <c r="AL144" s="95"/>
      <c r="AM144" s="95"/>
      <c r="AN144" s="264"/>
      <c r="AO144" s="95"/>
      <c r="AP144" s="95"/>
      <c r="AQ144" s="95"/>
      <c r="AR144" s="95"/>
      <c r="AS144" s="95"/>
      <c r="AT144" s="95"/>
      <c r="AU144" s="95"/>
      <c r="AV144" s="95"/>
      <c r="AW144" s="95"/>
      <c r="AX144" s="95"/>
      <c r="AY144" s="95"/>
      <c r="AZ144" s="95"/>
      <c r="BA144" s="95"/>
      <c r="BB144" s="95"/>
      <c r="BC144" s="214"/>
      <c r="BD144" s="95"/>
      <c r="BE144" s="95"/>
      <c r="BF144" s="95"/>
      <c r="BG144" s="95"/>
      <c r="BH144" s="95"/>
      <c r="BI144" s="95"/>
      <c r="BJ144" s="95"/>
      <c r="BK144" s="265"/>
      <c r="BL144" s="265"/>
      <c r="BM144" s="265"/>
      <c r="BN144" s="266"/>
      <c r="BO144" s="267"/>
      <c r="BP144" s="268"/>
      <c r="BQ144" s="269"/>
      <c r="BR144" s="269"/>
      <c r="BS144" s="269"/>
      <c r="BT144" s="269"/>
      <c r="BU144" s="269"/>
      <c r="BV144" s="269"/>
      <c r="BW144" s="268"/>
      <c r="BX144" s="269"/>
      <c r="BY144" s="268"/>
      <c r="BZ144" s="268"/>
      <c r="CA144" s="268"/>
      <c r="CB144" s="269"/>
      <c r="CC144" s="268"/>
      <c r="CD144" s="268"/>
      <c r="CE144" s="269"/>
      <c r="CF144" s="269"/>
      <c r="CG144" s="269"/>
      <c r="CH144" s="269"/>
      <c r="CI144" s="269"/>
      <c r="CJ144" s="269"/>
      <c r="CK144" s="269"/>
      <c r="CL144" s="266"/>
    </row>
    <row r="145" spans="1:90" s="270" customFormat="1">
      <c r="A145" s="95"/>
      <c r="B145" s="263"/>
      <c r="C145" s="263"/>
      <c r="D145" s="263"/>
      <c r="E145" s="263"/>
      <c r="F145" s="263"/>
      <c r="G145" s="263"/>
      <c r="H145" s="95"/>
      <c r="I145" s="95"/>
      <c r="J145" s="263"/>
      <c r="K145" s="263"/>
      <c r="L145" s="263"/>
      <c r="M145" s="263"/>
      <c r="N145" s="263"/>
      <c r="O145" s="263"/>
      <c r="P145" s="95"/>
      <c r="Q145" s="95"/>
      <c r="R145" s="95"/>
      <c r="S145" s="95"/>
      <c r="T145" s="95"/>
      <c r="U145" s="95"/>
      <c r="V145" s="95"/>
      <c r="W145" s="95"/>
      <c r="X145" s="95"/>
      <c r="Y145" s="95"/>
      <c r="Z145" s="95"/>
      <c r="AA145" s="95"/>
      <c r="AB145" s="95"/>
      <c r="AC145" s="95"/>
      <c r="AD145" s="95"/>
      <c r="AE145" s="95"/>
      <c r="AF145" s="95"/>
      <c r="AG145" s="95"/>
      <c r="AH145" s="95"/>
      <c r="AI145" s="95"/>
      <c r="AJ145" s="95"/>
      <c r="AK145" s="95"/>
      <c r="AL145" s="95"/>
      <c r="AM145" s="95"/>
      <c r="AN145" s="264"/>
      <c r="AO145" s="95"/>
      <c r="AP145" s="95"/>
      <c r="AQ145" s="95"/>
      <c r="AR145" s="95"/>
      <c r="AS145" s="95"/>
      <c r="AT145" s="95"/>
      <c r="AU145" s="95"/>
      <c r="AV145" s="95"/>
      <c r="AW145" s="95"/>
      <c r="AX145" s="95"/>
      <c r="AY145" s="95"/>
      <c r="AZ145" s="95"/>
      <c r="BA145" s="95"/>
      <c r="BB145" s="95"/>
      <c r="BC145" s="214"/>
      <c r="BD145" s="95"/>
      <c r="BE145" s="95"/>
      <c r="BF145" s="95"/>
      <c r="BG145" s="95"/>
      <c r="BH145" s="95"/>
      <c r="BI145" s="95"/>
      <c r="BJ145" s="95"/>
      <c r="BK145" s="265"/>
      <c r="BL145" s="265"/>
      <c r="BM145" s="265"/>
      <c r="BN145" s="266"/>
      <c r="BO145" s="267"/>
      <c r="BP145" s="268"/>
      <c r="BQ145" s="269"/>
      <c r="BR145" s="269"/>
      <c r="BS145" s="269"/>
      <c r="BT145" s="269"/>
      <c r="BU145" s="269"/>
      <c r="BV145" s="269"/>
      <c r="BW145" s="268"/>
      <c r="BX145" s="269"/>
      <c r="BY145" s="268"/>
      <c r="BZ145" s="268"/>
      <c r="CA145" s="268"/>
      <c r="CB145" s="269"/>
      <c r="CC145" s="268"/>
      <c r="CD145" s="268"/>
      <c r="CE145" s="269"/>
      <c r="CF145" s="269"/>
      <c r="CG145" s="269"/>
      <c r="CH145" s="269"/>
      <c r="CI145" s="269"/>
      <c r="CJ145" s="269"/>
      <c r="CK145" s="269"/>
      <c r="CL145" s="266"/>
    </row>
    <row r="146" spans="1:90" s="270" customFormat="1">
      <c r="A146" s="95"/>
      <c r="B146" s="263"/>
      <c r="C146" s="263"/>
      <c r="D146" s="263"/>
      <c r="E146" s="263"/>
      <c r="F146" s="263"/>
      <c r="G146" s="263"/>
      <c r="H146" s="95"/>
      <c r="I146" s="95"/>
      <c r="J146" s="263"/>
      <c r="K146" s="263"/>
      <c r="L146" s="263"/>
      <c r="M146" s="263"/>
      <c r="N146" s="263"/>
      <c r="O146" s="263"/>
      <c r="P146" s="95"/>
      <c r="Q146" s="95"/>
      <c r="R146" s="95"/>
      <c r="S146" s="95"/>
      <c r="T146" s="95"/>
      <c r="U146" s="95"/>
      <c r="V146" s="95"/>
      <c r="W146" s="95"/>
      <c r="X146" s="95"/>
      <c r="Y146" s="95"/>
      <c r="Z146" s="95"/>
      <c r="AA146" s="95"/>
      <c r="AB146" s="95"/>
      <c r="AC146" s="95"/>
      <c r="AD146" s="95"/>
      <c r="AE146" s="95"/>
      <c r="AF146" s="95"/>
      <c r="AG146" s="95"/>
      <c r="AH146" s="95"/>
      <c r="AI146" s="95"/>
      <c r="AJ146" s="95"/>
      <c r="AK146" s="95"/>
      <c r="AL146" s="95"/>
      <c r="AM146" s="95"/>
      <c r="AN146" s="264"/>
      <c r="AO146" s="95"/>
      <c r="AP146" s="95"/>
      <c r="AQ146" s="95"/>
      <c r="AR146" s="95"/>
      <c r="AS146" s="95"/>
      <c r="AT146" s="95"/>
      <c r="AU146" s="95"/>
      <c r="AV146" s="95"/>
      <c r="AW146" s="95"/>
      <c r="AX146" s="95"/>
      <c r="AY146" s="95"/>
      <c r="AZ146" s="95"/>
      <c r="BA146" s="95"/>
      <c r="BB146" s="95"/>
      <c r="BC146" s="214"/>
      <c r="BD146" s="95"/>
      <c r="BE146" s="95"/>
      <c r="BF146" s="95"/>
      <c r="BG146" s="95"/>
      <c r="BH146" s="95"/>
      <c r="BI146" s="95"/>
      <c r="BJ146" s="95"/>
      <c r="BK146" s="265"/>
      <c r="BL146" s="265"/>
      <c r="BM146" s="265"/>
      <c r="BN146" s="266"/>
      <c r="BO146" s="267"/>
      <c r="BP146" s="268"/>
      <c r="BQ146" s="269"/>
      <c r="BR146" s="269"/>
      <c r="BS146" s="269"/>
      <c r="BT146" s="269"/>
      <c r="BU146" s="269"/>
      <c r="BV146" s="269"/>
      <c r="BW146" s="268"/>
      <c r="BX146" s="269"/>
      <c r="BY146" s="268"/>
      <c r="BZ146" s="268"/>
      <c r="CA146" s="268"/>
      <c r="CB146" s="269"/>
      <c r="CC146" s="268"/>
      <c r="CD146" s="268"/>
      <c r="CE146" s="269"/>
      <c r="CF146" s="269"/>
      <c r="CG146" s="269"/>
      <c r="CH146" s="269"/>
      <c r="CI146" s="269"/>
      <c r="CJ146" s="269"/>
      <c r="CK146" s="269"/>
      <c r="CL146" s="266"/>
    </row>
    <row r="147" spans="1:90" s="270" customFormat="1">
      <c r="A147" s="95"/>
      <c r="B147" s="263"/>
      <c r="C147" s="263"/>
      <c r="D147" s="263"/>
      <c r="E147" s="263"/>
      <c r="F147" s="263"/>
      <c r="G147" s="263"/>
      <c r="H147" s="95"/>
      <c r="I147" s="95"/>
      <c r="J147" s="263"/>
      <c r="K147" s="263"/>
      <c r="L147" s="263"/>
      <c r="M147" s="263"/>
      <c r="N147" s="263"/>
      <c r="O147" s="263"/>
      <c r="P147" s="95"/>
      <c r="Q147" s="95"/>
      <c r="R147" s="95"/>
      <c r="S147" s="95"/>
      <c r="T147" s="95"/>
      <c r="U147" s="95"/>
      <c r="V147" s="95"/>
      <c r="W147" s="95"/>
      <c r="X147" s="95"/>
      <c r="Y147" s="95"/>
      <c r="Z147" s="95"/>
      <c r="AA147" s="95"/>
      <c r="AB147" s="95"/>
      <c r="AC147" s="95"/>
      <c r="AD147" s="95"/>
      <c r="AE147" s="95"/>
      <c r="AF147" s="95"/>
      <c r="AG147" s="95"/>
      <c r="AH147" s="95"/>
      <c r="AI147" s="95"/>
      <c r="AJ147" s="95"/>
      <c r="AK147" s="95"/>
      <c r="AL147" s="95"/>
      <c r="AM147" s="95"/>
      <c r="AN147" s="264"/>
      <c r="AO147" s="95"/>
      <c r="AP147" s="95"/>
      <c r="AQ147" s="95"/>
      <c r="AR147" s="95"/>
      <c r="AS147" s="95"/>
      <c r="AT147" s="95"/>
      <c r="AU147" s="95"/>
      <c r="AV147" s="95"/>
      <c r="AW147" s="95"/>
      <c r="AX147" s="95"/>
      <c r="AY147" s="95"/>
      <c r="AZ147" s="95"/>
      <c r="BA147" s="95"/>
      <c r="BB147" s="95"/>
      <c r="BC147" s="214"/>
      <c r="BD147" s="95"/>
      <c r="BE147" s="95"/>
      <c r="BF147" s="95"/>
      <c r="BG147" s="95"/>
      <c r="BH147" s="95"/>
      <c r="BI147" s="95"/>
      <c r="BJ147" s="95"/>
      <c r="BK147" s="265"/>
      <c r="BL147" s="265"/>
      <c r="BM147" s="265"/>
      <c r="BN147" s="266"/>
      <c r="BO147" s="267"/>
      <c r="BP147" s="268"/>
      <c r="BQ147" s="269"/>
      <c r="BR147" s="269"/>
      <c r="BS147" s="269"/>
      <c r="BT147" s="269"/>
      <c r="BU147" s="269"/>
      <c r="BV147" s="269"/>
      <c r="BW147" s="268"/>
      <c r="BX147" s="269"/>
      <c r="BY147" s="268"/>
      <c r="BZ147" s="268"/>
      <c r="CA147" s="268"/>
      <c r="CB147" s="269"/>
      <c r="CC147" s="268"/>
      <c r="CD147" s="268"/>
      <c r="CE147" s="269"/>
      <c r="CF147" s="269"/>
      <c r="CG147" s="269"/>
      <c r="CH147" s="269"/>
      <c r="CI147" s="269"/>
      <c r="CJ147" s="269"/>
      <c r="CK147" s="269"/>
      <c r="CL147" s="266"/>
    </row>
    <row r="148" spans="1:90" s="270" customFormat="1">
      <c r="A148" s="95"/>
      <c r="B148" s="263"/>
      <c r="C148" s="263"/>
      <c r="D148" s="263"/>
      <c r="E148" s="263"/>
      <c r="F148" s="263"/>
      <c r="G148" s="263"/>
      <c r="H148" s="95"/>
      <c r="I148" s="95"/>
      <c r="J148" s="263"/>
      <c r="K148" s="263"/>
      <c r="L148" s="263"/>
      <c r="M148" s="263"/>
      <c r="N148" s="263"/>
      <c r="O148" s="263"/>
      <c r="P148" s="95"/>
      <c r="Q148" s="95"/>
      <c r="R148" s="95"/>
      <c r="S148" s="95"/>
      <c r="T148" s="95"/>
      <c r="U148" s="95"/>
      <c r="V148" s="95"/>
      <c r="W148" s="95"/>
      <c r="X148" s="95"/>
      <c r="Y148" s="95"/>
      <c r="Z148" s="95"/>
      <c r="AA148" s="95"/>
      <c r="AB148" s="95"/>
      <c r="AC148" s="95"/>
      <c r="AD148" s="95"/>
      <c r="AE148" s="95"/>
      <c r="AF148" s="95"/>
      <c r="AG148" s="95"/>
      <c r="AH148" s="95"/>
      <c r="AI148" s="95"/>
      <c r="AJ148" s="95"/>
      <c r="AK148" s="95"/>
      <c r="AL148" s="95"/>
      <c r="AM148" s="95"/>
      <c r="AN148" s="264"/>
      <c r="AO148" s="95"/>
      <c r="AP148" s="95"/>
      <c r="AQ148" s="95"/>
      <c r="AR148" s="95"/>
      <c r="AS148" s="95"/>
      <c r="AT148" s="95"/>
      <c r="AU148" s="95"/>
      <c r="AV148" s="95"/>
      <c r="AW148" s="95"/>
      <c r="AX148" s="95"/>
      <c r="AY148" s="95"/>
      <c r="AZ148" s="95"/>
      <c r="BA148" s="95"/>
      <c r="BB148" s="95"/>
      <c r="BC148" s="214"/>
      <c r="BD148" s="95"/>
      <c r="BE148" s="95"/>
      <c r="BF148" s="95"/>
      <c r="BG148" s="95"/>
      <c r="BH148" s="95"/>
      <c r="BI148" s="95"/>
      <c r="BJ148" s="95"/>
      <c r="BK148" s="265"/>
      <c r="BL148" s="265"/>
      <c r="BM148" s="265"/>
      <c r="BN148" s="266"/>
      <c r="BO148" s="267"/>
      <c r="BP148" s="268"/>
      <c r="BQ148" s="269"/>
      <c r="BR148" s="269"/>
      <c r="BS148" s="269"/>
      <c r="BT148" s="269"/>
      <c r="BU148" s="269"/>
      <c r="BV148" s="269"/>
      <c r="BW148" s="268"/>
      <c r="BX148" s="269"/>
      <c r="BY148" s="268"/>
      <c r="BZ148" s="268"/>
      <c r="CA148" s="268"/>
      <c r="CB148" s="269"/>
      <c r="CC148" s="268"/>
      <c r="CD148" s="268"/>
      <c r="CE148" s="269"/>
      <c r="CF148" s="269"/>
      <c r="CG148" s="269"/>
      <c r="CH148" s="269"/>
      <c r="CI148" s="269"/>
      <c r="CJ148" s="269"/>
      <c r="CK148" s="269"/>
      <c r="CL148" s="266"/>
    </row>
    <row r="149" spans="1:90" s="270" customFormat="1">
      <c r="A149" s="95"/>
      <c r="B149" s="263"/>
      <c r="C149" s="263"/>
      <c r="D149" s="263"/>
      <c r="E149" s="263"/>
      <c r="F149" s="263"/>
      <c r="G149" s="263"/>
      <c r="H149" s="95"/>
      <c r="I149" s="95"/>
      <c r="J149" s="263"/>
      <c r="K149" s="263"/>
      <c r="L149" s="263"/>
      <c r="M149" s="263"/>
      <c r="N149" s="263"/>
      <c r="O149" s="263"/>
      <c r="P149" s="95"/>
      <c r="Q149" s="95"/>
      <c r="R149" s="95"/>
      <c r="S149" s="95"/>
      <c r="T149" s="95"/>
      <c r="U149" s="95"/>
      <c r="V149" s="95"/>
      <c r="W149" s="95"/>
      <c r="X149" s="95"/>
      <c r="Y149" s="95"/>
      <c r="Z149" s="95"/>
      <c r="AA149" s="95"/>
      <c r="AB149" s="95"/>
      <c r="AC149" s="95"/>
      <c r="AD149" s="95"/>
      <c r="AE149" s="95"/>
      <c r="AF149" s="95"/>
      <c r="AG149" s="95"/>
      <c r="AH149" s="95"/>
      <c r="AI149" s="95"/>
      <c r="AJ149" s="95"/>
      <c r="AK149" s="95"/>
      <c r="AL149" s="95"/>
      <c r="AM149" s="95"/>
      <c r="AN149" s="264"/>
      <c r="AO149" s="95"/>
      <c r="AP149" s="95"/>
      <c r="AQ149" s="95"/>
      <c r="AR149" s="95"/>
      <c r="AS149" s="95"/>
      <c r="AT149" s="95"/>
      <c r="AU149" s="95"/>
      <c r="AV149" s="95"/>
      <c r="AW149" s="95"/>
      <c r="AX149" s="95"/>
      <c r="AY149" s="95"/>
      <c r="AZ149" s="95"/>
      <c r="BA149" s="95"/>
      <c r="BB149" s="95"/>
      <c r="BC149" s="214"/>
      <c r="BD149" s="95"/>
      <c r="BE149" s="95"/>
      <c r="BF149" s="95"/>
      <c r="BG149" s="95"/>
      <c r="BH149" s="95"/>
      <c r="BI149" s="95"/>
      <c r="BJ149" s="95"/>
      <c r="BK149" s="265"/>
      <c r="BL149" s="265"/>
      <c r="BM149" s="265"/>
      <c r="BN149" s="266"/>
      <c r="BO149" s="267"/>
      <c r="BP149" s="268"/>
      <c r="BQ149" s="269"/>
      <c r="BR149" s="269"/>
      <c r="BS149" s="269"/>
      <c r="BT149" s="269"/>
      <c r="BU149" s="269"/>
      <c r="BV149" s="269"/>
      <c r="BW149" s="268"/>
      <c r="BX149" s="269"/>
      <c r="BY149" s="268"/>
      <c r="BZ149" s="268"/>
      <c r="CA149" s="268"/>
      <c r="CB149" s="269"/>
      <c r="CC149" s="268"/>
      <c r="CD149" s="268"/>
      <c r="CE149" s="269"/>
      <c r="CF149" s="269"/>
      <c r="CG149" s="269"/>
      <c r="CH149" s="269"/>
      <c r="CI149" s="269"/>
      <c r="CJ149" s="269"/>
      <c r="CK149" s="269"/>
      <c r="CL149" s="266"/>
    </row>
    <row r="150" spans="1:90" s="270" customFormat="1">
      <c r="A150" s="95"/>
      <c r="B150" s="263"/>
      <c r="C150" s="263"/>
      <c r="D150" s="263"/>
      <c r="E150" s="263"/>
      <c r="F150" s="263"/>
      <c r="G150" s="263"/>
      <c r="H150" s="95"/>
      <c r="I150" s="95"/>
      <c r="J150" s="263"/>
      <c r="K150" s="263"/>
      <c r="L150" s="263"/>
      <c r="M150" s="263"/>
      <c r="N150" s="263"/>
      <c r="O150" s="263"/>
      <c r="P150" s="95"/>
      <c r="Q150" s="95"/>
      <c r="R150" s="95"/>
      <c r="S150" s="95"/>
      <c r="T150" s="95"/>
      <c r="U150" s="95"/>
      <c r="V150" s="95"/>
      <c r="W150" s="95"/>
      <c r="X150" s="95"/>
      <c r="Y150" s="95"/>
      <c r="Z150" s="95"/>
      <c r="AA150" s="95"/>
      <c r="AB150" s="95"/>
      <c r="AC150" s="95"/>
      <c r="AD150" s="95"/>
      <c r="AE150" s="95"/>
      <c r="AF150" s="95"/>
      <c r="AG150" s="95"/>
      <c r="AH150" s="95"/>
      <c r="AI150" s="95"/>
      <c r="AJ150" s="95"/>
      <c r="AK150" s="95"/>
      <c r="AL150" s="95"/>
      <c r="AM150" s="95"/>
      <c r="AN150" s="264"/>
      <c r="AO150" s="95"/>
      <c r="AP150" s="95"/>
      <c r="AQ150" s="95"/>
      <c r="AR150" s="95"/>
      <c r="AS150" s="95"/>
      <c r="AT150" s="95"/>
      <c r="AU150" s="95"/>
      <c r="AV150" s="95"/>
      <c r="AW150" s="95"/>
      <c r="AX150" s="95"/>
      <c r="AY150" s="95"/>
      <c r="AZ150" s="95"/>
      <c r="BA150" s="95"/>
      <c r="BB150" s="95"/>
      <c r="BC150" s="214"/>
      <c r="BD150" s="95"/>
      <c r="BE150" s="95"/>
      <c r="BF150" s="95"/>
      <c r="BG150" s="95"/>
      <c r="BH150" s="95"/>
      <c r="BI150" s="95"/>
      <c r="BJ150" s="95"/>
      <c r="BK150" s="265"/>
      <c r="BL150" s="265"/>
      <c r="BM150" s="265"/>
      <c r="BN150" s="266"/>
      <c r="BO150" s="267"/>
      <c r="BP150" s="268"/>
      <c r="BQ150" s="269"/>
      <c r="BR150" s="269"/>
      <c r="BS150" s="269"/>
      <c r="BT150" s="269"/>
      <c r="BU150" s="269"/>
      <c r="BV150" s="269"/>
      <c r="BW150" s="268"/>
      <c r="BX150" s="269"/>
      <c r="BY150" s="268"/>
      <c r="BZ150" s="268"/>
      <c r="CA150" s="268"/>
      <c r="CB150" s="269"/>
      <c r="CC150" s="268"/>
      <c r="CD150" s="268"/>
      <c r="CE150" s="269"/>
      <c r="CF150" s="269"/>
      <c r="CG150" s="269"/>
      <c r="CH150" s="269"/>
      <c r="CI150" s="269"/>
      <c r="CJ150" s="269"/>
      <c r="CK150" s="269"/>
      <c r="CL150" s="266"/>
    </row>
    <row r="151" spans="1:90" s="270" customFormat="1">
      <c r="A151" s="95"/>
      <c r="B151" s="263"/>
      <c r="C151" s="263"/>
      <c r="D151" s="263"/>
      <c r="E151" s="263"/>
      <c r="F151" s="263"/>
      <c r="G151" s="263"/>
      <c r="H151" s="95"/>
      <c r="I151" s="95"/>
      <c r="J151" s="263"/>
      <c r="K151" s="263"/>
      <c r="L151" s="263"/>
      <c r="M151" s="263"/>
      <c r="N151" s="263"/>
      <c r="O151" s="263"/>
      <c r="P151" s="95"/>
      <c r="Q151" s="95"/>
      <c r="R151" s="95"/>
      <c r="S151" s="95"/>
      <c r="T151" s="95"/>
      <c r="U151" s="95"/>
      <c r="V151" s="95"/>
      <c r="W151" s="95"/>
      <c r="X151" s="95"/>
      <c r="Y151" s="95"/>
      <c r="Z151" s="95"/>
      <c r="AA151" s="95"/>
      <c r="AB151" s="95"/>
      <c r="AC151" s="95"/>
      <c r="AD151" s="95"/>
      <c r="AE151" s="95"/>
      <c r="AF151" s="95"/>
      <c r="AG151" s="95"/>
      <c r="AH151" s="95"/>
      <c r="AI151" s="95"/>
      <c r="AJ151" s="95"/>
      <c r="AK151" s="95"/>
      <c r="AL151" s="95"/>
      <c r="AM151" s="95"/>
      <c r="AN151" s="264"/>
      <c r="AO151" s="95"/>
      <c r="AP151" s="95"/>
      <c r="AQ151" s="95"/>
      <c r="AR151" s="95"/>
      <c r="AS151" s="95"/>
      <c r="AT151" s="95"/>
      <c r="AU151" s="95"/>
      <c r="AV151" s="95"/>
      <c r="AW151" s="95"/>
      <c r="AX151" s="95"/>
      <c r="AY151" s="95"/>
      <c r="AZ151" s="95"/>
      <c r="BA151" s="95"/>
      <c r="BB151" s="95"/>
      <c r="BC151" s="214"/>
      <c r="BD151" s="95"/>
      <c r="BE151" s="95"/>
      <c r="BF151" s="95"/>
      <c r="BG151" s="95"/>
      <c r="BH151" s="95"/>
      <c r="BI151" s="95"/>
      <c r="BJ151" s="95"/>
      <c r="BK151" s="265"/>
      <c r="BL151" s="265"/>
      <c r="BM151" s="265"/>
      <c r="BN151" s="266"/>
      <c r="BO151" s="267"/>
      <c r="BP151" s="268"/>
      <c r="BQ151" s="269"/>
      <c r="BR151" s="269"/>
      <c r="BS151" s="269"/>
      <c r="BT151" s="269"/>
      <c r="BU151" s="269"/>
      <c r="BV151" s="269"/>
      <c r="BW151" s="268"/>
      <c r="BX151" s="269"/>
      <c r="BY151" s="268"/>
      <c r="BZ151" s="268"/>
      <c r="CA151" s="268"/>
      <c r="CB151" s="269"/>
      <c r="CC151" s="268"/>
      <c r="CD151" s="268"/>
      <c r="CE151" s="269"/>
      <c r="CF151" s="269"/>
      <c r="CG151" s="269"/>
      <c r="CH151" s="269"/>
      <c r="CI151" s="269"/>
      <c r="CJ151" s="269"/>
      <c r="CK151" s="269"/>
      <c r="CL151" s="266"/>
    </row>
    <row r="152" spans="1:90" s="270" customFormat="1">
      <c r="A152" s="95"/>
      <c r="B152" s="263"/>
      <c r="C152" s="263"/>
      <c r="D152" s="263"/>
      <c r="E152" s="263"/>
      <c r="F152" s="263"/>
      <c r="G152" s="263"/>
      <c r="H152" s="95"/>
      <c r="I152" s="95"/>
      <c r="J152" s="263"/>
      <c r="K152" s="263"/>
      <c r="L152" s="263"/>
      <c r="M152" s="263"/>
      <c r="N152" s="263"/>
      <c r="O152" s="263"/>
      <c r="P152" s="95"/>
      <c r="Q152" s="95"/>
      <c r="R152" s="95"/>
      <c r="S152" s="95"/>
      <c r="T152" s="95"/>
      <c r="U152" s="95"/>
      <c r="V152" s="95"/>
      <c r="W152" s="95"/>
      <c r="X152" s="95"/>
      <c r="Y152" s="95"/>
      <c r="Z152" s="95"/>
      <c r="AA152" s="95"/>
      <c r="AB152" s="95"/>
      <c r="AC152" s="95"/>
      <c r="AD152" s="95"/>
      <c r="AE152" s="95"/>
      <c r="AF152" s="95"/>
      <c r="AG152" s="95"/>
      <c r="AH152" s="95"/>
      <c r="AI152" s="95"/>
      <c r="AJ152" s="95"/>
      <c r="AK152" s="95"/>
      <c r="AL152" s="95"/>
      <c r="AM152" s="95"/>
      <c r="AN152" s="264"/>
      <c r="AO152" s="95"/>
      <c r="AP152" s="95"/>
      <c r="AQ152" s="95"/>
      <c r="AR152" s="95"/>
      <c r="AS152" s="95"/>
      <c r="AT152" s="95"/>
      <c r="AU152" s="95"/>
      <c r="AV152" s="95"/>
      <c r="AW152" s="95"/>
      <c r="AX152" s="95"/>
      <c r="AY152" s="95"/>
      <c r="AZ152" s="95"/>
      <c r="BA152" s="95"/>
      <c r="BB152" s="95"/>
      <c r="BC152" s="214"/>
      <c r="BD152" s="95"/>
      <c r="BE152" s="95"/>
      <c r="BF152" s="95"/>
      <c r="BG152" s="95"/>
      <c r="BH152" s="95"/>
      <c r="BI152" s="95"/>
      <c r="BJ152" s="95"/>
      <c r="BK152" s="265"/>
      <c r="BL152" s="265"/>
      <c r="BM152" s="265"/>
      <c r="BN152" s="266"/>
      <c r="BO152" s="267"/>
      <c r="BP152" s="268"/>
      <c r="BQ152" s="269"/>
      <c r="BR152" s="269"/>
      <c r="BS152" s="269"/>
      <c r="BT152" s="269"/>
      <c r="BU152" s="269"/>
      <c r="BV152" s="269"/>
      <c r="BW152" s="268"/>
      <c r="BX152" s="269"/>
      <c r="BY152" s="268"/>
      <c r="BZ152" s="268"/>
      <c r="CA152" s="268"/>
      <c r="CB152" s="269"/>
      <c r="CC152" s="268"/>
      <c r="CD152" s="268"/>
      <c r="CE152" s="269"/>
      <c r="CF152" s="269"/>
      <c r="CG152" s="269"/>
      <c r="CH152" s="269"/>
      <c r="CI152" s="269"/>
      <c r="CJ152" s="269"/>
      <c r="CK152" s="269"/>
      <c r="CL152" s="266"/>
    </row>
    <row r="153" spans="1:90" s="270" customFormat="1">
      <c r="A153" s="95"/>
      <c r="B153" s="263"/>
      <c r="C153" s="263"/>
      <c r="D153" s="263"/>
      <c r="E153" s="263"/>
      <c r="F153" s="263"/>
      <c r="G153" s="263"/>
      <c r="H153" s="95"/>
      <c r="I153" s="95"/>
      <c r="J153" s="263"/>
      <c r="K153" s="263"/>
      <c r="L153" s="263"/>
      <c r="M153" s="263"/>
      <c r="N153" s="263"/>
      <c r="O153" s="263"/>
      <c r="P153" s="95"/>
      <c r="Q153" s="95"/>
      <c r="R153" s="95"/>
      <c r="S153" s="95"/>
      <c r="T153" s="95"/>
      <c r="U153" s="95"/>
      <c r="V153" s="95"/>
      <c r="W153" s="95"/>
      <c r="X153" s="95"/>
      <c r="Y153" s="95"/>
      <c r="Z153" s="95"/>
      <c r="AA153" s="95"/>
      <c r="AB153" s="95"/>
      <c r="AC153" s="95"/>
      <c r="AD153" s="95"/>
      <c r="AE153" s="95"/>
      <c r="AF153" s="95"/>
      <c r="AG153" s="95"/>
      <c r="AH153" s="95"/>
      <c r="AI153" s="95"/>
      <c r="AJ153" s="95"/>
      <c r="AK153" s="95"/>
      <c r="AL153" s="95"/>
      <c r="AM153" s="95"/>
      <c r="AN153" s="264"/>
      <c r="AO153" s="95"/>
      <c r="AP153" s="95"/>
      <c r="AQ153" s="95"/>
      <c r="AR153" s="95"/>
      <c r="AS153" s="95"/>
      <c r="AT153" s="95"/>
      <c r="AU153" s="95"/>
      <c r="AV153" s="95"/>
      <c r="AW153" s="95"/>
      <c r="AX153" s="95"/>
      <c r="AY153" s="95"/>
      <c r="AZ153" s="95"/>
      <c r="BA153" s="95"/>
      <c r="BB153" s="95"/>
      <c r="BC153" s="214"/>
      <c r="BD153" s="95"/>
      <c r="BE153" s="95"/>
      <c r="BF153" s="95"/>
      <c r="BG153" s="95"/>
      <c r="BH153" s="95"/>
      <c r="BI153" s="95"/>
      <c r="BJ153" s="95"/>
      <c r="BK153" s="265"/>
      <c r="BL153" s="265"/>
      <c r="BM153" s="265"/>
      <c r="BN153" s="266"/>
      <c r="BO153" s="267"/>
      <c r="BP153" s="268"/>
      <c r="BQ153" s="269"/>
      <c r="BR153" s="269"/>
      <c r="BS153" s="269"/>
      <c r="BT153" s="269"/>
      <c r="BU153" s="269"/>
      <c r="BV153" s="269"/>
      <c r="BW153" s="268"/>
      <c r="BX153" s="269"/>
      <c r="BY153" s="268"/>
      <c r="BZ153" s="268"/>
      <c r="CA153" s="268"/>
      <c r="CB153" s="269"/>
      <c r="CC153" s="268"/>
      <c r="CD153" s="268"/>
      <c r="CE153" s="269"/>
      <c r="CF153" s="269"/>
      <c r="CG153" s="269"/>
      <c r="CH153" s="269"/>
      <c r="CI153" s="269"/>
      <c r="CJ153" s="269"/>
      <c r="CK153" s="269"/>
      <c r="CL153" s="266"/>
    </row>
    <row r="154" spans="1:90" s="270" customFormat="1">
      <c r="A154" s="95"/>
      <c r="B154" s="263"/>
      <c r="C154" s="263"/>
      <c r="D154" s="263"/>
      <c r="E154" s="263"/>
      <c r="F154" s="263"/>
      <c r="G154" s="263"/>
      <c r="H154" s="95"/>
      <c r="I154" s="95"/>
      <c r="J154" s="263"/>
      <c r="K154" s="263"/>
      <c r="L154" s="263"/>
      <c r="M154" s="263"/>
      <c r="N154" s="263"/>
      <c r="O154" s="263"/>
      <c r="P154" s="95"/>
      <c r="Q154" s="95"/>
      <c r="R154" s="95"/>
      <c r="S154" s="95"/>
      <c r="T154" s="95"/>
      <c r="U154" s="95"/>
      <c r="V154" s="95"/>
      <c r="W154" s="95"/>
      <c r="X154" s="95"/>
      <c r="Y154" s="95"/>
      <c r="Z154" s="95"/>
      <c r="AA154" s="95"/>
      <c r="AB154" s="95"/>
      <c r="AC154" s="95"/>
      <c r="AD154" s="95"/>
      <c r="AE154" s="95"/>
      <c r="AF154" s="95"/>
      <c r="AG154" s="95"/>
      <c r="AH154" s="95"/>
      <c r="AI154" s="95"/>
      <c r="AJ154" s="95"/>
      <c r="AK154" s="95"/>
      <c r="AL154" s="95"/>
      <c r="AM154" s="95"/>
      <c r="AN154" s="264"/>
      <c r="AO154" s="95"/>
      <c r="AP154" s="95"/>
      <c r="AQ154" s="95"/>
      <c r="AR154" s="95"/>
      <c r="AS154" s="95"/>
      <c r="AT154" s="95"/>
      <c r="AU154" s="95"/>
      <c r="AV154" s="95"/>
      <c r="AW154" s="95"/>
      <c r="AX154" s="95"/>
      <c r="AY154" s="95"/>
      <c r="AZ154" s="95"/>
      <c r="BA154" s="95"/>
      <c r="BB154" s="95"/>
      <c r="BC154" s="214"/>
      <c r="BD154" s="95"/>
      <c r="BE154" s="95"/>
      <c r="BF154" s="95"/>
      <c r="BG154" s="95"/>
      <c r="BH154" s="95"/>
      <c r="BI154" s="95"/>
      <c r="BJ154" s="95"/>
      <c r="BK154" s="265"/>
      <c r="BL154" s="265"/>
      <c r="BM154" s="265"/>
      <c r="BN154" s="266"/>
      <c r="BO154" s="267"/>
      <c r="BP154" s="268"/>
      <c r="BQ154" s="269"/>
      <c r="BR154" s="269"/>
      <c r="BS154" s="269"/>
      <c r="BT154" s="269"/>
      <c r="BU154" s="269"/>
      <c r="BV154" s="269"/>
      <c r="BW154" s="268"/>
      <c r="BX154" s="269"/>
      <c r="BY154" s="268"/>
      <c r="BZ154" s="268"/>
      <c r="CA154" s="268"/>
      <c r="CB154" s="269"/>
      <c r="CC154" s="268"/>
      <c r="CD154" s="268"/>
      <c r="CE154" s="269"/>
      <c r="CF154" s="269"/>
      <c r="CG154" s="269"/>
      <c r="CH154" s="269"/>
      <c r="CI154" s="269"/>
      <c r="CJ154" s="269"/>
      <c r="CK154" s="269"/>
      <c r="CL154" s="266"/>
    </row>
    <row r="155" spans="1:90" s="270" customFormat="1">
      <c r="A155" s="95"/>
      <c r="B155" s="263"/>
      <c r="C155" s="263"/>
      <c r="D155" s="263"/>
      <c r="E155" s="263"/>
      <c r="F155" s="263"/>
      <c r="G155" s="263"/>
      <c r="H155" s="95"/>
      <c r="I155" s="95"/>
      <c r="J155" s="263"/>
      <c r="K155" s="263"/>
      <c r="L155" s="263"/>
      <c r="M155" s="263"/>
      <c r="N155" s="263"/>
      <c r="O155" s="263"/>
      <c r="P155" s="95"/>
      <c r="Q155" s="95"/>
      <c r="R155" s="95"/>
      <c r="S155" s="95"/>
      <c r="T155" s="95"/>
      <c r="U155" s="95"/>
      <c r="V155" s="95"/>
      <c r="W155" s="95"/>
      <c r="X155" s="95"/>
      <c r="Y155" s="95"/>
      <c r="Z155" s="95"/>
      <c r="AA155" s="95"/>
      <c r="AB155" s="95"/>
      <c r="AC155" s="95"/>
      <c r="AD155" s="95"/>
      <c r="AE155" s="95"/>
      <c r="AF155" s="95"/>
      <c r="AG155" s="95"/>
      <c r="AH155" s="95"/>
      <c r="AI155" s="95"/>
      <c r="AJ155" s="95"/>
      <c r="AK155" s="95"/>
      <c r="AL155" s="95"/>
      <c r="AM155" s="95"/>
      <c r="AN155" s="264"/>
      <c r="AO155" s="95"/>
      <c r="AP155" s="95"/>
      <c r="AQ155" s="95"/>
      <c r="AR155" s="95"/>
      <c r="AS155" s="95"/>
      <c r="AT155" s="95"/>
      <c r="AU155" s="95"/>
      <c r="AV155" s="95"/>
      <c r="AW155" s="95"/>
      <c r="AX155" s="95"/>
      <c r="AY155" s="95"/>
      <c r="AZ155" s="95"/>
      <c r="BA155" s="95"/>
      <c r="BB155" s="95"/>
      <c r="BC155" s="214"/>
      <c r="BD155" s="95"/>
      <c r="BE155" s="95"/>
      <c r="BF155" s="95"/>
      <c r="BG155" s="95"/>
      <c r="BH155" s="95"/>
      <c r="BI155" s="95"/>
      <c r="BJ155" s="95"/>
      <c r="BK155" s="265"/>
      <c r="BL155" s="265"/>
      <c r="BM155" s="265"/>
      <c r="BN155" s="266"/>
      <c r="BO155" s="267"/>
      <c r="BP155" s="268"/>
      <c r="BQ155" s="269"/>
      <c r="BR155" s="269"/>
      <c r="BS155" s="269"/>
      <c r="BT155" s="269"/>
      <c r="BU155" s="269"/>
      <c r="BV155" s="269"/>
      <c r="BW155" s="268"/>
      <c r="BX155" s="269"/>
      <c r="BY155" s="268"/>
      <c r="BZ155" s="268"/>
      <c r="CA155" s="268"/>
      <c r="CB155" s="269"/>
      <c r="CC155" s="268"/>
      <c r="CD155" s="268"/>
      <c r="CE155" s="269"/>
      <c r="CF155" s="269"/>
      <c r="CG155" s="269"/>
      <c r="CH155" s="269"/>
      <c r="CI155" s="269"/>
      <c r="CJ155" s="269"/>
      <c r="CK155" s="269"/>
      <c r="CL155" s="266"/>
    </row>
    <row r="156" spans="1:90" s="270" customFormat="1">
      <c r="A156" s="95"/>
      <c r="B156" s="263"/>
      <c r="C156" s="263"/>
      <c r="D156" s="263"/>
      <c r="E156" s="263"/>
      <c r="F156" s="263"/>
      <c r="G156" s="263"/>
      <c r="H156" s="95"/>
      <c r="I156" s="95"/>
      <c r="J156" s="263"/>
      <c r="K156" s="263"/>
      <c r="L156" s="263"/>
      <c r="M156" s="263"/>
      <c r="N156" s="263"/>
      <c r="O156" s="263"/>
      <c r="P156" s="95"/>
      <c r="Q156" s="95"/>
      <c r="R156" s="95"/>
      <c r="S156" s="95"/>
      <c r="T156" s="95"/>
      <c r="U156" s="95"/>
      <c r="V156" s="95"/>
      <c r="W156" s="95"/>
      <c r="X156" s="95"/>
      <c r="Y156" s="95"/>
      <c r="Z156" s="95"/>
      <c r="AA156" s="95"/>
      <c r="AB156" s="95"/>
      <c r="AC156" s="95"/>
      <c r="AD156" s="95"/>
      <c r="AE156" s="95"/>
      <c r="AF156" s="95"/>
      <c r="AG156" s="95"/>
      <c r="AH156" s="95"/>
      <c r="AI156" s="95"/>
      <c r="AJ156" s="95"/>
      <c r="AK156" s="95"/>
      <c r="AL156" s="95"/>
      <c r="AM156" s="95"/>
      <c r="AN156" s="264"/>
      <c r="AO156" s="95"/>
      <c r="AP156" s="95"/>
      <c r="AQ156" s="95"/>
      <c r="AR156" s="95"/>
      <c r="AS156" s="95"/>
      <c r="AT156" s="95"/>
      <c r="AU156" s="95"/>
      <c r="AV156" s="95"/>
      <c r="AW156" s="95"/>
      <c r="AX156" s="95"/>
      <c r="AY156" s="95"/>
      <c r="AZ156" s="95"/>
      <c r="BA156" s="95"/>
      <c r="BB156" s="95"/>
      <c r="BC156" s="214"/>
      <c r="BD156" s="95"/>
      <c r="BE156" s="95"/>
      <c r="BF156" s="95"/>
      <c r="BG156" s="95"/>
      <c r="BH156" s="95"/>
      <c r="BI156" s="95"/>
      <c r="BJ156" s="95"/>
      <c r="BK156" s="265"/>
      <c r="BL156" s="265"/>
      <c r="BM156" s="265"/>
      <c r="BN156" s="266"/>
      <c r="BO156" s="267"/>
      <c r="BP156" s="268"/>
      <c r="BQ156" s="269"/>
      <c r="BR156" s="269"/>
      <c r="BS156" s="269"/>
      <c r="BT156" s="269"/>
      <c r="BU156" s="269"/>
      <c r="BV156" s="269"/>
      <c r="BW156" s="268"/>
      <c r="BX156" s="269"/>
      <c r="BY156" s="268"/>
      <c r="BZ156" s="268"/>
      <c r="CA156" s="268"/>
      <c r="CB156" s="269"/>
      <c r="CC156" s="268"/>
      <c r="CD156" s="268"/>
      <c r="CE156" s="269"/>
      <c r="CF156" s="269"/>
      <c r="CG156" s="269"/>
      <c r="CH156" s="269"/>
      <c r="CI156" s="269"/>
      <c r="CJ156" s="269"/>
      <c r="CK156" s="269"/>
      <c r="CL156" s="266"/>
    </row>
    <row r="157" spans="1:90" s="270" customFormat="1">
      <c r="A157" s="95"/>
      <c r="B157" s="263"/>
      <c r="C157" s="263"/>
      <c r="D157" s="263"/>
      <c r="E157" s="263"/>
      <c r="F157" s="263"/>
      <c r="G157" s="263"/>
      <c r="H157" s="95"/>
      <c r="I157" s="95"/>
      <c r="J157" s="263"/>
      <c r="K157" s="263"/>
      <c r="L157" s="263"/>
      <c r="M157" s="263"/>
      <c r="N157" s="263"/>
      <c r="O157" s="263"/>
      <c r="P157" s="95"/>
      <c r="Q157" s="95"/>
      <c r="R157" s="95"/>
      <c r="S157" s="95"/>
      <c r="T157" s="95"/>
      <c r="U157" s="95"/>
      <c r="V157" s="95"/>
      <c r="W157" s="95"/>
      <c r="X157" s="95"/>
      <c r="Y157" s="95"/>
      <c r="Z157" s="95"/>
      <c r="AA157" s="95"/>
      <c r="AB157" s="95"/>
      <c r="AC157" s="95"/>
      <c r="AD157" s="95"/>
      <c r="AE157" s="95"/>
      <c r="AF157" s="95"/>
      <c r="AG157" s="95"/>
      <c r="AH157" s="95"/>
      <c r="AI157" s="95"/>
      <c r="AJ157" s="95"/>
      <c r="AK157" s="95"/>
      <c r="AL157" s="95"/>
      <c r="AM157" s="95"/>
      <c r="AN157" s="264"/>
      <c r="AO157" s="95"/>
      <c r="AP157" s="95"/>
      <c r="AQ157" s="95"/>
      <c r="AR157" s="95"/>
      <c r="AS157" s="95"/>
      <c r="AT157" s="95"/>
      <c r="AU157" s="95"/>
      <c r="AV157" s="95"/>
      <c r="AW157" s="95"/>
      <c r="AX157" s="95"/>
      <c r="AY157" s="95"/>
      <c r="AZ157" s="95"/>
      <c r="BA157" s="95"/>
      <c r="BB157" s="95"/>
      <c r="BC157" s="214"/>
      <c r="BD157" s="95"/>
      <c r="BE157" s="95"/>
      <c r="BF157" s="95"/>
      <c r="BG157" s="95"/>
      <c r="BH157" s="95"/>
      <c r="BI157" s="95"/>
      <c r="BJ157" s="95"/>
      <c r="BK157" s="265"/>
      <c r="BL157" s="265"/>
      <c r="BM157" s="265"/>
      <c r="BN157" s="266"/>
      <c r="BO157" s="267"/>
      <c r="BP157" s="268"/>
      <c r="BQ157" s="269"/>
      <c r="BR157" s="269"/>
      <c r="BS157" s="269"/>
      <c r="BT157" s="269"/>
      <c r="BU157" s="269"/>
      <c r="BV157" s="269"/>
      <c r="BW157" s="268"/>
      <c r="BX157" s="269"/>
      <c r="BY157" s="268"/>
      <c r="BZ157" s="268"/>
      <c r="CA157" s="268"/>
      <c r="CB157" s="269"/>
      <c r="CC157" s="268"/>
      <c r="CD157" s="268"/>
      <c r="CE157" s="269"/>
      <c r="CF157" s="269"/>
      <c r="CG157" s="269"/>
      <c r="CH157" s="269"/>
      <c r="CI157" s="269"/>
      <c r="CJ157" s="269"/>
      <c r="CK157" s="269"/>
      <c r="CL157" s="266"/>
    </row>
    <row r="158" spans="1:90" s="270" customFormat="1">
      <c r="A158" s="95"/>
      <c r="B158" s="263"/>
      <c r="C158" s="263"/>
      <c r="D158" s="263"/>
      <c r="E158" s="263"/>
      <c r="F158" s="263"/>
      <c r="G158" s="263"/>
      <c r="H158" s="95"/>
      <c r="I158" s="95"/>
      <c r="J158" s="263"/>
      <c r="K158" s="263"/>
      <c r="L158" s="263"/>
      <c r="M158" s="263"/>
      <c r="N158" s="263"/>
      <c r="O158" s="263"/>
      <c r="P158" s="95"/>
      <c r="Q158" s="95"/>
      <c r="R158" s="95"/>
      <c r="S158" s="95"/>
      <c r="T158" s="95"/>
      <c r="U158" s="95"/>
      <c r="V158" s="95"/>
      <c r="W158" s="95"/>
      <c r="X158" s="95"/>
      <c r="Y158" s="95"/>
      <c r="Z158" s="95"/>
      <c r="AA158" s="95"/>
      <c r="AB158" s="95"/>
      <c r="AC158" s="95"/>
      <c r="AD158" s="95"/>
      <c r="AE158" s="95"/>
      <c r="AF158" s="95"/>
      <c r="AG158" s="95"/>
      <c r="AH158" s="95"/>
      <c r="AI158" s="95"/>
      <c r="AJ158" s="95"/>
      <c r="AK158" s="95"/>
      <c r="AL158" s="95"/>
      <c r="AM158" s="95"/>
      <c r="AN158" s="264"/>
      <c r="AO158" s="95"/>
      <c r="AP158" s="95"/>
      <c r="AQ158" s="95"/>
      <c r="AR158" s="95"/>
      <c r="AS158" s="95"/>
      <c r="AT158" s="95"/>
      <c r="AU158" s="95"/>
      <c r="AV158" s="95"/>
      <c r="AW158" s="95"/>
      <c r="AX158" s="95"/>
      <c r="AY158" s="95"/>
      <c r="AZ158" s="95"/>
      <c r="BA158" s="95"/>
      <c r="BB158" s="95"/>
      <c r="BC158" s="214"/>
      <c r="BD158" s="95"/>
      <c r="BE158" s="95"/>
      <c r="BF158" s="95"/>
      <c r="BG158" s="95"/>
      <c r="BH158" s="95"/>
      <c r="BI158" s="95"/>
      <c r="BJ158" s="95"/>
      <c r="BK158" s="265"/>
      <c r="BL158" s="265"/>
      <c r="BM158" s="265"/>
      <c r="BN158" s="266"/>
      <c r="BO158" s="267"/>
      <c r="BP158" s="268"/>
      <c r="BQ158" s="269"/>
      <c r="BR158" s="269"/>
      <c r="BS158" s="269"/>
      <c r="BT158" s="269"/>
      <c r="BU158" s="269"/>
      <c r="BV158" s="269"/>
      <c r="BW158" s="268"/>
      <c r="BX158" s="269"/>
      <c r="BY158" s="268"/>
      <c r="BZ158" s="268"/>
      <c r="CA158" s="268"/>
      <c r="CB158" s="269"/>
      <c r="CC158" s="268"/>
      <c r="CD158" s="268"/>
      <c r="CE158" s="269"/>
      <c r="CF158" s="269"/>
      <c r="CG158" s="269"/>
      <c r="CH158" s="269"/>
      <c r="CI158" s="269"/>
      <c r="CJ158" s="269"/>
      <c r="CK158" s="269"/>
      <c r="CL158" s="266"/>
    </row>
    <row r="159" spans="1:90" s="270" customFormat="1">
      <c r="A159" s="95"/>
      <c r="B159" s="263"/>
      <c r="C159" s="263"/>
      <c r="D159" s="263"/>
      <c r="E159" s="263"/>
      <c r="F159" s="263"/>
      <c r="G159" s="263"/>
      <c r="H159" s="95"/>
      <c r="I159" s="95"/>
      <c r="J159" s="263"/>
      <c r="K159" s="263"/>
      <c r="L159" s="263"/>
      <c r="M159" s="263"/>
      <c r="N159" s="263"/>
      <c r="O159" s="263"/>
      <c r="P159" s="95"/>
      <c r="Q159" s="95"/>
      <c r="R159" s="95"/>
      <c r="S159" s="95"/>
      <c r="T159" s="95"/>
      <c r="U159" s="95"/>
      <c r="V159" s="95"/>
      <c r="W159" s="95"/>
      <c r="X159" s="95"/>
      <c r="Y159" s="95"/>
      <c r="Z159" s="95"/>
      <c r="AA159" s="95"/>
      <c r="AB159" s="95"/>
      <c r="AC159" s="95"/>
      <c r="AD159" s="95"/>
      <c r="AE159" s="95"/>
      <c r="AF159" s="95"/>
      <c r="AG159" s="95"/>
      <c r="AH159" s="95"/>
      <c r="AI159" s="95"/>
      <c r="AJ159" s="95"/>
      <c r="AK159" s="95"/>
      <c r="AL159" s="95"/>
      <c r="AM159" s="95"/>
      <c r="AN159" s="264"/>
      <c r="AO159" s="95"/>
      <c r="AP159" s="95"/>
      <c r="AQ159" s="95"/>
      <c r="AR159" s="95"/>
      <c r="AS159" s="95"/>
      <c r="AT159" s="95"/>
      <c r="AU159" s="95"/>
      <c r="AV159" s="95"/>
      <c r="AW159" s="95"/>
      <c r="AX159" s="95"/>
      <c r="AY159" s="95"/>
      <c r="AZ159" s="95"/>
      <c r="BA159" s="95"/>
      <c r="BB159" s="95"/>
      <c r="BC159" s="214"/>
      <c r="BD159" s="95"/>
      <c r="BE159" s="95"/>
      <c r="BF159" s="95"/>
      <c r="BG159" s="95"/>
      <c r="BH159" s="95"/>
      <c r="BI159" s="95"/>
      <c r="BJ159" s="95"/>
      <c r="BK159" s="265"/>
      <c r="BL159" s="265"/>
      <c r="BM159" s="265"/>
      <c r="BN159" s="266"/>
      <c r="BO159" s="267"/>
      <c r="BP159" s="268"/>
      <c r="BQ159" s="269"/>
      <c r="BR159" s="269"/>
      <c r="BS159" s="269"/>
      <c r="BT159" s="269"/>
      <c r="BU159" s="269"/>
      <c r="BV159" s="269"/>
      <c r="BW159" s="268"/>
      <c r="BX159" s="269"/>
      <c r="BY159" s="268"/>
      <c r="BZ159" s="268"/>
      <c r="CA159" s="268"/>
      <c r="CB159" s="269"/>
      <c r="CC159" s="268"/>
      <c r="CD159" s="268"/>
      <c r="CE159" s="269"/>
      <c r="CF159" s="269"/>
      <c r="CG159" s="269"/>
      <c r="CH159" s="269"/>
      <c r="CI159" s="269"/>
      <c r="CJ159" s="269"/>
      <c r="CK159" s="269"/>
      <c r="CL159" s="266"/>
    </row>
    <row r="160" spans="1:90" s="270" customFormat="1">
      <c r="A160" s="95"/>
      <c r="B160" s="263"/>
      <c r="C160" s="263"/>
      <c r="D160" s="263"/>
      <c r="E160" s="263"/>
      <c r="F160" s="263"/>
      <c r="G160" s="263"/>
      <c r="H160" s="95"/>
      <c r="I160" s="95"/>
      <c r="J160" s="263"/>
      <c r="K160" s="263"/>
      <c r="L160" s="263"/>
      <c r="M160" s="263"/>
      <c r="N160" s="263"/>
      <c r="O160" s="263"/>
      <c r="P160" s="95"/>
      <c r="Q160" s="95"/>
      <c r="R160" s="95"/>
      <c r="S160" s="95"/>
      <c r="T160" s="95"/>
      <c r="U160" s="95"/>
      <c r="V160" s="95"/>
      <c r="W160" s="95"/>
      <c r="X160" s="95"/>
      <c r="Y160" s="95"/>
      <c r="Z160" s="95"/>
      <c r="AA160" s="95"/>
      <c r="AB160" s="95"/>
      <c r="AC160" s="95"/>
      <c r="AD160" s="95"/>
      <c r="AE160" s="95"/>
      <c r="AF160" s="95"/>
      <c r="AG160" s="95"/>
      <c r="AH160" s="95"/>
      <c r="AI160" s="95"/>
      <c r="AJ160" s="95"/>
      <c r="AK160" s="95"/>
      <c r="AL160" s="95"/>
      <c r="AM160" s="95"/>
      <c r="AN160" s="264"/>
      <c r="AO160" s="95"/>
      <c r="AP160" s="95"/>
      <c r="AQ160" s="95"/>
      <c r="AR160" s="95"/>
      <c r="AS160" s="95"/>
      <c r="AT160" s="95"/>
      <c r="AU160" s="95"/>
      <c r="AV160" s="95"/>
      <c r="AW160" s="95"/>
      <c r="AX160" s="95"/>
      <c r="AY160" s="95"/>
      <c r="AZ160" s="95"/>
      <c r="BA160" s="95"/>
      <c r="BB160" s="95"/>
      <c r="BC160" s="214"/>
      <c r="BD160" s="95"/>
      <c r="BE160" s="95"/>
      <c r="BF160" s="95"/>
      <c r="BG160" s="95"/>
      <c r="BH160" s="95"/>
      <c r="BI160" s="95"/>
      <c r="BJ160" s="95"/>
      <c r="BK160" s="265"/>
      <c r="BL160" s="265"/>
      <c r="BM160" s="265"/>
      <c r="BN160" s="266"/>
      <c r="BO160" s="267"/>
      <c r="BP160" s="268"/>
      <c r="BQ160" s="269"/>
      <c r="BR160" s="269"/>
      <c r="BS160" s="269"/>
      <c r="BT160" s="269"/>
      <c r="BU160" s="269"/>
      <c r="BV160" s="269"/>
      <c r="BW160" s="268"/>
      <c r="BX160" s="269"/>
      <c r="BY160" s="268"/>
      <c r="BZ160" s="268"/>
      <c r="CA160" s="268"/>
      <c r="CB160" s="269"/>
      <c r="CC160" s="268"/>
      <c r="CD160" s="268"/>
      <c r="CE160" s="269"/>
      <c r="CF160" s="269"/>
      <c r="CG160" s="269"/>
      <c r="CH160" s="269"/>
      <c r="CI160" s="269"/>
      <c r="CJ160" s="269"/>
      <c r="CK160" s="269"/>
      <c r="CL160" s="266"/>
    </row>
    <row r="161" spans="1:90" s="270" customFormat="1">
      <c r="A161" s="95"/>
      <c r="B161" s="263"/>
      <c r="C161" s="263"/>
      <c r="D161" s="263"/>
      <c r="E161" s="263"/>
      <c r="F161" s="263"/>
      <c r="G161" s="263"/>
      <c r="H161" s="95"/>
      <c r="I161" s="95"/>
      <c r="J161" s="263"/>
      <c r="K161" s="263"/>
      <c r="L161" s="263"/>
      <c r="M161" s="263"/>
      <c r="N161" s="263"/>
      <c r="O161" s="263"/>
      <c r="P161" s="95"/>
      <c r="Q161" s="95"/>
      <c r="R161" s="95"/>
      <c r="S161" s="95"/>
      <c r="T161" s="95"/>
      <c r="U161" s="95"/>
      <c r="V161" s="95"/>
      <c r="W161" s="95"/>
      <c r="X161" s="95"/>
      <c r="Y161" s="95"/>
      <c r="Z161" s="95"/>
      <c r="AA161" s="95"/>
      <c r="AB161" s="95"/>
      <c r="AC161" s="95"/>
      <c r="AD161" s="95"/>
      <c r="AE161" s="95"/>
      <c r="AF161" s="95"/>
      <c r="AG161" s="95"/>
      <c r="AH161" s="95"/>
      <c r="AI161" s="95"/>
      <c r="AJ161" s="95"/>
      <c r="AK161" s="95"/>
      <c r="AL161" s="95"/>
      <c r="AM161" s="95"/>
      <c r="AN161" s="264"/>
      <c r="AO161" s="95"/>
      <c r="AP161" s="95"/>
      <c r="AQ161" s="95"/>
      <c r="AR161" s="95"/>
      <c r="AS161" s="95"/>
      <c r="AT161" s="95"/>
      <c r="AU161" s="95"/>
      <c r="AV161" s="95"/>
      <c r="AW161" s="95"/>
      <c r="AX161" s="95"/>
      <c r="AY161" s="95"/>
      <c r="AZ161" s="95"/>
      <c r="BA161" s="95"/>
      <c r="BB161" s="95"/>
      <c r="BC161" s="214"/>
      <c r="BD161" s="95"/>
      <c r="BE161" s="95"/>
      <c r="BF161" s="95"/>
      <c r="BG161" s="95"/>
      <c r="BH161" s="95"/>
      <c r="BI161" s="95"/>
      <c r="BJ161" s="95"/>
      <c r="BK161" s="265"/>
      <c r="BL161" s="265"/>
      <c r="BM161" s="265"/>
      <c r="BN161" s="266"/>
      <c r="BO161" s="267"/>
      <c r="BP161" s="268"/>
      <c r="BQ161" s="269"/>
      <c r="BR161" s="269"/>
      <c r="BS161" s="269"/>
      <c r="BT161" s="269"/>
      <c r="BU161" s="269"/>
      <c r="BV161" s="269"/>
      <c r="BW161" s="268"/>
      <c r="BX161" s="269"/>
      <c r="BY161" s="268"/>
      <c r="BZ161" s="268"/>
      <c r="CA161" s="268"/>
      <c r="CB161" s="269"/>
      <c r="CC161" s="268"/>
      <c r="CD161" s="268"/>
      <c r="CE161" s="269"/>
      <c r="CF161" s="269"/>
      <c r="CG161" s="269"/>
      <c r="CH161" s="269"/>
      <c r="CI161" s="269"/>
      <c r="CJ161" s="269"/>
      <c r="CK161" s="269"/>
      <c r="CL161" s="266"/>
    </row>
    <row r="162" spans="1:90" s="270" customFormat="1">
      <c r="A162" s="95"/>
      <c r="B162" s="263"/>
      <c r="C162" s="263"/>
      <c r="D162" s="263"/>
      <c r="E162" s="263"/>
      <c r="F162" s="263"/>
      <c r="G162" s="263"/>
      <c r="H162" s="95"/>
      <c r="I162" s="95"/>
      <c r="J162" s="263"/>
      <c r="K162" s="263"/>
      <c r="L162" s="263"/>
      <c r="M162" s="263"/>
      <c r="N162" s="263"/>
      <c r="O162" s="263"/>
      <c r="P162" s="95"/>
      <c r="Q162" s="95"/>
      <c r="R162" s="95"/>
      <c r="S162" s="95"/>
      <c r="T162" s="95"/>
      <c r="U162" s="95"/>
      <c r="V162" s="95"/>
      <c r="W162" s="95"/>
      <c r="X162" s="95"/>
      <c r="Y162" s="95"/>
      <c r="Z162" s="95"/>
      <c r="AA162" s="95"/>
      <c r="AB162" s="95"/>
      <c r="AC162" s="95"/>
      <c r="AD162" s="95"/>
      <c r="AE162" s="95"/>
      <c r="AF162" s="95"/>
      <c r="AG162" s="95"/>
      <c r="AH162" s="95"/>
      <c r="AI162" s="95"/>
      <c r="AJ162" s="95"/>
      <c r="AK162" s="95"/>
      <c r="AL162" s="95"/>
      <c r="AM162" s="95"/>
      <c r="AN162" s="264"/>
      <c r="AO162" s="95"/>
      <c r="AP162" s="95"/>
      <c r="AQ162" s="95"/>
      <c r="AR162" s="95"/>
      <c r="AS162" s="95"/>
      <c r="AT162" s="95"/>
      <c r="AU162" s="95"/>
      <c r="AV162" s="95"/>
      <c r="AW162" s="95"/>
      <c r="AX162" s="95"/>
      <c r="AY162" s="95"/>
      <c r="AZ162" s="95"/>
      <c r="BA162" s="95"/>
      <c r="BB162" s="95"/>
      <c r="BC162" s="214"/>
      <c r="BD162" s="95"/>
      <c r="BE162" s="95"/>
      <c r="BF162" s="95"/>
      <c r="BG162" s="95"/>
      <c r="BH162" s="95"/>
      <c r="BI162" s="95"/>
      <c r="BJ162" s="95"/>
      <c r="BK162" s="265"/>
      <c r="BL162" s="265"/>
      <c r="BM162" s="265"/>
      <c r="BN162" s="266"/>
      <c r="BO162" s="267"/>
      <c r="BP162" s="268"/>
      <c r="BQ162" s="269"/>
      <c r="BR162" s="269"/>
      <c r="BS162" s="269"/>
      <c r="BT162" s="269"/>
      <c r="BU162" s="269"/>
      <c r="BV162" s="269"/>
      <c r="BW162" s="268"/>
      <c r="BX162" s="269"/>
      <c r="BY162" s="268"/>
      <c r="BZ162" s="268"/>
      <c r="CA162" s="268"/>
      <c r="CB162" s="269"/>
      <c r="CC162" s="268"/>
      <c r="CD162" s="268"/>
      <c r="CE162" s="269"/>
      <c r="CF162" s="269"/>
      <c r="CG162" s="269"/>
      <c r="CH162" s="269"/>
      <c r="CI162" s="269"/>
      <c r="CJ162" s="269"/>
      <c r="CK162" s="269"/>
      <c r="CL162" s="266"/>
    </row>
    <row r="163" spans="1:90" s="270" customFormat="1">
      <c r="A163" s="95"/>
      <c r="B163" s="263"/>
      <c r="C163" s="263"/>
      <c r="D163" s="263"/>
      <c r="E163" s="263"/>
      <c r="F163" s="263"/>
      <c r="G163" s="263"/>
      <c r="H163" s="95"/>
      <c r="I163" s="95"/>
      <c r="J163" s="263"/>
      <c r="K163" s="263"/>
      <c r="L163" s="263"/>
      <c r="M163" s="263"/>
      <c r="N163" s="263"/>
      <c r="O163" s="263"/>
      <c r="P163" s="95"/>
      <c r="Q163" s="95"/>
      <c r="R163" s="95"/>
      <c r="S163" s="95"/>
      <c r="T163" s="95"/>
      <c r="U163" s="95"/>
      <c r="V163" s="95"/>
      <c r="W163" s="95"/>
      <c r="X163" s="95"/>
      <c r="Y163" s="95"/>
      <c r="Z163" s="95"/>
      <c r="AA163" s="95"/>
      <c r="AB163" s="95"/>
      <c r="AC163" s="95"/>
      <c r="AD163" s="95"/>
      <c r="AE163" s="95"/>
      <c r="AF163" s="95"/>
      <c r="AG163" s="95"/>
      <c r="AH163" s="95"/>
      <c r="AI163" s="95"/>
      <c r="AJ163" s="95"/>
      <c r="AK163" s="95"/>
      <c r="AL163" s="95"/>
      <c r="AM163" s="95"/>
      <c r="AN163" s="264"/>
      <c r="AO163" s="95"/>
      <c r="AP163" s="95"/>
      <c r="AQ163" s="95"/>
      <c r="AR163" s="95"/>
      <c r="AS163" s="95"/>
      <c r="AT163" s="95"/>
      <c r="AU163" s="95"/>
      <c r="AV163" s="95"/>
      <c r="AW163" s="95"/>
      <c r="AX163" s="95"/>
      <c r="AY163" s="95"/>
      <c r="AZ163" s="95"/>
      <c r="BA163" s="95"/>
      <c r="BB163" s="95"/>
      <c r="BC163" s="214"/>
      <c r="BD163" s="95"/>
      <c r="BE163" s="95"/>
      <c r="BF163" s="95"/>
      <c r="BG163" s="95"/>
      <c r="BH163" s="95"/>
      <c r="BI163" s="95"/>
      <c r="BJ163" s="95"/>
      <c r="BK163" s="265"/>
      <c r="BL163" s="265"/>
      <c r="BM163" s="265"/>
      <c r="BN163" s="266"/>
      <c r="BO163" s="267"/>
      <c r="BP163" s="268"/>
      <c r="BQ163" s="269"/>
      <c r="BR163" s="269"/>
      <c r="BS163" s="269"/>
      <c r="BT163" s="269"/>
      <c r="BU163" s="269"/>
      <c r="BV163" s="269"/>
      <c r="BW163" s="268"/>
      <c r="BX163" s="269"/>
      <c r="BY163" s="268"/>
      <c r="BZ163" s="268"/>
      <c r="CA163" s="268"/>
      <c r="CB163" s="269"/>
      <c r="CC163" s="268"/>
      <c r="CD163" s="268"/>
      <c r="CE163" s="269"/>
      <c r="CF163" s="269"/>
      <c r="CG163" s="269"/>
      <c r="CH163" s="269"/>
      <c r="CI163" s="269"/>
      <c r="CJ163" s="269"/>
      <c r="CK163" s="269"/>
      <c r="CL163" s="266"/>
    </row>
    <row r="164" spans="1:90" s="270" customFormat="1">
      <c r="A164" s="95"/>
      <c r="B164" s="263"/>
      <c r="C164" s="263"/>
      <c r="D164" s="263"/>
      <c r="E164" s="263"/>
      <c r="F164" s="263"/>
      <c r="G164" s="263"/>
      <c r="H164" s="95"/>
      <c r="I164" s="95"/>
      <c r="J164" s="263"/>
      <c r="K164" s="263"/>
      <c r="L164" s="263"/>
      <c r="M164" s="263"/>
      <c r="N164" s="263"/>
      <c r="O164" s="263"/>
      <c r="P164" s="95"/>
      <c r="Q164" s="95"/>
      <c r="R164" s="95"/>
      <c r="S164" s="95"/>
      <c r="T164" s="95"/>
      <c r="U164" s="95"/>
      <c r="V164" s="95"/>
      <c r="W164" s="95"/>
      <c r="X164" s="95"/>
      <c r="Y164" s="95"/>
      <c r="Z164" s="95"/>
      <c r="AA164" s="95"/>
      <c r="AB164" s="95"/>
      <c r="AC164" s="95"/>
      <c r="AD164" s="95"/>
      <c r="AE164" s="95"/>
      <c r="AF164" s="95"/>
      <c r="AG164" s="95"/>
      <c r="AH164" s="95"/>
      <c r="AI164" s="95"/>
      <c r="AJ164" s="95"/>
      <c r="AK164" s="95"/>
      <c r="AL164" s="95"/>
      <c r="AM164" s="95"/>
      <c r="AN164" s="264"/>
      <c r="AO164" s="95"/>
      <c r="AP164" s="95"/>
      <c r="AQ164" s="95"/>
      <c r="AR164" s="95"/>
      <c r="AS164" s="95"/>
      <c r="AT164" s="95"/>
      <c r="AU164" s="95"/>
      <c r="AV164" s="95"/>
      <c r="AW164" s="95"/>
      <c r="AX164" s="95"/>
      <c r="AY164" s="95"/>
      <c r="AZ164" s="95"/>
      <c r="BA164" s="95"/>
      <c r="BB164" s="95"/>
      <c r="BC164" s="214"/>
      <c r="BD164" s="214"/>
      <c r="BE164" s="95"/>
      <c r="BF164" s="95"/>
      <c r="BG164" s="95"/>
      <c r="BH164" s="95"/>
      <c r="BI164" s="95"/>
      <c r="BJ164" s="95"/>
      <c r="BK164" s="265"/>
      <c r="BL164" s="265"/>
      <c r="BM164" s="265"/>
      <c r="BN164" s="266"/>
      <c r="BO164" s="267"/>
      <c r="BP164" s="268"/>
      <c r="BQ164" s="269"/>
      <c r="BR164" s="269"/>
      <c r="BS164" s="269"/>
      <c r="BT164" s="269"/>
      <c r="BU164" s="269"/>
      <c r="BV164" s="269"/>
      <c r="BW164" s="268"/>
      <c r="BX164" s="269"/>
      <c r="BY164" s="268"/>
      <c r="BZ164" s="268"/>
      <c r="CA164" s="268"/>
      <c r="CB164" s="269"/>
      <c r="CC164" s="268"/>
      <c r="CD164" s="268"/>
      <c r="CE164" s="269"/>
      <c r="CF164" s="269"/>
      <c r="CG164" s="269"/>
      <c r="CH164" s="269"/>
      <c r="CI164" s="269"/>
      <c r="CJ164" s="269"/>
      <c r="CK164" s="269"/>
      <c r="CL164" s="266"/>
    </row>
    <row r="165" spans="1:90" s="270" customFormat="1">
      <c r="A165" s="95"/>
      <c r="B165" s="263"/>
      <c r="C165" s="263"/>
      <c r="D165" s="263"/>
      <c r="E165" s="263"/>
      <c r="F165" s="263"/>
      <c r="G165" s="263"/>
      <c r="H165" s="95"/>
      <c r="I165" s="95"/>
      <c r="J165" s="263"/>
      <c r="K165" s="263"/>
      <c r="L165" s="263"/>
      <c r="M165" s="263"/>
      <c r="N165" s="263"/>
      <c r="O165" s="263"/>
      <c r="P165" s="95"/>
      <c r="Q165" s="95"/>
      <c r="R165" s="95"/>
      <c r="S165" s="95"/>
      <c r="T165" s="95"/>
      <c r="U165" s="95"/>
      <c r="V165" s="95"/>
      <c r="W165" s="95"/>
      <c r="X165" s="95"/>
      <c r="Y165" s="95"/>
      <c r="Z165" s="95"/>
      <c r="AA165" s="95"/>
      <c r="AB165" s="95"/>
      <c r="AC165" s="95"/>
      <c r="AD165" s="95"/>
      <c r="AE165" s="95"/>
      <c r="AF165" s="95"/>
      <c r="AG165" s="95"/>
      <c r="AH165" s="95"/>
      <c r="AI165" s="95"/>
      <c r="AJ165" s="95"/>
      <c r="AK165" s="95"/>
      <c r="AL165" s="95"/>
      <c r="AM165" s="95"/>
      <c r="AN165" s="264"/>
      <c r="AO165" s="95"/>
      <c r="AP165" s="95"/>
      <c r="AQ165" s="95"/>
      <c r="AR165" s="95"/>
      <c r="AS165" s="95"/>
      <c r="AT165" s="95"/>
      <c r="AU165" s="95"/>
      <c r="AV165" s="95"/>
      <c r="AW165" s="95"/>
      <c r="AX165" s="95"/>
      <c r="AY165" s="95"/>
      <c r="AZ165" s="95"/>
      <c r="BA165" s="95"/>
      <c r="BB165" s="95"/>
      <c r="BC165" s="214"/>
      <c r="BD165" s="214"/>
      <c r="BE165" s="95"/>
      <c r="BF165" s="95"/>
      <c r="BG165" s="95"/>
      <c r="BH165" s="95"/>
      <c r="BI165" s="95"/>
      <c r="BJ165" s="95"/>
      <c r="BK165" s="265"/>
      <c r="BL165" s="265"/>
      <c r="BM165" s="265"/>
      <c r="BN165" s="266"/>
      <c r="BO165" s="267"/>
      <c r="BP165" s="268"/>
      <c r="BQ165" s="269"/>
      <c r="BR165" s="269"/>
      <c r="BS165" s="269"/>
      <c r="BT165" s="269"/>
      <c r="BU165" s="269"/>
      <c r="BV165" s="269"/>
      <c r="BW165" s="268"/>
      <c r="BX165" s="269"/>
      <c r="BY165" s="268"/>
      <c r="BZ165" s="268"/>
      <c r="CA165" s="268"/>
      <c r="CB165" s="269"/>
      <c r="CC165" s="268"/>
      <c r="CD165" s="268"/>
      <c r="CE165" s="269"/>
      <c r="CF165" s="269"/>
      <c r="CG165" s="269"/>
      <c r="CH165" s="269"/>
      <c r="CI165" s="269"/>
      <c r="CJ165" s="269"/>
      <c r="CK165" s="269"/>
      <c r="CL165" s="266"/>
    </row>
    <row r="166" spans="1:90" s="270" customFormat="1">
      <c r="A166" s="95"/>
      <c r="B166" s="263"/>
      <c r="C166" s="263"/>
      <c r="D166" s="263"/>
      <c r="E166" s="263"/>
      <c r="F166" s="263"/>
      <c r="G166" s="263"/>
      <c r="H166" s="95"/>
      <c r="I166" s="95"/>
      <c r="J166" s="263"/>
      <c r="K166" s="263"/>
      <c r="L166" s="263"/>
      <c r="M166" s="263"/>
      <c r="N166" s="263"/>
      <c r="O166" s="263"/>
      <c r="P166" s="95"/>
      <c r="Q166" s="95"/>
      <c r="R166" s="95"/>
      <c r="S166" s="95"/>
      <c r="T166" s="95"/>
      <c r="U166" s="95"/>
      <c r="V166" s="95"/>
      <c r="W166" s="95"/>
      <c r="X166" s="95"/>
      <c r="Y166" s="95"/>
      <c r="Z166" s="95"/>
      <c r="AA166" s="95"/>
      <c r="AB166" s="95"/>
      <c r="AC166" s="95"/>
      <c r="AD166" s="95"/>
      <c r="AE166" s="95"/>
      <c r="AF166" s="95"/>
      <c r="AG166" s="95"/>
      <c r="AH166" s="95"/>
      <c r="AI166" s="95"/>
      <c r="AJ166" s="95"/>
      <c r="AK166" s="95"/>
      <c r="AL166" s="95"/>
      <c r="AM166" s="95"/>
      <c r="AN166" s="264"/>
      <c r="AO166" s="95"/>
      <c r="AP166" s="95"/>
      <c r="AQ166" s="95"/>
      <c r="AR166" s="95"/>
      <c r="AS166" s="95"/>
      <c r="AT166" s="95"/>
      <c r="AU166" s="95"/>
      <c r="AV166" s="95"/>
      <c r="AW166" s="95"/>
      <c r="AX166" s="95"/>
      <c r="AY166" s="95"/>
      <c r="AZ166" s="95"/>
      <c r="BA166" s="95"/>
      <c r="BB166" s="95"/>
      <c r="BC166" s="214"/>
      <c r="BD166" s="214"/>
      <c r="BE166" s="95"/>
      <c r="BF166" s="95"/>
      <c r="BG166" s="95"/>
      <c r="BH166" s="95"/>
      <c r="BI166" s="95"/>
      <c r="BJ166" s="95"/>
      <c r="BK166" s="265"/>
      <c r="BL166" s="265"/>
      <c r="BM166" s="265"/>
      <c r="BN166" s="266"/>
      <c r="BO166" s="267"/>
      <c r="BP166" s="268"/>
      <c r="BQ166" s="269"/>
      <c r="BR166" s="269"/>
      <c r="BS166" s="269"/>
      <c r="BT166" s="269"/>
      <c r="BU166" s="269"/>
      <c r="BV166" s="269"/>
      <c r="BW166" s="268"/>
      <c r="BX166" s="269"/>
      <c r="BY166" s="268"/>
      <c r="BZ166" s="268"/>
      <c r="CA166" s="268"/>
      <c r="CB166" s="269"/>
      <c r="CC166" s="268"/>
      <c r="CD166" s="268"/>
      <c r="CE166" s="269"/>
      <c r="CF166" s="269"/>
      <c r="CG166" s="269"/>
      <c r="CH166" s="269"/>
      <c r="CI166" s="269"/>
      <c r="CJ166" s="269"/>
      <c r="CK166" s="269"/>
      <c r="CL166" s="266"/>
    </row>
    <row r="167" spans="1:90" s="270" customFormat="1">
      <c r="A167" s="95"/>
      <c r="B167" s="263"/>
      <c r="C167" s="263"/>
      <c r="D167" s="263"/>
      <c r="E167" s="263"/>
      <c r="F167" s="263"/>
      <c r="G167" s="263"/>
      <c r="H167" s="95"/>
      <c r="I167" s="95"/>
      <c r="J167" s="263"/>
      <c r="K167" s="263"/>
      <c r="L167" s="263"/>
      <c r="M167" s="263"/>
      <c r="N167" s="263"/>
      <c r="O167" s="263"/>
      <c r="P167" s="95"/>
      <c r="Q167" s="95"/>
      <c r="R167" s="95"/>
      <c r="S167" s="95"/>
      <c r="T167" s="95"/>
      <c r="U167" s="95"/>
      <c r="V167" s="95"/>
      <c r="W167" s="95"/>
      <c r="X167" s="95"/>
      <c r="Y167" s="95"/>
      <c r="Z167" s="95"/>
      <c r="AA167" s="95"/>
      <c r="AB167" s="95"/>
      <c r="AC167" s="95"/>
      <c r="AD167" s="95"/>
      <c r="AE167" s="95"/>
      <c r="AF167" s="95"/>
      <c r="AG167" s="95"/>
      <c r="AH167" s="95"/>
      <c r="AI167" s="95"/>
      <c r="AJ167" s="95"/>
      <c r="AK167" s="95"/>
      <c r="AL167" s="95"/>
      <c r="AM167" s="95"/>
      <c r="AN167" s="264"/>
      <c r="AO167" s="95"/>
      <c r="AP167" s="95"/>
      <c r="AQ167" s="95"/>
      <c r="AR167" s="95"/>
      <c r="AS167" s="95"/>
      <c r="AT167" s="95"/>
      <c r="AU167" s="95"/>
      <c r="AV167" s="95"/>
      <c r="AW167" s="95"/>
      <c r="AX167" s="95"/>
      <c r="AY167" s="95"/>
      <c r="AZ167" s="95"/>
      <c r="BA167" s="95"/>
      <c r="BB167" s="95"/>
      <c r="BC167" s="214"/>
      <c r="BD167" s="214"/>
      <c r="BE167" s="95"/>
      <c r="BF167" s="95"/>
      <c r="BG167" s="95"/>
      <c r="BH167" s="95"/>
      <c r="BI167" s="95"/>
      <c r="BJ167" s="95"/>
      <c r="BK167" s="265"/>
      <c r="BL167" s="265"/>
      <c r="BM167" s="265"/>
      <c r="BN167" s="266"/>
      <c r="BO167" s="267"/>
      <c r="BP167" s="268"/>
      <c r="BQ167" s="269"/>
      <c r="BR167" s="269"/>
      <c r="BS167" s="269"/>
      <c r="BT167" s="269"/>
      <c r="BU167" s="269"/>
      <c r="BV167" s="269"/>
      <c r="BW167" s="268"/>
      <c r="BX167" s="269"/>
      <c r="BY167" s="268"/>
      <c r="BZ167" s="268"/>
      <c r="CA167" s="268"/>
      <c r="CB167" s="269"/>
      <c r="CC167" s="268"/>
      <c r="CD167" s="268"/>
      <c r="CE167" s="269"/>
      <c r="CF167" s="269"/>
      <c r="CG167" s="269"/>
      <c r="CH167" s="269"/>
      <c r="CI167" s="269"/>
      <c r="CJ167" s="269"/>
      <c r="CK167" s="269"/>
      <c r="CL167" s="266"/>
    </row>
    <row r="168" spans="1:90" s="270" customFormat="1">
      <c r="A168" s="95"/>
      <c r="B168" s="263"/>
      <c r="C168" s="263"/>
      <c r="D168" s="263"/>
      <c r="E168" s="263"/>
      <c r="F168" s="263"/>
      <c r="G168" s="263"/>
      <c r="H168" s="95"/>
      <c r="I168" s="95"/>
      <c r="J168" s="263"/>
      <c r="K168" s="263"/>
      <c r="L168" s="263"/>
      <c r="M168" s="263"/>
      <c r="N168" s="263"/>
      <c r="O168" s="263"/>
      <c r="P168" s="95"/>
      <c r="Q168" s="95"/>
      <c r="R168" s="95"/>
      <c r="S168" s="95"/>
      <c r="T168" s="95"/>
      <c r="U168" s="95"/>
      <c r="V168" s="95"/>
      <c r="W168" s="95"/>
      <c r="X168" s="95"/>
      <c r="Y168" s="95"/>
      <c r="Z168" s="95"/>
      <c r="AA168" s="95"/>
      <c r="AB168" s="95"/>
      <c r="AC168" s="95"/>
      <c r="AD168" s="95"/>
      <c r="AE168" s="95"/>
      <c r="AF168" s="95"/>
      <c r="AG168" s="95"/>
      <c r="AH168" s="95"/>
      <c r="AI168" s="95"/>
      <c r="AJ168" s="95"/>
      <c r="AK168" s="95"/>
      <c r="AL168" s="95"/>
      <c r="AM168" s="95"/>
      <c r="AN168" s="264"/>
      <c r="AO168" s="95"/>
      <c r="AP168" s="95"/>
      <c r="AQ168" s="95"/>
      <c r="AR168" s="95"/>
      <c r="AS168" s="95"/>
      <c r="AT168" s="95"/>
      <c r="AU168" s="95"/>
      <c r="AV168" s="95"/>
      <c r="AW168" s="95"/>
      <c r="AX168" s="95"/>
      <c r="AY168" s="95"/>
      <c r="AZ168" s="95"/>
      <c r="BA168" s="95"/>
      <c r="BB168" s="95"/>
      <c r="BC168" s="214"/>
      <c r="BD168" s="214"/>
      <c r="BE168" s="95"/>
      <c r="BF168" s="95"/>
      <c r="BG168" s="95"/>
      <c r="BH168" s="95"/>
      <c r="BI168" s="95"/>
      <c r="BJ168" s="95"/>
      <c r="BK168" s="265"/>
      <c r="BL168" s="265"/>
      <c r="BM168" s="265"/>
      <c r="BN168" s="266"/>
      <c r="BO168" s="267"/>
      <c r="BP168" s="268"/>
      <c r="BQ168" s="269"/>
      <c r="BR168" s="269"/>
      <c r="BS168" s="269"/>
      <c r="BT168" s="269"/>
      <c r="BU168" s="269"/>
      <c r="BV168" s="269"/>
      <c r="BW168" s="268"/>
      <c r="BX168" s="269"/>
      <c r="BY168" s="268"/>
      <c r="BZ168" s="268"/>
      <c r="CA168" s="268"/>
      <c r="CB168" s="269"/>
      <c r="CC168" s="268"/>
      <c r="CD168" s="268"/>
      <c r="CE168" s="269"/>
      <c r="CF168" s="269"/>
      <c r="CG168" s="269"/>
      <c r="CH168" s="269"/>
      <c r="CI168" s="269"/>
      <c r="CJ168" s="269"/>
      <c r="CK168" s="269"/>
      <c r="CL168" s="266"/>
    </row>
    <row r="169" spans="1:90" s="270" customFormat="1">
      <c r="A169" s="95"/>
      <c r="B169" s="263"/>
      <c r="C169" s="263"/>
      <c r="D169" s="263"/>
      <c r="E169" s="263"/>
      <c r="F169" s="263"/>
      <c r="G169" s="263"/>
      <c r="H169" s="95"/>
      <c r="I169" s="95"/>
      <c r="J169" s="263"/>
      <c r="K169" s="263"/>
      <c r="L169" s="263"/>
      <c r="M169" s="263"/>
      <c r="N169" s="263"/>
      <c r="O169" s="263"/>
      <c r="P169" s="95"/>
      <c r="Q169" s="95"/>
      <c r="R169" s="95"/>
      <c r="S169" s="95"/>
      <c r="T169" s="95"/>
      <c r="U169" s="95"/>
      <c r="V169" s="95"/>
      <c r="W169" s="95"/>
      <c r="X169" s="95"/>
      <c r="Y169" s="95"/>
      <c r="Z169" s="95"/>
      <c r="AA169" s="95"/>
      <c r="AB169" s="95"/>
      <c r="AC169" s="95"/>
      <c r="AD169" s="95"/>
      <c r="AE169" s="95"/>
      <c r="AF169" s="95"/>
      <c r="AG169" s="95"/>
      <c r="AH169" s="95"/>
      <c r="AI169" s="95"/>
      <c r="AJ169" s="95"/>
      <c r="AK169" s="95"/>
      <c r="AL169" s="95"/>
      <c r="AM169" s="95"/>
      <c r="AN169" s="264"/>
      <c r="AO169" s="95"/>
      <c r="AP169" s="95"/>
      <c r="AQ169" s="95"/>
      <c r="AR169" s="95"/>
      <c r="AS169" s="95"/>
      <c r="AT169" s="95"/>
      <c r="AU169" s="95"/>
      <c r="AV169" s="95"/>
      <c r="AW169" s="95"/>
      <c r="AX169" s="95"/>
      <c r="AY169" s="95"/>
      <c r="AZ169" s="95"/>
      <c r="BA169" s="95"/>
      <c r="BB169" s="95"/>
      <c r="BC169" s="214"/>
      <c r="BD169" s="214"/>
      <c r="BE169" s="95"/>
      <c r="BF169" s="95"/>
      <c r="BG169" s="95"/>
      <c r="BH169" s="95"/>
      <c r="BI169" s="95"/>
      <c r="BJ169" s="95"/>
      <c r="BK169" s="265"/>
      <c r="BL169" s="265"/>
      <c r="BM169" s="265"/>
      <c r="BN169" s="266"/>
      <c r="BO169" s="267"/>
      <c r="BP169" s="268"/>
      <c r="BQ169" s="269"/>
      <c r="BR169" s="269"/>
      <c r="BS169" s="269"/>
      <c r="BT169" s="269"/>
      <c r="BU169" s="269"/>
      <c r="BV169" s="269"/>
      <c r="BW169" s="268"/>
      <c r="BX169" s="269"/>
      <c r="BY169" s="268"/>
      <c r="BZ169" s="268"/>
      <c r="CA169" s="268"/>
      <c r="CB169" s="269"/>
      <c r="CC169" s="268"/>
      <c r="CD169" s="268"/>
      <c r="CE169" s="269"/>
      <c r="CF169" s="269"/>
      <c r="CG169" s="269"/>
      <c r="CH169" s="269"/>
      <c r="CI169" s="269"/>
      <c r="CJ169" s="269"/>
      <c r="CK169" s="269"/>
      <c r="CL169" s="266"/>
    </row>
    <row r="170" spans="1:90" s="270" customFormat="1">
      <c r="A170" s="95"/>
      <c r="B170" s="263"/>
      <c r="C170" s="263"/>
      <c r="D170" s="263"/>
      <c r="E170" s="263"/>
      <c r="F170" s="263"/>
      <c r="G170" s="263"/>
      <c r="H170" s="95"/>
      <c r="I170" s="95"/>
      <c r="J170" s="263"/>
      <c r="K170" s="263"/>
      <c r="L170" s="263"/>
      <c r="M170" s="263"/>
      <c r="N170" s="263"/>
      <c r="O170" s="263"/>
      <c r="P170" s="95"/>
      <c r="Q170" s="95"/>
      <c r="R170" s="95"/>
      <c r="S170" s="95"/>
      <c r="T170" s="95"/>
      <c r="U170" s="95"/>
      <c r="V170" s="95"/>
      <c r="W170" s="95"/>
      <c r="X170" s="95"/>
      <c r="Y170" s="95"/>
      <c r="Z170" s="95"/>
      <c r="AA170" s="95"/>
      <c r="AB170" s="95"/>
      <c r="AC170" s="95"/>
      <c r="AD170" s="95"/>
      <c r="AE170" s="95"/>
      <c r="AF170" s="95"/>
      <c r="AG170" s="95"/>
      <c r="AH170" s="95"/>
      <c r="AI170" s="95"/>
      <c r="AJ170" s="95"/>
      <c r="AK170" s="95"/>
      <c r="AL170" s="95"/>
      <c r="AM170" s="95"/>
      <c r="AN170" s="264"/>
      <c r="AO170" s="95"/>
      <c r="AP170" s="95"/>
      <c r="AQ170" s="95"/>
      <c r="AR170" s="95"/>
      <c r="AS170" s="95"/>
      <c r="AT170" s="95"/>
      <c r="AU170" s="95"/>
      <c r="AV170" s="95"/>
      <c r="AW170" s="95"/>
      <c r="AX170" s="95"/>
      <c r="AY170" s="95"/>
      <c r="AZ170" s="95"/>
      <c r="BA170" s="95"/>
      <c r="BB170" s="95"/>
      <c r="BC170" s="214"/>
      <c r="BD170" s="214"/>
      <c r="BE170" s="95"/>
      <c r="BF170" s="95"/>
      <c r="BG170" s="95"/>
      <c r="BH170" s="95"/>
      <c r="BI170" s="95"/>
      <c r="BJ170" s="95"/>
      <c r="BK170" s="265"/>
      <c r="BL170" s="265"/>
      <c r="BM170" s="265"/>
      <c r="BN170" s="266"/>
      <c r="BO170" s="267"/>
      <c r="BP170" s="268"/>
      <c r="BQ170" s="269"/>
      <c r="BR170" s="269"/>
      <c r="BS170" s="269"/>
      <c r="BT170" s="269"/>
      <c r="BU170" s="269"/>
      <c r="BV170" s="269"/>
      <c r="BW170" s="268"/>
      <c r="BX170" s="269"/>
      <c r="BY170" s="268"/>
      <c r="BZ170" s="268"/>
      <c r="CA170" s="268"/>
      <c r="CB170" s="269"/>
      <c r="CC170" s="268"/>
      <c r="CD170" s="268"/>
      <c r="CE170" s="269"/>
      <c r="CF170" s="269"/>
      <c r="CG170" s="269"/>
      <c r="CH170" s="269"/>
      <c r="CI170" s="269"/>
      <c r="CJ170" s="269"/>
      <c r="CK170" s="269"/>
      <c r="CL170" s="266"/>
    </row>
    <row r="171" spans="1:90" s="270" customFormat="1">
      <c r="A171" s="95"/>
      <c r="B171" s="263"/>
      <c r="C171" s="263"/>
      <c r="D171" s="263"/>
      <c r="E171" s="263"/>
      <c r="F171" s="263"/>
      <c r="G171" s="263"/>
      <c r="H171" s="95"/>
      <c r="I171" s="95"/>
      <c r="J171" s="263"/>
      <c r="K171" s="263"/>
      <c r="L171" s="263"/>
      <c r="M171" s="263"/>
      <c r="N171" s="263"/>
      <c r="O171" s="263"/>
      <c r="P171" s="95"/>
      <c r="Q171" s="95"/>
      <c r="R171" s="95"/>
      <c r="S171" s="95"/>
      <c r="T171" s="95"/>
      <c r="U171" s="95"/>
      <c r="V171" s="95"/>
      <c r="W171" s="95"/>
      <c r="X171" s="95"/>
      <c r="Y171" s="95"/>
      <c r="Z171" s="95"/>
      <c r="AA171" s="95"/>
      <c r="AB171" s="95"/>
      <c r="AC171" s="95"/>
      <c r="AD171" s="95"/>
      <c r="AE171" s="95"/>
      <c r="AF171" s="95"/>
      <c r="AG171" s="95"/>
      <c r="AH171" s="95"/>
      <c r="AI171" s="95"/>
      <c r="AJ171" s="95"/>
      <c r="AK171" s="95"/>
      <c r="AL171" s="95"/>
      <c r="AM171" s="95"/>
      <c r="AN171" s="264"/>
      <c r="AO171" s="95"/>
      <c r="AP171" s="95"/>
      <c r="AQ171" s="95"/>
      <c r="AR171" s="95"/>
      <c r="AS171" s="95"/>
      <c r="AT171" s="95"/>
      <c r="AU171" s="95"/>
      <c r="AV171" s="95"/>
      <c r="AW171" s="95"/>
      <c r="AX171" s="95"/>
      <c r="AY171" s="95"/>
      <c r="AZ171" s="95"/>
      <c r="BA171" s="95"/>
      <c r="BB171" s="95"/>
      <c r="BC171" s="214"/>
      <c r="BD171" s="214"/>
      <c r="BE171" s="95"/>
      <c r="BF171" s="95"/>
      <c r="BG171" s="95"/>
      <c r="BH171" s="95"/>
      <c r="BI171" s="95"/>
      <c r="BJ171" s="95"/>
      <c r="BK171" s="265"/>
      <c r="BL171" s="265"/>
      <c r="BM171" s="265"/>
      <c r="BN171" s="266"/>
      <c r="BO171" s="267"/>
      <c r="BP171" s="268"/>
      <c r="BQ171" s="269"/>
      <c r="BR171" s="269"/>
      <c r="BS171" s="269"/>
      <c r="BT171" s="269"/>
      <c r="BU171" s="269"/>
      <c r="BV171" s="269"/>
      <c r="BW171" s="268"/>
      <c r="BX171" s="269"/>
      <c r="BY171" s="268"/>
      <c r="BZ171" s="268"/>
      <c r="CA171" s="268"/>
      <c r="CB171" s="269"/>
      <c r="CC171" s="268"/>
      <c r="CD171" s="268"/>
      <c r="CE171" s="269"/>
      <c r="CF171" s="269"/>
      <c r="CG171" s="269"/>
      <c r="CH171" s="269"/>
      <c r="CI171" s="269"/>
      <c r="CJ171" s="269"/>
      <c r="CK171" s="269"/>
      <c r="CL171" s="266"/>
    </row>
    <row r="172" spans="1:90" s="270" customFormat="1">
      <c r="A172" s="95"/>
      <c r="B172" s="263"/>
      <c r="C172" s="263"/>
      <c r="D172" s="263"/>
      <c r="E172" s="263"/>
      <c r="F172" s="263"/>
      <c r="G172" s="263"/>
      <c r="H172" s="95"/>
      <c r="I172" s="95"/>
      <c r="J172" s="263"/>
      <c r="K172" s="263"/>
      <c r="L172" s="263"/>
      <c r="M172" s="263"/>
      <c r="N172" s="263"/>
      <c r="O172" s="263"/>
      <c r="P172" s="95"/>
      <c r="Q172" s="95"/>
      <c r="R172" s="95"/>
      <c r="S172" s="95"/>
      <c r="T172" s="95"/>
      <c r="U172" s="95"/>
      <c r="V172" s="95"/>
      <c r="W172" s="95"/>
      <c r="X172" s="95"/>
      <c r="Y172" s="95"/>
      <c r="Z172" s="95"/>
      <c r="AA172" s="95"/>
      <c r="AB172" s="95"/>
      <c r="AC172" s="95"/>
      <c r="AD172" s="95"/>
      <c r="AE172" s="95"/>
      <c r="AF172" s="95"/>
      <c r="AG172" s="95"/>
      <c r="AH172" s="95"/>
      <c r="AI172" s="95"/>
      <c r="AJ172" s="95"/>
      <c r="AK172" s="95"/>
      <c r="AL172" s="95"/>
      <c r="AM172" s="95"/>
      <c r="AN172" s="264"/>
      <c r="AO172" s="95"/>
      <c r="AP172" s="95"/>
      <c r="AQ172" s="95"/>
      <c r="AR172" s="95"/>
      <c r="AS172" s="95"/>
      <c r="AT172" s="95"/>
      <c r="AU172" s="95"/>
      <c r="AV172" s="95"/>
      <c r="AW172" s="95"/>
      <c r="AX172" s="95"/>
      <c r="AY172" s="95"/>
      <c r="AZ172" s="95"/>
      <c r="BA172" s="95"/>
      <c r="BB172" s="95"/>
      <c r="BC172" s="214"/>
      <c r="BD172" s="214"/>
      <c r="BE172" s="95"/>
      <c r="BF172" s="95"/>
      <c r="BG172" s="95"/>
      <c r="BH172" s="95"/>
      <c r="BI172" s="95"/>
      <c r="BJ172" s="95"/>
      <c r="BK172" s="265"/>
      <c r="BL172" s="265"/>
      <c r="BM172" s="265"/>
      <c r="BN172" s="266"/>
      <c r="BO172" s="267"/>
      <c r="BP172" s="268"/>
      <c r="BQ172" s="269"/>
      <c r="BR172" s="269"/>
      <c r="BS172" s="269"/>
      <c r="BT172" s="269"/>
      <c r="BU172" s="269"/>
      <c r="BV172" s="269"/>
      <c r="BW172" s="268"/>
      <c r="BX172" s="269"/>
      <c r="BY172" s="268"/>
      <c r="BZ172" s="268"/>
      <c r="CA172" s="268"/>
      <c r="CB172" s="269"/>
      <c r="CC172" s="268"/>
      <c r="CD172" s="268"/>
      <c r="CE172" s="269"/>
      <c r="CF172" s="269"/>
      <c r="CG172" s="269"/>
      <c r="CH172" s="269"/>
      <c r="CI172" s="269"/>
      <c r="CJ172" s="269"/>
      <c r="CK172" s="269"/>
      <c r="CL172" s="266"/>
    </row>
    <row r="173" spans="1:90" s="270" customFormat="1">
      <c r="A173" s="95"/>
      <c r="B173" s="263"/>
      <c r="C173" s="263"/>
      <c r="D173" s="263"/>
      <c r="E173" s="263"/>
      <c r="F173" s="263"/>
      <c r="G173" s="263"/>
      <c r="H173" s="95"/>
      <c r="I173" s="95"/>
      <c r="J173" s="263"/>
      <c r="K173" s="263"/>
      <c r="L173" s="263"/>
      <c r="M173" s="263"/>
      <c r="N173" s="263"/>
      <c r="O173" s="263"/>
      <c r="P173" s="95"/>
      <c r="Q173" s="95"/>
      <c r="R173" s="95"/>
      <c r="S173" s="95"/>
      <c r="T173" s="95"/>
      <c r="U173" s="95"/>
      <c r="V173" s="95"/>
      <c r="W173" s="95"/>
      <c r="X173" s="95"/>
      <c r="Y173" s="95"/>
      <c r="Z173" s="95"/>
      <c r="AA173" s="95"/>
      <c r="AB173" s="95"/>
      <c r="AC173" s="95"/>
      <c r="AD173" s="95"/>
      <c r="AE173" s="95"/>
      <c r="AF173" s="95"/>
      <c r="AG173" s="95"/>
      <c r="AH173" s="95"/>
      <c r="AI173" s="95"/>
      <c r="AJ173" s="95"/>
      <c r="AK173" s="95"/>
      <c r="AL173" s="95"/>
      <c r="AM173" s="95"/>
      <c r="AN173" s="264"/>
      <c r="AO173" s="95"/>
      <c r="AP173" s="95"/>
      <c r="AQ173" s="95"/>
      <c r="AR173" s="95"/>
      <c r="AS173" s="95"/>
      <c r="AT173" s="95"/>
      <c r="AU173" s="95"/>
      <c r="AV173" s="95"/>
      <c r="AW173" s="95"/>
      <c r="AX173" s="95"/>
      <c r="AY173" s="95"/>
      <c r="AZ173" s="95"/>
      <c r="BA173" s="95"/>
      <c r="BB173" s="95"/>
      <c r="BC173" s="214"/>
      <c r="BD173" s="214"/>
      <c r="BE173" s="95"/>
      <c r="BF173" s="95"/>
      <c r="BG173" s="95"/>
      <c r="BH173" s="95"/>
      <c r="BI173" s="95"/>
      <c r="BJ173" s="95"/>
      <c r="BK173" s="265"/>
      <c r="BL173" s="265"/>
      <c r="BM173" s="265"/>
      <c r="BN173" s="266"/>
      <c r="BO173" s="267"/>
      <c r="BP173" s="268"/>
      <c r="BQ173" s="269"/>
      <c r="BR173" s="269"/>
      <c r="BS173" s="269"/>
      <c r="BT173" s="269"/>
      <c r="BU173" s="269"/>
      <c r="BV173" s="269"/>
      <c r="BW173" s="268"/>
      <c r="BX173" s="269"/>
      <c r="BY173" s="268"/>
      <c r="BZ173" s="268"/>
      <c r="CA173" s="268"/>
      <c r="CB173" s="269"/>
      <c r="CC173" s="268"/>
      <c r="CD173" s="268"/>
      <c r="CE173" s="269"/>
      <c r="CF173" s="269"/>
      <c r="CG173" s="269"/>
      <c r="CH173" s="269"/>
      <c r="CI173" s="269"/>
      <c r="CJ173" s="269"/>
      <c r="CK173" s="269"/>
      <c r="CL173" s="266"/>
    </row>
    <row r="174" spans="1:90" s="270" customFormat="1">
      <c r="A174" s="95"/>
      <c r="B174" s="263"/>
      <c r="C174" s="263"/>
      <c r="D174" s="263"/>
      <c r="E174" s="263"/>
      <c r="F174" s="263"/>
      <c r="G174" s="263"/>
      <c r="H174" s="95"/>
      <c r="I174" s="95"/>
      <c r="J174" s="263"/>
      <c r="K174" s="263"/>
      <c r="L174" s="263"/>
      <c r="M174" s="263"/>
      <c r="N174" s="263"/>
      <c r="O174" s="263"/>
      <c r="P174" s="95"/>
      <c r="Q174" s="95"/>
      <c r="R174" s="95"/>
      <c r="S174" s="95"/>
      <c r="T174" s="95"/>
      <c r="U174" s="95"/>
      <c r="V174" s="95"/>
      <c r="W174" s="95"/>
      <c r="X174" s="95"/>
      <c r="Y174" s="95"/>
      <c r="Z174" s="95"/>
      <c r="AA174" s="95"/>
      <c r="AB174" s="95"/>
      <c r="AC174" s="95"/>
      <c r="AD174" s="95"/>
      <c r="AE174" s="95"/>
      <c r="AF174" s="95"/>
      <c r="AG174" s="95"/>
      <c r="AH174" s="95"/>
      <c r="AI174" s="95"/>
      <c r="AJ174" s="95"/>
      <c r="AK174" s="95"/>
      <c r="AL174" s="95"/>
      <c r="AM174" s="95"/>
      <c r="AN174" s="264"/>
      <c r="AO174" s="95"/>
      <c r="AP174" s="95"/>
      <c r="AQ174" s="95"/>
      <c r="AR174" s="95"/>
      <c r="AS174" s="95"/>
      <c r="AT174" s="95"/>
      <c r="AU174" s="95"/>
      <c r="AV174" s="95"/>
      <c r="AW174" s="95"/>
      <c r="AX174" s="95"/>
      <c r="AY174" s="95"/>
      <c r="AZ174" s="95"/>
      <c r="BA174" s="95"/>
      <c r="BB174" s="95"/>
      <c r="BC174" s="214"/>
      <c r="BD174" s="214"/>
      <c r="BE174" s="95"/>
      <c r="BF174" s="95"/>
      <c r="BG174" s="95"/>
      <c r="BH174" s="95"/>
      <c r="BI174" s="95"/>
      <c r="BJ174" s="95"/>
      <c r="BK174" s="265"/>
      <c r="BL174" s="265"/>
      <c r="BM174" s="265"/>
      <c r="BN174" s="266"/>
      <c r="BO174" s="267"/>
      <c r="BP174" s="268"/>
      <c r="BQ174" s="269"/>
      <c r="BR174" s="269"/>
      <c r="BS174" s="269"/>
      <c r="BT174" s="269"/>
      <c r="BU174" s="269"/>
      <c r="BV174" s="269"/>
      <c r="BW174" s="268"/>
      <c r="BX174" s="269"/>
      <c r="BY174" s="268"/>
      <c r="BZ174" s="268"/>
      <c r="CA174" s="268"/>
      <c r="CB174" s="269"/>
      <c r="CC174" s="268"/>
      <c r="CD174" s="268"/>
      <c r="CE174" s="269"/>
      <c r="CF174" s="269"/>
      <c r="CG174" s="269"/>
      <c r="CH174" s="269"/>
      <c r="CI174" s="269"/>
      <c r="CJ174" s="269"/>
      <c r="CK174" s="269"/>
      <c r="CL174" s="266"/>
    </row>
    <row r="175" spans="1:90" s="270" customFormat="1">
      <c r="A175" s="95"/>
      <c r="B175" s="263"/>
      <c r="C175" s="263"/>
      <c r="D175" s="263"/>
      <c r="E175" s="263"/>
      <c r="F175" s="263"/>
      <c r="G175" s="263"/>
      <c r="H175" s="95"/>
      <c r="I175" s="95"/>
      <c r="J175" s="263"/>
      <c r="K175" s="263"/>
      <c r="L175" s="263"/>
      <c r="M175" s="263"/>
      <c r="N175" s="263"/>
      <c r="O175" s="263"/>
      <c r="P175" s="95"/>
      <c r="Q175" s="95"/>
      <c r="R175" s="95"/>
      <c r="S175" s="95"/>
      <c r="T175" s="95"/>
      <c r="U175" s="95"/>
      <c r="V175" s="95"/>
      <c r="W175" s="95"/>
      <c r="X175" s="95"/>
      <c r="Y175" s="95"/>
      <c r="Z175" s="95"/>
      <c r="AA175" s="95"/>
      <c r="AB175" s="95"/>
      <c r="AC175" s="95"/>
      <c r="AD175" s="95"/>
      <c r="AE175" s="95"/>
      <c r="AF175" s="95"/>
      <c r="AG175" s="95"/>
      <c r="AH175" s="95"/>
      <c r="AI175" s="95"/>
      <c r="AJ175" s="95"/>
      <c r="AK175" s="95"/>
      <c r="AL175" s="95"/>
      <c r="AM175" s="95"/>
      <c r="AN175" s="264"/>
      <c r="AO175" s="95"/>
      <c r="AP175" s="95"/>
      <c r="AQ175" s="95"/>
      <c r="AR175" s="95"/>
      <c r="AS175" s="95"/>
      <c r="AT175" s="95"/>
      <c r="AU175" s="95"/>
      <c r="AV175" s="95"/>
      <c r="AW175" s="95"/>
      <c r="AX175" s="95"/>
      <c r="AY175" s="95"/>
      <c r="AZ175" s="95"/>
      <c r="BA175" s="95"/>
      <c r="BB175" s="95"/>
      <c r="BC175" s="214"/>
      <c r="BD175" s="95"/>
      <c r="BE175" s="95"/>
      <c r="BF175" s="95"/>
      <c r="BG175" s="95"/>
      <c r="BH175" s="95"/>
      <c r="BI175" s="95"/>
      <c r="BJ175" s="95"/>
      <c r="BK175" s="265"/>
      <c r="BL175" s="265"/>
      <c r="BM175" s="265"/>
      <c r="BN175" s="266"/>
      <c r="BO175" s="267"/>
      <c r="BP175" s="268"/>
      <c r="BQ175" s="269"/>
      <c r="BR175" s="269"/>
      <c r="BS175" s="269"/>
      <c r="BT175" s="269"/>
      <c r="BU175" s="269"/>
      <c r="BV175" s="269"/>
      <c r="BW175" s="268"/>
      <c r="BX175" s="269"/>
      <c r="BY175" s="268"/>
      <c r="BZ175" s="268"/>
      <c r="CA175" s="268"/>
      <c r="CB175" s="269"/>
      <c r="CC175" s="268"/>
      <c r="CD175" s="268"/>
      <c r="CE175" s="269"/>
      <c r="CF175" s="269"/>
      <c r="CG175" s="269"/>
      <c r="CH175" s="269"/>
      <c r="CI175" s="269"/>
      <c r="CJ175" s="269"/>
      <c r="CK175" s="269"/>
      <c r="CL175" s="266"/>
    </row>
    <row r="176" spans="1:90" s="270" customFormat="1">
      <c r="A176" s="95"/>
      <c r="B176" s="263"/>
      <c r="C176" s="263"/>
      <c r="D176" s="263"/>
      <c r="E176" s="263"/>
      <c r="F176" s="263"/>
      <c r="G176" s="263"/>
      <c r="H176" s="95"/>
      <c r="I176" s="95"/>
      <c r="J176" s="263"/>
      <c r="K176" s="263"/>
      <c r="L176" s="263"/>
      <c r="M176" s="263"/>
      <c r="N176" s="263"/>
      <c r="O176" s="263"/>
      <c r="P176" s="95"/>
      <c r="Q176" s="95"/>
      <c r="R176" s="95"/>
      <c r="S176" s="95"/>
      <c r="T176" s="95"/>
      <c r="U176" s="95"/>
      <c r="V176" s="95"/>
      <c r="W176" s="95"/>
      <c r="X176" s="95"/>
      <c r="Y176" s="95"/>
      <c r="Z176" s="95"/>
      <c r="AA176" s="95"/>
      <c r="AB176" s="95"/>
      <c r="AC176" s="95"/>
      <c r="AD176" s="95"/>
      <c r="AE176" s="95"/>
      <c r="AF176" s="95"/>
      <c r="AG176" s="95"/>
      <c r="AH176" s="95"/>
      <c r="AI176" s="95"/>
      <c r="AJ176" s="95"/>
      <c r="AK176" s="95"/>
      <c r="AL176" s="95"/>
      <c r="AM176" s="95"/>
      <c r="AN176" s="264"/>
      <c r="AO176" s="95"/>
      <c r="AP176" s="95"/>
      <c r="AQ176" s="95"/>
      <c r="AR176" s="95"/>
      <c r="AS176" s="95"/>
      <c r="AT176" s="95"/>
      <c r="AU176" s="95"/>
      <c r="AV176" s="95"/>
      <c r="AW176" s="95"/>
      <c r="AX176" s="95"/>
      <c r="AY176" s="95"/>
      <c r="AZ176" s="95"/>
      <c r="BA176" s="95"/>
      <c r="BB176" s="95"/>
      <c r="BC176" s="214"/>
      <c r="BD176" s="95"/>
      <c r="BE176" s="95"/>
      <c r="BF176" s="95"/>
      <c r="BG176" s="95"/>
      <c r="BH176" s="95"/>
      <c r="BI176" s="95"/>
      <c r="BJ176" s="95"/>
      <c r="BK176" s="265"/>
      <c r="BL176" s="265"/>
      <c r="BM176" s="265"/>
      <c r="BN176" s="266"/>
      <c r="BO176" s="267"/>
      <c r="BP176" s="268"/>
      <c r="BQ176" s="269"/>
      <c r="BR176" s="269"/>
      <c r="BS176" s="269"/>
      <c r="BT176" s="269"/>
      <c r="BU176" s="269"/>
      <c r="BV176" s="269"/>
      <c r="BW176" s="268"/>
      <c r="BX176" s="269"/>
      <c r="BY176" s="268"/>
      <c r="BZ176" s="268"/>
      <c r="CA176" s="268"/>
      <c r="CB176" s="269"/>
      <c r="CC176" s="268"/>
      <c r="CD176" s="268"/>
      <c r="CE176" s="269"/>
      <c r="CF176" s="269"/>
      <c r="CG176" s="269"/>
      <c r="CH176" s="269"/>
      <c r="CI176" s="269"/>
      <c r="CJ176" s="269"/>
      <c r="CK176" s="269"/>
      <c r="CL176" s="266"/>
    </row>
    <row r="177" spans="1:90" s="270" customFormat="1">
      <c r="A177" s="95"/>
      <c r="B177" s="263"/>
      <c r="C177" s="263"/>
      <c r="D177" s="263"/>
      <c r="E177" s="263"/>
      <c r="F177" s="263"/>
      <c r="G177" s="263"/>
      <c r="H177" s="95"/>
      <c r="I177" s="95"/>
      <c r="J177" s="263"/>
      <c r="K177" s="263"/>
      <c r="L177" s="263"/>
      <c r="M177" s="263"/>
      <c r="N177" s="263"/>
      <c r="O177" s="263"/>
      <c r="P177" s="95"/>
      <c r="Q177" s="95"/>
      <c r="R177" s="95"/>
      <c r="S177" s="95"/>
      <c r="T177" s="95"/>
      <c r="U177" s="95"/>
      <c r="V177" s="95"/>
      <c r="W177" s="95"/>
      <c r="X177" s="95"/>
      <c r="Y177" s="95"/>
      <c r="Z177" s="95"/>
      <c r="AA177" s="95"/>
      <c r="AB177" s="95"/>
      <c r="AC177" s="95"/>
      <c r="AD177" s="95"/>
      <c r="AE177" s="95"/>
      <c r="AF177" s="95"/>
      <c r="AG177" s="95"/>
      <c r="AH177" s="95"/>
      <c r="AI177" s="95"/>
      <c r="AJ177" s="95"/>
      <c r="AK177" s="95"/>
      <c r="AL177" s="95"/>
      <c r="AM177" s="95"/>
      <c r="AN177" s="264"/>
      <c r="AO177" s="95"/>
      <c r="AP177" s="95"/>
      <c r="AQ177" s="95"/>
      <c r="AR177" s="95"/>
      <c r="AS177" s="95"/>
      <c r="AT177" s="95"/>
      <c r="AU177" s="95"/>
      <c r="AV177" s="95"/>
      <c r="AW177" s="95"/>
      <c r="AX177" s="95"/>
      <c r="AY177" s="95"/>
      <c r="AZ177" s="95"/>
      <c r="BA177" s="95"/>
      <c r="BB177" s="95"/>
      <c r="BC177" s="214"/>
      <c r="BD177" s="95"/>
      <c r="BE177" s="95"/>
      <c r="BF177" s="95"/>
      <c r="BG177" s="95"/>
      <c r="BH177" s="95"/>
      <c r="BI177" s="95"/>
      <c r="BJ177" s="95"/>
      <c r="BK177" s="265"/>
      <c r="BL177" s="265"/>
      <c r="BM177" s="265"/>
      <c r="BN177" s="266"/>
      <c r="BO177" s="267"/>
      <c r="BP177" s="268"/>
      <c r="BQ177" s="269"/>
      <c r="BR177" s="269"/>
      <c r="BS177" s="269"/>
      <c r="BT177" s="269"/>
      <c r="BU177" s="269"/>
      <c r="BV177" s="269"/>
      <c r="BW177" s="268"/>
      <c r="BX177" s="269"/>
      <c r="BY177" s="268"/>
      <c r="BZ177" s="268"/>
      <c r="CA177" s="268"/>
      <c r="CB177" s="269"/>
      <c r="CC177" s="268"/>
      <c r="CD177" s="268"/>
      <c r="CE177" s="269"/>
      <c r="CF177" s="269"/>
      <c r="CG177" s="269"/>
      <c r="CH177" s="269"/>
      <c r="CI177" s="269"/>
      <c r="CJ177" s="269"/>
      <c r="CK177" s="269"/>
      <c r="CL177" s="266"/>
    </row>
    <row r="178" spans="1:90" s="270" customFormat="1">
      <c r="A178" s="95"/>
      <c r="B178" s="263"/>
      <c r="C178" s="263"/>
      <c r="D178" s="263"/>
      <c r="E178" s="263"/>
      <c r="F178" s="263"/>
      <c r="G178" s="263"/>
      <c r="H178" s="95"/>
      <c r="I178" s="95"/>
      <c r="J178" s="263"/>
      <c r="K178" s="263"/>
      <c r="L178" s="263"/>
      <c r="M178" s="263"/>
      <c r="N178" s="263"/>
      <c r="O178" s="263"/>
      <c r="P178" s="95"/>
      <c r="Q178" s="95"/>
      <c r="R178" s="95"/>
      <c r="S178" s="95"/>
      <c r="T178" s="95"/>
      <c r="U178" s="95"/>
      <c r="V178" s="95"/>
      <c r="W178" s="95"/>
      <c r="X178" s="95"/>
      <c r="Y178" s="95"/>
      <c r="Z178" s="95"/>
      <c r="AA178" s="95"/>
      <c r="AB178" s="95"/>
      <c r="AC178" s="95"/>
      <c r="AD178" s="95"/>
      <c r="AE178" s="95"/>
      <c r="AF178" s="95"/>
      <c r="AG178" s="95"/>
      <c r="AH178" s="95"/>
      <c r="AI178" s="95"/>
      <c r="AJ178" s="95"/>
      <c r="AK178" s="95"/>
      <c r="AL178" s="95"/>
      <c r="AM178" s="95"/>
      <c r="AN178" s="264"/>
      <c r="AO178" s="95"/>
      <c r="AP178" s="95"/>
      <c r="AQ178" s="95"/>
      <c r="AR178" s="95"/>
      <c r="AS178" s="95"/>
      <c r="AT178" s="95"/>
      <c r="AU178" s="95"/>
      <c r="AV178" s="95"/>
      <c r="AW178" s="95"/>
      <c r="AX178" s="95"/>
      <c r="AY178" s="95"/>
      <c r="AZ178" s="95"/>
      <c r="BA178" s="95"/>
      <c r="BB178" s="95"/>
      <c r="BC178" s="214"/>
      <c r="BD178" s="95"/>
      <c r="BE178" s="95"/>
      <c r="BF178" s="95"/>
      <c r="BG178" s="95"/>
      <c r="BH178" s="95"/>
      <c r="BI178" s="95"/>
      <c r="BJ178" s="95"/>
      <c r="BK178" s="265"/>
      <c r="BL178" s="265"/>
      <c r="BM178" s="265"/>
      <c r="BN178" s="266"/>
      <c r="BO178" s="267"/>
      <c r="BP178" s="268"/>
      <c r="BQ178" s="269"/>
      <c r="BR178" s="269"/>
      <c r="BS178" s="269"/>
      <c r="BT178" s="269"/>
      <c r="BU178" s="269"/>
      <c r="BV178" s="269"/>
      <c r="BW178" s="268"/>
      <c r="BX178" s="269"/>
      <c r="BY178" s="268"/>
      <c r="BZ178" s="268"/>
      <c r="CA178" s="268"/>
      <c r="CB178" s="269"/>
      <c r="CC178" s="268"/>
      <c r="CD178" s="268"/>
      <c r="CE178" s="269"/>
      <c r="CF178" s="269"/>
      <c r="CG178" s="269"/>
      <c r="CH178" s="269"/>
      <c r="CI178" s="269"/>
      <c r="CJ178" s="269"/>
      <c r="CK178" s="269"/>
      <c r="CL178" s="266"/>
    </row>
    <row r="179" spans="1:90" s="270" customFormat="1">
      <c r="A179" s="95"/>
      <c r="B179" s="263"/>
      <c r="C179" s="263"/>
      <c r="D179" s="263"/>
      <c r="E179" s="263"/>
      <c r="F179" s="263"/>
      <c r="G179" s="263"/>
      <c r="H179" s="95"/>
      <c r="I179" s="95"/>
      <c r="J179" s="263"/>
      <c r="K179" s="263"/>
      <c r="L179" s="263"/>
      <c r="M179" s="263"/>
      <c r="N179" s="263"/>
      <c r="O179" s="263"/>
      <c r="P179" s="95"/>
      <c r="Q179" s="95"/>
      <c r="R179" s="95"/>
      <c r="S179" s="95"/>
      <c r="T179" s="95"/>
      <c r="U179" s="95"/>
      <c r="V179" s="95"/>
      <c r="W179" s="95"/>
      <c r="X179" s="95"/>
      <c r="Y179" s="95"/>
      <c r="Z179" s="95"/>
      <c r="AA179" s="95"/>
      <c r="AB179" s="95"/>
      <c r="AC179" s="95"/>
      <c r="AD179" s="95"/>
      <c r="AE179" s="95"/>
      <c r="AF179" s="95"/>
      <c r="AG179" s="95"/>
      <c r="AH179" s="95"/>
      <c r="AI179" s="95"/>
      <c r="AJ179" s="95"/>
      <c r="AK179" s="95"/>
      <c r="AL179" s="95"/>
      <c r="AM179" s="95"/>
      <c r="AN179" s="264"/>
      <c r="AO179" s="95"/>
      <c r="AP179" s="95"/>
      <c r="AQ179" s="95"/>
      <c r="AR179" s="95"/>
      <c r="AS179" s="95"/>
      <c r="AT179" s="95"/>
      <c r="AU179" s="95"/>
      <c r="AV179" s="95"/>
      <c r="AW179" s="95"/>
      <c r="AX179" s="95"/>
      <c r="AY179" s="95"/>
      <c r="AZ179" s="95"/>
      <c r="BA179" s="95"/>
      <c r="BB179" s="95"/>
      <c r="BC179" s="214"/>
      <c r="BD179" s="95"/>
      <c r="BE179" s="95"/>
      <c r="BF179" s="95"/>
      <c r="BG179" s="95"/>
      <c r="BH179" s="95"/>
      <c r="BI179" s="95"/>
      <c r="BJ179" s="95"/>
      <c r="BK179" s="265"/>
      <c r="BL179" s="265"/>
      <c r="BM179" s="265"/>
      <c r="BN179" s="266"/>
      <c r="BO179" s="267"/>
      <c r="BP179" s="268"/>
      <c r="BQ179" s="269"/>
      <c r="BR179" s="269"/>
      <c r="BS179" s="269"/>
      <c r="BT179" s="269"/>
      <c r="BU179" s="269"/>
      <c r="BV179" s="269"/>
      <c r="BW179" s="268"/>
      <c r="BX179" s="269"/>
      <c r="BY179" s="268"/>
      <c r="BZ179" s="268"/>
      <c r="CA179" s="268"/>
      <c r="CB179" s="269"/>
      <c r="CC179" s="268"/>
      <c r="CD179" s="268"/>
      <c r="CE179" s="269"/>
      <c r="CF179" s="269"/>
      <c r="CG179" s="269"/>
      <c r="CH179" s="269"/>
      <c r="CI179" s="269"/>
      <c r="CJ179" s="269"/>
      <c r="CK179" s="269"/>
      <c r="CL179" s="266"/>
    </row>
    <row r="180" spans="1:90" s="270" customFormat="1">
      <c r="A180" s="95"/>
      <c r="B180" s="263"/>
      <c r="C180" s="263"/>
      <c r="D180" s="263"/>
      <c r="E180" s="263"/>
      <c r="F180" s="263"/>
      <c r="G180" s="263"/>
      <c r="H180" s="95"/>
      <c r="I180" s="95"/>
      <c r="J180" s="263"/>
      <c r="K180" s="263"/>
      <c r="L180" s="263"/>
      <c r="M180" s="263"/>
      <c r="N180" s="263"/>
      <c r="O180" s="263"/>
      <c r="P180" s="95"/>
      <c r="Q180" s="95"/>
      <c r="R180" s="95"/>
      <c r="S180" s="95"/>
      <c r="T180" s="95"/>
      <c r="U180" s="95"/>
      <c r="V180" s="95"/>
      <c r="W180" s="95"/>
      <c r="X180" s="95"/>
      <c r="Y180" s="95"/>
      <c r="Z180" s="95"/>
      <c r="AA180" s="95"/>
      <c r="AB180" s="95"/>
      <c r="AC180" s="95"/>
      <c r="AD180" s="95"/>
      <c r="AE180" s="95"/>
      <c r="AF180" s="95"/>
      <c r="AG180" s="95"/>
      <c r="AH180" s="95"/>
      <c r="AI180" s="95"/>
      <c r="AJ180" s="95"/>
      <c r="AK180" s="95"/>
      <c r="AL180" s="95"/>
      <c r="AM180" s="95"/>
      <c r="AN180" s="264"/>
      <c r="AO180" s="95"/>
      <c r="AP180" s="95"/>
      <c r="AQ180" s="95"/>
      <c r="AR180" s="95"/>
      <c r="AS180" s="95"/>
      <c r="AT180" s="95"/>
      <c r="AU180" s="95"/>
      <c r="AV180" s="95"/>
      <c r="AW180" s="95"/>
      <c r="AX180" s="95"/>
      <c r="AY180" s="95"/>
      <c r="AZ180" s="95"/>
      <c r="BA180" s="95"/>
      <c r="BB180" s="95"/>
      <c r="BC180" s="214"/>
      <c r="BD180" s="95"/>
      <c r="BE180" s="95"/>
      <c r="BF180" s="95"/>
      <c r="BG180" s="95"/>
      <c r="BH180" s="95"/>
      <c r="BI180" s="95"/>
      <c r="BJ180" s="95"/>
      <c r="BK180" s="265"/>
      <c r="BL180" s="265"/>
      <c r="BM180" s="265"/>
      <c r="BN180" s="266"/>
      <c r="BO180" s="267"/>
      <c r="BP180" s="268"/>
      <c r="BQ180" s="269"/>
      <c r="BR180" s="269"/>
      <c r="BS180" s="269"/>
      <c r="BT180" s="269"/>
      <c r="BU180" s="269"/>
      <c r="BV180" s="269"/>
      <c r="BW180" s="268"/>
      <c r="BX180" s="269"/>
      <c r="BY180" s="268"/>
      <c r="BZ180" s="268"/>
      <c r="CA180" s="268"/>
      <c r="CB180" s="269"/>
      <c r="CC180" s="268"/>
      <c r="CD180" s="268"/>
      <c r="CE180" s="269"/>
      <c r="CF180" s="269"/>
      <c r="CG180" s="269"/>
      <c r="CH180" s="269"/>
      <c r="CI180" s="269"/>
      <c r="CJ180" s="269"/>
      <c r="CK180" s="269"/>
      <c r="CL180" s="266"/>
    </row>
    <row r="181" spans="1:90" s="270" customFormat="1">
      <c r="A181" s="95"/>
      <c r="B181" s="263"/>
      <c r="C181" s="263"/>
      <c r="D181" s="263"/>
      <c r="E181" s="263"/>
      <c r="F181" s="263"/>
      <c r="G181" s="263"/>
      <c r="H181" s="95"/>
      <c r="I181" s="95"/>
      <c r="J181" s="263"/>
      <c r="K181" s="263"/>
      <c r="L181" s="263"/>
      <c r="M181" s="263"/>
      <c r="N181" s="263"/>
      <c r="O181" s="263"/>
      <c r="P181" s="95"/>
      <c r="Q181" s="95"/>
      <c r="R181" s="95"/>
      <c r="S181" s="95"/>
      <c r="T181" s="95"/>
      <c r="U181" s="95"/>
      <c r="V181" s="95"/>
      <c r="W181" s="95"/>
      <c r="X181" s="95"/>
      <c r="Y181" s="95"/>
      <c r="Z181" s="95"/>
      <c r="AA181" s="95"/>
      <c r="AB181" s="95"/>
      <c r="AC181" s="95"/>
      <c r="AD181" s="95"/>
      <c r="AE181" s="95"/>
      <c r="AF181" s="95"/>
      <c r="AG181" s="95"/>
      <c r="AH181" s="95"/>
      <c r="AI181" s="95"/>
      <c r="AJ181" s="95"/>
      <c r="AK181" s="95"/>
      <c r="AL181" s="95"/>
      <c r="AM181" s="95"/>
      <c r="AN181" s="264"/>
      <c r="AO181" s="95"/>
      <c r="AP181" s="95"/>
      <c r="AQ181" s="95"/>
      <c r="AR181" s="95"/>
      <c r="AS181" s="95"/>
      <c r="AT181" s="95"/>
      <c r="AU181" s="95"/>
      <c r="AV181" s="95"/>
      <c r="AW181" s="95"/>
      <c r="AX181" s="95"/>
      <c r="AY181" s="95"/>
      <c r="AZ181" s="95"/>
      <c r="BA181" s="95"/>
      <c r="BB181" s="95"/>
      <c r="BC181" s="214"/>
      <c r="BD181" s="95"/>
      <c r="BE181" s="95"/>
      <c r="BF181" s="95"/>
      <c r="BG181" s="95"/>
      <c r="BH181" s="95"/>
      <c r="BI181" s="95"/>
      <c r="BJ181" s="95"/>
      <c r="BK181" s="265"/>
      <c r="BL181" s="265"/>
      <c r="BM181" s="265"/>
      <c r="BN181" s="266"/>
      <c r="BO181" s="267"/>
      <c r="BP181" s="268"/>
      <c r="BQ181" s="269"/>
      <c r="BR181" s="269"/>
      <c r="BS181" s="269"/>
      <c r="BT181" s="269"/>
      <c r="BU181" s="269"/>
      <c r="BV181" s="269"/>
      <c r="BW181" s="268"/>
      <c r="BX181" s="269"/>
      <c r="BY181" s="268"/>
      <c r="BZ181" s="268"/>
      <c r="CA181" s="268"/>
      <c r="CB181" s="269"/>
      <c r="CC181" s="268"/>
      <c r="CD181" s="268"/>
      <c r="CE181" s="269"/>
      <c r="CF181" s="269"/>
      <c r="CG181" s="269"/>
      <c r="CH181" s="269"/>
      <c r="CI181" s="269"/>
      <c r="CJ181" s="269"/>
      <c r="CK181" s="269"/>
      <c r="CL181" s="266"/>
    </row>
    <row r="182" spans="1:90" s="270" customFormat="1">
      <c r="A182" s="95"/>
      <c r="B182" s="263"/>
      <c r="C182" s="263"/>
      <c r="D182" s="263"/>
      <c r="E182" s="263"/>
      <c r="F182" s="263"/>
      <c r="G182" s="263"/>
      <c r="H182" s="95"/>
      <c r="I182" s="95"/>
      <c r="J182" s="263"/>
      <c r="K182" s="263"/>
      <c r="L182" s="263"/>
      <c r="M182" s="263"/>
      <c r="N182" s="263"/>
      <c r="O182" s="263"/>
      <c r="P182" s="95"/>
      <c r="Q182" s="95"/>
      <c r="R182" s="95"/>
      <c r="S182" s="95"/>
      <c r="T182" s="95"/>
      <c r="U182" s="95"/>
      <c r="V182" s="95"/>
      <c r="W182" s="95"/>
      <c r="X182" s="95"/>
      <c r="Y182" s="95"/>
      <c r="Z182" s="95"/>
      <c r="AA182" s="95"/>
      <c r="AB182" s="95"/>
      <c r="AC182" s="95"/>
      <c r="AD182" s="95"/>
      <c r="AE182" s="95"/>
      <c r="AF182" s="95"/>
      <c r="AG182" s="95"/>
      <c r="AH182" s="95"/>
      <c r="AI182" s="95"/>
      <c r="AJ182" s="95"/>
      <c r="AK182" s="95"/>
      <c r="AL182" s="95"/>
      <c r="AM182" s="95"/>
      <c r="AN182" s="264"/>
      <c r="AO182" s="95"/>
      <c r="AP182" s="95"/>
      <c r="AQ182" s="95"/>
      <c r="AR182" s="95"/>
      <c r="AS182" s="95"/>
      <c r="AT182" s="95"/>
      <c r="AU182" s="95"/>
      <c r="AV182" s="95"/>
      <c r="AW182" s="95"/>
      <c r="AX182" s="95"/>
      <c r="AY182" s="95"/>
      <c r="AZ182" s="95"/>
      <c r="BA182" s="95"/>
      <c r="BB182" s="95"/>
      <c r="BC182" s="214"/>
      <c r="BD182" s="95"/>
      <c r="BE182" s="95"/>
      <c r="BF182" s="95"/>
      <c r="BG182" s="95"/>
      <c r="BH182" s="95"/>
      <c r="BI182" s="95"/>
      <c r="BJ182" s="95"/>
      <c r="BK182" s="265"/>
      <c r="BL182" s="265"/>
      <c r="BM182" s="265"/>
      <c r="BN182" s="266"/>
      <c r="BO182" s="267"/>
      <c r="BP182" s="268"/>
      <c r="BQ182" s="269"/>
      <c r="BR182" s="269"/>
      <c r="BS182" s="269"/>
      <c r="BT182" s="269"/>
      <c r="BU182" s="269"/>
      <c r="BV182" s="269"/>
      <c r="BW182" s="268"/>
      <c r="BX182" s="269"/>
      <c r="BY182" s="268"/>
      <c r="BZ182" s="268"/>
      <c r="CA182" s="268"/>
      <c r="CB182" s="269"/>
      <c r="CC182" s="268"/>
      <c r="CD182" s="268"/>
      <c r="CE182" s="269"/>
      <c r="CF182" s="269"/>
      <c r="CG182" s="269"/>
      <c r="CH182" s="269"/>
      <c r="CI182" s="269"/>
      <c r="CJ182" s="269"/>
      <c r="CK182" s="269"/>
      <c r="CL182" s="266"/>
    </row>
    <row r="183" spans="1:90" s="270" customFormat="1">
      <c r="A183" s="95"/>
      <c r="B183" s="263"/>
      <c r="C183" s="263"/>
      <c r="D183" s="263"/>
      <c r="E183" s="263"/>
      <c r="F183" s="263"/>
      <c r="G183" s="263"/>
      <c r="H183" s="95"/>
      <c r="I183" s="95"/>
      <c r="J183" s="263"/>
      <c r="K183" s="263"/>
      <c r="L183" s="263"/>
      <c r="M183" s="263"/>
      <c r="N183" s="263"/>
      <c r="O183" s="263"/>
      <c r="P183" s="95"/>
      <c r="Q183" s="95"/>
      <c r="R183" s="95"/>
      <c r="S183" s="95"/>
      <c r="T183" s="95"/>
      <c r="U183" s="95"/>
      <c r="V183" s="95"/>
      <c r="W183" s="95"/>
      <c r="X183" s="95"/>
      <c r="Y183" s="95"/>
      <c r="Z183" s="95"/>
      <c r="AA183" s="95"/>
      <c r="AB183" s="95"/>
      <c r="AC183" s="95"/>
      <c r="AD183" s="95"/>
      <c r="AE183" s="95"/>
      <c r="AF183" s="95"/>
      <c r="AG183" s="95"/>
      <c r="AH183" s="95"/>
      <c r="AI183" s="95"/>
      <c r="AJ183" s="95"/>
      <c r="AK183" s="95"/>
      <c r="AL183" s="95"/>
      <c r="AM183" s="95"/>
      <c r="AN183" s="264"/>
      <c r="AO183" s="95"/>
      <c r="AP183" s="95"/>
      <c r="AQ183" s="95"/>
      <c r="AR183" s="95"/>
      <c r="AS183" s="95"/>
      <c r="AT183" s="95"/>
      <c r="AU183" s="95"/>
      <c r="AV183" s="95"/>
      <c r="AW183" s="95"/>
      <c r="AX183" s="95"/>
      <c r="AY183" s="95"/>
      <c r="AZ183" s="95"/>
      <c r="BA183" s="95"/>
      <c r="BB183" s="95"/>
      <c r="BC183" s="214"/>
      <c r="BD183" s="95"/>
      <c r="BE183" s="95"/>
      <c r="BF183" s="95"/>
      <c r="BG183" s="95"/>
      <c r="BH183" s="95"/>
      <c r="BI183" s="95"/>
      <c r="BJ183" s="95"/>
      <c r="BK183" s="265"/>
      <c r="BL183" s="265"/>
      <c r="BM183" s="265"/>
      <c r="BN183" s="266"/>
      <c r="BO183" s="267"/>
      <c r="BP183" s="268"/>
      <c r="BQ183" s="269"/>
      <c r="BR183" s="269"/>
      <c r="BS183" s="269"/>
      <c r="BT183" s="269"/>
      <c r="BU183" s="269"/>
      <c r="BV183" s="269"/>
      <c r="BW183" s="268"/>
      <c r="BX183" s="269"/>
      <c r="BY183" s="268"/>
      <c r="BZ183" s="268"/>
      <c r="CA183" s="268"/>
      <c r="CB183" s="269"/>
      <c r="CC183" s="268"/>
      <c r="CD183" s="268"/>
      <c r="CE183" s="269"/>
      <c r="CF183" s="269"/>
      <c r="CG183" s="269"/>
      <c r="CH183" s="269"/>
      <c r="CI183" s="269"/>
      <c r="CJ183" s="269"/>
      <c r="CK183" s="269"/>
      <c r="CL183" s="266"/>
    </row>
    <row r="184" spans="1:90" s="270" customFormat="1">
      <c r="A184" s="95"/>
      <c r="B184" s="263"/>
      <c r="C184" s="263"/>
      <c r="D184" s="263"/>
      <c r="E184" s="263"/>
      <c r="F184" s="263"/>
      <c r="G184" s="263"/>
      <c r="H184" s="95"/>
      <c r="I184" s="95"/>
      <c r="J184" s="263"/>
      <c r="K184" s="263"/>
      <c r="L184" s="263"/>
      <c r="M184" s="263"/>
      <c r="N184" s="263"/>
      <c r="O184" s="263"/>
      <c r="P184" s="95"/>
      <c r="Q184" s="95"/>
      <c r="R184" s="95"/>
      <c r="S184" s="95"/>
      <c r="T184" s="95"/>
      <c r="U184" s="95"/>
      <c r="V184" s="95"/>
      <c r="W184" s="95"/>
      <c r="X184" s="95"/>
      <c r="Y184" s="95"/>
      <c r="Z184" s="95"/>
      <c r="AA184" s="95"/>
      <c r="AB184" s="95"/>
      <c r="AC184" s="95"/>
      <c r="AD184" s="95"/>
      <c r="AE184" s="95"/>
      <c r="AF184" s="95"/>
      <c r="AG184" s="95"/>
      <c r="AH184" s="95"/>
      <c r="AI184" s="95"/>
      <c r="AJ184" s="95"/>
      <c r="AK184" s="95"/>
      <c r="AL184" s="95"/>
      <c r="AM184" s="95"/>
      <c r="AN184" s="264"/>
      <c r="AO184" s="95"/>
      <c r="AP184" s="95"/>
      <c r="AQ184" s="95"/>
      <c r="AR184" s="95"/>
      <c r="AS184" s="95"/>
      <c r="AT184" s="95"/>
      <c r="AU184" s="95"/>
      <c r="AV184" s="95"/>
      <c r="AW184" s="95"/>
      <c r="AX184" s="95"/>
      <c r="AY184" s="95"/>
      <c r="AZ184" s="95"/>
      <c r="BA184" s="95"/>
      <c r="BB184" s="95"/>
      <c r="BC184" s="214"/>
      <c r="BD184" s="95"/>
      <c r="BE184" s="95"/>
      <c r="BF184" s="95"/>
      <c r="BG184" s="95"/>
      <c r="BH184" s="95"/>
      <c r="BI184" s="95"/>
      <c r="BJ184" s="95"/>
      <c r="BK184" s="265"/>
      <c r="BL184" s="265"/>
      <c r="BM184" s="265"/>
      <c r="BN184" s="266"/>
      <c r="BO184" s="267"/>
      <c r="BP184" s="268"/>
      <c r="BQ184" s="269"/>
      <c r="BR184" s="269"/>
      <c r="BS184" s="269"/>
      <c r="BT184" s="269"/>
      <c r="BU184" s="269"/>
      <c r="BV184" s="269"/>
      <c r="BW184" s="268"/>
      <c r="BX184" s="269"/>
      <c r="BY184" s="268"/>
      <c r="BZ184" s="268"/>
      <c r="CA184" s="268"/>
      <c r="CB184" s="269"/>
      <c r="CC184" s="268"/>
      <c r="CD184" s="268"/>
      <c r="CE184" s="269"/>
      <c r="CF184" s="269"/>
      <c r="CG184" s="269"/>
      <c r="CH184" s="269"/>
      <c r="CI184" s="269"/>
      <c r="CJ184" s="269"/>
      <c r="CK184" s="269"/>
      <c r="CL184" s="266"/>
    </row>
    <row r="185" spans="1:90" s="270" customFormat="1">
      <c r="A185" s="95"/>
      <c r="B185" s="263"/>
      <c r="C185" s="263"/>
      <c r="D185" s="263"/>
      <c r="E185" s="263"/>
      <c r="F185" s="263"/>
      <c r="G185" s="263"/>
      <c r="H185" s="95"/>
      <c r="I185" s="95"/>
      <c r="J185" s="263"/>
      <c r="K185" s="263"/>
      <c r="L185" s="263"/>
      <c r="M185" s="263"/>
      <c r="N185" s="263"/>
      <c r="O185" s="263"/>
      <c r="P185" s="95"/>
      <c r="Q185" s="95"/>
      <c r="R185" s="95"/>
      <c r="S185" s="95"/>
      <c r="T185" s="95"/>
      <c r="U185" s="95"/>
      <c r="V185" s="95"/>
      <c r="W185" s="95"/>
      <c r="X185" s="95"/>
      <c r="Y185" s="95"/>
      <c r="Z185" s="95"/>
      <c r="AA185" s="95"/>
      <c r="AB185" s="95"/>
      <c r="AC185" s="95"/>
      <c r="AD185" s="95"/>
      <c r="AE185" s="95"/>
      <c r="AF185" s="95"/>
      <c r="AG185" s="95"/>
      <c r="AH185" s="95"/>
      <c r="AI185" s="95"/>
      <c r="AJ185" s="95"/>
      <c r="AK185" s="95"/>
      <c r="AL185" s="95"/>
      <c r="AM185" s="95"/>
      <c r="AN185" s="264"/>
      <c r="AO185" s="95"/>
      <c r="AP185" s="95"/>
      <c r="AQ185" s="95"/>
      <c r="AR185" s="95"/>
      <c r="AS185" s="95"/>
      <c r="AT185" s="95"/>
      <c r="AU185" s="95"/>
      <c r="AV185" s="95"/>
      <c r="AW185" s="95"/>
      <c r="AX185" s="95"/>
      <c r="AY185" s="95"/>
      <c r="AZ185" s="95"/>
      <c r="BA185" s="95"/>
      <c r="BB185" s="95"/>
      <c r="BC185" s="214"/>
      <c r="BD185" s="95"/>
      <c r="BE185" s="95"/>
      <c r="BF185" s="95"/>
      <c r="BG185" s="95"/>
      <c r="BH185" s="95"/>
      <c r="BI185" s="95"/>
      <c r="BJ185" s="95"/>
      <c r="BK185" s="265"/>
      <c r="BL185" s="265"/>
      <c r="BM185" s="265"/>
      <c r="BN185" s="266"/>
      <c r="BO185" s="267"/>
      <c r="BP185" s="268"/>
      <c r="BQ185" s="269"/>
      <c r="BR185" s="269"/>
      <c r="BS185" s="269"/>
      <c r="BT185" s="269"/>
      <c r="BU185" s="269"/>
      <c r="BV185" s="269"/>
      <c r="BW185" s="268"/>
      <c r="BX185" s="269"/>
      <c r="BY185" s="268"/>
      <c r="BZ185" s="268"/>
      <c r="CA185" s="268"/>
      <c r="CB185" s="269"/>
      <c r="CC185" s="268"/>
      <c r="CD185" s="268"/>
      <c r="CE185" s="269"/>
      <c r="CF185" s="269"/>
      <c r="CG185" s="269"/>
      <c r="CH185" s="269"/>
      <c r="CI185" s="269"/>
      <c r="CJ185" s="269"/>
      <c r="CK185" s="269"/>
      <c r="CL185" s="266"/>
    </row>
    <row r="186" spans="1:90" s="270" customFormat="1">
      <c r="A186" s="95"/>
      <c r="B186" s="263"/>
      <c r="C186" s="263"/>
      <c r="D186" s="263"/>
      <c r="E186" s="263"/>
      <c r="F186" s="263"/>
      <c r="G186" s="263"/>
      <c r="H186" s="95"/>
      <c r="I186" s="95"/>
      <c r="J186" s="263"/>
      <c r="K186" s="263"/>
      <c r="L186" s="263"/>
      <c r="M186" s="263"/>
      <c r="N186" s="263"/>
      <c r="O186" s="263"/>
      <c r="P186" s="95"/>
      <c r="Q186" s="95"/>
      <c r="R186" s="95"/>
      <c r="S186" s="95"/>
      <c r="T186" s="95"/>
      <c r="U186" s="95"/>
      <c r="V186" s="95"/>
      <c r="W186" s="95"/>
      <c r="X186" s="95"/>
      <c r="Y186" s="95"/>
      <c r="Z186" s="95"/>
      <c r="AA186" s="95"/>
      <c r="AB186" s="95"/>
      <c r="AC186" s="95"/>
      <c r="AD186" s="95"/>
      <c r="AE186" s="95"/>
      <c r="AF186" s="95"/>
      <c r="AG186" s="95"/>
      <c r="AH186" s="95"/>
      <c r="AI186" s="95"/>
      <c r="AJ186" s="95"/>
      <c r="AK186" s="95"/>
      <c r="AL186" s="95"/>
      <c r="AM186" s="95"/>
      <c r="AN186" s="264"/>
      <c r="AO186" s="95"/>
      <c r="AP186" s="95"/>
      <c r="AQ186" s="95"/>
      <c r="AR186" s="95"/>
      <c r="AS186" s="95"/>
      <c r="AT186" s="95"/>
      <c r="AU186" s="95"/>
      <c r="AV186" s="95"/>
      <c r="AW186" s="95"/>
      <c r="AX186" s="95"/>
      <c r="AY186" s="95"/>
      <c r="AZ186" s="95"/>
      <c r="BA186" s="95"/>
      <c r="BB186" s="95"/>
      <c r="BC186" s="214"/>
      <c r="BD186" s="95"/>
      <c r="BE186" s="95"/>
      <c r="BF186" s="95"/>
      <c r="BG186" s="95"/>
      <c r="BH186" s="95"/>
      <c r="BI186" s="95"/>
      <c r="BJ186" s="95"/>
      <c r="BK186" s="265"/>
      <c r="BL186" s="265"/>
      <c r="BM186" s="265"/>
      <c r="BN186" s="266"/>
      <c r="BO186" s="267"/>
      <c r="BP186" s="268"/>
      <c r="BQ186" s="269"/>
      <c r="BR186" s="269"/>
      <c r="BS186" s="269"/>
      <c r="BT186" s="269"/>
      <c r="BU186" s="269"/>
      <c r="BV186" s="269"/>
      <c r="BW186" s="268"/>
      <c r="BX186" s="269"/>
      <c r="BY186" s="268"/>
      <c r="BZ186" s="268"/>
      <c r="CA186" s="268"/>
      <c r="CB186" s="269"/>
      <c r="CC186" s="268"/>
      <c r="CD186" s="268"/>
      <c r="CE186" s="269"/>
      <c r="CF186" s="269"/>
      <c r="CG186" s="269"/>
      <c r="CH186" s="269"/>
      <c r="CI186" s="269"/>
      <c r="CJ186" s="269"/>
      <c r="CK186" s="269"/>
      <c r="CL186" s="266"/>
    </row>
    <row r="187" spans="1:90" s="270" customFormat="1">
      <c r="A187" s="95"/>
      <c r="B187" s="263"/>
      <c r="C187" s="263"/>
      <c r="D187" s="263"/>
      <c r="E187" s="263"/>
      <c r="F187" s="263"/>
      <c r="G187" s="263"/>
      <c r="H187" s="95"/>
      <c r="I187" s="95"/>
      <c r="J187" s="263"/>
      <c r="K187" s="263"/>
      <c r="L187" s="263"/>
      <c r="M187" s="263"/>
      <c r="N187" s="263"/>
      <c r="O187" s="263"/>
      <c r="P187" s="95"/>
      <c r="Q187" s="95"/>
      <c r="R187" s="95"/>
      <c r="S187" s="95"/>
      <c r="T187" s="95"/>
      <c r="U187" s="95"/>
      <c r="V187" s="95"/>
      <c r="W187" s="95"/>
      <c r="X187" s="95"/>
      <c r="Y187" s="95"/>
      <c r="Z187" s="95"/>
      <c r="AA187" s="95"/>
      <c r="AB187" s="95"/>
      <c r="AC187" s="95"/>
      <c r="AD187" s="95"/>
      <c r="AE187" s="95"/>
      <c r="AF187" s="95"/>
      <c r="AG187" s="95"/>
      <c r="AH187" s="95"/>
      <c r="AI187" s="95"/>
      <c r="AJ187" s="95"/>
      <c r="AK187" s="95"/>
      <c r="AL187" s="95"/>
      <c r="AM187" s="95"/>
      <c r="AN187" s="264"/>
      <c r="AO187" s="95"/>
      <c r="AP187" s="95"/>
      <c r="AQ187" s="95"/>
      <c r="AR187" s="95"/>
      <c r="AS187" s="95"/>
      <c r="AT187" s="95"/>
      <c r="AU187" s="95"/>
      <c r="AV187" s="95"/>
      <c r="AW187" s="95"/>
      <c r="AX187" s="95"/>
      <c r="AY187" s="95"/>
      <c r="AZ187" s="95"/>
      <c r="BA187" s="95"/>
      <c r="BB187" s="95"/>
      <c r="BC187" s="214"/>
      <c r="BD187" s="95"/>
      <c r="BE187" s="95"/>
      <c r="BF187" s="95"/>
      <c r="BG187" s="95"/>
      <c r="BH187" s="95"/>
      <c r="BI187" s="95"/>
      <c r="BJ187" s="95"/>
      <c r="BK187" s="265"/>
      <c r="BL187" s="265"/>
      <c r="BM187" s="265"/>
      <c r="BN187" s="266"/>
      <c r="BO187" s="267"/>
      <c r="BP187" s="268"/>
      <c r="BQ187" s="269"/>
      <c r="BR187" s="269"/>
      <c r="BS187" s="269"/>
      <c r="BT187" s="269"/>
      <c r="BU187" s="269"/>
      <c r="BV187" s="269"/>
      <c r="BW187" s="268"/>
      <c r="BX187" s="269"/>
      <c r="BY187" s="268"/>
      <c r="BZ187" s="268"/>
      <c r="CA187" s="268"/>
      <c r="CB187" s="269"/>
      <c r="CC187" s="268"/>
      <c r="CD187" s="268"/>
      <c r="CE187" s="269"/>
      <c r="CF187" s="269"/>
      <c r="CG187" s="269"/>
      <c r="CH187" s="269"/>
      <c r="CI187" s="269"/>
      <c r="CJ187" s="269"/>
      <c r="CK187" s="269"/>
      <c r="CL187" s="266"/>
    </row>
    <row r="188" spans="1:90" s="270" customFormat="1" ht="16.95" customHeight="1">
      <c r="A188" s="95"/>
      <c r="B188" s="263"/>
      <c r="C188" s="263"/>
      <c r="D188" s="263"/>
      <c r="E188" s="263"/>
      <c r="F188" s="263"/>
      <c r="G188" s="263"/>
      <c r="H188" s="95"/>
      <c r="I188" s="95"/>
      <c r="J188" s="263"/>
      <c r="K188" s="263"/>
      <c r="L188" s="263"/>
      <c r="M188" s="263"/>
      <c r="N188" s="263"/>
      <c r="O188" s="263"/>
      <c r="P188" s="95"/>
      <c r="Q188" s="95"/>
      <c r="R188" s="95"/>
      <c r="S188" s="95"/>
      <c r="T188" s="95"/>
      <c r="U188" s="95"/>
      <c r="V188" s="95"/>
      <c r="W188" s="95"/>
      <c r="X188" s="95"/>
      <c r="Y188" s="95"/>
      <c r="Z188" s="95"/>
      <c r="AA188" s="95"/>
      <c r="AB188" s="95"/>
      <c r="AC188" s="95"/>
      <c r="AD188" s="95"/>
      <c r="AE188" s="95"/>
      <c r="AF188" s="95"/>
      <c r="AG188" s="95"/>
      <c r="AH188" s="95"/>
      <c r="AI188" s="95"/>
      <c r="AJ188" s="95"/>
      <c r="AK188" s="95"/>
      <c r="AL188" s="95"/>
      <c r="AM188" s="95"/>
      <c r="AN188" s="264"/>
      <c r="AO188" s="95"/>
      <c r="AP188" s="95"/>
      <c r="AQ188" s="95"/>
      <c r="AR188" s="95"/>
      <c r="AS188" s="95"/>
      <c r="AT188" s="95"/>
      <c r="AU188" s="95"/>
      <c r="AV188" s="95"/>
      <c r="AW188" s="95"/>
      <c r="AX188" s="95"/>
      <c r="AY188" s="95"/>
      <c r="AZ188" s="95"/>
      <c r="BA188" s="95"/>
      <c r="BB188" s="95"/>
      <c r="BC188" s="214"/>
      <c r="BD188" s="95"/>
      <c r="BE188" s="95"/>
      <c r="BF188" s="95"/>
      <c r="BG188" s="95"/>
      <c r="BH188" s="95"/>
      <c r="BI188" s="95"/>
      <c r="BJ188" s="95"/>
      <c r="BK188" s="265"/>
      <c r="BL188" s="265"/>
      <c r="BM188" s="265"/>
      <c r="BN188" s="266"/>
      <c r="BO188" s="267"/>
      <c r="BP188" s="268"/>
      <c r="BQ188" s="269"/>
      <c r="BR188" s="269"/>
      <c r="BS188" s="269"/>
      <c r="BT188" s="269"/>
      <c r="BU188" s="269"/>
      <c r="BV188" s="269"/>
      <c r="BW188" s="268"/>
      <c r="BX188" s="269"/>
      <c r="BY188" s="268"/>
      <c r="BZ188" s="268"/>
      <c r="CA188" s="268"/>
      <c r="CB188" s="269"/>
      <c r="CC188" s="268"/>
      <c r="CD188" s="268"/>
      <c r="CE188" s="269"/>
      <c r="CF188" s="269"/>
      <c r="CG188" s="269"/>
      <c r="CH188" s="269"/>
      <c r="CI188" s="269"/>
      <c r="CJ188" s="269"/>
      <c r="CK188" s="269"/>
      <c r="CL188" s="266"/>
    </row>
    <row r="189" spans="1:90" s="270" customFormat="1">
      <c r="A189" s="95"/>
      <c r="B189" s="263"/>
      <c r="C189" s="263"/>
      <c r="D189" s="263"/>
      <c r="E189" s="263"/>
      <c r="F189" s="263"/>
      <c r="G189" s="263"/>
      <c r="H189" s="95"/>
      <c r="I189" s="95"/>
      <c r="J189" s="263"/>
      <c r="K189" s="263"/>
      <c r="L189" s="263"/>
      <c r="M189" s="263"/>
      <c r="N189" s="263"/>
      <c r="O189" s="263"/>
      <c r="P189" s="95"/>
      <c r="Q189" s="95"/>
      <c r="R189" s="95"/>
      <c r="S189" s="95"/>
      <c r="T189" s="95"/>
      <c r="U189" s="95"/>
      <c r="V189" s="95"/>
      <c r="W189" s="95"/>
      <c r="X189" s="95"/>
      <c r="Y189" s="95"/>
      <c r="Z189" s="95"/>
      <c r="AA189" s="95"/>
      <c r="AB189" s="95"/>
      <c r="AC189" s="95"/>
      <c r="AD189" s="95"/>
      <c r="AE189" s="95"/>
      <c r="AF189" s="95"/>
      <c r="AG189" s="95"/>
      <c r="AH189" s="95"/>
      <c r="AI189" s="95"/>
      <c r="AJ189" s="95"/>
      <c r="AK189" s="95"/>
      <c r="AL189" s="95"/>
      <c r="AM189" s="95"/>
      <c r="AN189" s="264"/>
      <c r="AO189" s="95"/>
      <c r="AP189" s="95"/>
      <c r="AQ189" s="95"/>
      <c r="AR189" s="95"/>
      <c r="AS189" s="95"/>
      <c r="AT189" s="95"/>
      <c r="AU189" s="95"/>
      <c r="AV189" s="95"/>
      <c r="AW189" s="95"/>
      <c r="AX189" s="95"/>
      <c r="AY189" s="95"/>
      <c r="AZ189" s="95"/>
      <c r="BA189" s="95"/>
      <c r="BB189" s="95"/>
      <c r="BC189" s="214"/>
      <c r="BD189" s="95"/>
      <c r="BE189" s="95"/>
      <c r="BF189" s="95"/>
      <c r="BG189" s="95"/>
      <c r="BH189" s="95"/>
      <c r="BI189" s="95"/>
      <c r="BJ189" s="95"/>
      <c r="BK189" s="265"/>
      <c r="BL189" s="265"/>
      <c r="BM189" s="265"/>
      <c r="BN189" s="266"/>
      <c r="BO189" s="267"/>
      <c r="BP189" s="268"/>
      <c r="BQ189" s="269"/>
      <c r="BR189" s="269"/>
      <c r="BS189" s="269"/>
      <c r="BT189" s="269"/>
      <c r="BU189" s="269"/>
      <c r="BV189" s="269"/>
      <c r="BW189" s="268"/>
      <c r="BX189" s="269"/>
      <c r="BY189" s="268"/>
      <c r="BZ189" s="268"/>
      <c r="CA189" s="268"/>
      <c r="CB189" s="269"/>
      <c r="CC189" s="268"/>
      <c r="CD189" s="268"/>
      <c r="CE189" s="269"/>
      <c r="CF189" s="269"/>
      <c r="CG189" s="269"/>
      <c r="CH189" s="269"/>
      <c r="CI189" s="269"/>
      <c r="CJ189" s="269"/>
      <c r="CK189" s="269"/>
      <c r="CL189" s="266"/>
    </row>
    <row r="190" spans="1:90" s="270" customFormat="1">
      <c r="A190" s="95"/>
      <c r="B190" s="263"/>
      <c r="C190" s="263"/>
      <c r="D190" s="263"/>
      <c r="E190" s="263"/>
      <c r="F190" s="263"/>
      <c r="G190" s="263"/>
      <c r="H190" s="95"/>
      <c r="I190" s="95"/>
      <c r="J190" s="263"/>
      <c r="K190" s="263"/>
      <c r="L190" s="263"/>
      <c r="M190" s="263"/>
      <c r="N190" s="263"/>
      <c r="O190" s="263"/>
      <c r="P190" s="95"/>
      <c r="Q190" s="95"/>
      <c r="R190" s="95"/>
      <c r="S190" s="95"/>
      <c r="T190" s="95"/>
      <c r="U190" s="95"/>
      <c r="V190" s="95"/>
      <c r="W190" s="95"/>
      <c r="X190" s="95"/>
      <c r="Y190" s="95"/>
      <c r="Z190" s="95"/>
      <c r="AA190" s="95"/>
      <c r="AB190" s="95"/>
      <c r="AC190" s="95"/>
      <c r="AD190" s="95"/>
      <c r="AE190" s="95"/>
      <c r="AF190" s="95"/>
      <c r="AG190" s="95"/>
      <c r="AH190" s="95"/>
      <c r="AI190" s="95"/>
      <c r="AJ190" s="95"/>
      <c r="AK190" s="95"/>
      <c r="AL190" s="95"/>
      <c r="AM190" s="95"/>
      <c r="AN190" s="264"/>
      <c r="AO190" s="95"/>
      <c r="AP190" s="95"/>
      <c r="AQ190" s="95"/>
      <c r="AR190" s="95"/>
      <c r="AS190" s="95"/>
      <c r="AT190" s="95"/>
      <c r="AU190" s="95"/>
      <c r="AV190" s="95"/>
      <c r="AW190" s="95"/>
      <c r="AX190" s="95"/>
      <c r="AY190" s="95"/>
      <c r="AZ190" s="95"/>
      <c r="BA190" s="95"/>
      <c r="BB190" s="95"/>
      <c r="BC190" s="214"/>
      <c r="BD190" s="95"/>
      <c r="BE190" s="95"/>
      <c r="BF190" s="95"/>
      <c r="BG190" s="95"/>
      <c r="BH190" s="95"/>
      <c r="BI190" s="95"/>
      <c r="BJ190" s="95"/>
      <c r="BK190" s="265"/>
      <c r="BL190" s="265"/>
      <c r="BM190" s="265"/>
      <c r="BN190" s="266"/>
      <c r="BO190" s="267"/>
      <c r="BP190" s="268"/>
      <c r="BQ190" s="269"/>
      <c r="BR190" s="269"/>
      <c r="BS190" s="269"/>
      <c r="BT190" s="269"/>
      <c r="BU190" s="269"/>
      <c r="BV190" s="269"/>
      <c r="BW190" s="268"/>
      <c r="BX190" s="269"/>
      <c r="BY190" s="268"/>
      <c r="BZ190" s="268"/>
      <c r="CA190" s="268"/>
      <c r="CB190" s="269"/>
      <c r="CC190" s="268"/>
      <c r="CD190" s="268"/>
      <c r="CE190" s="269"/>
      <c r="CF190" s="269"/>
      <c r="CG190" s="269"/>
      <c r="CH190" s="269"/>
      <c r="CI190" s="269"/>
      <c r="CJ190" s="269"/>
      <c r="CK190" s="269"/>
      <c r="CL190" s="266"/>
    </row>
    <row r="191" spans="1:90" s="270" customFormat="1">
      <c r="A191" s="95"/>
      <c r="B191" s="263"/>
      <c r="C191" s="263"/>
      <c r="D191" s="263"/>
      <c r="E191" s="263"/>
      <c r="F191" s="263"/>
      <c r="G191" s="263"/>
      <c r="H191" s="95"/>
      <c r="I191" s="95"/>
      <c r="J191" s="263"/>
      <c r="K191" s="263"/>
      <c r="L191" s="263"/>
      <c r="M191" s="263"/>
      <c r="N191" s="263"/>
      <c r="O191" s="263"/>
      <c r="P191" s="95"/>
      <c r="Q191" s="95"/>
      <c r="R191" s="95"/>
      <c r="S191" s="95"/>
      <c r="T191" s="95"/>
      <c r="U191" s="95"/>
      <c r="V191" s="95"/>
      <c r="W191" s="95"/>
      <c r="X191" s="95"/>
      <c r="Y191" s="95"/>
      <c r="Z191" s="95"/>
      <c r="AA191" s="95"/>
      <c r="AB191" s="95"/>
      <c r="AC191" s="95"/>
      <c r="AD191" s="95"/>
      <c r="AE191" s="95"/>
      <c r="AF191" s="95"/>
      <c r="AG191" s="95"/>
      <c r="AH191" s="95"/>
      <c r="AI191" s="95"/>
      <c r="AJ191" s="95"/>
      <c r="AK191" s="95"/>
      <c r="AL191" s="95"/>
      <c r="AM191" s="95"/>
      <c r="AN191" s="264"/>
      <c r="AO191" s="95"/>
      <c r="AP191" s="95"/>
      <c r="AQ191" s="95"/>
      <c r="AR191" s="95"/>
      <c r="AS191" s="95"/>
      <c r="AT191" s="95"/>
      <c r="AU191" s="95"/>
      <c r="AV191" s="95"/>
      <c r="AW191" s="95"/>
      <c r="AX191" s="95"/>
      <c r="AY191" s="95"/>
      <c r="AZ191" s="95"/>
      <c r="BA191" s="95"/>
      <c r="BB191" s="95"/>
      <c r="BC191" s="214"/>
      <c r="BD191" s="95"/>
      <c r="BE191" s="95"/>
      <c r="BF191" s="95"/>
      <c r="BG191" s="95"/>
      <c r="BH191" s="95"/>
      <c r="BI191" s="95"/>
      <c r="BJ191" s="95"/>
      <c r="BK191" s="265"/>
      <c r="BL191" s="265"/>
      <c r="BM191" s="265"/>
      <c r="BN191" s="266"/>
      <c r="BO191" s="267"/>
      <c r="BP191" s="268"/>
      <c r="BQ191" s="269"/>
      <c r="BR191" s="269"/>
      <c r="BS191" s="269"/>
      <c r="BT191" s="269"/>
      <c r="BU191" s="269"/>
      <c r="BV191" s="269"/>
      <c r="BW191" s="268"/>
      <c r="BX191" s="269"/>
      <c r="BY191" s="268"/>
      <c r="BZ191" s="268"/>
      <c r="CA191" s="268"/>
      <c r="CB191" s="269"/>
      <c r="CC191" s="268"/>
      <c r="CD191" s="268"/>
      <c r="CE191" s="269"/>
      <c r="CF191" s="269"/>
      <c r="CG191" s="269"/>
      <c r="CH191" s="269"/>
      <c r="CI191" s="269"/>
      <c r="CJ191" s="269"/>
      <c r="CK191" s="269"/>
      <c r="CL191" s="266"/>
    </row>
    <row r="192" spans="1:90" s="270" customFormat="1">
      <c r="A192" s="95"/>
      <c r="B192" s="263"/>
      <c r="C192" s="263"/>
      <c r="D192" s="263"/>
      <c r="E192" s="263"/>
      <c r="F192" s="263"/>
      <c r="G192" s="263"/>
      <c r="H192" s="95"/>
      <c r="I192" s="95"/>
      <c r="J192" s="263"/>
      <c r="K192" s="263"/>
      <c r="L192" s="263"/>
      <c r="M192" s="263"/>
      <c r="N192" s="263"/>
      <c r="O192" s="263"/>
      <c r="P192" s="95"/>
      <c r="Q192" s="95"/>
      <c r="R192" s="95"/>
      <c r="S192" s="95"/>
      <c r="T192" s="95"/>
      <c r="U192" s="95"/>
      <c r="V192" s="95"/>
      <c r="W192" s="95"/>
      <c r="X192" s="95"/>
      <c r="Y192" s="95"/>
      <c r="Z192" s="95"/>
      <c r="AA192" s="95"/>
      <c r="AB192" s="95"/>
      <c r="AC192" s="95"/>
      <c r="AD192" s="95"/>
      <c r="AE192" s="95"/>
      <c r="AF192" s="95"/>
      <c r="AG192" s="95"/>
      <c r="AH192" s="95"/>
      <c r="AI192" s="95"/>
      <c r="AJ192" s="95"/>
      <c r="AK192" s="95"/>
      <c r="AL192" s="95"/>
      <c r="AM192" s="95"/>
      <c r="AN192" s="264"/>
      <c r="AO192" s="95"/>
      <c r="AP192" s="95"/>
      <c r="AQ192" s="95"/>
      <c r="AR192" s="95"/>
      <c r="AS192" s="95"/>
      <c r="AT192" s="95"/>
      <c r="AU192" s="95"/>
      <c r="AV192" s="95"/>
      <c r="AW192" s="95"/>
      <c r="AX192" s="95"/>
      <c r="AY192" s="95"/>
      <c r="AZ192" s="95"/>
      <c r="BA192" s="95"/>
      <c r="BB192" s="95"/>
      <c r="BC192" s="214"/>
      <c r="BD192" s="95"/>
      <c r="BE192" s="95"/>
      <c r="BF192" s="95"/>
      <c r="BG192" s="95"/>
      <c r="BH192" s="95"/>
      <c r="BI192" s="95"/>
      <c r="BJ192" s="95"/>
      <c r="BK192" s="265"/>
      <c r="BL192" s="265"/>
      <c r="BM192" s="265"/>
      <c r="BN192" s="266"/>
      <c r="BO192" s="267"/>
      <c r="BP192" s="268"/>
      <c r="BQ192" s="269"/>
      <c r="BR192" s="269"/>
      <c r="BS192" s="269"/>
      <c r="BT192" s="269"/>
      <c r="BU192" s="269"/>
      <c r="BV192" s="269"/>
      <c r="BW192" s="268"/>
      <c r="BX192" s="269"/>
      <c r="BY192" s="268"/>
      <c r="BZ192" s="268"/>
      <c r="CA192" s="268"/>
      <c r="CB192" s="269"/>
      <c r="CC192" s="268"/>
      <c r="CD192" s="268"/>
      <c r="CE192" s="269"/>
      <c r="CF192" s="269"/>
      <c r="CG192" s="269"/>
      <c r="CH192" s="269"/>
      <c r="CI192" s="269"/>
      <c r="CJ192" s="269"/>
      <c r="CK192" s="269"/>
      <c r="CL192" s="266"/>
    </row>
    <row r="193" spans="1:90" s="270" customFormat="1">
      <c r="A193" s="95"/>
      <c r="B193" s="263"/>
      <c r="C193" s="263"/>
      <c r="D193" s="263"/>
      <c r="E193" s="263"/>
      <c r="F193" s="263"/>
      <c r="G193" s="263"/>
      <c r="H193" s="95"/>
      <c r="I193" s="95"/>
      <c r="J193" s="263"/>
      <c r="K193" s="263"/>
      <c r="L193" s="263"/>
      <c r="M193" s="263"/>
      <c r="N193" s="263"/>
      <c r="O193" s="263"/>
      <c r="P193" s="95"/>
      <c r="Q193" s="95"/>
      <c r="R193" s="95"/>
      <c r="S193" s="95"/>
      <c r="T193" s="95"/>
      <c r="U193" s="95"/>
      <c r="V193" s="95"/>
      <c r="W193" s="95"/>
      <c r="X193" s="95"/>
      <c r="Y193" s="95"/>
      <c r="Z193" s="95"/>
      <c r="AA193" s="95"/>
      <c r="AB193" s="95"/>
      <c r="AC193" s="95"/>
      <c r="AD193" s="95"/>
      <c r="AE193" s="95"/>
      <c r="AF193" s="95"/>
      <c r="AG193" s="95"/>
      <c r="AH193" s="95"/>
      <c r="AI193" s="95"/>
      <c r="AJ193" s="95"/>
      <c r="AK193" s="95"/>
      <c r="AL193" s="95"/>
      <c r="AM193" s="95"/>
      <c r="AN193" s="264"/>
      <c r="AO193" s="95"/>
      <c r="AP193" s="95"/>
      <c r="AQ193" s="95"/>
      <c r="AR193" s="95"/>
      <c r="AS193" s="95"/>
      <c r="AT193" s="95"/>
      <c r="AU193" s="95"/>
      <c r="AV193" s="95"/>
      <c r="AW193" s="95"/>
      <c r="AX193" s="95"/>
      <c r="AY193" s="95"/>
      <c r="AZ193" s="95"/>
      <c r="BA193" s="95"/>
      <c r="BB193" s="95"/>
      <c r="BC193" s="214"/>
      <c r="BD193" s="95"/>
      <c r="BE193" s="95"/>
      <c r="BF193" s="95"/>
      <c r="BG193" s="95"/>
      <c r="BH193" s="95"/>
      <c r="BI193" s="95"/>
      <c r="BJ193" s="95"/>
      <c r="BK193" s="265"/>
      <c r="BL193" s="265"/>
      <c r="BM193" s="265"/>
      <c r="BN193" s="266"/>
      <c r="BO193" s="267"/>
      <c r="BP193" s="268"/>
      <c r="BQ193" s="269"/>
      <c r="BR193" s="269"/>
      <c r="BS193" s="269"/>
      <c r="BT193" s="269"/>
      <c r="BU193" s="269"/>
      <c r="BV193" s="269"/>
      <c r="BW193" s="268"/>
      <c r="BX193" s="269"/>
      <c r="BY193" s="268"/>
      <c r="BZ193" s="268"/>
      <c r="CA193" s="268"/>
      <c r="CB193" s="269"/>
      <c r="CC193" s="268"/>
      <c r="CD193" s="268"/>
      <c r="CE193" s="269"/>
      <c r="CF193" s="269"/>
      <c r="CG193" s="269"/>
      <c r="CH193" s="269"/>
      <c r="CI193" s="269"/>
      <c r="CJ193" s="269"/>
      <c r="CK193" s="269"/>
      <c r="CL193" s="266"/>
    </row>
    <row r="194" spans="1:90" s="270" customFormat="1">
      <c r="A194" s="95"/>
      <c r="B194" s="263"/>
      <c r="C194" s="263"/>
      <c r="D194" s="263"/>
      <c r="E194" s="263"/>
      <c r="F194" s="263"/>
      <c r="G194" s="263"/>
      <c r="H194" s="95"/>
      <c r="I194" s="95"/>
      <c r="J194" s="263"/>
      <c r="K194" s="263"/>
      <c r="L194" s="263"/>
      <c r="M194" s="263"/>
      <c r="N194" s="263"/>
      <c r="O194" s="263"/>
      <c r="P194" s="95"/>
      <c r="Q194" s="95"/>
      <c r="R194" s="95"/>
      <c r="S194" s="95"/>
      <c r="T194" s="95"/>
      <c r="U194" s="95"/>
      <c r="V194" s="95"/>
      <c r="W194" s="95"/>
      <c r="X194" s="95"/>
      <c r="Y194" s="95"/>
      <c r="Z194" s="95"/>
      <c r="AA194" s="95"/>
      <c r="AB194" s="95"/>
      <c r="AC194" s="95"/>
      <c r="AD194" s="95"/>
      <c r="AE194" s="95"/>
      <c r="AF194" s="95"/>
      <c r="AG194" s="95"/>
      <c r="AH194" s="95"/>
      <c r="AI194" s="95"/>
      <c r="AJ194" s="95"/>
      <c r="AK194" s="95"/>
      <c r="AL194" s="95"/>
      <c r="AM194" s="95"/>
      <c r="AN194" s="264"/>
      <c r="AO194" s="95"/>
      <c r="AP194" s="95"/>
      <c r="AQ194" s="95"/>
      <c r="AR194" s="95"/>
      <c r="AS194" s="95"/>
      <c r="AT194" s="95"/>
      <c r="AU194" s="95"/>
      <c r="AV194" s="95"/>
      <c r="AW194" s="95"/>
      <c r="AX194" s="95"/>
      <c r="AY194" s="95"/>
      <c r="AZ194" s="95"/>
      <c r="BA194" s="95"/>
      <c r="BB194" s="95"/>
      <c r="BC194" s="214"/>
      <c r="BD194" s="95"/>
      <c r="BE194" s="95"/>
      <c r="BF194" s="95"/>
      <c r="BG194" s="95"/>
      <c r="BH194" s="95"/>
      <c r="BI194" s="95"/>
      <c r="BJ194" s="95"/>
      <c r="BK194" s="265"/>
      <c r="BL194" s="265"/>
      <c r="BM194" s="265"/>
      <c r="BN194" s="266"/>
      <c r="BO194" s="267"/>
      <c r="BP194" s="268"/>
      <c r="BQ194" s="269"/>
      <c r="BR194" s="269"/>
      <c r="BS194" s="269"/>
      <c r="BT194" s="269"/>
      <c r="BU194" s="269"/>
      <c r="BV194" s="269"/>
      <c r="BW194" s="268"/>
      <c r="BX194" s="269"/>
      <c r="BY194" s="268"/>
      <c r="BZ194" s="268"/>
      <c r="CA194" s="268"/>
      <c r="CB194" s="269"/>
      <c r="CC194" s="268"/>
      <c r="CD194" s="268"/>
      <c r="CE194" s="269"/>
      <c r="CF194" s="269"/>
      <c r="CG194" s="269"/>
      <c r="CH194" s="269"/>
      <c r="CI194" s="269"/>
      <c r="CJ194" s="269"/>
      <c r="CK194" s="269"/>
      <c r="CL194" s="266"/>
    </row>
    <row r="195" spans="1:90" s="270" customFormat="1">
      <c r="A195" s="95"/>
      <c r="B195" s="263"/>
      <c r="C195" s="263"/>
      <c r="D195" s="263"/>
      <c r="E195" s="263"/>
      <c r="F195" s="263"/>
      <c r="G195" s="263"/>
      <c r="H195" s="95"/>
      <c r="I195" s="95"/>
      <c r="J195" s="263"/>
      <c r="K195" s="263"/>
      <c r="L195" s="263"/>
      <c r="M195" s="263"/>
      <c r="N195" s="263"/>
      <c r="O195" s="263"/>
      <c r="P195" s="95"/>
      <c r="Q195" s="95"/>
      <c r="R195" s="95"/>
      <c r="S195" s="95"/>
      <c r="T195" s="95"/>
      <c r="U195" s="95"/>
      <c r="V195" s="95"/>
      <c r="W195" s="95"/>
      <c r="X195" s="95"/>
      <c r="Y195" s="95"/>
      <c r="Z195" s="95"/>
      <c r="AA195" s="95"/>
      <c r="AB195" s="95"/>
      <c r="AC195" s="95"/>
      <c r="AD195" s="95"/>
      <c r="AE195" s="95"/>
      <c r="AF195" s="95"/>
      <c r="AG195" s="95"/>
      <c r="AH195" s="95"/>
      <c r="AI195" s="95"/>
      <c r="AJ195" s="95"/>
      <c r="AK195" s="95"/>
      <c r="AL195" s="95"/>
      <c r="AM195" s="95"/>
      <c r="AN195" s="264"/>
      <c r="AO195" s="95"/>
      <c r="AP195" s="95"/>
      <c r="AQ195" s="95"/>
      <c r="AR195" s="95"/>
      <c r="AS195" s="95"/>
      <c r="AT195" s="95"/>
      <c r="AU195" s="95"/>
      <c r="AV195" s="95"/>
      <c r="AW195" s="95"/>
      <c r="AX195" s="95"/>
      <c r="AY195" s="95"/>
      <c r="AZ195" s="95"/>
      <c r="BA195" s="95"/>
      <c r="BB195" s="95"/>
      <c r="BC195" s="214"/>
      <c r="BD195" s="95"/>
      <c r="BE195" s="95"/>
      <c r="BF195" s="95"/>
      <c r="BG195" s="95"/>
      <c r="BH195" s="95"/>
      <c r="BI195" s="95"/>
      <c r="BJ195" s="95"/>
      <c r="BK195" s="265"/>
      <c r="BL195" s="265"/>
      <c r="BM195" s="265"/>
      <c r="BN195" s="266"/>
      <c r="BO195" s="267"/>
      <c r="BP195" s="268"/>
      <c r="BQ195" s="269"/>
      <c r="BR195" s="269"/>
      <c r="BS195" s="269"/>
      <c r="BT195" s="269"/>
      <c r="BU195" s="269"/>
      <c r="BV195" s="269"/>
      <c r="BW195" s="268"/>
      <c r="BX195" s="269"/>
      <c r="BY195" s="268"/>
      <c r="BZ195" s="268"/>
      <c r="CA195" s="268"/>
      <c r="CB195" s="269"/>
      <c r="CC195" s="268"/>
      <c r="CD195" s="268"/>
      <c r="CE195" s="269"/>
      <c r="CF195" s="269"/>
      <c r="CG195" s="269"/>
      <c r="CH195" s="269"/>
      <c r="CI195" s="269"/>
      <c r="CJ195" s="269"/>
      <c r="CK195" s="269"/>
      <c r="CL195" s="266"/>
    </row>
    <row r="196" spans="1:90" s="270" customFormat="1">
      <c r="A196" s="95"/>
      <c r="B196" s="263"/>
      <c r="C196" s="263"/>
      <c r="D196" s="263"/>
      <c r="E196" s="263"/>
      <c r="F196" s="263"/>
      <c r="G196" s="263"/>
      <c r="H196" s="95"/>
      <c r="I196" s="95"/>
      <c r="J196" s="263"/>
      <c r="K196" s="263"/>
      <c r="L196" s="263"/>
      <c r="M196" s="263"/>
      <c r="N196" s="263"/>
      <c r="O196" s="263"/>
      <c r="P196" s="95"/>
      <c r="Q196" s="95"/>
      <c r="R196" s="95"/>
      <c r="S196" s="95"/>
      <c r="T196" s="95"/>
      <c r="U196" s="95"/>
      <c r="V196" s="95"/>
      <c r="W196" s="95"/>
      <c r="X196" s="95"/>
      <c r="Y196" s="95"/>
      <c r="Z196" s="95"/>
      <c r="AA196" s="95"/>
      <c r="AB196" s="95"/>
      <c r="AC196" s="95"/>
      <c r="AD196" s="95"/>
      <c r="AE196" s="95"/>
      <c r="AF196" s="95"/>
      <c r="AG196" s="95"/>
      <c r="AH196" s="95"/>
      <c r="AI196" s="95"/>
      <c r="AJ196" s="95"/>
      <c r="AK196" s="95"/>
      <c r="AL196" s="95"/>
      <c r="AM196" s="95"/>
      <c r="AN196" s="264"/>
      <c r="AO196" s="95"/>
      <c r="AP196" s="95"/>
      <c r="AQ196" s="95"/>
      <c r="AR196" s="95"/>
      <c r="AS196" s="95"/>
      <c r="AT196" s="95"/>
      <c r="AU196" s="95"/>
      <c r="AV196" s="95"/>
      <c r="AW196" s="95"/>
      <c r="AX196" s="95"/>
      <c r="AY196" s="95"/>
      <c r="AZ196" s="95"/>
      <c r="BA196" s="95"/>
      <c r="BB196" s="95"/>
      <c r="BC196" s="214"/>
      <c r="BD196" s="95"/>
      <c r="BE196" s="95"/>
      <c r="BF196" s="95"/>
      <c r="BG196" s="95"/>
      <c r="BH196" s="95"/>
      <c r="BI196" s="95"/>
      <c r="BJ196" s="95"/>
      <c r="BK196" s="265"/>
      <c r="BL196" s="265"/>
      <c r="BM196" s="265"/>
      <c r="BN196" s="266"/>
      <c r="BO196" s="267"/>
      <c r="BP196" s="268"/>
      <c r="BQ196" s="269"/>
      <c r="BR196" s="269"/>
      <c r="BS196" s="269"/>
      <c r="BT196" s="269"/>
      <c r="BU196" s="269"/>
      <c r="BV196" s="269"/>
      <c r="BW196" s="268"/>
      <c r="BX196" s="269"/>
      <c r="BY196" s="268"/>
      <c r="BZ196" s="268"/>
      <c r="CA196" s="268"/>
      <c r="CB196" s="269"/>
      <c r="CC196" s="268"/>
      <c r="CD196" s="268"/>
      <c r="CE196" s="269"/>
      <c r="CF196" s="269"/>
      <c r="CG196" s="269"/>
      <c r="CH196" s="269"/>
      <c r="CI196" s="269"/>
      <c r="CJ196" s="269"/>
      <c r="CK196" s="269"/>
      <c r="CL196" s="266"/>
    </row>
    <row r="197" spans="1:90" s="270" customFormat="1">
      <c r="A197" s="95"/>
      <c r="B197" s="263"/>
      <c r="C197" s="263"/>
      <c r="D197" s="263"/>
      <c r="E197" s="263"/>
      <c r="F197" s="263"/>
      <c r="G197" s="263"/>
      <c r="H197" s="95"/>
      <c r="I197" s="95"/>
      <c r="J197" s="263"/>
      <c r="K197" s="263"/>
      <c r="L197" s="263"/>
      <c r="M197" s="263"/>
      <c r="N197" s="263"/>
      <c r="O197" s="263"/>
      <c r="P197" s="95"/>
      <c r="Q197" s="95"/>
      <c r="R197" s="95"/>
      <c r="S197" s="95"/>
      <c r="T197" s="95"/>
      <c r="U197" s="95"/>
      <c r="V197" s="95"/>
      <c r="W197" s="95"/>
      <c r="X197" s="95"/>
      <c r="Y197" s="95"/>
      <c r="Z197" s="95"/>
      <c r="AA197" s="95"/>
      <c r="AB197" s="95"/>
      <c r="AC197" s="95"/>
      <c r="AD197" s="95"/>
      <c r="AE197" s="95"/>
      <c r="AF197" s="95"/>
      <c r="AG197" s="95"/>
      <c r="AH197" s="95"/>
      <c r="AI197" s="95"/>
      <c r="AJ197" s="95"/>
      <c r="AK197" s="95"/>
      <c r="AL197" s="95"/>
      <c r="AM197" s="95"/>
      <c r="AN197" s="264"/>
      <c r="AO197" s="95"/>
      <c r="AP197" s="95"/>
      <c r="AQ197" s="95"/>
      <c r="AR197" s="95"/>
      <c r="AS197" s="95"/>
      <c r="AT197" s="95"/>
      <c r="AU197" s="95"/>
      <c r="AV197" s="95"/>
      <c r="AW197" s="95"/>
      <c r="AX197" s="95"/>
      <c r="AY197" s="95"/>
      <c r="AZ197" s="95"/>
      <c r="BA197" s="95"/>
      <c r="BB197" s="95"/>
      <c r="BC197" s="214"/>
      <c r="BD197" s="95"/>
      <c r="BE197" s="95"/>
      <c r="BF197" s="95"/>
      <c r="BG197" s="95"/>
      <c r="BH197" s="95"/>
      <c r="BI197" s="95"/>
      <c r="BJ197" s="95"/>
      <c r="BK197" s="265"/>
      <c r="BL197" s="265"/>
      <c r="BM197" s="265"/>
      <c r="BN197" s="266"/>
      <c r="BO197" s="267"/>
      <c r="BP197" s="268"/>
      <c r="BQ197" s="269"/>
      <c r="BR197" s="269"/>
      <c r="BS197" s="269"/>
      <c r="BT197" s="269"/>
      <c r="BU197" s="269"/>
      <c r="BV197" s="269"/>
      <c r="BW197" s="268"/>
      <c r="BX197" s="269"/>
      <c r="BY197" s="268"/>
      <c r="BZ197" s="268"/>
      <c r="CA197" s="268"/>
      <c r="CB197" s="269"/>
      <c r="CC197" s="268"/>
      <c r="CD197" s="268"/>
      <c r="CE197" s="269"/>
      <c r="CF197" s="269"/>
      <c r="CG197" s="269"/>
      <c r="CH197" s="269"/>
      <c r="CI197" s="269"/>
      <c r="CJ197" s="269"/>
      <c r="CK197" s="269"/>
      <c r="CL197" s="266"/>
    </row>
    <row r="198" spans="1:90" s="270" customFormat="1">
      <c r="A198" s="95"/>
      <c r="B198" s="263"/>
      <c r="C198" s="263"/>
      <c r="D198" s="263"/>
      <c r="E198" s="263"/>
      <c r="F198" s="263"/>
      <c r="G198" s="263"/>
      <c r="H198" s="95"/>
      <c r="I198" s="95"/>
      <c r="J198" s="263"/>
      <c r="K198" s="263"/>
      <c r="L198" s="263"/>
      <c r="M198" s="263"/>
      <c r="N198" s="263"/>
      <c r="O198" s="263"/>
      <c r="P198" s="95"/>
      <c r="Q198" s="95"/>
      <c r="R198" s="95"/>
      <c r="S198" s="95"/>
      <c r="T198" s="95"/>
      <c r="U198" s="95"/>
      <c r="V198" s="95"/>
      <c r="W198" s="95"/>
      <c r="X198" s="95"/>
      <c r="Y198" s="95"/>
      <c r="Z198" s="95"/>
      <c r="AA198" s="95"/>
      <c r="AB198" s="95"/>
      <c r="AC198" s="95"/>
      <c r="AD198" s="95"/>
      <c r="AE198" s="95"/>
      <c r="AF198" s="95"/>
      <c r="AG198" s="95"/>
      <c r="AH198" s="95"/>
      <c r="AI198" s="95"/>
      <c r="AJ198" s="95"/>
      <c r="AK198" s="95"/>
      <c r="AL198" s="95"/>
      <c r="AM198" s="95"/>
      <c r="AN198" s="264"/>
      <c r="AO198" s="95"/>
      <c r="AP198" s="95"/>
      <c r="AQ198" s="95"/>
      <c r="AR198" s="95"/>
      <c r="AS198" s="95"/>
      <c r="AT198" s="95"/>
      <c r="AU198" s="95"/>
      <c r="AV198" s="95"/>
      <c r="AW198" s="95"/>
      <c r="AX198" s="95"/>
      <c r="AY198" s="95"/>
      <c r="AZ198" s="95"/>
      <c r="BA198" s="95"/>
      <c r="BB198" s="95"/>
      <c r="BC198" s="214"/>
      <c r="BD198" s="95"/>
      <c r="BE198" s="95"/>
      <c r="BF198" s="95"/>
      <c r="BG198" s="95"/>
      <c r="BH198" s="95"/>
      <c r="BI198" s="95"/>
      <c r="BJ198" s="95"/>
      <c r="BK198" s="265"/>
      <c r="BL198" s="265"/>
      <c r="BM198" s="265"/>
      <c r="BN198" s="266"/>
      <c r="BO198" s="267"/>
      <c r="BP198" s="268"/>
      <c r="BQ198" s="269"/>
      <c r="BR198" s="269"/>
      <c r="BS198" s="269"/>
      <c r="BT198" s="269"/>
      <c r="BU198" s="269"/>
      <c r="BV198" s="269"/>
      <c r="BW198" s="268"/>
      <c r="BX198" s="269"/>
      <c r="BY198" s="268"/>
      <c r="BZ198" s="268"/>
      <c r="CA198" s="268"/>
      <c r="CB198" s="269"/>
      <c r="CC198" s="268"/>
      <c r="CD198" s="268"/>
      <c r="CE198" s="269"/>
      <c r="CF198" s="269"/>
      <c r="CG198" s="269"/>
      <c r="CH198" s="269"/>
      <c r="CI198" s="269"/>
      <c r="CJ198" s="269"/>
      <c r="CK198" s="269"/>
      <c r="CL198" s="266"/>
    </row>
    <row r="199" spans="1:90" s="270" customFormat="1">
      <c r="A199" s="95"/>
      <c r="B199" s="263"/>
      <c r="C199" s="263"/>
      <c r="D199" s="263"/>
      <c r="E199" s="263"/>
      <c r="F199" s="263"/>
      <c r="G199" s="263"/>
      <c r="H199" s="95"/>
      <c r="I199" s="95"/>
      <c r="J199" s="263"/>
      <c r="K199" s="263"/>
      <c r="L199" s="263"/>
      <c r="M199" s="263"/>
      <c r="N199" s="263"/>
      <c r="O199" s="263"/>
      <c r="P199" s="95"/>
      <c r="Q199" s="95"/>
      <c r="R199" s="95"/>
      <c r="S199" s="95"/>
      <c r="T199" s="95"/>
      <c r="U199" s="95"/>
      <c r="V199" s="95"/>
      <c r="W199" s="95"/>
      <c r="X199" s="95"/>
      <c r="Y199" s="95"/>
      <c r="Z199" s="95"/>
      <c r="AA199" s="95"/>
      <c r="AB199" s="95"/>
      <c r="AC199" s="95"/>
      <c r="AD199" s="95"/>
      <c r="AE199" s="95"/>
      <c r="AF199" s="95"/>
      <c r="AG199" s="95"/>
      <c r="AH199" s="95"/>
      <c r="AI199" s="95"/>
      <c r="AJ199" s="95"/>
      <c r="AK199" s="95"/>
      <c r="AL199" s="95"/>
      <c r="AM199" s="95"/>
      <c r="AN199" s="264"/>
      <c r="AO199" s="95"/>
      <c r="AP199" s="95"/>
      <c r="AQ199" s="95"/>
      <c r="AR199" s="95"/>
      <c r="AS199" s="95"/>
      <c r="AT199" s="95"/>
      <c r="AU199" s="95"/>
      <c r="AV199" s="95"/>
      <c r="AW199" s="95"/>
      <c r="AX199" s="95"/>
      <c r="AY199" s="95"/>
      <c r="AZ199" s="95"/>
      <c r="BA199" s="95"/>
      <c r="BB199" s="95"/>
      <c r="BC199" s="214"/>
      <c r="BD199" s="95"/>
      <c r="BE199" s="95"/>
      <c r="BF199" s="95"/>
      <c r="BG199" s="95"/>
      <c r="BH199" s="95"/>
      <c r="BI199" s="95"/>
      <c r="BJ199" s="95"/>
      <c r="BK199" s="265"/>
      <c r="BL199" s="265"/>
      <c r="BM199" s="265"/>
      <c r="BN199" s="266"/>
      <c r="BO199" s="267"/>
      <c r="BP199" s="268"/>
      <c r="BQ199" s="269"/>
      <c r="BR199" s="269"/>
      <c r="BS199" s="269"/>
      <c r="BT199" s="269"/>
      <c r="BU199" s="269"/>
      <c r="BV199" s="269"/>
      <c r="BW199" s="268"/>
      <c r="BX199" s="269"/>
      <c r="BY199" s="268"/>
      <c r="BZ199" s="268"/>
      <c r="CA199" s="268"/>
      <c r="CB199" s="269"/>
      <c r="CC199" s="268"/>
      <c r="CD199" s="268"/>
      <c r="CE199" s="269"/>
      <c r="CF199" s="269"/>
      <c r="CG199" s="269"/>
      <c r="CH199" s="269"/>
      <c r="CI199" s="269"/>
      <c r="CJ199" s="269"/>
      <c r="CK199" s="269"/>
      <c r="CL199" s="266"/>
    </row>
    <row r="200" spans="1:90" s="270" customFormat="1">
      <c r="A200" s="95"/>
      <c r="B200" s="263"/>
      <c r="C200" s="263"/>
      <c r="D200" s="263"/>
      <c r="E200" s="263"/>
      <c r="F200" s="263"/>
      <c r="G200" s="263"/>
      <c r="H200" s="95"/>
      <c r="I200" s="95"/>
      <c r="J200" s="263"/>
      <c r="K200" s="263"/>
      <c r="L200" s="263"/>
      <c r="M200" s="263"/>
      <c r="N200" s="263"/>
      <c r="O200" s="263"/>
      <c r="P200" s="95"/>
      <c r="Q200" s="95"/>
      <c r="R200" s="95"/>
      <c r="S200" s="95"/>
      <c r="T200" s="95"/>
      <c r="U200" s="95"/>
      <c r="V200" s="95"/>
      <c r="W200" s="95"/>
      <c r="X200" s="95"/>
      <c r="Y200" s="95"/>
      <c r="Z200" s="95"/>
      <c r="AA200" s="95"/>
      <c r="AB200" s="95"/>
      <c r="AC200" s="95"/>
      <c r="AD200" s="95"/>
      <c r="AE200" s="95"/>
      <c r="AF200" s="95"/>
      <c r="AG200" s="95"/>
      <c r="AH200" s="95"/>
      <c r="AI200" s="95"/>
      <c r="AJ200" s="95"/>
      <c r="AK200" s="95"/>
      <c r="AL200" s="95"/>
      <c r="AM200" s="95"/>
      <c r="AN200" s="264"/>
      <c r="AO200" s="95"/>
      <c r="AP200" s="95"/>
      <c r="AQ200" s="95"/>
      <c r="AR200" s="95"/>
      <c r="AS200" s="95"/>
      <c r="AT200" s="95"/>
      <c r="AU200" s="95"/>
      <c r="AV200" s="95"/>
      <c r="AW200" s="95"/>
      <c r="AX200" s="95"/>
      <c r="AY200" s="95"/>
      <c r="AZ200" s="95"/>
      <c r="BA200" s="95"/>
      <c r="BB200" s="95"/>
      <c r="BC200" s="214"/>
      <c r="BD200" s="95"/>
      <c r="BE200" s="95"/>
      <c r="BF200" s="95"/>
      <c r="BG200" s="95"/>
      <c r="BH200" s="95"/>
      <c r="BI200" s="95"/>
      <c r="BJ200" s="95"/>
      <c r="BK200" s="265"/>
      <c r="BL200" s="265"/>
      <c r="BM200" s="265"/>
      <c r="BN200" s="266"/>
      <c r="BO200" s="267"/>
      <c r="BP200" s="268"/>
      <c r="BQ200" s="269"/>
      <c r="BR200" s="269"/>
      <c r="BS200" s="269"/>
      <c r="BT200" s="269"/>
      <c r="BU200" s="269"/>
      <c r="BV200" s="269"/>
      <c r="BW200" s="268"/>
      <c r="BX200" s="269"/>
      <c r="BY200" s="268"/>
      <c r="BZ200" s="268"/>
      <c r="CA200" s="268"/>
      <c r="CB200" s="269"/>
      <c r="CC200" s="268"/>
      <c r="CD200" s="268"/>
      <c r="CE200" s="269"/>
      <c r="CF200" s="269"/>
      <c r="CG200" s="269"/>
      <c r="CH200" s="269"/>
      <c r="CI200" s="269"/>
      <c r="CJ200" s="269"/>
      <c r="CK200" s="269"/>
      <c r="CL200" s="266"/>
    </row>
    <row r="201" spans="1:90" s="270" customFormat="1">
      <c r="A201" s="95"/>
      <c r="B201" s="263"/>
      <c r="C201" s="263"/>
      <c r="D201" s="263"/>
      <c r="E201" s="263"/>
      <c r="F201" s="263"/>
      <c r="G201" s="263"/>
      <c r="H201" s="95"/>
      <c r="I201" s="95"/>
      <c r="J201" s="263"/>
      <c r="K201" s="263"/>
      <c r="L201" s="263"/>
      <c r="M201" s="263"/>
      <c r="N201" s="263"/>
      <c r="O201" s="263"/>
      <c r="P201" s="95"/>
      <c r="Q201" s="95"/>
      <c r="R201" s="95"/>
      <c r="S201" s="95"/>
      <c r="T201" s="95"/>
      <c r="U201" s="95"/>
      <c r="V201" s="95"/>
      <c r="W201" s="95"/>
      <c r="X201" s="95"/>
      <c r="Y201" s="95"/>
      <c r="Z201" s="95"/>
      <c r="AA201" s="95"/>
      <c r="AB201" s="95"/>
      <c r="AC201" s="95"/>
      <c r="AD201" s="95"/>
      <c r="AE201" s="95"/>
      <c r="AF201" s="95"/>
      <c r="AG201" s="95"/>
      <c r="AH201" s="95"/>
      <c r="AI201" s="95"/>
      <c r="AJ201" s="95"/>
      <c r="AK201" s="95"/>
      <c r="AL201" s="95"/>
      <c r="AM201" s="95"/>
      <c r="AN201" s="264"/>
      <c r="AO201" s="95"/>
      <c r="AP201" s="95"/>
      <c r="AQ201" s="95"/>
      <c r="AR201" s="95"/>
      <c r="AS201" s="95"/>
      <c r="AT201" s="95"/>
      <c r="AU201" s="95"/>
      <c r="AV201" s="95"/>
      <c r="AW201" s="95"/>
      <c r="AX201" s="95"/>
      <c r="AY201" s="95"/>
      <c r="AZ201" s="95"/>
      <c r="BA201" s="95"/>
      <c r="BB201" s="95"/>
      <c r="BC201" s="214"/>
      <c r="BD201" s="95"/>
      <c r="BE201" s="95"/>
      <c r="BF201" s="95"/>
      <c r="BG201" s="95"/>
      <c r="BH201" s="95"/>
      <c r="BI201" s="95"/>
      <c r="BJ201" s="95"/>
      <c r="BK201" s="265"/>
      <c r="BL201" s="265"/>
      <c r="BM201" s="265"/>
      <c r="BN201" s="266"/>
      <c r="BO201" s="267"/>
      <c r="BP201" s="268"/>
      <c r="BQ201" s="269"/>
      <c r="BR201" s="269"/>
      <c r="BS201" s="269"/>
      <c r="BT201" s="269"/>
      <c r="BU201" s="269"/>
      <c r="BV201" s="269"/>
      <c r="BW201" s="268"/>
      <c r="BX201" s="269"/>
      <c r="BY201" s="268"/>
      <c r="BZ201" s="268"/>
      <c r="CA201" s="268"/>
      <c r="CB201" s="269"/>
      <c r="CC201" s="268"/>
      <c r="CD201" s="268"/>
      <c r="CE201" s="269"/>
      <c r="CF201" s="269"/>
      <c r="CG201" s="269"/>
      <c r="CH201" s="269"/>
      <c r="CI201" s="269"/>
      <c r="CJ201" s="269"/>
      <c r="CK201" s="269"/>
      <c r="CL201" s="266"/>
    </row>
    <row r="202" spans="1:90" s="270" customFormat="1">
      <c r="A202" s="95"/>
      <c r="B202" s="263"/>
      <c r="C202" s="263"/>
      <c r="D202" s="263"/>
      <c r="E202" s="263"/>
      <c r="F202" s="263"/>
      <c r="G202" s="263"/>
      <c r="H202" s="95"/>
      <c r="I202" s="95"/>
      <c r="J202" s="263"/>
      <c r="K202" s="263"/>
      <c r="L202" s="263"/>
      <c r="M202" s="263"/>
      <c r="N202" s="263"/>
      <c r="O202" s="263"/>
      <c r="P202" s="95"/>
      <c r="Q202" s="95"/>
      <c r="R202" s="95"/>
      <c r="S202" s="95"/>
      <c r="T202" s="95"/>
      <c r="U202" s="95"/>
      <c r="V202" s="95"/>
      <c r="W202" s="95"/>
      <c r="X202" s="95"/>
      <c r="Y202" s="95"/>
      <c r="Z202" s="95"/>
      <c r="AA202" s="95"/>
      <c r="AB202" s="95"/>
      <c r="AC202" s="95"/>
      <c r="AD202" s="95"/>
      <c r="AE202" s="95"/>
      <c r="AF202" s="95"/>
      <c r="AG202" s="95"/>
      <c r="AH202" s="95"/>
      <c r="AI202" s="95"/>
      <c r="AJ202" s="95"/>
      <c r="AK202" s="95"/>
      <c r="AL202" s="95"/>
      <c r="AM202" s="95"/>
      <c r="AN202" s="264"/>
      <c r="AO202" s="95"/>
      <c r="AP202" s="95"/>
      <c r="AQ202" s="95"/>
      <c r="AR202" s="95"/>
      <c r="AS202" s="95"/>
      <c r="AT202" s="95"/>
      <c r="AU202" s="95"/>
      <c r="AV202" s="95"/>
      <c r="AW202" s="95"/>
      <c r="AX202" s="95"/>
      <c r="AY202" s="95"/>
      <c r="AZ202" s="95"/>
      <c r="BA202" s="95"/>
      <c r="BB202" s="95"/>
      <c r="BC202" s="214"/>
      <c r="BD202" s="95"/>
      <c r="BE202" s="95"/>
      <c r="BF202" s="95"/>
      <c r="BG202" s="95"/>
      <c r="BH202" s="95"/>
      <c r="BI202" s="95"/>
      <c r="BJ202" s="95"/>
      <c r="BK202" s="265"/>
      <c r="BL202" s="265"/>
      <c r="BM202" s="265"/>
      <c r="BN202" s="266"/>
      <c r="BO202" s="267"/>
      <c r="BP202" s="268"/>
      <c r="BQ202" s="269"/>
      <c r="BR202" s="269"/>
      <c r="BS202" s="269"/>
      <c r="BT202" s="269"/>
      <c r="BU202" s="269"/>
      <c r="BV202" s="269"/>
      <c r="BW202" s="268"/>
      <c r="BX202" s="269"/>
      <c r="BY202" s="268"/>
      <c r="BZ202" s="268"/>
      <c r="CA202" s="268"/>
      <c r="CB202" s="269"/>
      <c r="CC202" s="268"/>
      <c r="CD202" s="268"/>
      <c r="CE202" s="269"/>
      <c r="CF202" s="269"/>
      <c r="CG202" s="269"/>
      <c r="CH202" s="269"/>
      <c r="CI202" s="269"/>
      <c r="CJ202" s="269"/>
      <c r="CK202" s="269"/>
      <c r="CL202" s="266"/>
    </row>
    <row r="203" spans="1:90" s="270" customFormat="1">
      <c r="A203" s="95"/>
      <c r="B203" s="263"/>
      <c r="C203" s="263"/>
      <c r="D203" s="263"/>
      <c r="E203" s="263"/>
      <c r="F203" s="263"/>
      <c r="G203" s="263"/>
      <c r="H203" s="95"/>
      <c r="I203" s="95"/>
      <c r="J203" s="263"/>
      <c r="K203" s="263"/>
      <c r="L203" s="263"/>
      <c r="M203" s="263"/>
      <c r="N203" s="263"/>
      <c r="O203" s="263"/>
      <c r="P203" s="95"/>
      <c r="Q203" s="95"/>
      <c r="R203" s="95"/>
      <c r="S203" s="95"/>
      <c r="T203" s="95"/>
      <c r="U203" s="95"/>
      <c r="V203" s="95"/>
      <c r="W203" s="95"/>
      <c r="X203" s="95"/>
      <c r="Y203" s="95"/>
      <c r="Z203" s="95"/>
      <c r="AA203" s="95"/>
      <c r="AB203" s="95"/>
      <c r="AC203" s="95"/>
      <c r="AD203" s="95"/>
      <c r="AE203" s="95"/>
      <c r="AF203" s="95"/>
      <c r="AG203" s="95"/>
      <c r="AH203" s="95"/>
      <c r="AI203" s="95"/>
      <c r="AJ203" s="95"/>
      <c r="AK203" s="95"/>
      <c r="AL203" s="95"/>
      <c r="AM203" s="95"/>
      <c r="AN203" s="264"/>
      <c r="AO203" s="95"/>
      <c r="AP203" s="95"/>
      <c r="AQ203" s="95"/>
      <c r="AR203" s="95"/>
      <c r="AS203" s="95"/>
      <c r="AT203" s="95"/>
      <c r="AU203" s="95"/>
      <c r="AV203" s="95"/>
      <c r="AW203" s="95"/>
      <c r="AX203" s="95"/>
      <c r="AY203" s="95"/>
      <c r="AZ203" s="95"/>
      <c r="BA203" s="95"/>
      <c r="BB203" s="95"/>
      <c r="BC203" s="214"/>
      <c r="BD203" s="95"/>
      <c r="BE203" s="95"/>
      <c r="BF203" s="95"/>
      <c r="BG203" s="95"/>
      <c r="BH203" s="95"/>
      <c r="BI203" s="95"/>
      <c r="BJ203" s="95"/>
      <c r="BK203" s="265"/>
      <c r="BL203" s="265"/>
      <c r="BM203" s="265"/>
      <c r="BN203" s="266"/>
      <c r="BO203" s="267"/>
      <c r="BP203" s="268"/>
      <c r="BQ203" s="269"/>
      <c r="BR203" s="269"/>
      <c r="BS203" s="269"/>
      <c r="BT203" s="269"/>
      <c r="BU203" s="269"/>
      <c r="BV203" s="269"/>
      <c r="BW203" s="268"/>
      <c r="BX203" s="269"/>
      <c r="BY203" s="268"/>
      <c r="BZ203" s="268"/>
      <c r="CA203" s="268"/>
      <c r="CB203" s="269"/>
      <c r="CC203" s="268"/>
      <c r="CD203" s="268"/>
      <c r="CE203" s="269"/>
      <c r="CF203" s="269"/>
      <c r="CG203" s="269"/>
      <c r="CH203" s="269"/>
      <c r="CI203" s="269"/>
      <c r="CJ203" s="269"/>
      <c r="CK203" s="269"/>
      <c r="CL203" s="266"/>
    </row>
    <row r="204" spans="1:90" s="270" customFormat="1">
      <c r="A204" s="95"/>
      <c r="B204" s="263"/>
      <c r="C204" s="263"/>
      <c r="D204" s="263"/>
      <c r="E204" s="263"/>
      <c r="F204" s="263"/>
      <c r="G204" s="263"/>
      <c r="H204" s="95"/>
      <c r="I204" s="95"/>
      <c r="J204" s="263"/>
      <c r="K204" s="263"/>
      <c r="L204" s="263"/>
      <c r="M204" s="263"/>
      <c r="N204" s="263"/>
      <c r="O204" s="263"/>
      <c r="P204" s="95"/>
      <c r="Q204" s="95"/>
      <c r="R204" s="95"/>
      <c r="S204" s="95"/>
      <c r="T204" s="95"/>
      <c r="U204" s="95"/>
      <c r="V204" s="95"/>
      <c r="W204" s="95"/>
      <c r="X204" s="95"/>
      <c r="Y204" s="95"/>
      <c r="Z204" s="95"/>
      <c r="AA204" s="95"/>
      <c r="AB204" s="95"/>
      <c r="AC204" s="95"/>
      <c r="AD204" s="95"/>
      <c r="AE204" s="95"/>
      <c r="AF204" s="95"/>
      <c r="AG204" s="95"/>
      <c r="AH204" s="95"/>
      <c r="AI204" s="95"/>
      <c r="AJ204" s="95"/>
      <c r="AK204" s="95"/>
      <c r="AL204" s="95"/>
      <c r="AM204" s="95"/>
      <c r="AN204" s="264"/>
      <c r="AO204" s="95"/>
      <c r="AP204" s="95"/>
      <c r="AQ204" s="95"/>
      <c r="AR204" s="95"/>
      <c r="AS204" s="95"/>
      <c r="AT204" s="95"/>
      <c r="AU204" s="95"/>
      <c r="AV204" s="95"/>
      <c r="AW204" s="95"/>
      <c r="AX204" s="95"/>
      <c r="AY204" s="95"/>
      <c r="AZ204" s="95"/>
      <c r="BA204" s="95"/>
      <c r="BB204" s="95"/>
      <c r="BC204" s="214"/>
      <c r="BD204" s="95"/>
      <c r="BE204" s="95"/>
      <c r="BF204" s="95"/>
      <c r="BG204" s="95"/>
      <c r="BH204" s="95"/>
      <c r="BI204" s="95"/>
      <c r="BJ204" s="95"/>
      <c r="BK204" s="265"/>
      <c r="BL204" s="265"/>
      <c r="BM204" s="265"/>
      <c r="BN204" s="266"/>
      <c r="BO204" s="267"/>
      <c r="BP204" s="268"/>
      <c r="BQ204" s="269"/>
      <c r="BR204" s="269"/>
      <c r="BS204" s="269"/>
      <c r="BT204" s="269"/>
      <c r="BU204" s="269"/>
      <c r="BV204" s="269"/>
      <c r="BW204" s="268"/>
      <c r="BX204" s="269"/>
      <c r="BY204" s="268"/>
      <c r="BZ204" s="268"/>
      <c r="CA204" s="268"/>
      <c r="CB204" s="269"/>
      <c r="CC204" s="268"/>
      <c r="CD204" s="268"/>
      <c r="CE204" s="269"/>
      <c r="CF204" s="269"/>
      <c r="CG204" s="269"/>
      <c r="CH204" s="269"/>
      <c r="CI204" s="269"/>
      <c r="CJ204" s="269"/>
      <c r="CK204" s="269"/>
      <c r="CL204" s="266"/>
    </row>
    <row r="205" spans="1:90" s="270" customFormat="1">
      <c r="A205" s="95"/>
      <c r="B205" s="263"/>
      <c r="C205" s="263"/>
      <c r="D205" s="263"/>
      <c r="E205" s="263"/>
      <c r="F205" s="263"/>
      <c r="G205" s="263"/>
      <c r="H205" s="95"/>
      <c r="I205" s="95"/>
      <c r="J205" s="263"/>
      <c r="K205" s="263"/>
      <c r="L205" s="263"/>
      <c r="M205" s="263"/>
      <c r="N205" s="263"/>
      <c r="O205" s="263"/>
      <c r="P205" s="95"/>
      <c r="Q205" s="95"/>
      <c r="R205" s="95"/>
      <c r="S205" s="95"/>
      <c r="T205" s="95"/>
      <c r="U205" s="95"/>
      <c r="V205" s="95"/>
      <c r="W205" s="95"/>
      <c r="X205" s="95"/>
      <c r="Y205" s="95"/>
      <c r="Z205" s="95"/>
      <c r="AA205" s="95"/>
      <c r="AB205" s="95"/>
      <c r="AC205" s="95"/>
      <c r="AD205" s="95"/>
      <c r="AE205" s="95"/>
      <c r="AF205" s="95"/>
      <c r="AG205" s="95"/>
      <c r="AH205" s="95"/>
      <c r="AI205" s="95"/>
      <c r="AJ205" s="95"/>
      <c r="AK205" s="95"/>
      <c r="AL205" s="95"/>
      <c r="AM205" s="95"/>
      <c r="AN205" s="264"/>
      <c r="AO205" s="95"/>
      <c r="AP205" s="95"/>
      <c r="AQ205" s="95"/>
      <c r="AR205" s="95"/>
      <c r="AS205" s="95"/>
      <c r="AT205" s="95"/>
      <c r="AU205" s="95"/>
      <c r="AV205" s="95"/>
      <c r="AW205" s="95"/>
      <c r="AX205" s="95"/>
      <c r="AY205" s="95"/>
      <c r="AZ205" s="95"/>
      <c r="BA205" s="95"/>
      <c r="BB205" s="95"/>
      <c r="BC205" s="214"/>
      <c r="BD205" s="95"/>
      <c r="BE205" s="95"/>
      <c r="BF205" s="95"/>
      <c r="BG205" s="95"/>
      <c r="BH205" s="95"/>
      <c r="BI205" s="95"/>
      <c r="BJ205" s="95"/>
      <c r="BK205" s="265"/>
      <c r="BL205" s="265"/>
      <c r="BM205" s="265"/>
      <c r="BN205" s="266"/>
      <c r="BO205" s="267"/>
      <c r="BP205" s="268"/>
      <c r="BQ205" s="269"/>
      <c r="BR205" s="269"/>
      <c r="BS205" s="269"/>
      <c r="BT205" s="269"/>
      <c r="BU205" s="269"/>
      <c r="BV205" s="269"/>
      <c r="BW205" s="268"/>
      <c r="BX205" s="269"/>
      <c r="BY205" s="268"/>
      <c r="BZ205" s="268"/>
      <c r="CA205" s="268"/>
      <c r="CB205" s="269"/>
      <c r="CC205" s="268"/>
      <c r="CD205" s="268"/>
      <c r="CE205" s="269"/>
      <c r="CF205" s="269"/>
      <c r="CG205" s="269"/>
      <c r="CH205" s="269"/>
      <c r="CI205" s="269"/>
      <c r="CJ205" s="269"/>
      <c r="CK205" s="269"/>
      <c r="CL205" s="266"/>
    </row>
    <row r="206" spans="1:90" s="270" customFormat="1">
      <c r="A206" s="95"/>
      <c r="B206" s="263"/>
      <c r="C206" s="263"/>
      <c r="D206" s="263"/>
      <c r="E206" s="263"/>
      <c r="F206" s="263"/>
      <c r="G206" s="263"/>
      <c r="H206" s="95"/>
      <c r="I206" s="95"/>
      <c r="J206" s="263"/>
      <c r="K206" s="263"/>
      <c r="L206" s="263"/>
      <c r="M206" s="263"/>
      <c r="N206" s="263"/>
      <c r="O206" s="263"/>
      <c r="P206" s="95"/>
      <c r="Q206" s="95"/>
      <c r="R206" s="95"/>
      <c r="S206" s="95"/>
      <c r="T206" s="95"/>
      <c r="U206" s="95"/>
      <c r="V206" s="95"/>
      <c r="W206" s="95"/>
      <c r="X206" s="95"/>
      <c r="Y206" s="95"/>
      <c r="Z206" s="95"/>
      <c r="AA206" s="95"/>
      <c r="AB206" s="95"/>
      <c r="AC206" s="95"/>
      <c r="AD206" s="95"/>
      <c r="AE206" s="95"/>
      <c r="AF206" s="95"/>
      <c r="AG206" s="95"/>
      <c r="AH206" s="95"/>
      <c r="AI206" s="95"/>
      <c r="AJ206" s="95"/>
      <c r="AK206" s="95"/>
      <c r="AL206" s="95"/>
      <c r="AM206" s="95"/>
      <c r="AN206" s="264"/>
      <c r="AO206" s="95"/>
      <c r="AP206" s="95"/>
      <c r="AQ206" s="95"/>
      <c r="AR206" s="95"/>
      <c r="AS206" s="95"/>
      <c r="AT206" s="95"/>
      <c r="AU206" s="95"/>
      <c r="AV206" s="95"/>
      <c r="AW206" s="95"/>
      <c r="AX206" s="95"/>
      <c r="AY206" s="95"/>
      <c r="AZ206" s="95"/>
      <c r="BA206" s="95"/>
      <c r="BB206" s="95"/>
      <c r="BC206" s="214"/>
      <c r="BD206" s="95"/>
      <c r="BE206" s="95"/>
      <c r="BF206" s="95"/>
      <c r="BG206" s="95"/>
      <c r="BH206" s="95"/>
      <c r="BI206" s="95"/>
      <c r="BJ206" s="95"/>
      <c r="BK206" s="265"/>
      <c r="BL206" s="265"/>
      <c r="BM206" s="265"/>
      <c r="BN206" s="266"/>
      <c r="BO206" s="267"/>
      <c r="BP206" s="268"/>
      <c r="BQ206" s="269"/>
      <c r="BR206" s="269"/>
      <c r="BS206" s="269"/>
      <c r="BT206" s="269"/>
      <c r="BU206" s="269"/>
      <c r="BV206" s="269"/>
      <c r="BW206" s="268"/>
      <c r="BX206" s="269"/>
      <c r="BY206" s="268"/>
      <c r="BZ206" s="268"/>
      <c r="CA206" s="268"/>
      <c r="CB206" s="269"/>
      <c r="CC206" s="268"/>
      <c r="CD206" s="268"/>
      <c r="CE206" s="269"/>
      <c r="CF206" s="269"/>
      <c r="CG206" s="269"/>
      <c r="CH206" s="269"/>
      <c r="CI206" s="269"/>
      <c r="CJ206" s="269"/>
      <c r="CK206" s="269"/>
      <c r="CL206" s="266"/>
    </row>
    <row r="207" spans="1:90" s="270" customFormat="1">
      <c r="A207" s="95"/>
      <c r="B207" s="263"/>
      <c r="C207" s="263"/>
      <c r="D207" s="263"/>
      <c r="E207" s="263"/>
      <c r="F207" s="263"/>
      <c r="G207" s="263"/>
      <c r="H207" s="95"/>
      <c r="I207" s="95"/>
      <c r="J207" s="263"/>
      <c r="K207" s="263"/>
      <c r="L207" s="263"/>
      <c r="M207" s="263"/>
      <c r="N207" s="263"/>
      <c r="O207" s="263"/>
      <c r="P207" s="95"/>
      <c r="Q207" s="95"/>
      <c r="R207" s="95"/>
      <c r="S207" s="95"/>
      <c r="T207" s="95"/>
      <c r="U207" s="95"/>
      <c r="V207" s="95"/>
      <c r="W207" s="95"/>
      <c r="X207" s="95"/>
      <c r="Y207" s="95"/>
      <c r="Z207" s="95"/>
      <c r="AA207" s="95"/>
      <c r="AB207" s="95"/>
      <c r="AC207" s="95"/>
      <c r="AD207" s="95"/>
      <c r="AE207" s="95"/>
      <c r="AF207" s="95"/>
      <c r="AG207" s="95"/>
      <c r="AH207" s="95"/>
      <c r="AI207" s="95"/>
      <c r="AJ207" s="95"/>
      <c r="AK207" s="95"/>
      <c r="AL207" s="95"/>
      <c r="AM207" s="95"/>
      <c r="AN207" s="264"/>
      <c r="AO207" s="95"/>
      <c r="AP207" s="95"/>
      <c r="AQ207" s="95"/>
      <c r="AR207" s="95"/>
      <c r="AS207" s="95"/>
      <c r="AT207" s="95"/>
      <c r="AU207" s="95"/>
      <c r="AV207" s="95"/>
      <c r="AW207" s="95"/>
      <c r="AX207" s="95"/>
      <c r="AY207" s="95"/>
      <c r="AZ207" s="95"/>
      <c r="BA207" s="95"/>
      <c r="BB207" s="95"/>
      <c r="BC207" s="214"/>
      <c r="BD207" s="95"/>
      <c r="BE207" s="95"/>
      <c r="BF207" s="95"/>
      <c r="BG207" s="95"/>
      <c r="BH207" s="95"/>
      <c r="BI207" s="95"/>
      <c r="BJ207" s="95"/>
      <c r="BK207" s="265"/>
      <c r="BL207" s="265"/>
      <c r="BM207" s="265"/>
      <c r="BN207" s="266"/>
      <c r="BO207" s="267"/>
      <c r="BP207" s="268"/>
      <c r="BQ207" s="269"/>
      <c r="BR207" s="269"/>
      <c r="BS207" s="269"/>
      <c r="BT207" s="269"/>
      <c r="BU207" s="269"/>
      <c r="BV207" s="269"/>
      <c r="BW207" s="268"/>
      <c r="BX207" s="269"/>
      <c r="BY207" s="268"/>
      <c r="BZ207" s="268"/>
      <c r="CA207" s="268"/>
      <c r="CB207" s="269"/>
      <c r="CC207" s="268"/>
      <c r="CD207" s="268"/>
      <c r="CE207" s="269"/>
      <c r="CF207" s="269"/>
      <c r="CG207" s="269"/>
      <c r="CH207" s="269"/>
      <c r="CI207" s="269"/>
      <c r="CJ207" s="269"/>
      <c r="CK207" s="269"/>
      <c r="CL207" s="266"/>
    </row>
    <row r="208" spans="1:90" s="270" customFormat="1">
      <c r="A208" s="95"/>
      <c r="B208" s="263"/>
      <c r="C208" s="263"/>
      <c r="D208" s="263"/>
      <c r="E208" s="263"/>
      <c r="F208" s="263"/>
      <c r="G208" s="263"/>
      <c r="H208" s="95"/>
      <c r="I208" s="95"/>
      <c r="J208" s="263"/>
      <c r="K208" s="263"/>
      <c r="L208" s="263"/>
      <c r="M208" s="263"/>
      <c r="N208" s="263"/>
      <c r="O208" s="263"/>
      <c r="P208" s="95"/>
      <c r="Q208" s="95"/>
      <c r="R208" s="95"/>
      <c r="S208" s="95"/>
      <c r="T208" s="95"/>
      <c r="U208" s="95"/>
      <c r="V208" s="95"/>
      <c r="W208" s="95"/>
      <c r="X208" s="95"/>
      <c r="Y208" s="95"/>
      <c r="Z208" s="95"/>
      <c r="AA208" s="95"/>
      <c r="AB208" s="95"/>
      <c r="AC208" s="95"/>
      <c r="AD208" s="95"/>
      <c r="AE208" s="95"/>
      <c r="AF208" s="95"/>
      <c r="AG208" s="95"/>
      <c r="AH208" s="95"/>
      <c r="AI208" s="95"/>
      <c r="AJ208" s="95"/>
      <c r="AK208" s="95"/>
      <c r="AL208" s="95"/>
      <c r="AM208" s="95"/>
      <c r="AN208" s="264"/>
      <c r="AO208" s="95"/>
      <c r="AP208" s="95"/>
      <c r="AQ208" s="95"/>
      <c r="AR208" s="95"/>
      <c r="AS208" s="95"/>
      <c r="AT208" s="95"/>
      <c r="AU208" s="95"/>
      <c r="AV208" s="95"/>
      <c r="AW208" s="95"/>
      <c r="AX208" s="95"/>
      <c r="AY208" s="95"/>
      <c r="AZ208" s="95"/>
      <c r="BA208" s="95"/>
      <c r="BB208" s="95"/>
      <c r="BC208" s="214"/>
      <c r="BD208" s="95"/>
      <c r="BE208" s="95"/>
      <c r="BF208" s="95"/>
      <c r="BG208" s="95"/>
      <c r="BH208" s="95"/>
      <c r="BI208" s="95"/>
      <c r="BJ208" s="95"/>
      <c r="BK208" s="265"/>
      <c r="BL208" s="265"/>
      <c r="BM208" s="265"/>
      <c r="BN208" s="266"/>
      <c r="BO208" s="267"/>
      <c r="BP208" s="268"/>
      <c r="BQ208" s="269"/>
      <c r="BR208" s="269"/>
      <c r="BS208" s="269"/>
      <c r="BT208" s="269"/>
      <c r="BU208" s="269"/>
      <c r="BV208" s="269"/>
      <c r="BW208" s="268"/>
      <c r="BX208" s="269"/>
      <c r="BY208" s="268"/>
      <c r="BZ208" s="268"/>
      <c r="CA208" s="268"/>
      <c r="CB208" s="269"/>
      <c r="CC208" s="268"/>
      <c r="CD208" s="268"/>
      <c r="CE208" s="269"/>
      <c r="CF208" s="269"/>
      <c r="CG208" s="269"/>
      <c r="CH208" s="269"/>
      <c r="CI208" s="269"/>
      <c r="CJ208" s="269"/>
      <c r="CK208" s="269"/>
      <c r="CL208" s="266"/>
    </row>
    <row r="209" spans="1:90" s="270" customFormat="1">
      <c r="A209" s="95"/>
      <c r="B209" s="263"/>
      <c r="C209" s="263"/>
      <c r="D209" s="263"/>
      <c r="E209" s="263"/>
      <c r="F209" s="263"/>
      <c r="G209" s="263"/>
      <c r="H209" s="95"/>
      <c r="I209" s="95"/>
      <c r="J209" s="263"/>
      <c r="K209" s="263"/>
      <c r="L209" s="263"/>
      <c r="M209" s="263"/>
      <c r="N209" s="263"/>
      <c r="O209" s="263"/>
      <c r="P209" s="95"/>
      <c r="Q209" s="95"/>
      <c r="R209" s="95"/>
      <c r="S209" s="95"/>
      <c r="T209" s="95"/>
      <c r="U209" s="95"/>
      <c r="V209" s="95"/>
      <c r="W209" s="95"/>
      <c r="X209" s="95"/>
      <c r="Y209" s="95"/>
      <c r="Z209" s="95"/>
      <c r="AA209" s="95"/>
      <c r="AB209" s="95"/>
      <c r="AC209" s="95"/>
      <c r="AD209" s="95"/>
      <c r="AE209" s="95"/>
      <c r="AF209" s="95"/>
      <c r="AG209" s="95"/>
      <c r="AH209" s="95"/>
      <c r="AI209" s="95"/>
      <c r="AJ209" s="95"/>
      <c r="AK209" s="95"/>
      <c r="AL209" s="95"/>
      <c r="AM209" s="95"/>
      <c r="AN209" s="264"/>
      <c r="AO209" s="95"/>
      <c r="AP209" s="95"/>
      <c r="AQ209" s="95"/>
      <c r="AR209" s="95"/>
      <c r="AS209" s="95"/>
      <c r="AT209" s="95"/>
      <c r="AU209" s="95"/>
      <c r="AV209" s="95"/>
      <c r="AW209" s="95"/>
      <c r="AX209" s="95"/>
      <c r="AY209" s="95"/>
      <c r="AZ209" s="95"/>
      <c r="BA209" s="95"/>
      <c r="BB209" s="95"/>
      <c r="BC209" s="214"/>
      <c r="BD209" s="95"/>
      <c r="BE209" s="95"/>
      <c r="BF209" s="95"/>
      <c r="BG209" s="95"/>
      <c r="BH209" s="95"/>
      <c r="BI209" s="95"/>
      <c r="BJ209" s="95"/>
      <c r="BK209" s="265"/>
      <c r="BL209" s="265"/>
      <c r="BM209" s="265"/>
      <c r="BN209" s="266"/>
      <c r="BO209" s="267"/>
      <c r="BP209" s="268"/>
      <c r="BQ209" s="269"/>
      <c r="BR209" s="269"/>
      <c r="BS209" s="269"/>
      <c r="BT209" s="269"/>
      <c r="BU209" s="269"/>
      <c r="BV209" s="269"/>
      <c r="BW209" s="268"/>
      <c r="BX209" s="269"/>
      <c r="BY209" s="268"/>
      <c r="BZ209" s="268"/>
      <c r="CA209" s="268"/>
      <c r="CB209" s="269"/>
      <c r="CC209" s="268"/>
      <c r="CD209" s="268"/>
      <c r="CE209" s="269"/>
      <c r="CF209" s="269"/>
      <c r="CG209" s="269"/>
      <c r="CH209" s="269"/>
      <c r="CI209" s="269"/>
      <c r="CJ209" s="269"/>
      <c r="CK209" s="269"/>
      <c r="CL209" s="266"/>
    </row>
    <row r="210" spans="1:90" s="270" customFormat="1">
      <c r="A210" s="95"/>
      <c r="B210" s="263"/>
      <c r="C210" s="263"/>
      <c r="D210" s="263"/>
      <c r="E210" s="263"/>
      <c r="F210" s="263"/>
      <c r="G210" s="263"/>
      <c r="H210" s="95"/>
      <c r="I210" s="95"/>
      <c r="J210" s="263"/>
      <c r="K210" s="263"/>
      <c r="L210" s="263"/>
      <c r="M210" s="263"/>
      <c r="N210" s="263"/>
      <c r="O210" s="263"/>
      <c r="P210" s="95"/>
      <c r="Q210" s="95"/>
      <c r="R210" s="95"/>
      <c r="S210" s="95"/>
      <c r="T210" s="95"/>
      <c r="U210" s="95"/>
      <c r="V210" s="95"/>
      <c r="W210" s="95"/>
      <c r="X210" s="95"/>
      <c r="Y210" s="95"/>
      <c r="Z210" s="95"/>
      <c r="AA210" s="95"/>
      <c r="AB210" s="95"/>
      <c r="AC210" s="95"/>
      <c r="AD210" s="95"/>
      <c r="AE210" s="95"/>
      <c r="AF210" s="95"/>
      <c r="AG210" s="95"/>
      <c r="AH210" s="95"/>
      <c r="AI210" s="95"/>
      <c r="AJ210" s="95"/>
      <c r="AK210" s="95"/>
      <c r="AL210" s="95"/>
      <c r="AM210" s="95"/>
      <c r="AN210" s="264"/>
      <c r="AO210" s="95"/>
      <c r="AP210" s="95"/>
      <c r="AQ210" s="95"/>
      <c r="AR210" s="95"/>
      <c r="AS210" s="95"/>
      <c r="AT210" s="95"/>
      <c r="AU210" s="95"/>
      <c r="AV210" s="95"/>
      <c r="AW210" s="95"/>
      <c r="AX210" s="95"/>
      <c r="AY210" s="95"/>
      <c r="AZ210" s="95"/>
      <c r="BA210" s="95"/>
      <c r="BB210" s="95"/>
      <c r="BC210" s="214"/>
      <c r="BD210" s="95"/>
      <c r="BE210" s="95"/>
      <c r="BF210" s="95"/>
      <c r="BG210" s="95"/>
      <c r="BH210" s="95"/>
      <c r="BI210" s="24"/>
      <c r="BJ210" s="95"/>
      <c r="BK210" s="265"/>
      <c r="BL210" s="265"/>
      <c r="BM210" s="265"/>
      <c r="BN210" s="266"/>
      <c r="BO210" s="267"/>
      <c r="BP210" s="268"/>
      <c r="BQ210" s="269"/>
      <c r="BR210" s="269"/>
      <c r="BS210" s="269"/>
      <c r="BT210" s="269"/>
      <c r="BU210" s="269"/>
      <c r="BV210" s="269"/>
      <c r="BW210" s="268"/>
      <c r="BX210" s="269"/>
      <c r="BY210" s="268"/>
      <c r="BZ210" s="268"/>
      <c r="CA210" s="268"/>
      <c r="CB210" s="269"/>
      <c r="CC210" s="268"/>
      <c r="CD210" s="268"/>
      <c r="CE210" s="269"/>
      <c r="CF210" s="269"/>
      <c r="CG210" s="269"/>
      <c r="CH210" s="269"/>
      <c r="CI210" s="269"/>
      <c r="CJ210" s="269"/>
      <c r="CK210" s="269"/>
      <c r="CL210" s="266"/>
    </row>
    <row r="211" spans="1:90" s="270" customFormat="1">
      <c r="A211" s="95"/>
      <c r="B211" s="263"/>
      <c r="C211" s="263"/>
      <c r="D211" s="263"/>
      <c r="E211" s="263"/>
      <c r="F211" s="263"/>
      <c r="G211" s="263"/>
      <c r="H211" s="95"/>
      <c r="I211" s="95"/>
      <c r="J211" s="263"/>
      <c r="K211" s="263"/>
      <c r="L211" s="263"/>
      <c r="M211" s="263"/>
      <c r="N211" s="263"/>
      <c r="O211" s="263"/>
      <c r="P211" s="95"/>
      <c r="Q211" s="95"/>
      <c r="R211" s="95"/>
      <c r="S211" s="95"/>
      <c r="T211" s="95"/>
      <c r="U211" s="95"/>
      <c r="V211" s="95"/>
      <c r="W211" s="95"/>
      <c r="X211" s="95"/>
      <c r="Y211" s="95"/>
      <c r="Z211" s="95"/>
      <c r="AA211" s="95"/>
      <c r="AB211" s="95"/>
      <c r="AC211" s="95"/>
      <c r="AD211" s="95"/>
      <c r="AE211" s="95"/>
      <c r="AF211" s="95"/>
      <c r="AG211" s="95"/>
      <c r="AH211" s="95"/>
      <c r="AI211" s="95"/>
      <c r="AJ211" s="95"/>
      <c r="AK211" s="95"/>
      <c r="AL211" s="95"/>
      <c r="AM211" s="95"/>
      <c r="AN211" s="264"/>
      <c r="AO211" s="95"/>
      <c r="AP211" s="95"/>
      <c r="AQ211" s="95"/>
      <c r="AR211" s="95"/>
      <c r="AS211" s="95"/>
      <c r="AT211" s="95"/>
      <c r="AU211" s="95"/>
      <c r="AV211" s="95"/>
      <c r="AW211" s="95"/>
      <c r="AX211" s="95"/>
      <c r="AY211" s="95"/>
      <c r="AZ211" s="95"/>
      <c r="BA211" s="95"/>
      <c r="BB211" s="95"/>
      <c r="BC211" s="214"/>
      <c r="BD211" s="95"/>
      <c r="BE211" s="95"/>
      <c r="BF211" s="95"/>
      <c r="BG211" s="95"/>
      <c r="BH211" s="95"/>
      <c r="BI211" s="24"/>
      <c r="BJ211" s="95"/>
      <c r="BK211" s="265"/>
      <c r="BL211" s="265"/>
      <c r="BM211" s="265"/>
      <c r="BN211" s="266"/>
      <c r="BO211" s="267"/>
      <c r="BP211" s="268"/>
      <c r="BQ211" s="269"/>
      <c r="BR211" s="269"/>
      <c r="BS211" s="269"/>
      <c r="BT211" s="269"/>
      <c r="BU211" s="269"/>
      <c r="BV211" s="269"/>
      <c r="BW211" s="268"/>
      <c r="BX211" s="269"/>
      <c r="BY211" s="268"/>
      <c r="BZ211" s="268"/>
      <c r="CA211" s="268"/>
      <c r="CB211" s="269"/>
      <c r="CC211" s="268"/>
      <c r="CD211" s="268"/>
      <c r="CE211" s="269"/>
      <c r="CF211" s="269"/>
      <c r="CG211" s="269"/>
      <c r="CH211" s="269"/>
      <c r="CI211" s="269"/>
      <c r="CJ211" s="269"/>
      <c r="CK211" s="269"/>
      <c r="CL211" s="266"/>
    </row>
    <row r="212" spans="1:90" s="270" customFormat="1">
      <c r="A212" s="95"/>
      <c r="B212" s="263"/>
      <c r="C212" s="263"/>
      <c r="D212" s="263"/>
      <c r="E212" s="263"/>
      <c r="F212" s="263"/>
      <c r="G212" s="263"/>
      <c r="H212" s="95"/>
      <c r="I212" s="95"/>
      <c r="J212" s="263"/>
      <c r="K212" s="263"/>
      <c r="L212" s="263"/>
      <c r="M212" s="263"/>
      <c r="N212" s="263"/>
      <c r="O212" s="263"/>
      <c r="P212" s="95"/>
      <c r="Q212" s="95"/>
      <c r="R212" s="95"/>
      <c r="S212" s="95"/>
      <c r="T212" s="95"/>
      <c r="U212" s="95"/>
      <c r="V212" s="95"/>
      <c r="W212" s="95"/>
      <c r="X212" s="95"/>
      <c r="Y212" s="95"/>
      <c r="Z212" s="95"/>
      <c r="AA212" s="95"/>
      <c r="AB212" s="95"/>
      <c r="AC212" s="95"/>
      <c r="AD212" s="95"/>
      <c r="AE212" s="95"/>
      <c r="AF212" s="95"/>
      <c r="AG212" s="95"/>
      <c r="AH212" s="95"/>
      <c r="AI212" s="95"/>
      <c r="AJ212" s="95"/>
      <c r="AK212" s="95"/>
      <c r="AL212" s="95"/>
      <c r="AM212" s="95"/>
      <c r="AN212" s="264"/>
      <c r="AO212" s="95"/>
      <c r="AP212" s="95"/>
      <c r="AQ212" s="95"/>
      <c r="AR212" s="95"/>
      <c r="AS212" s="95"/>
      <c r="AT212" s="95"/>
      <c r="AU212" s="95"/>
      <c r="AV212" s="95"/>
      <c r="AW212" s="95"/>
      <c r="AX212" s="95"/>
      <c r="AY212" s="95"/>
      <c r="AZ212" s="95"/>
      <c r="BA212" s="95"/>
      <c r="BB212" s="95"/>
      <c r="BC212" s="214"/>
      <c r="BD212" s="95"/>
      <c r="BE212" s="95"/>
      <c r="BF212" s="95"/>
      <c r="BG212" s="95"/>
      <c r="BH212" s="95"/>
      <c r="BI212" s="24"/>
      <c r="BJ212" s="95"/>
      <c r="BK212" s="265"/>
      <c r="BL212" s="265"/>
      <c r="BM212" s="265"/>
      <c r="BN212" s="266"/>
      <c r="BO212" s="267"/>
      <c r="BP212" s="268"/>
      <c r="BQ212" s="269"/>
      <c r="BR212" s="269"/>
      <c r="BS212" s="269"/>
      <c r="BT212" s="269"/>
      <c r="BU212" s="269"/>
      <c r="BV212" s="269"/>
      <c r="BW212" s="268"/>
      <c r="BX212" s="269"/>
      <c r="BY212" s="268"/>
      <c r="BZ212" s="268"/>
      <c r="CA212" s="268"/>
      <c r="CB212" s="269"/>
      <c r="CC212" s="268"/>
      <c r="CD212" s="268"/>
      <c r="CE212" s="269"/>
      <c r="CF212" s="269"/>
      <c r="CG212" s="269"/>
      <c r="CH212" s="269"/>
      <c r="CI212" s="269"/>
      <c r="CJ212" s="269"/>
      <c r="CK212" s="269"/>
      <c r="CL212" s="266"/>
    </row>
    <row r="213" spans="1:90" s="270" customFormat="1">
      <c r="A213" s="95"/>
      <c r="B213" s="263"/>
      <c r="C213" s="263"/>
      <c r="D213" s="263"/>
      <c r="E213" s="263"/>
      <c r="F213" s="263"/>
      <c r="G213" s="263"/>
      <c r="H213" s="95"/>
      <c r="I213" s="95"/>
      <c r="J213" s="263"/>
      <c r="K213" s="263"/>
      <c r="L213" s="263"/>
      <c r="M213" s="263"/>
      <c r="N213" s="263"/>
      <c r="O213" s="263"/>
      <c r="P213" s="95"/>
      <c r="Q213" s="95"/>
      <c r="R213" s="95"/>
      <c r="S213" s="95"/>
      <c r="T213" s="95"/>
      <c r="U213" s="95"/>
      <c r="V213" s="95"/>
      <c r="W213" s="95"/>
      <c r="X213" s="95"/>
      <c r="Y213" s="95"/>
      <c r="Z213" s="95"/>
      <c r="AA213" s="95"/>
      <c r="AB213" s="95"/>
      <c r="AC213" s="95"/>
      <c r="AD213" s="95"/>
      <c r="AE213" s="95"/>
      <c r="AF213" s="95"/>
      <c r="AG213" s="95"/>
      <c r="AH213" s="95"/>
      <c r="AI213" s="95"/>
      <c r="AJ213" s="95"/>
      <c r="AK213" s="95"/>
      <c r="AL213" s="95"/>
      <c r="AM213" s="95"/>
      <c r="AN213" s="264"/>
      <c r="AO213" s="95"/>
      <c r="AP213" s="95"/>
      <c r="AQ213" s="95"/>
      <c r="AR213" s="95"/>
      <c r="AS213" s="95"/>
      <c r="AT213" s="95"/>
      <c r="AU213" s="95"/>
      <c r="AV213" s="95"/>
      <c r="AW213" s="95"/>
      <c r="AX213" s="95"/>
      <c r="AY213" s="95"/>
      <c r="AZ213" s="95"/>
      <c r="BA213" s="95"/>
      <c r="BB213" s="95"/>
      <c r="BC213" s="214"/>
      <c r="BD213" s="95"/>
      <c r="BE213" s="95"/>
      <c r="BF213" s="95"/>
      <c r="BG213" s="95"/>
      <c r="BH213" s="95"/>
      <c r="BI213" s="24"/>
      <c r="BJ213" s="95"/>
      <c r="BK213" s="265"/>
      <c r="BL213" s="265"/>
      <c r="BM213" s="265"/>
      <c r="BN213" s="266"/>
      <c r="BO213" s="267"/>
      <c r="BP213" s="268"/>
      <c r="BQ213" s="269"/>
      <c r="BR213" s="269"/>
      <c r="BS213" s="269"/>
      <c r="BT213" s="269"/>
      <c r="BU213" s="269"/>
      <c r="BV213" s="269"/>
      <c r="BW213" s="268"/>
      <c r="BX213" s="269"/>
      <c r="BY213" s="268"/>
      <c r="BZ213" s="268"/>
      <c r="CA213" s="268"/>
      <c r="CB213" s="269"/>
      <c r="CC213" s="268"/>
      <c r="CD213" s="268"/>
      <c r="CE213" s="269"/>
      <c r="CF213" s="269"/>
      <c r="CG213" s="269"/>
      <c r="CH213" s="269"/>
      <c r="CI213" s="269"/>
      <c r="CJ213" s="269"/>
      <c r="CK213" s="269"/>
      <c r="CL213" s="266"/>
    </row>
    <row r="214" spans="1:90" s="270" customFormat="1">
      <c r="A214" s="95"/>
      <c r="B214" s="263"/>
      <c r="C214" s="263"/>
      <c r="D214" s="263"/>
      <c r="E214" s="263"/>
      <c r="F214" s="263"/>
      <c r="G214" s="263"/>
      <c r="H214" s="95"/>
      <c r="I214" s="95"/>
      <c r="J214" s="263"/>
      <c r="K214" s="263"/>
      <c r="L214" s="263"/>
      <c r="M214" s="263"/>
      <c r="N214" s="263"/>
      <c r="O214" s="263"/>
      <c r="P214" s="95"/>
      <c r="Q214" s="95"/>
      <c r="R214" s="95"/>
      <c r="S214" s="95"/>
      <c r="T214" s="95"/>
      <c r="U214" s="95"/>
      <c r="V214" s="95"/>
      <c r="W214" s="95"/>
      <c r="X214" s="95"/>
      <c r="Y214" s="95"/>
      <c r="Z214" s="95"/>
      <c r="AA214" s="95"/>
      <c r="AB214" s="95"/>
      <c r="AC214" s="95"/>
      <c r="AD214" s="95"/>
      <c r="AE214" s="95"/>
      <c r="AF214" s="95"/>
      <c r="AG214" s="95"/>
      <c r="AH214" s="95"/>
      <c r="AI214" s="95"/>
      <c r="AJ214" s="95"/>
      <c r="AK214" s="95"/>
      <c r="AL214" s="95"/>
      <c r="AM214" s="95"/>
      <c r="AN214" s="264"/>
      <c r="AO214" s="95"/>
      <c r="AP214" s="95"/>
      <c r="AQ214" s="95"/>
      <c r="AR214" s="95"/>
      <c r="AS214" s="95"/>
      <c r="AT214" s="95"/>
      <c r="AU214" s="95"/>
      <c r="AV214" s="95"/>
      <c r="AW214" s="95"/>
      <c r="AX214" s="95"/>
      <c r="AY214" s="95"/>
      <c r="AZ214" s="95"/>
      <c r="BA214" s="95"/>
      <c r="BB214" s="95"/>
      <c r="BC214" s="214"/>
      <c r="BD214" s="95"/>
      <c r="BE214" s="95"/>
      <c r="BF214" s="95"/>
      <c r="BG214" s="95"/>
      <c r="BH214" s="95"/>
      <c r="BI214" s="24"/>
      <c r="BJ214" s="95"/>
      <c r="BK214" s="265"/>
      <c r="BL214" s="265"/>
      <c r="BM214" s="265"/>
      <c r="BN214" s="266"/>
      <c r="BO214" s="267"/>
      <c r="BP214" s="268"/>
      <c r="BQ214" s="269"/>
      <c r="BR214" s="269"/>
      <c r="BS214" s="269"/>
      <c r="BT214" s="269"/>
      <c r="BU214" s="269"/>
      <c r="BV214" s="269"/>
      <c r="BW214" s="268"/>
      <c r="BX214" s="269"/>
      <c r="BY214" s="268"/>
      <c r="BZ214" s="268"/>
      <c r="CA214" s="268"/>
      <c r="CB214" s="269"/>
      <c r="CC214" s="268"/>
      <c r="CD214" s="268"/>
      <c r="CE214" s="269"/>
      <c r="CF214" s="269"/>
      <c r="CG214" s="269"/>
      <c r="CH214" s="269"/>
      <c r="CI214" s="269"/>
      <c r="CJ214" s="269"/>
      <c r="CK214" s="269"/>
      <c r="CL214" s="266"/>
    </row>
    <row r="215" spans="1:90" s="270" customFormat="1">
      <c r="A215" s="95"/>
      <c r="B215" s="263"/>
      <c r="C215" s="263"/>
      <c r="D215" s="263"/>
      <c r="E215" s="263"/>
      <c r="F215" s="263"/>
      <c r="G215" s="263"/>
      <c r="H215" s="95"/>
      <c r="I215" s="95"/>
      <c r="J215" s="263"/>
      <c r="K215" s="263"/>
      <c r="L215" s="263"/>
      <c r="M215" s="263"/>
      <c r="N215" s="263"/>
      <c r="O215" s="263"/>
      <c r="P215" s="95"/>
      <c r="Q215" s="95"/>
      <c r="R215" s="95"/>
      <c r="S215" s="95"/>
      <c r="T215" s="95"/>
      <c r="U215" s="95"/>
      <c r="V215" s="95"/>
      <c r="W215" s="95"/>
      <c r="X215" s="95"/>
      <c r="Y215" s="95"/>
      <c r="Z215" s="95"/>
      <c r="AA215" s="95"/>
      <c r="AB215" s="95"/>
      <c r="AC215" s="95"/>
      <c r="AD215" s="95"/>
      <c r="AE215" s="95"/>
      <c r="AF215" s="95"/>
      <c r="AG215" s="95"/>
      <c r="AH215" s="95"/>
      <c r="AI215" s="95"/>
      <c r="AJ215" s="95"/>
      <c r="AK215" s="95"/>
      <c r="AL215" s="95"/>
      <c r="AM215" s="95"/>
      <c r="AN215" s="264"/>
      <c r="AO215" s="95"/>
      <c r="AP215" s="95"/>
      <c r="AQ215" s="95"/>
      <c r="AR215" s="95"/>
      <c r="AS215" s="95"/>
      <c r="AT215" s="95"/>
      <c r="AU215" s="95"/>
      <c r="AV215" s="95"/>
      <c r="AW215" s="95"/>
      <c r="AX215" s="95"/>
      <c r="AY215" s="95"/>
      <c r="AZ215" s="95"/>
      <c r="BA215" s="95"/>
      <c r="BB215" s="95"/>
      <c r="BC215" s="214"/>
      <c r="BD215" s="95"/>
      <c r="BE215" s="95"/>
      <c r="BF215" s="95"/>
      <c r="BG215" s="95"/>
      <c r="BH215" s="95"/>
      <c r="BI215" s="24"/>
      <c r="BJ215" s="95"/>
      <c r="BK215" s="265"/>
      <c r="BL215" s="265"/>
      <c r="BM215" s="265"/>
      <c r="BN215" s="266"/>
      <c r="BO215" s="267"/>
      <c r="BP215" s="268"/>
      <c r="BQ215" s="269"/>
      <c r="BR215" s="269"/>
      <c r="BS215" s="269"/>
      <c r="BT215" s="269"/>
      <c r="BU215" s="269"/>
      <c r="BV215" s="269"/>
      <c r="BW215" s="268"/>
      <c r="BX215" s="269"/>
      <c r="BY215" s="268"/>
      <c r="BZ215" s="268"/>
      <c r="CA215" s="268"/>
      <c r="CB215" s="269"/>
      <c r="CC215" s="268"/>
      <c r="CD215" s="268"/>
      <c r="CE215" s="269"/>
      <c r="CF215" s="269"/>
      <c r="CG215" s="269"/>
      <c r="CH215" s="269"/>
      <c r="CI215" s="269"/>
      <c r="CJ215" s="269"/>
      <c r="CK215" s="269"/>
      <c r="CL215" s="266"/>
    </row>
    <row r="216" spans="1:90" s="270" customFormat="1">
      <c r="A216" s="95"/>
      <c r="B216" s="263"/>
      <c r="C216" s="263"/>
      <c r="D216" s="263"/>
      <c r="E216" s="263"/>
      <c r="F216" s="263"/>
      <c r="G216" s="263"/>
      <c r="H216" s="95"/>
      <c r="I216" s="95"/>
      <c r="J216" s="263"/>
      <c r="K216" s="263"/>
      <c r="L216" s="263"/>
      <c r="M216" s="263"/>
      <c r="N216" s="263"/>
      <c r="O216" s="263"/>
      <c r="P216" s="95"/>
      <c r="Q216" s="95"/>
      <c r="R216" s="95"/>
      <c r="S216" s="95"/>
      <c r="T216" s="95"/>
      <c r="U216" s="95"/>
      <c r="V216" s="95"/>
      <c r="W216" s="95"/>
      <c r="X216" s="95"/>
      <c r="Y216" s="95"/>
      <c r="Z216" s="95"/>
      <c r="AA216" s="95"/>
      <c r="AB216" s="95"/>
      <c r="AC216" s="95"/>
      <c r="AD216" s="95"/>
      <c r="AE216" s="95"/>
      <c r="AF216" s="95"/>
      <c r="AG216" s="95"/>
      <c r="AH216" s="95"/>
      <c r="AI216" s="95"/>
      <c r="AJ216" s="95"/>
      <c r="AK216" s="95"/>
      <c r="AL216" s="95"/>
      <c r="AM216" s="95"/>
      <c r="AN216" s="264"/>
      <c r="AO216" s="95"/>
      <c r="AP216" s="95"/>
      <c r="AQ216" s="95"/>
      <c r="AR216" s="95"/>
      <c r="AS216" s="95"/>
      <c r="AT216" s="95"/>
      <c r="AU216" s="95"/>
      <c r="AV216" s="95"/>
      <c r="AW216" s="95"/>
      <c r="AX216" s="95"/>
      <c r="AY216" s="95"/>
      <c r="AZ216" s="95"/>
      <c r="BA216" s="95"/>
      <c r="BB216" s="95"/>
      <c r="BC216" s="214"/>
      <c r="BD216" s="95"/>
      <c r="BE216" s="95"/>
      <c r="BF216" s="95"/>
      <c r="BG216" s="95"/>
      <c r="BH216" s="95"/>
      <c r="BI216" s="24"/>
      <c r="BJ216" s="95"/>
      <c r="BK216" s="265"/>
      <c r="BL216" s="265"/>
      <c r="BM216" s="265"/>
      <c r="BN216" s="266"/>
      <c r="BO216" s="267"/>
      <c r="BP216" s="268"/>
      <c r="BQ216" s="269"/>
      <c r="BR216" s="269"/>
      <c r="BS216" s="269"/>
      <c r="BT216" s="269"/>
      <c r="BU216" s="269"/>
      <c r="BV216" s="269"/>
      <c r="BW216" s="268"/>
      <c r="BX216" s="269"/>
      <c r="BY216" s="268"/>
      <c r="BZ216" s="268"/>
      <c r="CA216" s="268"/>
      <c r="CB216" s="269"/>
      <c r="CC216" s="268"/>
      <c r="CD216" s="268"/>
      <c r="CE216" s="269"/>
      <c r="CF216" s="269"/>
      <c r="CG216" s="269"/>
      <c r="CH216" s="269"/>
      <c r="CI216" s="269"/>
      <c r="CJ216" s="269"/>
      <c r="CK216" s="269"/>
      <c r="CL216" s="266"/>
    </row>
    <row r="217" spans="1:90" s="270" customFormat="1">
      <c r="A217" s="95"/>
      <c r="B217" s="263"/>
      <c r="C217" s="263"/>
      <c r="D217" s="263"/>
      <c r="E217" s="263"/>
      <c r="F217" s="263"/>
      <c r="G217" s="263"/>
      <c r="H217" s="95"/>
      <c r="I217" s="95"/>
      <c r="J217" s="263"/>
      <c r="K217" s="263"/>
      <c r="L217" s="263"/>
      <c r="M217" s="263"/>
      <c r="N217" s="263"/>
      <c r="O217" s="263"/>
      <c r="P217" s="95"/>
      <c r="Q217" s="95"/>
      <c r="R217" s="95"/>
      <c r="S217" s="95"/>
      <c r="T217" s="95"/>
      <c r="U217" s="95"/>
      <c r="V217" s="95"/>
      <c r="W217" s="95"/>
      <c r="X217" s="95"/>
      <c r="Y217" s="95"/>
      <c r="Z217" s="95"/>
      <c r="AA217" s="95"/>
      <c r="AB217" s="95"/>
      <c r="AC217" s="95"/>
      <c r="AD217" s="95"/>
      <c r="AE217" s="95"/>
      <c r="AF217" s="95"/>
      <c r="AG217" s="95"/>
      <c r="AH217" s="95"/>
      <c r="AI217" s="95"/>
      <c r="AJ217" s="95"/>
      <c r="AK217" s="95"/>
      <c r="AL217" s="95"/>
      <c r="AM217" s="95"/>
      <c r="AN217" s="264"/>
      <c r="AO217" s="95"/>
      <c r="AP217" s="95"/>
      <c r="AQ217" s="95"/>
      <c r="AR217" s="95"/>
      <c r="AS217" s="95"/>
      <c r="AT217" s="95"/>
      <c r="AU217" s="95"/>
      <c r="AV217" s="95"/>
      <c r="AW217" s="95"/>
      <c r="AX217" s="95"/>
      <c r="AY217" s="95"/>
      <c r="AZ217" s="95"/>
      <c r="BA217" s="95"/>
      <c r="BB217" s="95"/>
      <c r="BC217" s="214"/>
      <c r="BD217" s="95"/>
      <c r="BE217" s="95"/>
      <c r="BF217" s="95"/>
      <c r="BG217" s="95"/>
      <c r="BH217" s="95"/>
      <c r="BI217" s="24"/>
      <c r="BJ217" s="95"/>
      <c r="BK217" s="265"/>
      <c r="BL217" s="265"/>
      <c r="BM217" s="265"/>
      <c r="BN217" s="266"/>
      <c r="BO217" s="267"/>
      <c r="BP217" s="268"/>
      <c r="BQ217" s="269"/>
      <c r="BR217" s="269"/>
      <c r="BS217" s="269"/>
      <c r="BT217" s="269"/>
      <c r="BU217" s="269"/>
      <c r="BV217" s="269"/>
      <c r="BW217" s="268"/>
      <c r="BX217" s="269"/>
      <c r="BY217" s="268"/>
      <c r="BZ217" s="268"/>
      <c r="CA217" s="268"/>
      <c r="CB217" s="269"/>
      <c r="CC217" s="268"/>
      <c r="CD217" s="268"/>
      <c r="CE217" s="269"/>
      <c r="CF217" s="269"/>
      <c r="CG217" s="269"/>
      <c r="CH217" s="269"/>
      <c r="CI217" s="269"/>
      <c r="CJ217" s="269"/>
      <c r="CK217" s="269"/>
      <c r="CL217" s="266"/>
    </row>
    <row r="218" spans="1:90" s="270" customFormat="1">
      <c r="A218" s="95"/>
      <c r="B218" s="263"/>
      <c r="C218" s="263"/>
      <c r="D218" s="263"/>
      <c r="E218" s="263"/>
      <c r="F218" s="263"/>
      <c r="G218" s="263"/>
      <c r="H218" s="95"/>
      <c r="I218" s="95"/>
      <c r="J218" s="263"/>
      <c r="K218" s="263"/>
      <c r="L218" s="263"/>
      <c r="M218" s="263"/>
      <c r="N218" s="263"/>
      <c r="O218" s="263"/>
      <c r="P218" s="95"/>
      <c r="Q218" s="95"/>
      <c r="R218" s="95"/>
      <c r="S218" s="95"/>
      <c r="T218" s="95"/>
      <c r="U218" s="95"/>
      <c r="V218" s="95"/>
      <c r="W218" s="95"/>
      <c r="X218" s="95"/>
      <c r="Y218" s="95"/>
      <c r="Z218" s="95"/>
      <c r="AA218" s="95"/>
      <c r="AB218" s="95"/>
      <c r="AC218" s="95"/>
      <c r="AD218" s="95"/>
      <c r="AE218" s="95"/>
      <c r="AF218" s="95"/>
      <c r="AG218" s="95"/>
      <c r="AH218" s="95"/>
      <c r="AI218" s="95"/>
      <c r="AJ218" s="95"/>
      <c r="AK218" s="95"/>
      <c r="AL218" s="95"/>
      <c r="AM218" s="95"/>
      <c r="AN218" s="264"/>
      <c r="AO218" s="95"/>
      <c r="AP218" s="95"/>
      <c r="AQ218" s="95"/>
      <c r="AR218" s="95"/>
      <c r="AS218" s="95"/>
      <c r="AT218" s="95"/>
      <c r="AU218" s="95"/>
      <c r="AV218" s="95"/>
      <c r="AW218" s="95"/>
      <c r="AX218" s="95"/>
      <c r="AY218" s="95"/>
      <c r="AZ218" s="95"/>
      <c r="BA218" s="95"/>
      <c r="BB218" s="95"/>
      <c r="BC218" s="214"/>
      <c r="BD218" s="95"/>
      <c r="BE218" s="95"/>
      <c r="BF218" s="95"/>
      <c r="BG218" s="95"/>
      <c r="BH218" s="95"/>
      <c r="BI218" s="24"/>
      <c r="BJ218" s="95"/>
      <c r="BK218" s="265"/>
      <c r="BL218" s="265"/>
      <c r="BM218" s="265"/>
      <c r="BN218" s="266"/>
      <c r="BO218" s="267"/>
      <c r="BP218" s="268"/>
      <c r="BQ218" s="269"/>
      <c r="BR218" s="269"/>
      <c r="BS218" s="269"/>
      <c r="BT218" s="269"/>
      <c r="BU218" s="269"/>
      <c r="BV218" s="269"/>
      <c r="BW218" s="268"/>
      <c r="BX218" s="269"/>
      <c r="BY218" s="268"/>
      <c r="BZ218" s="268"/>
      <c r="CA218" s="268"/>
      <c r="CB218" s="269"/>
      <c r="CC218" s="268"/>
      <c r="CD218" s="268"/>
      <c r="CE218" s="269"/>
      <c r="CF218" s="269"/>
      <c r="CG218" s="269"/>
      <c r="CH218" s="269"/>
      <c r="CI218" s="269"/>
      <c r="CJ218" s="269"/>
      <c r="CK218" s="269"/>
      <c r="CL218" s="266"/>
    </row>
    <row r="219" spans="1:90" s="270" customFormat="1">
      <c r="A219" s="95"/>
      <c r="B219" s="263"/>
      <c r="C219" s="263"/>
      <c r="D219" s="263"/>
      <c r="E219" s="263"/>
      <c r="F219" s="263"/>
      <c r="G219" s="263"/>
      <c r="H219" s="95"/>
      <c r="I219" s="95"/>
      <c r="J219" s="263"/>
      <c r="K219" s="263"/>
      <c r="L219" s="263"/>
      <c r="M219" s="263"/>
      <c r="N219" s="263"/>
      <c r="O219" s="263"/>
      <c r="P219" s="95"/>
      <c r="Q219" s="95"/>
      <c r="R219" s="95"/>
      <c r="S219" s="95"/>
      <c r="T219" s="95"/>
      <c r="U219" s="95"/>
      <c r="V219" s="95"/>
      <c r="W219" s="95"/>
      <c r="X219" s="95"/>
      <c r="Y219" s="95"/>
      <c r="Z219" s="95"/>
      <c r="AA219" s="95"/>
      <c r="AB219" s="95"/>
      <c r="AC219" s="95"/>
      <c r="AD219" s="95"/>
      <c r="AE219" s="95"/>
      <c r="AF219" s="95"/>
      <c r="AG219" s="95"/>
      <c r="AH219" s="95"/>
      <c r="AI219" s="95"/>
      <c r="AJ219" s="95"/>
      <c r="AK219" s="95"/>
      <c r="AL219" s="95"/>
      <c r="AM219" s="95"/>
      <c r="AN219" s="264"/>
      <c r="AO219" s="95"/>
      <c r="AP219" s="95"/>
      <c r="AQ219" s="95"/>
      <c r="AR219" s="95"/>
      <c r="AS219" s="95"/>
      <c r="AT219" s="95"/>
      <c r="AU219" s="95"/>
      <c r="AV219" s="95"/>
      <c r="AW219" s="95"/>
      <c r="AX219" s="95"/>
      <c r="AY219" s="95"/>
      <c r="AZ219" s="95"/>
      <c r="BA219" s="95"/>
      <c r="BB219" s="95"/>
      <c r="BC219" s="214"/>
      <c r="BD219" s="95"/>
      <c r="BE219" s="95"/>
      <c r="BF219" s="95"/>
      <c r="BG219" s="95"/>
      <c r="BH219" s="95"/>
      <c r="BI219" s="24"/>
      <c r="BJ219" s="95"/>
      <c r="BK219" s="265"/>
      <c r="BL219" s="265"/>
      <c r="BM219" s="265"/>
      <c r="BN219" s="266"/>
      <c r="BO219" s="267"/>
      <c r="BP219" s="268"/>
      <c r="BQ219" s="269"/>
      <c r="BR219" s="269"/>
      <c r="BS219" s="269"/>
      <c r="BT219" s="269"/>
      <c r="BU219" s="269"/>
      <c r="BV219" s="269"/>
      <c r="BW219" s="268"/>
      <c r="BX219" s="269"/>
      <c r="BY219" s="268"/>
      <c r="BZ219" s="268"/>
      <c r="CA219" s="268"/>
      <c r="CB219" s="269"/>
      <c r="CC219" s="268"/>
      <c r="CD219" s="268"/>
      <c r="CE219" s="269"/>
      <c r="CF219" s="269"/>
      <c r="CG219" s="269"/>
      <c r="CH219" s="269"/>
      <c r="CI219" s="269"/>
      <c r="CJ219" s="269"/>
      <c r="CK219" s="269"/>
      <c r="CL219" s="266"/>
    </row>
    <row r="220" spans="1:90" s="270" customFormat="1">
      <c r="A220" s="95"/>
      <c r="B220" s="263"/>
      <c r="C220" s="263"/>
      <c r="D220" s="263"/>
      <c r="E220" s="263"/>
      <c r="F220" s="263"/>
      <c r="G220" s="263"/>
      <c r="H220" s="95"/>
      <c r="I220" s="95"/>
      <c r="J220" s="263"/>
      <c r="K220" s="263"/>
      <c r="L220" s="263"/>
      <c r="M220" s="263"/>
      <c r="N220" s="263"/>
      <c r="O220" s="263"/>
      <c r="P220" s="95"/>
      <c r="Q220" s="95"/>
      <c r="R220" s="95"/>
      <c r="S220" s="95"/>
      <c r="T220" s="95"/>
      <c r="U220" s="95"/>
      <c r="V220" s="95"/>
      <c r="W220" s="95"/>
      <c r="X220" s="95"/>
      <c r="Y220" s="95"/>
      <c r="Z220" s="95"/>
      <c r="AA220" s="95"/>
      <c r="AB220" s="95"/>
      <c r="AC220" s="95"/>
      <c r="AD220" s="95"/>
      <c r="AE220" s="95"/>
      <c r="AF220" s="95"/>
      <c r="AG220" s="95"/>
      <c r="AH220" s="95"/>
      <c r="AI220" s="95"/>
      <c r="AJ220" s="95"/>
      <c r="AK220" s="95"/>
      <c r="AL220" s="95"/>
      <c r="AM220" s="95"/>
      <c r="AN220" s="264"/>
      <c r="AO220" s="95"/>
      <c r="AP220" s="95"/>
      <c r="AQ220" s="95"/>
      <c r="AR220" s="95"/>
      <c r="AS220" s="95"/>
      <c r="AT220" s="95"/>
      <c r="AU220" s="95"/>
      <c r="AV220" s="95"/>
      <c r="AW220" s="95"/>
      <c r="AX220" s="95"/>
      <c r="AY220" s="95"/>
      <c r="AZ220" s="95"/>
      <c r="BA220" s="95"/>
      <c r="BB220" s="95"/>
      <c r="BC220" s="214"/>
      <c r="BD220" s="95"/>
      <c r="BE220" s="95"/>
      <c r="BF220" s="95"/>
      <c r="BG220" s="95"/>
      <c r="BH220" s="95"/>
      <c r="BI220" s="24"/>
      <c r="BJ220" s="95"/>
      <c r="BK220" s="265"/>
      <c r="BL220" s="265"/>
      <c r="BM220" s="265"/>
      <c r="BN220" s="266"/>
      <c r="BO220" s="267"/>
      <c r="BP220" s="268"/>
      <c r="BQ220" s="269"/>
      <c r="BR220" s="269"/>
      <c r="BS220" s="269"/>
      <c r="BT220" s="269"/>
      <c r="BU220" s="269"/>
      <c r="BV220" s="269"/>
      <c r="BW220" s="268"/>
      <c r="BX220" s="269"/>
      <c r="BY220" s="268"/>
      <c r="BZ220" s="268"/>
      <c r="CA220" s="268"/>
      <c r="CB220" s="269"/>
      <c r="CC220" s="268"/>
      <c r="CD220" s="268"/>
      <c r="CE220" s="269"/>
      <c r="CF220" s="269"/>
      <c r="CG220" s="269"/>
      <c r="CH220" s="269"/>
      <c r="CI220" s="269"/>
      <c r="CJ220" s="269"/>
      <c r="CK220" s="269"/>
      <c r="CL220" s="266"/>
    </row>
    <row r="221" spans="1:90" s="270" customFormat="1">
      <c r="A221" s="95"/>
      <c r="B221" s="263"/>
      <c r="C221" s="263"/>
      <c r="D221" s="263"/>
      <c r="E221" s="263"/>
      <c r="F221" s="263"/>
      <c r="G221" s="263"/>
      <c r="H221" s="95"/>
      <c r="I221" s="95"/>
      <c r="J221" s="263"/>
      <c r="K221" s="263"/>
      <c r="L221" s="263"/>
      <c r="M221" s="263"/>
      <c r="N221" s="263"/>
      <c r="O221" s="263"/>
      <c r="P221" s="95"/>
      <c r="Q221" s="95"/>
      <c r="R221" s="95"/>
      <c r="S221" s="95"/>
      <c r="T221" s="95"/>
      <c r="U221" s="95"/>
      <c r="V221" s="95"/>
      <c r="W221" s="95"/>
      <c r="X221" s="95"/>
      <c r="Y221" s="95"/>
      <c r="Z221" s="95"/>
      <c r="AA221" s="95"/>
      <c r="AB221" s="95"/>
      <c r="AC221" s="95"/>
      <c r="AD221" s="95"/>
      <c r="AE221" s="95"/>
      <c r="AF221" s="95"/>
      <c r="AG221" s="95"/>
      <c r="AH221" s="95"/>
      <c r="AI221" s="95"/>
      <c r="AJ221" s="95"/>
      <c r="AK221" s="95"/>
      <c r="AL221" s="95"/>
      <c r="AM221" s="95"/>
      <c r="AN221" s="264"/>
      <c r="AO221" s="95"/>
      <c r="AP221" s="95"/>
      <c r="AQ221" s="95"/>
      <c r="AR221" s="95"/>
      <c r="AS221" s="95"/>
      <c r="AT221" s="95"/>
      <c r="AU221" s="95"/>
      <c r="AV221" s="95"/>
      <c r="AW221" s="95"/>
      <c r="AX221" s="95"/>
      <c r="AY221" s="95"/>
      <c r="AZ221" s="95"/>
      <c r="BA221" s="95"/>
      <c r="BB221" s="95"/>
      <c r="BC221" s="214"/>
      <c r="BD221" s="95"/>
      <c r="BE221" s="95"/>
      <c r="BF221" s="95"/>
      <c r="BG221" s="95"/>
      <c r="BH221" s="95"/>
      <c r="BI221" s="24"/>
      <c r="BJ221" s="95"/>
      <c r="BK221" s="265"/>
      <c r="BL221" s="265"/>
      <c r="BM221" s="265"/>
      <c r="BN221" s="266"/>
      <c r="BO221" s="267"/>
      <c r="BP221" s="268"/>
      <c r="BQ221" s="269"/>
      <c r="BR221" s="269"/>
      <c r="BS221" s="269"/>
      <c r="BT221" s="269"/>
      <c r="BU221" s="269"/>
      <c r="BV221" s="269"/>
      <c r="BW221" s="268"/>
      <c r="BX221" s="269"/>
      <c r="BY221" s="268"/>
      <c r="BZ221" s="268"/>
      <c r="CA221" s="268"/>
      <c r="CB221" s="269"/>
      <c r="CC221" s="268"/>
      <c r="CD221" s="268"/>
      <c r="CE221" s="269"/>
      <c r="CF221" s="269"/>
      <c r="CG221" s="269"/>
      <c r="CH221" s="269"/>
      <c r="CI221" s="269"/>
      <c r="CJ221" s="269"/>
      <c r="CK221" s="269"/>
      <c r="CL221" s="266"/>
    </row>
    <row r="222" spans="1:90" s="270" customFormat="1">
      <c r="A222" s="95"/>
      <c r="B222" s="263"/>
      <c r="C222" s="263"/>
      <c r="D222" s="263"/>
      <c r="E222" s="263"/>
      <c r="F222" s="263"/>
      <c r="G222" s="263"/>
      <c r="H222" s="95"/>
      <c r="I222" s="95"/>
      <c r="J222" s="263"/>
      <c r="K222" s="263"/>
      <c r="L222" s="263"/>
      <c r="M222" s="263"/>
      <c r="N222" s="263"/>
      <c r="O222" s="263"/>
      <c r="P222" s="95"/>
      <c r="Q222" s="95"/>
      <c r="R222" s="95"/>
      <c r="S222" s="95"/>
      <c r="T222" s="95"/>
      <c r="U222" s="95"/>
      <c r="V222" s="95"/>
      <c r="W222" s="95"/>
      <c r="X222" s="95"/>
      <c r="Y222" s="95"/>
      <c r="Z222" s="95"/>
      <c r="AA222" s="95"/>
      <c r="AB222" s="95"/>
      <c r="AC222" s="95"/>
      <c r="AD222" s="95"/>
      <c r="AE222" s="95"/>
      <c r="AF222" s="95"/>
      <c r="AG222" s="95"/>
      <c r="AH222" s="95"/>
      <c r="AI222" s="95"/>
      <c r="AJ222" s="95"/>
      <c r="AK222" s="95"/>
      <c r="AL222" s="95"/>
      <c r="AM222" s="95"/>
      <c r="AN222" s="264"/>
      <c r="AO222" s="95"/>
      <c r="AP222" s="95"/>
      <c r="AQ222" s="95"/>
      <c r="AR222" s="95"/>
      <c r="AS222" s="95"/>
      <c r="AT222" s="95"/>
      <c r="AU222" s="95"/>
      <c r="AV222" s="95"/>
      <c r="AW222" s="95"/>
      <c r="AX222" s="95"/>
      <c r="AY222" s="95"/>
      <c r="AZ222" s="95"/>
      <c r="BA222" s="95"/>
      <c r="BB222" s="95"/>
      <c r="BC222" s="214"/>
      <c r="BD222" s="95"/>
      <c r="BE222" s="95"/>
      <c r="BF222" s="95"/>
      <c r="BG222" s="95"/>
      <c r="BH222" s="95"/>
      <c r="BI222" s="24"/>
      <c r="BJ222" s="95"/>
      <c r="BK222" s="265"/>
      <c r="BL222" s="265"/>
      <c r="BM222" s="265"/>
      <c r="BN222" s="266"/>
      <c r="BO222" s="267"/>
      <c r="BP222" s="268"/>
      <c r="BQ222" s="269"/>
      <c r="BR222" s="269"/>
      <c r="BS222" s="269"/>
      <c r="BT222" s="269"/>
      <c r="BU222" s="269"/>
      <c r="BV222" s="269"/>
      <c r="BW222" s="268"/>
      <c r="BX222" s="269"/>
      <c r="BY222" s="268"/>
      <c r="BZ222" s="268"/>
      <c r="CA222" s="268"/>
      <c r="CB222" s="269"/>
      <c r="CC222" s="268"/>
      <c r="CD222" s="268"/>
      <c r="CE222" s="269"/>
      <c r="CF222" s="269"/>
      <c r="CG222" s="269"/>
      <c r="CH222" s="269"/>
      <c r="CI222" s="269"/>
      <c r="CJ222" s="269"/>
      <c r="CK222" s="269"/>
      <c r="CL222" s="266"/>
    </row>
    <row r="223" spans="1:90" s="270" customFormat="1">
      <c r="A223" s="95"/>
      <c r="B223" s="263"/>
      <c r="C223" s="263"/>
      <c r="D223" s="263"/>
      <c r="E223" s="263"/>
      <c r="F223" s="263"/>
      <c r="G223" s="263"/>
      <c r="H223" s="95"/>
      <c r="I223" s="95"/>
      <c r="J223" s="263"/>
      <c r="K223" s="263"/>
      <c r="L223" s="263"/>
      <c r="M223" s="263"/>
      <c r="N223" s="263"/>
      <c r="O223" s="263"/>
      <c r="P223" s="95"/>
      <c r="Q223" s="95"/>
      <c r="R223" s="95"/>
      <c r="S223" s="95"/>
      <c r="T223" s="95"/>
      <c r="U223" s="95"/>
      <c r="V223" s="95"/>
      <c r="W223" s="95"/>
      <c r="X223" s="95"/>
      <c r="Y223" s="95"/>
      <c r="Z223" s="95"/>
      <c r="AA223" s="95"/>
      <c r="AB223" s="95"/>
      <c r="AC223" s="95"/>
      <c r="AD223" s="95"/>
      <c r="AE223" s="95"/>
      <c r="AF223" s="95"/>
      <c r="AG223" s="95"/>
      <c r="AH223" s="95"/>
      <c r="AI223" s="95"/>
      <c r="AJ223" s="95"/>
      <c r="AK223" s="95"/>
      <c r="AL223" s="95"/>
      <c r="AM223" s="95"/>
      <c r="AN223" s="264"/>
      <c r="AO223" s="95"/>
      <c r="AP223" s="95"/>
      <c r="AQ223" s="95"/>
      <c r="AR223" s="95"/>
      <c r="AS223" s="95"/>
      <c r="AT223" s="95"/>
      <c r="AU223" s="95"/>
      <c r="AV223" s="95"/>
      <c r="AW223" s="95"/>
      <c r="AX223" s="95"/>
      <c r="AY223" s="95"/>
      <c r="AZ223" s="95"/>
      <c r="BA223" s="95"/>
      <c r="BB223" s="95"/>
      <c r="BC223" s="214"/>
      <c r="BD223" s="95"/>
      <c r="BE223" s="95"/>
      <c r="BF223" s="95"/>
      <c r="BG223" s="95"/>
      <c r="BH223" s="95"/>
      <c r="BI223" s="24"/>
      <c r="BJ223" s="95"/>
      <c r="BK223" s="265"/>
      <c r="BL223" s="265"/>
      <c r="BM223" s="265"/>
      <c r="BN223" s="266"/>
      <c r="BO223" s="267"/>
      <c r="BP223" s="268"/>
      <c r="BQ223" s="269"/>
      <c r="BR223" s="269"/>
      <c r="BS223" s="269"/>
      <c r="BT223" s="269"/>
      <c r="BU223" s="269"/>
      <c r="BV223" s="269"/>
      <c r="BW223" s="268"/>
      <c r="BX223" s="269"/>
      <c r="BY223" s="268"/>
      <c r="BZ223" s="268"/>
      <c r="CA223" s="268"/>
      <c r="CB223" s="269"/>
      <c r="CC223" s="268"/>
      <c r="CD223" s="268"/>
      <c r="CE223" s="269"/>
      <c r="CF223" s="269"/>
      <c r="CG223" s="269"/>
      <c r="CH223" s="269"/>
      <c r="CI223" s="269"/>
      <c r="CJ223" s="269"/>
      <c r="CK223" s="269"/>
      <c r="CL223" s="266"/>
    </row>
    <row r="224" spans="1:90" s="270" customFormat="1">
      <c r="A224" s="95"/>
      <c r="B224" s="263"/>
      <c r="C224" s="263"/>
      <c r="D224" s="263"/>
      <c r="E224" s="263"/>
      <c r="F224" s="263"/>
      <c r="G224" s="263"/>
      <c r="H224" s="95"/>
      <c r="I224" s="95"/>
      <c r="J224" s="263"/>
      <c r="K224" s="263"/>
      <c r="L224" s="263"/>
      <c r="M224" s="263"/>
      <c r="N224" s="263"/>
      <c r="O224" s="263"/>
      <c r="P224" s="95"/>
      <c r="Q224" s="95"/>
      <c r="R224" s="95"/>
      <c r="S224" s="95"/>
      <c r="T224" s="95"/>
      <c r="U224" s="95"/>
      <c r="V224" s="95"/>
      <c r="W224" s="95"/>
      <c r="X224" s="95"/>
      <c r="Y224" s="95"/>
      <c r="Z224" s="95"/>
      <c r="AA224" s="95"/>
      <c r="AB224" s="95"/>
      <c r="AC224" s="95"/>
      <c r="AD224" s="95"/>
      <c r="AE224" s="95"/>
      <c r="AF224" s="95"/>
      <c r="AG224" s="95"/>
      <c r="AH224" s="95"/>
      <c r="AI224" s="95"/>
      <c r="AJ224" s="95"/>
      <c r="AK224" s="95"/>
      <c r="AL224" s="95"/>
      <c r="AM224" s="95"/>
      <c r="AN224" s="264"/>
      <c r="AO224" s="95"/>
      <c r="AP224" s="95"/>
      <c r="AQ224" s="95"/>
      <c r="AR224" s="95"/>
      <c r="AS224" s="95"/>
      <c r="AT224" s="95"/>
      <c r="AU224" s="95"/>
      <c r="AV224" s="95"/>
      <c r="AW224" s="95"/>
      <c r="AX224" s="95"/>
      <c r="AY224" s="95"/>
      <c r="AZ224" s="95"/>
      <c r="BA224" s="95"/>
      <c r="BB224" s="95"/>
      <c r="BC224" s="214"/>
      <c r="BD224" s="95"/>
      <c r="BE224" s="95"/>
      <c r="BF224" s="95"/>
      <c r="BG224" s="95"/>
      <c r="BH224" s="95"/>
      <c r="BI224" s="24"/>
      <c r="BJ224" s="95"/>
      <c r="BK224" s="265"/>
      <c r="BL224" s="265"/>
      <c r="BM224" s="265"/>
      <c r="BN224" s="266"/>
      <c r="BO224" s="267"/>
      <c r="BP224" s="268"/>
      <c r="BQ224" s="269"/>
      <c r="BR224" s="269"/>
      <c r="BS224" s="269"/>
      <c r="BT224" s="269"/>
      <c r="BU224" s="269"/>
      <c r="BV224" s="269"/>
      <c r="BW224" s="268"/>
      <c r="BX224" s="269"/>
      <c r="BY224" s="268"/>
      <c r="BZ224" s="268"/>
      <c r="CA224" s="268"/>
      <c r="CB224" s="269"/>
      <c r="CC224" s="268"/>
      <c r="CD224" s="268"/>
      <c r="CE224" s="269"/>
      <c r="CF224" s="269"/>
      <c r="CG224" s="269"/>
      <c r="CH224" s="269"/>
      <c r="CI224" s="269"/>
      <c r="CJ224" s="269"/>
      <c r="CK224" s="269"/>
      <c r="CL224" s="266"/>
    </row>
    <row r="225" spans="1:90" s="270" customFormat="1">
      <c r="A225" s="95"/>
      <c r="B225" s="263"/>
      <c r="C225" s="263"/>
      <c r="D225" s="263"/>
      <c r="E225" s="263"/>
      <c r="F225" s="263"/>
      <c r="G225" s="263"/>
      <c r="H225" s="95"/>
      <c r="I225" s="95"/>
      <c r="J225" s="263"/>
      <c r="K225" s="263"/>
      <c r="L225" s="263"/>
      <c r="M225" s="263"/>
      <c r="N225" s="263"/>
      <c r="O225" s="263"/>
      <c r="P225" s="95"/>
      <c r="Q225" s="95"/>
      <c r="R225" s="95"/>
      <c r="S225" s="95"/>
      <c r="T225" s="95"/>
      <c r="U225" s="95"/>
      <c r="V225" s="95"/>
      <c r="W225" s="95"/>
      <c r="X225" s="95"/>
      <c r="Y225" s="95"/>
      <c r="Z225" s="95"/>
      <c r="AA225" s="95"/>
      <c r="AB225" s="95"/>
      <c r="AC225" s="95"/>
      <c r="AD225" s="95"/>
      <c r="AE225" s="95"/>
      <c r="AF225" s="95"/>
      <c r="AG225" s="95"/>
      <c r="AH225" s="95"/>
      <c r="AI225" s="95"/>
      <c r="AJ225" s="95"/>
      <c r="AK225" s="95"/>
      <c r="AL225" s="95"/>
      <c r="AM225" s="95"/>
      <c r="AN225" s="264"/>
      <c r="AO225" s="95"/>
      <c r="AP225" s="95"/>
      <c r="AQ225" s="95"/>
      <c r="AR225" s="95"/>
      <c r="AS225" s="95"/>
      <c r="AT225" s="95"/>
      <c r="AU225" s="95"/>
      <c r="AV225" s="95"/>
      <c r="AW225" s="95"/>
      <c r="AX225" s="95"/>
      <c r="AY225" s="95"/>
      <c r="AZ225" s="95"/>
      <c r="BA225" s="95"/>
      <c r="BB225" s="95"/>
      <c r="BC225" s="214"/>
      <c r="BD225" s="95"/>
      <c r="BE225" s="95"/>
      <c r="BF225" s="95"/>
      <c r="BG225" s="95"/>
      <c r="BH225" s="95"/>
      <c r="BI225" s="24"/>
      <c r="BJ225" s="95"/>
      <c r="BK225" s="265"/>
      <c r="BL225" s="265"/>
      <c r="BM225" s="265"/>
      <c r="BN225" s="266"/>
      <c r="BO225" s="267"/>
      <c r="BP225" s="268"/>
      <c r="BQ225" s="269"/>
      <c r="BR225" s="269"/>
      <c r="BS225" s="269"/>
      <c r="BT225" s="269"/>
      <c r="BU225" s="269"/>
      <c r="BV225" s="269"/>
      <c r="BW225" s="268"/>
      <c r="BX225" s="269"/>
      <c r="BY225" s="268"/>
      <c r="BZ225" s="268"/>
      <c r="CA225" s="268"/>
      <c r="CB225" s="269"/>
      <c r="CC225" s="268"/>
      <c r="CD225" s="268"/>
      <c r="CE225" s="269"/>
      <c r="CF225" s="269"/>
      <c r="CG225" s="269"/>
      <c r="CH225" s="269"/>
      <c r="CI225" s="269"/>
      <c r="CJ225" s="269"/>
      <c r="CK225" s="269"/>
      <c r="CL225" s="266"/>
    </row>
    <row r="226" spans="1:90" s="270" customFormat="1">
      <c r="A226" s="95"/>
      <c r="B226" s="263"/>
      <c r="C226" s="263"/>
      <c r="D226" s="263"/>
      <c r="E226" s="263"/>
      <c r="F226" s="263"/>
      <c r="G226" s="263"/>
      <c r="H226" s="95"/>
      <c r="I226" s="95"/>
      <c r="J226" s="263"/>
      <c r="K226" s="263"/>
      <c r="L226" s="263"/>
      <c r="M226" s="263"/>
      <c r="N226" s="263"/>
      <c r="O226" s="263"/>
      <c r="P226" s="95"/>
      <c r="Q226" s="95"/>
      <c r="R226" s="95"/>
      <c r="S226" s="95"/>
      <c r="T226" s="95"/>
      <c r="U226" s="95"/>
      <c r="V226" s="95"/>
      <c r="W226" s="95"/>
      <c r="X226" s="95"/>
      <c r="Y226" s="95"/>
      <c r="Z226" s="95"/>
      <c r="AA226" s="95"/>
      <c r="AB226" s="95"/>
      <c r="AC226" s="95"/>
      <c r="AD226" s="95"/>
      <c r="AE226" s="95"/>
      <c r="AF226" s="95"/>
      <c r="AG226" s="95"/>
      <c r="AH226" s="95"/>
      <c r="AI226" s="95"/>
      <c r="AJ226" s="95"/>
      <c r="AK226" s="95"/>
      <c r="AL226" s="95"/>
      <c r="AM226" s="95"/>
      <c r="AN226" s="264"/>
      <c r="AO226" s="95"/>
      <c r="AP226" s="95"/>
      <c r="AQ226" s="95"/>
      <c r="AR226" s="95"/>
      <c r="AS226" s="95"/>
      <c r="AT226" s="95"/>
      <c r="AU226" s="95"/>
      <c r="AV226" s="95"/>
      <c r="AW226" s="95"/>
      <c r="AX226" s="95"/>
      <c r="AY226" s="95"/>
      <c r="AZ226" s="95"/>
      <c r="BA226" s="95"/>
      <c r="BB226" s="95"/>
      <c r="BC226" s="214"/>
      <c r="BD226" s="95"/>
      <c r="BE226" s="95"/>
      <c r="BF226" s="95"/>
      <c r="BG226" s="95"/>
      <c r="BH226" s="95"/>
      <c r="BI226" s="24"/>
      <c r="BJ226" s="95"/>
      <c r="BK226" s="265"/>
      <c r="BL226" s="265"/>
      <c r="BM226" s="265"/>
      <c r="BN226" s="266"/>
      <c r="BO226" s="267"/>
      <c r="BP226" s="268"/>
      <c r="BQ226" s="269"/>
      <c r="BR226" s="269"/>
      <c r="BS226" s="269"/>
      <c r="BT226" s="269"/>
      <c r="BU226" s="269"/>
      <c r="BV226" s="269"/>
      <c r="BW226" s="268"/>
      <c r="BX226" s="269"/>
      <c r="BY226" s="268"/>
      <c r="BZ226" s="268"/>
      <c r="CA226" s="268"/>
      <c r="CB226" s="269"/>
      <c r="CC226" s="268"/>
      <c r="CD226" s="268"/>
      <c r="CE226" s="269"/>
      <c r="CF226" s="269"/>
      <c r="CG226" s="269"/>
      <c r="CH226" s="269"/>
      <c r="CI226" s="269"/>
      <c r="CJ226" s="269"/>
      <c r="CK226" s="269"/>
      <c r="CL226" s="266"/>
    </row>
    <row r="227" spans="1:90" s="270" customFormat="1">
      <c r="A227" s="95"/>
      <c r="B227" s="263"/>
      <c r="C227" s="263"/>
      <c r="D227" s="263"/>
      <c r="E227" s="263"/>
      <c r="F227" s="263"/>
      <c r="G227" s="263"/>
      <c r="H227" s="95"/>
      <c r="I227" s="95"/>
      <c r="J227" s="263"/>
      <c r="K227" s="263"/>
      <c r="L227" s="263"/>
      <c r="M227" s="263"/>
      <c r="N227" s="263"/>
      <c r="O227" s="263"/>
      <c r="P227" s="95"/>
      <c r="Q227" s="95"/>
      <c r="R227" s="95"/>
      <c r="S227" s="95"/>
      <c r="T227" s="95"/>
      <c r="U227" s="95"/>
      <c r="V227" s="95"/>
      <c r="W227" s="95"/>
      <c r="X227" s="95"/>
      <c r="Y227" s="95"/>
      <c r="Z227" s="95"/>
      <c r="AA227" s="95"/>
      <c r="AB227" s="95"/>
      <c r="AC227" s="95"/>
      <c r="AD227" s="95"/>
      <c r="AE227" s="95"/>
      <c r="AF227" s="95"/>
      <c r="AG227" s="95"/>
      <c r="AH227" s="95"/>
      <c r="AI227" s="95"/>
      <c r="AJ227" s="95"/>
      <c r="AK227" s="95"/>
      <c r="AL227" s="95"/>
      <c r="AM227" s="95"/>
      <c r="AN227" s="264"/>
      <c r="AO227" s="95"/>
      <c r="AP227" s="95"/>
      <c r="AQ227" s="95"/>
      <c r="AR227" s="95"/>
      <c r="AS227" s="95"/>
      <c r="AT227" s="95"/>
      <c r="AU227" s="95"/>
      <c r="AV227" s="95"/>
      <c r="AW227" s="95"/>
      <c r="AX227" s="95"/>
      <c r="AY227" s="95"/>
      <c r="AZ227" s="95"/>
      <c r="BA227" s="95"/>
      <c r="BB227" s="95"/>
      <c r="BC227" s="214"/>
      <c r="BD227" s="95"/>
      <c r="BE227" s="95"/>
      <c r="BF227" s="95"/>
      <c r="BG227" s="95"/>
      <c r="BH227" s="95"/>
      <c r="BI227" s="24"/>
      <c r="BJ227" s="95"/>
      <c r="BK227" s="265"/>
      <c r="BL227" s="265"/>
      <c r="BM227" s="265"/>
      <c r="BN227" s="266"/>
      <c r="BO227" s="267"/>
      <c r="BP227" s="268"/>
      <c r="BQ227" s="269"/>
      <c r="BR227" s="269"/>
      <c r="BS227" s="269"/>
      <c r="BT227" s="269"/>
      <c r="BU227" s="269"/>
      <c r="BV227" s="269"/>
      <c r="BW227" s="268"/>
      <c r="BX227" s="269"/>
      <c r="BY227" s="268"/>
      <c r="BZ227" s="268"/>
      <c r="CA227" s="268"/>
      <c r="CB227" s="269"/>
      <c r="CC227" s="268"/>
      <c r="CD227" s="268"/>
      <c r="CE227" s="269"/>
      <c r="CF227" s="269"/>
      <c r="CG227" s="269"/>
      <c r="CH227" s="269"/>
      <c r="CI227" s="269"/>
      <c r="CJ227" s="269"/>
      <c r="CK227" s="269"/>
      <c r="CL227" s="266"/>
    </row>
    <row r="228" spans="1:90" s="270" customFormat="1">
      <c r="A228" s="95"/>
      <c r="B228" s="263"/>
      <c r="C228" s="263"/>
      <c r="D228" s="263"/>
      <c r="E228" s="263"/>
      <c r="F228" s="263"/>
      <c r="G228" s="263"/>
      <c r="H228" s="95"/>
      <c r="I228" s="95"/>
      <c r="J228" s="263"/>
      <c r="K228" s="263"/>
      <c r="L228" s="263"/>
      <c r="M228" s="263"/>
      <c r="N228" s="263"/>
      <c r="O228" s="263"/>
      <c r="P228" s="95"/>
      <c r="Q228" s="95"/>
      <c r="R228" s="95"/>
      <c r="S228" s="95"/>
      <c r="T228" s="95"/>
      <c r="U228" s="95"/>
      <c r="V228" s="95"/>
      <c r="W228" s="95"/>
      <c r="X228" s="95"/>
      <c r="Y228" s="95"/>
      <c r="Z228" s="95"/>
      <c r="AA228" s="95"/>
      <c r="AB228" s="95"/>
      <c r="AC228" s="95"/>
      <c r="AD228" s="95"/>
      <c r="AE228" s="95"/>
      <c r="AF228" s="95"/>
      <c r="AG228" s="95"/>
      <c r="AH228" s="95"/>
      <c r="AI228" s="95"/>
      <c r="AJ228" s="95"/>
      <c r="AK228" s="95"/>
      <c r="AL228" s="95"/>
      <c r="AM228" s="95"/>
      <c r="AN228" s="264"/>
      <c r="AO228" s="95"/>
      <c r="AP228" s="95"/>
      <c r="AQ228" s="95"/>
      <c r="AR228" s="95"/>
      <c r="AS228" s="95"/>
      <c r="AT228" s="95"/>
      <c r="AU228" s="95"/>
      <c r="AV228" s="95"/>
      <c r="AW228" s="95"/>
      <c r="AX228" s="95"/>
      <c r="AY228" s="95"/>
      <c r="AZ228" s="95"/>
      <c r="BA228" s="95"/>
      <c r="BB228" s="95"/>
      <c r="BC228" s="214"/>
      <c r="BD228" s="95"/>
      <c r="BE228" s="95"/>
      <c r="BF228" s="95"/>
      <c r="BG228" s="95"/>
      <c r="BH228" s="95"/>
      <c r="BI228" s="24"/>
      <c r="BJ228" s="95"/>
      <c r="BK228" s="265"/>
      <c r="BL228" s="265"/>
      <c r="BM228" s="265"/>
      <c r="BN228" s="266"/>
      <c r="BO228" s="267"/>
      <c r="BP228" s="268"/>
      <c r="BQ228" s="269"/>
      <c r="BR228" s="269"/>
      <c r="BS228" s="269"/>
      <c r="BT228" s="269"/>
      <c r="BU228" s="269"/>
      <c r="BV228" s="269"/>
      <c r="BW228" s="268"/>
      <c r="BX228" s="269"/>
      <c r="BY228" s="268"/>
      <c r="BZ228" s="268"/>
      <c r="CA228" s="268"/>
      <c r="CB228" s="269"/>
      <c r="CC228" s="268"/>
      <c r="CD228" s="268"/>
      <c r="CE228" s="269"/>
      <c r="CF228" s="269"/>
      <c r="CG228" s="269"/>
      <c r="CH228" s="269"/>
      <c r="CI228" s="269"/>
      <c r="CJ228" s="269"/>
      <c r="CK228" s="269"/>
      <c r="CL228" s="266"/>
    </row>
    <row r="229" spans="1:90" s="270" customFormat="1">
      <c r="A229" s="95"/>
      <c r="B229" s="263"/>
      <c r="C229" s="263"/>
      <c r="D229" s="263"/>
      <c r="E229" s="263"/>
      <c r="F229" s="263"/>
      <c r="G229" s="263"/>
      <c r="H229" s="95"/>
      <c r="I229" s="95"/>
      <c r="J229" s="263"/>
      <c r="K229" s="263"/>
      <c r="L229" s="263"/>
      <c r="M229" s="263"/>
      <c r="N229" s="263"/>
      <c r="O229" s="263"/>
      <c r="P229" s="95"/>
      <c r="Q229" s="95"/>
      <c r="R229" s="95"/>
      <c r="S229" s="95"/>
      <c r="T229" s="95"/>
      <c r="U229" s="95"/>
      <c r="V229" s="95"/>
      <c r="W229" s="95"/>
      <c r="X229" s="95"/>
      <c r="Y229" s="95"/>
      <c r="Z229" s="95"/>
      <c r="AA229" s="95"/>
      <c r="AB229" s="95"/>
      <c r="AC229" s="95"/>
      <c r="AD229" s="95"/>
      <c r="AE229" s="95"/>
      <c r="AF229" s="95"/>
      <c r="AG229" s="95"/>
      <c r="AH229" s="95"/>
      <c r="AI229" s="95"/>
      <c r="AJ229" s="95"/>
      <c r="AK229" s="95"/>
      <c r="AL229" s="95"/>
      <c r="AM229" s="95"/>
      <c r="AN229" s="264"/>
      <c r="AO229" s="95"/>
      <c r="AP229" s="95"/>
      <c r="AQ229" s="95"/>
      <c r="AR229" s="95"/>
      <c r="AS229" s="95"/>
      <c r="AT229" s="95"/>
      <c r="AU229" s="95"/>
      <c r="AV229" s="95"/>
      <c r="AW229" s="95"/>
      <c r="AX229" s="95"/>
      <c r="AY229" s="95"/>
      <c r="AZ229" s="95"/>
      <c r="BA229" s="95"/>
      <c r="BB229" s="95"/>
      <c r="BC229" s="214"/>
      <c r="BD229" s="95"/>
      <c r="BE229" s="95"/>
      <c r="BF229" s="95"/>
      <c r="BG229" s="95"/>
      <c r="BH229" s="95"/>
      <c r="BI229" s="24"/>
      <c r="BJ229" s="95"/>
      <c r="BK229" s="265"/>
      <c r="BL229" s="265"/>
      <c r="BM229" s="265"/>
      <c r="BN229" s="266"/>
      <c r="BO229" s="267"/>
      <c r="BP229" s="268"/>
      <c r="BQ229" s="269"/>
      <c r="BR229" s="269"/>
      <c r="BS229" s="269"/>
      <c r="BT229" s="269"/>
      <c r="BU229" s="269"/>
      <c r="BV229" s="269"/>
      <c r="BW229" s="268"/>
      <c r="BX229" s="269"/>
      <c r="BY229" s="268"/>
      <c r="BZ229" s="268"/>
      <c r="CA229" s="268"/>
      <c r="CB229" s="269"/>
      <c r="CC229" s="268"/>
      <c r="CD229" s="268"/>
      <c r="CE229" s="269"/>
      <c r="CF229" s="269"/>
      <c r="CG229" s="269"/>
      <c r="CH229" s="269"/>
      <c r="CI229" s="269"/>
      <c r="CJ229" s="269"/>
      <c r="CK229" s="269"/>
      <c r="CL229" s="266"/>
    </row>
    <row r="230" spans="1:90" s="270" customFormat="1" ht="16.95" customHeight="1">
      <c r="A230" s="95"/>
      <c r="B230" s="263"/>
      <c r="C230" s="263"/>
      <c r="D230" s="263"/>
      <c r="E230" s="263"/>
      <c r="F230" s="263"/>
      <c r="G230" s="263"/>
      <c r="H230" s="95"/>
      <c r="I230" s="95"/>
      <c r="J230" s="263"/>
      <c r="K230" s="263"/>
      <c r="L230" s="263"/>
      <c r="M230" s="263"/>
      <c r="N230" s="263"/>
      <c r="O230" s="263"/>
      <c r="P230" s="95"/>
      <c r="Q230" s="95"/>
      <c r="R230" s="95"/>
      <c r="S230" s="95"/>
      <c r="T230" s="95"/>
      <c r="U230" s="95"/>
      <c r="V230" s="95"/>
      <c r="W230" s="95"/>
      <c r="X230" s="95"/>
      <c r="Y230" s="95"/>
      <c r="Z230" s="95"/>
      <c r="AA230" s="95"/>
      <c r="AB230" s="95"/>
      <c r="AC230" s="95"/>
      <c r="AD230" s="95"/>
      <c r="AE230" s="95"/>
      <c r="AF230" s="95"/>
      <c r="AG230" s="95"/>
      <c r="AH230" s="95"/>
      <c r="AI230" s="95"/>
      <c r="AJ230" s="95"/>
      <c r="AK230" s="95"/>
      <c r="AL230" s="95"/>
      <c r="AM230" s="95"/>
      <c r="AN230" s="264"/>
      <c r="AO230" s="95"/>
      <c r="AP230" s="95"/>
      <c r="AQ230" s="95"/>
      <c r="AR230" s="95"/>
      <c r="AS230" s="95"/>
      <c r="AT230" s="95"/>
      <c r="AU230" s="95"/>
      <c r="AV230" s="95"/>
      <c r="AW230" s="95"/>
      <c r="AX230" s="95"/>
      <c r="AY230" s="95"/>
      <c r="AZ230" s="95"/>
      <c r="BA230" s="95"/>
      <c r="BB230" s="95"/>
      <c r="BC230" s="214"/>
      <c r="BD230" s="95"/>
      <c r="BE230" s="95"/>
      <c r="BF230" s="95"/>
      <c r="BG230" s="95"/>
      <c r="BH230" s="95"/>
      <c r="BI230" s="24"/>
      <c r="BJ230" s="95"/>
      <c r="BK230" s="265"/>
      <c r="BL230" s="265"/>
      <c r="BM230" s="265"/>
      <c r="BN230" s="266"/>
      <c r="BO230" s="267"/>
      <c r="BP230" s="268"/>
      <c r="BQ230" s="269"/>
      <c r="BR230" s="269"/>
      <c r="BS230" s="269"/>
      <c r="BT230" s="269"/>
      <c r="BU230" s="269"/>
      <c r="BV230" s="269"/>
      <c r="BW230" s="268"/>
      <c r="BX230" s="269"/>
      <c r="BY230" s="268"/>
      <c r="BZ230" s="268"/>
      <c r="CA230" s="268"/>
      <c r="CB230" s="269"/>
      <c r="CC230" s="268"/>
      <c r="CD230" s="268"/>
      <c r="CE230" s="269"/>
      <c r="CF230" s="269"/>
      <c r="CG230" s="269"/>
      <c r="CH230" s="269"/>
      <c r="CI230" s="269"/>
      <c r="CJ230" s="269"/>
      <c r="CK230" s="269"/>
      <c r="CL230" s="266"/>
    </row>
    <row r="231" spans="1:90" s="270" customFormat="1" ht="16.95" customHeight="1">
      <c r="A231" s="95"/>
      <c r="B231" s="263"/>
      <c r="C231" s="263"/>
      <c r="D231" s="263"/>
      <c r="E231" s="263"/>
      <c r="F231" s="263"/>
      <c r="G231" s="263"/>
      <c r="H231" s="95"/>
      <c r="I231" s="95"/>
      <c r="J231" s="263"/>
      <c r="K231" s="263"/>
      <c r="L231" s="263"/>
      <c r="M231" s="263"/>
      <c r="N231" s="263"/>
      <c r="O231" s="263"/>
      <c r="P231" s="95"/>
      <c r="Q231" s="95"/>
      <c r="R231" s="95"/>
      <c r="S231" s="95"/>
      <c r="T231" s="95"/>
      <c r="U231" s="95"/>
      <c r="V231" s="95"/>
      <c r="W231" s="95"/>
      <c r="X231" s="95"/>
      <c r="Y231" s="95"/>
      <c r="Z231" s="95"/>
      <c r="AA231" s="95"/>
      <c r="AB231" s="95"/>
      <c r="AC231" s="95"/>
      <c r="AD231" s="95"/>
      <c r="AE231" s="95"/>
      <c r="AF231" s="95"/>
      <c r="AG231" s="95"/>
      <c r="AH231" s="95"/>
      <c r="AI231" s="95"/>
      <c r="AJ231" s="95"/>
      <c r="AK231" s="95"/>
      <c r="AL231" s="95"/>
      <c r="AM231" s="95"/>
      <c r="AN231" s="264"/>
      <c r="AO231" s="95"/>
      <c r="AP231" s="95"/>
      <c r="AQ231" s="95"/>
      <c r="AR231" s="95"/>
      <c r="AS231" s="95"/>
      <c r="AT231" s="95"/>
      <c r="AU231" s="95"/>
      <c r="AV231" s="95"/>
      <c r="AW231" s="95"/>
      <c r="AX231" s="95"/>
      <c r="AY231" s="95"/>
      <c r="AZ231" s="95"/>
      <c r="BA231" s="95"/>
      <c r="BB231" s="95"/>
      <c r="BC231" s="214"/>
      <c r="BD231" s="95"/>
      <c r="BE231" s="95"/>
      <c r="BF231" s="95"/>
      <c r="BG231" s="95"/>
      <c r="BH231" s="95"/>
      <c r="BI231" s="24"/>
      <c r="BJ231" s="95"/>
      <c r="BK231" s="265"/>
      <c r="BL231" s="265"/>
      <c r="BM231" s="265"/>
      <c r="BN231" s="266"/>
      <c r="BO231" s="267"/>
      <c r="BP231" s="268"/>
      <c r="BQ231" s="269"/>
      <c r="BR231" s="269"/>
      <c r="BS231" s="269"/>
      <c r="BT231" s="269"/>
      <c r="BU231" s="269"/>
      <c r="BV231" s="269"/>
      <c r="BW231" s="268"/>
      <c r="BX231" s="269"/>
      <c r="BY231" s="268"/>
      <c r="BZ231" s="268"/>
      <c r="CA231" s="268"/>
      <c r="CB231" s="269"/>
      <c r="CC231" s="268"/>
      <c r="CD231" s="268"/>
      <c r="CE231" s="269"/>
      <c r="CF231" s="269"/>
      <c r="CG231" s="269"/>
      <c r="CH231" s="269"/>
      <c r="CI231" s="269"/>
      <c r="CJ231" s="269"/>
      <c r="CK231" s="269"/>
      <c r="CL231" s="266"/>
    </row>
    <row r="232" spans="1:90" s="270" customFormat="1" ht="16.95" customHeight="1">
      <c r="A232" s="95"/>
      <c r="B232" s="263"/>
      <c r="C232" s="263"/>
      <c r="D232" s="263"/>
      <c r="E232" s="263"/>
      <c r="F232" s="263"/>
      <c r="G232" s="263"/>
      <c r="H232" s="95"/>
      <c r="I232" s="95"/>
      <c r="J232" s="263"/>
      <c r="K232" s="263"/>
      <c r="L232" s="263"/>
      <c r="M232" s="263"/>
      <c r="N232" s="263"/>
      <c r="O232" s="263"/>
      <c r="P232" s="95"/>
      <c r="Q232" s="95"/>
      <c r="R232" s="95"/>
      <c r="S232" s="95"/>
      <c r="T232" s="95"/>
      <c r="U232" s="95"/>
      <c r="V232" s="95"/>
      <c r="W232" s="95"/>
      <c r="X232" s="95"/>
      <c r="Y232" s="95"/>
      <c r="Z232" s="95"/>
      <c r="AA232" s="95"/>
      <c r="AB232" s="95"/>
      <c r="AC232" s="95"/>
      <c r="AD232" s="95"/>
      <c r="AE232" s="95"/>
      <c r="AF232" s="95"/>
      <c r="AG232" s="95"/>
      <c r="AH232" s="95"/>
      <c r="AI232" s="95"/>
      <c r="AJ232" s="95"/>
      <c r="AK232" s="95"/>
      <c r="AL232" s="95"/>
      <c r="AM232" s="95"/>
      <c r="AN232" s="264"/>
      <c r="AO232" s="95"/>
      <c r="AP232" s="95"/>
      <c r="AQ232" s="95"/>
      <c r="AR232" s="95"/>
      <c r="AS232" s="95"/>
      <c r="AT232" s="95"/>
      <c r="AU232" s="95"/>
      <c r="AV232" s="95"/>
      <c r="AW232" s="95"/>
      <c r="AX232" s="95"/>
      <c r="AY232" s="95"/>
      <c r="AZ232" s="95"/>
      <c r="BA232" s="95"/>
      <c r="BB232" s="95"/>
      <c r="BC232" s="214"/>
      <c r="BD232" s="95"/>
      <c r="BE232" s="95"/>
      <c r="BF232" s="95"/>
      <c r="BG232" s="95"/>
      <c r="BH232" s="95"/>
      <c r="BI232" s="24"/>
      <c r="BJ232" s="95"/>
      <c r="BK232" s="265"/>
      <c r="BL232" s="265"/>
      <c r="BM232" s="265"/>
      <c r="BN232" s="266"/>
      <c r="BO232" s="267"/>
      <c r="BP232" s="268"/>
      <c r="BQ232" s="269"/>
      <c r="BR232" s="269"/>
      <c r="BS232" s="269"/>
      <c r="BT232" s="269"/>
      <c r="BU232" s="269"/>
      <c r="BV232" s="269"/>
      <c r="BW232" s="268"/>
      <c r="BX232" s="269"/>
      <c r="BY232" s="268"/>
      <c r="BZ232" s="268"/>
      <c r="CA232" s="268"/>
      <c r="CB232" s="269"/>
      <c r="CC232" s="268"/>
      <c r="CD232" s="268"/>
      <c r="CE232" s="269"/>
      <c r="CF232" s="269"/>
      <c r="CG232" s="269"/>
      <c r="CH232" s="269"/>
      <c r="CI232" s="269"/>
      <c r="CJ232" s="269"/>
      <c r="CK232" s="269"/>
      <c r="CL232" s="266"/>
    </row>
    <row r="233" spans="1:90" s="270" customFormat="1" ht="16.95" customHeight="1">
      <c r="A233" s="95"/>
      <c r="B233" s="263"/>
      <c r="C233" s="263"/>
      <c r="D233" s="263"/>
      <c r="E233" s="263"/>
      <c r="F233" s="263"/>
      <c r="G233" s="263"/>
      <c r="H233" s="95"/>
      <c r="I233" s="95"/>
      <c r="J233" s="263"/>
      <c r="K233" s="263"/>
      <c r="L233" s="263"/>
      <c r="M233" s="263"/>
      <c r="N233" s="263"/>
      <c r="O233" s="263"/>
      <c r="P233" s="95"/>
      <c r="Q233" s="95"/>
      <c r="R233" s="95"/>
      <c r="S233" s="95"/>
      <c r="T233" s="95"/>
      <c r="U233" s="95"/>
      <c r="V233" s="95"/>
      <c r="W233" s="95"/>
      <c r="X233" s="95"/>
      <c r="Y233" s="95"/>
      <c r="Z233" s="95"/>
      <c r="AA233" s="95"/>
      <c r="AB233" s="95"/>
      <c r="AC233" s="95"/>
      <c r="AD233" s="95"/>
      <c r="AE233" s="95"/>
      <c r="AF233" s="95"/>
      <c r="AG233" s="95"/>
      <c r="AH233" s="95"/>
      <c r="AI233" s="95"/>
      <c r="AJ233" s="95"/>
      <c r="AK233" s="95"/>
      <c r="AL233" s="95"/>
      <c r="AM233" s="95"/>
      <c r="AN233" s="264"/>
      <c r="AO233" s="95"/>
      <c r="AP233" s="95"/>
      <c r="AQ233" s="95"/>
      <c r="AR233" s="95"/>
      <c r="AS233" s="95"/>
      <c r="AT233" s="95"/>
      <c r="AU233" s="95"/>
      <c r="AV233" s="95"/>
      <c r="AW233" s="95"/>
      <c r="AX233" s="95"/>
      <c r="AY233" s="95"/>
      <c r="AZ233" s="95"/>
      <c r="BA233" s="95"/>
      <c r="BB233" s="95"/>
      <c r="BC233" s="214"/>
      <c r="BD233" s="95"/>
      <c r="BE233" s="95"/>
      <c r="BF233" s="95"/>
      <c r="BG233" s="95"/>
      <c r="BH233" s="95"/>
      <c r="BI233" s="24"/>
      <c r="BJ233" s="95"/>
      <c r="BK233" s="265"/>
      <c r="BL233" s="265"/>
      <c r="BM233" s="265"/>
      <c r="BN233" s="266"/>
      <c r="BO233" s="267"/>
      <c r="BP233" s="268"/>
      <c r="BQ233" s="269"/>
      <c r="BR233" s="269"/>
      <c r="BS233" s="269"/>
      <c r="BT233" s="269"/>
      <c r="BU233" s="269"/>
      <c r="BV233" s="269"/>
      <c r="BW233" s="268"/>
      <c r="BX233" s="269"/>
      <c r="BY233" s="268"/>
      <c r="BZ233" s="268"/>
      <c r="CA233" s="268"/>
      <c r="CB233" s="269"/>
      <c r="CC233" s="268"/>
      <c r="CD233" s="268"/>
      <c r="CE233" s="269"/>
      <c r="CF233" s="269"/>
      <c r="CG233" s="269"/>
      <c r="CH233" s="269"/>
      <c r="CI233" s="269"/>
      <c r="CJ233" s="269"/>
      <c r="CK233" s="269"/>
      <c r="CL233" s="266"/>
    </row>
    <row r="234" spans="1:90" s="270" customFormat="1" ht="16.95" customHeight="1">
      <c r="A234" s="95"/>
      <c r="B234" s="263"/>
      <c r="C234" s="263"/>
      <c r="D234" s="263"/>
      <c r="E234" s="263"/>
      <c r="F234" s="263"/>
      <c r="G234" s="263"/>
      <c r="H234" s="95"/>
      <c r="I234" s="95"/>
      <c r="J234" s="263"/>
      <c r="K234" s="263"/>
      <c r="L234" s="263"/>
      <c r="M234" s="263"/>
      <c r="N234" s="263"/>
      <c r="O234" s="263"/>
      <c r="P234" s="95"/>
      <c r="Q234" s="95"/>
      <c r="R234" s="95"/>
      <c r="S234" s="95"/>
      <c r="T234" s="95"/>
      <c r="U234" s="95"/>
      <c r="V234" s="95"/>
      <c r="W234" s="95"/>
      <c r="X234" s="95"/>
      <c r="Y234" s="95"/>
      <c r="Z234" s="95"/>
      <c r="AA234" s="95"/>
      <c r="AB234" s="95"/>
      <c r="AC234" s="95"/>
      <c r="AD234" s="95"/>
      <c r="AE234" s="95"/>
      <c r="AF234" s="95"/>
      <c r="AG234" s="95"/>
      <c r="AH234" s="95"/>
      <c r="AI234" s="95"/>
      <c r="AJ234" s="95"/>
      <c r="AK234" s="95"/>
      <c r="AL234" s="95"/>
      <c r="AM234" s="95"/>
      <c r="AN234" s="264"/>
      <c r="AO234" s="95"/>
      <c r="AP234" s="95"/>
      <c r="AQ234" s="95"/>
      <c r="AR234" s="95"/>
      <c r="AS234" s="95"/>
      <c r="AT234" s="95"/>
      <c r="AU234" s="95"/>
      <c r="AV234" s="95"/>
      <c r="AW234" s="95"/>
      <c r="AX234" s="95"/>
      <c r="AY234" s="95"/>
      <c r="AZ234" s="95"/>
      <c r="BA234" s="95"/>
      <c r="BB234" s="95"/>
      <c r="BC234" s="214"/>
      <c r="BD234" s="95"/>
      <c r="BE234" s="95"/>
      <c r="BF234" s="95"/>
      <c r="BG234" s="95"/>
      <c r="BH234" s="95"/>
      <c r="BI234" s="24"/>
      <c r="BJ234" s="95"/>
      <c r="BK234" s="265"/>
      <c r="BL234" s="265"/>
      <c r="BM234" s="265"/>
      <c r="BN234" s="266"/>
      <c r="BO234" s="267"/>
      <c r="BP234" s="268"/>
      <c r="BQ234" s="269"/>
      <c r="BR234" s="269"/>
      <c r="BS234" s="269"/>
      <c r="BT234" s="269"/>
      <c r="BU234" s="269"/>
      <c r="BV234" s="269"/>
      <c r="BW234" s="268"/>
      <c r="BX234" s="269"/>
      <c r="BY234" s="268"/>
      <c r="BZ234" s="268"/>
      <c r="CA234" s="268"/>
      <c r="CB234" s="269"/>
      <c r="CC234" s="268"/>
      <c r="CD234" s="268"/>
      <c r="CE234" s="269"/>
      <c r="CF234" s="269"/>
      <c r="CG234" s="269"/>
      <c r="CH234" s="269"/>
      <c r="CI234" s="269"/>
      <c r="CJ234" s="269"/>
      <c r="CK234" s="269"/>
      <c r="CL234" s="266"/>
    </row>
    <row r="235" spans="1:90" s="270" customFormat="1" ht="16.95" customHeight="1">
      <c r="A235" s="95"/>
      <c r="B235" s="263"/>
      <c r="C235" s="263"/>
      <c r="D235" s="263"/>
      <c r="E235" s="263"/>
      <c r="F235" s="263"/>
      <c r="G235" s="263"/>
      <c r="H235" s="95"/>
      <c r="I235" s="95"/>
      <c r="J235" s="263"/>
      <c r="K235" s="263"/>
      <c r="L235" s="263"/>
      <c r="M235" s="263"/>
      <c r="N235" s="263"/>
      <c r="O235" s="263"/>
      <c r="P235" s="95"/>
      <c r="Q235" s="95"/>
      <c r="R235" s="95"/>
      <c r="S235" s="95"/>
      <c r="T235" s="95"/>
      <c r="U235" s="95"/>
      <c r="V235" s="95"/>
      <c r="W235" s="95"/>
      <c r="X235" s="95"/>
      <c r="Y235" s="95"/>
      <c r="Z235" s="95"/>
      <c r="AA235" s="95"/>
      <c r="AB235" s="95"/>
      <c r="AC235" s="95"/>
      <c r="AD235" s="95"/>
      <c r="AE235" s="95"/>
      <c r="AF235" s="95"/>
      <c r="AG235" s="95"/>
      <c r="AH235" s="95"/>
      <c r="AI235" s="95"/>
      <c r="AJ235" s="95"/>
      <c r="AK235" s="95"/>
      <c r="AL235" s="95"/>
      <c r="AM235" s="95"/>
      <c r="AN235" s="264"/>
      <c r="AO235" s="95"/>
      <c r="AP235" s="95"/>
      <c r="AQ235" s="95"/>
      <c r="AR235" s="95"/>
      <c r="AS235" s="95"/>
      <c r="AT235" s="95"/>
      <c r="AU235" s="95"/>
      <c r="AV235" s="95"/>
      <c r="AW235" s="95"/>
      <c r="AX235" s="95"/>
      <c r="AY235" s="95"/>
      <c r="AZ235" s="95"/>
      <c r="BA235" s="95"/>
      <c r="BB235" s="95"/>
      <c r="BC235" s="214"/>
      <c r="BD235" s="95"/>
      <c r="BE235" s="95"/>
      <c r="BF235" s="95"/>
      <c r="BG235" s="95"/>
      <c r="BH235" s="95"/>
      <c r="BI235" s="24"/>
      <c r="BJ235" s="95"/>
      <c r="BK235" s="265"/>
      <c r="BL235" s="265"/>
      <c r="BM235" s="265"/>
      <c r="BN235" s="266"/>
      <c r="BO235" s="267"/>
      <c r="BP235" s="268"/>
      <c r="BQ235" s="269"/>
      <c r="BR235" s="269"/>
      <c r="BS235" s="269"/>
      <c r="BT235" s="269"/>
      <c r="BU235" s="269"/>
      <c r="BV235" s="269"/>
      <c r="BW235" s="268"/>
      <c r="BX235" s="269"/>
      <c r="BY235" s="268"/>
      <c r="BZ235" s="268"/>
      <c r="CA235" s="268"/>
      <c r="CB235" s="269"/>
      <c r="CC235" s="268"/>
      <c r="CD235" s="268"/>
      <c r="CE235" s="269"/>
      <c r="CF235" s="269"/>
      <c r="CG235" s="269"/>
      <c r="CH235" s="269"/>
      <c r="CI235" s="269"/>
      <c r="CJ235" s="269"/>
      <c r="CK235" s="269"/>
      <c r="CL235" s="266"/>
    </row>
    <row r="236" spans="1:90" s="270" customFormat="1" ht="16.95" customHeight="1">
      <c r="A236" s="95"/>
      <c r="B236" s="263"/>
      <c r="C236" s="263"/>
      <c r="D236" s="263"/>
      <c r="E236" s="263"/>
      <c r="F236" s="263"/>
      <c r="G236" s="263"/>
      <c r="H236" s="95"/>
      <c r="I236" s="95"/>
      <c r="J236" s="263"/>
      <c r="K236" s="263"/>
      <c r="L236" s="263"/>
      <c r="M236" s="263"/>
      <c r="N236" s="263"/>
      <c r="O236" s="263"/>
      <c r="P236" s="95"/>
      <c r="Q236" s="95"/>
      <c r="R236" s="95"/>
      <c r="S236" s="95"/>
      <c r="T236" s="95"/>
      <c r="U236" s="95"/>
      <c r="V236" s="95"/>
      <c r="W236" s="95"/>
      <c r="X236" s="95"/>
      <c r="Y236" s="95"/>
      <c r="Z236" s="95"/>
      <c r="AA236" s="95"/>
      <c r="AB236" s="95"/>
      <c r="AC236" s="95"/>
      <c r="AD236" s="95"/>
      <c r="AE236" s="95"/>
      <c r="AF236" s="95"/>
      <c r="AG236" s="95"/>
      <c r="AH236" s="95"/>
      <c r="AI236" s="95"/>
      <c r="AJ236" s="95"/>
      <c r="AK236" s="95"/>
      <c r="AL236" s="95"/>
      <c r="AM236" s="95"/>
      <c r="AN236" s="264"/>
      <c r="AO236" s="95"/>
      <c r="AP236" s="95"/>
      <c r="AQ236" s="95"/>
      <c r="AR236" s="95"/>
      <c r="AS236" s="95"/>
      <c r="AT236" s="95"/>
      <c r="AU236" s="95"/>
      <c r="AV236" s="95"/>
      <c r="AW236" s="95"/>
      <c r="AX236" s="95"/>
      <c r="AY236" s="95"/>
      <c r="AZ236" s="95"/>
      <c r="BA236" s="95"/>
      <c r="BB236" s="95"/>
      <c r="BC236" s="214"/>
      <c r="BD236" s="95"/>
      <c r="BE236" s="95"/>
      <c r="BF236" s="95"/>
      <c r="BG236" s="95"/>
      <c r="BH236" s="95"/>
      <c r="BI236" s="24"/>
      <c r="BJ236" s="95"/>
      <c r="BK236" s="265"/>
      <c r="BL236" s="265"/>
      <c r="BM236" s="265"/>
      <c r="BN236" s="266"/>
      <c r="BO236" s="267"/>
      <c r="BP236" s="268"/>
      <c r="BQ236" s="269"/>
      <c r="BR236" s="269"/>
      <c r="BS236" s="269"/>
      <c r="BT236" s="269"/>
      <c r="BU236" s="269"/>
      <c r="BV236" s="269"/>
      <c r="BW236" s="268"/>
      <c r="BX236" s="269"/>
      <c r="BY236" s="268"/>
      <c r="BZ236" s="268"/>
      <c r="CA236" s="268"/>
      <c r="CB236" s="269"/>
      <c r="CC236" s="268"/>
      <c r="CD236" s="268"/>
      <c r="CE236" s="269"/>
      <c r="CF236" s="269"/>
      <c r="CG236" s="269"/>
      <c r="CH236" s="269"/>
      <c r="CI236" s="269"/>
      <c r="CJ236" s="269"/>
      <c r="CK236" s="269"/>
      <c r="CL236" s="266"/>
    </row>
    <row r="237" spans="1:90" s="270" customFormat="1" ht="16.95" customHeight="1">
      <c r="A237" s="95"/>
      <c r="B237" s="263"/>
      <c r="C237" s="263"/>
      <c r="D237" s="263"/>
      <c r="E237" s="263"/>
      <c r="F237" s="263"/>
      <c r="G237" s="263"/>
      <c r="H237" s="95"/>
      <c r="I237" s="95"/>
      <c r="J237" s="263"/>
      <c r="K237" s="263"/>
      <c r="L237" s="263"/>
      <c r="M237" s="263"/>
      <c r="N237" s="263"/>
      <c r="O237" s="263"/>
      <c r="P237" s="95"/>
      <c r="Q237" s="95"/>
      <c r="R237" s="95"/>
      <c r="S237" s="95"/>
      <c r="T237" s="95"/>
      <c r="U237" s="95"/>
      <c r="V237" s="95"/>
      <c r="W237" s="95"/>
      <c r="X237" s="95"/>
      <c r="Y237" s="95"/>
      <c r="Z237" s="95"/>
      <c r="AA237" s="95"/>
      <c r="AB237" s="95"/>
      <c r="AC237" s="95"/>
      <c r="AD237" s="95"/>
      <c r="AE237" s="95"/>
      <c r="AF237" s="95"/>
      <c r="AG237" s="95"/>
      <c r="AH237" s="95"/>
      <c r="AI237" s="95"/>
      <c r="AJ237" s="95"/>
      <c r="AK237" s="95"/>
      <c r="AL237" s="95"/>
      <c r="AM237" s="95"/>
      <c r="AN237" s="264"/>
      <c r="AO237" s="95"/>
      <c r="AP237" s="95"/>
      <c r="AQ237" s="95"/>
      <c r="AR237" s="95"/>
      <c r="AS237" s="95"/>
      <c r="AT237" s="95"/>
      <c r="AU237" s="95"/>
      <c r="AV237" s="95"/>
      <c r="AW237" s="95"/>
      <c r="AX237" s="95"/>
      <c r="AY237" s="95"/>
      <c r="AZ237" s="95"/>
      <c r="BA237" s="95"/>
      <c r="BB237" s="95"/>
      <c r="BC237" s="214"/>
      <c r="BD237" s="95"/>
      <c r="BE237" s="95"/>
      <c r="BF237" s="95"/>
      <c r="BG237" s="95"/>
      <c r="BH237" s="95"/>
      <c r="BI237" s="24"/>
      <c r="BJ237" s="95"/>
      <c r="BK237" s="265"/>
      <c r="BL237" s="265"/>
      <c r="BM237" s="265"/>
      <c r="BN237" s="266"/>
      <c r="BO237" s="267"/>
      <c r="BP237" s="268"/>
      <c r="BQ237" s="269"/>
      <c r="BR237" s="269"/>
      <c r="BS237" s="269"/>
      <c r="BT237" s="269"/>
      <c r="BU237" s="269"/>
      <c r="BV237" s="269"/>
      <c r="BW237" s="268"/>
      <c r="BX237" s="269"/>
      <c r="BY237" s="268"/>
      <c r="BZ237" s="268"/>
      <c r="CA237" s="268"/>
      <c r="CB237" s="269"/>
      <c r="CC237" s="268"/>
      <c r="CD237" s="268"/>
      <c r="CE237" s="269"/>
      <c r="CF237" s="269"/>
      <c r="CG237" s="269"/>
      <c r="CH237" s="269"/>
      <c r="CI237" s="269"/>
      <c r="CJ237" s="269"/>
      <c r="CK237" s="269"/>
      <c r="CL237" s="266"/>
    </row>
    <row r="238" spans="1:90" s="270" customFormat="1" ht="16.95" customHeight="1">
      <c r="A238" s="95"/>
      <c r="B238" s="263"/>
      <c r="C238" s="263"/>
      <c r="D238" s="263"/>
      <c r="E238" s="263"/>
      <c r="F238" s="263"/>
      <c r="G238" s="263"/>
      <c r="H238" s="95"/>
      <c r="I238" s="95"/>
      <c r="J238" s="263"/>
      <c r="K238" s="263"/>
      <c r="L238" s="263"/>
      <c r="M238" s="263"/>
      <c r="N238" s="263"/>
      <c r="O238" s="263"/>
      <c r="P238" s="95"/>
      <c r="Q238" s="95"/>
      <c r="R238" s="95"/>
      <c r="S238" s="95"/>
      <c r="T238" s="95"/>
      <c r="U238" s="95"/>
      <c r="V238" s="95"/>
      <c r="W238" s="95"/>
      <c r="X238" s="95"/>
      <c r="Y238" s="95"/>
      <c r="Z238" s="95"/>
      <c r="AA238" s="95"/>
      <c r="AB238" s="95"/>
      <c r="AC238" s="95"/>
      <c r="AD238" s="95"/>
      <c r="AE238" s="95"/>
      <c r="AF238" s="95"/>
      <c r="AG238" s="95"/>
      <c r="AH238" s="95"/>
      <c r="AI238" s="95"/>
      <c r="AJ238" s="95"/>
      <c r="AK238" s="95"/>
      <c r="AL238" s="95"/>
      <c r="AM238" s="95"/>
      <c r="AN238" s="264"/>
      <c r="AO238" s="95"/>
      <c r="AP238" s="95"/>
      <c r="AQ238" s="95"/>
      <c r="AR238" s="95"/>
      <c r="AS238" s="95"/>
      <c r="AT238" s="95"/>
      <c r="AU238" s="95"/>
      <c r="AV238" s="95"/>
      <c r="AW238" s="95"/>
      <c r="AX238" s="95"/>
      <c r="AY238" s="95"/>
      <c r="AZ238" s="95"/>
      <c r="BA238" s="95"/>
      <c r="BB238" s="95"/>
      <c r="BC238" s="214"/>
      <c r="BD238" s="95"/>
      <c r="BE238" s="95"/>
      <c r="BF238" s="95"/>
      <c r="BG238" s="95"/>
      <c r="BH238" s="95"/>
      <c r="BI238" s="24"/>
      <c r="BJ238" s="95"/>
      <c r="BK238" s="265"/>
      <c r="BL238" s="265"/>
      <c r="BM238" s="265"/>
      <c r="BN238" s="266"/>
      <c r="BO238" s="267"/>
      <c r="BP238" s="268"/>
      <c r="BQ238" s="269"/>
      <c r="BR238" s="269"/>
      <c r="BS238" s="269"/>
      <c r="BT238" s="269"/>
      <c r="BU238" s="269"/>
      <c r="BV238" s="269"/>
      <c r="BW238" s="268"/>
      <c r="BX238" s="269"/>
      <c r="BY238" s="268"/>
      <c r="BZ238" s="268"/>
      <c r="CA238" s="268"/>
      <c r="CB238" s="269"/>
      <c r="CC238" s="268"/>
      <c r="CD238" s="268"/>
      <c r="CE238" s="269"/>
      <c r="CF238" s="269"/>
      <c r="CG238" s="269"/>
      <c r="CH238" s="269"/>
      <c r="CI238" s="269"/>
      <c r="CJ238" s="269"/>
      <c r="CK238" s="269"/>
      <c r="CL238" s="266"/>
    </row>
    <row r="239" spans="1:90" s="270" customFormat="1" ht="16.95" customHeight="1">
      <c r="A239" s="95"/>
      <c r="B239" s="263"/>
      <c r="C239" s="263"/>
      <c r="D239" s="263"/>
      <c r="E239" s="263"/>
      <c r="F239" s="263"/>
      <c r="G239" s="263"/>
      <c r="H239" s="95"/>
      <c r="I239" s="95"/>
      <c r="J239" s="263"/>
      <c r="K239" s="263"/>
      <c r="L239" s="263"/>
      <c r="M239" s="263"/>
      <c r="N239" s="263"/>
      <c r="O239" s="263"/>
      <c r="P239" s="95"/>
      <c r="Q239" s="95"/>
      <c r="R239" s="95"/>
      <c r="S239" s="95"/>
      <c r="T239" s="95"/>
      <c r="U239" s="95"/>
      <c r="V239" s="95"/>
      <c r="W239" s="95"/>
      <c r="X239" s="95"/>
      <c r="Y239" s="95"/>
      <c r="Z239" s="95"/>
      <c r="AA239" s="95"/>
      <c r="AB239" s="95"/>
      <c r="AC239" s="95"/>
      <c r="AD239" s="95"/>
      <c r="AE239" s="95"/>
      <c r="AF239" s="95"/>
      <c r="AG239" s="95"/>
      <c r="AH239" s="95"/>
      <c r="AI239" s="95"/>
      <c r="AJ239" s="95"/>
      <c r="AK239" s="95"/>
      <c r="AL239" s="95"/>
      <c r="AM239" s="95"/>
      <c r="AN239" s="264"/>
      <c r="AO239" s="95"/>
      <c r="AP239" s="95"/>
      <c r="AQ239" s="95"/>
      <c r="AR239" s="95"/>
      <c r="AS239" s="95"/>
      <c r="AT239" s="95"/>
      <c r="AU239" s="95"/>
      <c r="AV239" s="95"/>
      <c r="AW239" s="95"/>
      <c r="AX239" s="95"/>
      <c r="AY239" s="95"/>
      <c r="AZ239" s="95"/>
      <c r="BA239" s="95"/>
      <c r="BB239" s="95"/>
      <c r="BC239" s="214"/>
      <c r="BD239" s="95"/>
      <c r="BE239" s="95"/>
      <c r="BF239" s="95"/>
      <c r="BG239" s="95"/>
      <c r="BH239" s="95"/>
      <c r="BI239" s="24"/>
      <c r="BJ239" s="95"/>
      <c r="BK239" s="265"/>
      <c r="BL239" s="265"/>
      <c r="BM239" s="265"/>
      <c r="BN239" s="266"/>
      <c r="BO239" s="267"/>
      <c r="BP239" s="268"/>
      <c r="BQ239" s="269"/>
      <c r="BR239" s="269"/>
      <c r="BS239" s="269"/>
      <c r="BT239" s="269"/>
      <c r="BU239" s="269"/>
      <c r="BV239" s="269"/>
      <c r="BW239" s="268"/>
      <c r="BX239" s="269"/>
      <c r="BY239" s="268"/>
      <c r="BZ239" s="268"/>
      <c r="CA239" s="268"/>
      <c r="CB239" s="269"/>
      <c r="CC239" s="268"/>
      <c r="CD239" s="268"/>
      <c r="CE239" s="269"/>
      <c r="CF239" s="269"/>
      <c r="CG239" s="269"/>
      <c r="CH239" s="269"/>
      <c r="CI239" s="269"/>
      <c r="CJ239" s="269"/>
      <c r="CK239" s="269"/>
      <c r="CL239" s="266"/>
    </row>
    <row r="240" spans="1:90" s="270" customFormat="1" ht="16.95" customHeight="1">
      <c r="A240" s="95"/>
      <c r="B240" s="263"/>
      <c r="C240" s="263"/>
      <c r="D240" s="263"/>
      <c r="E240" s="263"/>
      <c r="F240" s="263"/>
      <c r="G240" s="263"/>
      <c r="H240" s="95"/>
      <c r="I240" s="95"/>
      <c r="J240" s="263"/>
      <c r="K240" s="263"/>
      <c r="L240" s="263"/>
      <c r="M240" s="263"/>
      <c r="N240" s="263"/>
      <c r="O240" s="263"/>
      <c r="P240" s="95"/>
      <c r="Q240" s="95"/>
      <c r="R240" s="95"/>
      <c r="S240" s="95"/>
      <c r="T240" s="95"/>
      <c r="U240" s="95"/>
      <c r="V240" s="95"/>
      <c r="W240" s="95"/>
      <c r="X240" s="95"/>
      <c r="Y240" s="95"/>
      <c r="Z240" s="95"/>
      <c r="AA240" s="95"/>
      <c r="AB240" s="95"/>
      <c r="AC240" s="95"/>
      <c r="AD240" s="95"/>
      <c r="AE240" s="95"/>
      <c r="AF240" s="95"/>
      <c r="AG240" s="95"/>
      <c r="AH240" s="95"/>
      <c r="AI240" s="95"/>
      <c r="AJ240" s="95"/>
      <c r="AK240" s="95"/>
      <c r="AL240" s="95"/>
      <c r="AM240" s="95"/>
      <c r="AN240" s="264"/>
      <c r="AO240" s="95"/>
      <c r="AP240" s="95"/>
      <c r="AQ240" s="95"/>
      <c r="AR240" s="95"/>
      <c r="AS240" s="95"/>
      <c r="AT240" s="95"/>
      <c r="AU240" s="95"/>
      <c r="AV240" s="95"/>
      <c r="AW240" s="95"/>
      <c r="AX240" s="95"/>
      <c r="AY240" s="95"/>
      <c r="AZ240" s="95"/>
      <c r="BA240" s="95"/>
      <c r="BB240" s="95"/>
      <c r="BC240" s="214"/>
      <c r="BD240" s="95"/>
      <c r="BE240" s="95"/>
      <c r="BF240" s="95"/>
      <c r="BG240" s="95"/>
      <c r="BH240" s="95"/>
      <c r="BI240" s="24"/>
      <c r="BJ240" s="95"/>
      <c r="BK240" s="265"/>
      <c r="BL240" s="265"/>
      <c r="BM240" s="265"/>
      <c r="BN240" s="266"/>
      <c r="BO240" s="267"/>
      <c r="BP240" s="268"/>
      <c r="BQ240" s="269"/>
      <c r="BR240" s="269"/>
      <c r="BS240" s="269"/>
      <c r="BT240" s="269"/>
      <c r="BU240" s="269"/>
      <c r="BV240" s="269"/>
      <c r="BW240" s="268"/>
      <c r="BX240" s="269"/>
      <c r="BY240" s="268"/>
      <c r="BZ240" s="268"/>
      <c r="CA240" s="268"/>
      <c r="CB240" s="269"/>
      <c r="CC240" s="268"/>
      <c r="CD240" s="268"/>
      <c r="CE240" s="269"/>
      <c r="CF240" s="269"/>
      <c r="CG240" s="269"/>
      <c r="CH240" s="269"/>
      <c r="CI240" s="269"/>
      <c r="CJ240" s="269"/>
      <c r="CK240" s="269"/>
      <c r="CL240" s="266"/>
    </row>
    <row r="241" spans="1:90" s="270" customFormat="1" ht="16.95" customHeight="1">
      <c r="A241" s="95"/>
      <c r="B241" s="263"/>
      <c r="C241" s="263"/>
      <c r="D241" s="263"/>
      <c r="E241" s="263"/>
      <c r="F241" s="263"/>
      <c r="G241" s="263"/>
      <c r="H241" s="95"/>
      <c r="I241" s="95"/>
      <c r="J241" s="263"/>
      <c r="K241" s="263"/>
      <c r="L241" s="263"/>
      <c r="M241" s="263"/>
      <c r="N241" s="263"/>
      <c r="O241" s="263"/>
      <c r="P241" s="95"/>
      <c r="Q241" s="95"/>
      <c r="R241" s="95"/>
      <c r="S241" s="95"/>
      <c r="T241" s="95"/>
      <c r="U241" s="95"/>
      <c r="V241" s="95"/>
      <c r="W241" s="95"/>
      <c r="X241" s="95"/>
      <c r="Y241" s="95"/>
      <c r="Z241" s="95"/>
      <c r="AA241" s="95"/>
      <c r="AB241" s="95"/>
      <c r="AC241" s="95"/>
      <c r="AD241" s="95"/>
      <c r="AE241" s="95"/>
      <c r="AF241" s="95"/>
      <c r="AG241" s="95"/>
      <c r="AH241" s="95"/>
      <c r="AI241" s="95"/>
      <c r="AJ241" s="95"/>
      <c r="AK241" s="95"/>
      <c r="AL241" s="95"/>
      <c r="AM241" s="95"/>
      <c r="AN241" s="264"/>
      <c r="AO241" s="95"/>
      <c r="AP241" s="95"/>
      <c r="AQ241" s="95"/>
      <c r="AR241" s="95"/>
      <c r="AS241" s="95"/>
      <c r="AT241" s="95"/>
      <c r="AU241" s="95"/>
      <c r="AV241" s="95"/>
      <c r="AW241" s="95"/>
      <c r="AX241" s="95"/>
      <c r="AY241" s="95"/>
      <c r="AZ241" s="95"/>
      <c r="BA241" s="95"/>
      <c r="BB241" s="95"/>
      <c r="BC241" s="214"/>
      <c r="BD241" s="95"/>
      <c r="BE241" s="95"/>
      <c r="BF241" s="95"/>
      <c r="BG241" s="95"/>
      <c r="BH241" s="95"/>
      <c r="BI241" s="24"/>
      <c r="BJ241" s="95"/>
      <c r="BK241" s="265"/>
      <c r="BL241" s="265"/>
      <c r="BM241" s="265"/>
      <c r="BN241" s="266"/>
      <c r="BO241" s="267"/>
      <c r="BP241" s="268"/>
      <c r="BQ241" s="269"/>
      <c r="BR241" s="269"/>
      <c r="BS241" s="269"/>
      <c r="BT241" s="269"/>
      <c r="BU241" s="269"/>
      <c r="BV241" s="269"/>
      <c r="BW241" s="268"/>
      <c r="BX241" s="269"/>
      <c r="BY241" s="268"/>
      <c r="BZ241" s="268"/>
      <c r="CA241" s="268"/>
      <c r="CB241" s="269"/>
      <c r="CC241" s="268"/>
      <c r="CD241" s="268"/>
      <c r="CE241" s="269"/>
      <c r="CF241" s="269"/>
      <c r="CG241" s="269"/>
      <c r="CH241" s="269"/>
      <c r="CI241" s="269"/>
      <c r="CJ241" s="269"/>
      <c r="CK241" s="269"/>
      <c r="CL241" s="266"/>
    </row>
    <row r="242" spans="1:90" s="270" customFormat="1">
      <c r="A242" s="95"/>
      <c r="B242" s="263"/>
      <c r="C242" s="263"/>
      <c r="D242" s="263"/>
      <c r="E242" s="263"/>
      <c r="F242" s="263"/>
      <c r="G242" s="263"/>
      <c r="H242" s="95"/>
      <c r="I242" s="95"/>
      <c r="J242" s="263"/>
      <c r="K242" s="263"/>
      <c r="L242" s="263"/>
      <c r="M242" s="263"/>
      <c r="N242" s="263"/>
      <c r="O242" s="263"/>
      <c r="P242" s="95"/>
      <c r="Q242" s="95"/>
      <c r="R242" s="95"/>
      <c r="S242" s="95"/>
      <c r="T242" s="95"/>
      <c r="U242" s="95"/>
      <c r="V242" s="95"/>
      <c r="W242" s="95"/>
      <c r="X242" s="95"/>
      <c r="Y242" s="95"/>
      <c r="Z242" s="95"/>
      <c r="AA242" s="95"/>
      <c r="AB242" s="95"/>
      <c r="AC242" s="95"/>
      <c r="AD242" s="95"/>
      <c r="AE242" s="95"/>
      <c r="AF242" s="95"/>
      <c r="AG242" s="95"/>
      <c r="AH242" s="95"/>
      <c r="AI242" s="95"/>
      <c r="AJ242" s="95"/>
      <c r="AK242" s="95"/>
      <c r="AL242" s="95"/>
      <c r="AM242" s="95"/>
      <c r="AN242" s="264"/>
      <c r="AO242" s="95"/>
      <c r="AP242" s="95"/>
      <c r="AQ242" s="95"/>
      <c r="AR242" s="95"/>
      <c r="AS242" s="95"/>
      <c r="AT242" s="95"/>
      <c r="AU242" s="95"/>
      <c r="AV242" s="95"/>
      <c r="AW242" s="95"/>
      <c r="AX242" s="95"/>
      <c r="AY242" s="95"/>
      <c r="AZ242" s="95"/>
      <c r="BA242" s="95"/>
      <c r="BB242" s="95"/>
      <c r="BC242" s="214"/>
      <c r="BD242" s="95"/>
      <c r="BE242" s="95"/>
      <c r="BF242" s="95"/>
      <c r="BG242" s="95"/>
      <c r="BH242" s="95"/>
      <c r="BI242" s="24"/>
      <c r="BJ242" s="95"/>
      <c r="BK242" s="265"/>
      <c r="BL242" s="265"/>
      <c r="BM242" s="265"/>
      <c r="BN242" s="266"/>
      <c r="BO242" s="267"/>
      <c r="BP242" s="268"/>
      <c r="BQ242" s="269"/>
      <c r="BR242" s="269"/>
      <c r="BS242" s="269"/>
      <c r="BT242" s="269"/>
      <c r="BU242" s="269"/>
      <c r="BV242" s="269"/>
      <c r="BW242" s="268"/>
      <c r="BX242" s="269"/>
      <c r="BY242" s="268"/>
      <c r="BZ242" s="268"/>
      <c r="CA242" s="268"/>
      <c r="CB242" s="269"/>
      <c r="CC242" s="268"/>
      <c r="CD242" s="268"/>
      <c r="CE242" s="269"/>
      <c r="CF242" s="269"/>
      <c r="CG242" s="269"/>
      <c r="CH242" s="269"/>
      <c r="CI242" s="269"/>
      <c r="CJ242" s="269"/>
      <c r="CK242" s="269"/>
      <c r="CL242" s="266"/>
    </row>
    <row r="243" spans="1:90" s="270" customFormat="1">
      <c r="A243" s="95"/>
      <c r="B243" s="263"/>
      <c r="C243" s="263"/>
      <c r="D243" s="263"/>
      <c r="E243" s="263"/>
      <c r="F243" s="263"/>
      <c r="G243" s="263"/>
      <c r="H243" s="95"/>
      <c r="I243" s="95"/>
      <c r="J243" s="263"/>
      <c r="K243" s="263"/>
      <c r="L243" s="263"/>
      <c r="M243" s="263"/>
      <c r="N243" s="263"/>
      <c r="O243" s="263"/>
      <c r="P243" s="95"/>
      <c r="Q243" s="95"/>
      <c r="R243" s="95"/>
      <c r="S243" s="95"/>
      <c r="T243" s="95"/>
      <c r="U243" s="95"/>
      <c r="V243" s="95"/>
      <c r="W243" s="95"/>
      <c r="X243" s="95"/>
      <c r="Y243" s="95"/>
      <c r="Z243" s="95"/>
      <c r="AA243" s="95"/>
      <c r="AB243" s="95"/>
      <c r="AC243" s="95"/>
      <c r="AD243" s="95"/>
      <c r="AE243" s="95"/>
      <c r="AF243" s="95"/>
      <c r="AG243" s="95"/>
      <c r="AH243" s="95"/>
      <c r="AI243" s="95"/>
      <c r="AJ243" s="95"/>
      <c r="AK243" s="95"/>
      <c r="AL243" s="95"/>
      <c r="AM243" s="95"/>
      <c r="AN243" s="264"/>
      <c r="AO243" s="95"/>
      <c r="AP243" s="95"/>
      <c r="AQ243" s="95"/>
      <c r="AR243" s="95"/>
      <c r="AS243" s="95"/>
      <c r="AT243" s="95"/>
      <c r="AU243" s="95"/>
      <c r="AV243" s="95"/>
      <c r="AW243" s="95"/>
      <c r="AX243" s="95"/>
      <c r="AY243" s="95"/>
      <c r="AZ243" s="95"/>
      <c r="BA243" s="95"/>
      <c r="BB243" s="95"/>
      <c r="BC243" s="214"/>
      <c r="BD243" s="95"/>
      <c r="BE243" s="95"/>
      <c r="BF243" s="95"/>
      <c r="BG243" s="95"/>
      <c r="BH243" s="95"/>
      <c r="BI243" s="24"/>
      <c r="BJ243" s="95"/>
      <c r="BK243" s="265"/>
      <c r="BL243" s="265"/>
      <c r="BM243" s="265"/>
      <c r="BN243" s="266"/>
      <c r="BO243" s="267"/>
      <c r="BP243" s="268"/>
      <c r="BQ243" s="269"/>
      <c r="BR243" s="269"/>
      <c r="BS243" s="269"/>
      <c r="BT243" s="269"/>
      <c r="BU243" s="269"/>
      <c r="BV243" s="269"/>
      <c r="BW243" s="268"/>
      <c r="BX243" s="269"/>
      <c r="BY243" s="268"/>
      <c r="BZ243" s="268"/>
      <c r="CA243" s="268"/>
      <c r="CB243" s="269"/>
      <c r="CC243" s="268"/>
      <c r="CD243" s="268"/>
      <c r="CE243" s="269"/>
      <c r="CF243" s="269"/>
      <c r="CG243" s="269"/>
      <c r="CH243" s="269"/>
      <c r="CI243" s="269"/>
      <c r="CJ243" s="269"/>
      <c r="CK243" s="269"/>
      <c r="CL243" s="266"/>
    </row>
    <row r="244" spans="1:90" s="270" customFormat="1">
      <c r="A244" s="95"/>
      <c r="B244" s="263"/>
      <c r="C244" s="263"/>
      <c r="D244" s="263"/>
      <c r="E244" s="263"/>
      <c r="F244" s="263"/>
      <c r="G244" s="263"/>
      <c r="H244" s="95"/>
      <c r="I244" s="95"/>
      <c r="J244" s="263"/>
      <c r="K244" s="263"/>
      <c r="L244" s="263"/>
      <c r="M244" s="263"/>
      <c r="N244" s="263"/>
      <c r="O244" s="263"/>
      <c r="P244" s="95"/>
      <c r="Q244" s="95"/>
      <c r="R244" s="95"/>
      <c r="S244" s="95"/>
      <c r="T244" s="95"/>
      <c r="U244" s="95"/>
      <c r="V244" s="95"/>
      <c r="W244" s="95"/>
      <c r="X244" s="95"/>
      <c r="Y244" s="95"/>
      <c r="Z244" s="95"/>
      <c r="AA244" s="95"/>
      <c r="AB244" s="95"/>
      <c r="AC244" s="95"/>
      <c r="AD244" s="95"/>
      <c r="AE244" s="95"/>
      <c r="AF244" s="95"/>
      <c r="AG244" s="95"/>
      <c r="AH244" s="95"/>
      <c r="AI244" s="95"/>
      <c r="AJ244" s="95"/>
      <c r="AK244" s="95"/>
      <c r="AL244" s="95"/>
      <c r="AM244" s="95"/>
      <c r="AN244" s="264"/>
      <c r="AO244" s="95"/>
      <c r="AP244" s="95"/>
      <c r="AQ244" s="95"/>
      <c r="AR244" s="95"/>
      <c r="AS244" s="95"/>
      <c r="AT244" s="95"/>
      <c r="AU244" s="95"/>
      <c r="AV244" s="95"/>
      <c r="AW244" s="95"/>
      <c r="AX244" s="95"/>
      <c r="AY244" s="95"/>
      <c r="AZ244" s="95"/>
      <c r="BA244" s="95"/>
      <c r="BB244" s="95"/>
      <c r="BC244" s="214"/>
      <c r="BD244" s="95"/>
      <c r="BE244" s="95"/>
      <c r="BF244" s="95"/>
      <c r="BG244" s="95"/>
      <c r="BH244" s="95"/>
      <c r="BI244" s="24"/>
      <c r="BJ244" s="95"/>
      <c r="BK244" s="265"/>
      <c r="BL244" s="265"/>
      <c r="BM244" s="265"/>
      <c r="BN244" s="266"/>
      <c r="BO244" s="267"/>
      <c r="BP244" s="268"/>
      <c r="BQ244" s="269"/>
      <c r="BR244" s="269"/>
      <c r="BS244" s="269"/>
      <c r="BT244" s="269"/>
      <c r="BU244" s="269"/>
      <c r="BV244" s="269"/>
      <c r="BW244" s="268"/>
      <c r="BX244" s="269"/>
      <c r="BY244" s="268"/>
      <c r="BZ244" s="268"/>
      <c r="CA244" s="268"/>
      <c r="CB244" s="269"/>
      <c r="CC244" s="268"/>
      <c r="CD244" s="268"/>
      <c r="CE244" s="269"/>
      <c r="CF244" s="269"/>
      <c r="CG244" s="269"/>
      <c r="CH244" s="269"/>
      <c r="CI244" s="269"/>
      <c r="CJ244" s="269"/>
      <c r="CK244" s="269"/>
      <c r="CL244" s="266"/>
    </row>
    <row r="245" spans="1:90" s="270" customFormat="1">
      <c r="A245" s="95"/>
      <c r="B245" s="263"/>
      <c r="C245" s="263"/>
      <c r="D245" s="263"/>
      <c r="E245" s="263"/>
      <c r="F245" s="263"/>
      <c r="G245" s="263"/>
      <c r="H245" s="95"/>
      <c r="I245" s="95"/>
      <c r="J245" s="263"/>
      <c r="K245" s="263"/>
      <c r="L245" s="263"/>
      <c r="M245" s="263"/>
      <c r="N245" s="263"/>
      <c r="O245" s="263"/>
      <c r="P245" s="95"/>
      <c r="Q245" s="95"/>
      <c r="R245" s="95"/>
      <c r="S245" s="95"/>
      <c r="T245" s="95"/>
      <c r="U245" s="95"/>
      <c r="V245" s="95"/>
      <c r="W245" s="95"/>
      <c r="X245" s="95"/>
      <c r="Y245" s="95"/>
      <c r="Z245" s="95"/>
      <c r="AA245" s="95"/>
      <c r="AB245" s="95"/>
      <c r="AC245" s="95"/>
      <c r="AD245" s="95"/>
      <c r="AE245" s="95"/>
      <c r="AF245" s="95"/>
      <c r="AG245" s="95"/>
      <c r="AH245" s="95"/>
      <c r="AI245" s="95"/>
      <c r="AJ245" s="95"/>
      <c r="AK245" s="95"/>
      <c r="AL245" s="95"/>
      <c r="AM245" s="95"/>
      <c r="AN245" s="264"/>
      <c r="AO245" s="95"/>
      <c r="AP245" s="95"/>
      <c r="AQ245" s="95"/>
      <c r="AR245" s="95"/>
      <c r="AS245" s="95"/>
      <c r="AT245" s="95"/>
      <c r="AU245" s="95"/>
      <c r="AV245" s="95"/>
      <c r="AW245" s="95"/>
      <c r="AX245" s="95"/>
      <c r="AY245" s="95"/>
      <c r="AZ245" s="95"/>
      <c r="BA245" s="95"/>
      <c r="BB245" s="95"/>
      <c r="BC245" s="214"/>
      <c r="BD245" s="95"/>
      <c r="BE245" s="95"/>
      <c r="BF245" s="95"/>
      <c r="BG245" s="95"/>
      <c r="BH245" s="95"/>
      <c r="BI245" s="24"/>
      <c r="BJ245" s="95"/>
      <c r="BK245" s="265"/>
      <c r="BL245" s="265"/>
      <c r="BM245" s="265"/>
      <c r="BN245" s="266"/>
      <c r="BO245" s="267"/>
      <c r="BP245" s="268"/>
      <c r="BQ245" s="269"/>
      <c r="BR245" s="269"/>
      <c r="BS245" s="269"/>
      <c r="BT245" s="269"/>
      <c r="BU245" s="269"/>
      <c r="BV245" s="269"/>
      <c r="BW245" s="268"/>
      <c r="BX245" s="269"/>
      <c r="BY245" s="268"/>
      <c r="BZ245" s="268"/>
      <c r="CA245" s="268"/>
      <c r="CB245" s="269"/>
      <c r="CC245" s="268"/>
      <c r="CD245" s="268"/>
      <c r="CE245" s="269"/>
      <c r="CF245" s="269"/>
      <c r="CG245" s="269"/>
      <c r="CH245" s="269"/>
      <c r="CI245" s="269"/>
      <c r="CJ245" s="269"/>
      <c r="CK245" s="269"/>
      <c r="CL245" s="266"/>
    </row>
    <row r="246" spans="1:90" s="270" customFormat="1">
      <c r="A246" s="95"/>
      <c r="B246" s="263"/>
      <c r="C246" s="263"/>
      <c r="D246" s="263"/>
      <c r="E246" s="263"/>
      <c r="F246" s="263"/>
      <c r="G246" s="263"/>
      <c r="H246" s="95"/>
      <c r="I246" s="95"/>
      <c r="J246" s="263"/>
      <c r="K246" s="263"/>
      <c r="L246" s="263"/>
      <c r="M246" s="263"/>
      <c r="N246" s="263"/>
      <c r="O246" s="263"/>
      <c r="P246" s="95"/>
      <c r="Q246" s="95"/>
      <c r="R246" s="95"/>
      <c r="S246" s="95"/>
      <c r="T246" s="95"/>
      <c r="U246" s="95"/>
      <c r="V246" s="95"/>
      <c r="W246" s="95"/>
      <c r="X246" s="95"/>
      <c r="Y246" s="95"/>
      <c r="Z246" s="95"/>
      <c r="AA246" s="95"/>
      <c r="AB246" s="95"/>
      <c r="AC246" s="95"/>
      <c r="AD246" s="95"/>
      <c r="AE246" s="95"/>
      <c r="AF246" s="95"/>
      <c r="AG246" s="95"/>
      <c r="AH246" s="95"/>
      <c r="AI246" s="95"/>
      <c r="AJ246" s="95"/>
      <c r="AK246" s="95"/>
      <c r="AL246" s="95"/>
      <c r="AM246" s="95"/>
      <c r="AN246" s="264"/>
      <c r="AO246" s="95"/>
      <c r="AP246" s="95"/>
      <c r="AQ246" s="95"/>
      <c r="AR246" s="95"/>
      <c r="AS246" s="95"/>
      <c r="AT246" s="95"/>
      <c r="AU246" s="95"/>
      <c r="AV246" s="95"/>
      <c r="AW246" s="95"/>
      <c r="AX246" s="95"/>
      <c r="AY246" s="95"/>
      <c r="AZ246" s="95"/>
      <c r="BA246" s="95"/>
      <c r="BB246" s="95"/>
      <c r="BC246" s="214"/>
      <c r="BD246" s="95"/>
      <c r="BE246" s="95"/>
      <c r="BF246" s="95"/>
      <c r="BG246" s="95"/>
      <c r="BH246" s="95"/>
      <c r="BI246" s="24"/>
      <c r="BJ246" s="95"/>
      <c r="BK246" s="265"/>
      <c r="BL246" s="265"/>
      <c r="BM246" s="265"/>
      <c r="BN246" s="266"/>
      <c r="BO246" s="267"/>
      <c r="BP246" s="268"/>
      <c r="BQ246" s="269"/>
      <c r="BR246" s="269"/>
      <c r="BS246" s="269"/>
      <c r="BT246" s="269"/>
      <c r="BU246" s="269"/>
      <c r="BV246" s="269"/>
      <c r="BW246" s="268"/>
      <c r="BX246" s="269"/>
      <c r="BY246" s="268"/>
      <c r="BZ246" s="268"/>
      <c r="CA246" s="268"/>
      <c r="CB246" s="269"/>
      <c r="CC246" s="268"/>
      <c r="CD246" s="268"/>
      <c r="CE246" s="269"/>
      <c r="CF246" s="269"/>
      <c r="CG246" s="269"/>
      <c r="CH246" s="269"/>
      <c r="CI246" s="269"/>
      <c r="CJ246" s="269"/>
      <c r="CK246" s="269"/>
      <c r="CL246" s="266"/>
    </row>
    <row r="247" spans="1:90" s="270" customFormat="1">
      <c r="A247" s="95"/>
      <c r="B247" s="263"/>
      <c r="C247" s="263"/>
      <c r="D247" s="263"/>
      <c r="E247" s="263"/>
      <c r="F247" s="263"/>
      <c r="G247" s="263"/>
      <c r="H247" s="95"/>
      <c r="I247" s="95"/>
      <c r="J247" s="263"/>
      <c r="K247" s="263"/>
      <c r="L247" s="263"/>
      <c r="M247" s="263"/>
      <c r="N247" s="263"/>
      <c r="O247" s="263"/>
      <c r="P247" s="95"/>
      <c r="Q247" s="95"/>
      <c r="R247" s="95"/>
      <c r="S247" s="95"/>
      <c r="T247" s="95"/>
      <c r="U247" s="95"/>
      <c r="V247" s="95"/>
      <c r="W247" s="95"/>
      <c r="X247" s="95"/>
      <c r="Y247" s="95"/>
      <c r="Z247" s="95"/>
      <c r="AA247" s="95"/>
      <c r="AB247" s="95"/>
      <c r="AC247" s="95"/>
      <c r="AD247" s="95"/>
      <c r="AE247" s="95"/>
      <c r="AF247" s="95"/>
      <c r="AG247" s="95"/>
      <c r="AH247" s="95"/>
      <c r="AI247" s="95"/>
      <c r="AJ247" s="95"/>
      <c r="AK247" s="95"/>
      <c r="AL247" s="95"/>
      <c r="AM247" s="95"/>
      <c r="AN247" s="264"/>
      <c r="AO247" s="95"/>
      <c r="AP247" s="95"/>
      <c r="AQ247" s="95"/>
      <c r="AR247" s="95"/>
      <c r="AS247" s="95"/>
      <c r="AT247" s="95"/>
      <c r="AU247" s="95"/>
      <c r="AV247" s="95"/>
      <c r="AW247" s="95"/>
      <c r="AX247" s="95"/>
      <c r="AY247" s="95"/>
      <c r="AZ247" s="95"/>
      <c r="BA247" s="95"/>
      <c r="BB247" s="95"/>
      <c r="BC247" s="214"/>
      <c r="BD247" s="95"/>
      <c r="BE247" s="95"/>
      <c r="BF247" s="95"/>
      <c r="BG247" s="95"/>
      <c r="BH247" s="95"/>
      <c r="BI247" s="24"/>
      <c r="BJ247" s="95"/>
      <c r="BK247" s="265"/>
      <c r="BL247" s="265"/>
      <c r="BM247" s="265"/>
      <c r="BN247" s="266"/>
      <c r="BO247" s="267"/>
      <c r="BP247" s="268"/>
      <c r="BQ247" s="269"/>
      <c r="BR247" s="269"/>
      <c r="BS247" s="269"/>
      <c r="BT247" s="269"/>
      <c r="BU247" s="269"/>
      <c r="BV247" s="269"/>
      <c r="BW247" s="268"/>
      <c r="BX247" s="269"/>
      <c r="BY247" s="268"/>
      <c r="BZ247" s="268"/>
      <c r="CA247" s="268"/>
      <c r="CB247" s="269"/>
      <c r="CC247" s="268"/>
      <c r="CD247" s="268"/>
      <c r="CE247" s="269"/>
      <c r="CF247" s="269"/>
      <c r="CG247" s="269"/>
      <c r="CH247" s="269"/>
      <c r="CI247" s="269"/>
      <c r="CJ247" s="269"/>
      <c r="CK247" s="269"/>
      <c r="CL247" s="266"/>
    </row>
    <row r="248" spans="1:90" s="270" customFormat="1">
      <c r="A248" s="95"/>
      <c r="B248" s="263"/>
      <c r="C248" s="263"/>
      <c r="D248" s="263"/>
      <c r="E248" s="263"/>
      <c r="F248" s="263"/>
      <c r="G248" s="263"/>
      <c r="H248" s="95"/>
      <c r="I248" s="95"/>
      <c r="J248" s="263"/>
      <c r="K248" s="263"/>
      <c r="L248" s="263"/>
      <c r="M248" s="263"/>
      <c r="N248" s="263"/>
      <c r="O248" s="263"/>
      <c r="P248" s="95"/>
      <c r="Q248" s="95"/>
      <c r="R248" s="95"/>
      <c r="S248" s="95"/>
      <c r="T248" s="95"/>
      <c r="U248" s="95"/>
      <c r="V248" s="95"/>
      <c r="W248" s="95"/>
      <c r="X248" s="95"/>
      <c r="Y248" s="95"/>
      <c r="Z248" s="95"/>
      <c r="AA248" s="95"/>
      <c r="AB248" s="95"/>
      <c r="AC248" s="95"/>
      <c r="AD248" s="95"/>
      <c r="AE248" s="95"/>
      <c r="AF248" s="95"/>
      <c r="AG248" s="95"/>
      <c r="AH248" s="95"/>
      <c r="AI248" s="95"/>
      <c r="AJ248" s="95"/>
      <c r="AK248" s="95"/>
      <c r="AL248" s="95"/>
      <c r="AM248" s="95"/>
      <c r="AN248" s="264"/>
      <c r="AO248" s="95"/>
      <c r="AP248" s="95"/>
      <c r="AQ248" s="95"/>
      <c r="AR248" s="95"/>
      <c r="AS248" s="95"/>
      <c r="AT248" s="95"/>
      <c r="AU248" s="95"/>
      <c r="AV248" s="95"/>
      <c r="AW248" s="95"/>
      <c r="AX248" s="95"/>
      <c r="AY248" s="95"/>
      <c r="AZ248" s="95"/>
      <c r="BA248" s="95"/>
      <c r="BB248" s="95"/>
      <c r="BC248" s="214"/>
      <c r="BD248" s="95"/>
      <c r="BE248" s="95"/>
      <c r="BF248" s="95"/>
      <c r="BG248" s="95"/>
      <c r="BH248" s="95"/>
      <c r="BI248" s="24"/>
      <c r="BJ248" s="95"/>
      <c r="BK248" s="265"/>
      <c r="BL248" s="265"/>
      <c r="BM248" s="265"/>
      <c r="BN248" s="266"/>
      <c r="BO248" s="267"/>
      <c r="BP248" s="268"/>
      <c r="BQ248" s="269"/>
      <c r="BR248" s="269"/>
      <c r="BS248" s="269"/>
      <c r="BT248" s="269"/>
      <c r="BU248" s="269"/>
      <c r="BV248" s="269"/>
      <c r="BW248" s="268"/>
      <c r="BX248" s="269"/>
      <c r="BY248" s="268"/>
      <c r="BZ248" s="268"/>
      <c r="CA248" s="268"/>
      <c r="CB248" s="269"/>
      <c r="CC248" s="268"/>
      <c r="CD248" s="268"/>
      <c r="CE248" s="269"/>
      <c r="CF248" s="269"/>
      <c r="CG248" s="269"/>
      <c r="CH248" s="269"/>
      <c r="CI248" s="269"/>
      <c r="CJ248" s="269"/>
      <c r="CK248" s="269"/>
      <c r="CL248" s="266"/>
    </row>
    <row r="249" spans="1:90" s="270" customFormat="1">
      <c r="A249" s="95"/>
      <c r="B249" s="263"/>
      <c r="C249" s="263"/>
      <c r="D249" s="263"/>
      <c r="E249" s="263"/>
      <c r="F249" s="263"/>
      <c r="G249" s="263"/>
      <c r="H249" s="95"/>
      <c r="I249" s="95"/>
      <c r="J249" s="263"/>
      <c r="K249" s="263"/>
      <c r="L249" s="263"/>
      <c r="M249" s="263"/>
      <c r="N249" s="263"/>
      <c r="O249" s="263"/>
      <c r="P249" s="95"/>
      <c r="Q249" s="95"/>
      <c r="R249" s="95"/>
      <c r="S249" s="95"/>
      <c r="T249" s="95"/>
      <c r="U249" s="95"/>
      <c r="V249" s="95"/>
      <c r="W249" s="95"/>
      <c r="X249" s="95"/>
      <c r="Y249" s="95"/>
      <c r="Z249" s="95"/>
      <c r="AA249" s="95"/>
      <c r="AB249" s="95"/>
      <c r="AC249" s="95"/>
      <c r="AD249" s="95"/>
      <c r="AE249" s="95"/>
      <c r="AF249" s="95"/>
      <c r="AG249" s="95"/>
      <c r="AH249" s="95"/>
      <c r="AI249" s="95"/>
      <c r="AJ249" s="95"/>
      <c r="AK249" s="95"/>
      <c r="AL249" s="95"/>
      <c r="AM249" s="95"/>
      <c r="AN249" s="264"/>
      <c r="AO249" s="95"/>
      <c r="AP249" s="95"/>
      <c r="AQ249" s="95"/>
      <c r="AR249" s="95"/>
      <c r="AS249" s="95"/>
      <c r="AT249" s="95"/>
      <c r="AU249" s="95"/>
      <c r="AV249" s="95"/>
      <c r="AW249" s="95"/>
      <c r="AX249" s="95"/>
      <c r="AY249" s="95"/>
      <c r="AZ249" s="95"/>
      <c r="BA249" s="95"/>
      <c r="BB249" s="95"/>
      <c r="BC249" s="214"/>
      <c r="BD249" s="95"/>
      <c r="BE249" s="95"/>
      <c r="BF249" s="95"/>
      <c r="BG249" s="95"/>
      <c r="BH249" s="95"/>
      <c r="BI249" s="24"/>
      <c r="BJ249" s="95"/>
      <c r="BK249" s="265"/>
      <c r="BL249" s="265"/>
      <c r="BM249" s="265"/>
      <c r="BN249" s="266"/>
      <c r="BO249" s="267"/>
      <c r="BP249" s="268"/>
      <c r="BQ249" s="269"/>
      <c r="BR249" s="269"/>
      <c r="BS249" s="269"/>
      <c r="BT249" s="269"/>
      <c r="BU249" s="269"/>
      <c r="BV249" s="269"/>
      <c r="BW249" s="268"/>
      <c r="BX249" s="269"/>
      <c r="BY249" s="268"/>
      <c r="BZ249" s="268"/>
      <c r="CA249" s="268"/>
      <c r="CB249" s="269"/>
      <c r="CC249" s="268"/>
      <c r="CD249" s="268"/>
      <c r="CE249" s="269"/>
      <c r="CF249" s="269"/>
      <c r="CG249" s="269"/>
      <c r="CH249" s="269"/>
      <c r="CI249" s="269"/>
      <c r="CJ249" s="269"/>
      <c r="CK249" s="269"/>
      <c r="CL249" s="266"/>
    </row>
    <row r="250" spans="1:90" s="270" customFormat="1">
      <c r="A250" s="95"/>
      <c r="B250" s="263"/>
      <c r="C250" s="263"/>
      <c r="D250" s="263"/>
      <c r="E250" s="263"/>
      <c r="F250" s="263"/>
      <c r="G250" s="263"/>
      <c r="H250" s="95"/>
      <c r="I250" s="95"/>
      <c r="J250" s="263"/>
      <c r="K250" s="263"/>
      <c r="L250" s="263"/>
      <c r="M250" s="263"/>
      <c r="N250" s="263"/>
      <c r="O250" s="263"/>
      <c r="P250" s="95"/>
      <c r="Q250" s="95"/>
      <c r="R250" s="95"/>
      <c r="S250" s="95"/>
      <c r="T250" s="95"/>
      <c r="U250" s="95"/>
      <c r="V250" s="95"/>
      <c r="W250" s="95"/>
      <c r="X250" s="95"/>
      <c r="Y250" s="95"/>
      <c r="Z250" s="95"/>
      <c r="AA250" s="95"/>
      <c r="AB250" s="95"/>
      <c r="AC250" s="95"/>
      <c r="AD250" s="95"/>
      <c r="AE250" s="95"/>
      <c r="AF250" s="95"/>
      <c r="AG250" s="95"/>
      <c r="AH250" s="95"/>
      <c r="AI250" s="95"/>
      <c r="AJ250" s="95"/>
      <c r="AK250" s="95"/>
      <c r="AL250" s="95"/>
      <c r="AM250" s="95"/>
      <c r="AN250" s="264"/>
      <c r="AO250" s="95"/>
      <c r="AP250" s="95"/>
      <c r="AQ250" s="95"/>
      <c r="AR250" s="95"/>
      <c r="AS250" s="95"/>
      <c r="AT250" s="95"/>
      <c r="AU250" s="95"/>
      <c r="AV250" s="95"/>
      <c r="AW250" s="95"/>
      <c r="AX250" s="95"/>
      <c r="AY250" s="95"/>
      <c r="AZ250" s="95"/>
      <c r="BA250" s="95"/>
      <c r="BB250" s="95"/>
      <c r="BC250" s="214"/>
      <c r="BD250" s="95"/>
      <c r="BE250" s="95"/>
      <c r="BF250" s="95"/>
      <c r="BG250" s="95"/>
      <c r="BH250" s="95"/>
      <c r="BI250" s="24"/>
      <c r="BJ250" s="95"/>
      <c r="BK250" s="265"/>
      <c r="BL250" s="265"/>
      <c r="BM250" s="265"/>
      <c r="BN250" s="266"/>
      <c r="BO250" s="267"/>
      <c r="BP250" s="268"/>
      <c r="BQ250" s="269"/>
      <c r="BR250" s="269"/>
      <c r="BS250" s="269"/>
      <c r="BT250" s="269"/>
      <c r="BU250" s="269"/>
      <c r="BV250" s="269"/>
      <c r="BW250" s="268"/>
      <c r="BX250" s="269"/>
      <c r="BY250" s="268"/>
      <c r="BZ250" s="268"/>
      <c r="CA250" s="268"/>
      <c r="CB250" s="269"/>
      <c r="CC250" s="268"/>
      <c r="CD250" s="268"/>
      <c r="CE250" s="269"/>
      <c r="CF250" s="269"/>
      <c r="CG250" s="269"/>
      <c r="CH250" s="269"/>
      <c r="CI250" s="269"/>
      <c r="CJ250" s="269"/>
      <c r="CK250" s="269"/>
      <c r="CL250" s="266"/>
    </row>
    <row r="251" spans="1:90" s="270" customFormat="1">
      <c r="A251" s="95"/>
      <c r="B251" s="263"/>
      <c r="C251" s="263"/>
      <c r="D251" s="263"/>
      <c r="E251" s="263"/>
      <c r="F251" s="263"/>
      <c r="G251" s="263"/>
      <c r="H251" s="95"/>
      <c r="I251" s="95"/>
      <c r="J251" s="263"/>
      <c r="K251" s="263"/>
      <c r="L251" s="263"/>
      <c r="M251" s="263"/>
      <c r="N251" s="263"/>
      <c r="O251" s="263"/>
      <c r="P251" s="95"/>
      <c r="Q251" s="95"/>
      <c r="R251" s="95"/>
      <c r="S251" s="95"/>
      <c r="T251" s="95"/>
      <c r="U251" s="95"/>
      <c r="V251" s="95"/>
      <c r="W251" s="95"/>
      <c r="X251" s="95"/>
      <c r="Y251" s="95"/>
      <c r="Z251" s="95"/>
      <c r="AA251" s="95"/>
      <c r="AB251" s="95"/>
      <c r="AC251" s="95"/>
      <c r="AD251" s="95"/>
      <c r="AE251" s="95"/>
      <c r="AF251" s="95"/>
      <c r="AG251" s="95"/>
      <c r="AH251" s="95"/>
      <c r="AI251" s="95"/>
      <c r="AJ251" s="95"/>
      <c r="AK251" s="95"/>
      <c r="AL251" s="95"/>
      <c r="AM251" s="95"/>
      <c r="AN251" s="264"/>
      <c r="AO251" s="95"/>
      <c r="AP251" s="95"/>
      <c r="AQ251" s="95"/>
      <c r="AR251" s="95"/>
      <c r="AS251" s="95"/>
      <c r="AT251" s="95"/>
      <c r="AU251" s="95"/>
      <c r="AV251" s="95"/>
      <c r="AW251" s="95"/>
      <c r="AX251" s="95"/>
      <c r="AY251" s="95"/>
      <c r="AZ251" s="95"/>
      <c r="BA251" s="95"/>
      <c r="BB251" s="95"/>
      <c r="BC251" s="214"/>
      <c r="BD251" s="95"/>
      <c r="BE251" s="95"/>
      <c r="BF251" s="95"/>
      <c r="BG251" s="95"/>
      <c r="BH251" s="95"/>
      <c r="BI251" s="24"/>
      <c r="BJ251" s="95"/>
      <c r="BK251" s="265"/>
      <c r="BL251" s="265"/>
      <c r="BM251" s="265"/>
      <c r="BN251" s="266"/>
      <c r="BO251" s="267"/>
      <c r="BP251" s="268"/>
      <c r="BQ251" s="269"/>
      <c r="BR251" s="269"/>
      <c r="BS251" s="269"/>
      <c r="BT251" s="269"/>
      <c r="BU251" s="269"/>
      <c r="BV251" s="269"/>
      <c r="BW251" s="268"/>
      <c r="BX251" s="269"/>
      <c r="BY251" s="268"/>
      <c r="BZ251" s="268"/>
      <c r="CA251" s="268"/>
      <c r="CB251" s="269"/>
      <c r="CC251" s="268"/>
      <c r="CD251" s="268"/>
      <c r="CE251" s="269"/>
      <c r="CF251" s="269"/>
      <c r="CG251" s="269"/>
      <c r="CH251" s="269"/>
      <c r="CI251" s="269"/>
      <c r="CJ251" s="269"/>
      <c r="CK251" s="269"/>
      <c r="CL251" s="266"/>
    </row>
    <row r="252" spans="1:90" s="270" customFormat="1">
      <c r="A252" s="95"/>
      <c r="B252" s="263"/>
      <c r="C252" s="263"/>
      <c r="D252" s="263"/>
      <c r="E252" s="263"/>
      <c r="F252" s="263"/>
      <c r="G252" s="263"/>
      <c r="H252" s="95"/>
      <c r="I252" s="95"/>
      <c r="J252" s="263"/>
      <c r="K252" s="263"/>
      <c r="L252" s="263"/>
      <c r="M252" s="263"/>
      <c r="N252" s="263"/>
      <c r="O252" s="263"/>
      <c r="P252" s="95"/>
      <c r="Q252" s="95"/>
      <c r="R252" s="95"/>
      <c r="S252" s="95"/>
      <c r="T252" s="95"/>
      <c r="U252" s="95"/>
      <c r="V252" s="95"/>
      <c r="W252" s="95"/>
      <c r="X252" s="95"/>
      <c r="Y252" s="95"/>
      <c r="Z252" s="95"/>
      <c r="AA252" s="95"/>
      <c r="AB252" s="95"/>
      <c r="AC252" s="95"/>
      <c r="AD252" s="95"/>
      <c r="AE252" s="95"/>
      <c r="AF252" s="95"/>
      <c r="AG252" s="95"/>
      <c r="AH252" s="95"/>
      <c r="AI252" s="95"/>
      <c r="AJ252" s="95"/>
      <c r="AK252" s="95"/>
      <c r="AL252" s="95"/>
      <c r="AM252" s="95"/>
      <c r="AN252" s="264"/>
      <c r="AO252" s="95"/>
      <c r="AP252" s="95"/>
      <c r="AQ252" s="95"/>
      <c r="AR252" s="95"/>
      <c r="AS252" s="95"/>
      <c r="AT252" s="95"/>
      <c r="AU252" s="95"/>
      <c r="AV252" s="95"/>
      <c r="AW252" s="95"/>
      <c r="AX252" s="95"/>
      <c r="AY252" s="95"/>
      <c r="AZ252" s="95"/>
      <c r="BA252" s="95"/>
      <c r="BB252" s="95"/>
      <c r="BC252" s="214"/>
      <c r="BD252" s="95"/>
      <c r="BE252" s="95"/>
      <c r="BF252" s="95"/>
      <c r="BG252" s="95"/>
      <c r="BH252" s="95"/>
      <c r="BI252" s="24"/>
      <c r="BJ252" s="95"/>
      <c r="BK252" s="265"/>
      <c r="BL252" s="265"/>
      <c r="BM252" s="265"/>
      <c r="BN252" s="266"/>
      <c r="BO252" s="267"/>
      <c r="BP252" s="268"/>
      <c r="BQ252" s="269"/>
      <c r="BR252" s="269"/>
      <c r="BS252" s="269"/>
      <c r="BT252" s="269"/>
      <c r="BU252" s="269"/>
      <c r="BV252" s="269"/>
      <c r="BW252" s="268"/>
      <c r="BX252" s="269"/>
      <c r="BY252" s="268"/>
      <c r="BZ252" s="268"/>
      <c r="CA252" s="268"/>
      <c r="CB252" s="269"/>
      <c r="CC252" s="268"/>
      <c r="CD252" s="268"/>
      <c r="CE252" s="269"/>
      <c r="CF252" s="269"/>
      <c r="CG252" s="269"/>
      <c r="CH252" s="269"/>
      <c r="CI252" s="269"/>
      <c r="CJ252" s="269"/>
      <c r="CK252" s="269"/>
      <c r="CL252" s="266"/>
    </row>
    <row r="253" spans="1:90" s="270" customFormat="1">
      <c r="A253" s="95"/>
      <c r="B253" s="263"/>
      <c r="C253" s="263"/>
      <c r="D253" s="263"/>
      <c r="E253" s="263"/>
      <c r="F253" s="263"/>
      <c r="G253" s="263"/>
      <c r="H253" s="95"/>
      <c r="I253" s="95"/>
      <c r="J253" s="263"/>
      <c r="K253" s="263"/>
      <c r="L253" s="263"/>
      <c r="M253" s="263"/>
      <c r="N253" s="263"/>
      <c r="O253" s="263"/>
      <c r="P253" s="95"/>
      <c r="Q253" s="95"/>
      <c r="R253" s="95"/>
      <c r="S253" s="95"/>
      <c r="T253" s="95"/>
      <c r="U253" s="95"/>
      <c r="V253" s="95"/>
      <c r="W253" s="95"/>
      <c r="X253" s="95"/>
      <c r="Y253" s="95"/>
      <c r="Z253" s="95"/>
      <c r="AA253" s="95"/>
      <c r="AB253" s="95"/>
      <c r="AC253" s="95"/>
      <c r="AD253" s="95"/>
      <c r="AE253" s="95"/>
      <c r="AF253" s="95"/>
      <c r="AG253" s="95"/>
      <c r="AH253" s="95"/>
      <c r="AI253" s="95"/>
      <c r="AJ253" s="95"/>
      <c r="AK253" s="95"/>
      <c r="AL253" s="95"/>
      <c r="AM253" s="95"/>
      <c r="AN253" s="264"/>
      <c r="AO253" s="95"/>
      <c r="AP253" s="95"/>
      <c r="AQ253" s="95"/>
      <c r="AR253" s="95"/>
      <c r="AS253" s="95"/>
      <c r="AT253" s="95"/>
      <c r="AU253" s="95"/>
      <c r="AV253" s="95"/>
      <c r="AW253" s="95"/>
      <c r="AX253" s="95"/>
      <c r="AY253" s="95"/>
      <c r="AZ253" s="95"/>
      <c r="BA253" s="95"/>
      <c r="BB253" s="95"/>
      <c r="BC253" s="214"/>
      <c r="BD253" s="95"/>
      <c r="BE253" s="95"/>
      <c r="BF253" s="95"/>
      <c r="BG253" s="95"/>
      <c r="BH253" s="95"/>
      <c r="BI253" s="24"/>
      <c r="BJ253" s="95"/>
      <c r="BK253" s="265"/>
      <c r="BL253" s="265"/>
      <c r="BM253" s="265"/>
      <c r="BN253" s="266"/>
      <c r="BO253" s="267"/>
      <c r="BP253" s="268"/>
      <c r="BQ253" s="269"/>
      <c r="BR253" s="269"/>
      <c r="BS253" s="269"/>
      <c r="BT253" s="269"/>
      <c r="BU253" s="269"/>
      <c r="BV253" s="269"/>
      <c r="BW253" s="268"/>
      <c r="BX253" s="269"/>
      <c r="BY253" s="268"/>
      <c r="BZ253" s="268"/>
      <c r="CA253" s="268"/>
      <c r="CB253" s="269"/>
      <c r="CC253" s="268"/>
      <c r="CD253" s="268"/>
      <c r="CE253" s="269"/>
      <c r="CF253" s="269"/>
      <c r="CG253" s="269"/>
      <c r="CH253" s="269"/>
      <c r="CI253" s="269"/>
      <c r="CJ253" s="269"/>
      <c r="CK253" s="269"/>
      <c r="CL253" s="266"/>
    </row>
    <row r="254" spans="1:90" s="270" customFormat="1">
      <c r="A254" s="95"/>
      <c r="B254" s="263"/>
      <c r="C254" s="263"/>
      <c r="D254" s="263"/>
      <c r="E254" s="263"/>
      <c r="F254" s="263"/>
      <c r="G254" s="263"/>
      <c r="H254" s="95"/>
      <c r="I254" s="95"/>
      <c r="J254" s="263"/>
      <c r="K254" s="263"/>
      <c r="L254" s="263"/>
      <c r="M254" s="263"/>
      <c r="N254" s="263"/>
      <c r="O254" s="263"/>
      <c r="P254" s="95"/>
      <c r="Q254" s="95"/>
      <c r="R254" s="95"/>
      <c r="S254" s="95"/>
      <c r="T254" s="95"/>
      <c r="U254" s="95"/>
      <c r="V254" s="95"/>
      <c r="W254" s="95"/>
      <c r="X254" s="95"/>
      <c r="Y254" s="95"/>
      <c r="Z254" s="95"/>
      <c r="AA254" s="95"/>
      <c r="AB254" s="95"/>
      <c r="AC254" s="95"/>
      <c r="AD254" s="95"/>
      <c r="AE254" s="95"/>
      <c r="AF254" s="95"/>
      <c r="AG254" s="95"/>
      <c r="AH254" s="95"/>
      <c r="AI254" s="95"/>
      <c r="AJ254" s="95"/>
      <c r="AK254" s="95"/>
      <c r="AL254" s="95"/>
      <c r="AM254" s="95"/>
      <c r="AN254" s="264"/>
      <c r="AO254" s="95"/>
      <c r="AP254" s="95"/>
      <c r="AQ254" s="95"/>
      <c r="AR254" s="95"/>
      <c r="AS254" s="95"/>
      <c r="AT254" s="95"/>
      <c r="AU254" s="95"/>
      <c r="AV254" s="95"/>
      <c r="AW254" s="95"/>
      <c r="AX254" s="95"/>
      <c r="AY254" s="95"/>
      <c r="AZ254" s="95"/>
      <c r="BA254" s="95"/>
      <c r="BB254" s="95"/>
      <c r="BC254" s="214"/>
      <c r="BD254" s="95"/>
      <c r="BE254" s="95"/>
      <c r="BF254" s="95"/>
      <c r="BG254" s="95"/>
      <c r="BH254" s="95"/>
      <c r="BI254" s="24"/>
      <c r="BJ254" s="95"/>
      <c r="BK254" s="265"/>
      <c r="BL254" s="265"/>
      <c r="BM254" s="265"/>
      <c r="BN254" s="266"/>
      <c r="BO254" s="267"/>
      <c r="BP254" s="268"/>
      <c r="BQ254" s="269"/>
      <c r="BR254" s="269"/>
      <c r="BS254" s="269"/>
      <c r="BT254" s="269"/>
      <c r="BU254" s="269"/>
      <c r="BV254" s="269"/>
      <c r="BW254" s="268"/>
      <c r="BX254" s="269"/>
      <c r="BY254" s="268"/>
      <c r="BZ254" s="268"/>
      <c r="CA254" s="268"/>
      <c r="CB254" s="269"/>
      <c r="CC254" s="268"/>
      <c r="CD254" s="268"/>
      <c r="CE254" s="269"/>
      <c r="CF254" s="269"/>
      <c r="CG254" s="269"/>
      <c r="CH254" s="269"/>
      <c r="CI254" s="269"/>
      <c r="CJ254" s="269"/>
      <c r="CK254" s="269"/>
      <c r="CL254" s="266"/>
    </row>
    <row r="255" spans="1:90" s="270" customFormat="1">
      <c r="A255" s="95"/>
      <c r="B255" s="263"/>
      <c r="C255" s="263"/>
      <c r="D255" s="263"/>
      <c r="E255" s="263"/>
      <c r="F255" s="263"/>
      <c r="G255" s="263"/>
      <c r="H255" s="95"/>
      <c r="I255" s="95"/>
      <c r="J255" s="263"/>
      <c r="K255" s="263"/>
      <c r="L255" s="263"/>
      <c r="M255" s="263"/>
      <c r="N255" s="263"/>
      <c r="O255" s="263"/>
      <c r="P255" s="95"/>
      <c r="Q255" s="95"/>
      <c r="R255" s="95"/>
      <c r="S255" s="95"/>
      <c r="T255" s="95"/>
      <c r="U255" s="95"/>
      <c r="V255" s="95"/>
      <c r="W255" s="95"/>
      <c r="X255" s="95"/>
      <c r="Y255" s="95"/>
      <c r="Z255" s="95"/>
      <c r="AA255" s="95"/>
      <c r="AB255" s="95"/>
      <c r="AC255" s="95"/>
      <c r="AD255" s="95"/>
      <c r="AE255" s="95"/>
      <c r="AF255" s="95"/>
      <c r="AG255" s="95"/>
      <c r="AH255" s="95"/>
      <c r="AI255" s="95"/>
      <c r="AJ255" s="95"/>
      <c r="AK255" s="95"/>
      <c r="AL255" s="95"/>
      <c r="AM255" s="95"/>
      <c r="AN255" s="264"/>
      <c r="AO255" s="95"/>
      <c r="AP255" s="95"/>
      <c r="AQ255" s="95"/>
      <c r="AR255" s="95"/>
      <c r="AS255" s="95"/>
      <c r="AT255" s="95"/>
      <c r="AU255" s="95"/>
      <c r="AV255" s="95"/>
      <c r="AW255" s="95"/>
      <c r="AX255" s="95"/>
      <c r="AY255" s="95"/>
      <c r="AZ255" s="95"/>
      <c r="BA255" s="95"/>
      <c r="BB255" s="95"/>
      <c r="BC255" s="214"/>
      <c r="BD255" s="95"/>
      <c r="BE255" s="95"/>
      <c r="BF255" s="95"/>
      <c r="BG255" s="95"/>
      <c r="BH255" s="95"/>
      <c r="BI255" s="24"/>
      <c r="BJ255" s="95"/>
      <c r="BK255" s="265"/>
      <c r="BL255" s="265"/>
      <c r="BM255" s="265"/>
      <c r="BN255" s="266"/>
      <c r="BO255" s="267"/>
      <c r="BP255" s="268"/>
      <c r="BQ255" s="269"/>
      <c r="BR255" s="269"/>
      <c r="BS255" s="269"/>
      <c r="BT255" s="269"/>
      <c r="BU255" s="269"/>
      <c r="BV255" s="269"/>
      <c r="BW255" s="268"/>
      <c r="BX255" s="269"/>
      <c r="BY255" s="268"/>
      <c r="BZ255" s="268"/>
      <c r="CA255" s="268"/>
      <c r="CB255" s="269"/>
      <c r="CC255" s="268"/>
      <c r="CD255" s="268"/>
      <c r="CE255" s="269"/>
      <c r="CF255" s="269"/>
      <c r="CG255" s="269"/>
      <c r="CH255" s="269"/>
      <c r="CI255" s="269"/>
      <c r="CJ255" s="269"/>
      <c r="CK255" s="269"/>
      <c r="CL255" s="266"/>
    </row>
    <row r="256" spans="1:90" s="270" customFormat="1">
      <c r="A256" s="95"/>
      <c r="B256" s="263"/>
      <c r="C256" s="263"/>
      <c r="D256" s="263"/>
      <c r="E256" s="263"/>
      <c r="F256" s="263"/>
      <c r="G256" s="263"/>
      <c r="H256" s="95"/>
      <c r="I256" s="95"/>
      <c r="J256" s="263"/>
      <c r="K256" s="263"/>
      <c r="L256" s="263"/>
      <c r="M256" s="263"/>
      <c r="N256" s="263"/>
      <c r="O256" s="263"/>
      <c r="P256" s="95"/>
      <c r="Q256" s="95"/>
      <c r="R256" s="95"/>
      <c r="S256" s="95"/>
      <c r="T256" s="95"/>
      <c r="U256" s="95"/>
      <c r="V256" s="95"/>
      <c r="W256" s="95"/>
      <c r="X256" s="95"/>
      <c r="Y256" s="95"/>
      <c r="Z256" s="95"/>
      <c r="AA256" s="95"/>
      <c r="AB256" s="95"/>
      <c r="AC256" s="95"/>
      <c r="AD256" s="95"/>
      <c r="AE256" s="95"/>
      <c r="AF256" s="95"/>
      <c r="AG256" s="95"/>
      <c r="AH256" s="95"/>
      <c r="AI256" s="95"/>
      <c r="AJ256" s="95"/>
      <c r="AK256" s="95"/>
      <c r="AL256" s="95"/>
      <c r="AM256" s="95"/>
      <c r="AN256" s="264"/>
      <c r="AO256" s="95"/>
      <c r="AP256" s="95"/>
      <c r="AQ256" s="95"/>
      <c r="AR256" s="95"/>
      <c r="AS256" s="95"/>
      <c r="AT256" s="95"/>
      <c r="AU256" s="95"/>
      <c r="AV256" s="95"/>
      <c r="AW256" s="95"/>
      <c r="AX256" s="95"/>
      <c r="AY256" s="95"/>
      <c r="AZ256" s="95"/>
      <c r="BA256" s="95"/>
      <c r="BB256" s="95"/>
      <c r="BC256" s="214"/>
      <c r="BD256" s="95"/>
      <c r="BE256" s="95"/>
      <c r="BF256" s="95"/>
      <c r="BG256" s="95"/>
      <c r="BH256" s="95"/>
      <c r="BI256" s="24"/>
      <c r="BJ256" s="95"/>
      <c r="BK256" s="265"/>
      <c r="BL256" s="265"/>
      <c r="BM256" s="265"/>
      <c r="BN256" s="266"/>
      <c r="BO256" s="267"/>
      <c r="BP256" s="268"/>
      <c r="BQ256" s="269"/>
      <c r="BR256" s="269"/>
      <c r="BS256" s="269"/>
      <c r="BT256" s="269"/>
      <c r="BU256" s="269"/>
      <c r="BV256" s="269"/>
      <c r="BW256" s="268"/>
      <c r="BX256" s="269"/>
      <c r="BY256" s="268"/>
      <c r="BZ256" s="268"/>
      <c r="CA256" s="268"/>
      <c r="CB256" s="269"/>
      <c r="CC256" s="268"/>
      <c r="CD256" s="268"/>
      <c r="CE256" s="269"/>
      <c r="CF256" s="269"/>
      <c r="CG256" s="269"/>
      <c r="CH256" s="269"/>
      <c r="CI256" s="269"/>
      <c r="CJ256" s="269"/>
      <c r="CK256" s="269"/>
      <c r="CL256" s="266"/>
    </row>
    <row r="257" spans="1:90" s="270" customFormat="1">
      <c r="A257" s="95"/>
      <c r="B257" s="263"/>
      <c r="C257" s="263"/>
      <c r="D257" s="263"/>
      <c r="E257" s="263"/>
      <c r="F257" s="263"/>
      <c r="G257" s="263"/>
      <c r="H257" s="95"/>
      <c r="I257" s="95"/>
      <c r="J257" s="263"/>
      <c r="K257" s="263"/>
      <c r="L257" s="263"/>
      <c r="M257" s="263"/>
      <c r="N257" s="263"/>
      <c r="O257" s="263"/>
      <c r="P257" s="95"/>
      <c r="Q257" s="95"/>
      <c r="R257" s="95"/>
      <c r="S257" s="95"/>
      <c r="T257" s="95"/>
      <c r="U257" s="95"/>
      <c r="V257" s="95"/>
      <c r="W257" s="95"/>
      <c r="X257" s="95"/>
      <c r="Y257" s="95"/>
      <c r="Z257" s="95"/>
      <c r="AA257" s="95"/>
      <c r="AB257" s="95"/>
      <c r="AC257" s="95"/>
      <c r="AD257" s="95"/>
      <c r="AE257" s="95"/>
      <c r="AF257" s="95"/>
      <c r="AG257" s="95"/>
      <c r="AH257" s="95"/>
      <c r="AI257" s="95"/>
      <c r="AJ257" s="95"/>
      <c r="AK257" s="95"/>
      <c r="AL257" s="95"/>
      <c r="AM257" s="95"/>
      <c r="AN257" s="264"/>
      <c r="AO257" s="95"/>
      <c r="AP257" s="95"/>
      <c r="AQ257" s="95"/>
      <c r="AR257" s="95"/>
      <c r="AS257" s="95"/>
      <c r="AT257" s="95"/>
      <c r="AU257" s="95"/>
      <c r="AV257" s="95"/>
      <c r="AW257" s="95"/>
      <c r="AX257" s="95"/>
      <c r="AY257" s="95"/>
      <c r="AZ257" s="95"/>
      <c r="BA257" s="95"/>
      <c r="BB257" s="95"/>
      <c r="BC257" s="214"/>
      <c r="BD257" s="95"/>
      <c r="BE257" s="95"/>
      <c r="BF257" s="95"/>
      <c r="BG257" s="95"/>
      <c r="BH257" s="95"/>
      <c r="BI257" s="24"/>
      <c r="BJ257" s="95"/>
      <c r="BK257" s="265"/>
      <c r="BL257" s="265"/>
      <c r="BM257" s="265"/>
      <c r="BN257" s="266"/>
      <c r="BO257" s="267"/>
      <c r="BP257" s="268"/>
      <c r="BQ257" s="269"/>
      <c r="BR257" s="269"/>
      <c r="BS257" s="269"/>
      <c r="BT257" s="269"/>
      <c r="BU257" s="269"/>
      <c r="BV257" s="269"/>
      <c r="BW257" s="268"/>
      <c r="BX257" s="269"/>
      <c r="BY257" s="268"/>
      <c r="BZ257" s="268"/>
      <c r="CA257" s="268"/>
      <c r="CB257" s="269"/>
      <c r="CC257" s="268"/>
      <c r="CD257" s="268"/>
      <c r="CE257" s="269"/>
      <c r="CF257" s="269"/>
      <c r="CG257" s="269"/>
      <c r="CH257" s="269"/>
      <c r="CI257" s="269"/>
      <c r="CJ257" s="269"/>
      <c r="CK257" s="269"/>
      <c r="CL257" s="266"/>
    </row>
    <row r="258" spans="1:90" s="270" customFormat="1">
      <c r="A258" s="95"/>
      <c r="B258" s="263"/>
      <c r="C258" s="263"/>
      <c r="D258" s="263"/>
      <c r="E258" s="263"/>
      <c r="F258" s="263"/>
      <c r="G258" s="263"/>
      <c r="H258" s="95"/>
      <c r="I258" s="95"/>
      <c r="J258" s="263"/>
      <c r="K258" s="263"/>
      <c r="L258" s="263"/>
      <c r="M258" s="263"/>
      <c r="N258" s="263"/>
      <c r="O258" s="263"/>
      <c r="P258" s="95"/>
      <c r="Q258" s="95"/>
      <c r="R258" s="95"/>
      <c r="S258" s="95"/>
      <c r="T258" s="95"/>
      <c r="U258" s="95"/>
      <c r="V258" s="95"/>
      <c r="W258" s="95"/>
      <c r="X258" s="95"/>
      <c r="Y258" s="95"/>
      <c r="Z258" s="95"/>
      <c r="AA258" s="95"/>
      <c r="AB258" s="95"/>
      <c r="AC258" s="95"/>
      <c r="AD258" s="95"/>
      <c r="AE258" s="95"/>
      <c r="AF258" s="95"/>
      <c r="AG258" s="95"/>
      <c r="AH258" s="95"/>
      <c r="AI258" s="95"/>
      <c r="AJ258" s="95"/>
      <c r="AK258" s="95"/>
      <c r="AL258" s="95"/>
      <c r="AM258" s="95"/>
      <c r="AN258" s="264"/>
      <c r="AO258" s="95"/>
      <c r="AP258" s="95"/>
      <c r="AQ258" s="95"/>
      <c r="AR258" s="95"/>
      <c r="AS258" s="95"/>
      <c r="AT258" s="95"/>
      <c r="AU258" s="95"/>
      <c r="AV258" s="95"/>
      <c r="AW258" s="95"/>
      <c r="AX258" s="95"/>
      <c r="AY258" s="95"/>
      <c r="AZ258" s="95"/>
      <c r="BA258" s="95"/>
      <c r="BB258" s="95"/>
      <c r="BC258" s="214"/>
      <c r="BD258" s="95"/>
      <c r="BE258" s="95"/>
      <c r="BF258" s="95"/>
      <c r="BG258" s="95"/>
      <c r="BH258" s="95"/>
      <c r="BI258" s="24"/>
      <c r="BJ258" s="95"/>
      <c r="BK258" s="265"/>
      <c r="BL258" s="265"/>
      <c r="BM258" s="265"/>
      <c r="BN258" s="266"/>
      <c r="BO258" s="267"/>
      <c r="BP258" s="268"/>
      <c r="BQ258" s="269"/>
      <c r="BR258" s="269"/>
      <c r="BS258" s="269"/>
      <c r="BT258" s="269"/>
      <c r="BU258" s="269"/>
      <c r="BV258" s="269"/>
      <c r="BW258" s="268"/>
      <c r="BX258" s="269"/>
      <c r="BY258" s="268"/>
      <c r="BZ258" s="268"/>
      <c r="CA258" s="268"/>
      <c r="CB258" s="269"/>
      <c r="CC258" s="268"/>
      <c r="CD258" s="268"/>
      <c r="CE258" s="269"/>
      <c r="CF258" s="269"/>
      <c r="CG258" s="269"/>
      <c r="CH258" s="269"/>
      <c r="CI258" s="269"/>
      <c r="CJ258" s="269"/>
      <c r="CK258" s="269"/>
      <c r="CL258" s="266"/>
    </row>
    <row r="259" spans="1:90" s="270" customFormat="1">
      <c r="A259" s="95"/>
      <c r="B259" s="263"/>
      <c r="C259" s="263"/>
      <c r="D259" s="263"/>
      <c r="E259" s="263"/>
      <c r="F259" s="263"/>
      <c r="G259" s="263"/>
      <c r="H259" s="95"/>
      <c r="I259" s="95"/>
      <c r="J259" s="263"/>
      <c r="K259" s="263"/>
      <c r="L259" s="263"/>
      <c r="M259" s="263"/>
      <c r="N259" s="263"/>
      <c r="O259" s="263"/>
      <c r="P259" s="95"/>
      <c r="Q259" s="95"/>
      <c r="R259" s="95"/>
      <c r="S259" s="95"/>
      <c r="T259" s="95"/>
      <c r="U259" s="95"/>
      <c r="V259" s="95"/>
      <c r="W259" s="95"/>
      <c r="X259" s="95"/>
      <c r="Y259" s="95"/>
      <c r="Z259" s="95"/>
      <c r="AA259" s="95"/>
      <c r="AB259" s="95"/>
      <c r="AC259" s="95"/>
      <c r="AD259" s="95"/>
      <c r="AE259" s="95"/>
      <c r="AF259" s="95"/>
      <c r="AG259" s="95"/>
      <c r="AH259" s="95"/>
      <c r="AI259" s="95"/>
      <c r="AJ259" s="95"/>
      <c r="AK259" s="95"/>
      <c r="AL259" s="95"/>
      <c r="AM259" s="95"/>
      <c r="AN259" s="264"/>
      <c r="AO259" s="95"/>
      <c r="AP259" s="95"/>
      <c r="AQ259" s="95"/>
      <c r="AR259" s="95"/>
      <c r="AS259" s="95"/>
      <c r="AT259" s="95"/>
      <c r="AU259" s="95"/>
      <c r="AV259" s="95"/>
      <c r="AW259" s="95"/>
      <c r="AX259" s="95"/>
      <c r="AY259" s="95"/>
      <c r="AZ259" s="95"/>
      <c r="BA259" s="95"/>
      <c r="BB259" s="95"/>
      <c r="BC259" s="214"/>
      <c r="BD259" s="95"/>
      <c r="BE259" s="95"/>
      <c r="BF259" s="95"/>
      <c r="BG259" s="95"/>
      <c r="BH259" s="95"/>
      <c r="BI259" s="24"/>
      <c r="BJ259" s="95"/>
      <c r="BK259" s="265"/>
      <c r="BL259" s="265"/>
      <c r="BM259" s="265"/>
      <c r="BN259" s="266"/>
      <c r="BO259" s="267"/>
      <c r="BP259" s="268"/>
      <c r="BQ259" s="269"/>
      <c r="BR259" s="269"/>
      <c r="BS259" s="269"/>
      <c r="BT259" s="269"/>
      <c r="BU259" s="269"/>
      <c r="BV259" s="269"/>
      <c r="BW259" s="268"/>
      <c r="BX259" s="269"/>
      <c r="BY259" s="268"/>
      <c r="BZ259" s="268"/>
      <c r="CA259" s="268"/>
      <c r="CB259" s="269"/>
      <c r="CC259" s="268"/>
      <c r="CD259" s="268"/>
      <c r="CE259" s="269"/>
      <c r="CF259" s="269"/>
      <c r="CG259" s="269"/>
      <c r="CH259" s="269"/>
      <c r="CI259" s="269"/>
      <c r="CJ259" s="269"/>
      <c r="CK259" s="269"/>
      <c r="CL259" s="266"/>
    </row>
    <row r="260" spans="1:90" s="270" customFormat="1">
      <c r="A260" s="95"/>
      <c r="B260" s="263"/>
      <c r="C260" s="263"/>
      <c r="D260" s="263"/>
      <c r="E260" s="263"/>
      <c r="F260" s="263"/>
      <c r="G260" s="263"/>
      <c r="H260" s="95"/>
      <c r="I260" s="95"/>
      <c r="J260" s="263"/>
      <c r="K260" s="263"/>
      <c r="L260" s="263"/>
      <c r="M260" s="263"/>
      <c r="N260" s="263"/>
      <c r="O260" s="263"/>
      <c r="P260" s="95"/>
      <c r="Q260" s="95"/>
      <c r="R260" s="95"/>
      <c r="S260" s="95"/>
      <c r="T260" s="95"/>
      <c r="U260" s="95"/>
      <c r="V260" s="95"/>
      <c r="W260" s="95"/>
      <c r="X260" s="95"/>
      <c r="Y260" s="95"/>
      <c r="Z260" s="95"/>
      <c r="AA260" s="95"/>
      <c r="AB260" s="95"/>
      <c r="AC260" s="95"/>
      <c r="AD260" s="95"/>
      <c r="AE260" s="95"/>
      <c r="AF260" s="95"/>
      <c r="AG260" s="95"/>
      <c r="AH260" s="95"/>
      <c r="AI260" s="95"/>
      <c r="AJ260" s="95"/>
      <c r="AK260" s="95"/>
      <c r="AL260" s="95"/>
      <c r="AM260" s="95"/>
      <c r="AN260" s="264"/>
      <c r="AO260" s="95"/>
      <c r="AP260" s="95"/>
      <c r="AQ260" s="95"/>
      <c r="AR260" s="95"/>
      <c r="AS260" s="95"/>
      <c r="AT260" s="95"/>
      <c r="AU260" s="95"/>
      <c r="AV260" s="95"/>
      <c r="AW260" s="95"/>
      <c r="AX260" s="95"/>
      <c r="AY260" s="95"/>
      <c r="AZ260" s="95"/>
      <c r="BA260" s="95"/>
      <c r="BB260" s="95"/>
      <c r="BC260" s="214"/>
      <c r="BD260" s="95"/>
      <c r="BE260" s="95"/>
      <c r="BF260" s="95"/>
      <c r="BG260" s="95"/>
      <c r="BH260" s="95"/>
      <c r="BI260" s="24"/>
      <c r="BJ260" s="95"/>
      <c r="BK260" s="265"/>
      <c r="BL260" s="265"/>
      <c r="BM260" s="265"/>
      <c r="BN260" s="266"/>
      <c r="BO260" s="267"/>
      <c r="BP260" s="268"/>
      <c r="BQ260" s="269"/>
      <c r="BR260" s="269"/>
      <c r="BS260" s="269"/>
      <c r="BT260" s="269"/>
      <c r="BU260" s="269"/>
      <c r="BV260" s="269"/>
      <c r="BW260" s="268"/>
      <c r="BX260" s="269"/>
      <c r="BY260" s="268"/>
      <c r="BZ260" s="268"/>
      <c r="CA260" s="268"/>
      <c r="CB260" s="269"/>
      <c r="CC260" s="268"/>
      <c r="CD260" s="268"/>
      <c r="CE260" s="269"/>
      <c r="CF260" s="269"/>
      <c r="CG260" s="269"/>
      <c r="CH260" s="269"/>
      <c r="CI260" s="269"/>
      <c r="CJ260" s="269"/>
      <c r="CK260" s="269"/>
      <c r="CL260" s="266"/>
    </row>
    <row r="261" spans="1:90" s="270" customFormat="1">
      <c r="A261" s="95"/>
      <c r="B261" s="263"/>
      <c r="C261" s="263"/>
      <c r="D261" s="263"/>
      <c r="E261" s="263"/>
      <c r="F261" s="263"/>
      <c r="G261" s="263"/>
      <c r="H261" s="95"/>
      <c r="I261" s="95"/>
      <c r="J261" s="263"/>
      <c r="K261" s="263"/>
      <c r="L261" s="263"/>
      <c r="M261" s="263"/>
      <c r="N261" s="263"/>
      <c r="O261" s="263"/>
      <c r="P261" s="95"/>
      <c r="Q261" s="95"/>
      <c r="R261" s="95"/>
      <c r="S261" s="95"/>
      <c r="T261" s="95"/>
      <c r="U261" s="95"/>
      <c r="V261" s="95"/>
      <c r="W261" s="95"/>
      <c r="X261" s="95"/>
      <c r="Y261" s="95"/>
      <c r="Z261" s="95"/>
      <c r="AA261" s="95"/>
      <c r="AB261" s="95"/>
      <c r="AC261" s="95"/>
      <c r="AD261" s="95"/>
      <c r="AE261" s="95"/>
      <c r="AF261" s="95"/>
      <c r="AG261" s="95"/>
      <c r="AH261" s="95"/>
      <c r="AI261" s="95"/>
      <c r="AJ261" s="95"/>
      <c r="AK261" s="95"/>
      <c r="AL261" s="95"/>
      <c r="AM261" s="95"/>
      <c r="AN261" s="264"/>
      <c r="AO261" s="95"/>
      <c r="AP261" s="95"/>
      <c r="AQ261" s="95"/>
      <c r="AR261" s="95"/>
      <c r="AS261" s="95"/>
      <c r="AT261" s="95"/>
      <c r="AU261" s="95"/>
      <c r="AV261" s="95"/>
      <c r="AW261" s="95"/>
      <c r="AX261" s="95"/>
      <c r="AY261" s="95"/>
      <c r="AZ261" s="95"/>
      <c r="BA261" s="95"/>
      <c r="BB261" s="95"/>
      <c r="BC261" s="214"/>
      <c r="BD261" s="95"/>
      <c r="BE261" s="95"/>
      <c r="BF261" s="95"/>
      <c r="BG261" s="95"/>
      <c r="BH261" s="95"/>
      <c r="BI261" s="24"/>
      <c r="BJ261" s="95"/>
      <c r="BK261" s="265"/>
      <c r="BL261" s="265"/>
      <c r="BM261" s="265"/>
      <c r="BN261" s="266"/>
      <c r="BO261" s="267"/>
      <c r="BP261" s="268"/>
      <c r="BQ261" s="269"/>
      <c r="BR261" s="269"/>
      <c r="BS261" s="269"/>
      <c r="BT261" s="269"/>
      <c r="BU261" s="269"/>
      <c r="BV261" s="269"/>
      <c r="BW261" s="268"/>
      <c r="BX261" s="269"/>
      <c r="BY261" s="268"/>
      <c r="BZ261" s="268"/>
      <c r="CA261" s="268"/>
      <c r="CB261" s="269"/>
      <c r="CC261" s="268"/>
      <c r="CD261" s="268"/>
      <c r="CE261" s="269"/>
      <c r="CF261" s="269"/>
      <c r="CG261" s="269"/>
      <c r="CH261" s="269"/>
      <c r="CI261" s="269"/>
      <c r="CJ261" s="269"/>
      <c r="CK261" s="269"/>
      <c r="CL261" s="266"/>
    </row>
    <row r="262" spans="1:90" s="270" customFormat="1">
      <c r="A262" s="95"/>
      <c r="B262" s="263"/>
      <c r="C262" s="263"/>
      <c r="D262" s="263"/>
      <c r="E262" s="263"/>
      <c r="F262" s="263"/>
      <c r="G262" s="263"/>
      <c r="H262" s="95"/>
      <c r="I262" s="95"/>
      <c r="J262" s="263"/>
      <c r="K262" s="263"/>
      <c r="L262" s="263"/>
      <c r="M262" s="263"/>
      <c r="N262" s="263"/>
      <c r="O262" s="263"/>
      <c r="P262" s="95"/>
      <c r="Q262" s="95"/>
      <c r="R262" s="95"/>
      <c r="S262" s="95"/>
      <c r="T262" s="95"/>
      <c r="U262" s="95"/>
      <c r="V262" s="95"/>
      <c r="W262" s="95"/>
      <c r="X262" s="95"/>
      <c r="Y262" s="95"/>
      <c r="Z262" s="95"/>
      <c r="AA262" s="95"/>
      <c r="AB262" s="95"/>
      <c r="AC262" s="95"/>
      <c r="AD262" s="95"/>
      <c r="AE262" s="95"/>
      <c r="AF262" s="95"/>
      <c r="AG262" s="95"/>
      <c r="AH262" s="95"/>
      <c r="AI262" s="95"/>
      <c r="AJ262" s="95"/>
      <c r="AK262" s="95"/>
      <c r="AL262" s="95"/>
      <c r="AM262" s="95"/>
      <c r="AN262" s="264"/>
      <c r="AO262" s="95"/>
      <c r="AP262" s="95"/>
      <c r="AQ262" s="95"/>
      <c r="AR262" s="95"/>
      <c r="AS262" s="95"/>
      <c r="AT262" s="95"/>
      <c r="AU262" s="95"/>
      <c r="AV262" s="95"/>
      <c r="AW262" s="95"/>
      <c r="AX262" s="95"/>
      <c r="AY262" s="95"/>
      <c r="AZ262" s="95"/>
      <c r="BA262" s="95"/>
      <c r="BB262" s="95"/>
      <c r="BC262" s="214"/>
      <c r="BD262" s="95"/>
      <c r="BE262" s="95"/>
      <c r="BF262" s="95"/>
      <c r="BG262" s="95"/>
      <c r="BH262" s="95"/>
      <c r="BI262" s="24"/>
      <c r="BJ262" s="95"/>
      <c r="BK262" s="265"/>
      <c r="BL262" s="265"/>
      <c r="BM262" s="265"/>
      <c r="BN262" s="266"/>
      <c r="BO262" s="267"/>
      <c r="BP262" s="268"/>
      <c r="BQ262" s="269"/>
      <c r="BR262" s="269"/>
      <c r="BS262" s="269"/>
      <c r="BT262" s="269"/>
      <c r="BU262" s="269"/>
      <c r="BV262" s="269"/>
      <c r="BW262" s="268"/>
      <c r="BX262" s="269"/>
      <c r="BY262" s="268"/>
      <c r="BZ262" s="268"/>
      <c r="CA262" s="268"/>
      <c r="CB262" s="269"/>
      <c r="CC262" s="268"/>
      <c r="CD262" s="268"/>
      <c r="CE262" s="269"/>
      <c r="CF262" s="269"/>
      <c r="CG262" s="269"/>
      <c r="CH262" s="269"/>
      <c r="CI262" s="269"/>
      <c r="CJ262" s="269"/>
      <c r="CK262" s="269"/>
      <c r="CL262" s="266"/>
    </row>
    <row r="263" spans="1:90" s="270" customFormat="1">
      <c r="A263" s="95"/>
      <c r="B263" s="263"/>
      <c r="C263" s="263"/>
      <c r="D263" s="263"/>
      <c r="E263" s="263"/>
      <c r="F263" s="263"/>
      <c r="G263" s="263"/>
      <c r="H263" s="95"/>
      <c r="I263" s="95"/>
      <c r="J263" s="263"/>
      <c r="K263" s="263"/>
      <c r="L263" s="263"/>
      <c r="M263" s="263"/>
      <c r="N263" s="263"/>
      <c r="O263" s="263"/>
      <c r="P263" s="95"/>
      <c r="Q263" s="95"/>
      <c r="R263" s="95"/>
      <c r="S263" s="95"/>
      <c r="T263" s="95"/>
      <c r="U263" s="95"/>
      <c r="V263" s="95"/>
      <c r="W263" s="95"/>
      <c r="X263" s="95"/>
      <c r="Y263" s="95"/>
      <c r="Z263" s="95"/>
      <c r="AA263" s="95"/>
      <c r="AB263" s="95"/>
      <c r="AC263" s="95"/>
      <c r="AD263" s="95"/>
      <c r="AE263" s="95"/>
      <c r="AF263" s="95"/>
      <c r="AG263" s="95"/>
      <c r="AH263" s="95"/>
      <c r="AI263" s="95"/>
      <c r="AJ263" s="95"/>
      <c r="AK263" s="95"/>
      <c r="AL263" s="95"/>
      <c r="AM263" s="95"/>
      <c r="AN263" s="264"/>
      <c r="AO263" s="95"/>
      <c r="AP263" s="95"/>
      <c r="AQ263" s="95"/>
      <c r="AR263" s="95"/>
      <c r="AS263" s="95"/>
      <c r="AT263" s="95"/>
      <c r="AU263" s="95"/>
      <c r="AV263" s="95"/>
      <c r="AW263" s="95"/>
      <c r="AX263" s="95"/>
      <c r="AY263" s="95"/>
      <c r="AZ263" s="95"/>
      <c r="BA263" s="95"/>
      <c r="BB263" s="95"/>
      <c r="BC263" s="214"/>
      <c r="BD263" s="95"/>
      <c r="BE263" s="95"/>
      <c r="BF263" s="95"/>
      <c r="BG263" s="95"/>
      <c r="BH263" s="95"/>
      <c r="BI263" s="24"/>
      <c r="BJ263" s="95"/>
      <c r="BK263" s="265"/>
      <c r="BL263" s="265"/>
      <c r="BM263" s="265"/>
      <c r="BN263" s="266"/>
      <c r="BO263" s="267"/>
      <c r="BP263" s="268"/>
      <c r="BQ263" s="269"/>
      <c r="BR263" s="269"/>
      <c r="BS263" s="269"/>
      <c r="BT263" s="269"/>
      <c r="BU263" s="269"/>
      <c r="BV263" s="269"/>
      <c r="BW263" s="268"/>
      <c r="BX263" s="269"/>
      <c r="BY263" s="268"/>
      <c r="BZ263" s="268"/>
      <c r="CA263" s="268"/>
      <c r="CB263" s="269"/>
      <c r="CC263" s="268"/>
      <c r="CD263" s="268"/>
      <c r="CE263" s="269"/>
      <c r="CF263" s="269"/>
      <c r="CG263" s="269"/>
      <c r="CH263" s="269"/>
      <c r="CI263" s="269"/>
      <c r="CJ263" s="269"/>
      <c r="CK263" s="269"/>
      <c r="CL263" s="266"/>
    </row>
    <row r="264" spans="1:90" s="270" customFormat="1">
      <c r="A264" s="95"/>
      <c r="B264" s="263"/>
      <c r="C264" s="263"/>
      <c r="D264" s="263"/>
      <c r="E264" s="263"/>
      <c r="F264" s="263"/>
      <c r="G264" s="263"/>
      <c r="H264" s="95"/>
      <c r="I264" s="95"/>
      <c r="J264" s="263"/>
      <c r="K264" s="263"/>
      <c r="L264" s="263"/>
      <c r="M264" s="263"/>
      <c r="N264" s="263"/>
      <c r="O264" s="263"/>
      <c r="P264" s="95"/>
      <c r="Q264" s="95"/>
      <c r="R264" s="95"/>
      <c r="S264" s="95"/>
      <c r="T264" s="95"/>
      <c r="U264" s="95"/>
      <c r="V264" s="95"/>
      <c r="W264" s="95"/>
      <c r="X264" s="95"/>
      <c r="Y264" s="95"/>
      <c r="Z264" s="95"/>
      <c r="AA264" s="95"/>
      <c r="AB264" s="95"/>
      <c r="AC264" s="95"/>
      <c r="AD264" s="95"/>
      <c r="AE264" s="95"/>
      <c r="AF264" s="95"/>
      <c r="AG264" s="95"/>
      <c r="AH264" s="95"/>
      <c r="AI264" s="95"/>
      <c r="AJ264" s="95"/>
      <c r="AK264" s="95"/>
      <c r="AL264" s="95"/>
      <c r="AM264" s="95"/>
      <c r="AN264" s="264"/>
      <c r="AO264" s="95"/>
      <c r="AP264" s="95"/>
      <c r="AQ264" s="95"/>
      <c r="AR264" s="95"/>
      <c r="AS264" s="95"/>
      <c r="AT264" s="95"/>
      <c r="AU264" s="95"/>
      <c r="AV264" s="95"/>
      <c r="AW264" s="95"/>
      <c r="AX264" s="95"/>
      <c r="AY264" s="95"/>
      <c r="AZ264" s="95"/>
      <c r="BA264" s="95"/>
      <c r="BB264" s="95"/>
      <c r="BC264" s="214"/>
      <c r="BD264" s="95"/>
      <c r="BE264" s="95"/>
      <c r="BF264" s="95"/>
      <c r="BG264" s="95"/>
      <c r="BH264" s="95"/>
      <c r="BI264" s="24"/>
      <c r="BJ264" s="95"/>
      <c r="BK264" s="265"/>
      <c r="BL264" s="265"/>
      <c r="BM264" s="265"/>
      <c r="BN264" s="266"/>
      <c r="BO264" s="267"/>
      <c r="BP264" s="268"/>
      <c r="BQ264" s="269"/>
      <c r="BR264" s="269"/>
      <c r="BS264" s="269"/>
      <c r="BT264" s="269"/>
      <c r="BU264" s="269"/>
      <c r="BV264" s="269"/>
      <c r="BW264" s="268"/>
      <c r="BX264" s="269"/>
      <c r="BY264" s="268"/>
      <c r="BZ264" s="268"/>
      <c r="CA264" s="268"/>
      <c r="CB264" s="269"/>
      <c r="CC264" s="268"/>
      <c r="CD264" s="268"/>
      <c r="CE264" s="269"/>
      <c r="CF264" s="269"/>
      <c r="CG264" s="269"/>
      <c r="CH264" s="269"/>
      <c r="CI264" s="269"/>
      <c r="CJ264" s="269"/>
      <c r="CK264" s="269"/>
      <c r="CL264" s="266"/>
    </row>
    <row r="265" spans="1:90" s="270" customFormat="1">
      <c r="A265" s="95"/>
      <c r="B265" s="263"/>
      <c r="C265" s="263"/>
      <c r="D265" s="263"/>
      <c r="E265" s="263"/>
      <c r="F265" s="263"/>
      <c r="G265" s="263"/>
      <c r="H265" s="95"/>
      <c r="I265" s="95"/>
      <c r="J265" s="263"/>
      <c r="K265" s="263"/>
      <c r="L265" s="263"/>
      <c r="M265" s="263"/>
      <c r="N265" s="263"/>
      <c r="O265" s="263"/>
      <c r="P265" s="95"/>
      <c r="Q265" s="95"/>
      <c r="R265" s="95"/>
      <c r="S265" s="95"/>
      <c r="T265" s="95"/>
      <c r="U265" s="95"/>
      <c r="V265" s="95"/>
      <c r="W265" s="95"/>
      <c r="X265" s="95"/>
      <c r="Y265" s="95"/>
      <c r="Z265" s="95"/>
      <c r="AA265" s="95"/>
      <c r="AB265" s="95"/>
      <c r="AC265" s="95"/>
      <c r="AD265" s="95"/>
      <c r="AE265" s="95"/>
      <c r="AF265" s="95"/>
      <c r="AG265" s="95"/>
      <c r="AH265" s="95"/>
      <c r="AI265" s="95"/>
      <c r="AJ265" s="95"/>
      <c r="AK265" s="95"/>
      <c r="AL265" s="95"/>
      <c r="AM265" s="95"/>
      <c r="AN265" s="264"/>
      <c r="AO265" s="95"/>
      <c r="AP265" s="95"/>
      <c r="AQ265" s="95"/>
      <c r="AR265" s="95"/>
      <c r="AS265" s="95"/>
      <c r="AT265" s="95"/>
      <c r="AU265" s="95"/>
      <c r="AV265" s="95"/>
      <c r="AW265" s="95"/>
      <c r="AX265" s="95"/>
      <c r="AY265" s="95"/>
      <c r="AZ265" s="95"/>
      <c r="BA265" s="95"/>
      <c r="BB265" s="95"/>
      <c r="BC265" s="214"/>
      <c r="BD265" s="95"/>
      <c r="BE265" s="95"/>
      <c r="BF265" s="95"/>
      <c r="BG265" s="95"/>
      <c r="BH265" s="95"/>
      <c r="BI265" s="24"/>
      <c r="BJ265" s="95"/>
      <c r="BK265" s="265"/>
      <c r="BL265" s="265"/>
      <c r="BM265" s="265"/>
      <c r="BN265" s="266"/>
      <c r="BO265" s="267"/>
      <c r="BP265" s="268"/>
      <c r="BQ265" s="269"/>
      <c r="BR265" s="269"/>
      <c r="BS265" s="269"/>
      <c r="BT265" s="269"/>
      <c r="BU265" s="269"/>
      <c r="BV265" s="269"/>
      <c r="BW265" s="268"/>
      <c r="BX265" s="269"/>
      <c r="BY265" s="268"/>
      <c r="BZ265" s="268"/>
      <c r="CA265" s="268"/>
      <c r="CB265" s="269"/>
      <c r="CC265" s="268"/>
      <c r="CD265" s="268"/>
      <c r="CE265" s="269"/>
      <c r="CF265" s="269"/>
      <c r="CG265" s="269"/>
      <c r="CH265" s="269"/>
      <c r="CI265" s="269"/>
      <c r="CJ265" s="269"/>
      <c r="CK265" s="269"/>
      <c r="CL265" s="266"/>
    </row>
    <row r="266" spans="1:90" s="270" customFormat="1">
      <c r="A266" s="95"/>
      <c r="B266" s="263"/>
      <c r="C266" s="263"/>
      <c r="D266" s="263"/>
      <c r="E266" s="263"/>
      <c r="F266" s="263"/>
      <c r="G266" s="263"/>
      <c r="H266" s="95"/>
      <c r="I266" s="95"/>
      <c r="J266" s="263"/>
      <c r="K266" s="263"/>
      <c r="L266" s="263"/>
      <c r="M266" s="263"/>
      <c r="N266" s="263"/>
      <c r="O266" s="263"/>
      <c r="P266" s="95"/>
      <c r="Q266" s="95"/>
      <c r="R266" s="95"/>
      <c r="S266" s="95"/>
      <c r="T266" s="95"/>
      <c r="U266" s="95"/>
      <c r="V266" s="95"/>
      <c r="W266" s="95"/>
      <c r="X266" s="95"/>
      <c r="Y266" s="95"/>
      <c r="Z266" s="95"/>
      <c r="AA266" s="95"/>
      <c r="AB266" s="95"/>
      <c r="AC266" s="95"/>
      <c r="AD266" s="95"/>
      <c r="AE266" s="95"/>
      <c r="AF266" s="95"/>
      <c r="AG266" s="95"/>
      <c r="AH266" s="95"/>
      <c r="AI266" s="95"/>
      <c r="AJ266" s="95"/>
      <c r="AK266" s="95"/>
      <c r="AL266" s="95"/>
      <c r="AM266" s="95"/>
      <c r="AN266" s="264"/>
      <c r="AO266" s="95"/>
      <c r="AP266" s="95"/>
      <c r="AQ266" s="95"/>
      <c r="AR266" s="95"/>
      <c r="AS266" s="95"/>
      <c r="AT266" s="95"/>
      <c r="AU266" s="95"/>
      <c r="AV266" s="95"/>
      <c r="AW266" s="95"/>
      <c r="AX266" s="95"/>
      <c r="AY266" s="95"/>
      <c r="AZ266" s="95"/>
      <c r="BA266" s="95"/>
      <c r="BB266" s="95"/>
      <c r="BC266" s="214"/>
      <c r="BD266" s="95"/>
      <c r="BE266" s="95"/>
      <c r="BF266" s="95"/>
      <c r="BG266" s="95"/>
      <c r="BH266" s="95"/>
      <c r="BI266" s="24"/>
      <c r="BJ266" s="95"/>
      <c r="BK266" s="265"/>
      <c r="BL266" s="265"/>
      <c r="BM266" s="265"/>
      <c r="BN266" s="266"/>
      <c r="BO266" s="267"/>
      <c r="BP266" s="268"/>
      <c r="BQ266" s="269"/>
      <c r="BR266" s="269"/>
      <c r="BS266" s="269"/>
      <c r="BT266" s="269"/>
      <c r="BU266" s="269"/>
      <c r="BV266" s="269"/>
      <c r="BW266" s="268"/>
      <c r="BX266" s="269"/>
      <c r="BY266" s="268"/>
      <c r="BZ266" s="268"/>
      <c r="CA266" s="268"/>
      <c r="CB266" s="269"/>
      <c r="CC266" s="268"/>
      <c r="CD266" s="268"/>
      <c r="CE266" s="269"/>
      <c r="CF266" s="269"/>
      <c r="CG266" s="269"/>
      <c r="CH266" s="269"/>
      <c r="CI266" s="269"/>
      <c r="CJ266" s="269"/>
      <c r="CK266" s="269"/>
      <c r="CL266" s="266"/>
    </row>
    <row r="267" spans="1:90" s="270" customFormat="1">
      <c r="A267" s="95"/>
      <c r="B267" s="263"/>
      <c r="C267" s="263"/>
      <c r="D267" s="263"/>
      <c r="E267" s="263"/>
      <c r="F267" s="263"/>
      <c r="G267" s="263"/>
      <c r="H267" s="95"/>
      <c r="I267" s="95"/>
      <c r="J267" s="263"/>
      <c r="K267" s="263"/>
      <c r="L267" s="263"/>
      <c r="M267" s="263"/>
      <c r="N267" s="263"/>
      <c r="O267" s="263"/>
      <c r="P267" s="95"/>
      <c r="Q267" s="95"/>
      <c r="R267" s="95"/>
      <c r="S267" s="95"/>
      <c r="T267" s="95"/>
      <c r="U267" s="95"/>
      <c r="V267" s="95"/>
      <c r="W267" s="95"/>
      <c r="X267" s="95"/>
      <c r="Y267" s="95"/>
      <c r="Z267" s="95"/>
      <c r="AA267" s="95"/>
      <c r="AB267" s="95"/>
      <c r="AC267" s="95"/>
      <c r="AD267" s="95"/>
      <c r="AE267" s="95"/>
      <c r="AF267" s="95"/>
      <c r="AG267" s="95"/>
      <c r="AH267" s="95"/>
      <c r="AI267" s="95"/>
      <c r="AJ267" s="95"/>
      <c r="AK267" s="95"/>
      <c r="AL267" s="95"/>
      <c r="AM267" s="95"/>
      <c r="AN267" s="264"/>
      <c r="AO267" s="95"/>
      <c r="AP267" s="95"/>
      <c r="AQ267" s="95"/>
      <c r="AR267" s="95"/>
      <c r="AS267" s="95"/>
      <c r="AT267" s="95"/>
      <c r="AU267" s="95"/>
      <c r="AV267" s="95"/>
      <c r="AW267" s="95"/>
      <c r="AX267" s="95"/>
      <c r="AY267" s="95"/>
      <c r="AZ267" s="95"/>
      <c r="BA267" s="95"/>
      <c r="BB267" s="95"/>
      <c r="BC267" s="214"/>
      <c r="BD267" s="95"/>
      <c r="BE267" s="95"/>
      <c r="BF267" s="95"/>
      <c r="BG267" s="95"/>
      <c r="BH267" s="95"/>
      <c r="BI267" s="24"/>
      <c r="BJ267" s="95"/>
      <c r="BK267" s="265"/>
      <c r="BL267" s="265"/>
      <c r="BM267" s="265"/>
      <c r="BN267" s="266"/>
      <c r="BO267" s="267"/>
      <c r="BP267" s="268"/>
      <c r="BQ267" s="269"/>
      <c r="BR267" s="269"/>
      <c r="BS267" s="269"/>
      <c r="BT267" s="269"/>
      <c r="BU267" s="269"/>
      <c r="BV267" s="269"/>
      <c r="BW267" s="268"/>
      <c r="BX267" s="269"/>
      <c r="BY267" s="268"/>
      <c r="BZ267" s="268"/>
      <c r="CA267" s="268"/>
      <c r="CB267" s="269"/>
      <c r="CC267" s="268"/>
      <c r="CD267" s="268"/>
      <c r="CE267" s="269"/>
      <c r="CF267" s="269"/>
      <c r="CG267" s="269"/>
      <c r="CH267" s="269"/>
      <c r="CI267" s="269"/>
      <c r="CJ267" s="269"/>
      <c r="CK267" s="269"/>
      <c r="CL267" s="266"/>
    </row>
    <row r="268" spans="1:90" s="270" customFormat="1">
      <c r="A268" s="95"/>
      <c r="B268" s="263"/>
      <c r="C268" s="263"/>
      <c r="D268" s="263"/>
      <c r="E268" s="263"/>
      <c r="F268" s="263"/>
      <c r="G268" s="263"/>
      <c r="H268" s="95"/>
      <c r="I268" s="95"/>
      <c r="J268" s="263"/>
      <c r="K268" s="263"/>
      <c r="L268" s="263"/>
      <c r="M268" s="263"/>
      <c r="N268" s="263"/>
      <c r="O268" s="263"/>
      <c r="P268" s="95"/>
      <c r="Q268" s="95"/>
      <c r="R268" s="95"/>
      <c r="S268" s="95"/>
      <c r="T268" s="95"/>
      <c r="U268" s="95"/>
      <c r="V268" s="95"/>
      <c r="W268" s="95"/>
      <c r="X268" s="95"/>
      <c r="Y268" s="95"/>
      <c r="Z268" s="95"/>
      <c r="AA268" s="95"/>
      <c r="AB268" s="95"/>
      <c r="AC268" s="95"/>
      <c r="AD268" s="95"/>
      <c r="AE268" s="95"/>
      <c r="AF268" s="95"/>
      <c r="AG268" s="95"/>
      <c r="AH268" s="95"/>
      <c r="AI268" s="95"/>
      <c r="AJ268" s="95"/>
      <c r="AK268" s="95"/>
      <c r="AL268" s="95"/>
      <c r="AM268" s="95"/>
      <c r="AN268" s="264"/>
      <c r="AO268" s="95"/>
      <c r="AP268" s="95"/>
      <c r="AQ268" s="95"/>
      <c r="AR268" s="95"/>
      <c r="AS268" s="95"/>
      <c r="AT268" s="95"/>
      <c r="AU268" s="95"/>
      <c r="AV268" s="95"/>
      <c r="AW268" s="95"/>
      <c r="AX268" s="95"/>
      <c r="AY268" s="95"/>
      <c r="AZ268" s="95"/>
      <c r="BA268" s="95"/>
      <c r="BB268" s="95"/>
      <c r="BC268" s="214"/>
      <c r="BD268" s="95"/>
      <c r="BE268" s="95"/>
      <c r="BF268" s="95"/>
      <c r="BG268" s="95"/>
      <c r="BH268" s="95"/>
      <c r="BI268" s="24"/>
      <c r="BJ268" s="95"/>
      <c r="BK268" s="265"/>
      <c r="BL268" s="265"/>
      <c r="BM268" s="265"/>
      <c r="BN268" s="266"/>
      <c r="BO268" s="267"/>
      <c r="BP268" s="268"/>
      <c r="BQ268" s="269"/>
      <c r="BR268" s="269"/>
      <c r="BS268" s="269"/>
      <c r="BT268" s="269"/>
      <c r="BU268" s="269"/>
      <c r="BV268" s="269"/>
      <c r="BW268" s="268"/>
      <c r="BX268" s="269"/>
      <c r="BY268" s="268"/>
      <c r="BZ268" s="268"/>
      <c r="CA268" s="268"/>
      <c r="CB268" s="269"/>
      <c r="CC268" s="268"/>
      <c r="CD268" s="268"/>
      <c r="CE268" s="269"/>
      <c r="CF268" s="269"/>
      <c r="CG268" s="269"/>
      <c r="CH268" s="269"/>
      <c r="CI268" s="269"/>
      <c r="CJ268" s="269"/>
      <c r="CK268" s="269"/>
      <c r="CL268" s="266"/>
    </row>
    <row r="269" spans="1:90" s="270" customFormat="1">
      <c r="A269" s="95"/>
      <c r="B269" s="263"/>
      <c r="C269" s="263"/>
      <c r="D269" s="263"/>
      <c r="E269" s="263"/>
      <c r="F269" s="263"/>
      <c r="G269" s="263"/>
      <c r="H269" s="95"/>
      <c r="I269" s="95"/>
      <c r="J269" s="263"/>
      <c r="K269" s="263"/>
      <c r="L269" s="263"/>
      <c r="M269" s="263"/>
      <c r="N269" s="263"/>
      <c r="O269" s="263"/>
      <c r="P269" s="95"/>
      <c r="Q269" s="95"/>
      <c r="R269" s="95"/>
      <c r="S269" s="95"/>
      <c r="T269" s="95"/>
      <c r="U269" s="95"/>
      <c r="V269" s="95"/>
      <c r="W269" s="95"/>
      <c r="X269" s="95"/>
      <c r="Y269" s="95"/>
      <c r="Z269" s="95"/>
      <c r="AA269" s="95"/>
      <c r="AB269" s="95"/>
      <c r="AC269" s="95"/>
      <c r="AD269" s="95"/>
      <c r="AE269" s="95"/>
      <c r="AF269" s="95"/>
      <c r="AG269" s="95"/>
      <c r="AH269" s="95"/>
      <c r="AI269" s="95"/>
      <c r="AJ269" s="95"/>
      <c r="AK269" s="95"/>
      <c r="AL269" s="95"/>
      <c r="AM269" s="95"/>
      <c r="AN269" s="264"/>
      <c r="AO269" s="95"/>
      <c r="AP269" s="95"/>
      <c r="AQ269" s="95"/>
      <c r="AR269" s="95"/>
      <c r="AS269" s="95"/>
      <c r="AT269" s="95"/>
      <c r="AU269" s="95"/>
      <c r="AV269" s="95"/>
      <c r="AW269" s="95"/>
      <c r="AX269" s="95"/>
      <c r="AY269" s="95"/>
      <c r="AZ269" s="95"/>
      <c r="BA269" s="95"/>
      <c r="BB269" s="95"/>
      <c r="BC269" s="214"/>
      <c r="BD269" s="95"/>
      <c r="BE269" s="95"/>
      <c r="BF269" s="95"/>
      <c r="BG269" s="95"/>
      <c r="BH269" s="95"/>
      <c r="BI269" s="24"/>
      <c r="BJ269" s="95"/>
      <c r="BK269" s="265"/>
      <c r="BL269" s="265"/>
      <c r="BM269" s="265"/>
      <c r="BN269" s="266"/>
      <c r="BO269" s="267"/>
      <c r="BP269" s="268"/>
      <c r="BQ269" s="269"/>
      <c r="BR269" s="269"/>
      <c r="BS269" s="269"/>
      <c r="BT269" s="269"/>
      <c r="BU269" s="269"/>
      <c r="BV269" s="269"/>
      <c r="BW269" s="268"/>
      <c r="BX269" s="269"/>
      <c r="BY269" s="268"/>
      <c r="BZ269" s="268"/>
      <c r="CA269" s="268"/>
      <c r="CB269" s="269"/>
      <c r="CC269" s="268"/>
      <c r="CD269" s="268"/>
      <c r="CE269" s="269"/>
      <c r="CF269" s="269"/>
      <c r="CG269" s="269"/>
      <c r="CH269" s="269"/>
      <c r="CI269" s="269"/>
      <c r="CJ269" s="269"/>
      <c r="CK269" s="269"/>
      <c r="CL269" s="266"/>
    </row>
    <row r="270" spans="1:90" s="270" customFormat="1">
      <c r="A270" s="95"/>
      <c r="B270" s="263"/>
      <c r="C270" s="263"/>
      <c r="D270" s="263"/>
      <c r="E270" s="263"/>
      <c r="F270" s="263"/>
      <c r="G270" s="263"/>
      <c r="H270" s="95"/>
      <c r="I270" s="95"/>
      <c r="J270" s="263"/>
      <c r="K270" s="263"/>
      <c r="L270" s="263"/>
      <c r="M270" s="263"/>
      <c r="N270" s="263"/>
      <c r="O270" s="263"/>
      <c r="P270" s="95"/>
      <c r="Q270" s="95"/>
      <c r="R270" s="95"/>
      <c r="S270" s="95"/>
      <c r="T270" s="95"/>
      <c r="U270" s="95"/>
      <c r="V270" s="95"/>
      <c r="W270" s="95"/>
      <c r="X270" s="95"/>
      <c r="Y270" s="95"/>
      <c r="Z270" s="95"/>
      <c r="AA270" s="95"/>
      <c r="AB270" s="95"/>
      <c r="AC270" s="95"/>
      <c r="AD270" s="95"/>
      <c r="AE270" s="95"/>
      <c r="AF270" s="95"/>
      <c r="AG270" s="95"/>
      <c r="AH270" s="95"/>
      <c r="AI270" s="95"/>
      <c r="AJ270" s="95"/>
      <c r="AK270" s="95"/>
      <c r="AL270" s="95"/>
      <c r="AM270" s="95"/>
      <c r="AN270" s="264"/>
      <c r="AO270" s="95"/>
      <c r="AP270" s="95"/>
      <c r="AQ270" s="95"/>
      <c r="AR270" s="95"/>
      <c r="AS270" s="95"/>
      <c r="AT270" s="95"/>
      <c r="AU270" s="95"/>
      <c r="AV270" s="95"/>
      <c r="AW270" s="95"/>
      <c r="AX270" s="95"/>
      <c r="AY270" s="95"/>
      <c r="AZ270" s="95"/>
      <c r="BA270" s="95"/>
      <c r="BB270" s="95"/>
      <c r="BC270" s="214"/>
      <c r="BD270" s="95"/>
      <c r="BE270" s="95"/>
      <c r="BF270" s="95"/>
      <c r="BG270" s="95"/>
      <c r="BH270" s="95"/>
      <c r="BI270" s="24"/>
      <c r="BJ270" s="95"/>
      <c r="BK270" s="265"/>
      <c r="BL270" s="265"/>
      <c r="BM270" s="265"/>
      <c r="BN270" s="266"/>
      <c r="BO270" s="267"/>
      <c r="BP270" s="268"/>
      <c r="BQ270" s="269"/>
      <c r="BR270" s="269"/>
      <c r="BS270" s="269"/>
      <c r="BT270" s="269"/>
      <c r="BU270" s="269"/>
      <c r="BV270" s="269"/>
      <c r="BW270" s="268"/>
      <c r="BX270" s="269"/>
      <c r="BY270" s="268"/>
      <c r="BZ270" s="268"/>
      <c r="CA270" s="268"/>
      <c r="CB270" s="269"/>
      <c r="CC270" s="268"/>
      <c r="CD270" s="268"/>
      <c r="CE270" s="269"/>
      <c r="CF270" s="269"/>
      <c r="CG270" s="269"/>
      <c r="CH270" s="269"/>
      <c r="CI270" s="269"/>
      <c r="CJ270" s="269"/>
      <c r="CK270" s="269"/>
      <c r="CL270" s="266"/>
    </row>
    <row r="271" spans="1:90" s="270" customFormat="1">
      <c r="A271" s="95"/>
      <c r="B271" s="263"/>
      <c r="C271" s="263"/>
      <c r="D271" s="263"/>
      <c r="E271" s="263"/>
      <c r="F271" s="263"/>
      <c r="G271" s="263"/>
      <c r="H271" s="95"/>
      <c r="I271" s="95"/>
      <c r="J271" s="263"/>
      <c r="K271" s="263"/>
      <c r="L271" s="263"/>
      <c r="M271" s="263"/>
      <c r="N271" s="263"/>
      <c r="O271" s="263"/>
      <c r="P271" s="95"/>
      <c r="Q271" s="95"/>
      <c r="R271" s="95"/>
      <c r="S271" s="95"/>
      <c r="T271" s="95"/>
      <c r="U271" s="95"/>
      <c r="V271" s="95"/>
      <c r="W271" s="95"/>
      <c r="X271" s="95"/>
      <c r="Y271" s="95"/>
      <c r="Z271" s="95"/>
      <c r="AA271" s="95"/>
      <c r="AB271" s="95"/>
      <c r="AC271" s="95"/>
      <c r="AD271" s="95"/>
      <c r="AE271" s="95"/>
      <c r="AF271" s="95"/>
      <c r="AG271" s="95"/>
      <c r="AH271" s="95"/>
      <c r="AI271" s="95"/>
      <c r="AJ271" s="95"/>
      <c r="AK271" s="95"/>
      <c r="AL271" s="95"/>
      <c r="AM271" s="95"/>
      <c r="AN271" s="264"/>
      <c r="AO271" s="95"/>
      <c r="AP271" s="95"/>
      <c r="AQ271" s="95"/>
      <c r="AR271" s="95"/>
      <c r="AS271" s="95"/>
      <c r="AT271" s="95"/>
      <c r="AU271" s="95"/>
      <c r="AV271" s="95"/>
      <c r="AW271" s="95"/>
      <c r="AX271" s="95"/>
      <c r="AY271" s="95"/>
      <c r="AZ271" s="95"/>
      <c r="BA271" s="95"/>
      <c r="BB271" s="95"/>
      <c r="BC271" s="214"/>
      <c r="BD271" s="95"/>
      <c r="BE271" s="95"/>
      <c r="BF271" s="95"/>
      <c r="BG271" s="95"/>
      <c r="BH271" s="95"/>
      <c r="BI271" s="24"/>
      <c r="BJ271" s="95"/>
      <c r="BK271" s="265"/>
      <c r="BL271" s="265"/>
      <c r="BM271" s="265"/>
      <c r="BN271" s="266"/>
      <c r="BO271" s="267"/>
      <c r="BP271" s="268"/>
      <c r="BQ271" s="269"/>
      <c r="BR271" s="269"/>
      <c r="BS271" s="269"/>
      <c r="BT271" s="269"/>
      <c r="BU271" s="269"/>
      <c r="BV271" s="269"/>
      <c r="BW271" s="268"/>
      <c r="BX271" s="269"/>
      <c r="BY271" s="268"/>
      <c r="BZ271" s="268"/>
      <c r="CA271" s="268"/>
      <c r="CB271" s="269"/>
      <c r="CC271" s="268"/>
      <c r="CD271" s="268"/>
      <c r="CE271" s="269"/>
      <c r="CF271" s="269"/>
      <c r="CG271" s="269"/>
      <c r="CH271" s="269"/>
      <c r="CI271" s="269"/>
      <c r="CJ271" s="269"/>
      <c r="CK271" s="269"/>
      <c r="CL271" s="266"/>
    </row>
    <row r="272" spans="1:90" s="270" customFormat="1">
      <c r="A272" s="95"/>
      <c r="B272" s="263"/>
      <c r="C272" s="263"/>
      <c r="D272" s="263"/>
      <c r="E272" s="263"/>
      <c r="F272" s="263"/>
      <c r="G272" s="263"/>
      <c r="H272" s="95"/>
      <c r="I272" s="95"/>
      <c r="J272" s="263"/>
      <c r="K272" s="263"/>
      <c r="L272" s="263"/>
      <c r="M272" s="263"/>
      <c r="N272" s="263"/>
      <c r="O272" s="263"/>
      <c r="P272" s="95"/>
      <c r="Q272" s="95"/>
      <c r="R272" s="95"/>
      <c r="S272" s="95"/>
      <c r="T272" s="95"/>
      <c r="U272" s="95"/>
      <c r="V272" s="95"/>
      <c r="W272" s="95"/>
      <c r="X272" s="95"/>
      <c r="Y272" s="95"/>
      <c r="Z272" s="95"/>
      <c r="AA272" s="95"/>
      <c r="AB272" s="95"/>
      <c r="AC272" s="95"/>
      <c r="AD272" s="95"/>
      <c r="AE272" s="95"/>
      <c r="AF272" s="95"/>
      <c r="AG272" s="95"/>
      <c r="AH272" s="95"/>
      <c r="AI272" s="95"/>
      <c r="AJ272" s="95"/>
      <c r="AK272" s="95"/>
      <c r="AL272" s="95"/>
      <c r="AM272" s="95"/>
      <c r="AN272" s="264"/>
      <c r="AO272" s="95"/>
      <c r="AP272" s="95"/>
      <c r="AQ272" s="95"/>
      <c r="AR272" s="95"/>
      <c r="AS272" s="95"/>
      <c r="AT272" s="95"/>
      <c r="AU272" s="95"/>
      <c r="AV272" s="95"/>
      <c r="AW272" s="95"/>
      <c r="AX272" s="95"/>
      <c r="AY272" s="95"/>
      <c r="AZ272" s="95"/>
      <c r="BA272" s="95"/>
      <c r="BB272" s="95"/>
      <c r="BC272" s="214"/>
      <c r="BD272" s="95"/>
      <c r="BE272" s="95"/>
      <c r="BF272" s="95"/>
      <c r="BG272" s="95"/>
      <c r="BH272" s="95"/>
      <c r="BI272" s="24"/>
      <c r="BJ272" s="95"/>
      <c r="BK272" s="265"/>
      <c r="BL272" s="265"/>
      <c r="BM272" s="265"/>
      <c r="BN272" s="266"/>
      <c r="BO272" s="267"/>
      <c r="BP272" s="268"/>
      <c r="BQ272" s="269"/>
      <c r="BR272" s="269"/>
      <c r="BS272" s="269"/>
      <c r="BT272" s="269"/>
      <c r="BU272" s="269"/>
      <c r="BV272" s="269"/>
      <c r="BW272" s="268"/>
      <c r="BX272" s="269"/>
      <c r="BY272" s="268"/>
      <c r="BZ272" s="268"/>
      <c r="CA272" s="268"/>
      <c r="CB272" s="269"/>
      <c r="CC272" s="268"/>
      <c r="CD272" s="268"/>
      <c r="CE272" s="269"/>
      <c r="CF272" s="269"/>
      <c r="CG272" s="269"/>
      <c r="CH272" s="269"/>
      <c r="CI272" s="269"/>
      <c r="CJ272" s="269"/>
      <c r="CK272" s="269"/>
      <c r="CL272" s="266"/>
    </row>
    <row r="273" spans="1:90" s="270" customFormat="1">
      <c r="A273" s="95"/>
      <c r="B273" s="263"/>
      <c r="C273" s="263"/>
      <c r="D273" s="263"/>
      <c r="E273" s="263"/>
      <c r="F273" s="263"/>
      <c r="G273" s="263"/>
      <c r="H273" s="95"/>
      <c r="I273" s="95"/>
      <c r="J273" s="263"/>
      <c r="K273" s="263"/>
      <c r="L273" s="263"/>
      <c r="M273" s="263"/>
      <c r="N273" s="263"/>
      <c r="O273" s="263"/>
      <c r="P273" s="95"/>
      <c r="Q273" s="95"/>
      <c r="R273" s="95"/>
      <c r="S273" s="95"/>
      <c r="T273" s="95"/>
      <c r="U273" s="95"/>
      <c r="V273" s="95"/>
      <c r="W273" s="95"/>
      <c r="X273" s="95"/>
      <c r="Y273" s="95"/>
      <c r="Z273" s="95"/>
      <c r="AA273" s="95"/>
      <c r="AB273" s="95"/>
      <c r="AC273" s="95"/>
      <c r="AD273" s="95"/>
      <c r="AE273" s="95"/>
      <c r="AF273" s="95"/>
      <c r="AG273" s="95"/>
      <c r="AH273" s="95"/>
      <c r="AI273" s="95"/>
      <c r="AJ273" s="95"/>
      <c r="AK273" s="95"/>
      <c r="AL273" s="95"/>
      <c r="AM273" s="95"/>
      <c r="AN273" s="264"/>
      <c r="AO273" s="95"/>
      <c r="AP273" s="95"/>
      <c r="AQ273" s="95"/>
      <c r="AR273" s="95"/>
      <c r="AS273" s="95"/>
      <c r="AT273" s="95"/>
      <c r="AU273" s="95"/>
      <c r="AV273" s="95"/>
      <c r="AW273" s="95"/>
      <c r="AX273" s="95"/>
      <c r="AY273" s="95"/>
      <c r="AZ273" s="95"/>
      <c r="BA273" s="95"/>
      <c r="BB273" s="95"/>
      <c r="BC273" s="214"/>
      <c r="BD273" s="95"/>
      <c r="BE273" s="95"/>
      <c r="BF273" s="95"/>
      <c r="BG273" s="95"/>
      <c r="BH273" s="95"/>
      <c r="BI273" s="24"/>
      <c r="BJ273" s="95"/>
      <c r="BK273" s="265"/>
      <c r="BL273" s="265"/>
      <c r="BM273" s="265"/>
      <c r="BN273" s="266"/>
      <c r="BO273" s="267"/>
      <c r="BP273" s="268"/>
      <c r="BQ273" s="269"/>
      <c r="BR273" s="269"/>
      <c r="BS273" s="269"/>
      <c r="BT273" s="269"/>
      <c r="BU273" s="269"/>
      <c r="BV273" s="269"/>
      <c r="BW273" s="268"/>
      <c r="BX273" s="269"/>
      <c r="BY273" s="268"/>
      <c r="BZ273" s="268"/>
      <c r="CA273" s="268"/>
      <c r="CB273" s="269"/>
      <c r="CC273" s="268"/>
      <c r="CD273" s="268"/>
      <c r="CE273" s="269"/>
      <c r="CF273" s="269"/>
      <c r="CG273" s="269"/>
      <c r="CH273" s="269"/>
      <c r="CI273" s="269"/>
      <c r="CJ273" s="269"/>
      <c r="CK273" s="269"/>
      <c r="CL273" s="266"/>
    </row>
    <row r="274" spans="1:90" s="270" customFormat="1">
      <c r="A274" s="95"/>
      <c r="B274" s="263"/>
      <c r="C274" s="263"/>
      <c r="D274" s="263"/>
      <c r="E274" s="263"/>
      <c r="F274" s="263"/>
      <c r="G274" s="263"/>
      <c r="H274" s="95"/>
      <c r="I274" s="95"/>
      <c r="J274" s="263"/>
      <c r="K274" s="263"/>
      <c r="L274" s="263"/>
      <c r="M274" s="263"/>
      <c r="N274" s="263"/>
      <c r="O274" s="263"/>
      <c r="P274" s="95"/>
      <c r="Q274" s="95"/>
      <c r="R274" s="95"/>
      <c r="S274" s="95"/>
      <c r="T274" s="95"/>
      <c r="U274" s="95"/>
      <c r="V274" s="95"/>
      <c r="W274" s="95"/>
      <c r="X274" s="95"/>
      <c r="Y274" s="95"/>
      <c r="Z274" s="95"/>
      <c r="AA274" s="95"/>
      <c r="AB274" s="95"/>
      <c r="AC274" s="95"/>
      <c r="AD274" s="95"/>
      <c r="AE274" s="95"/>
      <c r="AF274" s="95"/>
      <c r="AG274" s="95"/>
      <c r="AH274" s="95"/>
      <c r="AI274" s="95"/>
      <c r="AJ274" s="95"/>
      <c r="AK274" s="95"/>
      <c r="AL274" s="95"/>
      <c r="AM274" s="95"/>
      <c r="AN274" s="264"/>
      <c r="AO274" s="95"/>
      <c r="AP274" s="95"/>
      <c r="AQ274" s="95"/>
      <c r="AR274" s="95"/>
      <c r="AS274" s="95"/>
      <c r="AT274" s="95"/>
      <c r="AU274" s="95"/>
      <c r="AV274" s="95"/>
      <c r="AW274" s="95"/>
      <c r="AX274" s="95"/>
      <c r="AY274" s="95"/>
      <c r="AZ274" s="95"/>
      <c r="BA274" s="95"/>
      <c r="BB274" s="95"/>
      <c r="BC274" s="214"/>
      <c r="BD274" s="95"/>
      <c r="BE274" s="95"/>
      <c r="BF274" s="95"/>
      <c r="BG274" s="95"/>
      <c r="BH274" s="95"/>
      <c r="BI274" s="24"/>
      <c r="BJ274" s="95"/>
      <c r="BK274" s="265"/>
      <c r="BL274" s="265"/>
      <c r="BM274" s="265"/>
      <c r="BN274" s="266"/>
      <c r="BO274" s="267"/>
      <c r="BP274" s="268"/>
      <c r="BQ274" s="269"/>
      <c r="BR274" s="269"/>
      <c r="BS274" s="269"/>
      <c r="BT274" s="269"/>
      <c r="BU274" s="269"/>
      <c r="BV274" s="269"/>
      <c r="BW274" s="268"/>
      <c r="BX274" s="269"/>
      <c r="BY274" s="268"/>
      <c r="BZ274" s="268"/>
      <c r="CA274" s="268"/>
      <c r="CB274" s="269"/>
      <c r="CC274" s="268"/>
      <c r="CD274" s="268"/>
      <c r="CE274" s="269"/>
      <c r="CF274" s="269"/>
      <c r="CG274" s="269"/>
      <c r="CH274" s="269"/>
      <c r="CI274" s="269"/>
      <c r="CJ274" s="269"/>
      <c r="CK274" s="269"/>
      <c r="CL274" s="266"/>
    </row>
    <row r="275" spans="1:90" s="270" customFormat="1">
      <c r="A275" s="95"/>
      <c r="B275" s="263"/>
      <c r="C275" s="263"/>
      <c r="D275" s="263"/>
      <c r="E275" s="263"/>
      <c r="F275" s="263"/>
      <c r="G275" s="263"/>
      <c r="H275" s="95"/>
      <c r="I275" s="95"/>
      <c r="J275" s="263"/>
      <c r="K275" s="263"/>
      <c r="L275" s="263"/>
      <c r="M275" s="263"/>
      <c r="N275" s="263"/>
      <c r="O275" s="263"/>
      <c r="P275" s="95"/>
      <c r="Q275" s="95"/>
      <c r="R275" s="95"/>
      <c r="S275" s="95"/>
      <c r="T275" s="95"/>
      <c r="U275" s="95"/>
      <c r="V275" s="95"/>
      <c r="W275" s="95"/>
      <c r="X275" s="95"/>
      <c r="Y275" s="95"/>
      <c r="Z275" s="95"/>
      <c r="AA275" s="95"/>
      <c r="AB275" s="95"/>
      <c r="AC275" s="95"/>
      <c r="AD275" s="95"/>
      <c r="AE275" s="95"/>
      <c r="AF275" s="95"/>
      <c r="AG275" s="95"/>
      <c r="AH275" s="95"/>
      <c r="AI275" s="95"/>
      <c r="AJ275" s="95"/>
      <c r="AK275" s="95"/>
      <c r="AL275" s="95"/>
      <c r="AM275" s="95"/>
      <c r="AN275" s="264"/>
      <c r="AO275" s="95"/>
      <c r="AP275" s="95"/>
      <c r="AQ275" s="95"/>
      <c r="AR275" s="95"/>
      <c r="AS275" s="95"/>
      <c r="AT275" s="95"/>
      <c r="AU275" s="95"/>
      <c r="AV275" s="95"/>
      <c r="AW275" s="95"/>
      <c r="AX275" s="95"/>
      <c r="AY275" s="95"/>
      <c r="AZ275" s="95"/>
      <c r="BA275" s="95"/>
      <c r="BB275" s="95"/>
      <c r="BC275" s="214"/>
      <c r="BD275" s="95"/>
      <c r="BE275" s="95"/>
      <c r="BF275" s="95"/>
      <c r="BG275" s="95"/>
      <c r="BH275" s="95"/>
      <c r="BI275" s="24"/>
      <c r="BJ275" s="95"/>
      <c r="BK275" s="265"/>
      <c r="BL275" s="265"/>
      <c r="BM275" s="265"/>
      <c r="BN275" s="266"/>
      <c r="BO275" s="267"/>
      <c r="BP275" s="268"/>
      <c r="BQ275" s="269"/>
      <c r="BR275" s="269"/>
      <c r="BS275" s="269"/>
      <c r="BT275" s="269"/>
      <c r="BU275" s="269"/>
      <c r="BV275" s="269"/>
      <c r="BW275" s="268"/>
      <c r="BX275" s="269"/>
      <c r="BY275" s="268"/>
      <c r="BZ275" s="268"/>
      <c r="CA275" s="268"/>
      <c r="CB275" s="269"/>
      <c r="CC275" s="268"/>
      <c r="CD275" s="268"/>
      <c r="CE275" s="269"/>
      <c r="CF275" s="269"/>
      <c r="CG275" s="269"/>
      <c r="CH275" s="269"/>
      <c r="CI275" s="269"/>
      <c r="CJ275" s="269"/>
      <c r="CK275" s="269"/>
      <c r="CL275" s="266"/>
    </row>
    <row r="276" spans="1:90" s="270" customFormat="1">
      <c r="A276" s="95"/>
      <c r="B276" s="263"/>
      <c r="C276" s="263"/>
      <c r="D276" s="263"/>
      <c r="E276" s="263"/>
      <c r="F276" s="263"/>
      <c r="G276" s="263"/>
      <c r="H276" s="95"/>
      <c r="I276" s="95"/>
      <c r="J276" s="263"/>
      <c r="K276" s="263"/>
      <c r="L276" s="263"/>
      <c r="M276" s="263"/>
      <c r="N276" s="263"/>
      <c r="O276" s="263"/>
      <c r="P276" s="95"/>
      <c r="Q276" s="95"/>
      <c r="R276" s="95"/>
      <c r="S276" s="95"/>
      <c r="T276" s="95"/>
      <c r="U276" s="95"/>
      <c r="V276" s="95"/>
      <c r="W276" s="95"/>
      <c r="X276" s="95"/>
      <c r="Y276" s="95"/>
      <c r="Z276" s="95"/>
      <c r="AA276" s="95"/>
      <c r="AB276" s="95"/>
      <c r="AC276" s="95"/>
      <c r="AD276" s="95"/>
      <c r="AE276" s="95"/>
      <c r="AF276" s="95"/>
      <c r="AG276" s="95"/>
      <c r="AH276" s="95"/>
      <c r="AI276" s="95"/>
      <c r="AJ276" s="95"/>
      <c r="AK276" s="95"/>
      <c r="AL276" s="95"/>
      <c r="AM276" s="95"/>
      <c r="AN276" s="264"/>
      <c r="AO276" s="95"/>
      <c r="AP276" s="95"/>
      <c r="AQ276" s="95"/>
      <c r="AR276" s="95"/>
      <c r="AS276" s="95"/>
      <c r="AT276" s="95"/>
      <c r="AU276" s="95"/>
      <c r="AV276" s="95"/>
      <c r="AW276" s="95"/>
      <c r="AX276" s="95"/>
      <c r="AY276" s="95"/>
      <c r="AZ276" s="95"/>
      <c r="BA276" s="95"/>
      <c r="BB276" s="95"/>
      <c r="BC276" s="214"/>
      <c r="BD276" s="95"/>
      <c r="BE276" s="95"/>
      <c r="BF276" s="95"/>
      <c r="BG276" s="95"/>
      <c r="BH276" s="95"/>
      <c r="BI276" s="24"/>
      <c r="BJ276" s="95"/>
      <c r="BK276" s="265"/>
      <c r="BL276" s="265"/>
      <c r="BM276" s="265"/>
      <c r="BN276" s="266"/>
      <c r="BO276" s="267"/>
      <c r="BP276" s="268"/>
      <c r="BQ276" s="269"/>
      <c r="BR276" s="269"/>
      <c r="BS276" s="269"/>
      <c r="BT276" s="269"/>
      <c r="BU276" s="269"/>
      <c r="BV276" s="269"/>
      <c r="BW276" s="268"/>
      <c r="BX276" s="269"/>
      <c r="BY276" s="268"/>
      <c r="BZ276" s="268"/>
      <c r="CA276" s="268"/>
      <c r="CB276" s="269"/>
      <c r="CC276" s="268"/>
      <c r="CD276" s="268"/>
      <c r="CE276" s="269"/>
      <c r="CF276" s="269"/>
      <c r="CG276" s="269"/>
      <c r="CH276" s="269"/>
      <c r="CI276" s="269"/>
      <c r="CJ276" s="269"/>
      <c r="CK276" s="269"/>
      <c r="CL276" s="266"/>
    </row>
    <row r="277" spans="1:90" s="270" customFormat="1">
      <c r="A277" s="95"/>
      <c r="B277" s="263"/>
      <c r="C277" s="263"/>
      <c r="D277" s="263"/>
      <c r="E277" s="263"/>
      <c r="F277" s="263"/>
      <c r="G277" s="263"/>
      <c r="H277" s="95"/>
      <c r="I277" s="95"/>
      <c r="J277" s="263"/>
      <c r="K277" s="263"/>
      <c r="L277" s="263"/>
      <c r="M277" s="263"/>
      <c r="N277" s="263"/>
      <c r="O277" s="263"/>
      <c r="P277" s="95"/>
      <c r="Q277" s="95"/>
      <c r="R277" s="95"/>
      <c r="S277" s="95"/>
      <c r="T277" s="95"/>
      <c r="U277" s="95"/>
      <c r="V277" s="95"/>
      <c r="W277" s="95"/>
      <c r="X277" s="95"/>
      <c r="Y277" s="95"/>
      <c r="Z277" s="95"/>
      <c r="AA277" s="95"/>
      <c r="AB277" s="95"/>
      <c r="AC277" s="95"/>
      <c r="AD277" s="95"/>
      <c r="AE277" s="95"/>
      <c r="AF277" s="95"/>
      <c r="AG277" s="95"/>
      <c r="AH277" s="95"/>
      <c r="AI277" s="95"/>
      <c r="AJ277" s="95"/>
      <c r="AK277" s="95"/>
      <c r="AL277" s="95"/>
      <c r="AM277" s="95"/>
      <c r="AN277" s="264"/>
      <c r="AO277" s="95"/>
      <c r="AP277" s="95"/>
      <c r="AQ277" s="95"/>
      <c r="AR277" s="95"/>
      <c r="AS277" s="95"/>
      <c r="AT277" s="95"/>
      <c r="AU277" s="95"/>
      <c r="AV277" s="95"/>
      <c r="AW277" s="95"/>
      <c r="AX277" s="95"/>
      <c r="AY277" s="95"/>
      <c r="AZ277" s="95"/>
      <c r="BA277" s="95"/>
      <c r="BB277" s="95"/>
      <c r="BC277" s="214"/>
      <c r="BD277" s="95"/>
      <c r="BE277" s="95"/>
      <c r="BF277" s="95"/>
      <c r="BG277" s="95"/>
      <c r="BH277" s="95"/>
      <c r="BI277" s="24"/>
      <c r="BJ277" s="95"/>
      <c r="BK277" s="265"/>
      <c r="BL277" s="265"/>
      <c r="BM277" s="265"/>
      <c r="BN277" s="266"/>
      <c r="BO277" s="267"/>
      <c r="BP277" s="268"/>
      <c r="BQ277" s="269"/>
      <c r="BR277" s="269"/>
      <c r="BS277" s="269"/>
      <c r="BT277" s="269"/>
      <c r="BU277" s="269"/>
      <c r="BV277" s="269"/>
      <c r="BW277" s="268"/>
      <c r="BX277" s="269"/>
      <c r="BY277" s="268"/>
      <c r="BZ277" s="268"/>
      <c r="CA277" s="268"/>
      <c r="CB277" s="269"/>
      <c r="CC277" s="268"/>
      <c r="CD277" s="268"/>
      <c r="CE277" s="269"/>
      <c r="CF277" s="269"/>
      <c r="CG277" s="269"/>
      <c r="CH277" s="269"/>
      <c r="CI277" s="269"/>
      <c r="CJ277" s="269"/>
      <c r="CK277" s="269"/>
      <c r="CL277" s="266"/>
    </row>
    <row r="278" spans="1:90" s="270" customFormat="1">
      <c r="A278" s="95"/>
      <c r="B278" s="263"/>
      <c r="C278" s="263"/>
      <c r="D278" s="263"/>
      <c r="E278" s="263"/>
      <c r="F278" s="263"/>
      <c r="G278" s="263"/>
      <c r="H278" s="95"/>
      <c r="I278" s="95"/>
      <c r="J278" s="263"/>
      <c r="K278" s="263"/>
      <c r="L278" s="263"/>
      <c r="M278" s="263"/>
      <c r="N278" s="263"/>
      <c r="O278" s="263"/>
      <c r="P278" s="95"/>
      <c r="Q278" s="95"/>
      <c r="R278" s="95"/>
      <c r="S278" s="95"/>
      <c r="T278" s="95"/>
      <c r="U278" s="95"/>
      <c r="V278" s="95"/>
      <c r="W278" s="95"/>
      <c r="X278" s="95"/>
      <c r="Y278" s="95"/>
      <c r="Z278" s="95"/>
      <c r="AA278" s="95"/>
      <c r="AB278" s="95"/>
      <c r="AC278" s="95"/>
      <c r="AD278" s="95"/>
      <c r="AE278" s="95"/>
      <c r="AF278" s="95"/>
      <c r="AG278" s="95"/>
      <c r="AH278" s="95"/>
      <c r="AI278" s="95"/>
      <c r="AJ278" s="95"/>
      <c r="AK278" s="95"/>
      <c r="AL278" s="95"/>
      <c r="AM278" s="95"/>
      <c r="AN278" s="264"/>
      <c r="AO278" s="95"/>
      <c r="AP278" s="95"/>
      <c r="AQ278" s="95"/>
      <c r="AR278" s="95"/>
      <c r="AS278" s="95"/>
      <c r="AT278" s="95"/>
      <c r="AU278" s="95"/>
      <c r="AV278" s="95"/>
      <c r="AW278" s="95"/>
      <c r="AX278" s="95"/>
      <c r="AY278" s="95"/>
      <c r="AZ278" s="95"/>
      <c r="BA278" s="95"/>
      <c r="BB278" s="95"/>
      <c r="BC278" s="214"/>
      <c r="BD278" s="95"/>
      <c r="BE278" s="95"/>
      <c r="BF278" s="95"/>
      <c r="BG278" s="95"/>
      <c r="BH278" s="95"/>
      <c r="BI278" s="24"/>
      <c r="BJ278" s="95"/>
      <c r="BK278" s="265"/>
      <c r="BL278" s="265"/>
      <c r="BM278" s="265"/>
      <c r="BN278" s="266"/>
      <c r="BO278" s="267"/>
      <c r="BP278" s="268"/>
      <c r="BQ278" s="269"/>
      <c r="BR278" s="269"/>
      <c r="BS278" s="269"/>
      <c r="BT278" s="269"/>
      <c r="BU278" s="269"/>
      <c r="BV278" s="269"/>
      <c r="BW278" s="268"/>
      <c r="BX278" s="269"/>
      <c r="BY278" s="268"/>
      <c r="BZ278" s="268"/>
      <c r="CA278" s="268"/>
      <c r="CB278" s="269"/>
      <c r="CC278" s="268"/>
      <c r="CD278" s="268"/>
      <c r="CE278" s="269"/>
      <c r="CF278" s="269"/>
      <c r="CG278" s="269"/>
      <c r="CH278" s="269"/>
      <c r="CI278" s="269"/>
      <c r="CJ278" s="269"/>
      <c r="CK278" s="269"/>
      <c r="CL278" s="266"/>
    </row>
    <row r="279" spans="1:90" s="270" customFormat="1">
      <c r="A279" s="95"/>
      <c r="B279" s="263"/>
      <c r="C279" s="263"/>
      <c r="D279" s="263"/>
      <c r="E279" s="263"/>
      <c r="F279" s="263"/>
      <c r="G279" s="263"/>
      <c r="H279" s="95"/>
      <c r="I279" s="95"/>
      <c r="J279" s="263"/>
      <c r="K279" s="263"/>
      <c r="L279" s="263"/>
      <c r="M279" s="263"/>
      <c r="N279" s="263"/>
      <c r="O279" s="263"/>
      <c r="P279" s="95"/>
      <c r="Q279" s="95"/>
      <c r="R279" s="95"/>
      <c r="S279" s="95"/>
      <c r="T279" s="95"/>
      <c r="U279" s="95"/>
      <c r="V279" s="95"/>
      <c r="W279" s="95"/>
      <c r="X279" s="95"/>
      <c r="Y279" s="95"/>
      <c r="Z279" s="95"/>
      <c r="AA279" s="95"/>
      <c r="AB279" s="95"/>
      <c r="AC279" s="95"/>
      <c r="AD279" s="95"/>
      <c r="AE279" s="95"/>
      <c r="AF279" s="95"/>
      <c r="AG279" s="95"/>
      <c r="AH279" s="95"/>
      <c r="AI279" s="95"/>
      <c r="AJ279" s="95"/>
      <c r="AK279" s="95"/>
      <c r="AL279" s="95"/>
      <c r="AM279" s="95"/>
      <c r="AN279" s="264"/>
      <c r="AO279" s="95"/>
      <c r="AP279" s="95"/>
      <c r="AQ279" s="95"/>
      <c r="AR279" s="95"/>
      <c r="AS279" s="95"/>
      <c r="AT279" s="95"/>
      <c r="AU279" s="95"/>
      <c r="AV279" s="95"/>
      <c r="AW279" s="95"/>
      <c r="AX279" s="95"/>
      <c r="AY279" s="95"/>
      <c r="AZ279" s="95"/>
      <c r="BA279" s="95"/>
      <c r="BB279" s="95"/>
      <c r="BC279" s="214"/>
      <c r="BD279" s="95"/>
      <c r="BE279" s="95"/>
      <c r="BF279" s="95"/>
      <c r="BG279" s="95"/>
      <c r="BH279" s="95"/>
      <c r="BI279" s="24"/>
      <c r="BJ279" s="95"/>
      <c r="BK279" s="265"/>
      <c r="BL279" s="265"/>
      <c r="BM279" s="265"/>
      <c r="BN279" s="266"/>
      <c r="BO279" s="267"/>
      <c r="BP279" s="268"/>
      <c r="BQ279" s="269"/>
      <c r="BR279" s="269"/>
      <c r="BS279" s="269"/>
      <c r="BT279" s="269"/>
      <c r="BU279" s="269"/>
      <c r="BV279" s="269"/>
      <c r="BW279" s="268"/>
      <c r="BX279" s="269"/>
      <c r="BY279" s="268"/>
      <c r="BZ279" s="268"/>
      <c r="CA279" s="268"/>
      <c r="CB279" s="269"/>
      <c r="CC279" s="268"/>
      <c r="CD279" s="268"/>
      <c r="CE279" s="269"/>
      <c r="CF279" s="269"/>
      <c r="CG279" s="269"/>
      <c r="CH279" s="269"/>
      <c r="CI279" s="269"/>
      <c r="CJ279" s="269"/>
      <c r="CK279" s="269"/>
      <c r="CL279" s="266"/>
    </row>
    <row r="280" spans="1:90" s="270" customFormat="1">
      <c r="A280" s="95"/>
      <c r="B280" s="263"/>
      <c r="C280" s="263"/>
      <c r="D280" s="263"/>
      <c r="E280" s="263"/>
      <c r="F280" s="263"/>
      <c r="G280" s="263"/>
      <c r="H280" s="95"/>
      <c r="I280" s="95"/>
      <c r="J280" s="263"/>
      <c r="K280" s="263"/>
      <c r="L280" s="263"/>
      <c r="M280" s="263"/>
      <c r="N280" s="263"/>
      <c r="O280" s="263"/>
      <c r="P280" s="95"/>
      <c r="Q280" s="95"/>
      <c r="R280" s="95"/>
      <c r="S280" s="95"/>
      <c r="T280" s="95"/>
      <c r="U280" s="95"/>
      <c r="V280" s="95"/>
      <c r="W280" s="95"/>
      <c r="X280" s="95"/>
      <c r="Y280" s="95"/>
      <c r="Z280" s="95"/>
      <c r="AA280" s="95"/>
      <c r="AB280" s="95"/>
      <c r="AC280" s="95"/>
      <c r="AD280" s="95"/>
      <c r="AE280" s="95"/>
      <c r="AF280" s="95"/>
      <c r="AG280" s="95"/>
      <c r="AH280" s="95"/>
      <c r="AI280" s="95"/>
      <c r="AJ280" s="95"/>
      <c r="AK280" s="95"/>
      <c r="AL280" s="95"/>
      <c r="AM280" s="95"/>
      <c r="AN280" s="264"/>
      <c r="AO280" s="95"/>
      <c r="AP280" s="95"/>
      <c r="AQ280" s="95"/>
      <c r="AR280" s="95"/>
      <c r="AS280" s="95"/>
      <c r="AT280" s="95"/>
      <c r="AU280" s="95"/>
      <c r="AV280" s="95"/>
      <c r="AW280" s="95"/>
      <c r="AX280" s="95"/>
      <c r="AY280" s="95"/>
      <c r="AZ280" s="95"/>
      <c r="BA280" s="95"/>
      <c r="BB280" s="95"/>
      <c r="BC280" s="214"/>
      <c r="BD280" s="95"/>
      <c r="BE280" s="95"/>
      <c r="BF280" s="95"/>
      <c r="BG280" s="95"/>
      <c r="BH280" s="95"/>
      <c r="BI280" s="24"/>
      <c r="BJ280" s="95"/>
      <c r="BK280" s="265"/>
      <c r="BL280" s="265"/>
      <c r="BM280" s="265"/>
      <c r="BN280" s="266"/>
      <c r="BO280" s="267"/>
      <c r="BP280" s="268"/>
      <c r="BQ280" s="269"/>
      <c r="BR280" s="269"/>
      <c r="BS280" s="269"/>
      <c r="BT280" s="269"/>
      <c r="BU280" s="269"/>
      <c r="BV280" s="269"/>
      <c r="BW280" s="268"/>
      <c r="BX280" s="269"/>
      <c r="BY280" s="268"/>
      <c r="BZ280" s="268"/>
      <c r="CA280" s="268"/>
      <c r="CB280" s="269"/>
      <c r="CC280" s="268"/>
      <c r="CD280" s="268"/>
      <c r="CE280" s="269"/>
      <c r="CF280" s="269"/>
      <c r="CG280" s="269"/>
      <c r="CH280" s="269"/>
      <c r="CI280" s="269"/>
      <c r="CJ280" s="269"/>
      <c r="CK280" s="269"/>
      <c r="CL280" s="266"/>
    </row>
    <row r="281" spans="1:90" s="270" customFormat="1">
      <c r="A281" s="95"/>
      <c r="B281" s="263"/>
      <c r="C281" s="263"/>
      <c r="D281" s="263"/>
      <c r="E281" s="263"/>
      <c r="F281" s="263"/>
      <c r="G281" s="263"/>
      <c r="H281" s="95"/>
      <c r="I281" s="95"/>
      <c r="J281" s="263"/>
      <c r="K281" s="263"/>
      <c r="L281" s="263"/>
      <c r="M281" s="263"/>
      <c r="N281" s="263"/>
      <c r="O281" s="263"/>
      <c r="P281" s="95"/>
      <c r="Q281" s="95"/>
      <c r="R281" s="95"/>
      <c r="S281" s="95"/>
      <c r="T281" s="95"/>
      <c r="U281" s="95"/>
      <c r="V281" s="95"/>
      <c r="W281" s="95"/>
      <c r="X281" s="95"/>
      <c r="Y281" s="95"/>
      <c r="Z281" s="95"/>
      <c r="AA281" s="95"/>
      <c r="AB281" s="95"/>
      <c r="AC281" s="95"/>
      <c r="AD281" s="95"/>
      <c r="AE281" s="95"/>
      <c r="AF281" s="95"/>
      <c r="AG281" s="95"/>
      <c r="AH281" s="95"/>
      <c r="AI281" s="95"/>
      <c r="AJ281" s="95"/>
      <c r="AK281" s="95"/>
      <c r="AL281" s="95"/>
      <c r="AM281" s="95"/>
      <c r="AN281" s="264"/>
      <c r="AO281" s="95"/>
      <c r="AP281" s="95"/>
      <c r="AQ281" s="95"/>
      <c r="AR281" s="95"/>
      <c r="AS281" s="95"/>
      <c r="AT281" s="95"/>
      <c r="AU281" s="95"/>
      <c r="AV281" s="95"/>
      <c r="AW281" s="95"/>
      <c r="AX281" s="95"/>
      <c r="AY281" s="95"/>
      <c r="AZ281" s="95"/>
      <c r="BA281" s="95"/>
      <c r="BB281" s="95"/>
      <c r="BC281" s="214"/>
      <c r="BD281" s="95"/>
      <c r="BE281" s="95"/>
      <c r="BF281" s="95"/>
      <c r="BG281" s="95"/>
      <c r="BH281" s="95"/>
      <c r="BI281" s="24"/>
      <c r="BJ281" s="95"/>
      <c r="BK281" s="265"/>
      <c r="BL281" s="265"/>
      <c r="BM281" s="265"/>
      <c r="BN281" s="266"/>
      <c r="BO281" s="267"/>
      <c r="BP281" s="268"/>
      <c r="BQ281" s="269"/>
      <c r="BR281" s="269"/>
      <c r="BS281" s="269"/>
      <c r="BT281" s="269"/>
      <c r="BU281" s="269"/>
      <c r="BV281" s="269"/>
      <c r="BW281" s="268"/>
      <c r="BX281" s="269"/>
      <c r="BY281" s="268"/>
      <c r="BZ281" s="268"/>
      <c r="CA281" s="268"/>
      <c r="CB281" s="269"/>
      <c r="CC281" s="268"/>
      <c r="CD281" s="268"/>
      <c r="CE281" s="269"/>
      <c r="CF281" s="269"/>
      <c r="CG281" s="269"/>
      <c r="CH281" s="269"/>
      <c r="CI281" s="269"/>
      <c r="CJ281" s="269"/>
      <c r="CK281" s="269"/>
      <c r="CL281" s="266"/>
    </row>
    <row r="282" spans="1:90" s="270" customFormat="1">
      <c r="A282" s="95"/>
      <c r="B282" s="263"/>
      <c r="C282" s="263"/>
      <c r="D282" s="263"/>
      <c r="E282" s="263"/>
      <c r="F282" s="263"/>
      <c r="G282" s="263"/>
      <c r="H282" s="95"/>
      <c r="I282" s="95"/>
      <c r="J282" s="263"/>
      <c r="K282" s="263"/>
      <c r="L282" s="263"/>
      <c r="M282" s="263"/>
      <c r="N282" s="263"/>
      <c r="O282" s="263"/>
      <c r="P282" s="95"/>
      <c r="Q282" s="95"/>
      <c r="R282" s="95"/>
      <c r="S282" s="95"/>
      <c r="T282" s="95"/>
      <c r="U282" s="95"/>
      <c r="V282" s="95"/>
      <c r="W282" s="95"/>
      <c r="X282" s="95"/>
      <c r="Y282" s="95"/>
      <c r="Z282" s="95"/>
      <c r="AA282" s="95"/>
      <c r="AB282" s="95"/>
      <c r="AC282" s="95"/>
      <c r="AD282" s="95"/>
      <c r="AE282" s="95"/>
      <c r="AF282" s="95"/>
      <c r="AG282" s="95"/>
      <c r="AH282" s="95"/>
      <c r="AI282" s="95"/>
      <c r="AJ282" s="95"/>
      <c r="AK282" s="95"/>
      <c r="AL282" s="95"/>
      <c r="AM282" s="95"/>
      <c r="AN282" s="264"/>
      <c r="AO282" s="95"/>
      <c r="AP282" s="95"/>
      <c r="AQ282" s="95"/>
      <c r="AR282" s="95"/>
      <c r="AS282" s="95"/>
      <c r="AT282" s="95"/>
      <c r="AU282" s="95"/>
      <c r="AV282" s="95"/>
      <c r="AW282" s="95"/>
      <c r="AX282" s="95"/>
      <c r="AY282" s="95"/>
      <c r="AZ282" s="95"/>
      <c r="BA282" s="95"/>
      <c r="BB282" s="95"/>
      <c r="BC282" s="214"/>
      <c r="BD282" s="95"/>
      <c r="BE282" s="95"/>
      <c r="BF282" s="95"/>
      <c r="BG282" s="95"/>
      <c r="BH282" s="95"/>
      <c r="BI282" s="24"/>
      <c r="BJ282" s="95"/>
      <c r="BK282" s="265"/>
      <c r="BL282" s="265"/>
      <c r="BM282" s="265"/>
      <c r="BN282" s="266"/>
      <c r="BO282" s="267"/>
      <c r="BP282" s="268"/>
      <c r="BQ282" s="269"/>
      <c r="BR282" s="269"/>
      <c r="BS282" s="269"/>
      <c r="BT282" s="269"/>
      <c r="BU282" s="269"/>
      <c r="BV282" s="269"/>
      <c r="BW282" s="268"/>
      <c r="BX282" s="269"/>
      <c r="BY282" s="268"/>
      <c r="BZ282" s="268"/>
      <c r="CA282" s="268"/>
      <c r="CB282" s="269"/>
      <c r="CC282" s="268"/>
      <c r="CD282" s="268"/>
      <c r="CE282" s="269"/>
      <c r="CF282" s="269"/>
      <c r="CG282" s="269"/>
      <c r="CH282" s="269"/>
      <c r="CI282" s="269"/>
      <c r="CJ282" s="269"/>
      <c r="CK282" s="269"/>
      <c r="CL282" s="266"/>
    </row>
    <row r="283" spans="1:90" s="270" customFormat="1">
      <c r="A283" s="95"/>
      <c r="B283" s="263"/>
      <c r="C283" s="263"/>
      <c r="D283" s="263"/>
      <c r="E283" s="263"/>
      <c r="F283" s="263"/>
      <c r="G283" s="263"/>
      <c r="H283" s="95"/>
      <c r="I283" s="95"/>
      <c r="J283" s="263"/>
      <c r="K283" s="263"/>
      <c r="L283" s="263"/>
      <c r="M283" s="263"/>
      <c r="N283" s="263"/>
      <c r="O283" s="263"/>
      <c r="P283" s="95"/>
      <c r="Q283" s="95"/>
      <c r="R283" s="95"/>
      <c r="S283" s="95"/>
      <c r="T283" s="95"/>
      <c r="U283" s="95"/>
      <c r="V283" s="95"/>
      <c r="W283" s="95"/>
      <c r="X283" s="95"/>
      <c r="Y283" s="95"/>
      <c r="Z283" s="95"/>
      <c r="AA283" s="95"/>
      <c r="AB283" s="95"/>
      <c r="AC283" s="95"/>
      <c r="AD283" s="95"/>
      <c r="AE283" s="95"/>
      <c r="AF283" s="95"/>
      <c r="AG283" s="95"/>
      <c r="AH283" s="95"/>
      <c r="AI283" s="95"/>
      <c r="AJ283" s="95"/>
      <c r="AK283" s="95"/>
      <c r="AL283" s="95"/>
      <c r="AM283" s="95"/>
      <c r="AN283" s="264"/>
      <c r="AO283" s="95"/>
      <c r="AP283" s="95"/>
      <c r="AQ283" s="95"/>
      <c r="AR283" s="95"/>
      <c r="AS283" s="95"/>
      <c r="AT283" s="95"/>
      <c r="AU283" s="95"/>
      <c r="AV283" s="95"/>
      <c r="AW283" s="95"/>
      <c r="AX283" s="95"/>
      <c r="AY283" s="95"/>
      <c r="AZ283" s="95"/>
      <c r="BA283" s="95"/>
      <c r="BB283" s="95"/>
      <c r="BC283" s="214"/>
      <c r="BD283" s="95"/>
      <c r="BE283" s="95"/>
      <c r="BF283" s="95"/>
      <c r="BG283" s="95"/>
      <c r="BH283" s="95"/>
      <c r="BI283" s="24"/>
      <c r="BJ283" s="95"/>
      <c r="BK283" s="265"/>
      <c r="BL283" s="265"/>
      <c r="BM283" s="265"/>
      <c r="BN283" s="266"/>
      <c r="BO283" s="267"/>
      <c r="BP283" s="268"/>
      <c r="BQ283" s="269"/>
      <c r="BR283" s="269"/>
      <c r="BS283" s="269"/>
      <c r="BT283" s="269"/>
      <c r="BU283" s="269"/>
      <c r="BV283" s="269"/>
      <c r="BW283" s="268"/>
      <c r="BX283" s="269"/>
      <c r="BY283" s="268"/>
      <c r="BZ283" s="268"/>
      <c r="CA283" s="268"/>
      <c r="CB283" s="269"/>
      <c r="CC283" s="268"/>
      <c r="CD283" s="268"/>
      <c r="CE283" s="269"/>
      <c r="CF283" s="269"/>
      <c r="CG283" s="269"/>
      <c r="CH283" s="269"/>
      <c r="CI283" s="269"/>
      <c r="CJ283" s="269"/>
      <c r="CK283" s="269"/>
      <c r="CL283" s="266"/>
    </row>
    <row r="284" spans="1:90" s="270" customFormat="1">
      <c r="A284" s="95"/>
      <c r="B284" s="263"/>
      <c r="C284" s="263"/>
      <c r="D284" s="263"/>
      <c r="E284" s="263"/>
      <c r="F284" s="263"/>
      <c r="G284" s="263"/>
      <c r="H284" s="95"/>
      <c r="I284" s="95"/>
      <c r="J284" s="263"/>
      <c r="K284" s="263"/>
      <c r="L284" s="263"/>
      <c r="M284" s="263"/>
      <c r="N284" s="263"/>
      <c r="O284" s="263"/>
      <c r="P284" s="95"/>
      <c r="Q284" s="95"/>
      <c r="R284" s="95"/>
      <c r="S284" s="95"/>
      <c r="T284" s="95"/>
      <c r="U284" s="95"/>
      <c r="V284" s="95"/>
      <c r="W284" s="95"/>
      <c r="X284" s="95"/>
      <c r="Y284" s="95"/>
      <c r="Z284" s="95"/>
      <c r="AA284" s="95"/>
      <c r="AB284" s="95"/>
      <c r="AC284" s="95"/>
      <c r="AD284" s="95"/>
      <c r="AE284" s="95"/>
      <c r="AF284" s="95"/>
      <c r="AG284" s="95"/>
      <c r="AH284" s="95"/>
      <c r="AI284" s="95"/>
      <c r="AJ284" s="95"/>
      <c r="AK284" s="95"/>
      <c r="AL284" s="95"/>
      <c r="AM284" s="95"/>
      <c r="AN284" s="264"/>
      <c r="AO284" s="95"/>
      <c r="AP284" s="95"/>
      <c r="AQ284" s="95"/>
      <c r="AR284" s="95"/>
      <c r="AS284" s="95"/>
      <c r="AT284" s="95"/>
      <c r="AU284" s="95"/>
      <c r="AV284" s="95"/>
      <c r="AW284" s="95"/>
      <c r="AX284" s="95"/>
      <c r="AY284" s="95"/>
      <c r="AZ284" s="95"/>
      <c r="BA284" s="95"/>
      <c r="BB284" s="95"/>
      <c r="BC284" s="214"/>
      <c r="BD284" s="95"/>
      <c r="BE284" s="95"/>
      <c r="BF284" s="95"/>
      <c r="BG284" s="95"/>
      <c r="BH284" s="95"/>
      <c r="BI284" s="24"/>
      <c r="BJ284" s="95"/>
      <c r="BK284" s="265"/>
      <c r="BL284" s="265"/>
      <c r="BM284" s="265"/>
      <c r="BN284" s="266"/>
      <c r="BO284" s="267"/>
      <c r="BP284" s="268"/>
      <c r="BQ284" s="269"/>
      <c r="BR284" s="269"/>
      <c r="BS284" s="269"/>
      <c r="BT284" s="269"/>
      <c r="BU284" s="269"/>
      <c r="BV284" s="269"/>
      <c r="BW284" s="268"/>
      <c r="BX284" s="269"/>
      <c r="BY284" s="268"/>
      <c r="BZ284" s="268"/>
      <c r="CA284" s="268"/>
      <c r="CB284" s="269"/>
      <c r="CC284" s="268"/>
      <c r="CD284" s="268"/>
      <c r="CE284" s="269"/>
      <c r="CF284" s="269"/>
      <c r="CG284" s="269"/>
      <c r="CH284" s="269"/>
      <c r="CI284" s="269"/>
      <c r="CJ284" s="269"/>
      <c r="CK284" s="269"/>
      <c r="CL284" s="266"/>
    </row>
    <row r="285" spans="1:90" s="270" customFormat="1">
      <c r="A285" s="95"/>
      <c r="B285" s="263"/>
      <c r="C285" s="263"/>
      <c r="D285" s="263"/>
      <c r="E285" s="263"/>
      <c r="F285" s="263"/>
      <c r="G285" s="263"/>
      <c r="H285" s="95"/>
      <c r="I285" s="95"/>
      <c r="J285" s="263"/>
      <c r="K285" s="263"/>
      <c r="L285" s="263"/>
      <c r="M285" s="263"/>
      <c r="N285" s="263"/>
      <c r="O285" s="263"/>
      <c r="P285" s="95"/>
      <c r="Q285" s="95"/>
      <c r="R285" s="95"/>
      <c r="S285" s="95"/>
      <c r="T285" s="95"/>
      <c r="U285" s="95"/>
      <c r="V285" s="95"/>
      <c r="W285" s="95"/>
      <c r="X285" s="95"/>
      <c r="Y285" s="95"/>
      <c r="Z285" s="95"/>
      <c r="AA285" s="95"/>
      <c r="AB285" s="95"/>
      <c r="AC285" s="95"/>
      <c r="AD285" s="95"/>
      <c r="AE285" s="95"/>
      <c r="AF285" s="95"/>
      <c r="AG285" s="95"/>
      <c r="AH285" s="95"/>
      <c r="AI285" s="95"/>
      <c r="AJ285" s="95"/>
      <c r="AK285" s="95"/>
      <c r="AL285" s="95"/>
      <c r="AM285" s="95"/>
      <c r="AN285" s="264"/>
      <c r="AO285" s="95"/>
      <c r="AP285" s="95"/>
      <c r="AQ285" s="95"/>
      <c r="AR285" s="95"/>
      <c r="AS285" s="95"/>
      <c r="AT285" s="95"/>
      <c r="AU285" s="95"/>
      <c r="AV285" s="95"/>
      <c r="AW285" s="95"/>
      <c r="AX285" s="95"/>
      <c r="AY285" s="95"/>
      <c r="AZ285" s="95"/>
      <c r="BA285" s="95"/>
      <c r="BB285" s="95"/>
      <c r="BC285" s="214"/>
      <c r="BD285" s="95"/>
      <c r="BE285" s="95"/>
      <c r="BF285" s="95"/>
      <c r="BG285" s="95"/>
      <c r="BH285" s="95"/>
      <c r="BI285" s="24"/>
      <c r="BJ285" s="95"/>
      <c r="BK285" s="265"/>
      <c r="BL285" s="265"/>
      <c r="BM285" s="265"/>
      <c r="BN285" s="266"/>
      <c r="BO285" s="267"/>
      <c r="BP285" s="268"/>
      <c r="BQ285" s="269"/>
      <c r="BR285" s="269"/>
      <c r="BS285" s="269"/>
      <c r="BT285" s="269"/>
      <c r="BU285" s="269"/>
      <c r="BV285" s="269"/>
      <c r="BW285" s="268"/>
      <c r="BX285" s="269"/>
      <c r="BY285" s="268"/>
      <c r="BZ285" s="268"/>
      <c r="CA285" s="268"/>
      <c r="CB285" s="269"/>
      <c r="CC285" s="268"/>
      <c r="CD285" s="268"/>
      <c r="CE285" s="269"/>
      <c r="CF285" s="269"/>
      <c r="CG285" s="269"/>
      <c r="CH285" s="269"/>
      <c r="CI285" s="269"/>
      <c r="CJ285" s="269"/>
      <c r="CK285" s="269"/>
      <c r="CL285" s="266"/>
    </row>
    <row r="286" spans="1:90" s="270" customFormat="1">
      <c r="A286" s="95"/>
      <c r="B286" s="263"/>
      <c r="C286" s="263"/>
      <c r="D286" s="263"/>
      <c r="E286" s="263"/>
      <c r="F286" s="263"/>
      <c r="G286" s="263"/>
      <c r="H286" s="95"/>
      <c r="I286" s="95"/>
      <c r="J286" s="263"/>
      <c r="K286" s="263"/>
      <c r="L286" s="263"/>
      <c r="M286" s="263"/>
      <c r="N286" s="263"/>
      <c r="O286" s="263"/>
      <c r="P286" s="95"/>
      <c r="Q286" s="95"/>
      <c r="R286" s="95"/>
      <c r="S286" s="95"/>
      <c r="T286" s="95"/>
      <c r="U286" s="95"/>
      <c r="V286" s="95"/>
      <c r="W286" s="95"/>
      <c r="X286" s="95"/>
      <c r="Y286" s="95"/>
      <c r="Z286" s="95"/>
      <c r="AA286" s="95"/>
      <c r="AB286" s="95"/>
      <c r="AC286" s="95"/>
      <c r="AD286" s="95"/>
      <c r="AE286" s="95"/>
      <c r="AF286" s="95"/>
      <c r="AG286" s="95"/>
      <c r="AH286" s="95"/>
      <c r="AI286" s="95"/>
      <c r="AJ286" s="95"/>
      <c r="AK286" s="95"/>
      <c r="AL286" s="95"/>
      <c r="AM286" s="95"/>
      <c r="AN286" s="264"/>
      <c r="AO286" s="95"/>
      <c r="AP286" s="95"/>
      <c r="AQ286" s="95"/>
      <c r="AR286" s="95"/>
      <c r="AS286" s="95"/>
      <c r="AT286" s="95"/>
      <c r="AU286" s="95"/>
      <c r="AV286" s="95"/>
      <c r="AW286" s="95"/>
      <c r="AX286" s="95"/>
      <c r="AY286" s="95"/>
      <c r="AZ286" s="95"/>
      <c r="BA286" s="95"/>
      <c r="BB286" s="95"/>
      <c r="BC286" s="214"/>
      <c r="BD286" s="95"/>
      <c r="BE286" s="95"/>
      <c r="BF286" s="95"/>
      <c r="BG286" s="95"/>
      <c r="BH286" s="95"/>
      <c r="BI286" s="24"/>
      <c r="BJ286" s="95"/>
      <c r="BK286" s="265"/>
      <c r="BL286" s="265"/>
      <c r="BM286" s="265"/>
      <c r="BN286" s="266"/>
      <c r="BO286" s="267"/>
      <c r="BP286" s="268"/>
      <c r="BQ286" s="269"/>
      <c r="BR286" s="269"/>
      <c r="BS286" s="269"/>
      <c r="BT286" s="269"/>
      <c r="BU286" s="269"/>
      <c r="BV286" s="269"/>
      <c r="BW286" s="268"/>
      <c r="BX286" s="269"/>
      <c r="BY286" s="268"/>
      <c r="BZ286" s="268"/>
      <c r="CA286" s="268"/>
      <c r="CB286" s="269"/>
      <c r="CC286" s="268"/>
      <c r="CD286" s="268"/>
      <c r="CE286" s="269"/>
      <c r="CF286" s="269"/>
      <c r="CG286" s="269"/>
      <c r="CH286" s="269"/>
      <c r="CI286" s="269"/>
      <c r="CJ286" s="269"/>
      <c r="CK286" s="269"/>
      <c r="CL286" s="266"/>
    </row>
    <row r="287" spans="1:90" s="270" customFormat="1">
      <c r="A287" s="95"/>
      <c r="B287" s="263"/>
      <c r="C287" s="263"/>
      <c r="D287" s="263"/>
      <c r="E287" s="263"/>
      <c r="F287" s="263"/>
      <c r="G287" s="263"/>
      <c r="H287" s="95"/>
      <c r="I287" s="95"/>
      <c r="J287" s="263"/>
      <c r="K287" s="263"/>
      <c r="L287" s="263"/>
      <c r="M287" s="263"/>
      <c r="N287" s="263"/>
      <c r="O287" s="263"/>
      <c r="P287" s="95"/>
      <c r="Q287" s="95"/>
      <c r="R287" s="95"/>
      <c r="S287" s="95"/>
      <c r="T287" s="95"/>
      <c r="U287" s="95"/>
      <c r="V287" s="95"/>
      <c r="W287" s="95"/>
      <c r="X287" s="95"/>
      <c r="Y287" s="95"/>
      <c r="Z287" s="95"/>
      <c r="AA287" s="95"/>
      <c r="AB287" s="95"/>
      <c r="AC287" s="95"/>
      <c r="AD287" s="95"/>
      <c r="AE287" s="95"/>
      <c r="AF287" s="95"/>
      <c r="AG287" s="95"/>
      <c r="AH287" s="95"/>
      <c r="AI287" s="95"/>
      <c r="AJ287" s="95"/>
      <c r="AK287" s="95"/>
      <c r="AL287" s="95"/>
      <c r="AM287" s="95"/>
      <c r="AN287" s="264"/>
      <c r="AO287" s="95"/>
      <c r="AP287" s="95"/>
      <c r="AQ287" s="95"/>
      <c r="AR287" s="95"/>
      <c r="AS287" s="95"/>
      <c r="AT287" s="95"/>
      <c r="AU287" s="95"/>
      <c r="AV287" s="95"/>
      <c r="AW287" s="95"/>
      <c r="AX287" s="95"/>
      <c r="AY287" s="95"/>
      <c r="AZ287" s="95"/>
      <c r="BA287" s="95"/>
      <c r="BB287" s="95"/>
      <c r="BC287" s="214"/>
      <c r="BD287" s="95"/>
      <c r="BE287" s="95"/>
      <c r="BF287" s="95"/>
      <c r="BG287" s="95"/>
      <c r="BH287" s="95"/>
      <c r="BI287" s="24"/>
      <c r="BJ287" s="95"/>
      <c r="BK287" s="265"/>
      <c r="BL287" s="265"/>
      <c r="BM287" s="265"/>
      <c r="BN287" s="266"/>
      <c r="BO287" s="267"/>
      <c r="BP287" s="268"/>
      <c r="BQ287" s="269"/>
      <c r="BR287" s="269"/>
      <c r="BS287" s="269"/>
      <c r="BT287" s="269"/>
      <c r="BU287" s="269"/>
      <c r="BV287" s="269"/>
      <c r="BW287" s="268"/>
      <c r="BX287" s="269"/>
      <c r="BY287" s="268"/>
      <c r="BZ287" s="268"/>
      <c r="CA287" s="268"/>
      <c r="CB287" s="269"/>
      <c r="CC287" s="268"/>
      <c r="CD287" s="268"/>
      <c r="CE287" s="269"/>
      <c r="CF287" s="269"/>
      <c r="CG287" s="269"/>
      <c r="CH287" s="269"/>
      <c r="CI287" s="269"/>
      <c r="CJ287" s="269"/>
      <c r="CK287" s="269"/>
      <c r="CL287" s="266"/>
    </row>
    <row r="288" spans="1:90" s="270" customFormat="1">
      <c r="A288" s="95"/>
      <c r="B288" s="263"/>
      <c r="C288" s="263"/>
      <c r="D288" s="263"/>
      <c r="E288" s="263"/>
      <c r="F288" s="263"/>
      <c r="G288" s="263"/>
      <c r="H288" s="95"/>
      <c r="I288" s="95"/>
      <c r="J288" s="263"/>
      <c r="K288" s="263"/>
      <c r="L288" s="263"/>
      <c r="M288" s="263"/>
      <c r="N288" s="263"/>
      <c r="O288" s="263"/>
      <c r="P288" s="95"/>
      <c r="Q288" s="95"/>
      <c r="R288" s="95"/>
      <c r="S288" s="95"/>
      <c r="T288" s="95"/>
      <c r="U288" s="95"/>
      <c r="V288" s="95"/>
      <c r="W288" s="95"/>
      <c r="X288" s="95"/>
      <c r="Y288" s="95"/>
      <c r="Z288" s="95"/>
      <c r="AA288" s="95"/>
      <c r="AB288" s="95"/>
      <c r="AC288" s="95"/>
      <c r="AD288" s="95"/>
      <c r="AE288" s="95"/>
      <c r="AF288" s="95"/>
      <c r="AG288" s="95"/>
      <c r="AH288" s="95"/>
      <c r="AI288" s="95"/>
      <c r="AJ288" s="95"/>
      <c r="AK288" s="95"/>
      <c r="AL288" s="95"/>
      <c r="AM288" s="95"/>
      <c r="AN288" s="264"/>
      <c r="AO288" s="95"/>
      <c r="AP288" s="95"/>
      <c r="AQ288" s="95"/>
      <c r="AR288" s="95"/>
      <c r="AS288" s="95"/>
      <c r="AT288" s="95"/>
      <c r="AU288" s="95"/>
      <c r="AV288" s="95"/>
      <c r="AW288" s="95"/>
      <c r="AX288" s="95"/>
      <c r="AY288" s="95"/>
      <c r="AZ288" s="95"/>
      <c r="BA288" s="95"/>
      <c r="BB288" s="95"/>
      <c r="BC288" s="214"/>
      <c r="BD288" s="95"/>
      <c r="BE288" s="95"/>
      <c r="BF288" s="95"/>
      <c r="BG288" s="95"/>
      <c r="BH288" s="95"/>
      <c r="BI288" s="24"/>
      <c r="BJ288" s="95"/>
      <c r="BK288" s="265"/>
      <c r="BL288" s="265"/>
      <c r="BM288" s="265"/>
      <c r="BN288" s="266"/>
      <c r="BO288" s="267"/>
      <c r="BP288" s="268"/>
      <c r="BQ288" s="269"/>
      <c r="BR288" s="269"/>
      <c r="BS288" s="269"/>
      <c r="BT288" s="269"/>
      <c r="BU288" s="269"/>
      <c r="BV288" s="269"/>
      <c r="BW288" s="268"/>
      <c r="BX288" s="269"/>
      <c r="BY288" s="268"/>
      <c r="BZ288" s="268"/>
      <c r="CA288" s="268"/>
      <c r="CB288" s="269"/>
      <c r="CC288" s="268"/>
      <c r="CD288" s="268"/>
      <c r="CE288" s="269"/>
      <c r="CF288" s="269"/>
      <c r="CG288" s="269"/>
      <c r="CH288" s="269"/>
      <c r="CI288" s="269"/>
      <c r="CJ288" s="269"/>
      <c r="CK288" s="269"/>
      <c r="CL288" s="266"/>
    </row>
    <row r="289" spans="1:90" s="270" customFormat="1">
      <c r="A289" s="95"/>
      <c r="B289" s="263"/>
      <c r="C289" s="263"/>
      <c r="D289" s="263"/>
      <c r="E289" s="263"/>
      <c r="F289" s="263"/>
      <c r="G289" s="263"/>
      <c r="H289" s="95"/>
      <c r="I289" s="95"/>
      <c r="J289" s="263"/>
      <c r="K289" s="263"/>
      <c r="L289" s="263"/>
      <c r="M289" s="263"/>
      <c r="N289" s="263"/>
      <c r="O289" s="263"/>
      <c r="P289" s="95"/>
      <c r="Q289" s="95"/>
      <c r="R289" s="95"/>
      <c r="S289" s="95"/>
      <c r="T289" s="95"/>
      <c r="U289" s="95"/>
      <c r="V289" s="95"/>
      <c r="W289" s="95"/>
      <c r="X289" s="95"/>
      <c r="Y289" s="95"/>
      <c r="Z289" s="95"/>
      <c r="AA289" s="95"/>
      <c r="AB289" s="95"/>
      <c r="AC289" s="95"/>
      <c r="AD289" s="95"/>
      <c r="AE289" s="95"/>
      <c r="AF289" s="95"/>
      <c r="AG289" s="95"/>
      <c r="AH289" s="95"/>
      <c r="AI289" s="95"/>
      <c r="AJ289" s="95"/>
      <c r="AK289" s="95"/>
      <c r="AL289" s="95"/>
      <c r="AM289" s="95"/>
      <c r="AN289" s="264"/>
      <c r="AO289" s="95"/>
      <c r="AP289" s="95"/>
      <c r="AQ289" s="95"/>
      <c r="AR289" s="95"/>
      <c r="AS289" s="95"/>
      <c r="AT289" s="95"/>
      <c r="AU289" s="95"/>
      <c r="AV289" s="95"/>
      <c r="AW289" s="95"/>
      <c r="AX289" s="95"/>
      <c r="AY289" s="95"/>
      <c r="AZ289" s="95"/>
      <c r="BA289" s="95"/>
      <c r="BB289" s="95"/>
      <c r="BC289" s="214"/>
      <c r="BD289" s="95"/>
      <c r="BE289" s="95"/>
      <c r="BF289" s="95"/>
      <c r="BG289" s="95"/>
      <c r="BH289" s="95"/>
      <c r="BI289" s="24"/>
      <c r="BJ289" s="95"/>
      <c r="BK289" s="265"/>
      <c r="BL289" s="265"/>
      <c r="BM289" s="265"/>
      <c r="BN289" s="266"/>
      <c r="BO289" s="267"/>
      <c r="BP289" s="268"/>
      <c r="BQ289" s="269"/>
      <c r="BR289" s="269"/>
      <c r="BS289" s="269"/>
      <c r="BT289" s="269"/>
      <c r="BU289" s="269"/>
      <c r="BV289" s="269"/>
      <c r="BW289" s="268"/>
      <c r="BX289" s="269"/>
      <c r="BY289" s="268"/>
      <c r="BZ289" s="268"/>
      <c r="CA289" s="268"/>
      <c r="CB289" s="269"/>
      <c r="CC289" s="268"/>
      <c r="CD289" s="268"/>
      <c r="CE289" s="269"/>
      <c r="CF289" s="269"/>
      <c r="CG289" s="269"/>
      <c r="CH289" s="269"/>
      <c r="CI289" s="269"/>
      <c r="CJ289" s="269"/>
      <c r="CK289" s="269"/>
      <c r="CL289" s="266"/>
    </row>
    <row r="290" spans="1:90" s="270" customFormat="1">
      <c r="A290" s="95"/>
      <c r="B290" s="263"/>
      <c r="C290" s="263"/>
      <c r="D290" s="263"/>
      <c r="E290" s="263"/>
      <c r="F290" s="263"/>
      <c r="G290" s="263"/>
      <c r="H290" s="95"/>
      <c r="I290" s="95"/>
      <c r="J290" s="263"/>
      <c r="K290" s="263"/>
      <c r="L290" s="263"/>
      <c r="M290" s="263"/>
      <c r="N290" s="263"/>
      <c r="O290" s="263"/>
      <c r="P290" s="95"/>
      <c r="Q290" s="95"/>
      <c r="R290" s="95"/>
      <c r="S290" s="95"/>
      <c r="T290" s="95"/>
      <c r="U290" s="95"/>
      <c r="V290" s="95"/>
      <c r="W290" s="95"/>
      <c r="X290" s="95"/>
      <c r="Y290" s="95"/>
      <c r="Z290" s="95"/>
      <c r="AA290" s="95"/>
      <c r="AB290" s="95"/>
      <c r="AC290" s="95"/>
      <c r="AD290" s="95"/>
      <c r="AE290" s="95"/>
      <c r="AF290" s="95"/>
      <c r="AG290" s="95"/>
      <c r="AH290" s="95"/>
      <c r="AI290" s="95"/>
      <c r="AJ290" s="95"/>
      <c r="AK290" s="95"/>
      <c r="AL290" s="95"/>
      <c r="AM290" s="95"/>
      <c r="AN290" s="264"/>
      <c r="AO290" s="95"/>
      <c r="AP290" s="95"/>
      <c r="AQ290" s="95"/>
      <c r="AR290" s="95"/>
      <c r="AS290" s="95"/>
      <c r="AT290" s="95"/>
      <c r="AU290" s="95"/>
      <c r="AV290" s="95"/>
      <c r="AW290" s="95"/>
      <c r="AX290" s="95"/>
      <c r="AY290" s="95"/>
      <c r="AZ290" s="95"/>
      <c r="BA290" s="95"/>
      <c r="BB290" s="95"/>
      <c r="BC290" s="214"/>
      <c r="BD290" s="95"/>
      <c r="BE290" s="95"/>
      <c r="BF290" s="95"/>
      <c r="BG290" s="95"/>
      <c r="BH290" s="95"/>
      <c r="BI290" s="24"/>
      <c r="BJ290" s="95"/>
      <c r="BK290" s="265"/>
      <c r="BL290" s="265"/>
      <c r="BM290" s="265"/>
      <c r="BN290" s="266"/>
      <c r="BO290" s="267"/>
      <c r="BP290" s="268"/>
      <c r="BQ290" s="269"/>
      <c r="BR290" s="269"/>
      <c r="BS290" s="269"/>
      <c r="BT290" s="269"/>
      <c r="BU290" s="269"/>
      <c r="BV290" s="269"/>
      <c r="BW290" s="268"/>
      <c r="BX290" s="269"/>
      <c r="BY290" s="268"/>
      <c r="BZ290" s="268"/>
      <c r="CA290" s="268"/>
      <c r="CB290" s="269"/>
      <c r="CC290" s="268"/>
      <c r="CD290" s="268"/>
      <c r="CE290" s="269"/>
      <c r="CF290" s="269"/>
      <c r="CG290" s="269"/>
      <c r="CH290" s="269"/>
      <c r="CI290" s="269"/>
      <c r="CJ290" s="269"/>
      <c r="CK290" s="269"/>
      <c r="CL290" s="266"/>
    </row>
    <row r="291" spans="1:90" s="270" customFormat="1">
      <c r="A291" s="95"/>
      <c r="B291" s="263"/>
      <c r="C291" s="263"/>
      <c r="D291" s="263"/>
      <c r="E291" s="263"/>
      <c r="F291" s="263"/>
      <c r="G291" s="263"/>
      <c r="H291" s="95"/>
      <c r="I291" s="95"/>
      <c r="J291" s="263"/>
      <c r="K291" s="263"/>
      <c r="L291" s="263"/>
      <c r="M291" s="263"/>
      <c r="N291" s="263"/>
      <c r="O291" s="263"/>
      <c r="P291" s="95"/>
      <c r="Q291" s="95"/>
      <c r="R291" s="95"/>
      <c r="S291" s="95"/>
      <c r="T291" s="95"/>
      <c r="U291" s="95"/>
      <c r="V291" s="95"/>
      <c r="W291" s="95"/>
      <c r="X291" s="95"/>
      <c r="Y291" s="95"/>
      <c r="Z291" s="95"/>
      <c r="AA291" s="95"/>
      <c r="AB291" s="95"/>
      <c r="AC291" s="95"/>
      <c r="AD291" s="95"/>
      <c r="AE291" s="95"/>
      <c r="AF291" s="95"/>
      <c r="AG291" s="95"/>
      <c r="AH291" s="95"/>
      <c r="AI291" s="95"/>
      <c r="AJ291" s="95"/>
      <c r="AK291" s="95"/>
      <c r="AL291" s="95"/>
      <c r="AM291" s="95"/>
      <c r="AN291" s="264"/>
      <c r="AO291" s="95"/>
      <c r="AP291" s="95"/>
      <c r="AQ291" s="95"/>
      <c r="AR291" s="95"/>
      <c r="AS291" s="95"/>
      <c r="AT291" s="95"/>
      <c r="AU291" s="95"/>
      <c r="AV291" s="95"/>
      <c r="AW291" s="95"/>
      <c r="AX291" s="95"/>
      <c r="AY291" s="95"/>
      <c r="AZ291" s="95"/>
      <c r="BA291" s="95"/>
      <c r="BB291" s="95"/>
      <c r="BC291" s="214"/>
      <c r="BD291" s="95"/>
      <c r="BE291" s="95"/>
      <c r="BF291" s="95"/>
      <c r="BG291" s="95"/>
      <c r="BH291" s="95"/>
      <c r="BI291" s="24"/>
      <c r="BJ291" s="95"/>
      <c r="BK291" s="265"/>
      <c r="BL291" s="265"/>
      <c r="BM291" s="265"/>
      <c r="BN291" s="266"/>
      <c r="BO291" s="267"/>
      <c r="BP291" s="268"/>
      <c r="BQ291" s="269"/>
      <c r="BR291" s="269"/>
      <c r="BS291" s="269"/>
      <c r="BT291" s="269"/>
      <c r="BU291" s="269"/>
      <c r="BV291" s="269"/>
      <c r="BW291" s="268"/>
      <c r="BX291" s="269"/>
      <c r="BY291" s="268"/>
      <c r="BZ291" s="268"/>
      <c r="CA291" s="268"/>
      <c r="CB291" s="269"/>
      <c r="CC291" s="268"/>
      <c r="CD291" s="268"/>
      <c r="CE291" s="269"/>
      <c r="CF291" s="269"/>
      <c r="CG291" s="269"/>
      <c r="CH291" s="269"/>
      <c r="CI291" s="269"/>
      <c r="CJ291" s="269"/>
      <c r="CK291" s="269"/>
      <c r="CL291" s="266"/>
    </row>
    <row r="292" spans="1:90" s="270" customFormat="1">
      <c r="A292" s="95"/>
      <c r="B292" s="263"/>
      <c r="C292" s="263"/>
      <c r="D292" s="263"/>
      <c r="E292" s="263"/>
      <c r="F292" s="263"/>
      <c r="G292" s="263"/>
      <c r="H292" s="95"/>
      <c r="I292" s="95"/>
      <c r="J292" s="263"/>
      <c r="K292" s="263"/>
      <c r="L292" s="263"/>
      <c r="M292" s="263"/>
      <c r="N292" s="263"/>
      <c r="O292" s="263"/>
      <c r="P292" s="95"/>
      <c r="Q292" s="95"/>
      <c r="R292" s="95"/>
      <c r="S292" s="95"/>
      <c r="T292" s="95"/>
      <c r="U292" s="95"/>
      <c r="V292" s="95"/>
      <c r="W292" s="95"/>
      <c r="X292" s="95"/>
      <c r="Y292" s="95"/>
      <c r="Z292" s="95"/>
      <c r="AA292" s="95"/>
      <c r="AB292" s="95"/>
      <c r="AC292" s="95"/>
      <c r="AD292" s="95"/>
      <c r="AE292" s="95"/>
      <c r="AF292" s="95"/>
      <c r="AG292" s="95"/>
      <c r="AH292" s="95"/>
      <c r="AI292" s="95"/>
      <c r="AJ292" s="95"/>
      <c r="AK292" s="95"/>
      <c r="AL292" s="95"/>
      <c r="AM292" s="95"/>
      <c r="AN292" s="264"/>
      <c r="AO292" s="95"/>
      <c r="AP292" s="95"/>
      <c r="AQ292" s="95"/>
      <c r="AR292" s="95"/>
      <c r="AS292" s="95"/>
      <c r="AT292" s="95"/>
      <c r="AU292" s="95"/>
      <c r="AV292" s="95"/>
      <c r="AW292" s="95"/>
      <c r="AX292" s="95"/>
      <c r="AY292" s="95"/>
      <c r="AZ292" s="95"/>
      <c r="BA292" s="95"/>
      <c r="BB292" s="95"/>
      <c r="BC292" s="214"/>
      <c r="BD292" s="95"/>
      <c r="BE292" s="95"/>
      <c r="BF292" s="95"/>
      <c r="BG292" s="95"/>
      <c r="BH292" s="95"/>
      <c r="BI292" s="24"/>
      <c r="BJ292" s="95"/>
      <c r="BK292" s="265"/>
      <c r="BL292" s="265"/>
      <c r="BM292" s="265"/>
      <c r="BN292" s="266"/>
      <c r="BO292" s="267"/>
      <c r="BP292" s="268"/>
      <c r="BQ292" s="269"/>
      <c r="BR292" s="269"/>
      <c r="BS292" s="269"/>
      <c r="BT292" s="269"/>
      <c r="BU292" s="269"/>
      <c r="BV292" s="269"/>
      <c r="BW292" s="268"/>
      <c r="BX292" s="269"/>
      <c r="BY292" s="268"/>
      <c r="BZ292" s="268"/>
      <c r="CA292" s="268"/>
      <c r="CB292" s="269"/>
      <c r="CC292" s="268"/>
      <c r="CD292" s="268"/>
      <c r="CE292" s="269"/>
      <c r="CF292" s="269"/>
      <c r="CG292" s="269"/>
      <c r="CH292" s="269"/>
      <c r="CI292" s="269"/>
      <c r="CJ292" s="269"/>
      <c r="CK292" s="269"/>
      <c r="CL292" s="266"/>
    </row>
    <row r="293" spans="1:90" s="270" customFormat="1">
      <c r="A293" s="95"/>
      <c r="B293" s="263"/>
      <c r="C293" s="263"/>
      <c r="D293" s="263"/>
      <c r="E293" s="263"/>
      <c r="F293" s="263"/>
      <c r="G293" s="263"/>
      <c r="H293" s="95"/>
      <c r="I293" s="95"/>
      <c r="J293" s="263"/>
      <c r="K293" s="263"/>
      <c r="L293" s="263"/>
      <c r="M293" s="263"/>
      <c r="N293" s="263"/>
      <c r="O293" s="263"/>
      <c r="P293" s="95"/>
      <c r="Q293" s="95"/>
      <c r="R293" s="95"/>
      <c r="S293" s="95"/>
      <c r="T293" s="95"/>
      <c r="U293" s="95"/>
      <c r="V293" s="95"/>
      <c r="W293" s="95"/>
      <c r="X293" s="95"/>
      <c r="Y293" s="95"/>
      <c r="Z293" s="95"/>
      <c r="AA293" s="95"/>
      <c r="AB293" s="95"/>
      <c r="AC293" s="95"/>
      <c r="AD293" s="95"/>
      <c r="AE293" s="95"/>
      <c r="AF293" s="95"/>
      <c r="AG293" s="95"/>
      <c r="AH293" s="95"/>
      <c r="AI293" s="95"/>
      <c r="AJ293" s="95"/>
      <c r="AK293" s="95"/>
      <c r="AL293" s="95"/>
      <c r="AM293" s="95"/>
      <c r="AN293" s="264"/>
      <c r="AO293" s="95"/>
      <c r="AP293" s="95"/>
      <c r="AQ293" s="95"/>
      <c r="AR293" s="95"/>
      <c r="AS293" s="95"/>
      <c r="AT293" s="95"/>
      <c r="AU293" s="95"/>
      <c r="AV293" s="95"/>
      <c r="AW293" s="95"/>
      <c r="AX293" s="95"/>
      <c r="AY293" s="95"/>
      <c r="AZ293" s="95"/>
      <c r="BA293" s="95"/>
      <c r="BB293" s="95"/>
      <c r="BC293" s="214"/>
      <c r="BD293" s="95"/>
      <c r="BE293" s="95"/>
      <c r="BF293" s="95"/>
      <c r="BG293" s="95"/>
      <c r="BH293" s="95"/>
      <c r="BI293" s="24"/>
      <c r="BJ293" s="95"/>
      <c r="BK293" s="265"/>
      <c r="BL293" s="265"/>
      <c r="BM293" s="265"/>
      <c r="BN293" s="266"/>
      <c r="BO293" s="267"/>
      <c r="BP293" s="268"/>
      <c r="BQ293" s="269"/>
      <c r="BR293" s="269"/>
      <c r="BS293" s="269"/>
      <c r="BT293" s="269"/>
      <c r="BU293" s="269"/>
      <c r="BV293" s="269"/>
      <c r="BW293" s="268"/>
      <c r="BX293" s="269"/>
      <c r="BY293" s="268"/>
      <c r="BZ293" s="268"/>
      <c r="CA293" s="268"/>
      <c r="CB293" s="269"/>
      <c r="CC293" s="268"/>
      <c r="CD293" s="268"/>
      <c r="CE293" s="269"/>
      <c r="CF293" s="269"/>
      <c r="CG293" s="269"/>
      <c r="CH293" s="269"/>
      <c r="CI293" s="269"/>
      <c r="CJ293" s="269"/>
      <c r="CK293" s="269"/>
      <c r="CL293" s="266"/>
    </row>
    <row r="294" spans="1:90" s="270" customFormat="1">
      <c r="A294" s="95"/>
      <c r="B294" s="263"/>
      <c r="C294" s="263"/>
      <c r="D294" s="263"/>
      <c r="E294" s="263"/>
      <c r="F294" s="263"/>
      <c r="G294" s="263"/>
      <c r="H294" s="95"/>
      <c r="I294" s="95"/>
      <c r="J294" s="263"/>
      <c r="K294" s="263"/>
      <c r="L294" s="263"/>
      <c r="M294" s="263"/>
      <c r="N294" s="263"/>
      <c r="O294" s="263"/>
      <c r="P294" s="95"/>
      <c r="Q294" s="95"/>
      <c r="R294" s="95"/>
      <c r="S294" s="95"/>
      <c r="T294" s="95"/>
      <c r="U294" s="95"/>
      <c r="V294" s="95"/>
      <c r="W294" s="95"/>
      <c r="X294" s="95"/>
      <c r="Y294" s="95"/>
      <c r="Z294" s="95"/>
      <c r="AA294" s="95"/>
      <c r="AB294" s="95"/>
      <c r="AC294" s="95"/>
      <c r="AD294" s="95"/>
      <c r="AE294" s="95"/>
      <c r="AF294" s="95"/>
      <c r="AG294" s="95"/>
      <c r="AH294" s="95"/>
      <c r="AI294" s="95"/>
      <c r="AJ294" s="95"/>
      <c r="AK294" s="95"/>
      <c r="AL294" s="95"/>
      <c r="AM294" s="95"/>
      <c r="AN294" s="264"/>
      <c r="AO294" s="95"/>
      <c r="AP294" s="95"/>
      <c r="AQ294" s="95"/>
      <c r="AR294" s="95"/>
      <c r="AS294" s="95"/>
      <c r="AT294" s="95"/>
      <c r="AU294" s="95"/>
      <c r="AV294" s="95"/>
      <c r="AW294" s="95"/>
      <c r="AX294" s="95"/>
      <c r="AY294" s="95"/>
      <c r="AZ294" s="95"/>
      <c r="BA294" s="95"/>
      <c r="BB294" s="95"/>
      <c r="BC294" s="214"/>
      <c r="BD294" s="95"/>
      <c r="BE294" s="95"/>
      <c r="BF294" s="95"/>
      <c r="BG294" s="95"/>
      <c r="BH294" s="95"/>
      <c r="BI294" s="24"/>
      <c r="BJ294" s="95"/>
      <c r="BK294" s="265"/>
      <c r="BL294" s="265"/>
      <c r="BM294" s="265"/>
      <c r="BN294" s="266"/>
      <c r="BO294" s="267"/>
      <c r="BP294" s="268"/>
      <c r="BQ294" s="269"/>
      <c r="BR294" s="269"/>
      <c r="BS294" s="269"/>
      <c r="BT294" s="269"/>
      <c r="BU294" s="269"/>
      <c r="BV294" s="269"/>
      <c r="BW294" s="268"/>
      <c r="BX294" s="269"/>
      <c r="BY294" s="268"/>
      <c r="BZ294" s="268"/>
      <c r="CA294" s="268"/>
      <c r="CB294" s="269"/>
      <c r="CC294" s="268"/>
      <c r="CD294" s="268"/>
      <c r="CE294" s="269"/>
      <c r="CF294" s="269"/>
      <c r="CG294" s="269"/>
      <c r="CH294" s="269"/>
      <c r="CI294" s="269"/>
      <c r="CJ294" s="269"/>
      <c r="CK294" s="269"/>
      <c r="CL294" s="266"/>
    </row>
    <row r="295" spans="1:90" s="270" customFormat="1">
      <c r="A295" s="95"/>
      <c r="B295" s="263"/>
      <c r="C295" s="263"/>
      <c r="D295" s="263"/>
      <c r="E295" s="263"/>
      <c r="F295" s="263"/>
      <c r="G295" s="263"/>
      <c r="H295" s="95"/>
      <c r="I295" s="95"/>
      <c r="J295" s="263"/>
      <c r="K295" s="263"/>
      <c r="L295" s="263"/>
      <c r="M295" s="263"/>
      <c r="N295" s="263"/>
      <c r="O295" s="263"/>
      <c r="P295" s="95"/>
      <c r="Q295" s="95"/>
      <c r="R295" s="95"/>
      <c r="S295" s="95"/>
      <c r="T295" s="95"/>
      <c r="U295" s="95"/>
      <c r="V295" s="95"/>
      <c r="W295" s="95"/>
      <c r="X295" s="95"/>
      <c r="Y295" s="95"/>
      <c r="Z295" s="95"/>
      <c r="AA295" s="95"/>
      <c r="AB295" s="95"/>
      <c r="AC295" s="95"/>
      <c r="AD295" s="95"/>
      <c r="AE295" s="95"/>
      <c r="AF295" s="95"/>
      <c r="AG295" s="95"/>
      <c r="AH295" s="95"/>
      <c r="AI295" s="95"/>
      <c r="AJ295" s="95"/>
      <c r="AK295" s="95"/>
      <c r="AL295" s="95"/>
      <c r="AM295" s="95"/>
      <c r="AN295" s="264"/>
      <c r="AO295" s="95"/>
      <c r="AP295" s="95"/>
      <c r="AQ295" s="95"/>
      <c r="AR295" s="95"/>
      <c r="AS295" s="95"/>
      <c r="AT295" s="95"/>
      <c r="AU295" s="95"/>
      <c r="AV295" s="95"/>
      <c r="AW295" s="95"/>
      <c r="AX295" s="95"/>
      <c r="AY295" s="95"/>
      <c r="AZ295" s="95"/>
      <c r="BA295" s="95"/>
      <c r="BB295" s="95"/>
      <c r="BC295" s="214"/>
      <c r="BD295" s="95"/>
      <c r="BE295" s="95"/>
      <c r="BF295" s="95"/>
      <c r="BG295" s="95"/>
      <c r="BH295" s="95"/>
      <c r="BI295" s="24"/>
      <c r="BJ295" s="95"/>
      <c r="BK295" s="265"/>
      <c r="BL295" s="265"/>
      <c r="BM295" s="265"/>
      <c r="BN295" s="266"/>
      <c r="BO295" s="267"/>
      <c r="BP295" s="268"/>
      <c r="BQ295" s="269"/>
      <c r="BR295" s="269"/>
      <c r="BS295" s="269"/>
      <c r="BT295" s="269"/>
      <c r="BU295" s="269"/>
      <c r="BV295" s="269"/>
      <c r="BW295" s="268"/>
      <c r="BX295" s="269"/>
      <c r="BY295" s="268"/>
      <c r="BZ295" s="268"/>
      <c r="CA295" s="268"/>
      <c r="CB295" s="269"/>
      <c r="CC295" s="268"/>
      <c r="CD295" s="268"/>
      <c r="CE295" s="269"/>
      <c r="CF295" s="269"/>
      <c r="CG295" s="269"/>
      <c r="CH295" s="269"/>
      <c r="CI295" s="269"/>
      <c r="CJ295" s="269"/>
      <c r="CK295" s="269"/>
      <c r="CL295" s="266"/>
    </row>
    <row r="296" spans="1:90" s="270" customFormat="1">
      <c r="A296" s="95"/>
      <c r="B296" s="263"/>
      <c r="C296" s="263"/>
      <c r="D296" s="263"/>
      <c r="E296" s="263"/>
      <c r="F296" s="263"/>
      <c r="G296" s="263"/>
      <c r="H296" s="95"/>
      <c r="I296" s="95"/>
      <c r="J296" s="263"/>
      <c r="K296" s="263"/>
      <c r="L296" s="263"/>
      <c r="M296" s="263"/>
      <c r="N296" s="263"/>
      <c r="O296" s="263"/>
      <c r="P296" s="95"/>
      <c r="Q296" s="95"/>
      <c r="R296" s="95"/>
      <c r="S296" s="95"/>
      <c r="T296" s="95"/>
      <c r="U296" s="95"/>
      <c r="V296" s="95"/>
      <c r="W296" s="95"/>
      <c r="X296" s="95"/>
      <c r="Y296" s="95"/>
      <c r="Z296" s="95"/>
      <c r="AA296" s="95"/>
      <c r="AB296" s="95"/>
      <c r="AC296" s="95"/>
      <c r="AD296" s="95"/>
      <c r="AE296" s="95"/>
      <c r="AF296" s="95"/>
      <c r="AG296" s="95"/>
      <c r="AH296" s="95"/>
      <c r="AI296" s="95"/>
      <c r="AJ296" s="95"/>
      <c r="AK296" s="95"/>
      <c r="AL296" s="95"/>
      <c r="AM296" s="95"/>
      <c r="AN296" s="264"/>
      <c r="AO296" s="95"/>
      <c r="AP296" s="95"/>
      <c r="AQ296" s="95"/>
      <c r="AR296" s="95"/>
      <c r="AS296" s="95"/>
      <c r="AT296" s="95"/>
      <c r="AU296" s="95"/>
      <c r="AV296" s="95"/>
      <c r="AW296" s="95"/>
      <c r="AX296" s="95"/>
      <c r="AY296" s="95"/>
      <c r="AZ296" s="95"/>
      <c r="BA296" s="95"/>
      <c r="BB296" s="95"/>
      <c r="BC296" s="214"/>
      <c r="BD296" s="95"/>
      <c r="BE296" s="95"/>
      <c r="BF296" s="95"/>
      <c r="BG296" s="95"/>
      <c r="BH296" s="95"/>
      <c r="BI296" s="24"/>
      <c r="BJ296" s="95"/>
      <c r="BK296" s="265"/>
      <c r="BL296" s="265"/>
      <c r="BM296" s="265"/>
      <c r="BN296" s="266"/>
      <c r="BO296" s="267"/>
      <c r="BP296" s="268"/>
      <c r="BQ296" s="269"/>
      <c r="BR296" s="269"/>
      <c r="BS296" s="269"/>
      <c r="BT296" s="269"/>
      <c r="BU296" s="269"/>
      <c r="BV296" s="269"/>
      <c r="BW296" s="268"/>
      <c r="BX296" s="269"/>
      <c r="BY296" s="268"/>
      <c r="BZ296" s="268"/>
      <c r="CA296" s="268"/>
      <c r="CB296" s="269"/>
      <c r="CC296" s="268"/>
      <c r="CD296" s="268"/>
      <c r="CE296" s="269"/>
      <c r="CF296" s="269"/>
      <c r="CG296" s="269"/>
      <c r="CH296" s="269"/>
      <c r="CI296" s="269"/>
      <c r="CJ296" s="269"/>
      <c r="CK296" s="269"/>
      <c r="CL296" s="266"/>
    </row>
    <row r="297" spans="1:90" s="270" customFormat="1">
      <c r="A297" s="95"/>
      <c r="B297" s="263"/>
      <c r="C297" s="263"/>
      <c r="D297" s="263"/>
      <c r="E297" s="263"/>
      <c r="F297" s="263"/>
      <c r="G297" s="263"/>
      <c r="H297" s="95"/>
      <c r="I297" s="95"/>
      <c r="J297" s="263"/>
      <c r="K297" s="263"/>
      <c r="L297" s="263"/>
      <c r="M297" s="263"/>
      <c r="N297" s="263"/>
      <c r="O297" s="263"/>
      <c r="P297" s="95"/>
      <c r="Q297" s="95"/>
      <c r="R297" s="95"/>
      <c r="S297" s="95"/>
      <c r="T297" s="95"/>
      <c r="U297" s="95"/>
      <c r="V297" s="95"/>
      <c r="W297" s="95"/>
      <c r="X297" s="95"/>
      <c r="Y297" s="95"/>
      <c r="Z297" s="95"/>
      <c r="AA297" s="95"/>
      <c r="AB297" s="95"/>
      <c r="AC297" s="95"/>
      <c r="AD297" s="95"/>
      <c r="AE297" s="95"/>
      <c r="AF297" s="95"/>
      <c r="AG297" s="95"/>
      <c r="AH297" s="95"/>
      <c r="AI297" s="95"/>
      <c r="AJ297" s="95"/>
      <c r="AK297" s="95"/>
      <c r="AL297" s="95"/>
      <c r="AM297" s="95"/>
      <c r="AN297" s="264"/>
      <c r="AO297" s="95"/>
      <c r="AP297" s="95"/>
      <c r="AQ297" s="95"/>
      <c r="AR297" s="95"/>
      <c r="AS297" s="95"/>
      <c r="AT297" s="95"/>
      <c r="AU297" s="95"/>
      <c r="AV297" s="95"/>
      <c r="AW297" s="95"/>
      <c r="AX297" s="95"/>
      <c r="AY297" s="95"/>
      <c r="AZ297" s="95"/>
      <c r="BA297" s="95"/>
      <c r="BB297" s="95"/>
      <c r="BC297" s="214"/>
      <c r="BD297" s="95"/>
      <c r="BE297" s="95"/>
      <c r="BF297" s="95"/>
      <c r="BG297" s="95"/>
      <c r="BH297" s="95"/>
      <c r="BI297" s="24"/>
      <c r="BJ297" s="95"/>
      <c r="BK297" s="265"/>
      <c r="BL297" s="265"/>
      <c r="BM297" s="265"/>
      <c r="BN297" s="266"/>
      <c r="BO297" s="267"/>
      <c r="BP297" s="268"/>
      <c r="BQ297" s="269"/>
      <c r="BR297" s="269"/>
      <c r="BS297" s="269"/>
      <c r="BT297" s="269"/>
      <c r="BU297" s="269"/>
      <c r="BV297" s="269"/>
      <c r="BW297" s="268"/>
      <c r="BX297" s="269"/>
      <c r="BY297" s="268"/>
      <c r="BZ297" s="268"/>
      <c r="CA297" s="268"/>
      <c r="CB297" s="269"/>
      <c r="CC297" s="268"/>
      <c r="CD297" s="268"/>
      <c r="CE297" s="269"/>
      <c r="CF297" s="269"/>
      <c r="CG297" s="269"/>
      <c r="CH297" s="269"/>
      <c r="CI297" s="269"/>
      <c r="CJ297" s="269"/>
      <c r="CK297" s="269"/>
      <c r="CL297" s="266"/>
    </row>
    <row r="298" spans="1:90" s="270" customFormat="1">
      <c r="A298" s="95"/>
      <c r="B298" s="263"/>
      <c r="C298" s="263"/>
      <c r="D298" s="263"/>
      <c r="E298" s="263"/>
      <c r="F298" s="263"/>
      <c r="G298" s="263"/>
      <c r="H298" s="95"/>
      <c r="I298" s="95"/>
      <c r="J298" s="263"/>
      <c r="K298" s="263"/>
      <c r="L298" s="263"/>
      <c r="M298" s="263"/>
      <c r="N298" s="263"/>
      <c r="O298" s="263"/>
      <c r="P298" s="95"/>
      <c r="Q298" s="95"/>
      <c r="R298" s="95"/>
      <c r="S298" s="95"/>
      <c r="T298" s="95"/>
      <c r="U298" s="95"/>
      <c r="V298" s="95"/>
      <c r="W298" s="95"/>
      <c r="X298" s="95"/>
      <c r="Y298" s="95"/>
      <c r="Z298" s="95"/>
      <c r="AA298" s="95"/>
      <c r="AB298" s="95"/>
      <c r="AC298" s="95"/>
      <c r="AD298" s="95"/>
      <c r="AE298" s="95"/>
      <c r="AF298" s="95"/>
      <c r="AG298" s="95"/>
      <c r="AH298" s="95"/>
      <c r="AI298" s="95"/>
      <c r="AJ298" s="95"/>
      <c r="AK298" s="95"/>
      <c r="AL298" s="95"/>
      <c r="AM298" s="95"/>
      <c r="AN298" s="264"/>
      <c r="AO298" s="95"/>
      <c r="AP298" s="95"/>
      <c r="AQ298" s="95"/>
      <c r="AR298" s="95"/>
      <c r="AS298" s="95"/>
      <c r="AT298" s="95"/>
      <c r="AU298" s="95"/>
      <c r="AV298" s="95"/>
      <c r="AW298" s="95"/>
      <c r="AX298" s="95"/>
      <c r="AY298" s="95"/>
      <c r="AZ298" s="95"/>
      <c r="BA298" s="95"/>
      <c r="BB298" s="95"/>
      <c r="BC298" s="214"/>
      <c r="BD298" s="95"/>
      <c r="BE298" s="95"/>
      <c r="BF298" s="95"/>
      <c r="BG298" s="95"/>
      <c r="BH298" s="95"/>
      <c r="BI298" s="24"/>
      <c r="BJ298" s="95"/>
      <c r="BK298" s="265"/>
      <c r="BL298" s="265"/>
      <c r="BM298" s="265"/>
      <c r="BN298" s="266"/>
      <c r="BO298" s="267"/>
      <c r="BP298" s="268"/>
      <c r="BQ298" s="269"/>
      <c r="BR298" s="269"/>
      <c r="BS298" s="269"/>
      <c r="BT298" s="269"/>
      <c r="BU298" s="269"/>
      <c r="BV298" s="269"/>
      <c r="BW298" s="268"/>
      <c r="BX298" s="269"/>
      <c r="BY298" s="268"/>
      <c r="BZ298" s="268"/>
      <c r="CA298" s="268"/>
      <c r="CB298" s="269"/>
      <c r="CC298" s="268"/>
      <c r="CD298" s="268"/>
      <c r="CE298" s="269"/>
      <c r="CF298" s="269"/>
      <c r="CG298" s="269"/>
      <c r="CH298" s="269"/>
      <c r="CI298" s="269"/>
      <c r="CJ298" s="269"/>
      <c r="CK298" s="269"/>
      <c r="CL298" s="266"/>
    </row>
    <row r="299" spans="1:90" s="270" customFormat="1">
      <c r="A299" s="95"/>
      <c r="B299" s="263"/>
      <c r="C299" s="263"/>
      <c r="D299" s="263"/>
      <c r="E299" s="263"/>
      <c r="F299" s="263"/>
      <c r="G299" s="263"/>
      <c r="H299" s="95"/>
      <c r="I299" s="95"/>
      <c r="J299" s="263"/>
      <c r="K299" s="263"/>
      <c r="L299" s="263"/>
      <c r="M299" s="263"/>
      <c r="N299" s="263"/>
      <c r="O299" s="263"/>
      <c r="P299" s="95"/>
      <c r="Q299" s="95"/>
      <c r="R299" s="95"/>
      <c r="S299" s="95"/>
      <c r="T299" s="95"/>
      <c r="U299" s="95"/>
      <c r="V299" s="95"/>
      <c r="W299" s="95"/>
      <c r="X299" s="95"/>
      <c r="Y299" s="95"/>
      <c r="Z299" s="95"/>
      <c r="AA299" s="95"/>
      <c r="AB299" s="95"/>
      <c r="AC299" s="95"/>
      <c r="AD299" s="95"/>
      <c r="AE299" s="95"/>
      <c r="AF299" s="95"/>
      <c r="AG299" s="95"/>
      <c r="AH299" s="95"/>
      <c r="AI299" s="95"/>
      <c r="AJ299" s="95"/>
      <c r="AK299" s="95"/>
      <c r="AL299" s="95"/>
      <c r="AM299" s="95"/>
      <c r="AN299" s="264"/>
      <c r="AO299" s="95"/>
      <c r="AP299" s="95"/>
      <c r="AQ299" s="95"/>
      <c r="AR299" s="95"/>
      <c r="AS299" s="95"/>
      <c r="AT299" s="95"/>
      <c r="AU299" s="95"/>
      <c r="AV299" s="95"/>
      <c r="AW299" s="95"/>
      <c r="AX299" s="95"/>
      <c r="AY299" s="95"/>
      <c r="AZ299" s="95"/>
      <c r="BA299" s="95"/>
      <c r="BB299" s="95"/>
      <c r="BC299" s="214"/>
      <c r="BD299" s="95"/>
      <c r="BE299" s="95"/>
      <c r="BF299" s="95"/>
      <c r="BG299" s="95"/>
      <c r="BH299" s="95"/>
      <c r="BI299" s="24"/>
      <c r="BJ299" s="95"/>
      <c r="BK299" s="265"/>
      <c r="BL299" s="265"/>
      <c r="BM299" s="265"/>
      <c r="BN299" s="266"/>
      <c r="BO299" s="267"/>
      <c r="BP299" s="268"/>
      <c r="BQ299" s="269"/>
      <c r="BR299" s="269"/>
      <c r="BS299" s="269"/>
      <c r="BT299" s="269"/>
      <c r="BU299" s="269"/>
      <c r="BV299" s="269"/>
      <c r="BW299" s="268"/>
      <c r="BX299" s="269"/>
      <c r="BY299" s="268"/>
      <c r="BZ299" s="268"/>
      <c r="CA299" s="268"/>
      <c r="CB299" s="269"/>
      <c r="CC299" s="268"/>
      <c r="CD299" s="268"/>
      <c r="CE299" s="269"/>
      <c r="CF299" s="269"/>
      <c r="CG299" s="269"/>
      <c r="CH299" s="269"/>
      <c r="CI299" s="269"/>
      <c r="CJ299" s="269"/>
      <c r="CK299" s="269"/>
      <c r="CL299" s="266"/>
    </row>
    <row r="300" spans="1:90" s="270" customFormat="1">
      <c r="A300" s="95"/>
      <c r="B300" s="263"/>
      <c r="C300" s="263"/>
      <c r="D300" s="263"/>
      <c r="E300" s="263"/>
      <c r="F300" s="263"/>
      <c r="G300" s="263"/>
      <c r="H300" s="95"/>
      <c r="I300" s="95"/>
      <c r="J300" s="263"/>
      <c r="K300" s="263"/>
      <c r="L300" s="263"/>
      <c r="M300" s="263"/>
      <c r="N300" s="263"/>
      <c r="O300" s="263"/>
      <c r="P300" s="95"/>
      <c r="Q300" s="95"/>
      <c r="R300" s="95"/>
      <c r="S300" s="95"/>
      <c r="T300" s="95"/>
      <c r="U300" s="95"/>
      <c r="V300" s="95"/>
      <c r="W300" s="95"/>
      <c r="X300" s="95"/>
      <c r="Y300" s="95"/>
      <c r="Z300" s="95"/>
      <c r="AA300" s="95"/>
      <c r="AB300" s="95"/>
      <c r="AC300" s="95"/>
      <c r="AD300" s="95"/>
      <c r="AE300" s="95"/>
      <c r="AF300" s="95"/>
      <c r="AG300" s="95"/>
      <c r="AH300" s="95"/>
      <c r="AI300" s="95"/>
      <c r="AJ300" s="95"/>
      <c r="AK300" s="95"/>
      <c r="AL300" s="95"/>
      <c r="AM300" s="95"/>
      <c r="AN300" s="264"/>
      <c r="AO300" s="95"/>
      <c r="AP300" s="95"/>
      <c r="AQ300" s="95"/>
      <c r="AR300" s="95"/>
      <c r="AS300" s="95"/>
      <c r="AT300" s="95"/>
      <c r="AU300" s="95"/>
      <c r="AV300" s="95"/>
      <c r="AW300" s="95"/>
      <c r="AX300" s="95"/>
      <c r="AY300" s="95"/>
      <c r="AZ300" s="95"/>
      <c r="BA300" s="95"/>
      <c r="BB300" s="95"/>
      <c r="BC300" s="214"/>
      <c r="BD300" s="95"/>
      <c r="BE300" s="95"/>
      <c r="BF300" s="95"/>
      <c r="BG300" s="95"/>
      <c r="BH300" s="95"/>
      <c r="BI300" s="24"/>
      <c r="BJ300" s="95"/>
      <c r="BK300" s="265"/>
      <c r="BL300" s="265"/>
      <c r="BM300" s="265"/>
      <c r="BN300" s="266"/>
      <c r="BO300" s="267"/>
      <c r="BP300" s="268"/>
      <c r="BQ300" s="269"/>
      <c r="BR300" s="269"/>
      <c r="BS300" s="269"/>
      <c r="BT300" s="269"/>
      <c r="BU300" s="269"/>
      <c r="BV300" s="269"/>
      <c r="BW300" s="268"/>
      <c r="BX300" s="269"/>
      <c r="BY300" s="268"/>
      <c r="BZ300" s="268"/>
      <c r="CA300" s="268"/>
      <c r="CB300" s="269"/>
      <c r="CC300" s="268"/>
      <c r="CD300" s="268"/>
      <c r="CE300" s="269"/>
      <c r="CF300" s="269"/>
      <c r="CG300" s="269"/>
      <c r="CH300" s="269"/>
      <c r="CI300" s="269"/>
      <c r="CJ300" s="269"/>
      <c r="CK300" s="269"/>
      <c r="CL300" s="266"/>
    </row>
    <row r="301" spans="1:90" s="270" customFormat="1">
      <c r="A301" s="95"/>
      <c r="B301" s="263"/>
      <c r="C301" s="263"/>
      <c r="D301" s="263"/>
      <c r="E301" s="263"/>
      <c r="F301" s="263"/>
      <c r="G301" s="263"/>
      <c r="H301" s="95"/>
      <c r="I301" s="95"/>
      <c r="J301" s="263"/>
      <c r="K301" s="263"/>
      <c r="L301" s="263"/>
      <c r="M301" s="263"/>
      <c r="N301" s="263"/>
      <c r="O301" s="263"/>
      <c r="P301" s="95"/>
      <c r="Q301" s="95"/>
      <c r="R301" s="95"/>
      <c r="S301" s="95"/>
      <c r="T301" s="95"/>
      <c r="U301" s="95"/>
      <c r="V301" s="95"/>
      <c r="W301" s="95"/>
      <c r="X301" s="95"/>
      <c r="Y301" s="95"/>
      <c r="Z301" s="95"/>
      <c r="AA301" s="95"/>
      <c r="AB301" s="95"/>
      <c r="AC301" s="95"/>
      <c r="AD301" s="95"/>
      <c r="AE301" s="95"/>
      <c r="AF301" s="95"/>
      <c r="AG301" s="95"/>
      <c r="AH301" s="95"/>
      <c r="AI301" s="95"/>
      <c r="AJ301" s="95"/>
      <c r="AK301" s="95"/>
      <c r="AL301" s="95"/>
      <c r="AM301" s="95"/>
      <c r="AN301" s="264"/>
      <c r="AO301" s="95"/>
      <c r="AP301" s="95"/>
      <c r="AQ301" s="95"/>
      <c r="AR301" s="95"/>
      <c r="AS301" s="95"/>
      <c r="AT301" s="95"/>
      <c r="AU301" s="95"/>
      <c r="AV301" s="95"/>
      <c r="AW301" s="95"/>
      <c r="AX301" s="95"/>
      <c r="AY301" s="95"/>
      <c r="AZ301" s="95"/>
      <c r="BA301" s="95"/>
      <c r="BB301" s="95"/>
      <c r="BC301" s="214"/>
      <c r="BD301" s="95"/>
      <c r="BE301" s="95"/>
      <c r="BF301" s="95"/>
      <c r="BG301" s="95"/>
      <c r="BH301" s="95"/>
      <c r="BI301" s="24"/>
      <c r="BJ301" s="95"/>
      <c r="BK301" s="265"/>
      <c r="BL301" s="265"/>
      <c r="BM301" s="265"/>
      <c r="BN301" s="266"/>
      <c r="BO301" s="267"/>
      <c r="BP301" s="268"/>
      <c r="BQ301" s="269"/>
      <c r="BR301" s="269"/>
      <c r="BS301" s="269"/>
      <c r="BT301" s="269"/>
      <c r="BU301" s="269"/>
      <c r="BV301" s="269"/>
      <c r="BW301" s="268"/>
      <c r="BX301" s="269"/>
      <c r="BY301" s="268"/>
      <c r="BZ301" s="268"/>
      <c r="CA301" s="268"/>
      <c r="CB301" s="269"/>
      <c r="CC301" s="268"/>
      <c r="CD301" s="268"/>
      <c r="CE301" s="269"/>
      <c r="CF301" s="269"/>
      <c r="CG301" s="269"/>
      <c r="CH301" s="269"/>
      <c r="CI301" s="269"/>
      <c r="CJ301" s="269"/>
      <c r="CK301" s="269"/>
      <c r="CL301" s="266"/>
    </row>
    <row r="302" spans="1:90" s="270" customFormat="1">
      <c r="A302" s="95"/>
      <c r="B302" s="263"/>
      <c r="C302" s="263"/>
      <c r="D302" s="263"/>
      <c r="E302" s="263"/>
      <c r="F302" s="263"/>
      <c r="G302" s="263"/>
      <c r="H302" s="95"/>
      <c r="I302" s="95"/>
      <c r="J302" s="263"/>
      <c r="K302" s="263"/>
      <c r="L302" s="263"/>
      <c r="M302" s="263"/>
      <c r="N302" s="263"/>
      <c r="O302" s="263"/>
      <c r="P302" s="95"/>
      <c r="Q302" s="95"/>
      <c r="R302" s="95"/>
      <c r="S302" s="95"/>
      <c r="T302" s="95"/>
      <c r="U302" s="95"/>
      <c r="V302" s="95"/>
      <c r="W302" s="95"/>
      <c r="X302" s="95"/>
      <c r="Y302" s="95"/>
      <c r="Z302" s="95"/>
      <c r="AA302" s="95"/>
      <c r="AB302" s="95"/>
      <c r="AC302" s="95"/>
      <c r="AD302" s="95"/>
      <c r="AE302" s="95"/>
      <c r="AF302" s="95"/>
      <c r="AG302" s="95"/>
      <c r="AH302" s="95"/>
      <c r="AI302" s="95"/>
      <c r="AJ302" s="95"/>
      <c r="AK302" s="95"/>
      <c r="AL302" s="95"/>
      <c r="AM302" s="95"/>
      <c r="AN302" s="264"/>
      <c r="AO302" s="95"/>
      <c r="AP302" s="95"/>
      <c r="AQ302" s="95"/>
      <c r="AR302" s="95"/>
      <c r="AS302" s="95"/>
      <c r="AT302" s="95"/>
      <c r="AU302" s="95"/>
      <c r="AV302" s="95"/>
      <c r="AW302" s="95"/>
      <c r="AX302" s="95"/>
      <c r="AY302" s="95"/>
      <c r="AZ302" s="95"/>
      <c r="BA302" s="95"/>
      <c r="BB302" s="95"/>
      <c r="BC302" s="214"/>
      <c r="BD302" s="95"/>
      <c r="BE302" s="95"/>
      <c r="BF302" s="95"/>
      <c r="BG302" s="95"/>
      <c r="BH302" s="95"/>
      <c r="BI302" s="24"/>
      <c r="BJ302" s="95"/>
      <c r="BK302" s="265"/>
      <c r="BL302" s="265"/>
      <c r="BM302" s="265"/>
      <c r="BN302" s="266"/>
      <c r="BO302" s="267"/>
      <c r="BP302" s="268"/>
      <c r="BQ302" s="269"/>
      <c r="BR302" s="269"/>
      <c r="BS302" s="269"/>
      <c r="BT302" s="269"/>
      <c r="BU302" s="269"/>
      <c r="BV302" s="269"/>
      <c r="BW302" s="268"/>
      <c r="BX302" s="269"/>
      <c r="BY302" s="268"/>
      <c r="BZ302" s="268"/>
      <c r="CA302" s="268"/>
      <c r="CB302" s="269"/>
      <c r="CC302" s="268"/>
      <c r="CD302" s="268"/>
      <c r="CE302" s="269"/>
      <c r="CF302" s="269"/>
      <c r="CG302" s="269"/>
      <c r="CH302" s="269"/>
      <c r="CI302" s="269"/>
      <c r="CJ302" s="269"/>
      <c r="CK302" s="269"/>
      <c r="CL302" s="266"/>
    </row>
    <row r="303" spans="1:90" s="270" customFormat="1">
      <c r="A303" s="95"/>
      <c r="B303" s="263"/>
      <c r="C303" s="263"/>
      <c r="D303" s="263"/>
      <c r="E303" s="263"/>
      <c r="F303" s="263"/>
      <c r="G303" s="263"/>
      <c r="H303" s="95"/>
      <c r="I303" s="95"/>
      <c r="J303" s="263"/>
      <c r="K303" s="263"/>
      <c r="L303" s="263"/>
      <c r="M303" s="263"/>
      <c r="N303" s="263"/>
      <c r="O303" s="263"/>
      <c r="P303" s="95"/>
      <c r="Q303" s="95"/>
      <c r="R303" s="95"/>
      <c r="S303" s="95"/>
      <c r="T303" s="95"/>
      <c r="U303" s="95"/>
      <c r="V303" s="95"/>
      <c r="W303" s="95"/>
      <c r="X303" s="95"/>
      <c r="Y303" s="95"/>
      <c r="Z303" s="95"/>
      <c r="AA303" s="95"/>
      <c r="AB303" s="95"/>
      <c r="AC303" s="95"/>
      <c r="AD303" s="95"/>
      <c r="AE303" s="95"/>
      <c r="AF303" s="95"/>
      <c r="AG303" s="95"/>
      <c r="AH303" s="95"/>
      <c r="AI303" s="95"/>
      <c r="AJ303" s="95"/>
      <c r="AK303" s="95"/>
      <c r="AL303" s="95"/>
      <c r="AM303" s="95"/>
      <c r="AN303" s="264"/>
      <c r="AO303" s="95"/>
      <c r="AP303" s="95"/>
      <c r="AQ303" s="95"/>
      <c r="AR303" s="95"/>
      <c r="AS303" s="95"/>
      <c r="AT303" s="95"/>
      <c r="AU303" s="95"/>
      <c r="AV303" s="95"/>
      <c r="AW303" s="95"/>
      <c r="AX303" s="95"/>
      <c r="AY303" s="95"/>
      <c r="AZ303" s="95"/>
      <c r="BA303" s="95"/>
      <c r="BB303" s="95"/>
      <c r="BC303" s="214"/>
      <c r="BD303" s="95"/>
      <c r="BE303" s="95"/>
      <c r="BF303" s="95"/>
      <c r="BG303" s="95"/>
      <c r="BH303" s="95"/>
      <c r="BI303" s="24"/>
      <c r="BJ303" s="95"/>
      <c r="BK303" s="265"/>
      <c r="BL303" s="265"/>
      <c r="BM303" s="265"/>
      <c r="BN303" s="266"/>
      <c r="BO303" s="267"/>
      <c r="BP303" s="268"/>
      <c r="BQ303" s="269"/>
      <c r="BR303" s="269"/>
      <c r="BS303" s="269"/>
      <c r="BT303" s="269"/>
      <c r="BU303" s="269"/>
      <c r="BV303" s="269"/>
      <c r="BW303" s="268"/>
      <c r="BX303" s="269"/>
      <c r="BY303" s="268"/>
      <c r="BZ303" s="268"/>
      <c r="CA303" s="268"/>
      <c r="CB303" s="269"/>
      <c r="CC303" s="268"/>
      <c r="CD303" s="268"/>
      <c r="CE303" s="269"/>
      <c r="CF303" s="269"/>
      <c r="CG303" s="269"/>
      <c r="CH303" s="269"/>
      <c r="CI303" s="269"/>
      <c r="CJ303" s="269"/>
      <c r="CK303" s="269"/>
      <c r="CL303" s="266"/>
    </row>
    <row r="304" spans="1:90" s="270" customFormat="1">
      <c r="A304" s="95"/>
      <c r="B304" s="263"/>
      <c r="C304" s="263"/>
      <c r="D304" s="263"/>
      <c r="E304" s="263"/>
      <c r="F304" s="263"/>
      <c r="G304" s="263"/>
      <c r="H304" s="95"/>
      <c r="I304" s="95"/>
      <c r="J304" s="263"/>
      <c r="K304" s="263"/>
      <c r="L304" s="263"/>
      <c r="M304" s="263"/>
      <c r="N304" s="263"/>
      <c r="O304" s="263"/>
      <c r="P304" s="95"/>
      <c r="Q304" s="95"/>
      <c r="R304" s="95"/>
      <c r="S304" s="95"/>
      <c r="T304" s="95"/>
      <c r="U304" s="95"/>
      <c r="V304" s="95"/>
      <c r="W304" s="95"/>
      <c r="X304" s="95"/>
      <c r="Y304" s="95"/>
      <c r="Z304" s="95"/>
      <c r="AA304" s="95"/>
      <c r="AB304" s="95"/>
      <c r="AC304" s="95"/>
      <c r="AD304" s="95"/>
      <c r="AE304" s="95"/>
      <c r="AF304" s="95"/>
      <c r="AG304" s="95"/>
      <c r="AH304" s="95"/>
      <c r="AI304" s="95"/>
      <c r="AJ304" s="95"/>
      <c r="AK304" s="95"/>
      <c r="AL304" s="95"/>
      <c r="AM304" s="95"/>
      <c r="AN304" s="264"/>
      <c r="AO304" s="95"/>
      <c r="AP304" s="95"/>
      <c r="AQ304" s="95"/>
      <c r="AR304" s="95"/>
      <c r="AS304" s="95"/>
      <c r="AT304" s="95"/>
      <c r="AU304" s="95"/>
      <c r="AV304" s="95"/>
      <c r="AW304" s="95"/>
      <c r="AX304" s="95"/>
      <c r="AY304" s="95"/>
      <c r="AZ304" s="95"/>
      <c r="BA304" s="95"/>
      <c r="BB304" s="95"/>
      <c r="BC304" s="214"/>
      <c r="BD304" s="95"/>
      <c r="BE304" s="95"/>
      <c r="BF304" s="95"/>
      <c r="BG304" s="95"/>
      <c r="BH304" s="95"/>
      <c r="BI304" s="24"/>
      <c r="BJ304" s="95"/>
      <c r="BK304" s="265"/>
      <c r="BL304" s="265"/>
      <c r="BM304" s="265"/>
      <c r="BN304" s="266"/>
      <c r="BO304" s="267"/>
      <c r="BP304" s="268"/>
      <c r="BQ304" s="269"/>
      <c r="BR304" s="269"/>
      <c r="BS304" s="269"/>
      <c r="BT304" s="269"/>
      <c r="BU304" s="269"/>
      <c r="BV304" s="269"/>
      <c r="BW304" s="268"/>
      <c r="BX304" s="269"/>
      <c r="BY304" s="268"/>
      <c r="BZ304" s="268"/>
      <c r="CA304" s="268"/>
      <c r="CB304" s="269"/>
      <c r="CC304" s="268"/>
      <c r="CD304" s="268"/>
      <c r="CE304" s="269"/>
      <c r="CF304" s="269"/>
      <c r="CG304" s="269"/>
      <c r="CH304" s="269"/>
      <c r="CI304" s="269"/>
      <c r="CJ304" s="269"/>
      <c r="CK304" s="269"/>
      <c r="CL304" s="266"/>
    </row>
    <row r="305" spans="1:90" s="270" customFormat="1">
      <c r="A305" s="95"/>
      <c r="B305" s="263"/>
      <c r="C305" s="263"/>
      <c r="D305" s="263"/>
      <c r="E305" s="263"/>
      <c r="F305" s="263"/>
      <c r="G305" s="263"/>
      <c r="H305" s="95"/>
      <c r="I305" s="95"/>
      <c r="J305" s="263"/>
      <c r="K305" s="263"/>
      <c r="L305" s="263"/>
      <c r="M305" s="263"/>
      <c r="N305" s="263"/>
      <c r="O305" s="263"/>
      <c r="P305" s="95"/>
      <c r="Q305" s="95"/>
      <c r="R305" s="95"/>
      <c r="S305" s="95"/>
      <c r="T305" s="95"/>
      <c r="U305" s="95"/>
      <c r="V305" s="95"/>
      <c r="W305" s="95"/>
      <c r="X305" s="95"/>
      <c r="Y305" s="95"/>
      <c r="Z305" s="95"/>
      <c r="AA305" s="95"/>
      <c r="AB305" s="95"/>
      <c r="AC305" s="95"/>
      <c r="AD305" s="95"/>
      <c r="AE305" s="95"/>
      <c r="AF305" s="95"/>
      <c r="AG305" s="95"/>
      <c r="AH305" s="95"/>
      <c r="AI305" s="95"/>
      <c r="AJ305" s="95"/>
      <c r="AK305" s="95"/>
      <c r="AL305" s="95"/>
      <c r="AM305" s="95"/>
      <c r="AN305" s="264"/>
      <c r="AO305" s="95"/>
      <c r="AP305" s="95"/>
      <c r="AQ305" s="95"/>
      <c r="AR305" s="95"/>
      <c r="AS305" s="95"/>
      <c r="AT305" s="95"/>
      <c r="AU305" s="95"/>
      <c r="AV305" s="95"/>
      <c r="AW305" s="95"/>
      <c r="AX305" s="95"/>
      <c r="AY305" s="95"/>
      <c r="AZ305" s="95"/>
      <c r="BA305" s="95"/>
      <c r="BB305" s="95"/>
      <c r="BC305" s="214"/>
      <c r="BD305" s="95"/>
      <c r="BE305" s="95"/>
      <c r="BF305" s="95"/>
      <c r="BG305" s="95"/>
      <c r="BH305" s="95"/>
      <c r="BI305" s="24"/>
      <c r="BJ305" s="95"/>
      <c r="BK305" s="265"/>
      <c r="BL305" s="265"/>
      <c r="BM305" s="265"/>
      <c r="BN305" s="266"/>
      <c r="BO305" s="267"/>
      <c r="BP305" s="268"/>
      <c r="BQ305" s="269"/>
      <c r="BR305" s="269"/>
      <c r="BS305" s="269"/>
      <c r="BT305" s="269"/>
      <c r="BU305" s="269"/>
      <c r="BV305" s="269"/>
      <c r="BW305" s="268"/>
      <c r="BX305" s="269"/>
      <c r="BY305" s="268"/>
      <c r="BZ305" s="268"/>
      <c r="CA305" s="268"/>
      <c r="CB305" s="269"/>
      <c r="CC305" s="268"/>
      <c r="CD305" s="268"/>
      <c r="CE305" s="269"/>
      <c r="CF305" s="269"/>
      <c r="CG305" s="269"/>
      <c r="CH305" s="269"/>
      <c r="CI305" s="269"/>
      <c r="CJ305" s="269"/>
      <c r="CK305" s="269"/>
      <c r="CL305" s="266"/>
    </row>
    <row r="306" spans="1:90" s="270" customFormat="1">
      <c r="A306" s="95"/>
      <c r="B306" s="263"/>
      <c r="C306" s="263"/>
      <c r="D306" s="263"/>
      <c r="E306" s="263"/>
      <c r="F306" s="263"/>
      <c r="G306" s="263"/>
      <c r="H306" s="95"/>
      <c r="I306" s="95"/>
      <c r="J306" s="263"/>
      <c r="K306" s="263"/>
      <c r="L306" s="263"/>
      <c r="M306" s="263"/>
      <c r="N306" s="263"/>
      <c r="O306" s="263"/>
      <c r="P306" s="95"/>
      <c r="Q306" s="95"/>
      <c r="R306" s="95"/>
      <c r="S306" s="95"/>
      <c r="T306" s="95"/>
      <c r="U306" s="95"/>
      <c r="V306" s="95"/>
      <c r="W306" s="95"/>
      <c r="X306" s="95"/>
      <c r="Y306" s="95"/>
      <c r="Z306" s="95"/>
      <c r="AA306" s="95"/>
      <c r="AB306" s="95"/>
      <c r="AC306" s="95"/>
      <c r="AD306" s="95"/>
      <c r="AE306" s="95"/>
      <c r="AF306" s="95"/>
      <c r="AG306" s="95"/>
      <c r="AH306" s="95"/>
      <c r="AI306" s="95"/>
      <c r="AJ306" s="95"/>
      <c r="AK306" s="95"/>
      <c r="AL306" s="95"/>
      <c r="AM306" s="95"/>
      <c r="AN306" s="264"/>
      <c r="AO306" s="95"/>
      <c r="AP306" s="95"/>
      <c r="AQ306" s="95"/>
      <c r="AR306" s="95"/>
      <c r="AS306" s="95"/>
      <c r="AT306" s="95"/>
      <c r="AU306" s="95"/>
      <c r="AV306" s="95"/>
      <c r="AW306" s="95"/>
      <c r="AX306" s="95"/>
      <c r="AY306" s="95"/>
      <c r="AZ306" s="95"/>
      <c r="BA306" s="95"/>
      <c r="BB306" s="95"/>
      <c r="BC306" s="214"/>
      <c r="BD306" s="95"/>
      <c r="BE306" s="95"/>
      <c r="BF306" s="95"/>
      <c r="BG306" s="95"/>
      <c r="BH306" s="95"/>
      <c r="BI306" s="24"/>
      <c r="BJ306" s="95"/>
      <c r="BK306" s="265"/>
      <c r="BL306" s="265"/>
      <c r="BM306" s="265"/>
      <c r="BN306" s="266"/>
      <c r="BO306" s="267"/>
      <c r="BP306" s="268"/>
      <c r="BQ306" s="269"/>
      <c r="BR306" s="269"/>
      <c r="BS306" s="269"/>
      <c r="BT306" s="269"/>
      <c r="BU306" s="269"/>
      <c r="BV306" s="269"/>
      <c r="BW306" s="268"/>
      <c r="BX306" s="269"/>
      <c r="BY306" s="268"/>
      <c r="BZ306" s="268"/>
      <c r="CA306" s="268"/>
      <c r="CB306" s="269"/>
      <c r="CC306" s="268"/>
      <c r="CD306" s="268"/>
      <c r="CE306" s="269"/>
      <c r="CF306" s="269"/>
      <c r="CG306" s="269"/>
      <c r="CH306" s="269"/>
      <c r="CI306" s="269"/>
      <c r="CJ306" s="269"/>
      <c r="CK306" s="269"/>
      <c r="CL306" s="266"/>
    </row>
    <row r="307" spans="1:90" s="270" customFormat="1">
      <c r="A307" s="95"/>
      <c r="B307" s="263"/>
      <c r="C307" s="263"/>
      <c r="D307" s="263"/>
      <c r="E307" s="263"/>
      <c r="F307" s="263"/>
      <c r="G307" s="263"/>
      <c r="H307" s="95"/>
      <c r="I307" s="95"/>
      <c r="J307" s="263"/>
      <c r="K307" s="263"/>
      <c r="L307" s="263"/>
      <c r="M307" s="263"/>
      <c r="N307" s="263"/>
      <c r="O307" s="263"/>
      <c r="P307" s="95"/>
      <c r="Q307" s="95"/>
      <c r="R307" s="95"/>
      <c r="S307" s="95"/>
      <c r="T307" s="95"/>
      <c r="U307" s="95"/>
      <c r="V307" s="95"/>
      <c r="W307" s="95"/>
      <c r="X307" s="95"/>
      <c r="Y307" s="95"/>
      <c r="Z307" s="95"/>
      <c r="AA307" s="95"/>
      <c r="AB307" s="95"/>
      <c r="AC307" s="95"/>
      <c r="AD307" s="95"/>
      <c r="AE307" s="95"/>
      <c r="AF307" s="95"/>
      <c r="AG307" s="95"/>
      <c r="AH307" s="95"/>
      <c r="AI307" s="95"/>
      <c r="AJ307" s="95"/>
      <c r="AK307" s="95"/>
      <c r="AL307" s="95"/>
      <c r="AM307" s="95"/>
      <c r="AN307" s="264"/>
      <c r="AO307" s="95"/>
      <c r="AP307" s="95"/>
      <c r="AQ307" s="95"/>
      <c r="AR307" s="95"/>
      <c r="AS307" s="95"/>
      <c r="AT307" s="95"/>
      <c r="AU307" s="95"/>
      <c r="AV307" s="95"/>
      <c r="AW307" s="95"/>
      <c r="AX307" s="95"/>
      <c r="AY307" s="95"/>
      <c r="AZ307" s="95"/>
      <c r="BA307" s="95"/>
      <c r="BB307" s="95"/>
      <c r="BC307" s="214"/>
      <c r="BD307" s="95"/>
      <c r="BE307" s="95"/>
      <c r="BF307" s="95"/>
      <c r="BG307" s="95"/>
      <c r="BH307" s="95"/>
      <c r="BI307" s="24"/>
      <c r="BJ307" s="95"/>
      <c r="BK307" s="265"/>
      <c r="BL307" s="265"/>
      <c r="BM307" s="265"/>
      <c r="BN307" s="266"/>
      <c r="BO307" s="267"/>
      <c r="BP307" s="268"/>
      <c r="BQ307" s="269"/>
      <c r="BR307" s="269"/>
      <c r="BS307" s="269"/>
      <c r="BT307" s="269"/>
      <c r="BU307" s="269"/>
      <c r="BV307" s="269"/>
      <c r="BW307" s="268"/>
      <c r="BX307" s="269"/>
      <c r="BY307" s="268"/>
      <c r="BZ307" s="268"/>
      <c r="CA307" s="268"/>
      <c r="CB307" s="269"/>
      <c r="CC307" s="268"/>
      <c r="CD307" s="268"/>
      <c r="CE307" s="269"/>
      <c r="CF307" s="269"/>
      <c r="CG307" s="269"/>
      <c r="CH307" s="269"/>
      <c r="CI307" s="269"/>
      <c r="CJ307" s="269"/>
      <c r="CK307" s="269"/>
      <c r="CL307" s="266"/>
    </row>
    <row r="308" spans="1:90" s="270" customFormat="1">
      <c r="A308" s="95"/>
      <c r="B308" s="263"/>
      <c r="C308" s="263"/>
      <c r="D308" s="263"/>
      <c r="E308" s="263"/>
      <c r="F308" s="263"/>
      <c r="G308" s="263"/>
      <c r="H308" s="95"/>
      <c r="I308" s="95"/>
      <c r="J308" s="263"/>
      <c r="K308" s="263"/>
      <c r="L308" s="263"/>
      <c r="M308" s="263"/>
      <c r="N308" s="263"/>
      <c r="O308" s="263"/>
      <c r="P308" s="95"/>
      <c r="Q308" s="95"/>
      <c r="R308" s="95"/>
      <c r="S308" s="95"/>
      <c r="T308" s="95"/>
      <c r="U308" s="95"/>
      <c r="V308" s="95"/>
      <c r="W308" s="95"/>
      <c r="X308" s="95"/>
      <c r="Y308" s="95"/>
      <c r="Z308" s="95"/>
      <c r="AA308" s="95"/>
      <c r="AB308" s="95"/>
      <c r="AC308" s="95"/>
      <c r="AD308" s="95"/>
      <c r="AE308" s="95"/>
      <c r="AF308" s="95"/>
      <c r="AG308" s="95"/>
      <c r="AH308" s="95"/>
      <c r="AI308" s="95"/>
      <c r="AJ308" s="95"/>
      <c r="AK308" s="95"/>
      <c r="AL308" s="95"/>
      <c r="AM308" s="95"/>
      <c r="AN308" s="264"/>
      <c r="AO308" s="95"/>
      <c r="AP308" s="95"/>
      <c r="AQ308" s="95"/>
      <c r="AR308" s="95"/>
      <c r="AS308" s="95"/>
      <c r="AT308" s="95"/>
      <c r="AU308" s="95"/>
      <c r="AV308" s="95"/>
      <c r="AW308" s="95"/>
      <c r="AX308" s="95"/>
      <c r="AY308" s="95"/>
      <c r="AZ308" s="95"/>
      <c r="BA308" s="95"/>
      <c r="BB308" s="95"/>
      <c r="BC308" s="214"/>
      <c r="BD308" s="95"/>
      <c r="BE308" s="95"/>
      <c r="BF308" s="95"/>
      <c r="BG308" s="95"/>
      <c r="BH308" s="95"/>
      <c r="BI308" s="24"/>
      <c r="BJ308" s="95"/>
      <c r="BK308" s="265"/>
      <c r="BL308" s="265"/>
      <c r="BM308" s="265"/>
      <c r="BN308" s="266"/>
      <c r="BO308" s="267"/>
      <c r="BP308" s="268"/>
      <c r="BQ308" s="269"/>
      <c r="BR308" s="269"/>
      <c r="BS308" s="269"/>
      <c r="BT308" s="269"/>
      <c r="BU308" s="269"/>
      <c r="BV308" s="269"/>
      <c r="BW308" s="268"/>
      <c r="BX308" s="269"/>
      <c r="BY308" s="268"/>
      <c r="BZ308" s="268"/>
      <c r="CA308" s="268"/>
      <c r="CB308" s="269"/>
      <c r="CC308" s="268"/>
      <c r="CD308" s="268"/>
      <c r="CE308" s="269"/>
      <c r="CF308" s="269"/>
      <c r="CG308" s="269"/>
      <c r="CH308" s="269"/>
      <c r="CI308" s="269"/>
      <c r="CJ308" s="269"/>
      <c r="CK308" s="269"/>
      <c r="CL308" s="266"/>
    </row>
    <row r="309" spans="1:90" s="270" customFormat="1">
      <c r="A309" s="95"/>
      <c r="B309" s="263"/>
      <c r="C309" s="263"/>
      <c r="D309" s="263"/>
      <c r="E309" s="263"/>
      <c r="F309" s="263"/>
      <c r="G309" s="263"/>
      <c r="H309" s="95"/>
      <c r="I309" s="95"/>
      <c r="J309" s="263"/>
      <c r="K309" s="263"/>
      <c r="L309" s="263"/>
      <c r="M309" s="263"/>
      <c r="N309" s="263"/>
      <c r="O309" s="263"/>
      <c r="P309" s="95"/>
      <c r="Q309" s="95"/>
      <c r="R309" s="95"/>
      <c r="S309" s="95"/>
      <c r="T309" s="95"/>
      <c r="U309" s="95"/>
      <c r="V309" s="95"/>
      <c r="W309" s="95"/>
      <c r="X309" s="95"/>
      <c r="Y309" s="95"/>
      <c r="Z309" s="95"/>
      <c r="AA309" s="95"/>
      <c r="AB309" s="95"/>
      <c r="AC309" s="95"/>
      <c r="AD309" s="95"/>
      <c r="AE309" s="95"/>
      <c r="AF309" s="95"/>
      <c r="AG309" s="95"/>
      <c r="AH309" s="95"/>
      <c r="AI309" s="95"/>
      <c r="AJ309" s="95"/>
      <c r="AK309" s="95"/>
      <c r="AL309" s="95"/>
      <c r="AM309" s="95"/>
      <c r="AN309" s="264"/>
      <c r="AO309" s="95"/>
      <c r="AP309" s="95"/>
      <c r="AQ309" s="95"/>
      <c r="AR309" s="95"/>
      <c r="AS309" s="95"/>
      <c r="AT309" s="95"/>
      <c r="AU309" s="95"/>
      <c r="AV309" s="95"/>
      <c r="AW309" s="95"/>
      <c r="AX309" s="95"/>
      <c r="AY309" s="95"/>
      <c r="AZ309" s="95"/>
      <c r="BA309" s="95"/>
      <c r="BB309" s="95"/>
      <c r="BC309" s="214"/>
      <c r="BD309" s="95"/>
      <c r="BE309" s="95"/>
      <c r="BF309" s="95"/>
      <c r="BG309" s="95"/>
      <c r="BH309" s="95"/>
      <c r="BI309" s="24"/>
      <c r="BJ309" s="95"/>
      <c r="BK309" s="265"/>
      <c r="BL309" s="265"/>
      <c r="BM309" s="265"/>
      <c r="BN309" s="266"/>
      <c r="BO309" s="267"/>
      <c r="BP309" s="268"/>
      <c r="BQ309" s="269"/>
      <c r="BR309" s="269"/>
      <c r="BS309" s="269"/>
      <c r="BT309" s="269"/>
      <c r="BU309" s="269"/>
      <c r="BV309" s="269"/>
      <c r="BW309" s="268"/>
      <c r="BX309" s="269"/>
      <c r="BY309" s="268"/>
      <c r="BZ309" s="268"/>
      <c r="CA309" s="268"/>
      <c r="CB309" s="269"/>
      <c r="CC309" s="268"/>
      <c r="CD309" s="268"/>
      <c r="CE309" s="269"/>
      <c r="CF309" s="269"/>
      <c r="CG309" s="269"/>
      <c r="CH309" s="269"/>
      <c r="CI309" s="269"/>
      <c r="CJ309" s="269"/>
      <c r="CK309" s="269"/>
      <c r="CL309" s="266"/>
    </row>
    <row r="310" spans="1:90" s="270" customFormat="1">
      <c r="A310" s="95"/>
      <c r="B310" s="263"/>
      <c r="C310" s="263"/>
      <c r="D310" s="263"/>
      <c r="E310" s="263"/>
      <c r="F310" s="263"/>
      <c r="G310" s="263"/>
      <c r="H310" s="95"/>
      <c r="I310" s="95"/>
      <c r="J310" s="263"/>
      <c r="K310" s="263"/>
      <c r="L310" s="263"/>
      <c r="M310" s="263"/>
      <c r="N310" s="263"/>
      <c r="O310" s="263"/>
      <c r="P310" s="95"/>
      <c r="Q310" s="95"/>
      <c r="R310" s="95"/>
      <c r="S310" s="95"/>
      <c r="T310" s="95"/>
      <c r="U310" s="95"/>
      <c r="V310" s="95"/>
      <c r="W310" s="95"/>
      <c r="X310" s="95"/>
      <c r="Y310" s="95"/>
      <c r="Z310" s="95"/>
      <c r="AA310" s="95"/>
      <c r="AB310" s="95"/>
      <c r="AC310" s="95"/>
      <c r="AD310" s="95"/>
      <c r="AE310" s="95"/>
      <c r="AF310" s="95"/>
      <c r="AG310" s="95"/>
      <c r="AH310" s="95"/>
      <c r="AI310" s="95"/>
      <c r="AJ310" s="95"/>
      <c r="AK310" s="95"/>
      <c r="AL310" s="95"/>
      <c r="AM310" s="95"/>
      <c r="AN310" s="264"/>
      <c r="AO310" s="95"/>
      <c r="AP310" s="95"/>
      <c r="AQ310" s="95"/>
      <c r="AR310" s="95"/>
      <c r="AS310" s="95"/>
      <c r="AT310" s="95"/>
      <c r="AU310" s="95"/>
      <c r="AV310" s="95"/>
      <c r="AW310" s="95"/>
      <c r="AX310" s="95"/>
      <c r="AY310" s="95"/>
      <c r="AZ310" s="95"/>
      <c r="BA310" s="95"/>
      <c r="BB310" s="95"/>
      <c r="BC310" s="214"/>
      <c r="BD310" s="95"/>
      <c r="BE310" s="95"/>
      <c r="BF310" s="95"/>
      <c r="BG310" s="95"/>
      <c r="BH310" s="95"/>
      <c r="BI310" s="24"/>
      <c r="BJ310" s="95"/>
      <c r="BK310" s="265"/>
      <c r="BL310" s="265"/>
      <c r="BM310" s="265"/>
      <c r="BN310" s="266"/>
      <c r="BO310" s="267"/>
      <c r="BP310" s="268"/>
      <c r="BQ310" s="269"/>
      <c r="BR310" s="269"/>
      <c r="BS310" s="269"/>
      <c r="BT310" s="269"/>
      <c r="BU310" s="269"/>
      <c r="BV310" s="269"/>
      <c r="BW310" s="268"/>
      <c r="BX310" s="269"/>
      <c r="BY310" s="268"/>
      <c r="BZ310" s="268"/>
      <c r="CA310" s="268"/>
      <c r="CB310" s="269"/>
      <c r="CC310" s="268"/>
      <c r="CD310" s="268"/>
      <c r="CE310" s="269"/>
      <c r="CF310" s="269"/>
      <c r="CG310" s="269"/>
      <c r="CH310" s="269"/>
      <c r="CI310" s="269"/>
      <c r="CJ310" s="269"/>
      <c r="CK310" s="269"/>
      <c r="CL310" s="266"/>
    </row>
    <row r="311" spans="1:90" s="270" customFormat="1">
      <c r="A311" s="95"/>
      <c r="B311" s="263"/>
      <c r="C311" s="263"/>
      <c r="D311" s="263"/>
      <c r="E311" s="263"/>
      <c r="F311" s="263"/>
      <c r="G311" s="263"/>
      <c r="H311" s="95"/>
      <c r="I311" s="95"/>
      <c r="J311" s="263"/>
      <c r="K311" s="263"/>
      <c r="L311" s="263"/>
      <c r="M311" s="263"/>
      <c r="N311" s="263"/>
      <c r="O311" s="263"/>
      <c r="P311" s="95"/>
      <c r="Q311" s="95"/>
      <c r="R311" s="95"/>
      <c r="S311" s="95"/>
      <c r="T311" s="95"/>
      <c r="U311" s="95"/>
      <c r="V311" s="95"/>
      <c r="W311" s="95"/>
      <c r="X311" s="95"/>
      <c r="Y311" s="95"/>
      <c r="Z311" s="95"/>
      <c r="AA311" s="95"/>
      <c r="AB311" s="95"/>
      <c r="AC311" s="95"/>
      <c r="AD311" s="95"/>
      <c r="AE311" s="95"/>
      <c r="AF311" s="95"/>
      <c r="AG311" s="95"/>
      <c r="AH311" s="95"/>
      <c r="AI311" s="95"/>
      <c r="AJ311" s="95"/>
      <c r="AK311" s="95"/>
      <c r="AL311" s="95"/>
      <c r="AM311" s="95"/>
      <c r="AN311" s="264"/>
      <c r="AO311" s="95"/>
      <c r="AP311" s="95"/>
      <c r="AQ311" s="95"/>
      <c r="AR311" s="95"/>
      <c r="AS311" s="95"/>
      <c r="AT311" s="95"/>
      <c r="AU311" s="95"/>
      <c r="AV311" s="95"/>
      <c r="AW311" s="95"/>
      <c r="AX311" s="95"/>
      <c r="AY311" s="95"/>
      <c r="AZ311" s="95"/>
      <c r="BA311" s="95"/>
      <c r="BB311" s="95"/>
      <c r="BC311" s="214"/>
      <c r="BD311" s="95"/>
      <c r="BE311" s="95"/>
      <c r="BF311" s="95"/>
      <c r="BG311" s="95"/>
      <c r="BH311" s="95"/>
      <c r="BI311" s="24"/>
      <c r="BJ311" s="95"/>
      <c r="BK311" s="265"/>
      <c r="BL311" s="265"/>
      <c r="BM311" s="265"/>
      <c r="BN311" s="266"/>
      <c r="BO311" s="267"/>
      <c r="BP311" s="268"/>
      <c r="BQ311" s="269"/>
      <c r="BR311" s="269"/>
      <c r="BS311" s="269"/>
      <c r="BT311" s="269"/>
      <c r="BU311" s="269"/>
      <c r="BV311" s="269"/>
      <c r="BW311" s="268"/>
      <c r="BX311" s="269"/>
      <c r="BY311" s="268"/>
      <c r="BZ311" s="268"/>
      <c r="CA311" s="268"/>
      <c r="CB311" s="269"/>
      <c r="CC311" s="268"/>
      <c r="CD311" s="268"/>
      <c r="CE311" s="269"/>
      <c r="CF311" s="269"/>
      <c r="CG311" s="269"/>
      <c r="CH311" s="269"/>
      <c r="CI311" s="269"/>
      <c r="CJ311" s="269"/>
      <c r="CK311" s="269"/>
      <c r="CL311" s="266"/>
    </row>
    <row r="312" spans="1:90" s="270" customFormat="1">
      <c r="A312" s="95"/>
      <c r="B312" s="263"/>
      <c r="C312" s="263"/>
      <c r="D312" s="263"/>
      <c r="E312" s="263"/>
      <c r="F312" s="263"/>
      <c r="G312" s="263"/>
      <c r="H312" s="95"/>
      <c r="I312" s="95"/>
      <c r="J312" s="263"/>
      <c r="K312" s="263"/>
      <c r="L312" s="263"/>
      <c r="M312" s="263"/>
      <c r="N312" s="263"/>
      <c r="O312" s="263"/>
      <c r="P312" s="95"/>
      <c r="Q312" s="95"/>
      <c r="R312" s="95"/>
      <c r="S312" s="95"/>
      <c r="T312" s="95"/>
      <c r="U312" s="95"/>
      <c r="V312" s="95"/>
      <c r="W312" s="95"/>
      <c r="X312" s="95"/>
      <c r="Y312" s="95"/>
      <c r="Z312" s="95"/>
      <c r="AA312" s="95"/>
      <c r="AB312" s="95"/>
      <c r="AC312" s="95"/>
      <c r="AD312" s="95"/>
      <c r="AE312" s="95"/>
      <c r="AF312" s="95"/>
      <c r="AG312" s="95"/>
      <c r="AH312" s="95"/>
      <c r="AI312" s="95"/>
      <c r="AJ312" s="95"/>
      <c r="AK312" s="95"/>
      <c r="AL312" s="95"/>
      <c r="AM312" s="95"/>
      <c r="AN312" s="264"/>
      <c r="AO312" s="95"/>
      <c r="AP312" s="95"/>
      <c r="AQ312" s="95"/>
      <c r="AR312" s="95"/>
      <c r="AS312" s="95"/>
      <c r="AT312" s="95"/>
      <c r="AU312" s="95"/>
      <c r="AV312" s="95"/>
      <c r="AW312" s="95"/>
      <c r="AX312" s="95"/>
      <c r="AY312" s="95"/>
      <c r="AZ312" s="95"/>
      <c r="BA312" s="95"/>
      <c r="BB312" s="95"/>
      <c r="BC312" s="214"/>
      <c r="BD312" s="95"/>
      <c r="BE312" s="95"/>
      <c r="BF312" s="95"/>
      <c r="BG312" s="95"/>
      <c r="BH312" s="95"/>
      <c r="BI312" s="24"/>
      <c r="BJ312" s="95"/>
      <c r="BK312" s="265"/>
      <c r="BL312" s="265"/>
      <c r="BM312" s="265"/>
      <c r="BN312" s="266"/>
      <c r="BO312" s="267"/>
      <c r="BP312" s="268"/>
      <c r="BQ312" s="269"/>
      <c r="BR312" s="269"/>
      <c r="BS312" s="269"/>
      <c r="BT312" s="269"/>
      <c r="BU312" s="269"/>
      <c r="BV312" s="269"/>
      <c r="BW312" s="268"/>
      <c r="BX312" s="269"/>
      <c r="BY312" s="268"/>
      <c r="BZ312" s="268"/>
      <c r="CA312" s="268"/>
      <c r="CB312" s="269"/>
      <c r="CC312" s="268"/>
      <c r="CD312" s="268"/>
      <c r="CE312" s="269"/>
      <c r="CF312" s="269"/>
      <c r="CG312" s="269"/>
      <c r="CH312" s="269"/>
      <c r="CI312" s="269"/>
      <c r="CJ312" s="269"/>
      <c r="CK312" s="269"/>
      <c r="CL312" s="266"/>
    </row>
    <row r="313" spans="1:90" s="270" customFormat="1">
      <c r="A313" s="95"/>
      <c r="B313" s="263"/>
      <c r="C313" s="263"/>
      <c r="D313" s="263"/>
      <c r="E313" s="263"/>
      <c r="F313" s="263"/>
      <c r="G313" s="263"/>
      <c r="H313" s="95"/>
      <c r="I313" s="95"/>
      <c r="J313" s="263"/>
      <c r="K313" s="263"/>
      <c r="L313" s="263"/>
      <c r="M313" s="263"/>
      <c r="N313" s="263"/>
      <c r="O313" s="263"/>
      <c r="P313" s="95"/>
      <c r="Q313" s="95"/>
      <c r="R313" s="95"/>
      <c r="S313" s="95"/>
      <c r="T313" s="95"/>
      <c r="U313" s="95"/>
      <c r="V313" s="95"/>
      <c r="W313" s="95"/>
      <c r="X313" s="95"/>
      <c r="Y313" s="95"/>
      <c r="Z313" s="95"/>
      <c r="AA313" s="95"/>
      <c r="AB313" s="95"/>
      <c r="AC313" s="95"/>
      <c r="AD313" s="95"/>
      <c r="AE313" s="95"/>
      <c r="AF313" s="95"/>
      <c r="AG313" s="95"/>
      <c r="AH313" s="95"/>
      <c r="AI313" s="95"/>
      <c r="AJ313" s="95"/>
      <c r="AK313" s="95"/>
      <c r="AL313" s="95"/>
      <c r="AM313" s="95"/>
      <c r="AN313" s="264"/>
      <c r="AO313" s="95"/>
      <c r="AP313" s="95"/>
      <c r="AQ313" s="95"/>
      <c r="AR313" s="95"/>
      <c r="AS313" s="95"/>
      <c r="AT313" s="95"/>
      <c r="AU313" s="95"/>
      <c r="AV313" s="95"/>
      <c r="AW313" s="95"/>
      <c r="AX313" s="95"/>
      <c r="AY313" s="95"/>
      <c r="AZ313" s="95"/>
      <c r="BA313" s="95"/>
      <c r="BB313" s="95"/>
      <c r="BC313" s="214"/>
      <c r="BD313" s="95"/>
      <c r="BE313" s="95"/>
      <c r="BF313" s="95"/>
      <c r="BG313" s="95"/>
      <c r="BH313" s="95"/>
      <c r="BI313" s="24"/>
      <c r="BJ313" s="95"/>
      <c r="BK313" s="265"/>
      <c r="BL313" s="265"/>
      <c r="BM313" s="265"/>
      <c r="BN313" s="266"/>
      <c r="BO313" s="267"/>
      <c r="BP313" s="268"/>
      <c r="BQ313" s="269"/>
      <c r="BR313" s="269"/>
      <c r="BS313" s="269"/>
      <c r="BT313" s="269"/>
      <c r="BU313" s="269"/>
      <c r="BV313" s="269"/>
      <c r="BW313" s="268"/>
      <c r="BX313" s="269"/>
      <c r="BY313" s="268"/>
      <c r="BZ313" s="268"/>
      <c r="CA313" s="268"/>
      <c r="CB313" s="269"/>
      <c r="CC313" s="268"/>
      <c r="CD313" s="268"/>
      <c r="CE313" s="269"/>
      <c r="CF313" s="269"/>
      <c r="CG313" s="269"/>
      <c r="CH313" s="269"/>
      <c r="CI313" s="269"/>
      <c r="CJ313" s="269"/>
      <c r="CK313" s="269"/>
      <c r="CL313" s="266"/>
    </row>
    <row r="314" spans="1:90" s="270" customFormat="1">
      <c r="A314" s="95"/>
      <c r="B314" s="263"/>
      <c r="C314" s="263"/>
      <c r="D314" s="263"/>
      <c r="E314" s="263"/>
      <c r="F314" s="263"/>
      <c r="G314" s="263"/>
      <c r="H314" s="95"/>
      <c r="I314" s="95"/>
      <c r="J314" s="263"/>
      <c r="K314" s="263"/>
      <c r="L314" s="263"/>
      <c r="M314" s="263"/>
      <c r="N314" s="263"/>
      <c r="O314" s="263"/>
      <c r="P314" s="95"/>
      <c r="Q314" s="95"/>
      <c r="R314" s="95"/>
      <c r="S314" s="95"/>
      <c r="T314" s="95"/>
      <c r="U314" s="95"/>
      <c r="V314" s="95"/>
      <c r="W314" s="95"/>
      <c r="X314" s="95"/>
      <c r="Y314" s="95"/>
      <c r="Z314" s="95"/>
      <c r="AA314" s="95"/>
      <c r="AB314" s="95"/>
      <c r="AC314" s="95"/>
      <c r="AD314" s="95"/>
      <c r="AE314" s="95"/>
      <c r="AF314" s="95"/>
      <c r="AG314" s="95"/>
      <c r="AH314" s="95"/>
      <c r="AI314" s="95"/>
      <c r="AJ314" s="95"/>
      <c r="AK314" s="95"/>
      <c r="AL314" s="95"/>
      <c r="AM314" s="95"/>
      <c r="AN314" s="264"/>
      <c r="AO314" s="95"/>
      <c r="AP314" s="95"/>
      <c r="AQ314" s="95"/>
      <c r="AR314" s="95"/>
      <c r="AS314" s="95"/>
      <c r="AT314" s="95"/>
      <c r="AU314" s="95"/>
      <c r="AV314" s="95"/>
      <c r="AW314" s="95"/>
      <c r="AX314" s="95"/>
      <c r="AY314" s="95"/>
      <c r="AZ314" s="95"/>
      <c r="BA314" s="95"/>
      <c r="BB314" s="95"/>
      <c r="BC314" s="214"/>
      <c r="BD314" s="95"/>
      <c r="BE314" s="95"/>
      <c r="BF314" s="95"/>
      <c r="BG314" s="95"/>
      <c r="BH314" s="95"/>
      <c r="BI314" s="24"/>
      <c r="BJ314" s="95"/>
      <c r="BK314" s="265"/>
      <c r="BL314" s="265"/>
      <c r="BM314" s="265"/>
      <c r="BN314" s="266"/>
      <c r="BO314" s="267"/>
      <c r="BP314" s="268"/>
      <c r="BQ314" s="269"/>
      <c r="BR314" s="269"/>
      <c r="BS314" s="269"/>
      <c r="BT314" s="269"/>
      <c r="BU314" s="269"/>
      <c r="BV314" s="269"/>
      <c r="BW314" s="268"/>
      <c r="BX314" s="269"/>
      <c r="BY314" s="268"/>
      <c r="BZ314" s="268"/>
      <c r="CA314" s="268"/>
      <c r="CB314" s="269"/>
      <c r="CC314" s="268"/>
      <c r="CD314" s="268"/>
      <c r="CE314" s="269"/>
      <c r="CF314" s="269"/>
      <c r="CG314" s="269"/>
      <c r="CH314" s="269"/>
      <c r="CI314" s="269"/>
      <c r="CJ314" s="269"/>
      <c r="CK314" s="269"/>
      <c r="CL314" s="266"/>
    </row>
    <row r="315" spans="1:90" s="270" customFormat="1">
      <c r="A315" s="95"/>
      <c r="B315" s="263"/>
      <c r="C315" s="263"/>
      <c r="D315" s="263"/>
      <c r="E315" s="263"/>
      <c r="F315" s="263"/>
      <c r="G315" s="263"/>
      <c r="H315" s="95"/>
      <c r="I315" s="95"/>
      <c r="J315" s="263"/>
      <c r="K315" s="263"/>
      <c r="L315" s="263"/>
      <c r="M315" s="263"/>
      <c r="N315" s="263"/>
      <c r="O315" s="263"/>
      <c r="P315" s="95"/>
      <c r="Q315" s="95"/>
      <c r="R315" s="95"/>
      <c r="S315" s="95"/>
      <c r="T315" s="95"/>
      <c r="U315" s="95"/>
      <c r="V315" s="95"/>
      <c r="W315" s="95"/>
      <c r="X315" s="95"/>
      <c r="Y315" s="95"/>
      <c r="Z315" s="95"/>
      <c r="AA315" s="95"/>
      <c r="AB315" s="95"/>
      <c r="AC315" s="95"/>
      <c r="AD315" s="95"/>
      <c r="AE315" s="95"/>
      <c r="AF315" s="95"/>
      <c r="AG315" s="95"/>
      <c r="AH315" s="95"/>
      <c r="AI315" s="95"/>
      <c r="AJ315" s="95"/>
      <c r="AK315" s="95"/>
      <c r="AL315" s="95"/>
      <c r="AM315" s="95"/>
      <c r="AN315" s="264"/>
      <c r="AO315" s="95"/>
      <c r="AP315" s="95"/>
      <c r="AQ315" s="95"/>
      <c r="AR315" s="95"/>
      <c r="AS315" s="95"/>
      <c r="AT315" s="95"/>
      <c r="AU315" s="95"/>
      <c r="AV315" s="95"/>
      <c r="AW315" s="95"/>
      <c r="AX315" s="95"/>
      <c r="AY315" s="95"/>
      <c r="AZ315" s="95"/>
      <c r="BA315" s="95"/>
      <c r="BB315" s="95"/>
      <c r="BC315" s="214"/>
      <c r="BD315" s="95"/>
      <c r="BE315" s="95"/>
      <c r="BF315" s="95"/>
      <c r="BG315" s="95"/>
      <c r="BH315" s="95"/>
      <c r="BI315" s="24"/>
      <c r="BJ315" s="95"/>
      <c r="BK315" s="265"/>
      <c r="BL315" s="265"/>
      <c r="BM315" s="265"/>
      <c r="BN315" s="266"/>
      <c r="BO315" s="267"/>
      <c r="BP315" s="268"/>
      <c r="BQ315" s="269"/>
      <c r="BR315" s="269"/>
      <c r="BS315" s="269"/>
      <c r="BT315" s="269"/>
      <c r="BU315" s="269"/>
      <c r="BV315" s="269"/>
      <c r="BW315" s="268"/>
      <c r="BX315" s="269"/>
      <c r="BY315" s="268"/>
      <c r="BZ315" s="268"/>
      <c r="CA315" s="268"/>
      <c r="CB315" s="269"/>
      <c r="CC315" s="268"/>
      <c r="CD315" s="268"/>
      <c r="CE315" s="269"/>
      <c r="CF315" s="269"/>
      <c r="CG315" s="269"/>
      <c r="CH315" s="269"/>
      <c r="CI315" s="269"/>
      <c r="CJ315" s="269"/>
      <c r="CK315" s="269"/>
      <c r="CL315" s="266"/>
    </row>
    <row r="316" spans="1:90" s="270" customFormat="1">
      <c r="A316" s="95"/>
      <c r="B316" s="263"/>
      <c r="C316" s="263"/>
      <c r="D316" s="263"/>
      <c r="E316" s="263"/>
      <c r="F316" s="263"/>
      <c r="G316" s="263"/>
      <c r="H316" s="95"/>
      <c r="I316" s="95"/>
      <c r="J316" s="263"/>
      <c r="K316" s="263"/>
      <c r="L316" s="263"/>
      <c r="M316" s="263"/>
      <c r="N316" s="263"/>
      <c r="O316" s="263"/>
      <c r="P316" s="95"/>
      <c r="Q316" s="95"/>
      <c r="R316" s="95"/>
      <c r="S316" s="95"/>
      <c r="T316" s="95"/>
      <c r="U316" s="95"/>
      <c r="V316" s="95"/>
      <c r="W316" s="95"/>
      <c r="X316" s="95"/>
      <c r="Y316" s="95"/>
      <c r="Z316" s="95"/>
      <c r="AA316" s="95"/>
      <c r="AB316" s="95"/>
      <c r="AC316" s="95"/>
      <c r="AD316" s="95"/>
      <c r="AE316" s="95"/>
      <c r="AF316" s="95"/>
      <c r="AG316" s="95"/>
      <c r="AH316" s="95"/>
      <c r="AI316" s="95"/>
      <c r="AJ316" s="95"/>
      <c r="AK316" s="95"/>
      <c r="AL316" s="95"/>
      <c r="AM316" s="95"/>
      <c r="AN316" s="264"/>
      <c r="AO316" s="95"/>
      <c r="AP316" s="95"/>
      <c r="AQ316" s="95"/>
      <c r="AR316" s="95"/>
      <c r="AS316" s="95"/>
      <c r="AT316" s="95"/>
      <c r="AU316" s="95"/>
      <c r="AV316" s="95"/>
      <c r="AW316" s="95"/>
      <c r="AX316" s="95"/>
      <c r="AY316" s="95"/>
      <c r="AZ316" s="95"/>
      <c r="BA316" s="95"/>
      <c r="BB316" s="95"/>
      <c r="BC316" s="214"/>
      <c r="BD316" s="95"/>
      <c r="BE316" s="95"/>
      <c r="BF316" s="95"/>
      <c r="BG316" s="95"/>
      <c r="BH316" s="95"/>
      <c r="BI316" s="24"/>
      <c r="BJ316" s="95"/>
      <c r="BK316" s="265"/>
      <c r="BL316" s="265"/>
      <c r="BM316" s="265"/>
      <c r="BN316" s="266"/>
      <c r="BO316" s="267"/>
      <c r="BP316" s="268"/>
      <c r="BQ316" s="269"/>
      <c r="BR316" s="269"/>
      <c r="BS316" s="269"/>
      <c r="BT316" s="269"/>
      <c r="BU316" s="269"/>
      <c r="BV316" s="269"/>
      <c r="BW316" s="268"/>
      <c r="BX316" s="269"/>
      <c r="BY316" s="268"/>
      <c r="BZ316" s="268"/>
      <c r="CA316" s="268"/>
      <c r="CB316" s="269"/>
      <c r="CC316" s="268"/>
      <c r="CD316" s="268"/>
      <c r="CE316" s="269"/>
      <c r="CF316" s="269"/>
      <c r="CG316" s="269"/>
      <c r="CH316" s="269"/>
      <c r="CI316" s="269"/>
      <c r="CJ316" s="269"/>
      <c r="CK316" s="269"/>
      <c r="CL316" s="266"/>
    </row>
    <row r="317" spans="1:90" s="270" customFormat="1">
      <c r="A317" s="95"/>
      <c r="B317" s="263"/>
      <c r="C317" s="263"/>
      <c r="D317" s="263"/>
      <c r="E317" s="263"/>
      <c r="F317" s="263"/>
      <c r="G317" s="263"/>
      <c r="H317" s="95"/>
      <c r="I317" s="95"/>
      <c r="J317" s="263"/>
      <c r="K317" s="263"/>
      <c r="L317" s="263"/>
      <c r="M317" s="263"/>
      <c r="N317" s="263"/>
      <c r="O317" s="263"/>
      <c r="P317" s="95"/>
      <c r="Q317" s="95"/>
      <c r="R317" s="95"/>
      <c r="S317" s="95"/>
      <c r="T317" s="95"/>
      <c r="U317" s="95"/>
      <c r="V317" s="95"/>
      <c r="W317" s="95"/>
      <c r="X317" s="95"/>
      <c r="Y317" s="95"/>
      <c r="Z317" s="95"/>
      <c r="AA317" s="95"/>
      <c r="AB317" s="95"/>
      <c r="AC317" s="95"/>
      <c r="AD317" s="95"/>
      <c r="AE317" s="95"/>
      <c r="AF317" s="95"/>
      <c r="AG317" s="95"/>
      <c r="AH317" s="95"/>
      <c r="AI317" s="95"/>
      <c r="AJ317" s="95"/>
      <c r="AK317" s="95"/>
      <c r="AL317" s="95"/>
      <c r="AM317" s="95"/>
      <c r="AN317" s="264"/>
      <c r="AO317" s="95"/>
      <c r="AP317" s="95"/>
      <c r="AQ317" s="95"/>
      <c r="AR317" s="95"/>
      <c r="AS317" s="95"/>
      <c r="AT317" s="95"/>
      <c r="AU317" s="95"/>
      <c r="AV317" s="95"/>
      <c r="AW317" s="95"/>
      <c r="AX317" s="95"/>
      <c r="AY317" s="95"/>
      <c r="AZ317" s="95"/>
      <c r="BA317" s="95"/>
      <c r="BB317" s="95"/>
      <c r="BC317" s="214"/>
      <c r="BD317" s="95"/>
      <c r="BE317" s="95"/>
      <c r="BF317" s="95"/>
      <c r="BG317" s="95"/>
      <c r="BH317" s="95"/>
      <c r="BI317" s="24"/>
      <c r="BJ317" s="95"/>
      <c r="BK317" s="265"/>
      <c r="BL317" s="265"/>
      <c r="BM317" s="265"/>
      <c r="BN317" s="266"/>
      <c r="BO317" s="267"/>
      <c r="BP317" s="268"/>
      <c r="BQ317" s="269"/>
      <c r="BR317" s="269"/>
      <c r="BS317" s="269"/>
      <c r="BT317" s="269"/>
      <c r="BU317" s="269"/>
      <c r="BV317" s="269"/>
      <c r="BW317" s="268"/>
      <c r="BX317" s="269"/>
      <c r="BY317" s="268"/>
      <c r="BZ317" s="268"/>
      <c r="CA317" s="268"/>
      <c r="CB317" s="269"/>
      <c r="CC317" s="268"/>
      <c r="CD317" s="268"/>
      <c r="CE317" s="269"/>
      <c r="CF317" s="269"/>
      <c r="CG317" s="269"/>
      <c r="CH317" s="269"/>
      <c r="CI317" s="269"/>
      <c r="CJ317" s="269"/>
      <c r="CK317" s="269"/>
      <c r="CL317" s="266"/>
    </row>
    <row r="318" spans="1:90" s="270" customFormat="1">
      <c r="A318" s="95"/>
      <c r="B318" s="263"/>
      <c r="C318" s="263"/>
      <c r="D318" s="263"/>
      <c r="E318" s="263"/>
      <c r="F318" s="263"/>
      <c r="G318" s="263"/>
      <c r="H318" s="95"/>
      <c r="I318" s="95"/>
      <c r="J318" s="263"/>
      <c r="K318" s="263"/>
      <c r="L318" s="263"/>
      <c r="M318" s="263"/>
      <c r="N318" s="263"/>
      <c r="O318" s="263"/>
      <c r="P318" s="95"/>
      <c r="Q318" s="95"/>
      <c r="R318" s="95"/>
      <c r="S318" s="95"/>
      <c r="T318" s="95"/>
      <c r="U318" s="95"/>
      <c r="V318" s="95"/>
      <c r="W318" s="95"/>
      <c r="X318" s="95"/>
      <c r="Y318" s="95"/>
      <c r="Z318" s="95"/>
      <c r="AA318" s="95"/>
      <c r="AB318" s="95"/>
      <c r="AC318" s="95"/>
      <c r="AD318" s="95"/>
      <c r="AE318" s="95"/>
      <c r="AF318" s="95"/>
      <c r="AG318" s="95"/>
      <c r="AH318" s="95"/>
      <c r="AI318" s="95"/>
      <c r="AJ318" s="95"/>
      <c r="AK318" s="95"/>
      <c r="AL318" s="95"/>
      <c r="AM318" s="95"/>
      <c r="AN318" s="264"/>
      <c r="AO318" s="95"/>
      <c r="AP318" s="95"/>
      <c r="AQ318" s="95"/>
      <c r="AR318" s="95"/>
      <c r="AS318" s="95"/>
      <c r="AT318" s="95"/>
      <c r="AU318" s="95"/>
      <c r="AV318" s="95"/>
      <c r="AW318" s="95"/>
      <c r="AX318" s="95"/>
      <c r="AY318" s="95"/>
      <c r="AZ318" s="95"/>
      <c r="BA318" s="95"/>
      <c r="BB318" s="95"/>
      <c r="BC318" s="214"/>
      <c r="BD318" s="95"/>
      <c r="BE318" s="95"/>
      <c r="BF318" s="95"/>
      <c r="BG318" s="95"/>
      <c r="BH318" s="95"/>
      <c r="BI318" s="24"/>
      <c r="BJ318" s="95"/>
      <c r="BK318" s="265"/>
      <c r="BL318" s="265"/>
      <c r="BM318" s="265"/>
      <c r="BN318" s="266"/>
      <c r="BO318" s="267"/>
      <c r="BP318" s="268"/>
      <c r="BQ318" s="269"/>
      <c r="BR318" s="269"/>
      <c r="BS318" s="269"/>
      <c r="BT318" s="269"/>
      <c r="BU318" s="269"/>
      <c r="BV318" s="269"/>
      <c r="BW318" s="268"/>
      <c r="BX318" s="269"/>
      <c r="BY318" s="268"/>
      <c r="BZ318" s="268"/>
      <c r="CA318" s="268"/>
      <c r="CB318" s="269"/>
      <c r="CC318" s="268"/>
      <c r="CD318" s="268"/>
      <c r="CE318" s="269"/>
      <c r="CF318" s="269"/>
      <c r="CG318" s="269"/>
      <c r="CH318" s="269"/>
      <c r="CI318" s="269"/>
      <c r="CJ318" s="269"/>
      <c r="CK318" s="269"/>
      <c r="CL318" s="266"/>
    </row>
    <row r="319" spans="1:90">
      <c r="A319" s="95"/>
      <c r="B319" s="263"/>
      <c r="C319" s="263"/>
      <c r="D319" s="263"/>
      <c r="E319" s="263"/>
      <c r="F319" s="263"/>
      <c r="G319" s="263"/>
      <c r="H319" s="95"/>
      <c r="I319" s="95"/>
      <c r="J319" s="263"/>
      <c r="K319" s="263"/>
      <c r="L319" s="263"/>
      <c r="M319" s="263"/>
      <c r="N319" s="263"/>
      <c r="O319" s="263"/>
      <c r="P319" s="95"/>
      <c r="Q319" s="95"/>
      <c r="R319" s="95"/>
      <c r="S319" s="95"/>
      <c r="T319" s="95"/>
      <c r="U319" s="95"/>
      <c r="V319" s="95"/>
      <c r="W319" s="95"/>
      <c r="X319" s="95"/>
      <c r="Y319" s="95"/>
      <c r="Z319" s="95"/>
      <c r="AA319" s="95"/>
      <c r="AB319" s="95"/>
      <c r="AC319" s="95"/>
      <c r="AD319" s="95"/>
      <c r="AE319" s="95"/>
      <c r="AF319" s="95"/>
      <c r="AG319" s="95"/>
      <c r="AH319" s="95"/>
      <c r="AI319" s="95"/>
      <c r="AJ319" s="95"/>
      <c r="AK319" s="95"/>
      <c r="AL319" s="95"/>
      <c r="AM319" s="95"/>
      <c r="AN319" s="94"/>
      <c r="AO319" s="95"/>
      <c r="AP319" s="95"/>
      <c r="AQ319" s="95"/>
      <c r="AR319" s="95"/>
      <c r="AS319" s="95"/>
      <c r="AT319" s="95"/>
      <c r="AU319" s="95"/>
      <c r="AV319" s="95"/>
      <c r="AW319" s="95"/>
      <c r="AX319" s="95"/>
      <c r="AY319" s="95"/>
      <c r="AZ319" s="95"/>
      <c r="BA319" s="95"/>
      <c r="BB319" s="95"/>
      <c r="BC319" s="214"/>
      <c r="BD319" s="95"/>
      <c r="BE319" s="95"/>
      <c r="BF319" s="95"/>
      <c r="BG319" s="95"/>
      <c r="BH319" s="95"/>
      <c r="BI319" s="24"/>
      <c r="BJ319" s="95"/>
      <c r="BK319" s="265"/>
      <c r="BL319" s="265"/>
      <c r="BM319" s="265"/>
      <c r="BN319" s="266"/>
      <c r="BO319" s="267"/>
      <c r="BP319" s="268"/>
      <c r="BQ319" s="269"/>
      <c r="BR319" s="269"/>
      <c r="BS319" s="269"/>
      <c r="BT319" s="269"/>
      <c r="BU319" s="269"/>
      <c r="BV319" s="269"/>
      <c r="BW319" s="268"/>
      <c r="BX319" s="269"/>
      <c r="BY319" s="268"/>
      <c r="BZ319" s="268"/>
      <c r="CA319" s="268"/>
      <c r="CB319" s="269"/>
      <c r="CC319" s="268"/>
      <c r="CD319" s="268"/>
      <c r="CE319" s="269"/>
      <c r="CF319" s="269"/>
      <c r="CG319" s="269"/>
      <c r="CH319" s="269"/>
      <c r="CI319" s="269"/>
      <c r="CJ319" s="269"/>
      <c r="CK319" s="269"/>
      <c r="CL319" s="266"/>
    </row>
    <row r="320" spans="1:90">
      <c r="A320" s="95"/>
      <c r="B320" s="263"/>
      <c r="C320" s="263"/>
      <c r="D320" s="263"/>
      <c r="E320" s="263"/>
      <c r="F320" s="263"/>
      <c r="G320" s="263"/>
      <c r="H320" s="95"/>
      <c r="I320" s="95"/>
      <c r="J320" s="263"/>
      <c r="K320" s="263"/>
      <c r="L320" s="263"/>
      <c r="M320" s="263"/>
      <c r="N320" s="263"/>
      <c r="O320" s="263"/>
      <c r="P320" s="95"/>
      <c r="Q320" s="95"/>
      <c r="R320" s="95"/>
      <c r="S320" s="95"/>
      <c r="T320" s="95"/>
      <c r="U320" s="95"/>
      <c r="V320" s="95"/>
      <c r="W320" s="95"/>
      <c r="X320" s="95"/>
      <c r="Y320" s="95"/>
      <c r="Z320" s="95"/>
      <c r="AA320" s="95"/>
      <c r="AB320" s="95"/>
      <c r="AC320" s="95"/>
      <c r="AD320" s="95"/>
      <c r="AE320" s="95"/>
      <c r="AF320" s="95"/>
      <c r="AG320" s="95"/>
      <c r="AH320" s="95"/>
      <c r="AI320" s="95"/>
      <c r="AJ320" s="95"/>
      <c r="AK320" s="95"/>
      <c r="AL320" s="95"/>
      <c r="AM320" s="95"/>
      <c r="AN320" s="94"/>
      <c r="AO320" s="95"/>
      <c r="AP320" s="95"/>
      <c r="AQ320" s="95"/>
      <c r="AR320" s="95"/>
      <c r="AS320" s="95"/>
      <c r="AT320" s="95"/>
      <c r="AU320" s="95"/>
      <c r="AV320" s="95"/>
      <c r="AW320" s="95"/>
      <c r="AX320" s="95"/>
      <c r="AY320" s="95"/>
      <c r="AZ320" s="95"/>
      <c r="BA320" s="95"/>
      <c r="BB320" s="95"/>
      <c r="BC320" s="214"/>
      <c r="BD320" s="95"/>
      <c r="BE320" s="95"/>
      <c r="BF320" s="95"/>
      <c r="BG320" s="95"/>
      <c r="BH320" s="95"/>
      <c r="BI320" s="24"/>
      <c r="BJ320" s="95"/>
      <c r="BK320" s="265"/>
      <c r="BL320" s="265"/>
      <c r="BM320" s="265"/>
      <c r="BN320" s="266"/>
      <c r="BO320" s="267"/>
      <c r="BP320" s="268"/>
      <c r="BQ320" s="269"/>
      <c r="BR320" s="269"/>
      <c r="BS320" s="269"/>
      <c r="BT320" s="269"/>
      <c r="BU320" s="269"/>
      <c r="BV320" s="269"/>
      <c r="BW320" s="268"/>
      <c r="BX320" s="269"/>
      <c r="BY320" s="268"/>
      <c r="BZ320" s="268"/>
      <c r="CA320" s="268"/>
      <c r="CB320" s="269"/>
      <c r="CC320" s="268"/>
      <c r="CD320" s="268"/>
      <c r="CE320" s="269"/>
      <c r="CF320" s="269"/>
      <c r="CG320" s="269"/>
      <c r="CH320" s="269"/>
      <c r="CI320" s="269"/>
      <c r="CJ320" s="269"/>
      <c r="CK320" s="269"/>
      <c r="CL320" s="266"/>
    </row>
    <row r="321" spans="1:90">
      <c r="A321" s="95"/>
      <c r="B321" s="263"/>
      <c r="C321" s="263"/>
      <c r="D321" s="263"/>
      <c r="E321" s="263"/>
      <c r="F321" s="263"/>
      <c r="G321" s="263"/>
      <c r="H321" s="95"/>
      <c r="I321" s="95"/>
      <c r="J321" s="263"/>
      <c r="K321" s="263"/>
      <c r="L321" s="263"/>
      <c r="M321" s="263"/>
      <c r="N321" s="263"/>
      <c r="O321" s="263"/>
      <c r="P321" s="95"/>
      <c r="Q321" s="95"/>
      <c r="R321" s="95"/>
      <c r="S321" s="95"/>
      <c r="T321" s="95"/>
      <c r="U321" s="95"/>
      <c r="V321" s="95"/>
      <c r="W321" s="95"/>
      <c r="X321" s="95"/>
      <c r="Y321" s="95"/>
      <c r="Z321" s="95"/>
      <c r="AA321" s="95"/>
      <c r="AB321" s="95"/>
      <c r="AC321" s="95"/>
      <c r="AD321" s="95"/>
      <c r="AE321" s="95"/>
      <c r="AF321" s="95"/>
      <c r="AG321" s="95"/>
      <c r="AH321" s="95"/>
      <c r="AI321" s="95"/>
      <c r="AJ321" s="95"/>
      <c r="AK321" s="95"/>
      <c r="AL321" s="95"/>
      <c r="AM321" s="95"/>
      <c r="AN321" s="94"/>
      <c r="AO321" s="95"/>
      <c r="AP321" s="95"/>
      <c r="AQ321" s="95"/>
      <c r="AR321" s="95"/>
      <c r="AS321" s="95"/>
      <c r="AT321" s="95"/>
      <c r="AU321" s="95"/>
      <c r="AV321" s="95"/>
      <c r="AW321" s="95"/>
      <c r="AX321" s="95"/>
      <c r="AY321" s="95"/>
      <c r="AZ321" s="95"/>
      <c r="BA321" s="95"/>
      <c r="BB321" s="95"/>
      <c r="BC321" s="214"/>
      <c r="BD321" s="95"/>
      <c r="BE321" s="95"/>
      <c r="BF321" s="95"/>
      <c r="BG321" s="95"/>
      <c r="BH321" s="95"/>
      <c r="BI321" s="24"/>
      <c r="BJ321" s="95"/>
      <c r="BK321" s="265"/>
      <c r="BL321" s="265"/>
      <c r="BM321" s="265"/>
      <c r="BN321" s="266"/>
      <c r="BO321" s="267"/>
      <c r="BP321" s="268"/>
      <c r="BQ321" s="269"/>
      <c r="BR321" s="269"/>
      <c r="BS321" s="269"/>
      <c r="BT321" s="269"/>
      <c r="BU321" s="269"/>
      <c r="BV321" s="269"/>
      <c r="BW321" s="268"/>
      <c r="BX321" s="269"/>
      <c r="BY321" s="268"/>
      <c r="BZ321" s="268"/>
      <c r="CA321" s="268"/>
      <c r="CB321" s="269"/>
      <c r="CC321" s="268"/>
      <c r="CD321" s="268"/>
      <c r="CE321" s="269"/>
      <c r="CF321" s="269"/>
      <c r="CG321" s="269"/>
      <c r="CH321" s="269"/>
      <c r="CI321" s="269"/>
      <c r="CJ321" s="269"/>
      <c r="CK321" s="269"/>
      <c r="CL321" s="266"/>
    </row>
    <row r="322" spans="1:90">
      <c r="A322" s="95"/>
      <c r="B322" s="263"/>
      <c r="C322" s="263"/>
      <c r="D322" s="263"/>
      <c r="E322" s="263"/>
      <c r="F322" s="263"/>
      <c r="G322" s="263"/>
      <c r="H322" s="95"/>
      <c r="I322" s="95"/>
      <c r="J322" s="263"/>
      <c r="K322" s="263"/>
      <c r="L322" s="263"/>
      <c r="M322" s="263"/>
      <c r="N322" s="263"/>
      <c r="O322" s="263"/>
      <c r="P322" s="95"/>
      <c r="Q322" s="95"/>
      <c r="R322" s="95"/>
      <c r="S322" s="95"/>
      <c r="T322" s="95"/>
      <c r="U322" s="95"/>
      <c r="V322" s="95"/>
      <c r="W322" s="95"/>
      <c r="X322" s="95"/>
      <c r="Y322" s="95"/>
      <c r="Z322" s="95"/>
      <c r="AA322" s="95"/>
      <c r="AB322" s="95"/>
      <c r="AC322" s="95"/>
      <c r="AD322" s="95"/>
      <c r="AE322" s="95"/>
      <c r="AF322" s="95"/>
      <c r="AG322" s="95"/>
      <c r="AH322" s="95"/>
      <c r="AI322" s="95"/>
      <c r="AJ322" s="95"/>
      <c r="AK322" s="95"/>
      <c r="AL322" s="95"/>
      <c r="AM322" s="95"/>
      <c r="AN322" s="94"/>
      <c r="AO322" s="95"/>
      <c r="AP322" s="95"/>
      <c r="AQ322" s="95"/>
      <c r="AR322" s="95"/>
      <c r="AS322" s="95"/>
      <c r="AT322" s="95"/>
      <c r="AU322" s="95"/>
      <c r="AV322" s="95"/>
      <c r="AW322" s="95"/>
      <c r="AX322" s="95"/>
      <c r="AY322" s="95"/>
      <c r="AZ322" s="95"/>
      <c r="BA322" s="95"/>
      <c r="BB322" s="95"/>
      <c r="BC322" s="214"/>
      <c r="BD322" s="95"/>
      <c r="BE322" s="95"/>
      <c r="BF322" s="95"/>
      <c r="BG322" s="95"/>
      <c r="BH322" s="95"/>
      <c r="BI322" s="24"/>
      <c r="BJ322" s="95"/>
      <c r="BK322" s="265"/>
      <c r="BL322" s="265"/>
      <c r="BM322" s="265"/>
      <c r="BN322" s="266"/>
      <c r="BO322" s="267"/>
      <c r="BP322" s="268"/>
      <c r="BQ322" s="269"/>
      <c r="BR322" s="269"/>
      <c r="BS322" s="269"/>
      <c r="BT322" s="269"/>
      <c r="BU322" s="269"/>
      <c r="BV322" s="269"/>
      <c r="BW322" s="268"/>
      <c r="BX322" s="269"/>
      <c r="BY322" s="268"/>
      <c r="BZ322" s="268"/>
      <c r="CA322" s="268"/>
      <c r="CB322" s="269"/>
      <c r="CC322" s="268"/>
      <c r="CD322" s="268"/>
      <c r="CE322" s="269"/>
      <c r="CF322" s="269"/>
      <c r="CG322" s="269"/>
      <c r="CH322" s="269"/>
      <c r="CI322" s="269"/>
      <c r="CJ322" s="269"/>
      <c r="CK322" s="269"/>
      <c r="CL322" s="266"/>
    </row>
    <row r="323" spans="1:90">
      <c r="A323" s="95"/>
      <c r="B323" s="263"/>
      <c r="C323" s="263"/>
      <c r="D323" s="263"/>
      <c r="E323" s="263"/>
      <c r="F323" s="263"/>
      <c r="G323" s="263"/>
      <c r="H323" s="95"/>
      <c r="I323" s="95"/>
      <c r="J323" s="263"/>
      <c r="K323" s="263"/>
      <c r="L323" s="263"/>
      <c r="M323" s="263"/>
      <c r="N323" s="263"/>
      <c r="O323" s="263"/>
      <c r="P323" s="95"/>
      <c r="Q323" s="95"/>
      <c r="R323" s="95"/>
      <c r="S323" s="95"/>
      <c r="T323" s="95"/>
      <c r="U323" s="95"/>
      <c r="V323" s="95"/>
      <c r="W323" s="95"/>
      <c r="X323" s="95"/>
      <c r="Y323" s="95"/>
      <c r="Z323" s="95"/>
      <c r="AA323" s="95"/>
      <c r="AB323" s="95"/>
      <c r="AC323" s="95"/>
      <c r="AD323" s="95"/>
      <c r="AE323" s="95"/>
      <c r="AF323" s="95"/>
      <c r="AG323" s="95"/>
      <c r="AH323" s="95"/>
      <c r="AI323" s="95"/>
      <c r="AJ323" s="95"/>
      <c r="AK323" s="95"/>
      <c r="AL323" s="95"/>
      <c r="AM323" s="95"/>
      <c r="AN323" s="94"/>
      <c r="AO323" s="95"/>
      <c r="AP323" s="95"/>
      <c r="AQ323" s="95"/>
      <c r="AR323" s="95"/>
      <c r="AS323" s="95"/>
      <c r="AT323" s="95"/>
      <c r="AU323" s="95"/>
      <c r="AV323" s="95"/>
      <c r="AW323" s="95"/>
      <c r="AX323" s="95"/>
      <c r="AY323" s="95"/>
      <c r="AZ323" s="95"/>
      <c r="BA323" s="95"/>
      <c r="BB323" s="95"/>
      <c r="BC323" s="214"/>
      <c r="BD323" s="95"/>
      <c r="BE323" s="95"/>
      <c r="BF323" s="95"/>
      <c r="BG323" s="95"/>
      <c r="BH323" s="95"/>
      <c r="BI323" s="24"/>
      <c r="BJ323" s="95"/>
      <c r="BK323" s="265"/>
      <c r="BL323" s="265"/>
      <c r="BM323" s="265"/>
      <c r="BN323" s="266"/>
      <c r="BO323" s="267"/>
      <c r="BP323" s="268"/>
      <c r="BQ323" s="269"/>
      <c r="BR323" s="269"/>
      <c r="BS323" s="269"/>
      <c r="BT323" s="269"/>
      <c r="BU323" s="269"/>
      <c r="BV323" s="269"/>
      <c r="BW323" s="268"/>
      <c r="BX323" s="269"/>
      <c r="BY323" s="268"/>
      <c r="BZ323" s="268"/>
      <c r="CA323" s="268"/>
      <c r="CB323" s="269"/>
      <c r="CC323" s="268"/>
      <c r="CD323" s="268"/>
      <c r="CE323" s="269"/>
      <c r="CF323" s="269"/>
      <c r="CG323" s="269"/>
      <c r="CH323" s="269"/>
      <c r="CI323" s="269"/>
      <c r="CJ323" s="269"/>
      <c r="CK323" s="269"/>
      <c r="CL323" s="266"/>
    </row>
    <row r="324" spans="1:90">
      <c r="A324" s="95"/>
      <c r="B324" s="263"/>
      <c r="C324" s="263"/>
      <c r="D324" s="263"/>
      <c r="E324" s="263"/>
      <c r="F324" s="263"/>
      <c r="G324" s="263"/>
      <c r="H324" s="95"/>
      <c r="I324" s="95"/>
      <c r="J324" s="263"/>
      <c r="K324" s="263"/>
      <c r="L324" s="263"/>
      <c r="M324" s="263"/>
      <c r="N324" s="263"/>
      <c r="O324" s="263"/>
      <c r="P324" s="95"/>
      <c r="Q324" s="95"/>
      <c r="R324" s="95"/>
      <c r="S324" s="95"/>
      <c r="T324" s="95"/>
      <c r="U324" s="95"/>
      <c r="V324" s="95"/>
      <c r="W324" s="95"/>
      <c r="X324" s="95"/>
      <c r="Y324" s="95"/>
      <c r="Z324" s="95"/>
      <c r="AA324" s="95"/>
      <c r="AB324" s="95"/>
      <c r="AC324" s="95"/>
      <c r="AD324" s="95"/>
      <c r="AE324" s="95"/>
      <c r="AF324" s="95"/>
      <c r="AG324" s="95"/>
      <c r="AH324" s="95"/>
      <c r="AI324" s="95"/>
      <c r="AJ324" s="95"/>
      <c r="AK324" s="95"/>
      <c r="AL324" s="95"/>
      <c r="AM324" s="95"/>
      <c r="AN324" s="94"/>
      <c r="AO324" s="95"/>
      <c r="AP324" s="95"/>
      <c r="AQ324" s="95"/>
      <c r="AR324" s="95"/>
      <c r="AS324" s="95"/>
      <c r="AT324" s="95"/>
      <c r="AU324" s="95"/>
      <c r="AV324" s="95"/>
      <c r="AW324" s="95"/>
      <c r="AX324" s="95"/>
      <c r="AY324" s="95"/>
      <c r="AZ324" s="95"/>
      <c r="BA324" s="95"/>
      <c r="BB324" s="95"/>
      <c r="BC324" s="214"/>
      <c r="BD324" s="95"/>
      <c r="BE324" s="95"/>
      <c r="BF324" s="95"/>
      <c r="BG324" s="95"/>
      <c r="BH324" s="95"/>
      <c r="BI324" s="24"/>
      <c r="BJ324" s="95"/>
      <c r="BK324" s="265"/>
      <c r="BL324" s="265"/>
      <c r="BM324" s="265"/>
      <c r="BN324" s="266"/>
      <c r="BO324" s="267"/>
      <c r="BP324" s="268"/>
      <c r="BQ324" s="269"/>
      <c r="BR324" s="269"/>
      <c r="BS324" s="269"/>
      <c r="BT324" s="269"/>
      <c r="BU324" s="269"/>
      <c r="BV324" s="269"/>
      <c r="BW324" s="268"/>
      <c r="BX324" s="269"/>
      <c r="BY324" s="268"/>
      <c r="BZ324" s="268"/>
      <c r="CA324" s="268"/>
      <c r="CB324" s="269"/>
      <c r="CC324" s="268"/>
      <c r="CD324" s="268"/>
      <c r="CE324" s="269"/>
      <c r="CF324" s="269"/>
      <c r="CG324" s="269"/>
      <c r="CH324" s="269"/>
      <c r="CI324" s="269"/>
      <c r="CJ324" s="269"/>
      <c r="CK324" s="269"/>
      <c r="CL324" s="266"/>
    </row>
    <row r="325" spans="1:90">
      <c r="A325" s="95"/>
      <c r="B325" s="263"/>
      <c r="C325" s="263"/>
      <c r="D325" s="263"/>
      <c r="E325" s="263"/>
      <c r="F325" s="263"/>
      <c r="G325" s="263"/>
      <c r="H325" s="95"/>
      <c r="I325" s="95"/>
      <c r="J325" s="263"/>
      <c r="K325" s="263"/>
      <c r="L325" s="263"/>
      <c r="M325" s="263"/>
      <c r="N325" s="263"/>
      <c r="O325" s="263"/>
      <c r="P325" s="95"/>
      <c r="Q325" s="95"/>
      <c r="R325" s="95"/>
      <c r="S325" s="95"/>
      <c r="T325" s="95"/>
      <c r="U325" s="95"/>
      <c r="V325" s="95"/>
      <c r="W325" s="95"/>
      <c r="X325" s="95"/>
      <c r="Y325" s="95"/>
      <c r="Z325" s="95"/>
      <c r="AA325" s="95"/>
      <c r="AB325" s="95"/>
      <c r="AC325" s="95"/>
      <c r="AD325" s="95"/>
      <c r="AE325" s="95"/>
      <c r="AF325" s="95"/>
      <c r="AG325" s="95"/>
      <c r="AH325" s="95"/>
      <c r="AI325" s="95"/>
      <c r="AJ325" s="95"/>
      <c r="AK325" s="95"/>
      <c r="AL325" s="95"/>
      <c r="AM325" s="95"/>
      <c r="AN325" s="94"/>
      <c r="AO325" s="95"/>
      <c r="AP325" s="95"/>
      <c r="AQ325" s="95"/>
      <c r="AR325" s="95"/>
      <c r="AS325" s="95"/>
      <c r="AT325" s="95"/>
      <c r="AU325" s="95"/>
      <c r="AV325" s="95"/>
      <c r="AW325" s="95"/>
      <c r="AX325" s="95"/>
      <c r="AY325" s="95"/>
      <c r="AZ325" s="95"/>
      <c r="BA325" s="95"/>
      <c r="BB325" s="95"/>
      <c r="BC325" s="214"/>
      <c r="BD325" s="95"/>
      <c r="BE325" s="95"/>
      <c r="BF325" s="95"/>
      <c r="BG325" s="95"/>
      <c r="BH325" s="95"/>
      <c r="BI325" s="24"/>
      <c r="BJ325" s="95"/>
      <c r="BK325" s="265"/>
      <c r="BL325" s="265"/>
      <c r="BM325" s="265"/>
      <c r="BN325" s="266"/>
      <c r="BO325" s="267"/>
      <c r="BP325" s="268"/>
      <c r="BQ325" s="269"/>
      <c r="BR325" s="269"/>
      <c r="BS325" s="269"/>
      <c r="BT325" s="269"/>
      <c r="BU325" s="269"/>
      <c r="BV325" s="269"/>
      <c r="BW325" s="268"/>
      <c r="BX325" s="269"/>
      <c r="BY325" s="268"/>
      <c r="BZ325" s="268"/>
      <c r="CA325" s="268"/>
      <c r="CB325" s="269"/>
      <c r="CC325" s="268"/>
      <c r="CD325" s="268"/>
      <c r="CE325" s="269"/>
      <c r="CF325" s="269"/>
      <c r="CG325" s="269"/>
      <c r="CH325" s="269"/>
      <c r="CI325" s="269"/>
      <c r="CJ325" s="269"/>
      <c r="CK325" s="269"/>
      <c r="CL325" s="266"/>
    </row>
    <row r="326" spans="1:90">
      <c r="A326" s="95"/>
      <c r="B326" s="263"/>
      <c r="C326" s="263"/>
      <c r="D326" s="263"/>
      <c r="E326" s="263"/>
      <c r="F326" s="263"/>
      <c r="G326" s="263"/>
      <c r="H326" s="95"/>
      <c r="I326" s="95"/>
      <c r="J326" s="263"/>
      <c r="K326" s="263"/>
      <c r="L326" s="263"/>
      <c r="M326" s="263"/>
      <c r="N326" s="263"/>
      <c r="O326" s="263"/>
      <c r="P326" s="95"/>
      <c r="Q326" s="95"/>
      <c r="R326" s="95"/>
      <c r="S326" s="95"/>
      <c r="T326" s="95"/>
      <c r="U326" s="95"/>
      <c r="V326" s="95"/>
      <c r="W326" s="95"/>
      <c r="X326" s="95"/>
      <c r="Y326" s="95"/>
      <c r="Z326" s="95"/>
      <c r="AA326" s="95"/>
      <c r="AB326" s="95"/>
      <c r="AC326" s="95"/>
      <c r="AD326" s="95"/>
      <c r="AE326" s="95"/>
      <c r="AF326" s="95"/>
      <c r="AG326" s="95"/>
      <c r="AH326" s="95"/>
      <c r="AI326" s="95"/>
      <c r="AJ326" s="95"/>
      <c r="AK326" s="95"/>
      <c r="AL326" s="95"/>
      <c r="AM326" s="95"/>
      <c r="AN326" s="94"/>
      <c r="AO326" s="95"/>
      <c r="AP326" s="95"/>
      <c r="AQ326" s="95"/>
      <c r="AR326" s="95"/>
      <c r="AS326" s="95"/>
      <c r="AT326" s="95"/>
      <c r="AU326" s="95"/>
      <c r="AV326" s="95"/>
      <c r="AW326" s="95"/>
      <c r="AX326" s="95"/>
      <c r="AY326" s="95"/>
      <c r="AZ326" s="95"/>
      <c r="BA326" s="95"/>
      <c r="BB326" s="95"/>
      <c r="BC326" s="214"/>
      <c r="BD326" s="95"/>
      <c r="BE326" s="95"/>
      <c r="BF326" s="95"/>
      <c r="BG326" s="95"/>
      <c r="BH326" s="95"/>
      <c r="BI326" s="24"/>
      <c r="BJ326" s="95"/>
      <c r="BK326" s="265"/>
      <c r="BL326" s="265"/>
      <c r="BM326" s="265"/>
      <c r="BN326" s="266"/>
      <c r="BO326" s="267"/>
      <c r="BP326" s="268"/>
      <c r="BQ326" s="269"/>
      <c r="BR326" s="269"/>
      <c r="BS326" s="269"/>
      <c r="BT326" s="269"/>
      <c r="BU326" s="269"/>
      <c r="BV326" s="269"/>
      <c r="BW326" s="268"/>
      <c r="BX326" s="269"/>
      <c r="BY326" s="268"/>
      <c r="BZ326" s="268"/>
      <c r="CA326" s="268"/>
      <c r="CB326" s="269"/>
      <c r="CC326" s="268"/>
      <c r="CD326" s="268"/>
      <c r="CE326" s="269"/>
      <c r="CF326" s="269"/>
      <c r="CG326" s="269"/>
      <c r="CH326" s="269"/>
      <c r="CI326" s="269"/>
      <c r="CJ326" s="269"/>
      <c r="CK326" s="269"/>
      <c r="CL326" s="266"/>
    </row>
    <row r="327" spans="1:90">
      <c r="A327" s="95"/>
      <c r="B327" s="263"/>
      <c r="C327" s="263"/>
      <c r="D327" s="263"/>
      <c r="E327" s="263"/>
      <c r="F327" s="263"/>
      <c r="G327" s="263"/>
      <c r="H327" s="95"/>
      <c r="I327" s="95"/>
      <c r="J327" s="263"/>
      <c r="K327" s="263"/>
      <c r="L327" s="263"/>
      <c r="M327" s="263"/>
      <c r="N327" s="263"/>
      <c r="O327" s="263"/>
      <c r="P327" s="95"/>
      <c r="Q327" s="95"/>
      <c r="R327" s="95"/>
      <c r="S327" s="95"/>
      <c r="T327" s="95"/>
      <c r="U327" s="95"/>
      <c r="V327" s="95"/>
      <c r="W327" s="95"/>
      <c r="X327" s="95"/>
      <c r="Y327" s="95"/>
      <c r="Z327" s="95"/>
      <c r="AA327" s="95"/>
      <c r="AB327" s="95"/>
      <c r="AC327" s="95"/>
      <c r="AD327" s="95"/>
      <c r="AE327" s="95"/>
      <c r="AF327" s="95"/>
      <c r="AG327" s="95"/>
      <c r="AH327" s="95"/>
      <c r="AI327" s="95"/>
      <c r="AJ327" s="95"/>
      <c r="AK327" s="95"/>
      <c r="AL327" s="95"/>
      <c r="AM327" s="95"/>
      <c r="AN327" s="94"/>
      <c r="AO327" s="95"/>
      <c r="AP327" s="95"/>
      <c r="AQ327" s="95"/>
      <c r="AR327" s="95"/>
      <c r="AS327" s="95"/>
      <c r="AT327" s="95"/>
      <c r="AU327" s="95"/>
      <c r="AV327" s="95"/>
      <c r="AW327" s="95"/>
      <c r="AX327" s="95"/>
      <c r="AY327" s="95"/>
      <c r="AZ327" s="95"/>
      <c r="BA327" s="95"/>
      <c r="BB327" s="95"/>
      <c r="BC327" s="214"/>
      <c r="BD327" s="95"/>
      <c r="BE327" s="95"/>
      <c r="BF327" s="95"/>
      <c r="BG327" s="95"/>
      <c r="BH327" s="95"/>
      <c r="BI327" s="24"/>
      <c r="BJ327" s="95"/>
      <c r="BK327" s="265"/>
      <c r="BL327" s="265"/>
      <c r="BM327" s="265"/>
      <c r="BN327" s="266"/>
      <c r="BO327" s="267"/>
      <c r="BP327" s="268"/>
      <c r="BQ327" s="269"/>
      <c r="BR327" s="269"/>
      <c r="BS327" s="269"/>
      <c r="BT327" s="269"/>
      <c r="BU327" s="269"/>
      <c r="BV327" s="269"/>
      <c r="BW327" s="268"/>
      <c r="BX327" s="269"/>
      <c r="BY327" s="268"/>
      <c r="BZ327" s="268"/>
      <c r="CA327" s="268"/>
      <c r="CB327" s="269"/>
      <c r="CC327" s="268"/>
      <c r="CD327" s="268"/>
      <c r="CE327" s="269"/>
      <c r="CF327" s="269"/>
      <c r="CG327" s="269"/>
      <c r="CH327" s="269"/>
      <c r="CI327" s="269"/>
      <c r="CJ327" s="269"/>
      <c r="CK327" s="269"/>
      <c r="CL327" s="266"/>
    </row>
    <row r="328" spans="1:90">
      <c r="A328" s="95"/>
      <c r="B328" s="263"/>
      <c r="C328" s="263"/>
      <c r="D328" s="263"/>
      <c r="E328" s="263"/>
      <c r="F328" s="263"/>
      <c r="G328" s="263"/>
      <c r="H328" s="95"/>
      <c r="I328" s="95"/>
      <c r="J328" s="263"/>
      <c r="K328" s="263"/>
      <c r="L328" s="263"/>
      <c r="M328" s="263"/>
      <c r="N328" s="263"/>
      <c r="O328" s="263"/>
      <c r="P328" s="95"/>
      <c r="Q328" s="95"/>
      <c r="R328" s="95"/>
      <c r="S328" s="95"/>
      <c r="T328" s="95"/>
      <c r="U328" s="95"/>
      <c r="V328" s="95"/>
      <c r="W328" s="95"/>
      <c r="X328" s="95"/>
      <c r="Y328" s="95"/>
      <c r="Z328" s="95"/>
      <c r="AA328" s="95"/>
      <c r="AB328" s="95"/>
      <c r="AC328" s="95"/>
      <c r="AD328" s="95"/>
      <c r="AE328" s="95"/>
      <c r="AF328" s="95"/>
      <c r="AG328" s="95"/>
      <c r="AH328" s="95"/>
      <c r="AI328" s="95"/>
      <c r="AJ328" s="95"/>
      <c r="AK328" s="95"/>
      <c r="AL328" s="95"/>
      <c r="AM328" s="95"/>
      <c r="AN328" s="94"/>
      <c r="AO328" s="95"/>
      <c r="AP328" s="95"/>
      <c r="AQ328" s="95"/>
      <c r="AR328" s="95"/>
      <c r="AS328" s="95"/>
      <c r="AT328" s="95"/>
      <c r="AU328" s="95"/>
      <c r="AV328" s="95"/>
      <c r="AW328" s="95"/>
      <c r="AX328" s="95"/>
      <c r="AY328" s="95"/>
      <c r="AZ328" s="95"/>
      <c r="BA328" s="95"/>
      <c r="BB328" s="95"/>
      <c r="BC328" s="214"/>
      <c r="BD328" s="95"/>
      <c r="BE328" s="95"/>
      <c r="BF328" s="95"/>
      <c r="BG328" s="95"/>
      <c r="BH328" s="95"/>
      <c r="BI328" s="24"/>
      <c r="BJ328" s="95"/>
      <c r="BK328" s="265"/>
      <c r="BL328" s="265"/>
      <c r="BM328" s="265"/>
      <c r="BN328" s="266"/>
      <c r="BO328" s="267"/>
      <c r="BP328" s="268"/>
      <c r="BQ328" s="269"/>
      <c r="BR328" s="269"/>
      <c r="BS328" s="269"/>
      <c r="BT328" s="269"/>
      <c r="BU328" s="269"/>
      <c r="BV328" s="269"/>
      <c r="BW328" s="268"/>
      <c r="BX328" s="269"/>
      <c r="BY328" s="268"/>
      <c r="BZ328" s="268"/>
      <c r="CA328" s="268"/>
      <c r="CB328" s="269"/>
      <c r="CC328" s="268"/>
      <c r="CD328" s="268"/>
      <c r="CE328" s="269"/>
      <c r="CF328" s="269"/>
      <c r="CG328" s="269"/>
      <c r="CH328" s="269"/>
      <c r="CI328" s="269"/>
      <c r="CJ328" s="269"/>
      <c r="CK328" s="269"/>
      <c r="CL328" s="266"/>
    </row>
    <row r="329" spans="1:90">
      <c r="A329" s="95"/>
      <c r="B329" s="263"/>
      <c r="C329" s="263"/>
      <c r="D329" s="263"/>
      <c r="E329" s="263"/>
      <c r="F329" s="263"/>
      <c r="G329" s="263"/>
      <c r="H329" s="95"/>
      <c r="I329" s="95"/>
      <c r="J329" s="263"/>
      <c r="K329" s="263"/>
      <c r="L329" s="263"/>
      <c r="M329" s="263"/>
      <c r="N329" s="263"/>
      <c r="O329" s="263"/>
      <c r="P329" s="95"/>
      <c r="Q329" s="95"/>
      <c r="R329" s="95"/>
      <c r="S329" s="95"/>
      <c r="T329" s="95"/>
      <c r="U329" s="95"/>
      <c r="V329" s="95"/>
      <c r="W329" s="95"/>
      <c r="X329" s="95"/>
      <c r="Y329" s="95"/>
      <c r="Z329" s="95"/>
      <c r="AA329" s="95"/>
      <c r="AB329" s="95"/>
      <c r="AC329" s="95"/>
      <c r="AD329" s="95"/>
      <c r="AE329" s="95"/>
      <c r="AF329" s="95"/>
      <c r="AG329" s="95"/>
      <c r="AH329" s="95"/>
      <c r="AI329" s="95"/>
      <c r="AJ329" s="95"/>
      <c r="AK329" s="95"/>
      <c r="AL329" s="95"/>
      <c r="AM329" s="95"/>
      <c r="AN329" s="94"/>
      <c r="AO329" s="95"/>
      <c r="AP329" s="95"/>
      <c r="AQ329" s="95"/>
      <c r="AR329" s="95"/>
      <c r="AS329" s="95"/>
      <c r="AT329" s="95"/>
      <c r="AU329" s="95"/>
      <c r="AV329" s="95"/>
      <c r="AW329" s="95"/>
      <c r="AX329" s="95"/>
      <c r="AY329" s="95"/>
      <c r="AZ329" s="95"/>
      <c r="BA329" s="95"/>
      <c r="BB329" s="95"/>
      <c r="BC329" s="214"/>
      <c r="BD329" s="95"/>
      <c r="BE329" s="95"/>
      <c r="BF329" s="95"/>
      <c r="BG329" s="95"/>
      <c r="BH329" s="95"/>
      <c r="BI329" s="24"/>
      <c r="BJ329" s="95"/>
      <c r="BK329" s="265"/>
      <c r="BL329" s="265"/>
      <c r="BM329" s="265"/>
      <c r="BN329" s="266"/>
      <c r="BO329" s="267"/>
      <c r="BP329" s="268"/>
      <c r="BQ329" s="269"/>
      <c r="BR329" s="269"/>
      <c r="BS329" s="269"/>
      <c r="BT329" s="269"/>
      <c r="BU329" s="269"/>
      <c r="BV329" s="269"/>
      <c r="BW329" s="268"/>
      <c r="BX329" s="269"/>
      <c r="BY329" s="268"/>
      <c r="BZ329" s="268"/>
      <c r="CA329" s="268"/>
      <c r="CB329" s="269"/>
      <c r="CC329" s="268"/>
      <c r="CD329" s="268"/>
      <c r="CE329" s="269"/>
      <c r="CF329" s="269"/>
      <c r="CG329" s="269"/>
      <c r="CH329" s="269"/>
      <c r="CI329" s="269"/>
      <c r="CJ329" s="269"/>
      <c r="CK329" s="269"/>
      <c r="CL329" s="266"/>
    </row>
    <row r="330" spans="1:90">
      <c r="A330" s="95"/>
      <c r="B330" s="263"/>
      <c r="C330" s="263"/>
      <c r="D330" s="263"/>
      <c r="E330" s="263"/>
      <c r="F330" s="263"/>
      <c r="G330" s="263"/>
      <c r="H330" s="95"/>
      <c r="I330" s="95"/>
      <c r="J330" s="263"/>
      <c r="K330" s="263"/>
      <c r="L330" s="263"/>
      <c r="M330" s="263"/>
      <c r="N330" s="263"/>
      <c r="O330" s="263"/>
      <c r="P330" s="95"/>
      <c r="Q330" s="95"/>
      <c r="R330" s="95"/>
      <c r="S330" s="95"/>
      <c r="T330" s="95"/>
      <c r="U330" s="95"/>
      <c r="V330" s="95"/>
      <c r="W330" s="95"/>
      <c r="X330" s="95"/>
      <c r="Y330" s="95"/>
      <c r="Z330" s="95"/>
      <c r="AA330" s="95"/>
      <c r="AB330" s="95"/>
      <c r="AC330" s="95"/>
      <c r="AD330" s="95"/>
      <c r="AE330" s="95"/>
      <c r="AF330" s="95"/>
      <c r="AG330" s="95"/>
      <c r="AH330" s="95"/>
      <c r="AI330" s="95"/>
      <c r="AJ330" s="95"/>
      <c r="AK330" s="95"/>
      <c r="AL330" s="95"/>
      <c r="AM330" s="95"/>
      <c r="AN330" s="94"/>
      <c r="AO330" s="95"/>
      <c r="AP330" s="95"/>
      <c r="AQ330" s="95"/>
      <c r="AR330" s="95"/>
      <c r="AS330" s="95"/>
      <c r="AT330" s="95"/>
      <c r="AU330" s="95"/>
      <c r="AV330" s="95"/>
      <c r="AW330" s="95"/>
      <c r="AX330" s="95"/>
      <c r="AY330" s="95"/>
      <c r="AZ330" s="95"/>
      <c r="BA330" s="95"/>
      <c r="BB330" s="95"/>
      <c r="BC330" s="214"/>
      <c r="BD330" s="95"/>
      <c r="BE330" s="95"/>
      <c r="BF330" s="95"/>
      <c r="BG330" s="95"/>
      <c r="BH330" s="95"/>
      <c r="BI330" s="24"/>
      <c r="BJ330" s="95"/>
      <c r="BK330" s="265"/>
      <c r="BL330" s="265"/>
      <c r="BM330" s="265"/>
      <c r="BN330" s="266"/>
      <c r="BO330" s="267"/>
      <c r="BP330" s="268"/>
      <c r="BQ330" s="269"/>
      <c r="BR330" s="269"/>
      <c r="BS330" s="269"/>
      <c r="BT330" s="269"/>
      <c r="BU330" s="269"/>
      <c r="BV330" s="269"/>
      <c r="BW330" s="268"/>
      <c r="BX330" s="269"/>
      <c r="BY330" s="268"/>
      <c r="BZ330" s="268"/>
      <c r="CA330" s="268"/>
      <c r="CB330" s="269"/>
      <c r="CC330" s="268"/>
      <c r="CD330" s="268"/>
      <c r="CE330" s="269"/>
      <c r="CF330" s="269"/>
      <c r="CG330" s="269"/>
      <c r="CH330" s="269"/>
      <c r="CI330" s="269"/>
      <c r="CJ330" s="269"/>
      <c r="CK330" s="269"/>
      <c r="CL330" s="266"/>
    </row>
    <row r="331" spans="1:90">
      <c r="A331" s="95"/>
      <c r="B331" s="263"/>
      <c r="C331" s="263"/>
      <c r="D331" s="263"/>
      <c r="E331" s="263"/>
      <c r="F331" s="263"/>
      <c r="G331" s="263"/>
      <c r="H331" s="95"/>
      <c r="I331" s="95"/>
      <c r="J331" s="263"/>
      <c r="K331" s="263"/>
      <c r="L331" s="263"/>
      <c r="M331" s="263"/>
      <c r="N331" s="263"/>
      <c r="O331" s="263"/>
      <c r="P331" s="95"/>
      <c r="Q331" s="95"/>
      <c r="R331" s="95"/>
      <c r="S331" s="95"/>
      <c r="T331" s="95"/>
      <c r="U331" s="95"/>
      <c r="V331" s="95"/>
      <c r="W331" s="95"/>
      <c r="X331" s="95"/>
      <c r="Y331" s="95"/>
      <c r="Z331" s="95"/>
      <c r="AA331" s="95"/>
      <c r="AB331" s="95"/>
      <c r="AC331" s="95"/>
      <c r="AD331" s="95"/>
      <c r="AE331" s="95"/>
      <c r="AF331" s="95"/>
      <c r="AG331" s="95"/>
      <c r="AH331" s="95"/>
      <c r="AI331" s="95"/>
      <c r="AJ331" s="95"/>
      <c r="AK331" s="95"/>
      <c r="AL331" s="95"/>
      <c r="AM331" s="95"/>
      <c r="AN331" s="94"/>
      <c r="AO331" s="95"/>
      <c r="AP331" s="95"/>
      <c r="AQ331" s="95"/>
      <c r="AR331" s="95"/>
      <c r="AS331" s="95"/>
      <c r="AT331" s="95"/>
      <c r="AU331" s="95"/>
      <c r="AV331" s="95"/>
      <c r="AW331" s="95"/>
      <c r="AX331" s="95"/>
      <c r="AY331" s="95"/>
      <c r="AZ331" s="95"/>
      <c r="BA331" s="95"/>
      <c r="BB331" s="95"/>
      <c r="BC331" s="214"/>
      <c r="BD331" s="95"/>
      <c r="BE331" s="95"/>
      <c r="BF331" s="95"/>
      <c r="BG331" s="95"/>
      <c r="BH331" s="95"/>
      <c r="BI331" s="24"/>
      <c r="BJ331" s="95"/>
      <c r="BK331" s="265"/>
      <c r="BL331" s="265"/>
      <c r="BM331" s="265"/>
      <c r="BN331" s="266"/>
      <c r="BO331" s="267"/>
      <c r="BP331" s="268"/>
      <c r="BQ331" s="269"/>
      <c r="BR331" s="269"/>
      <c r="BS331" s="269"/>
      <c r="BT331" s="269"/>
      <c r="BU331" s="269"/>
      <c r="BV331" s="269"/>
      <c r="BW331" s="268"/>
      <c r="BX331" s="269"/>
      <c r="BY331" s="268"/>
      <c r="BZ331" s="268"/>
      <c r="CA331" s="268"/>
      <c r="CB331" s="269"/>
      <c r="CC331" s="268"/>
      <c r="CD331" s="268"/>
      <c r="CE331" s="269"/>
      <c r="CF331" s="269"/>
      <c r="CG331" s="269"/>
      <c r="CH331" s="269"/>
      <c r="CI331" s="269"/>
      <c r="CJ331" s="269"/>
      <c r="CK331" s="269"/>
      <c r="CL331" s="266"/>
    </row>
    <row r="332" spans="1:90">
      <c r="A332" s="95"/>
      <c r="B332" s="263"/>
      <c r="C332" s="263"/>
      <c r="D332" s="263"/>
      <c r="E332" s="263"/>
      <c r="F332" s="263"/>
      <c r="G332" s="263"/>
      <c r="H332" s="95"/>
      <c r="I332" s="95"/>
      <c r="J332" s="263"/>
      <c r="K332" s="263"/>
      <c r="L332" s="263"/>
      <c r="M332" s="263"/>
      <c r="N332" s="263"/>
      <c r="O332" s="263"/>
      <c r="P332" s="95"/>
      <c r="Q332" s="95"/>
      <c r="R332" s="95"/>
      <c r="S332" s="95"/>
      <c r="T332" s="95"/>
      <c r="U332" s="95"/>
      <c r="V332" s="95"/>
      <c r="W332" s="95"/>
      <c r="X332" s="95"/>
      <c r="Y332" s="95"/>
      <c r="Z332" s="95"/>
      <c r="AA332" s="95"/>
      <c r="AB332" s="95"/>
      <c r="AC332" s="95"/>
      <c r="AD332" s="95"/>
      <c r="AE332" s="95"/>
      <c r="AF332" s="95"/>
      <c r="AG332" s="95"/>
      <c r="AH332" s="95"/>
      <c r="AI332" s="95"/>
      <c r="AJ332" s="95"/>
      <c r="AK332" s="95"/>
      <c r="AL332" s="95"/>
      <c r="AM332" s="95"/>
      <c r="AN332" s="94"/>
      <c r="AO332" s="95"/>
      <c r="AP332" s="95"/>
      <c r="AQ332" s="95"/>
      <c r="AR332" s="95"/>
      <c r="AS332" s="95"/>
      <c r="AT332" s="95"/>
      <c r="AU332" s="95"/>
      <c r="AV332" s="95"/>
      <c r="AW332" s="95"/>
      <c r="AX332" s="95"/>
      <c r="AY332" s="95"/>
      <c r="AZ332" s="95"/>
      <c r="BA332" s="95"/>
      <c r="BB332" s="95"/>
      <c r="BC332" s="214"/>
      <c r="BD332" s="95"/>
      <c r="BE332" s="95"/>
      <c r="BF332" s="95"/>
      <c r="BG332" s="95"/>
      <c r="BH332" s="95"/>
      <c r="BI332" s="24"/>
      <c r="BJ332" s="95"/>
      <c r="BK332" s="265"/>
      <c r="BL332" s="265"/>
      <c r="BM332" s="265"/>
      <c r="BN332" s="266"/>
      <c r="BO332" s="267"/>
      <c r="BP332" s="268"/>
      <c r="BQ332" s="269"/>
      <c r="BR332" s="269"/>
      <c r="BS332" s="269"/>
      <c r="BT332" s="269"/>
      <c r="BU332" s="269"/>
      <c r="BV332" s="269"/>
      <c r="BW332" s="268"/>
      <c r="BX332" s="269"/>
      <c r="BY332" s="268"/>
      <c r="BZ332" s="268"/>
      <c r="CA332" s="268"/>
      <c r="CB332" s="269"/>
      <c r="CC332" s="268"/>
      <c r="CD332" s="268"/>
      <c r="CE332" s="269"/>
      <c r="CF332" s="269"/>
      <c r="CG332" s="269"/>
      <c r="CH332" s="269"/>
      <c r="CI332" s="269"/>
      <c r="CJ332" s="269"/>
      <c r="CK332" s="269"/>
      <c r="CL332" s="266"/>
    </row>
    <row r="333" spans="1:90">
      <c r="A333" s="95"/>
      <c r="B333" s="263"/>
      <c r="C333" s="263"/>
      <c r="D333" s="263"/>
      <c r="E333" s="263"/>
      <c r="F333" s="263"/>
      <c r="G333" s="263"/>
      <c r="H333" s="95"/>
      <c r="I333" s="95"/>
      <c r="J333" s="263"/>
      <c r="K333" s="263"/>
      <c r="L333" s="263"/>
      <c r="M333" s="263"/>
      <c r="N333" s="263"/>
      <c r="O333" s="263"/>
      <c r="P333" s="95"/>
      <c r="Q333" s="95"/>
      <c r="R333" s="95"/>
      <c r="S333" s="95"/>
      <c r="T333" s="95"/>
      <c r="U333" s="95"/>
      <c r="V333" s="95"/>
      <c r="W333" s="95"/>
      <c r="X333" s="95"/>
      <c r="Y333" s="95"/>
      <c r="Z333" s="95"/>
      <c r="AA333" s="95"/>
      <c r="AB333" s="95"/>
      <c r="AC333" s="95"/>
      <c r="AD333" s="95"/>
      <c r="AE333" s="95"/>
      <c r="AF333" s="95"/>
      <c r="AG333" s="95"/>
      <c r="AH333" s="95"/>
      <c r="AI333" s="95"/>
      <c r="AJ333" s="95"/>
      <c r="AK333" s="95"/>
      <c r="AL333" s="95"/>
      <c r="AM333" s="95"/>
      <c r="AN333" s="94"/>
      <c r="AO333" s="95"/>
      <c r="AP333" s="95"/>
      <c r="AQ333" s="95"/>
      <c r="AR333" s="95"/>
      <c r="AS333" s="95"/>
      <c r="AT333" s="95"/>
      <c r="AU333" s="95"/>
      <c r="AV333" s="95"/>
      <c r="AW333" s="95"/>
      <c r="AX333" s="95"/>
      <c r="AY333" s="95"/>
      <c r="AZ333" s="95"/>
      <c r="BA333" s="95"/>
      <c r="BB333" s="95"/>
      <c r="BC333" s="214"/>
      <c r="BD333" s="95"/>
      <c r="BE333" s="95"/>
      <c r="BF333" s="95"/>
      <c r="BG333" s="95"/>
      <c r="BH333" s="95"/>
      <c r="BI333" s="24"/>
      <c r="BJ333" s="95"/>
      <c r="BK333" s="265"/>
      <c r="BL333" s="265"/>
      <c r="BM333" s="265"/>
      <c r="BN333" s="266"/>
      <c r="BO333" s="267"/>
      <c r="BP333" s="268"/>
      <c r="BQ333" s="269"/>
      <c r="BR333" s="269"/>
      <c r="BS333" s="269"/>
      <c r="BT333" s="269"/>
      <c r="BU333" s="269"/>
      <c r="BV333" s="269"/>
      <c r="BW333" s="268"/>
      <c r="BX333" s="269"/>
      <c r="BY333" s="268"/>
      <c r="BZ333" s="268"/>
      <c r="CA333" s="268"/>
      <c r="CB333" s="269"/>
      <c r="CC333" s="268"/>
      <c r="CD333" s="268"/>
      <c r="CE333" s="269"/>
      <c r="CF333" s="269"/>
      <c r="CG333" s="269"/>
      <c r="CH333" s="269"/>
      <c r="CI333" s="269"/>
      <c r="CJ333" s="269"/>
      <c r="CK333" s="269"/>
      <c r="CL333" s="266"/>
    </row>
    <row r="334" spans="1:90">
      <c r="A334" s="95"/>
      <c r="B334" s="263"/>
      <c r="C334" s="263"/>
      <c r="D334" s="263"/>
      <c r="E334" s="263"/>
      <c r="F334" s="263"/>
      <c r="G334" s="263"/>
      <c r="H334" s="95"/>
      <c r="I334" s="95"/>
      <c r="J334" s="263"/>
      <c r="K334" s="263"/>
      <c r="L334" s="263"/>
      <c r="M334" s="263"/>
      <c r="N334" s="263"/>
      <c r="O334" s="263"/>
      <c r="P334" s="95"/>
      <c r="Q334" s="95"/>
      <c r="R334" s="95"/>
      <c r="S334" s="95"/>
      <c r="T334" s="95"/>
      <c r="U334" s="95"/>
      <c r="V334" s="95"/>
      <c r="W334" s="95"/>
      <c r="X334" s="95"/>
      <c r="Y334" s="95"/>
      <c r="Z334" s="95"/>
      <c r="AA334" s="95"/>
      <c r="AB334" s="95"/>
      <c r="AC334" s="95"/>
      <c r="AD334" s="95"/>
      <c r="AE334" s="95"/>
      <c r="AF334" s="95"/>
      <c r="AG334" s="95"/>
      <c r="AH334" s="95"/>
      <c r="AI334" s="95"/>
      <c r="AJ334" s="95"/>
      <c r="AK334" s="95"/>
      <c r="AL334" s="95"/>
      <c r="AM334" s="95"/>
      <c r="AN334" s="94"/>
      <c r="AO334" s="95"/>
      <c r="AP334" s="95"/>
      <c r="AQ334" s="95"/>
      <c r="AR334" s="95"/>
      <c r="AS334" s="95"/>
      <c r="AT334" s="95"/>
      <c r="AU334" s="95"/>
      <c r="AV334" s="95"/>
      <c r="AW334" s="95"/>
      <c r="AX334" s="95"/>
      <c r="AY334" s="95"/>
      <c r="AZ334" s="95"/>
      <c r="BA334" s="95"/>
      <c r="BB334" s="95"/>
      <c r="BC334" s="214"/>
      <c r="BD334" s="95"/>
      <c r="BE334" s="95"/>
      <c r="BF334" s="95"/>
      <c r="BG334" s="95"/>
      <c r="BH334" s="95"/>
      <c r="BI334" s="24"/>
      <c r="BJ334" s="95"/>
      <c r="BK334" s="265"/>
      <c r="BL334" s="265"/>
      <c r="BM334" s="265"/>
      <c r="BN334" s="266"/>
      <c r="BO334" s="267"/>
      <c r="BP334" s="268"/>
      <c r="BQ334" s="269"/>
      <c r="BR334" s="269"/>
      <c r="BS334" s="269"/>
      <c r="BT334" s="269"/>
      <c r="BU334" s="269"/>
      <c r="BV334" s="269"/>
      <c r="BW334" s="268"/>
      <c r="BX334" s="269"/>
      <c r="BY334" s="268"/>
      <c r="BZ334" s="268"/>
      <c r="CA334" s="268"/>
      <c r="CB334" s="269"/>
      <c r="CC334" s="268"/>
      <c r="CD334" s="268"/>
      <c r="CE334" s="269"/>
      <c r="CF334" s="269"/>
      <c r="CG334" s="269"/>
      <c r="CH334" s="269"/>
      <c r="CI334" s="269"/>
      <c r="CJ334" s="269"/>
      <c r="CK334" s="269"/>
      <c r="CL334" s="266"/>
    </row>
    <row r="335" spans="1:90">
      <c r="A335" s="95"/>
      <c r="B335" s="263"/>
      <c r="C335" s="263"/>
      <c r="D335" s="263"/>
      <c r="E335" s="263"/>
      <c r="F335" s="263"/>
      <c r="G335" s="263"/>
      <c r="H335" s="95"/>
      <c r="I335" s="95"/>
      <c r="J335" s="263"/>
      <c r="K335" s="263"/>
      <c r="L335" s="263"/>
      <c r="M335" s="263"/>
      <c r="N335" s="263"/>
      <c r="O335" s="263"/>
      <c r="P335" s="95"/>
      <c r="Q335" s="95"/>
      <c r="R335" s="95"/>
      <c r="S335" s="95"/>
      <c r="T335" s="95"/>
      <c r="U335" s="95"/>
      <c r="V335" s="95"/>
      <c r="W335" s="95"/>
      <c r="X335" s="95"/>
      <c r="Y335" s="95"/>
      <c r="Z335" s="95"/>
      <c r="AA335" s="95"/>
      <c r="AB335" s="95"/>
      <c r="AC335" s="95"/>
      <c r="AD335" s="95"/>
      <c r="AE335" s="95"/>
      <c r="AF335" s="95"/>
      <c r="AG335" s="95"/>
      <c r="AH335" s="95"/>
      <c r="AI335" s="95"/>
      <c r="AJ335" s="95"/>
      <c r="AK335" s="95"/>
      <c r="AL335" s="95"/>
      <c r="AM335" s="95"/>
      <c r="AN335" s="94"/>
      <c r="AO335" s="95"/>
      <c r="AP335" s="95"/>
      <c r="AQ335" s="95"/>
      <c r="AR335" s="95"/>
      <c r="AS335" s="95"/>
      <c r="AT335" s="95"/>
      <c r="AU335" s="95"/>
      <c r="AV335" s="95"/>
      <c r="AW335" s="95"/>
      <c r="AX335" s="95"/>
      <c r="AY335" s="95"/>
      <c r="AZ335" s="95"/>
      <c r="BA335" s="95"/>
      <c r="BB335" s="95"/>
      <c r="BC335" s="214"/>
      <c r="BD335" s="95"/>
      <c r="BE335" s="95"/>
      <c r="BF335" s="95"/>
      <c r="BG335" s="95"/>
      <c r="BH335" s="95"/>
      <c r="BI335" s="24"/>
      <c r="BJ335" s="95"/>
      <c r="BK335" s="265"/>
      <c r="BL335" s="265"/>
      <c r="BM335" s="265"/>
      <c r="BN335" s="266"/>
      <c r="BO335" s="267"/>
      <c r="BP335" s="268"/>
      <c r="BQ335" s="269"/>
      <c r="BR335" s="269"/>
      <c r="BS335" s="269"/>
      <c r="BT335" s="269"/>
      <c r="BU335" s="269"/>
      <c r="BV335" s="269"/>
      <c r="BW335" s="268"/>
      <c r="BX335" s="269"/>
      <c r="BY335" s="268"/>
      <c r="BZ335" s="268"/>
      <c r="CA335" s="268"/>
      <c r="CB335" s="269"/>
      <c r="CC335" s="268"/>
      <c r="CD335" s="268"/>
      <c r="CE335" s="269"/>
      <c r="CF335" s="269"/>
      <c r="CG335" s="269"/>
      <c r="CH335" s="269"/>
      <c r="CI335" s="269"/>
      <c r="CJ335" s="269"/>
      <c r="CK335" s="269"/>
      <c r="CL335" s="266"/>
    </row>
    <row r="336" spans="1:90">
      <c r="A336" s="95"/>
      <c r="B336" s="263"/>
      <c r="C336" s="263"/>
      <c r="D336" s="263"/>
      <c r="E336" s="263"/>
      <c r="F336" s="263"/>
      <c r="G336" s="263"/>
      <c r="H336" s="95"/>
      <c r="I336" s="95"/>
      <c r="J336" s="263"/>
      <c r="K336" s="263"/>
      <c r="L336" s="263"/>
      <c r="M336" s="263"/>
      <c r="N336" s="263"/>
      <c r="O336" s="263"/>
      <c r="P336" s="95"/>
      <c r="Q336" s="95"/>
      <c r="R336" s="95"/>
      <c r="S336" s="95"/>
      <c r="T336" s="95"/>
      <c r="U336" s="95"/>
      <c r="V336" s="95"/>
      <c r="W336" s="95"/>
      <c r="X336" s="95"/>
      <c r="Y336" s="95"/>
      <c r="Z336" s="95"/>
      <c r="AA336" s="95"/>
      <c r="AB336" s="95"/>
      <c r="AC336" s="95"/>
      <c r="AD336" s="95"/>
      <c r="AE336" s="95"/>
      <c r="AF336" s="95"/>
      <c r="AG336" s="95"/>
      <c r="AH336" s="95"/>
      <c r="AI336" s="95"/>
      <c r="AJ336" s="95"/>
      <c r="AK336" s="95"/>
      <c r="AL336" s="95"/>
      <c r="AM336" s="95"/>
      <c r="AN336" s="94"/>
      <c r="AO336" s="95"/>
      <c r="AP336" s="95"/>
      <c r="AQ336" s="95"/>
      <c r="AR336" s="95"/>
      <c r="AS336" s="95"/>
      <c r="AT336" s="95"/>
      <c r="AU336" s="95"/>
      <c r="AV336" s="95"/>
      <c r="AW336" s="95"/>
      <c r="AX336" s="95"/>
      <c r="AY336" s="95"/>
      <c r="AZ336" s="95"/>
      <c r="BA336" s="95"/>
      <c r="BB336" s="95"/>
      <c r="BC336" s="214"/>
      <c r="BD336" s="95"/>
      <c r="BE336" s="95"/>
      <c r="BF336" s="95"/>
      <c r="BG336" s="95"/>
      <c r="BH336" s="95"/>
      <c r="BI336" s="24"/>
      <c r="BJ336" s="95"/>
      <c r="BK336" s="265"/>
      <c r="BL336" s="265"/>
      <c r="BM336" s="265"/>
      <c r="BN336" s="266"/>
      <c r="BO336" s="267"/>
      <c r="BP336" s="268"/>
      <c r="BQ336" s="269"/>
      <c r="BR336" s="269"/>
      <c r="BS336" s="269"/>
      <c r="BT336" s="269"/>
      <c r="BU336" s="269"/>
      <c r="BV336" s="269"/>
      <c r="BW336" s="268"/>
      <c r="BX336" s="269"/>
      <c r="BY336" s="268"/>
      <c r="BZ336" s="268"/>
      <c r="CA336" s="268"/>
      <c r="CB336" s="269"/>
      <c r="CC336" s="268"/>
      <c r="CD336" s="268"/>
      <c r="CE336" s="269"/>
      <c r="CF336" s="269"/>
      <c r="CG336" s="269"/>
      <c r="CH336" s="269"/>
      <c r="CI336" s="269"/>
      <c r="CJ336" s="269"/>
      <c r="CK336" s="269"/>
      <c r="CL336" s="266"/>
    </row>
    <row r="337" spans="1:90">
      <c r="A337" s="95"/>
      <c r="B337" s="263"/>
      <c r="C337" s="263"/>
      <c r="D337" s="263"/>
      <c r="E337" s="263"/>
      <c r="F337" s="263"/>
      <c r="G337" s="263"/>
      <c r="H337" s="95"/>
      <c r="I337" s="95"/>
      <c r="J337" s="263"/>
      <c r="K337" s="263"/>
      <c r="L337" s="263"/>
      <c r="M337" s="263"/>
      <c r="N337" s="263"/>
      <c r="O337" s="263"/>
      <c r="P337" s="95"/>
      <c r="Q337" s="95"/>
      <c r="R337" s="95"/>
      <c r="S337" s="95"/>
      <c r="T337" s="95"/>
      <c r="U337" s="95"/>
      <c r="V337" s="95"/>
      <c r="W337" s="95"/>
      <c r="X337" s="95"/>
      <c r="Y337" s="95"/>
      <c r="Z337" s="95"/>
      <c r="AA337" s="95"/>
      <c r="AB337" s="95"/>
      <c r="AC337" s="95"/>
      <c r="AD337" s="95"/>
      <c r="AE337" s="95"/>
      <c r="AF337" s="95"/>
      <c r="AG337" s="95"/>
      <c r="AH337" s="95"/>
      <c r="AI337" s="95"/>
      <c r="AJ337" s="95"/>
      <c r="AK337" s="95"/>
      <c r="AL337" s="95"/>
      <c r="AM337" s="95"/>
      <c r="AN337" s="94"/>
      <c r="AO337" s="95"/>
      <c r="AP337" s="95"/>
      <c r="AQ337" s="95"/>
      <c r="AR337" s="95"/>
      <c r="AS337" s="95"/>
      <c r="AT337" s="95"/>
      <c r="AU337" s="95"/>
      <c r="AV337" s="95"/>
      <c r="AW337" s="95"/>
      <c r="AX337" s="95"/>
      <c r="AY337" s="95"/>
      <c r="AZ337" s="95"/>
      <c r="BA337" s="95"/>
      <c r="BB337" s="95"/>
      <c r="BC337" s="214"/>
      <c r="BD337" s="95"/>
      <c r="BE337" s="95"/>
      <c r="BF337" s="95"/>
      <c r="BG337" s="95"/>
      <c r="BH337" s="95"/>
      <c r="BI337" s="24"/>
      <c r="BJ337" s="95"/>
      <c r="BK337" s="265"/>
      <c r="BL337" s="265"/>
      <c r="BM337" s="265"/>
      <c r="BN337" s="266"/>
      <c r="BO337" s="267"/>
      <c r="BP337" s="268"/>
      <c r="BQ337" s="269"/>
      <c r="BR337" s="269"/>
      <c r="BS337" s="269"/>
      <c r="BT337" s="269"/>
      <c r="BU337" s="269"/>
      <c r="BV337" s="269"/>
      <c r="BW337" s="268"/>
      <c r="BX337" s="269"/>
      <c r="BY337" s="268"/>
      <c r="BZ337" s="268"/>
      <c r="CA337" s="268"/>
      <c r="CB337" s="269"/>
      <c r="CC337" s="268"/>
      <c r="CD337" s="268"/>
      <c r="CE337" s="269"/>
      <c r="CF337" s="269"/>
      <c r="CG337" s="269"/>
      <c r="CH337" s="269"/>
      <c r="CI337" s="269"/>
      <c r="CJ337" s="269"/>
      <c r="CK337" s="269"/>
      <c r="CL337" s="266"/>
    </row>
    <row r="338" spans="1:90">
      <c r="A338" s="95"/>
      <c r="B338" s="263"/>
      <c r="C338" s="263"/>
      <c r="D338" s="263"/>
      <c r="E338" s="263"/>
      <c r="F338" s="263"/>
      <c r="G338" s="263"/>
      <c r="H338" s="95"/>
      <c r="I338" s="95"/>
      <c r="J338" s="263"/>
      <c r="K338" s="263"/>
      <c r="L338" s="263"/>
      <c r="M338" s="263"/>
      <c r="N338" s="263"/>
      <c r="O338" s="263"/>
      <c r="P338" s="95"/>
      <c r="Q338" s="95"/>
      <c r="R338" s="95"/>
      <c r="S338" s="95"/>
      <c r="T338" s="95"/>
      <c r="U338" s="95"/>
      <c r="V338" s="95"/>
      <c r="W338" s="95"/>
      <c r="X338" s="95"/>
      <c r="Y338" s="95"/>
      <c r="Z338" s="95"/>
      <c r="AA338" s="95"/>
      <c r="AB338" s="95"/>
      <c r="AC338" s="95"/>
      <c r="AD338" s="95"/>
      <c r="AE338" s="95"/>
      <c r="AF338" s="95"/>
      <c r="AG338" s="95"/>
      <c r="AH338" s="95"/>
      <c r="AI338" s="95"/>
      <c r="AJ338" s="95"/>
      <c r="AK338" s="95"/>
      <c r="AL338" s="95"/>
      <c r="AM338" s="95"/>
      <c r="AN338" s="94"/>
      <c r="AO338" s="95"/>
      <c r="AP338" s="95"/>
      <c r="AQ338" s="95"/>
      <c r="AR338" s="95"/>
      <c r="AS338" s="95"/>
      <c r="AT338" s="95"/>
      <c r="AU338" s="95"/>
      <c r="AV338" s="95"/>
      <c r="AW338" s="95"/>
      <c r="AX338" s="95"/>
      <c r="AY338" s="95"/>
      <c r="AZ338" s="95"/>
      <c r="BA338" s="95"/>
      <c r="BB338" s="95"/>
      <c r="BC338" s="214"/>
      <c r="BD338" s="95"/>
      <c r="BE338" s="95"/>
      <c r="BF338" s="95"/>
      <c r="BG338" s="95"/>
      <c r="BH338" s="95"/>
      <c r="BI338" s="24"/>
      <c r="BJ338" s="95"/>
      <c r="BK338" s="265"/>
      <c r="BL338" s="265"/>
      <c r="BM338" s="265"/>
      <c r="BN338" s="266"/>
      <c r="BO338" s="267"/>
      <c r="BP338" s="268"/>
      <c r="BQ338" s="269"/>
      <c r="BR338" s="269"/>
      <c r="BS338" s="269"/>
      <c r="BT338" s="269"/>
      <c r="BU338" s="269"/>
      <c r="BV338" s="269"/>
      <c r="BW338" s="268"/>
      <c r="BX338" s="269"/>
      <c r="BY338" s="268"/>
      <c r="BZ338" s="268"/>
      <c r="CA338" s="268"/>
      <c r="CB338" s="269"/>
      <c r="CC338" s="268"/>
      <c r="CD338" s="268"/>
      <c r="CE338" s="269"/>
      <c r="CF338" s="269"/>
      <c r="CG338" s="269"/>
      <c r="CH338" s="269"/>
      <c r="CI338" s="269"/>
      <c r="CJ338" s="269"/>
      <c r="CK338" s="269"/>
      <c r="CL338" s="266"/>
    </row>
    <row r="339" spans="1:90">
      <c r="A339" s="95"/>
      <c r="B339" s="263"/>
      <c r="C339" s="263"/>
      <c r="D339" s="263"/>
      <c r="E339" s="263"/>
      <c r="F339" s="263"/>
      <c r="G339" s="263"/>
      <c r="H339" s="95"/>
      <c r="I339" s="95"/>
      <c r="J339" s="263"/>
      <c r="K339" s="263"/>
      <c r="L339" s="263"/>
      <c r="M339" s="263"/>
      <c r="N339" s="263"/>
      <c r="O339" s="263"/>
      <c r="P339" s="95"/>
      <c r="Q339" s="95"/>
      <c r="R339" s="95"/>
      <c r="S339" s="95"/>
      <c r="T339" s="95"/>
      <c r="U339" s="95"/>
      <c r="V339" s="95"/>
      <c r="W339" s="95"/>
      <c r="X339" s="95"/>
      <c r="Y339" s="95"/>
      <c r="Z339" s="95"/>
      <c r="AA339" s="95"/>
      <c r="AB339" s="95"/>
      <c r="AC339" s="95"/>
      <c r="AD339" s="95"/>
      <c r="AE339" s="95"/>
      <c r="AF339" s="95"/>
      <c r="AG339" s="95"/>
      <c r="AH339" s="95"/>
      <c r="AI339" s="95"/>
      <c r="AJ339" s="95"/>
      <c r="AK339" s="95"/>
      <c r="AL339" s="95"/>
      <c r="AM339" s="95"/>
      <c r="AN339" s="94"/>
      <c r="AO339" s="95"/>
      <c r="AP339" s="95"/>
      <c r="AQ339" s="95"/>
      <c r="AR339" s="95"/>
      <c r="AS339" s="95"/>
      <c r="AT339" s="95"/>
      <c r="AU339" s="95"/>
      <c r="AV339" s="95"/>
      <c r="AW339" s="95"/>
      <c r="AX339" s="95"/>
      <c r="AY339" s="95"/>
      <c r="AZ339" s="95"/>
      <c r="BA339" s="95"/>
      <c r="BB339" s="95"/>
      <c r="BC339" s="214"/>
      <c r="BD339" s="95"/>
      <c r="BE339" s="95"/>
      <c r="BF339" s="95"/>
      <c r="BG339" s="95"/>
      <c r="BH339" s="95"/>
      <c r="BI339" s="24"/>
      <c r="BJ339" s="95"/>
      <c r="BK339" s="265"/>
      <c r="BL339" s="265"/>
      <c r="BM339" s="265"/>
      <c r="BN339" s="266"/>
      <c r="BO339" s="267"/>
      <c r="BP339" s="268"/>
      <c r="BQ339" s="269"/>
      <c r="BR339" s="269"/>
      <c r="BS339" s="269"/>
      <c r="BT339" s="269"/>
      <c r="BU339" s="269"/>
      <c r="BV339" s="269"/>
      <c r="BW339" s="268"/>
      <c r="BX339" s="269"/>
      <c r="BY339" s="268"/>
      <c r="BZ339" s="268"/>
      <c r="CA339" s="268"/>
      <c r="CB339" s="269"/>
      <c r="CC339" s="268"/>
      <c r="CD339" s="268"/>
      <c r="CE339" s="269"/>
      <c r="CF339" s="269"/>
      <c r="CG339" s="269"/>
      <c r="CH339" s="269"/>
      <c r="CI339" s="269"/>
      <c r="CJ339" s="269"/>
      <c r="CK339" s="269"/>
      <c r="CL339" s="266"/>
    </row>
    <row r="340" spans="1:90">
      <c r="A340" s="95"/>
      <c r="B340" s="263"/>
      <c r="C340" s="263"/>
      <c r="D340" s="263"/>
      <c r="E340" s="263"/>
      <c r="F340" s="263"/>
      <c r="G340" s="263"/>
      <c r="H340" s="95"/>
      <c r="I340" s="95"/>
      <c r="J340" s="263"/>
      <c r="K340" s="263"/>
      <c r="L340" s="263"/>
      <c r="M340" s="263"/>
      <c r="N340" s="263"/>
      <c r="O340" s="263"/>
      <c r="P340" s="95"/>
      <c r="Q340" s="95"/>
      <c r="R340" s="95"/>
      <c r="S340" s="95"/>
      <c r="T340" s="95"/>
      <c r="U340" s="95"/>
      <c r="V340" s="95"/>
      <c r="W340" s="95"/>
      <c r="X340" s="95"/>
      <c r="Y340" s="95"/>
      <c r="Z340" s="95"/>
      <c r="AA340" s="95"/>
      <c r="AB340" s="95"/>
      <c r="AC340" s="95"/>
      <c r="AD340" s="95"/>
      <c r="AE340" s="95"/>
      <c r="AF340" s="95"/>
      <c r="AG340" s="95"/>
      <c r="AH340" s="95"/>
      <c r="AI340" s="95"/>
      <c r="AJ340" s="95"/>
      <c r="AK340" s="95"/>
      <c r="AL340" s="95"/>
      <c r="AM340" s="95"/>
      <c r="AN340" s="94"/>
      <c r="AO340" s="95"/>
      <c r="AP340" s="95"/>
      <c r="AQ340" s="95"/>
      <c r="AR340" s="95"/>
      <c r="AS340" s="95"/>
      <c r="AT340" s="95"/>
      <c r="AU340" s="95"/>
      <c r="AV340" s="95"/>
      <c r="AW340" s="95"/>
      <c r="AX340" s="95"/>
      <c r="AY340" s="95"/>
      <c r="AZ340" s="95"/>
      <c r="BA340" s="95"/>
      <c r="BB340" s="95"/>
      <c r="BC340" s="214"/>
      <c r="BD340" s="95"/>
      <c r="BE340" s="95"/>
      <c r="BF340" s="95"/>
      <c r="BG340" s="95"/>
      <c r="BH340" s="95"/>
      <c r="BI340" s="24"/>
      <c r="BJ340" s="95"/>
      <c r="BK340" s="265"/>
      <c r="BL340" s="265"/>
      <c r="BM340" s="265"/>
      <c r="BN340" s="266"/>
      <c r="BO340" s="267"/>
      <c r="BP340" s="268"/>
      <c r="BQ340" s="269"/>
      <c r="BR340" s="269"/>
      <c r="BS340" s="269"/>
      <c r="BT340" s="269"/>
      <c r="BU340" s="269"/>
      <c r="BV340" s="269"/>
      <c r="BW340" s="268"/>
      <c r="BX340" s="269"/>
      <c r="BY340" s="268"/>
      <c r="BZ340" s="268"/>
      <c r="CA340" s="268"/>
      <c r="CB340" s="269"/>
      <c r="CC340" s="268"/>
      <c r="CD340" s="268"/>
      <c r="CE340" s="269"/>
      <c r="CF340" s="269"/>
      <c r="CG340" s="269"/>
      <c r="CH340" s="269"/>
      <c r="CI340" s="269"/>
      <c r="CJ340" s="269"/>
      <c r="CK340" s="269"/>
      <c r="CL340" s="266"/>
    </row>
    <row r="341" spans="1:90">
      <c r="A341" s="95"/>
      <c r="B341" s="263"/>
      <c r="C341" s="263"/>
      <c r="D341" s="263"/>
      <c r="E341" s="263"/>
      <c r="F341" s="263"/>
      <c r="G341" s="263"/>
      <c r="H341" s="95"/>
      <c r="I341" s="95"/>
      <c r="J341" s="263"/>
      <c r="K341" s="263"/>
      <c r="L341" s="263"/>
      <c r="M341" s="263"/>
      <c r="N341" s="263"/>
      <c r="O341" s="263"/>
      <c r="P341" s="95"/>
      <c r="Q341" s="95"/>
      <c r="R341" s="95"/>
      <c r="S341" s="95"/>
      <c r="T341" s="95"/>
      <c r="U341" s="95"/>
      <c r="V341" s="95"/>
      <c r="W341" s="95"/>
      <c r="X341" s="95"/>
      <c r="Y341" s="95"/>
      <c r="Z341" s="95"/>
      <c r="AA341" s="95"/>
      <c r="AB341" s="95"/>
      <c r="AC341" s="95"/>
      <c r="AD341" s="95"/>
      <c r="AE341" s="95"/>
      <c r="AF341" s="95"/>
      <c r="AG341" s="95"/>
      <c r="AH341" s="95"/>
      <c r="AI341" s="95"/>
      <c r="AJ341" s="95"/>
      <c r="AK341" s="95"/>
      <c r="AL341" s="95"/>
      <c r="AM341" s="95"/>
      <c r="AN341" s="94"/>
      <c r="AO341" s="95"/>
      <c r="AP341" s="95"/>
      <c r="AQ341" s="95"/>
      <c r="AR341" s="95"/>
      <c r="AS341" s="95"/>
      <c r="AT341" s="95"/>
      <c r="AU341" s="95"/>
      <c r="AV341" s="95"/>
      <c r="AW341" s="95"/>
      <c r="AX341" s="95"/>
      <c r="AY341" s="95"/>
      <c r="AZ341" s="95"/>
      <c r="BA341" s="95"/>
      <c r="BB341" s="95"/>
      <c r="BC341" s="214"/>
      <c r="BD341" s="95"/>
      <c r="BE341" s="95"/>
      <c r="BF341" s="95"/>
      <c r="BG341" s="95"/>
      <c r="BH341" s="95"/>
      <c r="BI341" s="24"/>
      <c r="BJ341" s="95"/>
      <c r="BK341" s="265"/>
      <c r="BL341" s="265"/>
      <c r="BM341" s="265"/>
      <c r="BN341" s="266"/>
      <c r="BO341" s="267"/>
      <c r="BP341" s="268"/>
      <c r="BQ341" s="269"/>
      <c r="BR341" s="269"/>
      <c r="BS341" s="269"/>
      <c r="BT341" s="269"/>
      <c r="BU341" s="269"/>
      <c r="BV341" s="269"/>
      <c r="BW341" s="268"/>
      <c r="BX341" s="269"/>
      <c r="BY341" s="268"/>
      <c r="BZ341" s="268"/>
      <c r="CA341" s="268"/>
      <c r="CB341" s="269"/>
      <c r="CC341" s="268"/>
      <c r="CD341" s="268"/>
      <c r="CE341" s="269"/>
      <c r="CF341" s="269"/>
      <c r="CG341" s="269"/>
      <c r="CH341" s="269"/>
      <c r="CI341" s="269"/>
      <c r="CJ341" s="269"/>
      <c r="CK341" s="269"/>
      <c r="CL341" s="266"/>
    </row>
    <row r="342" spans="1:90">
      <c r="A342" s="95"/>
      <c r="B342" s="263"/>
      <c r="C342" s="263"/>
      <c r="D342" s="263"/>
      <c r="E342" s="263"/>
      <c r="F342" s="263"/>
      <c r="G342" s="263"/>
      <c r="H342" s="95"/>
      <c r="I342" s="95"/>
      <c r="J342" s="263"/>
      <c r="K342" s="263"/>
      <c r="L342" s="263"/>
      <c r="M342" s="263"/>
      <c r="N342" s="263"/>
      <c r="O342" s="263"/>
      <c r="P342" s="95"/>
      <c r="Q342" s="95"/>
      <c r="R342" s="95"/>
      <c r="S342" s="95"/>
      <c r="T342" s="95"/>
      <c r="U342" s="95"/>
      <c r="V342" s="95"/>
      <c r="W342" s="95"/>
      <c r="X342" s="95"/>
      <c r="Y342" s="95"/>
      <c r="Z342" s="95"/>
      <c r="AA342" s="95"/>
      <c r="AB342" s="95"/>
      <c r="AC342" s="95"/>
      <c r="AD342" s="95"/>
      <c r="AE342" s="95"/>
      <c r="AF342" s="95"/>
      <c r="AG342" s="95"/>
      <c r="AH342" s="95"/>
      <c r="AI342" s="95"/>
      <c r="AJ342" s="95"/>
      <c r="AK342" s="95"/>
      <c r="AL342" s="95"/>
      <c r="AM342" s="95"/>
      <c r="AN342" s="94"/>
      <c r="AO342" s="95"/>
      <c r="AP342" s="95"/>
      <c r="AQ342" s="95"/>
      <c r="AR342" s="95"/>
      <c r="AS342" s="95"/>
      <c r="AT342" s="95"/>
      <c r="AU342" s="95"/>
      <c r="AV342" s="95"/>
      <c r="AW342" s="95"/>
      <c r="AX342" s="95"/>
      <c r="AY342" s="95"/>
      <c r="AZ342" s="95"/>
      <c r="BA342" s="95"/>
      <c r="BB342" s="95"/>
      <c r="BC342" s="214"/>
      <c r="BD342" s="95"/>
      <c r="BE342" s="95"/>
      <c r="BF342" s="95"/>
      <c r="BG342" s="95"/>
      <c r="BH342" s="95"/>
      <c r="BI342" s="24"/>
      <c r="BJ342" s="95"/>
      <c r="BK342" s="265"/>
      <c r="BL342" s="265"/>
      <c r="BM342" s="265"/>
      <c r="BN342" s="266"/>
      <c r="BO342" s="267"/>
      <c r="BP342" s="268"/>
      <c r="BQ342" s="269"/>
      <c r="BR342" s="269"/>
      <c r="BS342" s="269"/>
      <c r="BT342" s="269"/>
      <c r="BU342" s="269"/>
      <c r="BV342" s="269"/>
      <c r="BW342" s="268"/>
      <c r="BX342" s="269"/>
      <c r="BY342" s="268"/>
      <c r="BZ342" s="268"/>
      <c r="CA342" s="268"/>
      <c r="CB342" s="269"/>
      <c r="CC342" s="268"/>
      <c r="CD342" s="268"/>
      <c r="CE342" s="269"/>
      <c r="CF342" s="269"/>
      <c r="CG342" s="269"/>
      <c r="CH342" s="269"/>
      <c r="CI342" s="269"/>
      <c r="CJ342" s="269"/>
      <c r="CK342" s="269"/>
      <c r="CL342" s="266"/>
    </row>
    <row r="343" spans="1:90">
      <c r="A343" s="95"/>
      <c r="B343" s="263"/>
      <c r="C343" s="263"/>
      <c r="D343" s="263"/>
      <c r="E343" s="263"/>
      <c r="F343" s="263"/>
      <c r="G343" s="263"/>
      <c r="H343" s="95"/>
      <c r="I343" s="95"/>
      <c r="J343" s="263"/>
      <c r="K343" s="263"/>
      <c r="L343" s="263"/>
      <c r="M343" s="263"/>
      <c r="N343" s="263"/>
      <c r="O343" s="263"/>
      <c r="P343" s="95"/>
      <c r="Q343" s="95"/>
      <c r="R343" s="95"/>
      <c r="S343" s="95"/>
      <c r="T343" s="95"/>
      <c r="U343" s="95"/>
      <c r="V343" s="95"/>
      <c r="W343" s="95"/>
      <c r="X343" s="95"/>
      <c r="Y343" s="95"/>
      <c r="Z343" s="95"/>
      <c r="AA343" s="95"/>
      <c r="AB343" s="95"/>
      <c r="AC343" s="95"/>
      <c r="AD343" s="95"/>
      <c r="AE343" s="95"/>
      <c r="AF343" s="95"/>
      <c r="AG343" s="95"/>
      <c r="AH343" s="95"/>
      <c r="AI343" s="95"/>
      <c r="AJ343" s="95"/>
      <c r="AK343" s="95"/>
      <c r="AL343" s="95"/>
      <c r="AM343" s="95"/>
      <c r="AN343" s="94"/>
      <c r="AO343" s="95"/>
      <c r="AP343" s="95"/>
      <c r="AQ343" s="95"/>
      <c r="AR343" s="95"/>
      <c r="AS343" s="95"/>
      <c r="AT343" s="95"/>
      <c r="AU343" s="95"/>
      <c r="AV343" s="95"/>
      <c r="AW343" s="95"/>
      <c r="AX343" s="95"/>
      <c r="AY343" s="95"/>
      <c r="AZ343" s="95"/>
      <c r="BA343" s="95"/>
      <c r="BB343" s="95"/>
      <c r="BC343" s="214"/>
      <c r="BD343" s="95"/>
      <c r="BE343" s="95"/>
      <c r="BF343" s="95"/>
      <c r="BG343" s="95"/>
      <c r="BH343" s="95"/>
      <c r="BI343" s="24"/>
      <c r="BJ343" s="95"/>
      <c r="BK343" s="265"/>
      <c r="BL343" s="265"/>
      <c r="BM343" s="265"/>
      <c r="BN343" s="266"/>
      <c r="BO343" s="267"/>
      <c r="BP343" s="268"/>
      <c r="BQ343" s="269"/>
      <c r="BR343" s="269"/>
      <c r="BS343" s="269"/>
      <c r="BT343" s="269"/>
      <c r="BU343" s="269"/>
      <c r="BV343" s="269"/>
      <c r="BW343" s="268"/>
      <c r="BX343" s="269"/>
      <c r="BY343" s="268"/>
      <c r="BZ343" s="268"/>
      <c r="CA343" s="268"/>
      <c r="CB343" s="269"/>
      <c r="CC343" s="268"/>
      <c r="CD343" s="268"/>
      <c r="CE343" s="269"/>
      <c r="CF343" s="269"/>
      <c r="CG343" s="269"/>
      <c r="CH343" s="269"/>
      <c r="CI343" s="269"/>
      <c r="CJ343" s="269"/>
      <c r="CK343" s="269"/>
      <c r="CL343" s="266"/>
    </row>
    <row r="344" spans="1:90">
      <c r="A344" s="95"/>
      <c r="B344" s="263"/>
      <c r="C344" s="263"/>
      <c r="D344" s="263"/>
      <c r="E344" s="263"/>
      <c r="F344" s="263"/>
      <c r="G344" s="263"/>
      <c r="H344" s="95"/>
      <c r="I344" s="95"/>
      <c r="J344" s="263"/>
      <c r="K344" s="263"/>
      <c r="L344" s="263"/>
      <c r="M344" s="263"/>
      <c r="N344" s="263"/>
      <c r="O344" s="263"/>
      <c r="P344" s="95"/>
      <c r="Q344" s="95"/>
      <c r="R344" s="95"/>
      <c r="S344" s="95"/>
      <c r="T344" s="95"/>
      <c r="U344" s="95"/>
      <c r="V344" s="95"/>
      <c r="W344" s="95"/>
      <c r="X344" s="95"/>
      <c r="Y344" s="95"/>
      <c r="Z344" s="95"/>
      <c r="AA344" s="95"/>
      <c r="AB344" s="95"/>
      <c r="AC344" s="95"/>
      <c r="AD344" s="95"/>
      <c r="AE344" s="95"/>
      <c r="AF344" s="95"/>
      <c r="AG344" s="95"/>
      <c r="AH344" s="95"/>
      <c r="AI344" s="95"/>
      <c r="AJ344" s="95"/>
      <c r="AK344" s="95"/>
      <c r="AL344" s="95"/>
      <c r="AM344" s="95"/>
      <c r="AN344" s="94"/>
      <c r="AO344" s="95"/>
      <c r="AP344" s="95"/>
      <c r="AQ344" s="95"/>
      <c r="AR344" s="95"/>
      <c r="AS344" s="95"/>
      <c r="AT344" s="95"/>
      <c r="AU344" s="95"/>
      <c r="AV344" s="95"/>
      <c r="AW344" s="95"/>
      <c r="AX344" s="95"/>
      <c r="AY344" s="95"/>
      <c r="AZ344" s="95"/>
      <c r="BA344" s="95"/>
      <c r="BB344" s="95"/>
      <c r="BC344" s="214"/>
      <c r="BD344" s="95"/>
      <c r="BE344" s="95"/>
      <c r="BF344" s="95"/>
      <c r="BG344" s="95"/>
      <c r="BH344" s="95"/>
      <c r="BI344" s="24"/>
      <c r="BJ344" s="95"/>
      <c r="BK344" s="265"/>
      <c r="BL344" s="265"/>
      <c r="BM344" s="265"/>
      <c r="BN344" s="266"/>
      <c r="BO344" s="267"/>
      <c r="BP344" s="268"/>
      <c r="BQ344" s="269"/>
      <c r="BR344" s="269"/>
      <c r="BS344" s="269"/>
      <c r="BT344" s="269"/>
      <c r="BU344" s="269"/>
      <c r="BV344" s="269"/>
      <c r="BW344" s="268"/>
      <c r="BX344" s="269"/>
      <c r="BY344" s="268"/>
      <c r="BZ344" s="268"/>
      <c r="CA344" s="268"/>
      <c r="CB344" s="269"/>
      <c r="CC344" s="268"/>
      <c r="CD344" s="268"/>
      <c r="CE344" s="269"/>
      <c r="CF344" s="269"/>
      <c r="CG344" s="269"/>
      <c r="CH344" s="269"/>
      <c r="CI344" s="269"/>
      <c r="CJ344" s="269"/>
      <c r="CK344" s="269"/>
      <c r="CL344" s="266"/>
    </row>
    <row r="345" spans="1:90">
      <c r="A345" s="95"/>
      <c r="B345" s="263"/>
      <c r="C345" s="263"/>
      <c r="D345" s="263"/>
      <c r="E345" s="263"/>
      <c r="F345" s="263"/>
      <c r="G345" s="263"/>
      <c r="H345" s="95"/>
      <c r="I345" s="95"/>
      <c r="J345" s="263"/>
      <c r="K345" s="263"/>
      <c r="L345" s="263"/>
      <c r="M345" s="263"/>
      <c r="N345" s="263"/>
      <c r="O345" s="263"/>
      <c r="P345" s="95"/>
      <c r="Q345" s="95"/>
      <c r="R345" s="95"/>
      <c r="S345" s="95"/>
      <c r="T345" s="95"/>
      <c r="U345" s="95"/>
      <c r="V345" s="95"/>
      <c r="W345" s="95"/>
      <c r="X345" s="95"/>
      <c r="Y345" s="95"/>
      <c r="Z345" s="95"/>
      <c r="AA345" s="95"/>
      <c r="AB345" s="95"/>
      <c r="AC345" s="95"/>
      <c r="AD345" s="95"/>
      <c r="AE345" s="95"/>
      <c r="AF345" s="95"/>
      <c r="AG345" s="95"/>
      <c r="AH345" s="95"/>
      <c r="AI345" s="95"/>
      <c r="AJ345" s="95"/>
      <c r="AK345" s="95"/>
      <c r="AL345" s="95"/>
      <c r="AM345" s="95"/>
      <c r="AN345" s="94"/>
      <c r="AO345" s="95"/>
      <c r="AP345" s="95"/>
      <c r="AQ345" s="95"/>
      <c r="AR345" s="95"/>
      <c r="AS345" s="95"/>
      <c r="AT345" s="95"/>
      <c r="AU345" s="95"/>
      <c r="AV345" s="95"/>
      <c r="AW345" s="95"/>
      <c r="AX345" s="95"/>
      <c r="AY345" s="95"/>
      <c r="AZ345" s="95"/>
      <c r="BA345" s="95"/>
      <c r="BB345" s="95"/>
      <c r="BC345" s="214"/>
      <c r="BD345" s="95"/>
      <c r="BE345" s="95"/>
      <c r="BF345" s="95"/>
      <c r="BG345" s="95"/>
      <c r="BH345" s="95"/>
      <c r="BI345" s="24"/>
      <c r="BJ345" s="95"/>
      <c r="BK345" s="265"/>
      <c r="BL345" s="265"/>
      <c r="BM345" s="265"/>
      <c r="BN345" s="266"/>
      <c r="BO345" s="267"/>
      <c r="BP345" s="268"/>
      <c r="BQ345" s="269"/>
      <c r="BR345" s="269"/>
      <c r="BS345" s="269"/>
      <c r="BT345" s="269"/>
      <c r="BU345" s="269"/>
      <c r="BV345" s="269"/>
      <c r="BW345" s="268"/>
      <c r="BX345" s="269"/>
      <c r="BY345" s="268"/>
      <c r="BZ345" s="268"/>
      <c r="CA345" s="268"/>
      <c r="CB345" s="269"/>
      <c r="CC345" s="268"/>
      <c r="CD345" s="268"/>
      <c r="CE345" s="269"/>
      <c r="CF345" s="269"/>
      <c r="CG345" s="269"/>
      <c r="CH345" s="269"/>
      <c r="CI345" s="269"/>
      <c r="CJ345" s="269"/>
      <c r="CK345" s="269"/>
      <c r="CL345" s="266"/>
    </row>
    <row r="346" spans="1:90">
      <c r="A346" s="95"/>
      <c r="B346" s="263"/>
      <c r="C346" s="263"/>
      <c r="D346" s="263"/>
      <c r="E346" s="263"/>
      <c r="F346" s="263"/>
      <c r="G346" s="263"/>
      <c r="H346" s="95"/>
      <c r="I346" s="95"/>
      <c r="J346" s="263"/>
      <c r="K346" s="263"/>
      <c r="L346" s="263"/>
      <c r="M346" s="263"/>
      <c r="N346" s="263"/>
      <c r="O346" s="263"/>
      <c r="P346" s="95"/>
      <c r="Q346" s="95"/>
      <c r="R346" s="95"/>
      <c r="S346" s="95"/>
      <c r="T346" s="95"/>
      <c r="U346" s="95"/>
      <c r="V346" s="95"/>
      <c r="W346" s="95"/>
      <c r="X346" s="95"/>
      <c r="Y346" s="95"/>
      <c r="Z346" s="95"/>
      <c r="AA346" s="95"/>
      <c r="AB346" s="95"/>
      <c r="AC346" s="95"/>
      <c r="AD346" s="95"/>
      <c r="AE346" s="95"/>
      <c r="AF346" s="95"/>
      <c r="AG346" s="95"/>
      <c r="AH346" s="95"/>
      <c r="AI346" s="95"/>
      <c r="AJ346" s="95"/>
      <c r="AK346" s="95"/>
      <c r="AL346" s="95"/>
      <c r="AM346" s="95"/>
      <c r="AN346" s="94"/>
      <c r="AO346" s="95"/>
      <c r="AP346" s="95"/>
      <c r="AQ346" s="95"/>
      <c r="AR346" s="95"/>
      <c r="AS346" s="95"/>
      <c r="AT346" s="95"/>
      <c r="AU346" s="95"/>
      <c r="AV346" s="95"/>
      <c r="AW346" s="95"/>
      <c r="AX346" s="95"/>
      <c r="AY346" s="95"/>
      <c r="AZ346" s="95"/>
      <c r="BA346" s="95"/>
      <c r="BB346" s="95"/>
      <c r="BC346" s="214"/>
      <c r="BD346" s="95"/>
      <c r="BE346" s="95"/>
      <c r="BF346" s="95"/>
      <c r="BG346" s="95"/>
      <c r="BH346" s="95"/>
      <c r="BI346" s="24"/>
      <c r="BJ346" s="95"/>
      <c r="BK346" s="265"/>
      <c r="BL346" s="265"/>
      <c r="BM346" s="265"/>
      <c r="BN346" s="266"/>
      <c r="BO346" s="267"/>
      <c r="BP346" s="268"/>
      <c r="BQ346" s="269"/>
      <c r="BR346" s="269"/>
      <c r="BS346" s="269"/>
      <c r="BT346" s="269"/>
      <c r="BU346" s="269"/>
      <c r="BV346" s="269"/>
      <c r="BW346" s="268"/>
      <c r="BX346" s="269"/>
      <c r="BY346" s="268"/>
      <c r="BZ346" s="268"/>
      <c r="CA346" s="268"/>
      <c r="CB346" s="269"/>
      <c r="CC346" s="268"/>
      <c r="CD346" s="268"/>
      <c r="CE346" s="269"/>
      <c r="CF346" s="269"/>
      <c r="CG346" s="269"/>
      <c r="CH346" s="269"/>
      <c r="CI346" s="269"/>
      <c r="CJ346" s="269"/>
      <c r="CK346" s="269"/>
      <c r="CL346" s="266"/>
    </row>
    <row r="347" spans="1:90">
      <c r="A347" s="95"/>
      <c r="B347" s="263"/>
      <c r="C347" s="263"/>
      <c r="D347" s="263"/>
      <c r="E347" s="263"/>
      <c r="F347" s="263"/>
      <c r="G347" s="263"/>
      <c r="H347" s="95"/>
      <c r="I347" s="95"/>
      <c r="J347" s="263"/>
      <c r="K347" s="263"/>
      <c r="L347" s="263"/>
      <c r="M347" s="263"/>
      <c r="N347" s="263"/>
      <c r="O347" s="263"/>
      <c r="P347" s="95"/>
      <c r="Q347" s="95"/>
      <c r="R347" s="95"/>
      <c r="S347" s="95"/>
      <c r="T347" s="95"/>
      <c r="U347" s="95"/>
      <c r="V347" s="95"/>
      <c r="W347" s="95"/>
      <c r="X347" s="95"/>
      <c r="Y347" s="95"/>
      <c r="Z347" s="95"/>
      <c r="AA347" s="95"/>
      <c r="AB347" s="95"/>
      <c r="AC347" s="95"/>
      <c r="AD347" s="95"/>
      <c r="AE347" s="95"/>
      <c r="AF347" s="95"/>
      <c r="AG347" s="95"/>
      <c r="AH347" s="95"/>
      <c r="AI347" s="95"/>
      <c r="AJ347" s="95"/>
      <c r="AK347" s="95"/>
      <c r="AL347" s="95"/>
      <c r="AM347" s="95"/>
      <c r="AN347" s="94"/>
      <c r="AO347" s="95"/>
      <c r="AP347" s="95"/>
      <c r="AQ347" s="95"/>
      <c r="AR347" s="95"/>
      <c r="AS347" s="95"/>
      <c r="AT347" s="95"/>
      <c r="AU347" s="95"/>
      <c r="AV347" s="95"/>
      <c r="AW347" s="95"/>
      <c r="AX347" s="95"/>
      <c r="AY347" s="95"/>
      <c r="AZ347" s="95"/>
      <c r="BA347" s="95"/>
      <c r="BB347" s="95"/>
      <c r="BC347" s="214"/>
      <c r="BD347" s="95"/>
      <c r="BE347" s="95"/>
      <c r="BF347" s="95"/>
      <c r="BG347" s="95"/>
      <c r="BH347" s="95"/>
      <c r="BI347" s="24"/>
      <c r="BJ347" s="95"/>
      <c r="BK347" s="265"/>
      <c r="BL347" s="265"/>
      <c r="BM347" s="265"/>
      <c r="BN347" s="266"/>
      <c r="BO347" s="267"/>
      <c r="BP347" s="268"/>
      <c r="BQ347" s="269"/>
      <c r="BR347" s="269"/>
      <c r="BS347" s="269"/>
      <c r="BT347" s="269"/>
      <c r="BU347" s="269"/>
      <c r="BV347" s="269"/>
      <c r="BW347" s="268"/>
      <c r="BX347" s="269"/>
      <c r="BY347" s="268"/>
      <c r="BZ347" s="268"/>
      <c r="CA347" s="268"/>
      <c r="CB347" s="269"/>
      <c r="CC347" s="268"/>
      <c r="CD347" s="268"/>
      <c r="CE347" s="269"/>
      <c r="CF347" s="269"/>
      <c r="CG347" s="269"/>
      <c r="CH347" s="269"/>
      <c r="CI347" s="269"/>
      <c r="CJ347" s="269"/>
      <c r="CK347" s="269"/>
      <c r="CL347" s="266"/>
    </row>
    <row r="348" spans="1:90">
      <c r="A348" s="95"/>
      <c r="B348" s="263"/>
      <c r="C348" s="263"/>
      <c r="D348" s="263"/>
      <c r="E348" s="263"/>
      <c r="F348" s="263"/>
      <c r="G348" s="263"/>
      <c r="H348" s="95"/>
      <c r="I348" s="95"/>
      <c r="J348" s="263"/>
      <c r="K348" s="263"/>
      <c r="L348" s="263"/>
      <c r="M348" s="263"/>
      <c r="N348" s="263"/>
      <c r="O348" s="263"/>
      <c r="P348" s="95"/>
      <c r="Q348" s="95"/>
      <c r="R348" s="95"/>
      <c r="S348" s="95"/>
      <c r="T348" s="95"/>
      <c r="U348" s="95"/>
      <c r="V348" s="95"/>
      <c r="W348" s="95"/>
      <c r="X348" s="95"/>
      <c r="Y348" s="95"/>
      <c r="Z348" s="95"/>
      <c r="AA348" s="95"/>
      <c r="AB348" s="95"/>
      <c r="AC348" s="95"/>
      <c r="AD348" s="95"/>
      <c r="AE348" s="95"/>
      <c r="AF348" s="95"/>
      <c r="AG348" s="95"/>
      <c r="AH348" s="95"/>
      <c r="AI348" s="95"/>
      <c r="AJ348" s="95"/>
      <c r="AK348" s="95"/>
      <c r="AL348" s="95"/>
      <c r="AM348" s="95"/>
      <c r="AN348" s="94"/>
      <c r="AO348" s="95"/>
      <c r="AP348" s="95"/>
      <c r="AQ348" s="95"/>
      <c r="AR348" s="95"/>
      <c r="AS348" s="95"/>
      <c r="AT348" s="95"/>
      <c r="AU348" s="95"/>
      <c r="AV348" s="95"/>
      <c r="AW348" s="95"/>
      <c r="AX348" s="95"/>
      <c r="AY348" s="95"/>
      <c r="AZ348" s="95"/>
      <c r="BA348" s="95"/>
      <c r="BB348" s="95"/>
      <c r="BC348" s="214"/>
      <c r="BD348" s="95"/>
      <c r="BE348" s="95"/>
      <c r="BF348" s="95"/>
      <c r="BG348" s="95"/>
      <c r="BH348" s="95"/>
      <c r="BI348" s="24"/>
      <c r="BJ348" s="95"/>
      <c r="BK348" s="265"/>
      <c r="BL348" s="265"/>
      <c r="BM348" s="265"/>
      <c r="BN348" s="266"/>
      <c r="BO348" s="267"/>
      <c r="BP348" s="268"/>
      <c r="BQ348" s="269"/>
      <c r="BR348" s="269"/>
      <c r="BS348" s="269"/>
      <c r="BT348" s="269"/>
      <c r="BU348" s="269"/>
      <c r="BV348" s="269"/>
      <c r="BW348" s="268"/>
      <c r="BX348" s="269"/>
      <c r="BY348" s="268"/>
      <c r="BZ348" s="268"/>
      <c r="CA348" s="268"/>
      <c r="CB348" s="269"/>
      <c r="CC348" s="268"/>
      <c r="CD348" s="268"/>
      <c r="CE348" s="269"/>
      <c r="CF348" s="269"/>
      <c r="CG348" s="269"/>
      <c r="CH348" s="269"/>
      <c r="CI348" s="269"/>
      <c r="CJ348" s="269"/>
      <c r="CK348" s="269"/>
      <c r="CL348" s="266"/>
    </row>
    <row r="349" spans="1:90">
      <c r="A349" s="95"/>
      <c r="B349" s="263"/>
      <c r="C349" s="263"/>
      <c r="D349" s="263"/>
      <c r="E349" s="263"/>
      <c r="F349" s="263"/>
      <c r="G349" s="263"/>
      <c r="H349" s="95"/>
      <c r="I349" s="95"/>
      <c r="J349" s="263"/>
      <c r="K349" s="263"/>
      <c r="L349" s="263"/>
      <c r="M349" s="263"/>
      <c r="N349" s="263"/>
      <c r="O349" s="263"/>
      <c r="P349" s="95"/>
      <c r="Q349" s="95"/>
      <c r="R349" s="95"/>
      <c r="S349" s="95"/>
      <c r="T349" s="95"/>
      <c r="U349" s="95"/>
      <c r="V349" s="95"/>
      <c r="W349" s="95"/>
      <c r="X349" s="95"/>
      <c r="Y349" s="95"/>
      <c r="Z349" s="95"/>
      <c r="AA349" s="95"/>
      <c r="AB349" s="95"/>
      <c r="AC349" s="95"/>
      <c r="AD349" s="95"/>
      <c r="AE349" s="95"/>
      <c r="AF349" s="95"/>
      <c r="AG349" s="95"/>
      <c r="AH349" s="95"/>
      <c r="AI349" s="95"/>
      <c r="AJ349" s="95"/>
      <c r="AK349" s="95"/>
      <c r="AL349" s="95"/>
      <c r="AM349" s="95"/>
      <c r="AN349" s="94"/>
      <c r="AO349" s="95"/>
      <c r="AP349" s="95"/>
      <c r="AQ349" s="95"/>
      <c r="AR349" s="95"/>
      <c r="AS349" s="95"/>
      <c r="AT349" s="95"/>
      <c r="AU349" s="95"/>
      <c r="AV349" s="95"/>
      <c r="AW349" s="95"/>
      <c r="AX349" s="95"/>
      <c r="AY349" s="95"/>
      <c r="AZ349" s="95"/>
      <c r="BA349" s="95"/>
      <c r="BB349" s="95"/>
      <c r="BC349" s="214"/>
      <c r="BD349" s="95"/>
      <c r="BE349" s="95"/>
      <c r="BF349" s="95"/>
      <c r="BG349" s="95"/>
      <c r="BH349" s="95"/>
      <c r="BI349" s="24"/>
      <c r="BJ349" s="95"/>
      <c r="BK349" s="265"/>
      <c r="BL349" s="265"/>
      <c r="BM349" s="265"/>
      <c r="BN349" s="266"/>
      <c r="BO349" s="267"/>
      <c r="BP349" s="268"/>
      <c r="BQ349" s="269"/>
      <c r="BR349" s="269"/>
      <c r="BS349" s="269"/>
      <c r="BT349" s="269"/>
      <c r="BU349" s="269"/>
      <c r="BV349" s="269"/>
      <c r="BW349" s="268"/>
      <c r="BX349" s="269"/>
      <c r="BY349" s="268"/>
      <c r="BZ349" s="268"/>
      <c r="CA349" s="268"/>
      <c r="CB349" s="269"/>
      <c r="CC349" s="268"/>
      <c r="CD349" s="268"/>
      <c r="CE349" s="269"/>
      <c r="CF349" s="269"/>
      <c r="CG349" s="269"/>
      <c r="CH349" s="269"/>
      <c r="CI349" s="269"/>
      <c r="CJ349" s="269"/>
      <c r="CK349" s="269"/>
      <c r="CL349" s="266"/>
    </row>
    <row r="350" spans="1:90">
      <c r="A350" s="95"/>
      <c r="B350" s="263"/>
      <c r="C350" s="263"/>
      <c r="D350" s="263"/>
      <c r="E350" s="263"/>
      <c r="F350" s="263"/>
      <c r="G350" s="263"/>
      <c r="H350" s="95"/>
      <c r="I350" s="95"/>
      <c r="J350" s="263"/>
      <c r="K350" s="263"/>
      <c r="L350" s="263"/>
      <c r="M350" s="263"/>
      <c r="N350" s="263"/>
      <c r="O350" s="263"/>
      <c r="P350" s="95"/>
      <c r="Q350" s="95"/>
      <c r="R350" s="95"/>
      <c r="S350" s="95"/>
      <c r="T350" s="95"/>
      <c r="U350" s="95"/>
      <c r="V350" s="95"/>
      <c r="W350" s="95"/>
      <c r="X350" s="95"/>
      <c r="Y350" s="95"/>
      <c r="Z350" s="95"/>
      <c r="AA350" s="95"/>
      <c r="AB350" s="95"/>
      <c r="AC350" s="95"/>
      <c r="AD350" s="95"/>
      <c r="AE350" s="95"/>
      <c r="AF350" s="95"/>
      <c r="AG350" s="95"/>
      <c r="AH350" s="95"/>
      <c r="AI350" s="95"/>
      <c r="AJ350" s="95"/>
      <c r="AK350" s="95"/>
      <c r="AL350" s="95"/>
      <c r="AM350" s="95"/>
      <c r="AN350" s="94"/>
      <c r="AO350" s="95"/>
      <c r="AP350" s="95"/>
      <c r="AQ350" s="95"/>
      <c r="AR350" s="95"/>
      <c r="AS350" s="95"/>
      <c r="AT350" s="95"/>
      <c r="AU350" s="95"/>
      <c r="AV350" s="95"/>
      <c r="AW350" s="95"/>
      <c r="AX350" s="95"/>
      <c r="AY350" s="95"/>
      <c r="AZ350" s="95"/>
      <c r="BA350" s="95"/>
      <c r="BB350" s="95"/>
      <c r="BC350" s="214"/>
      <c r="BD350" s="95"/>
      <c r="BE350" s="95"/>
      <c r="BF350" s="95"/>
      <c r="BG350" s="95"/>
      <c r="BH350" s="95"/>
      <c r="BI350" s="24"/>
      <c r="BJ350" s="95"/>
      <c r="BK350" s="265"/>
      <c r="BL350" s="265"/>
      <c r="BM350" s="265"/>
      <c r="BN350" s="266"/>
      <c r="BO350" s="267"/>
      <c r="BP350" s="268"/>
      <c r="BQ350" s="269"/>
      <c r="BR350" s="269"/>
      <c r="BS350" s="269"/>
      <c r="BT350" s="269"/>
      <c r="BU350" s="269"/>
      <c r="BV350" s="269"/>
      <c r="BW350" s="268"/>
      <c r="BX350" s="269"/>
      <c r="BY350" s="268"/>
      <c r="BZ350" s="268"/>
      <c r="CA350" s="268"/>
      <c r="CB350" s="269"/>
      <c r="CC350" s="268"/>
      <c r="CD350" s="268"/>
      <c r="CE350" s="269"/>
      <c r="CF350" s="269"/>
      <c r="CG350" s="269"/>
      <c r="CH350" s="269"/>
      <c r="CI350" s="269"/>
      <c r="CJ350" s="269"/>
      <c r="CK350" s="269"/>
      <c r="CL350" s="266"/>
    </row>
    <row r="351" spans="1:90">
      <c r="A351" s="95"/>
      <c r="B351" s="263"/>
      <c r="C351" s="263"/>
      <c r="D351" s="263"/>
      <c r="E351" s="263"/>
      <c r="F351" s="263"/>
      <c r="G351" s="263"/>
      <c r="H351" s="95"/>
      <c r="I351" s="95"/>
      <c r="J351" s="263"/>
      <c r="K351" s="263"/>
      <c r="L351" s="263"/>
      <c r="M351" s="263"/>
      <c r="N351" s="263"/>
      <c r="O351" s="263"/>
      <c r="P351" s="95"/>
      <c r="Q351" s="95"/>
      <c r="R351" s="95"/>
      <c r="S351" s="95"/>
      <c r="T351" s="95"/>
      <c r="U351" s="95"/>
      <c r="V351" s="95"/>
      <c r="W351" s="95"/>
      <c r="X351" s="95"/>
      <c r="Y351" s="95"/>
      <c r="Z351" s="95"/>
      <c r="AA351" s="95"/>
      <c r="AB351" s="95"/>
      <c r="AC351" s="95"/>
      <c r="AD351" s="95"/>
      <c r="AE351" s="95"/>
      <c r="AF351" s="95"/>
      <c r="AG351" s="95"/>
      <c r="AH351" s="95"/>
      <c r="AI351" s="95"/>
      <c r="AJ351" s="95"/>
      <c r="AK351" s="95"/>
      <c r="AL351" s="95"/>
      <c r="AM351" s="95"/>
      <c r="AN351" s="94"/>
      <c r="AO351" s="95"/>
      <c r="AP351" s="95"/>
      <c r="AQ351" s="95"/>
      <c r="AR351" s="95"/>
      <c r="AS351" s="95"/>
      <c r="AT351" s="95"/>
      <c r="AU351" s="95"/>
      <c r="AV351" s="95"/>
      <c r="AW351" s="95"/>
      <c r="AX351" s="95"/>
      <c r="AY351" s="95"/>
      <c r="AZ351" s="95"/>
      <c r="BA351" s="95"/>
      <c r="BB351" s="95"/>
      <c r="BC351" s="214"/>
      <c r="BD351" s="95"/>
      <c r="BE351" s="95"/>
      <c r="BF351" s="95"/>
      <c r="BG351" s="95"/>
      <c r="BH351" s="95"/>
      <c r="BI351" s="24"/>
      <c r="BJ351" s="95"/>
      <c r="BK351" s="265"/>
      <c r="BL351" s="265"/>
      <c r="BM351" s="265"/>
      <c r="BN351" s="266"/>
      <c r="BO351" s="267"/>
      <c r="BP351" s="268"/>
      <c r="BQ351" s="269"/>
      <c r="BR351" s="269"/>
      <c r="BS351" s="269"/>
      <c r="BT351" s="269"/>
      <c r="BU351" s="269"/>
      <c r="BV351" s="269"/>
      <c r="BW351" s="268"/>
      <c r="BX351" s="269"/>
      <c r="BY351" s="268"/>
      <c r="BZ351" s="268"/>
      <c r="CA351" s="268"/>
      <c r="CB351" s="269"/>
      <c r="CC351" s="268"/>
      <c r="CD351" s="268"/>
      <c r="CE351" s="269"/>
      <c r="CF351" s="269"/>
      <c r="CG351" s="269"/>
      <c r="CH351" s="269"/>
      <c r="CI351" s="269"/>
      <c r="CJ351" s="269"/>
      <c r="CK351" s="269"/>
      <c r="CL351" s="266"/>
    </row>
    <row r="352" spans="1:90">
      <c r="A352" s="95"/>
      <c r="B352" s="263"/>
      <c r="C352" s="263"/>
      <c r="D352" s="263"/>
      <c r="E352" s="263"/>
      <c r="F352" s="263"/>
      <c r="G352" s="263"/>
      <c r="H352" s="95"/>
      <c r="I352" s="95"/>
      <c r="J352" s="263"/>
      <c r="K352" s="263"/>
      <c r="L352" s="263"/>
      <c r="M352" s="263"/>
      <c r="N352" s="263"/>
      <c r="O352" s="263"/>
      <c r="P352" s="95"/>
      <c r="Q352" s="95"/>
      <c r="R352" s="95"/>
      <c r="S352" s="95"/>
      <c r="T352" s="95"/>
      <c r="U352" s="95"/>
      <c r="V352" s="95"/>
      <c r="W352" s="95"/>
      <c r="X352" s="95"/>
      <c r="Y352" s="95"/>
      <c r="Z352" s="95"/>
      <c r="AA352" s="95"/>
      <c r="AB352" s="95"/>
      <c r="AC352" s="95"/>
      <c r="AD352" s="95"/>
      <c r="AE352" s="95"/>
      <c r="AF352" s="95"/>
      <c r="AG352" s="95"/>
      <c r="AH352" s="95"/>
      <c r="AI352" s="95"/>
      <c r="AJ352" s="95"/>
      <c r="AK352" s="95"/>
      <c r="AL352" s="95"/>
      <c r="AM352" s="95"/>
      <c r="AN352" s="94"/>
      <c r="AO352" s="95"/>
      <c r="AP352" s="95"/>
      <c r="AQ352" s="95"/>
      <c r="AR352" s="95"/>
      <c r="AS352" s="95"/>
      <c r="AT352" s="95"/>
      <c r="AU352" s="95"/>
      <c r="AV352" s="95"/>
      <c r="AW352" s="95"/>
      <c r="AX352" s="95"/>
      <c r="AY352" s="95"/>
      <c r="AZ352" s="95"/>
      <c r="BA352" s="95"/>
      <c r="BB352" s="95"/>
      <c r="BC352" s="214"/>
      <c r="BD352" s="95"/>
      <c r="BE352" s="95"/>
      <c r="BF352" s="95"/>
      <c r="BG352" s="95"/>
      <c r="BH352" s="95"/>
      <c r="BI352" s="24"/>
      <c r="BJ352" s="95"/>
      <c r="BK352" s="265"/>
      <c r="BL352" s="265"/>
      <c r="BM352" s="265"/>
      <c r="BN352" s="266"/>
      <c r="BO352" s="267"/>
      <c r="BP352" s="268"/>
      <c r="BQ352" s="269"/>
      <c r="BR352" s="269"/>
      <c r="BS352" s="269"/>
      <c r="BT352" s="269"/>
      <c r="BU352" s="269"/>
      <c r="BV352" s="269"/>
      <c r="BW352" s="268"/>
      <c r="BX352" s="269"/>
      <c r="BY352" s="268"/>
      <c r="BZ352" s="268"/>
      <c r="CA352" s="268"/>
      <c r="CB352" s="269"/>
      <c r="CC352" s="268"/>
      <c r="CD352" s="268"/>
      <c r="CE352" s="269"/>
      <c r="CF352" s="269"/>
      <c r="CG352" s="269"/>
      <c r="CH352" s="269"/>
      <c r="CI352" s="269"/>
      <c r="CJ352" s="269"/>
      <c r="CK352" s="269"/>
      <c r="CL352" s="266"/>
    </row>
    <row r="353" spans="1:90">
      <c r="A353" s="95"/>
      <c r="B353" s="263"/>
      <c r="C353" s="263"/>
      <c r="D353" s="263"/>
      <c r="E353" s="263"/>
      <c r="F353" s="263"/>
      <c r="G353" s="263"/>
      <c r="H353" s="95"/>
      <c r="I353" s="95"/>
      <c r="J353" s="263"/>
      <c r="K353" s="263"/>
      <c r="L353" s="263"/>
      <c r="M353" s="263"/>
      <c r="N353" s="263"/>
      <c r="O353" s="263"/>
      <c r="P353" s="95"/>
      <c r="Q353" s="95"/>
      <c r="R353" s="95"/>
      <c r="S353" s="95"/>
      <c r="T353" s="95"/>
      <c r="U353" s="95"/>
      <c r="V353" s="95"/>
      <c r="W353" s="95"/>
      <c r="X353" s="95"/>
      <c r="Y353" s="95"/>
      <c r="Z353" s="95"/>
      <c r="AA353" s="95"/>
      <c r="AB353" s="95"/>
      <c r="AC353" s="95"/>
      <c r="AD353" s="95"/>
      <c r="AE353" s="95"/>
      <c r="AF353" s="95"/>
      <c r="AG353" s="95"/>
      <c r="AH353" s="95"/>
      <c r="AI353" s="95"/>
      <c r="AJ353" s="95"/>
      <c r="AK353" s="95"/>
      <c r="AL353" s="95"/>
      <c r="AM353" s="95"/>
      <c r="AN353" s="94"/>
      <c r="AO353" s="95"/>
      <c r="AP353" s="95"/>
      <c r="AQ353" s="95"/>
      <c r="AR353" s="95"/>
      <c r="AS353" s="95"/>
      <c r="AT353" s="95"/>
      <c r="AU353" s="95"/>
      <c r="AV353" s="95"/>
      <c r="AW353" s="95"/>
      <c r="AX353" s="95"/>
      <c r="AY353" s="95"/>
      <c r="AZ353" s="95"/>
      <c r="BA353" s="95"/>
      <c r="BB353" s="95"/>
      <c r="BC353" s="214"/>
      <c r="BD353" s="95"/>
      <c r="BE353" s="95"/>
      <c r="BF353" s="95"/>
      <c r="BG353" s="95"/>
      <c r="BH353" s="95"/>
      <c r="BI353" s="24"/>
      <c r="BJ353" s="95"/>
      <c r="BK353" s="265"/>
      <c r="BL353" s="265"/>
      <c r="BM353" s="265"/>
      <c r="BN353" s="266"/>
      <c r="BO353" s="267"/>
      <c r="BP353" s="268"/>
      <c r="BQ353" s="269"/>
      <c r="BR353" s="269"/>
      <c r="BS353" s="269"/>
      <c r="BT353" s="269"/>
      <c r="BU353" s="269"/>
      <c r="BV353" s="269"/>
      <c r="BW353" s="268"/>
      <c r="BX353" s="269"/>
      <c r="BY353" s="268"/>
      <c r="BZ353" s="268"/>
      <c r="CA353" s="268"/>
      <c r="CB353" s="269"/>
      <c r="CC353" s="268"/>
      <c r="CD353" s="268"/>
      <c r="CE353" s="269"/>
      <c r="CF353" s="269"/>
      <c r="CG353" s="269"/>
      <c r="CH353" s="269"/>
      <c r="CI353" s="269"/>
      <c r="CJ353" s="269"/>
      <c r="CK353" s="269"/>
      <c r="CL353" s="266"/>
    </row>
    <row r="354" spans="1:90">
      <c r="A354" s="95"/>
      <c r="B354" s="263"/>
      <c r="C354" s="263"/>
      <c r="D354" s="263"/>
      <c r="E354" s="263"/>
      <c r="F354" s="263"/>
      <c r="G354" s="263"/>
      <c r="H354" s="95"/>
      <c r="I354" s="95"/>
      <c r="J354" s="263"/>
      <c r="K354" s="263"/>
      <c r="L354" s="263"/>
      <c r="M354" s="263"/>
      <c r="N354" s="263"/>
      <c r="O354" s="263"/>
      <c r="P354" s="95"/>
      <c r="Q354" s="95"/>
      <c r="R354" s="95"/>
      <c r="S354" s="95"/>
      <c r="T354" s="95"/>
      <c r="U354" s="95"/>
      <c r="V354" s="95"/>
      <c r="W354" s="95"/>
      <c r="X354" s="95"/>
      <c r="Y354" s="95"/>
      <c r="Z354" s="95"/>
      <c r="AA354" s="95"/>
      <c r="AB354" s="95"/>
      <c r="AC354" s="95"/>
      <c r="AD354" s="95"/>
      <c r="AE354" s="95"/>
      <c r="AF354" s="95"/>
      <c r="AG354" s="95"/>
      <c r="AH354" s="95"/>
      <c r="AI354" s="95"/>
      <c r="AJ354" s="95"/>
      <c r="AK354" s="95"/>
      <c r="AL354" s="95"/>
      <c r="AM354" s="95"/>
      <c r="AN354" s="94"/>
      <c r="AO354" s="95"/>
      <c r="AP354" s="95"/>
      <c r="AQ354" s="95"/>
      <c r="AR354" s="95"/>
      <c r="AS354" s="95"/>
      <c r="AT354" s="95"/>
      <c r="AU354" s="95"/>
      <c r="AV354" s="95"/>
      <c r="AW354" s="95"/>
      <c r="AX354" s="95"/>
      <c r="AY354" s="95"/>
      <c r="AZ354" s="95"/>
      <c r="BA354" s="95"/>
      <c r="BB354" s="95"/>
      <c r="BC354" s="214"/>
      <c r="BD354" s="95"/>
      <c r="BE354" s="95"/>
      <c r="BF354" s="95"/>
      <c r="BG354" s="95"/>
      <c r="BH354" s="95"/>
      <c r="BI354" s="24"/>
      <c r="BJ354" s="95"/>
      <c r="BK354" s="265"/>
      <c r="BL354" s="265"/>
      <c r="BM354" s="265"/>
      <c r="BN354" s="266"/>
      <c r="BO354" s="267"/>
      <c r="BP354" s="268"/>
      <c r="BQ354" s="269"/>
      <c r="BR354" s="269"/>
      <c r="BS354" s="269"/>
      <c r="BT354" s="269"/>
      <c r="BU354" s="269"/>
      <c r="BV354" s="269"/>
      <c r="BW354" s="268"/>
      <c r="BX354" s="269"/>
      <c r="BY354" s="268"/>
      <c r="BZ354" s="268"/>
      <c r="CA354" s="268"/>
      <c r="CB354" s="269"/>
      <c r="CC354" s="268"/>
      <c r="CD354" s="268"/>
      <c r="CE354" s="269"/>
      <c r="CF354" s="269"/>
      <c r="CG354" s="269"/>
      <c r="CH354" s="269"/>
      <c r="CI354" s="269"/>
      <c r="CJ354" s="269"/>
      <c r="CK354" s="269"/>
      <c r="CL354" s="266"/>
    </row>
    <row r="355" spans="1:90">
      <c r="A355" s="95"/>
      <c r="B355" s="263"/>
      <c r="C355" s="263"/>
      <c r="D355" s="263"/>
      <c r="E355" s="263"/>
      <c r="F355" s="263"/>
      <c r="G355" s="263"/>
      <c r="H355" s="95"/>
      <c r="I355" s="95"/>
      <c r="J355" s="263"/>
      <c r="K355" s="263"/>
      <c r="L355" s="263"/>
      <c r="M355" s="263"/>
      <c r="N355" s="263"/>
      <c r="O355" s="263"/>
      <c r="P355" s="95"/>
      <c r="Q355" s="95"/>
      <c r="R355" s="95"/>
      <c r="S355" s="95"/>
      <c r="T355" s="95"/>
      <c r="U355" s="95"/>
      <c r="V355" s="95"/>
      <c r="W355" s="95"/>
      <c r="X355" s="95"/>
      <c r="Y355" s="95"/>
      <c r="Z355" s="95"/>
      <c r="AA355" s="95"/>
      <c r="AB355" s="95"/>
      <c r="AC355" s="95"/>
      <c r="AD355" s="95"/>
      <c r="AE355" s="95"/>
      <c r="AF355" s="95"/>
      <c r="AG355" s="95"/>
      <c r="AH355" s="95"/>
      <c r="AI355" s="95"/>
      <c r="AJ355" s="95"/>
      <c r="AK355" s="95"/>
      <c r="AL355" s="95"/>
      <c r="AM355" s="95"/>
      <c r="AN355" s="94"/>
      <c r="AO355" s="95"/>
      <c r="AP355" s="95"/>
      <c r="AQ355" s="95"/>
      <c r="AR355" s="95"/>
      <c r="AS355" s="95"/>
      <c r="AT355" s="95"/>
      <c r="AU355" s="95"/>
      <c r="AV355" s="95"/>
      <c r="AW355" s="95"/>
      <c r="AX355" s="95"/>
      <c r="AY355" s="95"/>
      <c r="AZ355" s="95"/>
      <c r="BA355" s="95"/>
      <c r="BB355" s="95"/>
      <c r="BC355" s="214"/>
      <c r="BD355" s="95"/>
      <c r="BE355" s="95"/>
      <c r="BF355" s="95"/>
      <c r="BG355" s="95"/>
      <c r="BH355" s="95"/>
      <c r="BI355" s="24"/>
      <c r="BJ355" s="95"/>
      <c r="BK355" s="265"/>
      <c r="BL355" s="265"/>
      <c r="BM355" s="265"/>
      <c r="BN355" s="266"/>
      <c r="BO355" s="267"/>
      <c r="BP355" s="268"/>
      <c r="BQ355" s="269"/>
      <c r="BR355" s="269"/>
      <c r="BS355" s="269"/>
      <c r="BT355" s="269"/>
      <c r="BU355" s="269"/>
      <c r="BV355" s="269"/>
      <c r="BW355" s="268"/>
      <c r="BX355" s="269"/>
      <c r="BY355" s="268"/>
      <c r="BZ355" s="268"/>
      <c r="CA355" s="268"/>
      <c r="CB355" s="269"/>
      <c r="CC355" s="268"/>
      <c r="CD355" s="268"/>
      <c r="CE355" s="269"/>
      <c r="CF355" s="269"/>
      <c r="CG355" s="269"/>
      <c r="CH355" s="269"/>
      <c r="CI355" s="269"/>
      <c r="CJ355" s="269"/>
      <c r="CK355" s="269"/>
      <c r="CL355" s="266"/>
    </row>
    <row r="356" spans="1:90">
      <c r="A356" s="95"/>
      <c r="B356" s="263"/>
      <c r="C356" s="263"/>
      <c r="D356" s="263"/>
      <c r="E356" s="263"/>
      <c r="F356" s="263"/>
      <c r="G356" s="263"/>
      <c r="H356" s="95"/>
      <c r="I356" s="95"/>
      <c r="J356" s="263"/>
      <c r="K356" s="263"/>
      <c r="L356" s="263"/>
      <c r="M356" s="263"/>
      <c r="N356" s="263"/>
      <c r="O356" s="263"/>
      <c r="P356" s="95"/>
      <c r="Q356" s="95"/>
      <c r="R356" s="95"/>
      <c r="S356" s="95"/>
      <c r="T356" s="95"/>
      <c r="U356" s="95"/>
      <c r="V356" s="95"/>
      <c r="W356" s="95"/>
      <c r="X356" s="95"/>
      <c r="Y356" s="95"/>
      <c r="Z356" s="95"/>
      <c r="AA356" s="95"/>
      <c r="AB356" s="95"/>
      <c r="AC356" s="95"/>
      <c r="AD356" s="95"/>
      <c r="AE356" s="95"/>
      <c r="AF356" s="95"/>
      <c r="AG356" s="95"/>
      <c r="AH356" s="95"/>
      <c r="AI356" s="95"/>
      <c r="AJ356" s="95"/>
      <c r="AK356" s="95"/>
      <c r="AL356" s="95"/>
      <c r="AM356" s="95"/>
      <c r="AN356" s="94"/>
      <c r="AO356" s="95"/>
      <c r="AP356" s="95"/>
      <c r="AQ356" s="95"/>
      <c r="AR356" s="95"/>
      <c r="AS356" s="95"/>
      <c r="AT356" s="95"/>
      <c r="AU356" s="95"/>
      <c r="AV356" s="95"/>
      <c r="AW356" s="95"/>
      <c r="AX356" s="95"/>
      <c r="AY356" s="95"/>
      <c r="AZ356" s="95"/>
      <c r="BA356" s="95"/>
      <c r="BB356" s="95"/>
      <c r="BC356" s="214"/>
      <c r="BD356" s="95"/>
      <c r="BE356" s="95"/>
      <c r="BF356" s="95"/>
      <c r="BG356" s="95"/>
      <c r="BH356" s="95"/>
      <c r="BI356" s="24"/>
      <c r="BJ356" s="95"/>
      <c r="BK356" s="265"/>
      <c r="BL356" s="265"/>
      <c r="BM356" s="265"/>
      <c r="BN356" s="266"/>
      <c r="BO356" s="267"/>
      <c r="BP356" s="268"/>
      <c r="BQ356" s="269"/>
      <c r="BR356" s="269"/>
      <c r="BS356" s="269"/>
      <c r="BT356" s="269"/>
      <c r="BU356" s="269"/>
      <c r="BV356" s="269"/>
      <c r="BW356" s="268"/>
      <c r="BX356" s="269"/>
      <c r="BY356" s="268"/>
      <c r="BZ356" s="268"/>
      <c r="CA356" s="268"/>
      <c r="CB356" s="269"/>
      <c r="CC356" s="268"/>
      <c r="CD356" s="268"/>
      <c r="CE356" s="269"/>
      <c r="CF356" s="269"/>
      <c r="CG356" s="269"/>
      <c r="CH356" s="269"/>
      <c r="CI356" s="269"/>
      <c r="CJ356" s="269"/>
      <c r="CK356" s="269"/>
      <c r="CL356" s="266"/>
    </row>
    <row r="357" spans="1:90">
      <c r="A357" s="95"/>
      <c r="B357" s="263"/>
      <c r="C357" s="263"/>
      <c r="D357" s="263"/>
      <c r="E357" s="263"/>
      <c r="F357" s="263"/>
      <c r="G357" s="263"/>
      <c r="H357" s="95"/>
      <c r="I357" s="95"/>
      <c r="J357" s="263"/>
      <c r="K357" s="263"/>
      <c r="L357" s="263"/>
      <c r="M357" s="263"/>
      <c r="N357" s="263"/>
      <c r="O357" s="263"/>
      <c r="P357" s="95"/>
      <c r="Q357" s="95"/>
      <c r="R357" s="95"/>
      <c r="S357" s="95"/>
      <c r="T357" s="95"/>
      <c r="U357" s="95"/>
      <c r="V357" s="95"/>
      <c r="W357" s="95"/>
      <c r="X357" s="95"/>
      <c r="Y357" s="95"/>
      <c r="Z357" s="95"/>
      <c r="AA357" s="95"/>
      <c r="AB357" s="95"/>
      <c r="AC357" s="95"/>
      <c r="AD357" s="95"/>
      <c r="AE357" s="95"/>
      <c r="AF357" s="95"/>
      <c r="AG357" s="95"/>
      <c r="AH357" s="95"/>
      <c r="AI357" s="95"/>
      <c r="AJ357" s="95"/>
      <c r="AK357" s="95"/>
      <c r="AL357" s="95"/>
      <c r="AM357" s="95"/>
      <c r="AN357" s="94"/>
      <c r="AO357" s="95"/>
      <c r="AP357" s="95"/>
      <c r="AQ357" s="95"/>
      <c r="AR357" s="95"/>
      <c r="AS357" s="95"/>
      <c r="AT357" s="95"/>
      <c r="AU357" s="95"/>
      <c r="AV357" s="95"/>
      <c r="AW357" s="95"/>
      <c r="AX357" s="95"/>
      <c r="AY357" s="95"/>
      <c r="AZ357" s="95"/>
      <c r="BA357" s="95"/>
      <c r="BB357" s="95"/>
      <c r="BC357" s="214"/>
      <c r="BD357" s="95"/>
      <c r="BE357" s="95"/>
      <c r="BF357" s="95"/>
      <c r="BG357" s="95"/>
      <c r="BH357" s="95"/>
      <c r="BI357" s="24"/>
      <c r="BJ357" s="95"/>
      <c r="BK357" s="265"/>
      <c r="BL357" s="265"/>
      <c r="BM357" s="265"/>
      <c r="BN357" s="266"/>
      <c r="BO357" s="267"/>
      <c r="BP357" s="268"/>
      <c r="BQ357" s="269"/>
      <c r="BR357" s="269"/>
      <c r="BS357" s="269"/>
      <c r="BT357" s="269"/>
      <c r="BU357" s="269"/>
      <c r="BV357" s="269"/>
      <c r="BW357" s="268"/>
      <c r="BX357" s="269"/>
      <c r="BY357" s="268"/>
      <c r="BZ357" s="268"/>
      <c r="CA357" s="268"/>
      <c r="CB357" s="269"/>
      <c r="CC357" s="268"/>
      <c r="CD357" s="268"/>
      <c r="CE357" s="269"/>
      <c r="CF357" s="269"/>
      <c r="CG357" s="269"/>
      <c r="CH357" s="269"/>
      <c r="CI357" s="269"/>
      <c r="CJ357" s="269"/>
      <c r="CK357" s="269"/>
      <c r="CL357" s="266"/>
    </row>
    <row r="358" spans="1:90">
      <c r="A358" s="95"/>
      <c r="B358" s="263"/>
      <c r="C358" s="263"/>
      <c r="D358" s="263"/>
      <c r="E358" s="263"/>
      <c r="F358" s="263"/>
      <c r="G358" s="263"/>
      <c r="H358" s="95"/>
      <c r="I358" s="95"/>
      <c r="J358" s="263"/>
      <c r="K358" s="263"/>
      <c r="L358" s="263"/>
      <c r="M358" s="263"/>
      <c r="N358" s="263"/>
      <c r="O358" s="263"/>
      <c r="P358" s="95"/>
      <c r="Q358" s="95"/>
      <c r="R358" s="95"/>
      <c r="S358" s="95"/>
      <c r="T358" s="95"/>
      <c r="U358" s="95"/>
      <c r="V358" s="95"/>
      <c r="W358" s="95"/>
      <c r="X358" s="95"/>
      <c r="Y358" s="95"/>
      <c r="Z358" s="95"/>
      <c r="AA358" s="95"/>
      <c r="AB358" s="95"/>
      <c r="AC358" s="95"/>
      <c r="AD358" s="95"/>
      <c r="AE358" s="95"/>
      <c r="AF358" s="95"/>
      <c r="AG358" s="95"/>
      <c r="AH358" s="95"/>
      <c r="AI358" s="95"/>
      <c r="AJ358" s="95"/>
      <c r="AK358" s="95"/>
      <c r="AL358" s="95"/>
      <c r="AM358" s="95"/>
      <c r="AN358" s="94"/>
      <c r="AO358" s="95"/>
      <c r="AP358" s="95"/>
      <c r="AQ358" s="95"/>
      <c r="AR358" s="95"/>
      <c r="AS358" s="95"/>
      <c r="AT358" s="95"/>
      <c r="AU358" s="95"/>
      <c r="AV358" s="95"/>
      <c r="AW358" s="95"/>
      <c r="AX358" s="95"/>
      <c r="AY358" s="95"/>
      <c r="AZ358" s="95"/>
      <c r="BA358" s="95"/>
      <c r="BB358" s="95"/>
      <c r="BC358" s="214"/>
      <c r="BD358" s="95"/>
      <c r="BE358" s="95"/>
      <c r="BF358" s="95"/>
      <c r="BG358" s="95"/>
      <c r="BH358" s="95"/>
      <c r="BI358" s="24"/>
      <c r="BJ358" s="95"/>
      <c r="BK358" s="265"/>
      <c r="BL358" s="265"/>
      <c r="BM358" s="265"/>
      <c r="BN358" s="266"/>
      <c r="BO358" s="267"/>
      <c r="BP358" s="268"/>
      <c r="BQ358" s="269"/>
      <c r="BR358" s="269"/>
      <c r="BS358" s="269"/>
      <c r="BT358" s="269"/>
      <c r="BU358" s="269"/>
      <c r="BV358" s="269"/>
      <c r="BW358" s="268"/>
      <c r="BX358" s="269"/>
      <c r="BY358" s="268"/>
      <c r="BZ358" s="268"/>
      <c r="CA358" s="268"/>
      <c r="CB358" s="269"/>
      <c r="CC358" s="268"/>
      <c r="CD358" s="268"/>
      <c r="CE358" s="269"/>
      <c r="CF358" s="269"/>
      <c r="CG358" s="269"/>
      <c r="CH358" s="269"/>
      <c r="CI358" s="269"/>
      <c r="CJ358" s="269"/>
      <c r="CK358" s="269"/>
      <c r="CL358" s="266"/>
    </row>
    <row r="359" spans="1:90">
      <c r="A359" s="95"/>
      <c r="B359" s="263"/>
      <c r="C359" s="263"/>
      <c r="D359" s="263"/>
      <c r="E359" s="263"/>
      <c r="F359" s="263"/>
      <c r="G359" s="263"/>
      <c r="H359" s="95"/>
      <c r="I359" s="95"/>
      <c r="J359" s="263"/>
      <c r="K359" s="263"/>
      <c r="L359" s="263"/>
      <c r="M359" s="263"/>
      <c r="N359" s="263"/>
      <c r="O359" s="263"/>
      <c r="P359" s="95"/>
      <c r="Q359" s="95"/>
      <c r="R359" s="95"/>
      <c r="S359" s="95"/>
      <c r="T359" s="95"/>
      <c r="U359" s="95"/>
      <c r="V359" s="95"/>
      <c r="W359" s="95"/>
      <c r="X359" s="95"/>
      <c r="Y359" s="95"/>
      <c r="Z359" s="95"/>
      <c r="AA359" s="95"/>
      <c r="AB359" s="95"/>
      <c r="AC359" s="95"/>
      <c r="AD359" s="95"/>
      <c r="AE359" s="95"/>
      <c r="AF359" s="95"/>
      <c r="AG359" s="95"/>
      <c r="AH359" s="95"/>
      <c r="AI359" s="95"/>
      <c r="AJ359" s="95"/>
      <c r="AK359" s="95"/>
      <c r="AL359" s="95"/>
      <c r="AM359" s="95"/>
      <c r="AN359" s="94"/>
      <c r="AO359" s="95"/>
      <c r="AP359" s="95"/>
      <c r="AQ359" s="95"/>
      <c r="AR359" s="95"/>
      <c r="AS359" s="95"/>
      <c r="AT359" s="95"/>
      <c r="AU359" s="95"/>
      <c r="AV359" s="95"/>
      <c r="AW359" s="95"/>
      <c r="AX359" s="95"/>
      <c r="AY359" s="95"/>
      <c r="AZ359" s="95"/>
      <c r="BA359" s="95"/>
      <c r="BB359" s="95"/>
      <c r="BC359" s="214"/>
      <c r="BD359" s="95"/>
      <c r="BE359" s="95"/>
      <c r="BF359" s="95"/>
      <c r="BG359" s="95"/>
      <c r="BH359" s="95"/>
      <c r="BI359" s="24"/>
      <c r="BJ359" s="95"/>
      <c r="BK359" s="265"/>
      <c r="BL359" s="265"/>
      <c r="BM359" s="265"/>
      <c r="BN359" s="266"/>
      <c r="BO359" s="267"/>
      <c r="BP359" s="268"/>
      <c r="BQ359" s="269"/>
      <c r="BR359" s="269"/>
      <c r="BS359" s="269"/>
      <c r="BT359" s="269"/>
      <c r="BU359" s="269"/>
      <c r="BV359" s="269"/>
      <c r="BW359" s="268"/>
      <c r="BX359" s="269"/>
      <c r="BY359" s="268"/>
      <c r="BZ359" s="268"/>
      <c r="CA359" s="268"/>
      <c r="CB359" s="269"/>
      <c r="CC359" s="268"/>
      <c r="CD359" s="268"/>
      <c r="CE359" s="269"/>
      <c r="CF359" s="269"/>
      <c r="CG359" s="269"/>
      <c r="CH359" s="269"/>
      <c r="CI359" s="269"/>
      <c r="CJ359" s="269"/>
      <c r="CK359" s="269"/>
      <c r="CL359" s="266"/>
    </row>
    <row r="360" spans="1:90">
      <c r="A360" s="95"/>
      <c r="B360" s="263"/>
      <c r="C360" s="263"/>
      <c r="D360" s="263"/>
      <c r="E360" s="263"/>
      <c r="F360" s="263"/>
      <c r="G360" s="263"/>
      <c r="H360" s="95"/>
      <c r="I360" s="95"/>
      <c r="J360" s="263"/>
      <c r="K360" s="263"/>
      <c r="L360" s="263"/>
      <c r="M360" s="263"/>
      <c r="N360" s="263"/>
      <c r="O360" s="263"/>
      <c r="P360" s="95"/>
      <c r="Q360" s="95"/>
      <c r="R360" s="95"/>
      <c r="S360" s="95"/>
      <c r="T360" s="95"/>
      <c r="U360" s="95"/>
      <c r="V360" s="95"/>
      <c r="W360" s="95"/>
      <c r="X360" s="95"/>
      <c r="Y360" s="95"/>
      <c r="Z360" s="95"/>
      <c r="AA360" s="95"/>
      <c r="AB360" s="95"/>
      <c r="AC360" s="95"/>
      <c r="AD360" s="95"/>
      <c r="AE360" s="95"/>
      <c r="AF360" s="95"/>
      <c r="AG360" s="95"/>
      <c r="AH360" s="95"/>
      <c r="AI360" s="95"/>
      <c r="AJ360" s="95"/>
      <c r="AK360" s="95"/>
      <c r="AL360" s="95"/>
      <c r="AM360" s="95"/>
      <c r="AN360" s="94"/>
      <c r="AO360" s="95"/>
      <c r="AP360" s="95"/>
      <c r="AQ360" s="95"/>
      <c r="AR360" s="95"/>
      <c r="AS360" s="95"/>
      <c r="AT360" s="95"/>
      <c r="AU360" s="95"/>
      <c r="AV360" s="95"/>
      <c r="AW360" s="95"/>
      <c r="AX360" s="95"/>
      <c r="AY360" s="95"/>
      <c r="AZ360" s="95"/>
      <c r="BA360" s="95"/>
      <c r="BB360" s="95"/>
      <c r="BC360" s="214"/>
      <c r="BD360" s="95"/>
      <c r="BE360" s="95"/>
      <c r="BF360" s="95"/>
      <c r="BG360" s="95"/>
      <c r="BH360" s="95"/>
      <c r="BI360" s="24"/>
      <c r="BJ360" s="95"/>
      <c r="BK360" s="265"/>
      <c r="BL360" s="265"/>
      <c r="BM360" s="265"/>
      <c r="BN360" s="266"/>
      <c r="BO360" s="267"/>
      <c r="BP360" s="268"/>
      <c r="BQ360" s="269"/>
      <c r="BR360" s="269"/>
      <c r="BS360" s="269"/>
      <c r="BT360" s="269"/>
      <c r="BU360" s="269"/>
      <c r="BV360" s="269"/>
      <c r="BW360" s="268"/>
      <c r="BX360" s="269"/>
      <c r="BY360" s="268"/>
      <c r="BZ360" s="268"/>
      <c r="CA360" s="268"/>
      <c r="CB360" s="269"/>
      <c r="CC360" s="268"/>
      <c r="CD360" s="268"/>
      <c r="CE360" s="269"/>
      <c r="CF360" s="269"/>
      <c r="CG360" s="269"/>
      <c r="CH360" s="269"/>
      <c r="CI360" s="269"/>
      <c r="CJ360" s="269"/>
      <c r="CK360" s="269"/>
      <c r="CL360" s="266"/>
    </row>
    <row r="361" spans="1:90">
      <c r="A361" s="95"/>
      <c r="B361" s="263"/>
      <c r="C361" s="263"/>
      <c r="D361" s="263"/>
      <c r="E361" s="263"/>
      <c r="F361" s="263"/>
      <c r="G361" s="263"/>
      <c r="H361" s="95"/>
      <c r="I361" s="95"/>
      <c r="J361" s="263"/>
      <c r="K361" s="263"/>
      <c r="L361" s="263"/>
      <c r="M361" s="263"/>
      <c r="N361" s="263"/>
      <c r="O361" s="263"/>
      <c r="P361" s="95"/>
      <c r="Q361" s="95"/>
      <c r="R361" s="95"/>
      <c r="S361" s="95"/>
      <c r="T361" s="95"/>
      <c r="U361" s="95"/>
      <c r="V361" s="95"/>
      <c r="W361" s="95"/>
      <c r="X361" s="95"/>
      <c r="Y361" s="95"/>
      <c r="Z361" s="95"/>
      <c r="AA361" s="95"/>
      <c r="AB361" s="95"/>
      <c r="AC361" s="95"/>
      <c r="AD361" s="95"/>
      <c r="AE361" s="95"/>
      <c r="AF361" s="95"/>
      <c r="AG361" s="95"/>
      <c r="AH361" s="95"/>
      <c r="AI361" s="95"/>
      <c r="AJ361" s="95"/>
      <c r="AK361" s="95"/>
      <c r="AL361" s="95"/>
      <c r="AM361" s="95"/>
      <c r="AN361" s="94"/>
      <c r="AO361" s="95"/>
      <c r="AP361" s="95"/>
      <c r="AQ361" s="95"/>
      <c r="AR361" s="95"/>
      <c r="AS361" s="95"/>
      <c r="AT361" s="95"/>
      <c r="AU361" s="95"/>
      <c r="AV361" s="95"/>
      <c r="AW361" s="95"/>
      <c r="AX361" s="95"/>
      <c r="AY361" s="95"/>
      <c r="AZ361" s="95"/>
      <c r="BA361" s="95"/>
      <c r="BB361" s="95"/>
      <c r="BC361" s="214"/>
      <c r="BD361" s="95"/>
      <c r="BE361" s="95"/>
      <c r="BF361" s="95"/>
      <c r="BG361" s="95"/>
      <c r="BH361" s="95"/>
      <c r="BI361" s="24"/>
      <c r="BJ361" s="95"/>
      <c r="BK361" s="265"/>
      <c r="BL361" s="265"/>
      <c r="BM361" s="265"/>
      <c r="BN361" s="266"/>
      <c r="BO361" s="267"/>
      <c r="BP361" s="268"/>
      <c r="BQ361" s="269"/>
      <c r="BR361" s="269"/>
      <c r="BS361" s="269"/>
      <c r="BT361" s="269"/>
      <c r="BU361" s="269"/>
      <c r="BV361" s="269"/>
      <c r="BW361" s="268"/>
      <c r="BX361" s="269"/>
      <c r="BY361" s="268"/>
      <c r="BZ361" s="268"/>
      <c r="CA361" s="268"/>
      <c r="CB361" s="269"/>
      <c r="CC361" s="268"/>
      <c r="CD361" s="268"/>
      <c r="CE361" s="269"/>
      <c r="CF361" s="269"/>
      <c r="CG361" s="269"/>
      <c r="CH361" s="269"/>
      <c r="CI361" s="269"/>
      <c r="CJ361" s="269"/>
      <c r="CK361" s="269"/>
      <c r="CL361" s="266"/>
    </row>
    <row r="362" spans="1:90">
      <c r="A362" s="95"/>
      <c r="B362" s="263"/>
      <c r="C362" s="263"/>
      <c r="D362" s="263"/>
      <c r="E362" s="263"/>
      <c r="F362" s="263"/>
      <c r="G362" s="263"/>
      <c r="H362" s="95"/>
      <c r="I362" s="95"/>
      <c r="J362" s="263"/>
      <c r="K362" s="263"/>
      <c r="L362" s="263"/>
      <c r="M362" s="263"/>
      <c r="N362" s="263"/>
      <c r="O362" s="263"/>
      <c r="P362" s="95"/>
      <c r="Q362" s="95"/>
      <c r="R362" s="95"/>
      <c r="S362" s="95"/>
      <c r="T362" s="95"/>
      <c r="U362" s="95"/>
      <c r="V362" s="95"/>
      <c r="W362" s="95"/>
      <c r="X362" s="95"/>
      <c r="Y362" s="95"/>
      <c r="Z362" s="95"/>
      <c r="AA362" s="95"/>
      <c r="AB362" s="95"/>
      <c r="AC362" s="95"/>
      <c r="AD362" s="95"/>
      <c r="AE362" s="95"/>
      <c r="AF362" s="95"/>
      <c r="AG362" s="95"/>
      <c r="AH362" s="95"/>
      <c r="AI362" s="95"/>
      <c r="AJ362" s="95"/>
      <c r="AK362" s="95"/>
      <c r="AL362" s="95"/>
      <c r="AM362" s="95"/>
      <c r="AN362" s="94"/>
      <c r="AO362" s="95"/>
      <c r="AP362" s="95"/>
      <c r="AQ362" s="95"/>
      <c r="AR362" s="95"/>
      <c r="AS362" s="95"/>
      <c r="AT362" s="95"/>
      <c r="AU362" s="95"/>
      <c r="AV362" s="95"/>
      <c r="AW362" s="95"/>
      <c r="AX362" s="95"/>
      <c r="AY362" s="95"/>
      <c r="AZ362" s="95"/>
      <c r="BA362" s="95"/>
      <c r="BB362" s="95"/>
      <c r="BC362" s="214"/>
      <c r="BD362" s="95"/>
      <c r="BE362" s="95"/>
      <c r="BF362" s="95"/>
      <c r="BG362" s="95"/>
      <c r="BH362" s="95"/>
      <c r="BI362" s="24"/>
      <c r="BJ362" s="95"/>
      <c r="BK362" s="265"/>
      <c r="BL362" s="265"/>
      <c r="BM362" s="265"/>
      <c r="BN362" s="266"/>
      <c r="BO362" s="267"/>
      <c r="BP362" s="268"/>
      <c r="BQ362" s="269"/>
      <c r="BR362" s="269"/>
      <c r="BS362" s="269"/>
      <c r="BT362" s="269"/>
      <c r="BU362" s="269"/>
      <c r="BV362" s="269"/>
      <c r="BW362" s="268"/>
      <c r="BX362" s="269"/>
      <c r="BY362" s="268"/>
      <c r="BZ362" s="268"/>
      <c r="CA362" s="268"/>
      <c r="CB362" s="269"/>
      <c r="CC362" s="268"/>
      <c r="CD362" s="268"/>
      <c r="CE362" s="269"/>
      <c r="CF362" s="269"/>
      <c r="CG362" s="269"/>
      <c r="CH362" s="269"/>
      <c r="CI362" s="269"/>
      <c r="CJ362" s="269"/>
      <c r="CK362" s="269"/>
      <c r="CL362" s="266"/>
    </row>
    <row r="363" spans="1:90">
      <c r="A363" s="95"/>
      <c r="B363" s="263"/>
      <c r="C363" s="263"/>
      <c r="D363" s="263"/>
      <c r="E363" s="263"/>
      <c r="F363" s="263"/>
      <c r="G363" s="263"/>
      <c r="H363" s="95"/>
      <c r="I363" s="95"/>
      <c r="J363" s="263"/>
      <c r="K363" s="263"/>
      <c r="L363" s="263"/>
      <c r="M363" s="263"/>
      <c r="N363" s="263"/>
      <c r="O363" s="263"/>
      <c r="P363" s="95"/>
      <c r="Q363" s="95"/>
      <c r="R363" s="95"/>
      <c r="S363" s="95"/>
      <c r="T363" s="95"/>
      <c r="U363" s="95"/>
      <c r="V363" s="95"/>
      <c r="W363" s="95"/>
      <c r="X363" s="95"/>
      <c r="Y363" s="95"/>
      <c r="Z363" s="95"/>
      <c r="AA363" s="95"/>
      <c r="AB363" s="95"/>
      <c r="AC363" s="95"/>
      <c r="AD363" s="95"/>
      <c r="AE363" s="95"/>
      <c r="AF363" s="95"/>
      <c r="AG363" s="95"/>
      <c r="AH363" s="95"/>
      <c r="AI363" s="95"/>
      <c r="AJ363" s="95"/>
      <c r="AK363" s="95"/>
      <c r="AL363" s="95"/>
      <c r="AM363" s="95"/>
      <c r="AN363" s="94"/>
      <c r="AO363" s="95"/>
      <c r="AP363" s="95"/>
      <c r="AQ363" s="95"/>
      <c r="AR363" s="95"/>
      <c r="AS363" s="95"/>
      <c r="AT363" s="95"/>
      <c r="AU363" s="95"/>
      <c r="AV363" s="95"/>
      <c r="AW363" s="95"/>
      <c r="AX363" s="95"/>
      <c r="AY363" s="95"/>
      <c r="AZ363" s="95"/>
      <c r="BA363" s="95"/>
      <c r="BB363" s="95"/>
      <c r="BC363" s="214"/>
      <c r="BD363" s="95"/>
      <c r="BE363" s="95"/>
      <c r="BF363" s="95"/>
      <c r="BG363" s="95"/>
      <c r="BH363" s="95"/>
      <c r="BI363" s="24"/>
      <c r="BJ363" s="95"/>
      <c r="BK363" s="265"/>
      <c r="BL363" s="265"/>
      <c r="BM363" s="265"/>
      <c r="BN363" s="266"/>
      <c r="BO363" s="267"/>
      <c r="BP363" s="268"/>
      <c r="BQ363" s="269"/>
      <c r="BR363" s="269"/>
      <c r="BS363" s="269"/>
      <c r="BT363" s="269"/>
      <c r="BU363" s="269"/>
      <c r="BV363" s="269"/>
      <c r="BW363" s="268"/>
      <c r="BX363" s="269"/>
      <c r="BY363" s="268"/>
      <c r="BZ363" s="268"/>
      <c r="CA363" s="268"/>
      <c r="CB363" s="269"/>
      <c r="CC363" s="268"/>
      <c r="CD363" s="268"/>
      <c r="CE363" s="269"/>
      <c r="CF363" s="269"/>
      <c r="CG363" s="269"/>
      <c r="CH363" s="269"/>
      <c r="CI363" s="269"/>
      <c r="CJ363" s="269"/>
      <c r="CK363" s="269"/>
      <c r="CL363" s="266"/>
    </row>
    <row r="364" spans="1:90">
      <c r="A364" s="95"/>
      <c r="B364" s="263"/>
      <c r="C364" s="263"/>
      <c r="D364" s="263"/>
      <c r="E364" s="263"/>
      <c r="F364" s="263"/>
      <c r="G364" s="263"/>
      <c r="H364" s="95"/>
      <c r="I364" s="95"/>
      <c r="J364" s="263"/>
      <c r="K364" s="263"/>
      <c r="L364" s="263"/>
      <c r="M364" s="263"/>
      <c r="N364" s="263"/>
      <c r="O364" s="263"/>
      <c r="P364" s="95"/>
      <c r="Q364" s="95"/>
      <c r="R364" s="95"/>
      <c r="S364" s="95"/>
      <c r="T364" s="95"/>
      <c r="U364" s="95"/>
      <c r="V364" s="95"/>
      <c r="W364" s="95"/>
      <c r="X364" s="95"/>
      <c r="Y364" s="95"/>
      <c r="Z364" s="95"/>
      <c r="AA364" s="95"/>
      <c r="AB364" s="95"/>
      <c r="AC364" s="95"/>
      <c r="AD364" s="95"/>
      <c r="AE364" s="95"/>
      <c r="AF364" s="95"/>
      <c r="AG364" s="95"/>
      <c r="AH364" s="95"/>
      <c r="AI364" s="95"/>
      <c r="AJ364" s="95"/>
      <c r="AK364" s="95"/>
      <c r="AL364" s="95"/>
      <c r="AM364" s="95"/>
      <c r="AN364" s="94"/>
      <c r="AO364" s="95"/>
      <c r="AP364" s="95"/>
      <c r="AQ364" s="95"/>
      <c r="AR364" s="95"/>
      <c r="AS364" s="95"/>
      <c r="AT364" s="95"/>
      <c r="AU364" s="95"/>
      <c r="AV364" s="95"/>
      <c r="AW364" s="95"/>
      <c r="AX364" s="95"/>
      <c r="AY364" s="95"/>
      <c r="AZ364" s="95"/>
      <c r="BA364" s="95"/>
      <c r="BB364" s="95"/>
      <c r="BC364" s="214"/>
      <c r="BD364" s="95"/>
      <c r="BE364" s="95"/>
      <c r="BF364" s="95"/>
      <c r="BG364" s="95"/>
      <c r="BH364" s="95"/>
      <c r="BI364" s="24"/>
      <c r="BJ364" s="95"/>
      <c r="BK364" s="265"/>
      <c r="BL364" s="265"/>
      <c r="BM364" s="265"/>
      <c r="BN364" s="266"/>
      <c r="BO364" s="267"/>
      <c r="BP364" s="268"/>
      <c r="BQ364" s="269"/>
      <c r="BR364" s="269"/>
      <c r="BS364" s="269"/>
      <c r="BT364" s="269"/>
      <c r="BU364" s="269"/>
      <c r="BV364" s="269"/>
      <c r="BW364" s="268"/>
      <c r="BX364" s="269"/>
      <c r="BY364" s="268"/>
      <c r="BZ364" s="268"/>
      <c r="CA364" s="268"/>
      <c r="CB364" s="269"/>
      <c r="CC364" s="268"/>
      <c r="CD364" s="268"/>
      <c r="CE364" s="269"/>
      <c r="CF364" s="269"/>
      <c r="CG364" s="269"/>
      <c r="CH364" s="269"/>
      <c r="CI364" s="269"/>
      <c r="CJ364" s="269"/>
      <c r="CK364" s="269"/>
      <c r="CL364" s="266"/>
    </row>
    <row r="365" spans="1:90">
      <c r="A365" s="95"/>
      <c r="B365" s="263"/>
      <c r="C365" s="263"/>
      <c r="D365" s="263"/>
      <c r="E365" s="263"/>
      <c r="F365" s="263"/>
      <c r="G365" s="263"/>
      <c r="H365" s="95"/>
      <c r="I365" s="95"/>
      <c r="J365" s="263"/>
      <c r="K365" s="263"/>
      <c r="L365" s="263"/>
      <c r="M365" s="263"/>
      <c r="N365" s="263"/>
      <c r="O365" s="263"/>
      <c r="P365" s="95"/>
      <c r="Q365" s="95"/>
      <c r="R365" s="95"/>
      <c r="S365" s="95"/>
      <c r="T365" s="95"/>
      <c r="U365" s="95"/>
      <c r="V365" s="95"/>
      <c r="W365" s="95"/>
      <c r="X365" s="95"/>
      <c r="Y365" s="95"/>
      <c r="Z365" s="95"/>
      <c r="AA365" s="95"/>
      <c r="AB365" s="95"/>
      <c r="AC365" s="95"/>
      <c r="AD365" s="95"/>
      <c r="AE365" s="95"/>
      <c r="AF365" s="95"/>
      <c r="AG365" s="95"/>
      <c r="AH365" s="95"/>
      <c r="AI365" s="95"/>
      <c r="AJ365" s="95"/>
      <c r="AK365" s="95"/>
      <c r="AL365" s="95"/>
      <c r="AM365" s="95"/>
      <c r="AN365" s="94"/>
      <c r="AO365" s="95"/>
      <c r="AP365" s="95"/>
      <c r="AQ365" s="95"/>
      <c r="AR365" s="95"/>
      <c r="AS365" s="95"/>
      <c r="AT365" s="95"/>
      <c r="AU365" s="95"/>
      <c r="AV365" s="95"/>
      <c r="AW365" s="95"/>
      <c r="AX365" s="95"/>
      <c r="AY365" s="95"/>
      <c r="AZ365" s="95"/>
      <c r="BA365" s="95"/>
      <c r="BB365" s="95"/>
      <c r="BC365" s="214"/>
      <c r="BD365" s="95"/>
      <c r="BE365" s="95"/>
      <c r="BF365" s="95"/>
      <c r="BG365" s="95"/>
      <c r="BH365" s="95"/>
      <c r="BI365" s="24"/>
      <c r="BJ365" s="95"/>
      <c r="BK365" s="265"/>
      <c r="BL365" s="265"/>
      <c r="BM365" s="265"/>
      <c r="BN365" s="266"/>
      <c r="BO365" s="267"/>
      <c r="BP365" s="268"/>
      <c r="BQ365" s="269"/>
      <c r="BR365" s="269"/>
      <c r="BS365" s="269"/>
      <c r="BT365" s="269"/>
      <c r="BU365" s="269"/>
      <c r="BV365" s="269"/>
      <c r="BW365" s="268"/>
      <c r="BX365" s="269"/>
      <c r="BY365" s="268"/>
      <c r="BZ365" s="268"/>
      <c r="CA365" s="268"/>
      <c r="CB365" s="269"/>
      <c r="CC365" s="268"/>
      <c r="CD365" s="268"/>
      <c r="CE365" s="269"/>
      <c r="CF365" s="269"/>
      <c r="CG365" s="269"/>
      <c r="CH365" s="269"/>
      <c r="CI365" s="269"/>
      <c r="CJ365" s="269"/>
      <c r="CK365" s="269"/>
      <c r="CL365" s="266"/>
    </row>
    <row r="366" spans="1:90">
      <c r="A366" s="95"/>
      <c r="B366" s="263"/>
      <c r="C366" s="263"/>
      <c r="D366" s="263"/>
      <c r="E366" s="263"/>
      <c r="F366" s="263"/>
      <c r="G366" s="263"/>
      <c r="H366" s="95"/>
      <c r="I366" s="95"/>
      <c r="J366" s="263"/>
      <c r="K366" s="263"/>
      <c r="L366" s="263"/>
      <c r="M366" s="263"/>
      <c r="N366" s="263"/>
      <c r="O366" s="263"/>
      <c r="P366" s="95"/>
      <c r="Q366" s="95"/>
      <c r="R366" s="95"/>
      <c r="S366" s="95"/>
      <c r="T366" s="95"/>
      <c r="U366" s="95"/>
      <c r="V366" s="95"/>
      <c r="W366" s="95"/>
      <c r="X366" s="95"/>
      <c r="Y366" s="95"/>
      <c r="Z366" s="95"/>
      <c r="AA366" s="95"/>
      <c r="AB366" s="95"/>
      <c r="AC366" s="95"/>
      <c r="AD366" s="95"/>
      <c r="AE366" s="95"/>
      <c r="AF366" s="95"/>
      <c r="AG366" s="95"/>
      <c r="AH366" s="95"/>
      <c r="AI366" s="95"/>
      <c r="AJ366" s="95"/>
      <c r="AK366" s="95"/>
      <c r="AL366" s="95"/>
      <c r="AM366" s="95"/>
      <c r="AN366" s="94"/>
      <c r="AO366" s="95"/>
      <c r="AP366" s="95"/>
      <c r="AQ366" s="95"/>
      <c r="AR366" s="95"/>
      <c r="AS366" s="95"/>
      <c r="AT366" s="95"/>
      <c r="AU366" s="95"/>
      <c r="AV366" s="95"/>
      <c r="AW366" s="95"/>
      <c r="AX366" s="95"/>
      <c r="AY366" s="95"/>
      <c r="AZ366" s="95"/>
      <c r="BA366" s="95"/>
      <c r="BB366" s="95"/>
      <c r="BC366" s="214"/>
      <c r="BD366" s="95"/>
      <c r="BE366" s="95"/>
      <c r="BF366" s="95"/>
      <c r="BG366" s="95"/>
      <c r="BH366" s="95"/>
      <c r="BI366" s="24"/>
      <c r="BJ366" s="95"/>
      <c r="BK366" s="265"/>
      <c r="BL366" s="265"/>
      <c r="BM366" s="265"/>
      <c r="BN366" s="266"/>
      <c r="BO366" s="267"/>
      <c r="BP366" s="268"/>
      <c r="BQ366" s="269"/>
      <c r="BR366" s="269"/>
      <c r="BS366" s="269"/>
      <c r="BT366" s="269"/>
      <c r="BU366" s="269"/>
      <c r="BV366" s="269"/>
      <c r="BW366" s="268"/>
      <c r="BX366" s="269"/>
      <c r="BY366" s="268"/>
      <c r="BZ366" s="268"/>
      <c r="CA366" s="268"/>
      <c r="CB366" s="269"/>
      <c r="CC366" s="268"/>
      <c r="CD366" s="268"/>
      <c r="CE366" s="269"/>
      <c r="CF366" s="269"/>
      <c r="CG366" s="269"/>
      <c r="CH366" s="269"/>
      <c r="CI366" s="269"/>
      <c r="CJ366" s="269"/>
      <c r="CK366" s="269"/>
      <c r="CL366" s="266"/>
    </row>
    <row r="367" spans="1:90">
      <c r="A367" s="95"/>
      <c r="B367" s="263"/>
      <c r="C367" s="263"/>
      <c r="D367" s="263"/>
      <c r="E367" s="263"/>
      <c r="F367" s="263"/>
      <c r="G367" s="263"/>
      <c r="H367" s="95"/>
      <c r="I367" s="95"/>
      <c r="J367" s="263"/>
      <c r="K367" s="263"/>
      <c r="L367" s="263"/>
      <c r="M367" s="263"/>
      <c r="N367" s="263"/>
      <c r="O367" s="263"/>
      <c r="P367" s="95"/>
      <c r="Q367" s="95"/>
      <c r="R367" s="95"/>
      <c r="S367" s="95"/>
      <c r="T367" s="95"/>
      <c r="U367" s="95"/>
      <c r="V367" s="95"/>
      <c r="W367" s="95"/>
      <c r="X367" s="95"/>
      <c r="Y367" s="95"/>
      <c r="Z367" s="95"/>
      <c r="AA367" s="95"/>
      <c r="AB367" s="95"/>
      <c r="AC367" s="95"/>
      <c r="AD367" s="95"/>
      <c r="AE367" s="95"/>
      <c r="AF367" s="95"/>
      <c r="AG367" s="95"/>
      <c r="AH367" s="95"/>
      <c r="AI367" s="95"/>
      <c r="AJ367" s="95"/>
      <c r="AK367" s="95"/>
      <c r="AL367" s="95"/>
      <c r="AM367" s="95"/>
      <c r="AN367" s="94"/>
      <c r="AO367" s="95"/>
      <c r="AP367" s="95"/>
      <c r="AQ367" s="95"/>
      <c r="AR367" s="95"/>
      <c r="AS367" s="95"/>
      <c r="AT367" s="95"/>
      <c r="AU367" s="95"/>
      <c r="AV367" s="95"/>
      <c r="AW367" s="95"/>
      <c r="AX367" s="95"/>
      <c r="AY367" s="95"/>
      <c r="AZ367" s="95"/>
      <c r="BA367" s="95"/>
      <c r="BB367" s="95"/>
      <c r="BC367" s="214"/>
      <c r="BD367" s="95"/>
      <c r="BE367" s="95"/>
      <c r="BF367" s="95"/>
      <c r="BG367" s="95"/>
      <c r="BH367" s="95"/>
      <c r="BI367" s="24"/>
      <c r="BJ367" s="95"/>
      <c r="BK367" s="265"/>
      <c r="BL367" s="265"/>
      <c r="BM367" s="265"/>
      <c r="BN367" s="266"/>
      <c r="BO367" s="267"/>
      <c r="BP367" s="268"/>
      <c r="BQ367" s="269"/>
      <c r="BR367" s="269"/>
      <c r="BS367" s="269"/>
      <c r="BT367" s="269"/>
      <c r="BU367" s="269"/>
      <c r="BV367" s="269"/>
      <c r="BW367" s="268"/>
      <c r="BX367" s="269"/>
      <c r="BY367" s="268"/>
      <c r="BZ367" s="268"/>
      <c r="CA367" s="268"/>
      <c r="CB367" s="269"/>
      <c r="CC367" s="268"/>
      <c r="CD367" s="268"/>
      <c r="CE367" s="269"/>
      <c r="CF367" s="269"/>
      <c r="CG367" s="269"/>
      <c r="CH367" s="269"/>
      <c r="CI367" s="269"/>
      <c r="CJ367" s="269"/>
      <c r="CK367" s="269"/>
      <c r="CL367" s="266"/>
    </row>
    <row r="368" spans="1:90">
      <c r="A368" s="95"/>
      <c r="B368" s="263"/>
      <c r="C368" s="263"/>
      <c r="D368" s="263"/>
      <c r="E368" s="263"/>
      <c r="F368" s="263"/>
      <c r="G368" s="263"/>
      <c r="H368" s="95"/>
      <c r="I368" s="95"/>
      <c r="J368" s="263"/>
      <c r="K368" s="263"/>
      <c r="L368" s="263"/>
      <c r="M368" s="263"/>
      <c r="N368" s="263"/>
      <c r="O368" s="263"/>
      <c r="P368" s="95"/>
      <c r="Q368" s="95"/>
      <c r="R368" s="95"/>
      <c r="S368" s="95"/>
      <c r="T368" s="95"/>
      <c r="U368" s="95"/>
      <c r="V368" s="95"/>
      <c r="W368" s="95"/>
      <c r="X368" s="95"/>
      <c r="Y368" s="95"/>
      <c r="Z368" s="95"/>
      <c r="AA368" s="95"/>
      <c r="AB368" s="95"/>
      <c r="AC368" s="95"/>
      <c r="AD368" s="95"/>
      <c r="AE368" s="95"/>
      <c r="AF368" s="95"/>
      <c r="AG368" s="95"/>
      <c r="AH368" s="95"/>
      <c r="AI368" s="95"/>
      <c r="AJ368" s="95"/>
      <c r="AK368" s="95"/>
      <c r="AL368" s="95"/>
      <c r="AM368" s="95"/>
      <c r="AN368" s="94"/>
      <c r="AO368" s="95"/>
      <c r="AP368" s="95"/>
      <c r="AQ368" s="95"/>
      <c r="AR368" s="95"/>
      <c r="AS368" s="95"/>
      <c r="AT368" s="95"/>
      <c r="AU368" s="95"/>
      <c r="AV368" s="95"/>
      <c r="AW368" s="95"/>
      <c r="AX368" s="95"/>
      <c r="AY368" s="95"/>
      <c r="AZ368" s="95"/>
      <c r="BA368" s="95"/>
      <c r="BB368" s="95"/>
      <c r="BC368" s="214"/>
      <c r="BD368" s="95"/>
      <c r="BE368" s="95"/>
      <c r="BF368" s="95"/>
      <c r="BG368" s="95"/>
      <c r="BH368" s="95"/>
      <c r="BI368" s="24"/>
      <c r="BJ368" s="95"/>
      <c r="BK368" s="265"/>
      <c r="BL368" s="265"/>
      <c r="BM368" s="265"/>
      <c r="BN368" s="266"/>
      <c r="BO368" s="267"/>
      <c r="BP368" s="268"/>
      <c r="BQ368" s="269"/>
      <c r="BR368" s="269"/>
      <c r="BS368" s="269"/>
      <c r="BT368" s="269"/>
      <c r="BU368" s="269"/>
      <c r="BV368" s="269"/>
      <c r="BW368" s="268"/>
      <c r="BX368" s="269"/>
      <c r="BY368" s="268"/>
      <c r="BZ368" s="268"/>
      <c r="CA368" s="268"/>
      <c r="CB368" s="269"/>
      <c r="CC368" s="268"/>
      <c r="CD368" s="268"/>
      <c r="CE368" s="269"/>
      <c r="CF368" s="269"/>
      <c r="CG368" s="269"/>
      <c r="CH368" s="269"/>
      <c r="CI368" s="269"/>
      <c r="CJ368" s="269"/>
      <c r="CK368" s="269"/>
      <c r="CL368" s="266"/>
    </row>
    <row r="369" spans="1:90">
      <c r="A369" s="95"/>
      <c r="B369" s="263"/>
      <c r="C369" s="263"/>
      <c r="D369" s="263"/>
      <c r="E369" s="263"/>
      <c r="F369" s="263"/>
      <c r="G369" s="263"/>
      <c r="H369" s="95"/>
      <c r="I369" s="95"/>
      <c r="J369" s="263"/>
      <c r="K369" s="263"/>
      <c r="L369" s="263"/>
      <c r="M369" s="263"/>
      <c r="N369" s="263"/>
      <c r="O369" s="263"/>
      <c r="P369" s="95"/>
      <c r="Q369" s="95"/>
      <c r="R369" s="95"/>
      <c r="S369" s="95"/>
      <c r="T369" s="95"/>
      <c r="U369" s="95"/>
      <c r="V369" s="95"/>
      <c r="W369" s="95"/>
      <c r="X369" s="95"/>
      <c r="Y369" s="95"/>
      <c r="Z369" s="95"/>
      <c r="AA369" s="95"/>
      <c r="AB369" s="95"/>
      <c r="AC369" s="95"/>
      <c r="AD369" s="95"/>
      <c r="AE369" s="95"/>
      <c r="AF369" s="95"/>
      <c r="AG369" s="95"/>
      <c r="AH369" s="95"/>
      <c r="AI369" s="95"/>
      <c r="AJ369" s="95"/>
      <c r="AK369" s="95"/>
      <c r="AL369" s="95"/>
      <c r="AM369" s="95"/>
      <c r="AN369" s="94"/>
      <c r="AO369" s="95"/>
      <c r="AP369" s="95"/>
      <c r="AQ369" s="95"/>
      <c r="AR369" s="95"/>
      <c r="AS369" s="95"/>
      <c r="AT369" s="95"/>
      <c r="AU369" s="95"/>
      <c r="AV369" s="95"/>
      <c r="AW369" s="95"/>
      <c r="AX369" s="95"/>
      <c r="AY369" s="95"/>
      <c r="AZ369" s="95"/>
      <c r="BA369" s="95"/>
      <c r="BB369" s="95"/>
      <c r="BC369" s="214"/>
      <c r="BD369" s="95"/>
      <c r="BE369" s="95"/>
      <c r="BF369" s="95"/>
      <c r="BG369" s="95"/>
      <c r="BH369" s="95"/>
      <c r="BI369" s="24"/>
      <c r="BJ369" s="95"/>
      <c r="BK369" s="265"/>
      <c r="BL369" s="265"/>
      <c r="BM369" s="265"/>
      <c r="BN369" s="266"/>
      <c r="BO369" s="267"/>
      <c r="BP369" s="268"/>
      <c r="BQ369" s="269"/>
      <c r="BR369" s="269"/>
      <c r="BS369" s="269"/>
      <c r="BT369" s="269"/>
      <c r="BU369" s="269"/>
      <c r="BV369" s="269"/>
      <c r="BW369" s="268"/>
      <c r="BX369" s="269"/>
      <c r="BY369" s="268"/>
      <c r="BZ369" s="268"/>
      <c r="CA369" s="268"/>
      <c r="CB369" s="269"/>
      <c r="CC369" s="268"/>
      <c r="CD369" s="268"/>
      <c r="CE369" s="269"/>
      <c r="CF369" s="269"/>
      <c r="CG369" s="269"/>
      <c r="CH369" s="269"/>
      <c r="CI369" s="269"/>
      <c r="CJ369" s="269"/>
      <c r="CK369" s="269"/>
      <c r="CL369" s="266"/>
    </row>
    <row r="370" spans="1:90">
      <c r="A370" s="95"/>
      <c r="B370" s="263"/>
      <c r="C370" s="263"/>
      <c r="D370" s="263"/>
      <c r="E370" s="263"/>
      <c r="F370" s="263"/>
      <c r="G370" s="263"/>
      <c r="H370" s="95"/>
      <c r="I370" s="95"/>
      <c r="J370" s="263"/>
      <c r="K370" s="263"/>
      <c r="L370" s="263"/>
      <c r="M370" s="263"/>
      <c r="N370" s="263"/>
      <c r="O370" s="263"/>
      <c r="P370" s="95"/>
      <c r="Q370" s="95"/>
      <c r="R370" s="95"/>
      <c r="S370" s="95"/>
      <c r="T370" s="95"/>
      <c r="U370" s="95"/>
      <c r="V370" s="95"/>
      <c r="W370" s="95"/>
      <c r="X370" s="95"/>
      <c r="Y370" s="95"/>
      <c r="Z370" s="95"/>
      <c r="AA370" s="95"/>
      <c r="AB370" s="95"/>
      <c r="AC370" s="95"/>
      <c r="AD370" s="95"/>
      <c r="AE370" s="95"/>
      <c r="AF370" s="95"/>
      <c r="AG370" s="95"/>
      <c r="AH370" s="95"/>
      <c r="AI370" s="95"/>
      <c r="AJ370" s="95"/>
      <c r="AK370" s="95"/>
      <c r="AL370" s="95"/>
      <c r="AM370" s="95"/>
      <c r="AN370" s="94"/>
      <c r="AO370" s="95"/>
      <c r="AP370" s="95"/>
      <c r="AQ370" s="95"/>
      <c r="AR370" s="95"/>
      <c r="AS370" s="95"/>
      <c r="AT370" s="95"/>
      <c r="AU370" s="95"/>
      <c r="AV370" s="95"/>
      <c r="AW370" s="95"/>
      <c r="AX370" s="95"/>
      <c r="AY370" s="95"/>
      <c r="AZ370" s="95"/>
      <c r="BA370" s="95"/>
      <c r="BB370" s="95"/>
      <c r="BC370" s="214"/>
      <c r="BD370" s="95"/>
      <c r="BE370" s="95"/>
      <c r="BF370" s="95"/>
      <c r="BG370" s="95"/>
      <c r="BH370" s="95"/>
      <c r="BI370" s="24"/>
      <c r="BJ370" s="95"/>
      <c r="BK370" s="265"/>
      <c r="BL370" s="265"/>
      <c r="BM370" s="265"/>
      <c r="BN370" s="266"/>
      <c r="BO370" s="267"/>
      <c r="BP370" s="268"/>
      <c r="BQ370" s="269"/>
      <c r="BR370" s="269"/>
      <c r="BS370" s="269"/>
      <c r="BT370" s="269"/>
      <c r="BU370" s="269"/>
      <c r="BV370" s="269"/>
      <c r="BW370" s="268"/>
      <c r="BX370" s="269"/>
      <c r="BY370" s="268"/>
      <c r="BZ370" s="268"/>
      <c r="CA370" s="268"/>
      <c r="CB370" s="269"/>
      <c r="CC370" s="268"/>
      <c r="CD370" s="268"/>
      <c r="CE370" s="269"/>
      <c r="CF370" s="269"/>
      <c r="CG370" s="269"/>
      <c r="CH370" s="269"/>
      <c r="CI370" s="269"/>
      <c r="CJ370" s="269"/>
      <c r="CK370" s="269"/>
      <c r="CL370" s="266"/>
    </row>
    <row r="371" spans="1:90">
      <c r="A371" s="95"/>
      <c r="B371" s="263"/>
      <c r="C371" s="263"/>
      <c r="D371" s="263"/>
      <c r="E371" s="263"/>
      <c r="F371" s="263"/>
      <c r="G371" s="263"/>
      <c r="H371" s="95"/>
      <c r="I371" s="95"/>
      <c r="J371" s="263"/>
      <c r="K371" s="263"/>
      <c r="L371" s="263"/>
      <c r="M371" s="263"/>
      <c r="N371" s="263"/>
      <c r="O371" s="263"/>
      <c r="P371" s="95"/>
      <c r="Q371" s="95"/>
      <c r="R371" s="95"/>
      <c r="S371" s="95"/>
      <c r="T371" s="95"/>
      <c r="U371" s="95"/>
      <c r="V371" s="95"/>
      <c r="W371" s="95"/>
      <c r="X371" s="95"/>
      <c r="Y371" s="95"/>
      <c r="Z371" s="95"/>
      <c r="AA371" s="95"/>
      <c r="AB371" s="95"/>
      <c r="AC371" s="95"/>
      <c r="AD371" s="95"/>
      <c r="AE371" s="95"/>
      <c r="AF371" s="95"/>
      <c r="AG371" s="95"/>
      <c r="AH371" s="95"/>
      <c r="AI371" s="95"/>
      <c r="AJ371" s="95"/>
      <c r="AK371" s="95"/>
      <c r="AL371" s="95"/>
      <c r="AM371" s="95"/>
      <c r="AN371" s="94"/>
      <c r="AO371" s="95"/>
      <c r="AP371" s="95"/>
      <c r="AQ371" s="95"/>
      <c r="AR371" s="95"/>
      <c r="AS371" s="95"/>
      <c r="AT371" s="95"/>
      <c r="AU371" s="95"/>
      <c r="AV371" s="95"/>
      <c r="AW371" s="95"/>
      <c r="AX371" s="95"/>
      <c r="AY371" s="95"/>
      <c r="AZ371" s="95"/>
      <c r="BA371" s="95"/>
      <c r="BB371" s="95"/>
      <c r="BC371" s="214"/>
      <c r="BD371" s="95"/>
      <c r="BE371" s="95"/>
      <c r="BF371" s="95"/>
      <c r="BG371" s="95"/>
      <c r="BH371" s="95"/>
      <c r="BI371" s="24"/>
      <c r="BJ371" s="95"/>
      <c r="BK371" s="265"/>
      <c r="BL371" s="265"/>
      <c r="BM371" s="265"/>
      <c r="BN371" s="266"/>
      <c r="BO371" s="267"/>
      <c r="BP371" s="268"/>
      <c r="BQ371" s="269"/>
      <c r="BR371" s="269"/>
      <c r="BS371" s="269"/>
      <c r="BT371" s="269"/>
      <c r="BU371" s="269"/>
      <c r="BV371" s="269"/>
      <c r="BW371" s="268"/>
      <c r="BX371" s="269"/>
      <c r="BY371" s="268"/>
      <c r="BZ371" s="268"/>
      <c r="CA371" s="268"/>
      <c r="CB371" s="269"/>
      <c r="CC371" s="268"/>
      <c r="CD371" s="268"/>
      <c r="CE371" s="269"/>
      <c r="CF371" s="269"/>
      <c r="CG371" s="269"/>
      <c r="CH371" s="269"/>
      <c r="CI371" s="269"/>
      <c r="CJ371" s="269"/>
      <c r="CK371" s="269"/>
      <c r="CL371" s="266"/>
    </row>
    <row r="372" spans="1:90">
      <c r="A372" s="95"/>
      <c r="B372" s="263"/>
      <c r="C372" s="263"/>
      <c r="D372" s="263"/>
      <c r="E372" s="263"/>
      <c r="F372" s="263"/>
      <c r="G372" s="263"/>
      <c r="H372" s="95"/>
      <c r="I372" s="95"/>
      <c r="J372" s="263"/>
      <c r="K372" s="263"/>
      <c r="L372" s="263"/>
      <c r="M372" s="263"/>
      <c r="N372" s="263"/>
      <c r="O372" s="263"/>
      <c r="P372" s="95"/>
      <c r="Q372" s="95"/>
      <c r="R372" s="95"/>
      <c r="S372" s="95"/>
      <c r="T372" s="95"/>
      <c r="U372" s="95"/>
      <c r="V372" s="95"/>
      <c r="W372" s="95"/>
      <c r="X372" s="95"/>
      <c r="Y372" s="95"/>
      <c r="Z372" s="95"/>
      <c r="AA372" s="95"/>
      <c r="AB372" s="95"/>
      <c r="AC372" s="95"/>
      <c r="AD372" s="95"/>
      <c r="AE372" s="95"/>
      <c r="AF372" s="95"/>
      <c r="AG372" s="95"/>
      <c r="AH372" s="95"/>
      <c r="AI372" s="95"/>
      <c r="AJ372" s="95"/>
      <c r="AK372" s="95"/>
      <c r="AL372" s="95"/>
      <c r="AM372" s="95"/>
      <c r="AN372" s="94"/>
      <c r="AO372" s="95"/>
      <c r="AP372" s="95"/>
      <c r="AQ372" s="95"/>
      <c r="AR372" s="95"/>
      <c r="AS372" s="95"/>
      <c r="AT372" s="95"/>
      <c r="AU372" s="95"/>
      <c r="AV372" s="95"/>
      <c r="AW372" s="95"/>
      <c r="AX372" s="95"/>
      <c r="AY372" s="95"/>
      <c r="AZ372" s="95"/>
      <c r="BA372" s="95"/>
      <c r="BB372" s="95"/>
      <c r="BC372" s="214"/>
      <c r="BD372" s="95"/>
      <c r="BE372" s="95"/>
      <c r="BF372" s="95"/>
      <c r="BG372" s="95"/>
      <c r="BH372" s="95"/>
      <c r="BI372" s="24"/>
      <c r="BJ372" s="95"/>
      <c r="BK372" s="265"/>
      <c r="BL372" s="265"/>
      <c r="BM372" s="265"/>
      <c r="BN372" s="266"/>
      <c r="BO372" s="267"/>
      <c r="BP372" s="268"/>
      <c r="BQ372" s="269"/>
      <c r="BR372" s="269"/>
      <c r="BS372" s="269"/>
      <c r="BT372" s="269"/>
      <c r="BU372" s="269"/>
      <c r="BV372" s="269"/>
      <c r="BW372" s="268"/>
      <c r="BX372" s="269"/>
      <c r="BY372" s="268"/>
      <c r="BZ372" s="268"/>
      <c r="CA372" s="268"/>
      <c r="CB372" s="269"/>
      <c r="CC372" s="268"/>
      <c r="CD372" s="268"/>
      <c r="CE372" s="269"/>
      <c r="CF372" s="269"/>
      <c r="CG372" s="269"/>
      <c r="CH372" s="269"/>
      <c r="CI372" s="269"/>
      <c r="CJ372" s="269"/>
      <c r="CK372" s="269"/>
      <c r="CL372" s="266"/>
    </row>
    <row r="373" spans="1:90">
      <c r="A373" s="95"/>
      <c r="B373" s="263"/>
      <c r="C373" s="263"/>
      <c r="D373" s="263"/>
      <c r="E373" s="263"/>
      <c r="F373" s="263"/>
      <c r="G373" s="263"/>
      <c r="H373" s="95"/>
      <c r="I373" s="95"/>
      <c r="J373" s="263"/>
      <c r="K373" s="263"/>
      <c r="L373" s="263"/>
      <c r="M373" s="263"/>
      <c r="N373" s="263"/>
      <c r="O373" s="263"/>
      <c r="P373" s="95"/>
      <c r="Q373" s="95"/>
      <c r="R373" s="95"/>
      <c r="S373" s="95"/>
      <c r="T373" s="95"/>
      <c r="U373" s="95"/>
      <c r="V373" s="95"/>
      <c r="W373" s="95"/>
      <c r="X373" s="95"/>
      <c r="Y373" s="95"/>
      <c r="Z373" s="95"/>
      <c r="AA373" s="95"/>
      <c r="AB373" s="95"/>
      <c r="AC373" s="95"/>
      <c r="AD373" s="95"/>
      <c r="AE373" s="95"/>
      <c r="AF373" s="95"/>
      <c r="AG373" s="95"/>
      <c r="AH373" s="95"/>
      <c r="AI373" s="95"/>
      <c r="AJ373" s="95"/>
      <c r="AK373" s="95"/>
      <c r="AL373" s="95"/>
      <c r="AM373" s="95"/>
      <c r="AN373" s="94"/>
      <c r="AO373" s="95"/>
      <c r="AP373" s="95"/>
      <c r="AQ373" s="95"/>
      <c r="AR373" s="95"/>
      <c r="AS373" s="95"/>
      <c r="AT373" s="95"/>
      <c r="AU373" s="95"/>
      <c r="AV373" s="95"/>
      <c r="AW373" s="95"/>
      <c r="AX373" s="95"/>
      <c r="AY373" s="95"/>
      <c r="AZ373" s="95"/>
      <c r="BA373" s="95"/>
      <c r="BB373" s="95"/>
      <c r="BC373" s="214"/>
      <c r="BD373" s="95"/>
      <c r="BE373" s="95"/>
      <c r="BF373" s="95"/>
      <c r="BG373" s="95"/>
      <c r="BH373" s="95"/>
      <c r="BI373" s="24"/>
      <c r="BJ373" s="95"/>
      <c r="BK373" s="265"/>
      <c r="BL373" s="265"/>
      <c r="BM373" s="265"/>
      <c r="BN373" s="266"/>
      <c r="BO373" s="267"/>
      <c r="BP373" s="268"/>
      <c r="BQ373" s="269"/>
      <c r="BR373" s="269"/>
      <c r="BS373" s="269"/>
      <c r="BT373" s="269"/>
      <c r="BU373" s="269"/>
      <c r="BV373" s="269"/>
      <c r="BW373" s="268"/>
      <c r="BX373" s="269"/>
      <c r="BY373" s="268"/>
      <c r="BZ373" s="268"/>
      <c r="CA373" s="268"/>
      <c r="CB373" s="269"/>
      <c r="CC373" s="268"/>
      <c r="CD373" s="268"/>
      <c r="CE373" s="269"/>
      <c r="CF373" s="269"/>
      <c r="CG373" s="269"/>
      <c r="CH373" s="269"/>
      <c r="CI373" s="269"/>
      <c r="CJ373" s="269"/>
      <c r="CK373" s="269"/>
      <c r="CL373" s="266"/>
    </row>
    <row r="374" spans="1:90">
      <c r="A374" s="95"/>
      <c r="B374" s="263"/>
      <c r="C374" s="263"/>
      <c r="D374" s="263"/>
      <c r="E374" s="263"/>
      <c r="F374" s="263"/>
      <c r="G374" s="263"/>
      <c r="H374" s="95"/>
      <c r="I374" s="95"/>
      <c r="J374" s="263"/>
      <c r="K374" s="263"/>
      <c r="L374" s="263"/>
      <c r="M374" s="263"/>
      <c r="N374" s="263"/>
      <c r="O374" s="263"/>
      <c r="P374" s="95"/>
      <c r="Q374" s="95"/>
      <c r="R374" s="95"/>
      <c r="S374" s="95"/>
      <c r="T374" s="95"/>
      <c r="U374" s="95"/>
      <c r="V374" s="95"/>
      <c r="W374" s="95"/>
      <c r="X374" s="95"/>
      <c r="Y374" s="95"/>
      <c r="Z374" s="95"/>
      <c r="AA374" s="95"/>
      <c r="AB374" s="95"/>
      <c r="AC374" s="95"/>
      <c r="AD374" s="95"/>
      <c r="AE374" s="95"/>
      <c r="AF374" s="95"/>
      <c r="AG374" s="95"/>
      <c r="AH374" s="95"/>
      <c r="AI374" s="95"/>
      <c r="AJ374" s="95"/>
      <c r="AK374" s="95"/>
      <c r="AL374" s="95"/>
      <c r="AM374" s="95"/>
      <c r="AN374" s="94"/>
      <c r="AO374" s="95"/>
      <c r="AP374" s="95"/>
      <c r="AQ374" s="95"/>
      <c r="AR374" s="95"/>
      <c r="AS374" s="95"/>
      <c r="AT374" s="95"/>
      <c r="AU374" s="95"/>
      <c r="AV374" s="95"/>
      <c r="AW374" s="95"/>
      <c r="AX374" s="95"/>
      <c r="AY374" s="95"/>
      <c r="AZ374" s="95"/>
      <c r="BA374" s="95"/>
      <c r="BB374" s="95"/>
      <c r="BC374" s="214"/>
      <c r="BD374" s="95"/>
      <c r="BE374" s="95"/>
      <c r="BF374" s="95"/>
      <c r="BG374" s="95"/>
      <c r="BH374" s="95"/>
      <c r="BI374" s="24"/>
      <c r="BJ374" s="95"/>
      <c r="BK374" s="265"/>
      <c r="BL374" s="265"/>
      <c r="BM374" s="265"/>
      <c r="BN374" s="266"/>
      <c r="BO374" s="267"/>
      <c r="BP374" s="268"/>
      <c r="BQ374" s="269"/>
      <c r="BR374" s="269"/>
      <c r="BS374" s="269"/>
      <c r="BT374" s="269"/>
      <c r="BU374" s="269"/>
      <c r="BV374" s="269"/>
      <c r="BW374" s="268"/>
      <c r="BX374" s="269"/>
      <c r="BY374" s="268"/>
      <c r="BZ374" s="268"/>
      <c r="CA374" s="268"/>
      <c r="CB374" s="269"/>
      <c r="CC374" s="268"/>
      <c r="CD374" s="268"/>
      <c r="CE374" s="269"/>
      <c r="CF374" s="269"/>
      <c r="CG374" s="269"/>
      <c r="CH374" s="269"/>
      <c r="CI374" s="269"/>
      <c r="CJ374" s="269"/>
      <c r="CK374" s="269"/>
      <c r="CL374" s="266"/>
    </row>
    <row r="375" spans="1:90">
      <c r="A375" s="95"/>
      <c r="B375" s="263"/>
      <c r="C375" s="263"/>
      <c r="D375" s="263"/>
      <c r="E375" s="263"/>
      <c r="F375" s="263"/>
      <c r="G375" s="263"/>
      <c r="H375" s="95"/>
      <c r="I375" s="95"/>
      <c r="J375" s="263"/>
      <c r="K375" s="263"/>
      <c r="L375" s="263"/>
      <c r="M375" s="263"/>
      <c r="N375" s="263"/>
      <c r="O375" s="263"/>
      <c r="P375" s="95"/>
      <c r="Q375" s="95"/>
      <c r="R375" s="95"/>
      <c r="S375" s="95"/>
      <c r="T375" s="95"/>
      <c r="U375" s="95"/>
      <c r="V375" s="95"/>
      <c r="W375" s="95"/>
      <c r="X375" s="95"/>
      <c r="Y375" s="95"/>
      <c r="Z375" s="95"/>
      <c r="AA375" s="95"/>
      <c r="AB375" s="95"/>
      <c r="AC375" s="95"/>
      <c r="AD375" s="95"/>
      <c r="AE375" s="95"/>
      <c r="AF375" s="95"/>
      <c r="AG375" s="95"/>
      <c r="AH375" s="95"/>
      <c r="AI375" s="95"/>
      <c r="AJ375" s="95"/>
      <c r="AK375" s="95"/>
      <c r="AL375" s="95"/>
      <c r="AM375" s="95"/>
      <c r="AN375" s="94"/>
      <c r="AO375" s="95"/>
      <c r="AP375" s="95"/>
      <c r="AQ375" s="95"/>
      <c r="AR375" s="95"/>
      <c r="AS375" s="95"/>
      <c r="AT375" s="95"/>
      <c r="AU375" s="95"/>
      <c r="AV375" s="95"/>
      <c r="AW375" s="95"/>
      <c r="AX375" s="95"/>
      <c r="AY375" s="95"/>
      <c r="AZ375" s="95"/>
      <c r="BA375" s="95"/>
      <c r="BB375" s="95"/>
      <c r="BC375" s="214"/>
      <c r="BD375" s="95"/>
      <c r="BE375" s="95"/>
      <c r="BF375" s="95"/>
      <c r="BG375" s="95"/>
      <c r="BH375" s="95"/>
      <c r="BI375" s="24"/>
      <c r="BJ375" s="95"/>
      <c r="BK375" s="265"/>
      <c r="BL375" s="265"/>
      <c r="BM375" s="265"/>
      <c r="BN375" s="266"/>
      <c r="BO375" s="267"/>
      <c r="BP375" s="268"/>
      <c r="BQ375" s="269"/>
      <c r="BR375" s="269"/>
      <c r="BS375" s="269"/>
      <c r="BT375" s="269"/>
      <c r="BU375" s="269"/>
      <c r="BV375" s="269"/>
      <c r="BW375" s="268"/>
      <c r="BX375" s="269"/>
      <c r="BY375" s="268"/>
      <c r="BZ375" s="268"/>
      <c r="CA375" s="268"/>
      <c r="CB375" s="269"/>
      <c r="CC375" s="268"/>
      <c r="CD375" s="268"/>
      <c r="CE375" s="269"/>
      <c r="CF375" s="269"/>
      <c r="CG375" s="269"/>
      <c r="CH375" s="269"/>
      <c r="CI375" s="269"/>
      <c r="CJ375" s="269"/>
      <c r="CK375" s="269"/>
      <c r="CL375" s="266"/>
    </row>
    <row r="376" spans="1:90">
      <c r="A376" s="95"/>
      <c r="B376" s="263"/>
      <c r="C376" s="263"/>
      <c r="D376" s="263"/>
      <c r="E376" s="263"/>
      <c r="F376" s="263"/>
      <c r="G376" s="263"/>
      <c r="H376" s="95"/>
      <c r="I376" s="95"/>
      <c r="J376" s="263"/>
      <c r="K376" s="263"/>
      <c r="L376" s="263"/>
      <c r="M376" s="263"/>
      <c r="N376" s="263"/>
      <c r="O376" s="263"/>
      <c r="P376" s="95"/>
      <c r="Q376" s="95"/>
      <c r="R376" s="95"/>
      <c r="S376" s="95"/>
      <c r="T376" s="95"/>
      <c r="U376" s="95"/>
      <c r="V376" s="95"/>
      <c r="W376" s="95"/>
      <c r="X376" s="95"/>
      <c r="Y376" s="95"/>
      <c r="Z376" s="95"/>
      <c r="AA376" s="95"/>
      <c r="AB376" s="95"/>
      <c r="AC376" s="95"/>
      <c r="AD376" s="95"/>
      <c r="AE376" s="95"/>
      <c r="AF376" s="95"/>
      <c r="AG376" s="95"/>
      <c r="AH376" s="95"/>
      <c r="AI376" s="95"/>
      <c r="AJ376" s="95"/>
      <c r="AK376" s="95"/>
      <c r="AL376" s="95"/>
      <c r="AM376" s="95"/>
      <c r="AN376" s="94"/>
      <c r="AO376" s="95"/>
      <c r="AP376" s="95"/>
      <c r="AQ376" s="95"/>
      <c r="AR376" s="95"/>
      <c r="AS376" s="95"/>
      <c r="AT376" s="95"/>
      <c r="AU376" s="95"/>
      <c r="AV376" s="95"/>
      <c r="AW376" s="95"/>
      <c r="AX376" s="95"/>
      <c r="AY376" s="95"/>
      <c r="AZ376" s="95"/>
      <c r="BA376" s="95"/>
      <c r="BB376" s="95"/>
      <c r="BC376" s="214"/>
      <c r="BD376" s="95"/>
      <c r="BE376" s="95"/>
      <c r="BF376" s="95"/>
      <c r="BG376" s="95"/>
      <c r="BH376" s="95"/>
      <c r="BI376" s="24"/>
      <c r="BJ376" s="95"/>
      <c r="BK376" s="265"/>
      <c r="BL376" s="265"/>
      <c r="BM376" s="265"/>
      <c r="BN376" s="266"/>
      <c r="BO376" s="267"/>
      <c r="BP376" s="268"/>
      <c r="BQ376" s="269"/>
      <c r="BR376" s="269"/>
      <c r="BS376" s="269"/>
      <c r="BT376" s="269"/>
      <c r="BU376" s="269"/>
      <c r="BV376" s="269"/>
      <c r="BW376" s="268"/>
      <c r="BX376" s="269"/>
      <c r="BY376" s="268"/>
      <c r="BZ376" s="268"/>
      <c r="CA376" s="268"/>
      <c r="CB376" s="269"/>
      <c r="CC376" s="268"/>
      <c r="CD376" s="268"/>
      <c r="CE376" s="269"/>
      <c r="CF376" s="269"/>
      <c r="CG376" s="269"/>
      <c r="CH376" s="269"/>
      <c r="CI376" s="269"/>
      <c r="CJ376" s="269"/>
      <c r="CK376" s="269"/>
      <c r="CL376" s="266"/>
    </row>
    <row r="377" spans="1:90">
      <c r="A377" s="95"/>
      <c r="B377" s="263"/>
      <c r="C377" s="263"/>
      <c r="D377" s="263"/>
      <c r="E377" s="263"/>
      <c r="F377" s="263"/>
      <c r="G377" s="263"/>
      <c r="H377" s="95"/>
      <c r="I377" s="95"/>
      <c r="J377" s="263"/>
      <c r="K377" s="263"/>
      <c r="L377" s="263"/>
      <c r="M377" s="263"/>
      <c r="N377" s="263"/>
      <c r="O377" s="263"/>
      <c r="P377" s="95"/>
      <c r="Q377" s="95"/>
      <c r="R377" s="95"/>
      <c r="S377" s="95"/>
      <c r="T377" s="95"/>
      <c r="U377" s="95"/>
      <c r="V377" s="95"/>
      <c r="W377" s="95"/>
      <c r="X377" s="95"/>
      <c r="Y377" s="95"/>
      <c r="Z377" s="95"/>
      <c r="AA377" s="95"/>
      <c r="AB377" s="95"/>
      <c r="AC377" s="95"/>
      <c r="AD377" s="95"/>
      <c r="AE377" s="95"/>
      <c r="AF377" s="95"/>
      <c r="AG377" s="95"/>
      <c r="AH377" s="95"/>
      <c r="AI377" s="95"/>
      <c r="AJ377" s="95"/>
      <c r="AK377" s="95"/>
      <c r="AL377" s="95"/>
      <c r="AM377" s="95"/>
      <c r="AN377" s="94"/>
      <c r="AO377" s="95"/>
      <c r="AP377" s="95"/>
      <c r="AQ377" s="95"/>
      <c r="AR377" s="95"/>
      <c r="AS377" s="95"/>
      <c r="AT377" s="95"/>
      <c r="AU377" s="95"/>
      <c r="AV377" s="95"/>
      <c r="AW377" s="95"/>
      <c r="AX377" s="95"/>
      <c r="AY377" s="95"/>
      <c r="AZ377" s="95"/>
      <c r="BA377" s="95"/>
      <c r="BB377" s="95"/>
      <c r="BC377" s="214"/>
      <c r="BD377" s="95"/>
      <c r="BE377" s="95"/>
      <c r="BF377" s="95"/>
      <c r="BG377" s="95"/>
      <c r="BH377" s="95"/>
      <c r="BI377" s="24"/>
      <c r="BJ377" s="95"/>
      <c r="BK377" s="265"/>
      <c r="BL377" s="265"/>
      <c r="BM377" s="265"/>
      <c r="BN377" s="266"/>
      <c r="BO377" s="267"/>
      <c r="BP377" s="268"/>
      <c r="BQ377" s="269"/>
      <c r="BR377" s="269"/>
      <c r="BS377" s="269"/>
      <c r="BT377" s="269"/>
      <c r="BU377" s="269"/>
      <c r="BV377" s="269"/>
      <c r="BW377" s="268"/>
      <c r="BX377" s="269"/>
      <c r="BY377" s="268"/>
      <c r="BZ377" s="268"/>
      <c r="CA377" s="268"/>
      <c r="CB377" s="269"/>
      <c r="CC377" s="268"/>
      <c r="CD377" s="268"/>
      <c r="CE377" s="269"/>
      <c r="CF377" s="269"/>
      <c r="CG377" s="269"/>
      <c r="CH377" s="269"/>
      <c r="CI377" s="269"/>
      <c r="CJ377" s="269"/>
      <c r="CK377" s="269"/>
      <c r="CL377" s="266"/>
    </row>
    <row r="378" spans="1:90">
      <c r="A378" s="95"/>
      <c r="B378" s="263"/>
      <c r="C378" s="263"/>
      <c r="D378" s="263"/>
      <c r="E378" s="263"/>
      <c r="F378" s="263"/>
      <c r="G378" s="263"/>
      <c r="H378" s="95"/>
      <c r="I378" s="95"/>
      <c r="J378" s="263"/>
      <c r="K378" s="263"/>
      <c r="L378" s="263"/>
      <c r="M378" s="263"/>
      <c r="N378" s="263"/>
      <c r="O378" s="263"/>
      <c r="P378" s="95"/>
      <c r="Q378" s="95"/>
      <c r="R378" s="95"/>
      <c r="S378" s="95"/>
      <c r="T378" s="95"/>
      <c r="U378" s="95"/>
      <c r="V378" s="95"/>
      <c r="W378" s="95"/>
      <c r="X378" s="95"/>
      <c r="Y378" s="95"/>
      <c r="Z378" s="95"/>
      <c r="AA378" s="95"/>
      <c r="AB378" s="95"/>
      <c r="AC378" s="95"/>
      <c r="AD378" s="95"/>
      <c r="AE378" s="95"/>
      <c r="AF378" s="95"/>
      <c r="AG378" s="95"/>
      <c r="AH378" s="95"/>
      <c r="AI378" s="95"/>
      <c r="AJ378" s="95"/>
      <c r="AK378" s="95"/>
      <c r="AL378" s="95"/>
      <c r="AM378" s="95"/>
      <c r="AN378" s="94"/>
      <c r="AO378" s="95"/>
      <c r="AP378" s="95"/>
      <c r="AQ378" s="95"/>
      <c r="AR378" s="95"/>
      <c r="AS378" s="95"/>
      <c r="AT378" s="95"/>
      <c r="AU378" s="95"/>
      <c r="AV378" s="95"/>
      <c r="AW378" s="95"/>
      <c r="AX378" s="95"/>
      <c r="AY378" s="95"/>
      <c r="AZ378" s="95"/>
      <c r="BA378" s="95"/>
      <c r="BB378" s="95"/>
      <c r="BC378" s="214"/>
      <c r="BD378" s="95"/>
      <c r="BE378" s="95"/>
      <c r="BF378" s="95"/>
      <c r="BG378" s="95"/>
      <c r="BH378" s="95"/>
      <c r="BI378" s="24"/>
      <c r="BJ378" s="95"/>
      <c r="BK378" s="265"/>
      <c r="BL378" s="265"/>
      <c r="BM378" s="265"/>
      <c r="BN378" s="266"/>
      <c r="BO378" s="267"/>
      <c r="BP378" s="268"/>
      <c r="BQ378" s="269"/>
      <c r="BR378" s="269"/>
      <c r="BS378" s="269"/>
      <c r="BT378" s="269"/>
      <c r="BU378" s="269"/>
      <c r="BV378" s="269"/>
      <c r="BW378" s="268"/>
      <c r="BX378" s="269"/>
      <c r="BY378" s="268"/>
      <c r="BZ378" s="268"/>
      <c r="CA378" s="268"/>
      <c r="CB378" s="269"/>
      <c r="CC378" s="268"/>
      <c r="CD378" s="268"/>
      <c r="CE378" s="269"/>
      <c r="CF378" s="269"/>
      <c r="CG378" s="269"/>
      <c r="CH378" s="269"/>
      <c r="CI378" s="269"/>
      <c r="CJ378" s="269"/>
      <c r="CK378" s="269"/>
      <c r="CL378" s="266"/>
    </row>
    <row r="379" spans="1:90">
      <c r="A379" s="95"/>
      <c r="B379" s="263"/>
      <c r="C379" s="263"/>
      <c r="D379" s="263"/>
      <c r="E379" s="263"/>
      <c r="F379" s="263"/>
      <c r="G379" s="263"/>
      <c r="H379" s="95"/>
      <c r="I379" s="95"/>
      <c r="J379" s="263"/>
      <c r="K379" s="263"/>
      <c r="L379" s="263"/>
      <c r="M379" s="263"/>
      <c r="N379" s="263"/>
      <c r="O379" s="263"/>
      <c r="P379" s="95"/>
      <c r="Q379" s="95"/>
      <c r="R379" s="95"/>
      <c r="S379" s="95"/>
      <c r="T379" s="95"/>
      <c r="U379" s="95"/>
      <c r="V379" s="95"/>
      <c r="W379" s="95"/>
      <c r="X379" s="95"/>
      <c r="Y379" s="95"/>
      <c r="Z379" s="95"/>
      <c r="AA379" s="95"/>
      <c r="AB379" s="95"/>
      <c r="AC379" s="95"/>
      <c r="AD379" s="95"/>
      <c r="AE379" s="95"/>
      <c r="AF379" s="95"/>
      <c r="AG379" s="95"/>
      <c r="AH379" s="95"/>
      <c r="AI379" s="95"/>
      <c r="AJ379" s="95"/>
      <c r="AK379" s="95"/>
      <c r="AL379" s="95"/>
      <c r="AM379" s="95"/>
      <c r="AN379" s="94"/>
      <c r="AO379" s="95"/>
      <c r="AP379" s="95"/>
      <c r="AQ379" s="95"/>
      <c r="AR379" s="95"/>
      <c r="AS379" s="95"/>
      <c r="AT379" s="95"/>
      <c r="AU379" s="95"/>
      <c r="AV379" s="95"/>
      <c r="AW379" s="95"/>
      <c r="AX379" s="95"/>
      <c r="AY379" s="95"/>
      <c r="AZ379" s="95"/>
      <c r="BA379" s="95"/>
      <c r="BB379" s="95"/>
      <c r="BC379" s="214"/>
      <c r="BD379" s="95"/>
      <c r="BE379" s="95"/>
      <c r="BF379" s="95"/>
      <c r="BG379" s="95"/>
      <c r="BH379" s="95"/>
      <c r="BI379" s="24"/>
      <c r="BJ379" s="95"/>
      <c r="BK379" s="265"/>
      <c r="BL379" s="265"/>
      <c r="BM379" s="265"/>
      <c r="BN379" s="266"/>
      <c r="BO379" s="267"/>
      <c r="BP379" s="268"/>
      <c r="BQ379" s="269"/>
      <c r="BR379" s="269"/>
      <c r="BS379" s="269"/>
      <c r="BT379" s="269"/>
      <c r="BU379" s="269"/>
      <c r="BV379" s="269"/>
      <c r="BW379" s="268"/>
      <c r="BX379" s="269"/>
      <c r="BY379" s="268"/>
      <c r="BZ379" s="268"/>
      <c r="CA379" s="268"/>
      <c r="CB379" s="269"/>
      <c r="CC379" s="268"/>
      <c r="CD379" s="268"/>
      <c r="CE379" s="269"/>
      <c r="CF379" s="269"/>
      <c r="CG379" s="269"/>
      <c r="CH379" s="269"/>
      <c r="CI379" s="269"/>
      <c r="CJ379" s="269"/>
      <c r="CK379" s="269"/>
      <c r="CL379" s="266"/>
    </row>
    <row r="380" spans="1:90">
      <c r="A380" s="95"/>
      <c r="B380" s="263"/>
      <c r="C380" s="263"/>
      <c r="D380" s="263"/>
      <c r="E380" s="263"/>
      <c r="F380" s="263"/>
      <c r="G380" s="263"/>
      <c r="H380" s="95"/>
      <c r="I380" s="95"/>
      <c r="J380" s="263"/>
      <c r="K380" s="263"/>
      <c r="L380" s="263"/>
      <c r="M380" s="263"/>
      <c r="N380" s="263"/>
      <c r="O380" s="263"/>
      <c r="P380" s="95"/>
      <c r="Q380" s="95"/>
      <c r="R380" s="95"/>
      <c r="S380" s="95"/>
      <c r="T380" s="95"/>
      <c r="U380" s="95"/>
      <c r="V380" s="95"/>
      <c r="W380" s="95"/>
      <c r="X380" s="95"/>
      <c r="Y380" s="95"/>
      <c r="Z380" s="95"/>
      <c r="AA380" s="95"/>
      <c r="AB380" s="95"/>
      <c r="AC380" s="95"/>
      <c r="AD380" s="95"/>
      <c r="AE380" s="95"/>
      <c r="AF380" s="95"/>
      <c r="AG380" s="95"/>
      <c r="AH380" s="95"/>
      <c r="AI380" s="95"/>
      <c r="AJ380" s="95"/>
      <c r="AK380" s="95"/>
      <c r="AL380" s="95"/>
      <c r="AM380" s="95"/>
      <c r="AN380" s="94"/>
      <c r="AO380" s="95"/>
      <c r="AP380" s="95"/>
      <c r="AQ380" s="95"/>
      <c r="AR380" s="95"/>
      <c r="AS380" s="95"/>
      <c r="AT380" s="95"/>
      <c r="AU380" s="95"/>
      <c r="AV380" s="95"/>
      <c r="AW380" s="95"/>
      <c r="AX380" s="95"/>
      <c r="AY380" s="95"/>
      <c r="AZ380" s="95"/>
      <c r="BA380" s="95"/>
      <c r="BB380" s="95"/>
      <c r="BC380" s="214"/>
      <c r="BD380" s="95"/>
      <c r="BE380" s="95"/>
      <c r="BF380" s="95"/>
      <c r="BG380" s="95"/>
      <c r="BH380" s="95"/>
      <c r="BI380" s="24"/>
      <c r="BJ380" s="95"/>
      <c r="BK380" s="265"/>
      <c r="BL380" s="265"/>
      <c r="BM380" s="265"/>
      <c r="BN380" s="266"/>
      <c r="BO380" s="267"/>
      <c r="BP380" s="268"/>
      <c r="BQ380" s="269"/>
      <c r="BR380" s="269"/>
      <c r="BS380" s="269"/>
      <c r="BT380" s="269"/>
      <c r="BU380" s="269"/>
      <c r="BV380" s="269"/>
      <c r="BW380" s="268"/>
      <c r="BX380" s="269"/>
      <c r="BY380" s="268"/>
      <c r="BZ380" s="268"/>
      <c r="CA380" s="268"/>
      <c r="CB380" s="269"/>
      <c r="CC380" s="268"/>
      <c r="CD380" s="268"/>
      <c r="CE380" s="269"/>
      <c r="CF380" s="269"/>
      <c r="CG380" s="269"/>
      <c r="CH380" s="269"/>
      <c r="CI380" s="269"/>
      <c r="CJ380" s="269"/>
      <c r="CK380" s="269"/>
      <c r="CL380" s="266"/>
    </row>
    <row r="381" spans="1:90">
      <c r="A381" s="95"/>
      <c r="B381" s="263"/>
      <c r="C381" s="263"/>
      <c r="D381" s="263"/>
      <c r="E381" s="263"/>
      <c r="F381" s="263"/>
      <c r="G381" s="263"/>
      <c r="H381" s="95"/>
      <c r="I381" s="95"/>
      <c r="J381" s="263"/>
      <c r="K381" s="263"/>
      <c r="L381" s="263"/>
      <c r="M381" s="263"/>
      <c r="N381" s="263"/>
      <c r="O381" s="263"/>
      <c r="P381" s="95"/>
      <c r="Q381" s="95"/>
      <c r="R381" s="95"/>
      <c r="S381" s="95"/>
      <c r="T381" s="95"/>
      <c r="U381" s="95"/>
      <c r="V381" s="95"/>
      <c r="W381" s="95"/>
      <c r="X381" s="95"/>
      <c r="Y381" s="95"/>
      <c r="Z381" s="95"/>
      <c r="AA381" s="95"/>
      <c r="AB381" s="95"/>
      <c r="AC381" s="95"/>
      <c r="AD381" s="95"/>
      <c r="AE381" s="95"/>
      <c r="AF381" s="95"/>
      <c r="AG381" s="95"/>
      <c r="AH381" s="95"/>
      <c r="AI381" s="95"/>
      <c r="AJ381" s="95"/>
      <c r="AK381" s="95"/>
      <c r="AL381" s="95"/>
      <c r="AM381" s="95"/>
      <c r="AN381" s="94"/>
      <c r="AO381" s="95"/>
      <c r="AP381" s="95"/>
      <c r="AQ381" s="95"/>
      <c r="AR381" s="95"/>
      <c r="AS381" s="95"/>
      <c r="AT381" s="95"/>
      <c r="AU381" s="95"/>
      <c r="AV381" s="95"/>
      <c r="AW381" s="95"/>
      <c r="AX381" s="95"/>
      <c r="AY381" s="95"/>
      <c r="AZ381" s="95"/>
      <c r="BA381" s="95"/>
      <c r="BB381" s="95"/>
      <c r="BC381" s="214"/>
      <c r="BD381" s="95"/>
      <c r="BE381" s="95"/>
      <c r="BF381" s="95"/>
      <c r="BG381" s="95"/>
      <c r="BH381" s="95"/>
      <c r="BI381" s="24"/>
      <c r="BJ381" s="95"/>
      <c r="BK381" s="265"/>
      <c r="BL381" s="265"/>
      <c r="BM381" s="265"/>
      <c r="BN381" s="266"/>
      <c r="BO381" s="267"/>
      <c r="BP381" s="268"/>
      <c r="BQ381" s="269"/>
      <c r="BR381" s="269"/>
      <c r="BS381" s="269"/>
      <c r="BT381" s="269"/>
      <c r="BU381" s="269"/>
      <c r="BV381" s="269"/>
      <c r="BW381" s="268"/>
      <c r="BX381" s="269"/>
      <c r="BY381" s="268"/>
      <c r="BZ381" s="268"/>
      <c r="CA381" s="268"/>
      <c r="CB381" s="269"/>
      <c r="CC381" s="268"/>
      <c r="CD381" s="268"/>
      <c r="CE381" s="269"/>
      <c r="CF381" s="269"/>
      <c r="CG381" s="269"/>
      <c r="CH381" s="269"/>
      <c r="CI381" s="269"/>
      <c r="CJ381" s="269"/>
      <c r="CK381" s="269"/>
      <c r="CL381" s="266"/>
    </row>
    <row r="382" spans="1:90">
      <c r="A382" s="95"/>
      <c r="B382" s="263"/>
      <c r="C382" s="263"/>
      <c r="D382" s="263"/>
      <c r="E382" s="263"/>
      <c r="F382" s="263"/>
      <c r="G382" s="263"/>
      <c r="H382" s="95"/>
      <c r="I382" s="95"/>
      <c r="J382" s="263"/>
      <c r="K382" s="263"/>
      <c r="L382" s="263"/>
      <c r="M382" s="263"/>
      <c r="N382" s="263"/>
      <c r="O382" s="263"/>
      <c r="P382" s="95"/>
      <c r="Q382" s="95"/>
      <c r="R382" s="95"/>
      <c r="S382" s="95"/>
      <c r="T382" s="95"/>
      <c r="U382" s="95"/>
      <c r="V382" s="95"/>
      <c r="W382" s="95"/>
      <c r="X382" s="95"/>
      <c r="Y382" s="95"/>
      <c r="Z382" s="95"/>
      <c r="AA382" s="95"/>
      <c r="AB382" s="95"/>
      <c r="AC382" s="95"/>
      <c r="AD382" s="95"/>
      <c r="AE382" s="95"/>
      <c r="AF382" s="95"/>
      <c r="AG382" s="95"/>
      <c r="AH382" s="95"/>
      <c r="AI382" s="95"/>
      <c r="AJ382" s="95"/>
      <c r="AK382" s="95"/>
      <c r="AL382" s="95"/>
      <c r="AM382" s="95"/>
      <c r="AN382" s="94"/>
      <c r="AO382" s="95"/>
      <c r="AP382" s="95"/>
      <c r="AQ382" s="95"/>
      <c r="AR382" s="95"/>
      <c r="AS382" s="95"/>
      <c r="AT382" s="95"/>
      <c r="AU382" s="95"/>
      <c r="AV382" s="95"/>
      <c r="AW382" s="95"/>
      <c r="AX382" s="95"/>
      <c r="AY382" s="95"/>
      <c r="AZ382" s="95"/>
      <c r="BA382" s="95"/>
      <c r="BB382" s="95"/>
      <c r="BC382" s="214"/>
      <c r="BD382" s="95"/>
      <c r="BE382" s="95"/>
      <c r="BF382" s="95"/>
      <c r="BG382" s="95"/>
      <c r="BH382" s="95"/>
      <c r="BI382" s="24"/>
      <c r="BJ382" s="95"/>
      <c r="BK382" s="265"/>
      <c r="BL382" s="265"/>
      <c r="BM382" s="265"/>
      <c r="BN382" s="266"/>
      <c r="BO382" s="267"/>
      <c r="BP382" s="268"/>
      <c r="BQ382" s="269"/>
      <c r="BR382" s="269"/>
      <c r="BS382" s="269"/>
      <c r="BT382" s="269"/>
      <c r="BU382" s="269"/>
      <c r="BV382" s="269"/>
      <c r="BW382" s="268"/>
      <c r="BX382" s="269"/>
      <c r="BY382" s="268"/>
      <c r="BZ382" s="268"/>
      <c r="CA382" s="268"/>
      <c r="CB382" s="269"/>
      <c r="CC382" s="268"/>
      <c r="CD382" s="268"/>
      <c r="CE382" s="269"/>
      <c r="CF382" s="269"/>
      <c r="CG382" s="269"/>
      <c r="CH382" s="269"/>
      <c r="CI382" s="269"/>
      <c r="CJ382" s="269"/>
      <c r="CK382" s="269"/>
      <c r="CL382" s="266"/>
    </row>
    <row r="383" spans="1:90">
      <c r="A383" s="95"/>
      <c r="B383" s="263"/>
      <c r="C383" s="263"/>
      <c r="D383" s="263"/>
      <c r="E383" s="263"/>
      <c r="F383" s="263"/>
      <c r="G383" s="263"/>
      <c r="H383" s="95"/>
      <c r="I383" s="95"/>
      <c r="J383" s="263"/>
      <c r="K383" s="263"/>
      <c r="L383" s="263"/>
      <c r="M383" s="263"/>
      <c r="N383" s="263"/>
      <c r="O383" s="263"/>
      <c r="P383" s="95"/>
      <c r="Q383" s="95"/>
      <c r="R383" s="95"/>
      <c r="S383" s="95"/>
      <c r="T383" s="95"/>
      <c r="U383" s="95"/>
      <c r="V383" s="95"/>
      <c r="W383" s="95"/>
      <c r="X383" s="95"/>
      <c r="Y383" s="95"/>
      <c r="Z383" s="95"/>
      <c r="AA383" s="95"/>
      <c r="AB383" s="95"/>
      <c r="AC383" s="95"/>
      <c r="AD383" s="95"/>
      <c r="AE383" s="95"/>
      <c r="AF383" s="95"/>
      <c r="AG383" s="95"/>
      <c r="AH383" s="95"/>
      <c r="AI383" s="95"/>
      <c r="AJ383" s="95"/>
      <c r="AK383" s="95"/>
      <c r="AL383" s="95"/>
      <c r="AM383" s="95"/>
      <c r="AN383" s="94"/>
      <c r="AO383" s="95"/>
      <c r="AP383" s="95"/>
      <c r="AQ383" s="95"/>
      <c r="AR383" s="95"/>
      <c r="AS383" s="95"/>
      <c r="AT383" s="95"/>
      <c r="AU383" s="95"/>
      <c r="AV383" s="95"/>
      <c r="AW383" s="95"/>
      <c r="AX383" s="95"/>
      <c r="AY383" s="95"/>
      <c r="AZ383" s="95"/>
      <c r="BA383" s="95"/>
      <c r="BB383" s="95"/>
      <c r="BC383" s="214"/>
      <c r="BD383" s="95"/>
      <c r="BE383" s="95"/>
      <c r="BF383" s="95"/>
      <c r="BG383" s="95"/>
      <c r="BH383" s="95"/>
      <c r="BI383" s="24"/>
      <c r="BJ383" s="95"/>
      <c r="BK383" s="265"/>
      <c r="BL383" s="265"/>
      <c r="BM383" s="265"/>
      <c r="BN383" s="266"/>
      <c r="BO383" s="267"/>
      <c r="BP383" s="268"/>
      <c r="BQ383" s="269"/>
      <c r="BR383" s="269"/>
      <c r="BS383" s="269"/>
      <c r="BT383" s="269"/>
      <c r="BU383" s="269"/>
      <c r="BV383" s="269"/>
      <c r="BW383" s="268"/>
      <c r="BX383" s="269"/>
      <c r="BY383" s="268"/>
      <c r="BZ383" s="268"/>
      <c r="CA383" s="268"/>
      <c r="CB383" s="269"/>
      <c r="CC383" s="268"/>
      <c r="CD383" s="268"/>
      <c r="CE383" s="269"/>
      <c r="CF383" s="269"/>
      <c r="CG383" s="269"/>
      <c r="CH383" s="269"/>
      <c r="CI383" s="269"/>
      <c r="CJ383" s="269"/>
      <c r="CK383" s="269"/>
      <c r="CL383" s="266"/>
    </row>
    <row r="384" spans="1:90">
      <c r="A384" s="95"/>
      <c r="B384" s="263"/>
      <c r="C384" s="263"/>
      <c r="D384" s="263"/>
      <c r="E384" s="263"/>
      <c r="F384" s="263"/>
      <c r="G384" s="263"/>
      <c r="H384" s="95"/>
      <c r="I384" s="95"/>
      <c r="J384" s="263"/>
      <c r="K384" s="263"/>
      <c r="L384" s="263"/>
      <c r="M384" s="263"/>
      <c r="N384" s="263"/>
      <c r="O384" s="263"/>
      <c r="P384" s="95"/>
      <c r="Q384" s="95"/>
      <c r="R384" s="95"/>
      <c r="S384" s="95"/>
      <c r="T384" s="95"/>
      <c r="U384" s="95"/>
      <c r="V384" s="95"/>
      <c r="W384" s="95"/>
      <c r="X384" s="95"/>
      <c r="Y384" s="95"/>
      <c r="Z384" s="95"/>
      <c r="AA384" s="95"/>
      <c r="AB384" s="95"/>
      <c r="AC384" s="95"/>
      <c r="AD384" s="95"/>
      <c r="AE384" s="95"/>
      <c r="AF384" s="95"/>
      <c r="AG384" s="95"/>
      <c r="AH384" s="95"/>
      <c r="AI384" s="95"/>
      <c r="AJ384" s="95"/>
      <c r="AK384" s="95"/>
      <c r="AL384" s="95"/>
      <c r="AM384" s="95"/>
      <c r="AN384" s="94"/>
      <c r="AO384" s="95"/>
      <c r="AP384" s="95"/>
      <c r="AQ384" s="95"/>
      <c r="AR384" s="95"/>
      <c r="AS384" s="95"/>
      <c r="AT384" s="95"/>
      <c r="AU384" s="95"/>
      <c r="AV384" s="95"/>
      <c r="AW384" s="95"/>
      <c r="AX384" s="95"/>
      <c r="AY384" s="95"/>
      <c r="AZ384" s="95"/>
      <c r="BA384" s="95"/>
      <c r="BB384" s="95"/>
      <c r="BC384" s="214"/>
      <c r="BD384" s="95"/>
      <c r="BE384" s="95"/>
      <c r="BF384" s="95"/>
      <c r="BG384" s="95"/>
      <c r="BH384" s="95"/>
      <c r="BI384" s="24"/>
      <c r="BJ384" s="95"/>
      <c r="BK384" s="265"/>
      <c r="BL384" s="265"/>
      <c r="BM384" s="265"/>
      <c r="BN384" s="266"/>
      <c r="BO384" s="267"/>
      <c r="BP384" s="268"/>
      <c r="BQ384" s="269"/>
      <c r="BR384" s="269"/>
      <c r="BS384" s="269"/>
      <c r="BT384" s="269"/>
      <c r="BU384" s="269"/>
      <c r="BV384" s="269"/>
      <c r="BW384" s="268"/>
      <c r="BX384" s="269"/>
      <c r="BY384" s="268"/>
      <c r="BZ384" s="268"/>
      <c r="CA384" s="268"/>
      <c r="CB384" s="269"/>
      <c r="CC384" s="268"/>
      <c r="CD384" s="268"/>
      <c r="CE384" s="269"/>
      <c r="CF384" s="269"/>
      <c r="CG384" s="269"/>
      <c r="CH384" s="269"/>
      <c r="CI384" s="269"/>
      <c r="CJ384" s="269"/>
      <c r="CK384" s="269"/>
      <c r="CL384" s="266"/>
    </row>
    <row r="385" spans="1:90">
      <c r="A385" s="95"/>
      <c r="B385" s="263"/>
      <c r="C385" s="263"/>
      <c r="D385" s="263"/>
      <c r="E385" s="263"/>
      <c r="F385" s="263"/>
      <c r="G385" s="263"/>
      <c r="H385" s="95"/>
      <c r="I385" s="95"/>
      <c r="J385" s="263"/>
      <c r="K385" s="263"/>
      <c r="L385" s="263"/>
      <c r="M385" s="263"/>
      <c r="N385" s="263"/>
      <c r="O385" s="263"/>
      <c r="P385" s="95"/>
      <c r="Q385" s="95"/>
      <c r="R385" s="95"/>
      <c r="S385" s="95"/>
      <c r="T385" s="95"/>
      <c r="U385" s="95"/>
      <c r="V385" s="95"/>
      <c r="W385" s="95"/>
      <c r="X385" s="95"/>
      <c r="Y385" s="95"/>
      <c r="Z385" s="95"/>
      <c r="AA385" s="95"/>
      <c r="AB385" s="95"/>
      <c r="AC385" s="95"/>
      <c r="AD385" s="95"/>
      <c r="AE385" s="95"/>
      <c r="AF385" s="95"/>
      <c r="AG385" s="95"/>
      <c r="AH385" s="95"/>
      <c r="AI385" s="95"/>
      <c r="AJ385" s="95"/>
      <c r="AK385" s="95"/>
      <c r="AL385" s="95"/>
      <c r="AM385" s="95"/>
      <c r="AN385" s="94"/>
      <c r="AO385" s="95"/>
      <c r="AP385" s="95"/>
      <c r="AQ385" s="95"/>
      <c r="AR385" s="95"/>
      <c r="AS385" s="95"/>
      <c r="AT385" s="95"/>
      <c r="AU385" s="95"/>
      <c r="AV385" s="95"/>
      <c r="AW385" s="95"/>
      <c r="AX385" s="95"/>
      <c r="AY385" s="95"/>
      <c r="AZ385" s="95"/>
      <c r="BA385" s="95"/>
      <c r="BB385" s="95"/>
      <c r="BC385" s="214"/>
      <c r="BD385" s="95"/>
      <c r="BE385" s="95"/>
      <c r="BF385" s="95"/>
      <c r="BG385" s="95"/>
      <c r="BH385" s="95"/>
      <c r="BI385" s="24"/>
      <c r="BJ385" s="95"/>
      <c r="BK385" s="265"/>
      <c r="BL385" s="265"/>
      <c r="BM385" s="265"/>
      <c r="BN385" s="266"/>
      <c r="BO385" s="267"/>
      <c r="BP385" s="268"/>
      <c r="BQ385" s="269"/>
      <c r="BR385" s="269"/>
      <c r="BS385" s="269"/>
      <c r="BT385" s="269"/>
      <c r="BU385" s="269"/>
      <c r="BV385" s="269"/>
      <c r="BW385" s="268"/>
      <c r="BX385" s="269"/>
      <c r="BY385" s="268"/>
      <c r="BZ385" s="268"/>
      <c r="CA385" s="268"/>
      <c r="CB385" s="269"/>
      <c r="CC385" s="268"/>
      <c r="CD385" s="268"/>
      <c r="CE385" s="269"/>
      <c r="CF385" s="269"/>
      <c r="CG385" s="269"/>
      <c r="CH385" s="269"/>
      <c r="CI385" s="269"/>
      <c r="CJ385" s="269"/>
      <c r="CK385" s="269"/>
      <c r="CL385" s="266"/>
    </row>
    <row r="386" spans="1:90">
      <c r="A386" s="95"/>
      <c r="B386" s="263"/>
      <c r="C386" s="263"/>
      <c r="D386" s="263"/>
      <c r="E386" s="263"/>
      <c r="F386" s="263"/>
      <c r="G386" s="263"/>
      <c r="H386" s="95"/>
      <c r="I386" s="95"/>
      <c r="J386" s="263"/>
      <c r="K386" s="263"/>
      <c r="L386" s="263"/>
      <c r="M386" s="263"/>
      <c r="N386" s="263"/>
      <c r="O386" s="263"/>
      <c r="P386" s="95"/>
      <c r="Q386" s="95"/>
      <c r="R386" s="95"/>
      <c r="S386" s="95"/>
      <c r="T386" s="95"/>
      <c r="U386" s="95"/>
      <c r="V386" s="95"/>
      <c r="W386" s="95"/>
      <c r="X386" s="95"/>
      <c r="Y386" s="95"/>
      <c r="Z386" s="95"/>
      <c r="AA386" s="95"/>
      <c r="AB386" s="95"/>
      <c r="AC386" s="95"/>
      <c r="AD386" s="95"/>
      <c r="AE386" s="95"/>
      <c r="AF386" s="95"/>
      <c r="AG386" s="95"/>
      <c r="AH386" s="95"/>
      <c r="AI386" s="95"/>
      <c r="AJ386" s="95"/>
      <c r="AK386" s="95"/>
      <c r="AL386" s="95"/>
      <c r="AM386" s="95"/>
      <c r="AN386" s="94"/>
      <c r="AO386" s="95"/>
      <c r="AP386" s="95"/>
      <c r="AQ386" s="95"/>
      <c r="AR386" s="95"/>
      <c r="AS386" s="95"/>
      <c r="AT386" s="95"/>
      <c r="AU386" s="95"/>
      <c r="AV386" s="95"/>
      <c r="AW386" s="95"/>
      <c r="AX386" s="95"/>
      <c r="AY386" s="95"/>
      <c r="AZ386" s="95"/>
      <c r="BA386" s="95"/>
      <c r="BB386" s="95"/>
      <c r="BC386" s="214"/>
      <c r="BD386" s="95"/>
      <c r="BE386" s="95"/>
      <c r="BF386" s="95"/>
      <c r="BG386" s="95"/>
      <c r="BH386" s="95"/>
      <c r="BI386" s="24"/>
      <c r="BJ386" s="95"/>
      <c r="BK386" s="265"/>
      <c r="BL386" s="265"/>
      <c r="BM386" s="265"/>
      <c r="BN386" s="266"/>
      <c r="BO386" s="267"/>
      <c r="BP386" s="268"/>
      <c r="BQ386" s="269"/>
      <c r="BR386" s="269"/>
      <c r="BS386" s="269"/>
      <c r="BT386" s="269"/>
      <c r="BU386" s="269"/>
      <c r="BV386" s="269"/>
      <c r="BW386" s="268"/>
      <c r="BX386" s="269"/>
      <c r="BY386" s="268"/>
      <c r="BZ386" s="268"/>
      <c r="CA386" s="268"/>
      <c r="CB386" s="269"/>
      <c r="CC386" s="268"/>
      <c r="CD386" s="268"/>
      <c r="CE386" s="269"/>
      <c r="CF386" s="269"/>
      <c r="CG386" s="269"/>
      <c r="CH386" s="269"/>
      <c r="CI386" s="269"/>
      <c r="CJ386" s="269"/>
      <c r="CK386" s="269"/>
      <c r="CL386" s="266"/>
    </row>
    <row r="387" spans="1:90">
      <c r="A387" s="95"/>
      <c r="B387" s="263"/>
      <c r="C387" s="263"/>
      <c r="D387" s="263"/>
      <c r="E387" s="263"/>
      <c r="F387" s="263"/>
      <c r="G387" s="263"/>
      <c r="H387" s="95"/>
      <c r="I387" s="95"/>
      <c r="J387" s="263"/>
      <c r="K387" s="263"/>
      <c r="L387" s="263"/>
      <c r="M387" s="263"/>
      <c r="N387" s="263"/>
      <c r="O387" s="263"/>
      <c r="P387" s="95"/>
      <c r="Q387" s="95"/>
      <c r="R387" s="95"/>
      <c r="S387" s="95"/>
      <c r="T387" s="95"/>
      <c r="U387" s="95"/>
      <c r="V387" s="95"/>
      <c r="W387" s="95"/>
      <c r="X387" s="95"/>
      <c r="Y387" s="95"/>
      <c r="Z387" s="95"/>
      <c r="AA387" s="95"/>
      <c r="AB387" s="95"/>
      <c r="AC387" s="95"/>
      <c r="AD387" s="95"/>
      <c r="AE387" s="95"/>
      <c r="AF387" s="95"/>
      <c r="AG387" s="95"/>
      <c r="AH387" s="95"/>
      <c r="AI387" s="95"/>
      <c r="AJ387" s="95"/>
      <c r="AK387" s="95"/>
      <c r="AL387" s="95"/>
      <c r="AM387" s="95"/>
      <c r="AN387" s="94"/>
      <c r="AO387" s="95"/>
      <c r="AP387" s="95"/>
      <c r="AQ387" s="95"/>
      <c r="AR387" s="95"/>
      <c r="AS387" s="95"/>
      <c r="AT387" s="95"/>
      <c r="AU387" s="95"/>
      <c r="AV387" s="95"/>
      <c r="AW387" s="95"/>
      <c r="AX387" s="95"/>
      <c r="AY387" s="95"/>
      <c r="AZ387" s="95"/>
      <c r="BA387" s="95"/>
      <c r="BB387" s="95"/>
      <c r="BC387" s="214"/>
      <c r="BD387" s="95"/>
      <c r="BE387" s="95"/>
      <c r="BF387" s="95"/>
      <c r="BG387" s="95"/>
      <c r="BH387" s="95"/>
      <c r="BI387" s="24"/>
      <c r="BJ387" s="95"/>
      <c r="BK387" s="265"/>
      <c r="BL387" s="265"/>
      <c r="BM387" s="265"/>
      <c r="BN387" s="266"/>
      <c r="BO387" s="267"/>
      <c r="BP387" s="268"/>
      <c r="BQ387" s="269"/>
      <c r="BR387" s="269"/>
      <c r="BS387" s="269"/>
      <c r="BT387" s="269"/>
      <c r="BU387" s="269"/>
      <c r="BV387" s="269"/>
      <c r="BW387" s="268"/>
      <c r="BX387" s="269"/>
      <c r="BY387" s="268"/>
      <c r="BZ387" s="268"/>
      <c r="CA387" s="268"/>
      <c r="CB387" s="269"/>
      <c r="CC387" s="268"/>
      <c r="CD387" s="268"/>
      <c r="CE387" s="269"/>
      <c r="CF387" s="269"/>
      <c r="CG387" s="269"/>
      <c r="CH387" s="269"/>
      <c r="CI387" s="269"/>
      <c r="CJ387" s="269"/>
      <c r="CK387" s="269"/>
      <c r="CL387" s="266"/>
    </row>
    <row r="388" spans="1:90">
      <c r="A388" s="95"/>
      <c r="B388" s="263"/>
      <c r="C388" s="263"/>
      <c r="D388" s="263"/>
      <c r="E388" s="263"/>
      <c r="F388" s="263"/>
      <c r="G388" s="263"/>
      <c r="H388" s="95"/>
      <c r="I388" s="95"/>
      <c r="J388" s="263"/>
      <c r="K388" s="263"/>
      <c r="L388" s="263"/>
      <c r="M388" s="263"/>
      <c r="N388" s="263"/>
      <c r="O388" s="263"/>
      <c r="P388" s="95"/>
      <c r="Q388" s="95"/>
      <c r="R388" s="95"/>
      <c r="S388" s="95"/>
      <c r="T388" s="95"/>
      <c r="U388" s="95"/>
      <c r="V388" s="95"/>
      <c r="W388" s="95"/>
      <c r="X388" s="95"/>
      <c r="Y388" s="95"/>
      <c r="Z388" s="95"/>
      <c r="AA388" s="95"/>
      <c r="AB388" s="95"/>
      <c r="AC388" s="95"/>
      <c r="AD388" s="95"/>
      <c r="AE388" s="95"/>
      <c r="AF388" s="95"/>
      <c r="AG388" s="95"/>
      <c r="AH388" s="95"/>
      <c r="AI388" s="95"/>
      <c r="AJ388" s="95"/>
      <c r="AK388" s="95"/>
      <c r="AL388" s="95"/>
      <c r="AM388" s="95"/>
      <c r="AN388" s="94"/>
      <c r="AO388" s="95"/>
      <c r="AP388" s="95"/>
      <c r="AQ388" s="95"/>
      <c r="AR388" s="95"/>
      <c r="AS388" s="95"/>
      <c r="AT388" s="95"/>
      <c r="AU388" s="95"/>
      <c r="AV388" s="95"/>
      <c r="AW388" s="95"/>
      <c r="AX388" s="95"/>
      <c r="AY388" s="95"/>
      <c r="AZ388" s="95"/>
      <c r="BA388" s="95"/>
      <c r="BB388" s="95"/>
      <c r="BC388" s="214"/>
      <c r="BD388" s="95"/>
      <c r="BE388" s="95"/>
      <c r="BF388" s="95"/>
      <c r="BG388" s="95"/>
      <c r="BH388" s="95"/>
      <c r="BI388" s="24"/>
      <c r="BJ388" s="95"/>
      <c r="BK388" s="265"/>
      <c r="BL388" s="265"/>
      <c r="BM388" s="265"/>
      <c r="BN388" s="266"/>
      <c r="BO388" s="267"/>
      <c r="BP388" s="268"/>
      <c r="BQ388" s="269"/>
      <c r="BR388" s="269"/>
      <c r="BS388" s="269"/>
      <c r="BT388" s="269"/>
      <c r="BU388" s="269"/>
      <c r="BV388" s="269"/>
      <c r="BW388" s="268"/>
      <c r="BX388" s="269"/>
      <c r="BY388" s="268"/>
      <c r="BZ388" s="268"/>
      <c r="CA388" s="268"/>
      <c r="CB388" s="269"/>
      <c r="CC388" s="268"/>
      <c r="CD388" s="268"/>
      <c r="CE388" s="269"/>
      <c r="CF388" s="269"/>
      <c r="CG388" s="269"/>
      <c r="CH388" s="269"/>
      <c r="CI388" s="269"/>
      <c r="CJ388" s="269"/>
      <c r="CK388" s="269"/>
      <c r="CL388" s="266"/>
    </row>
    <row r="389" spans="1:90">
      <c r="A389" s="95"/>
      <c r="B389" s="263"/>
      <c r="C389" s="263"/>
      <c r="D389" s="263"/>
      <c r="E389" s="263"/>
      <c r="F389" s="263"/>
      <c r="G389" s="263"/>
      <c r="H389" s="95"/>
      <c r="I389" s="95"/>
      <c r="J389" s="263"/>
      <c r="K389" s="263"/>
      <c r="L389" s="263"/>
      <c r="M389" s="263"/>
      <c r="N389" s="263"/>
      <c r="O389" s="263"/>
      <c r="P389" s="95"/>
      <c r="Q389" s="95"/>
      <c r="R389" s="95"/>
      <c r="S389" s="95"/>
      <c r="T389" s="95"/>
      <c r="U389" s="95"/>
      <c r="V389" s="95"/>
      <c r="W389" s="95"/>
      <c r="X389" s="95"/>
      <c r="Y389" s="95"/>
      <c r="Z389" s="95"/>
      <c r="AA389" s="95"/>
      <c r="AB389" s="95"/>
      <c r="AC389" s="95"/>
      <c r="AD389" s="95"/>
      <c r="AE389" s="95"/>
      <c r="AF389" s="95"/>
      <c r="AG389" s="95"/>
      <c r="AH389" s="95"/>
      <c r="AI389" s="95"/>
      <c r="AJ389" s="95"/>
      <c r="AK389" s="95"/>
      <c r="AL389" s="95"/>
      <c r="AM389" s="95"/>
      <c r="AN389" s="94"/>
      <c r="AO389" s="95"/>
      <c r="AP389" s="95"/>
      <c r="AQ389" s="95"/>
      <c r="AR389" s="95"/>
      <c r="AS389" s="95"/>
      <c r="AT389" s="95"/>
      <c r="AU389" s="95"/>
      <c r="AV389" s="95"/>
      <c r="AW389" s="95"/>
      <c r="AX389" s="95"/>
      <c r="AY389" s="95"/>
      <c r="AZ389" s="95"/>
      <c r="BA389" s="95"/>
      <c r="BB389" s="95"/>
      <c r="BC389" s="214"/>
      <c r="BD389" s="95"/>
      <c r="BE389" s="95"/>
      <c r="BF389" s="95"/>
      <c r="BG389" s="95"/>
      <c r="BH389" s="95"/>
      <c r="BI389" s="24"/>
      <c r="BJ389" s="95"/>
      <c r="BK389" s="265"/>
      <c r="BL389" s="265"/>
      <c r="BM389" s="265"/>
      <c r="BN389" s="266"/>
      <c r="BO389" s="267"/>
      <c r="BP389" s="268"/>
      <c r="BQ389" s="269"/>
      <c r="BR389" s="269"/>
      <c r="BS389" s="269"/>
      <c r="BT389" s="269"/>
      <c r="BU389" s="269"/>
      <c r="BV389" s="269"/>
      <c r="BW389" s="268"/>
      <c r="BX389" s="269"/>
      <c r="BY389" s="268"/>
      <c r="BZ389" s="268"/>
      <c r="CA389" s="268"/>
      <c r="CB389" s="269"/>
      <c r="CC389" s="268"/>
      <c r="CD389" s="268"/>
      <c r="CE389" s="269"/>
      <c r="CF389" s="269"/>
      <c r="CG389" s="269"/>
      <c r="CH389" s="269"/>
      <c r="CI389" s="269"/>
      <c r="CJ389" s="269"/>
      <c r="CK389" s="269"/>
      <c r="CL389" s="266"/>
    </row>
    <row r="390" spans="1:90">
      <c r="A390" s="95"/>
      <c r="B390" s="263"/>
      <c r="C390" s="263"/>
      <c r="D390" s="263"/>
      <c r="E390" s="263"/>
      <c r="F390" s="263"/>
      <c r="G390" s="263"/>
      <c r="H390" s="95"/>
      <c r="I390" s="95"/>
      <c r="J390" s="263"/>
      <c r="K390" s="263"/>
      <c r="L390" s="263"/>
      <c r="M390" s="263"/>
      <c r="N390" s="263"/>
      <c r="O390" s="263"/>
      <c r="P390" s="95"/>
      <c r="Q390" s="95"/>
      <c r="R390" s="95"/>
      <c r="S390" s="95"/>
      <c r="T390" s="95"/>
      <c r="U390" s="95"/>
      <c r="V390" s="95"/>
      <c r="W390" s="95"/>
      <c r="X390" s="95"/>
      <c r="Y390" s="95"/>
      <c r="Z390" s="95"/>
      <c r="AA390" s="95"/>
      <c r="AB390" s="95"/>
      <c r="AC390" s="95"/>
      <c r="AD390" s="95"/>
      <c r="AE390" s="95"/>
      <c r="AF390" s="95"/>
      <c r="AG390" s="95"/>
      <c r="AH390" s="95"/>
      <c r="AI390" s="95"/>
      <c r="AJ390" s="95"/>
      <c r="AK390" s="95"/>
      <c r="AL390" s="95"/>
      <c r="AM390" s="95"/>
      <c r="AN390" s="94"/>
      <c r="AO390" s="95"/>
      <c r="AP390" s="95"/>
      <c r="AQ390" s="95"/>
      <c r="AR390" s="95"/>
      <c r="AS390" s="95"/>
      <c r="AT390" s="95"/>
      <c r="AU390" s="95"/>
      <c r="AV390" s="95"/>
      <c r="AW390" s="95"/>
      <c r="AX390" s="95"/>
      <c r="AY390" s="95"/>
      <c r="AZ390" s="95"/>
      <c r="BA390" s="95"/>
      <c r="BB390" s="95"/>
      <c r="BC390" s="214"/>
      <c r="BD390" s="95"/>
      <c r="BE390" s="95"/>
      <c r="BF390" s="95"/>
      <c r="BG390" s="95"/>
      <c r="BH390" s="95"/>
      <c r="BI390" s="24"/>
      <c r="BJ390" s="95"/>
      <c r="BK390" s="265"/>
      <c r="BL390" s="265"/>
      <c r="BM390" s="265"/>
      <c r="BN390" s="266"/>
      <c r="BO390" s="267"/>
      <c r="BP390" s="268"/>
      <c r="BQ390" s="269"/>
      <c r="BR390" s="269"/>
      <c r="BS390" s="269"/>
      <c r="BT390" s="269"/>
      <c r="BU390" s="269"/>
      <c r="BV390" s="269"/>
      <c r="BW390" s="268"/>
      <c r="BX390" s="269"/>
      <c r="BY390" s="268"/>
      <c r="BZ390" s="268"/>
      <c r="CA390" s="268"/>
      <c r="CB390" s="269"/>
      <c r="CC390" s="268"/>
      <c r="CD390" s="268"/>
      <c r="CE390" s="269"/>
      <c r="CF390" s="269"/>
      <c r="CG390" s="269"/>
      <c r="CH390" s="269"/>
      <c r="CI390" s="269"/>
      <c r="CJ390" s="269"/>
      <c r="CK390" s="269"/>
      <c r="CL390" s="266"/>
    </row>
    <row r="391" spans="1:90">
      <c r="A391" s="95"/>
      <c r="B391" s="263"/>
      <c r="C391" s="263"/>
      <c r="D391" s="263"/>
      <c r="E391" s="263"/>
      <c r="F391" s="263"/>
      <c r="G391" s="263"/>
      <c r="H391" s="95"/>
      <c r="I391" s="95"/>
      <c r="J391" s="263"/>
      <c r="K391" s="263"/>
      <c r="L391" s="263"/>
      <c r="M391" s="263"/>
      <c r="N391" s="263"/>
      <c r="O391" s="263"/>
      <c r="P391" s="95"/>
      <c r="Q391" s="95"/>
      <c r="R391" s="95"/>
      <c r="S391" s="95"/>
      <c r="T391" s="95"/>
      <c r="U391" s="95"/>
      <c r="V391" s="95"/>
      <c r="W391" s="95"/>
      <c r="X391" s="95"/>
      <c r="Y391" s="95"/>
      <c r="Z391" s="95"/>
      <c r="AA391" s="95"/>
      <c r="AB391" s="95"/>
      <c r="AC391" s="95"/>
      <c r="AD391" s="95"/>
      <c r="AE391" s="95"/>
      <c r="AF391" s="95"/>
      <c r="AG391" s="95"/>
      <c r="AH391" s="95"/>
      <c r="AI391" s="95"/>
      <c r="AJ391" s="95"/>
      <c r="AK391" s="95"/>
      <c r="AL391" s="95"/>
      <c r="AM391" s="95"/>
      <c r="AN391" s="94"/>
      <c r="AO391" s="95"/>
      <c r="AP391" s="95"/>
      <c r="AQ391" s="95"/>
      <c r="AR391" s="95"/>
      <c r="AS391" s="95"/>
      <c r="AT391" s="95"/>
      <c r="AU391" s="95"/>
      <c r="AV391" s="95"/>
      <c r="AW391" s="95"/>
      <c r="AX391" s="95"/>
      <c r="AY391" s="95"/>
      <c r="AZ391" s="95"/>
      <c r="BA391" s="95"/>
      <c r="BB391" s="95"/>
      <c r="BC391" s="214"/>
      <c r="BD391" s="95"/>
      <c r="BE391" s="95"/>
      <c r="BF391" s="95"/>
      <c r="BG391" s="95"/>
      <c r="BH391" s="95"/>
      <c r="BI391" s="24"/>
      <c r="BJ391" s="95"/>
      <c r="BK391" s="265"/>
      <c r="BL391" s="265"/>
      <c r="BM391" s="265"/>
      <c r="BN391" s="266"/>
      <c r="BO391" s="267"/>
      <c r="BP391" s="268"/>
      <c r="BQ391" s="269"/>
      <c r="BR391" s="269"/>
      <c r="BS391" s="269"/>
      <c r="BT391" s="269"/>
      <c r="BU391" s="269"/>
      <c r="BV391" s="269"/>
      <c r="BW391" s="268"/>
      <c r="BX391" s="269"/>
      <c r="BY391" s="268"/>
      <c r="BZ391" s="268"/>
      <c r="CA391" s="268"/>
      <c r="CB391" s="269"/>
      <c r="CC391" s="268"/>
      <c r="CD391" s="268"/>
      <c r="CE391" s="269"/>
      <c r="CF391" s="269"/>
      <c r="CG391" s="269"/>
      <c r="CH391" s="269"/>
      <c r="CI391" s="269"/>
      <c r="CJ391" s="269"/>
      <c r="CK391" s="269"/>
      <c r="CL391" s="266"/>
    </row>
    <row r="392" spans="1:90">
      <c r="A392" s="95"/>
      <c r="B392" s="263"/>
      <c r="C392" s="263"/>
      <c r="D392" s="263"/>
      <c r="E392" s="263"/>
      <c r="F392" s="263"/>
      <c r="G392" s="263"/>
      <c r="H392" s="95"/>
      <c r="I392" s="95"/>
      <c r="J392" s="263"/>
      <c r="K392" s="263"/>
      <c r="L392" s="263"/>
      <c r="M392" s="263"/>
      <c r="N392" s="263"/>
      <c r="O392" s="263"/>
      <c r="P392" s="95"/>
      <c r="Q392" s="95"/>
      <c r="R392" s="95"/>
      <c r="S392" s="95"/>
      <c r="T392" s="95"/>
      <c r="U392" s="95"/>
      <c r="V392" s="95"/>
      <c r="W392" s="95"/>
      <c r="X392" s="95"/>
      <c r="Y392" s="95"/>
      <c r="Z392" s="95"/>
      <c r="AA392" s="95"/>
      <c r="AB392" s="95"/>
      <c r="AC392" s="95"/>
      <c r="AD392" s="95"/>
      <c r="AE392" s="95"/>
      <c r="AF392" s="95"/>
      <c r="AG392" s="95"/>
      <c r="AH392" s="95"/>
      <c r="AI392" s="95"/>
      <c r="AJ392" s="95"/>
      <c r="AK392" s="95"/>
      <c r="AL392" s="95"/>
      <c r="AM392" s="95"/>
      <c r="AN392" s="94"/>
      <c r="AO392" s="95"/>
      <c r="AP392" s="95"/>
      <c r="AQ392" s="95"/>
      <c r="AR392" s="95"/>
      <c r="AS392" s="95"/>
      <c r="AT392" s="95"/>
      <c r="AU392" s="95"/>
      <c r="AV392" s="95"/>
      <c r="AW392" s="95"/>
      <c r="AX392" s="95"/>
      <c r="AY392" s="95"/>
      <c r="AZ392" s="95"/>
      <c r="BA392" s="95"/>
      <c r="BB392" s="95"/>
      <c r="BC392" s="214"/>
      <c r="BD392" s="95"/>
      <c r="BE392" s="95"/>
      <c r="BF392" s="95"/>
      <c r="BG392" s="95"/>
      <c r="BH392" s="95"/>
      <c r="BI392" s="24"/>
      <c r="BJ392" s="95"/>
      <c r="BK392" s="265"/>
      <c r="BL392" s="265"/>
      <c r="BM392" s="265"/>
      <c r="BN392" s="266"/>
      <c r="BO392" s="267"/>
      <c r="BP392" s="268"/>
      <c r="BQ392" s="269"/>
      <c r="BR392" s="269"/>
      <c r="BS392" s="269"/>
      <c r="BT392" s="269"/>
      <c r="BU392" s="269"/>
      <c r="BV392" s="269"/>
      <c r="BW392" s="268"/>
      <c r="BX392" s="269"/>
      <c r="BY392" s="268"/>
      <c r="BZ392" s="268"/>
      <c r="CA392" s="268"/>
      <c r="CB392" s="269"/>
      <c r="CC392" s="268"/>
      <c r="CD392" s="268"/>
      <c r="CE392" s="269"/>
      <c r="CF392" s="269"/>
      <c r="CG392" s="269"/>
      <c r="CH392" s="269"/>
      <c r="CI392" s="269"/>
      <c r="CJ392" s="269"/>
      <c r="CK392" s="269"/>
      <c r="CL392" s="266"/>
    </row>
    <row r="393" spans="1:90">
      <c r="A393" s="95"/>
      <c r="B393" s="263"/>
      <c r="C393" s="263"/>
      <c r="D393" s="263"/>
      <c r="E393" s="263"/>
      <c r="F393" s="263"/>
      <c r="G393" s="263"/>
      <c r="H393" s="95"/>
      <c r="I393" s="95"/>
      <c r="J393" s="263"/>
      <c r="K393" s="263"/>
      <c r="L393" s="263"/>
      <c r="M393" s="263"/>
      <c r="N393" s="263"/>
      <c r="O393" s="263"/>
      <c r="P393" s="95"/>
      <c r="Q393" s="95"/>
      <c r="R393" s="95"/>
      <c r="S393" s="95"/>
      <c r="T393" s="95"/>
      <c r="U393" s="95"/>
      <c r="V393" s="95"/>
      <c r="W393" s="95"/>
      <c r="X393" s="95"/>
      <c r="Y393" s="95"/>
      <c r="Z393" s="95"/>
      <c r="AA393" s="95"/>
      <c r="AB393" s="95"/>
      <c r="AC393" s="95"/>
      <c r="AD393" s="95"/>
      <c r="AE393" s="95"/>
      <c r="AF393" s="95"/>
      <c r="AG393" s="95"/>
      <c r="AH393" s="95"/>
      <c r="AI393" s="95"/>
      <c r="AJ393" s="95"/>
      <c r="AK393" s="95"/>
      <c r="AL393" s="95"/>
      <c r="AM393" s="95"/>
      <c r="AN393" s="94"/>
      <c r="AO393" s="95"/>
      <c r="AP393" s="95"/>
      <c r="AQ393" s="95"/>
      <c r="AR393" s="95"/>
      <c r="AS393" s="95"/>
      <c r="AT393" s="95"/>
      <c r="AU393" s="95"/>
      <c r="AV393" s="95"/>
      <c r="AW393" s="95"/>
      <c r="AX393" s="95"/>
      <c r="AY393" s="95"/>
      <c r="AZ393" s="95"/>
      <c r="BA393" s="95"/>
      <c r="BB393" s="95"/>
      <c r="BC393" s="214"/>
      <c r="BD393" s="95"/>
      <c r="BE393" s="95"/>
      <c r="BF393" s="95"/>
      <c r="BG393" s="95"/>
      <c r="BH393" s="95"/>
      <c r="BI393" s="24"/>
      <c r="BJ393" s="95"/>
      <c r="BK393" s="265"/>
      <c r="BL393" s="265"/>
      <c r="BM393" s="265"/>
      <c r="BN393" s="266"/>
      <c r="BO393" s="267"/>
      <c r="BP393" s="268"/>
      <c r="BQ393" s="269"/>
      <c r="BR393" s="269"/>
      <c r="BS393" s="269"/>
      <c r="BT393" s="269"/>
      <c r="BU393" s="269"/>
      <c r="BV393" s="269"/>
      <c r="BW393" s="268"/>
      <c r="BX393" s="269"/>
      <c r="BY393" s="268"/>
      <c r="BZ393" s="268"/>
      <c r="CA393" s="268"/>
      <c r="CB393" s="269"/>
      <c r="CC393" s="268"/>
      <c r="CD393" s="268"/>
      <c r="CE393" s="269"/>
      <c r="CF393" s="269"/>
      <c r="CG393" s="269"/>
      <c r="CH393" s="269"/>
      <c r="CI393" s="269"/>
      <c r="CJ393" s="269"/>
      <c r="CK393" s="269"/>
      <c r="CL393" s="266"/>
    </row>
    <row r="394" spans="1:90">
      <c r="A394" s="95"/>
      <c r="B394" s="263"/>
      <c r="C394" s="263"/>
      <c r="D394" s="263"/>
      <c r="E394" s="263"/>
      <c r="F394" s="263"/>
      <c r="G394" s="263"/>
      <c r="H394" s="95"/>
      <c r="I394" s="95"/>
      <c r="J394" s="263"/>
      <c r="K394" s="263"/>
      <c r="L394" s="263"/>
      <c r="M394" s="263"/>
      <c r="N394" s="263"/>
      <c r="O394" s="263"/>
      <c r="P394" s="95"/>
      <c r="Q394" s="95"/>
      <c r="R394" s="95"/>
      <c r="S394" s="95"/>
      <c r="T394" s="95"/>
      <c r="U394" s="95"/>
      <c r="V394" s="95"/>
      <c r="W394" s="95"/>
      <c r="X394" s="95"/>
      <c r="Y394" s="95"/>
      <c r="Z394" s="95"/>
      <c r="AA394" s="95"/>
      <c r="AB394" s="95"/>
      <c r="AC394" s="95"/>
      <c r="AD394" s="95"/>
      <c r="AE394" s="95"/>
      <c r="AF394" s="95"/>
      <c r="AG394" s="95"/>
      <c r="AH394" s="95"/>
      <c r="AI394" s="95"/>
      <c r="AJ394" s="95"/>
      <c r="AK394" s="95"/>
      <c r="AL394" s="95"/>
      <c r="AM394" s="95"/>
      <c r="AN394" s="94"/>
      <c r="AO394" s="95"/>
      <c r="AP394" s="95"/>
      <c r="AQ394" s="95"/>
      <c r="AR394" s="95"/>
      <c r="AS394" s="95"/>
      <c r="AT394" s="95"/>
      <c r="AU394" s="95"/>
      <c r="AV394" s="95"/>
      <c r="AW394" s="95"/>
      <c r="AX394" s="95"/>
      <c r="AY394" s="95"/>
      <c r="AZ394" s="95"/>
      <c r="BA394" s="95"/>
      <c r="BB394" s="95"/>
      <c r="BC394" s="214"/>
      <c r="BD394" s="95"/>
      <c r="BE394" s="95"/>
      <c r="BF394" s="95"/>
      <c r="BG394" s="95"/>
      <c r="BH394" s="95"/>
      <c r="BI394" s="24"/>
      <c r="BJ394" s="95"/>
      <c r="BK394" s="265"/>
      <c r="BL394" s="265"/>
      <c r="BM394" s="265"/>
      <c r="BN394" s="266"/>
      <c r="BO394" s="267"/>
      <c r="BP394" s="268"/>
      <c r="BQ394" s="269"/>
      <c r="BR394" s="269"/>
      <c r="BS394" s="269"/>
      <c r="BT394" s="269"/>
      <c r="BU394" s="269"/>
      <c r="BV394" s="269"/>
      <c r="BW394" s="268"/>
      <c r="BX394" s="269"/>
      <c r="BY394" s="268"/>
      <c r="BZ394" s="268"/>
      <c r="CA394" s="268"/>
      <c r="CB394" s="269"/>
      <c r="CC394" s="268"/>
      <c r="CD394" s="268"/>
      <c r="CE394" s="269"/>
      <c r="CF394" s="269"/>
      <c r="CG394" s="269"/>
      <c r="CH394" s="269"/>
      <c r="CI394" s="269"/>
      <c r="CJ394" s="269"/>
      <c r="CK394" s="269"/>
      <c r="CL394" s="266"/>
    </row>
    <row r="395" spans="1:90">
      <c r="A395" s="95"/>
      <c r="B395" s="263"/>
      <c r="C395" s="263"/>
      <c r="D395" s="263"/>
      <c r="E395" s="263"/>
      <c r="F395" s="263"/>
      <c r="G395" s="263"/>
      <c r="H395" s="95"/>
      <c r="I395" s="95"/>
      <c r="J395" s="263"/>
      <c r="K395" s="263"/>
      <c r="L395" s="263"/>
      <c r="M395" s="263"/>
      <c r="N395" s="263"/>
      <c r="O395" s="263"/>
      <c r="P395" s="95"/>
      <c r="Q395" s="95"/>
      <c r="R395" s="95"/>
      <c r="S395" s="95"/>
      <c r="T395" s="95"/>
      <c r="U395" s="95"/>
      <c r="V395" s="95"/>
      <c r="W395" s="95"/>
      <c r="X395" s="95"/>
      <c r="Y395" s="95"/>
      <c r="Z395" s="95"/>
      <c r="AA395" s="95"/>
      <c r="AB395" s="95"/>
      <c r="AC395" s="95"/>
      <c r="AD395" s="95"/>
      <c r="AE395" s="95"/>
      <c r="AF395" s="95"/>
      <c r="AG395" s="95"/>
      <c r="AH395" s="95"/>
      <c r="AI395" s="95"/>
      <c r="AJ395" s="95"/>
      <c r="AK395" s="95"/>
      <c r="AL395" s="95"/>
      <c r="AM395" s="95"/>
      <c r="AN395" s="94"/>
      <c r="AO395" s="95"/>
      <c r="AP395" s="95"/>
      <c r="AQ395" s="95"/>
      <c r="AR395" s="95"/>
      <c r="AS395" s="95"/>
      <c r="AT395" s="95"/>
      <c r="AU395" s="95"/>
      <c r="AV395" s="95"/>
      <c r="AW395" s="95"/>
      <c r="AX395" s="95"/>
      <c r="AY395" s="95"/>
      <c r="AZ395" s="95"/>
      <c r="BA395" s="95"/>
      <c r="BB395" s="95"/>
      <c r="BC395" s="214"/>
      <c r="BD395" s="95"/>
      <c r="BE395" s="95"/>
      <c r="BF395" s="95"/>
      <c r="BG395" s="95"/>
      <c r="BH395" s="95"/>
      <c r="BI395" s="24"/>
      <c r="BJ395" s="95"/>
      <c r="BK395" s="265"/>
      <c r="BL395" s="265"/>
      <c r="BM395" s="265"/>
      <c r="BN395" s="266"/>
      <c r="BO395" s="267"/>
      <c r="BP395" s="268"/>
      <c r="BQ395" s="269"/>
      <c r="BR395" s="269"/>
      <c r="BS395" s="269"/>
      <c r="BT395" s="269"/>
      <c r="BU395" s="269"/>
      <c r="BV395" s="269"/>
      <c r="BW395" s="268"/>
      <c r="BX395" s="269"/>
      <c r="BY395" s="268"/>
      <c r="BZ395" s="268"/>
      <c r="CA395" s="268"/>
      <c r="CB395" s="269"/>
      <c r="CC395" s="268"/>
      <c r="CD395" s="268"/>
      <c r="CE395" s="269"/>
      <c r="CF395" s="269"/>
      <c r="CG395" s="269"/>
      <c r="CH395" s="269"/>
      <c r="CI395" s="269"/>
      <c r="CJ395" s="269"/>
      <c r="CK395" s="269"/>
      <c r="CL395" s="266"/>
    </row>
    <row r="396" spans="1:90">
      <c r="A396" s="95"/>
      <c r="B396" s="263"/>
      <c r="C396" s="263"/>
      <c r="D396" s="263"/>
      <c r="E396" s="263"/>
      <c r="F396" s="263"/>
      <c r="G396" s="263"/>
      <c r="H396" s="95"/>
      <c r="I396" s="95"/>
      <c r="J396" s="263"/>
      <c r="K396" s="263"/>
      <c r="L396" s="263"/>
      <c r="M396" s="263"/>
      <c r="N396" s="263"/>
      <c r="O396" s="263"/>
      <c r="P396" s="95"/>
      <c r="Q396" s="95"/>
      <c r="R396" s="95"/>
      <c r="S396" s="95"/>
      <c r="T396" s="95"/>
      <c r="U396" s="95"/>
      <c r="V396" s="95"/>
      <c r="W396" s="95"/>
      <c r="X396" s="95"/>
      <c r="Y396" s="95"/>
      <c r="Z396" s="95"/>
      <c r="AA396" s="95"/>
      <c r="AB396" s="95"/>
      <c r="AC396" s="95"/>
      <c r="AD396" s="95"/>
      <c r="AE396" s="95"/>
      <c r="AF396" s="95"/>
      <c r="AG396" s="95"/>
      <c r="AH396" s="95"/>
      <c r="AI396" s="95"/>
      <c r="AJ396" s="95"/>
      <c r="AK396" s="95"/>
      <c r="AL396" s="95"/>
      <c r="AM396" s="95"/>
      <c r="AN396" s="94"/>
      <c r="AO396" s="95"/>
      <c r="AP396" s="95"/>
      <c r="AQ396" s="95"/>
      <c r="AR396" s="95"/>
      <c r="AS396" s="95"/>
      <c r="AT396" s="95"/>
      <c r="AU396" s="95"/>
      <c r="AV396" s="95"/>
      <c r="AW396" s="95"/>
      <c r="AX396" s="95"/>
      <c r="AY396" s="95"/>
      <c r="AZ396" s="95"/>
      <c r="BA396" s="95"/>
      <c r="BB396" s="95"/>
      <c r="BC396" s="214"/>
      <c r="BD396" s="95"/>
      <c r="BE396" s="95"/>
      <c r="BF396" s="95"/>
      <c r="BG396" s="95"/>
      <c r="BH396" s="95"/>
      <c r="BI396" s="24"/>
      <c r="BJ396" s="95"/>
      <c r="BK396" s="265"/>
      <c r="BL396" s="265"/>
      <c r="BM396" s="265"/>
      <c r="BN396" s="266"/>
      <c r="BO396" s="267"/>
      <c r="BP396" s="268"/>
      <c r="BQ396" s="269"/>
      <c r="BR396" s="269"/>
      <c r="BS396" s="269"/>
      <c r="BT396" s="269"/>
      <c r="BU396" s="269"/>
      <c r="BV396" s="269"/>
      <c r="BW396" s="268"/>
      <c r="BX396" s="269"/>
      <c r="BY396" s="268"/>
      <c r="BZ396" s="268"/>
      <c r="CA396" s="268"/>
      <c r="CB396" s="269"/>
      <c r="CC396" s="268"/>
      <c r="CD396" s="268"/>
      <c r="CE396" s="269"/>
      <c r="CF396" s="269"/>
      <c r="CG396" s="269"/>
      <c r="CH396" s="269"/>
      <c r="CI396" s="269"/>
      <c r="CJ396" s="269"/>
      <c r="CK396" s="269"/>
      <c r="CL396" s="266"/>
    </row>
    <row r="397" spans="1:90">
      <c r="A397" s="95"/>
      <c r="B397" s="263"/>
      <c r="C397" s="263"/>
      <c r="D397" s="263"/>
      <c r="E397" s="263"/>
      <c r="F397" s="263"/>
      <c r="G397" s="263"/>
      <c r="H397" s="95"/>
      <c r="I397" s="95"/>
      <c r="J397" s="263"/>
      <c r="K397" s="263"/>
      <c r="L397" s="263"/>
      <c r="M397" s="263"/>
      <c r="N397" s="263"/>
      <c r="O397" s="263"/>
      <c r="P397" s="95"/>
      <c r="Q397" s="95"/>
      <c r="R397" s="95"/>
      <c r="S397" s="95"/>
      <c r="T397" s="95"/>
      <c r="U397" s="95"/>
      <c r="V397" s="95"/>
      <c r="W397" s="95"/>
      <c r="X397" s="95"/>
      <c r="Y397" s="95"/>
      <c r="Z397" s="95"/>
      <c r="AA397" s="95"/>
      <c r="AB397" s="95"/>
      <c r="AC397" s="95"/>
      <c r="AD397" s="95"/>
      <c r="AE397" s="95"/>
      <c r="AF397" s="95"/>
      <c r="AG397" s="95"/>
      <c r="AH397" s="95"/>
      <c r="AI397" s="95"/>
      <c r="AJ397" s="95"/>
      <c r="AK397" s="95"/>
      <c r="AL397" s="95"/>
      <c r="AM397" s="95"/>
      <c r="AN397" s="94"/>
      <c r="AO397" s="95"/>
      <c r="AP397" s="95"/>
      <c r="AQ397" s="95"/>
      <c r="AR397" s="95"/>
      <c r="AS397" s="95"/>
      <c r="AT397" s="95"/>
      <c r="AU397" s="95"/>
      <c r="AV397" s="95"/>
      <c r="AW397" s="95"/>
      <c r="AX397" s="95"/>
      <c r="AY397" s="95"/>
      <c r="AZ397" s="95"/>
      <c r="BA397" s="95"/>
      <c r="BB397" s="95"/>
      <c r="BC397" s="214"/>
      <c r="BD397" s="95"/>
      <c r="BE397" s="95"/>
      <c r="BF397" s="95"/>
      <c r="BG397" s="95"/>
      <c r="BH397" s="95"/>
      <c r="BI397" s="24"/>
      <c r="BJ397" s="95"/>
      <c r="BK397" s="265"/>
      <c r="BL397" s="265"/>
      <c r="BM397" s="265"/>
      <c r="BN397" s="266"/>
      <c r="BO397" s="267"/>
      <c r="BP397" s="268"/>
      <c r="BQ397" s="269"/>
      <c r="BR397" s="269"/>
      <c r="BS397" s="269"/>
      <c r="BT397" s="269"/>
      <c r="BU397" s="269"/>
      <c r="BV397" s="269"/>
      <c r="BW397" s="268"/>
      <c r="BX397" s="269"/>
      <c r="BY397" s="268"/>
      <c r="BZ397" s="268"/>
      <c r="CA397" s="268"/>
      <c r="CB397" s="269"/>
      <c r="CC397" s="268"/>
      <c r="CD397" s="268"/>
      <c r="CE397" s="269"/>
      <c r="CF397" s="269"/>
      <c r="CG397" s="269"/>
      <c r="CH397" s="269"/>
      <c r="CI397" s="269"/>
      <c r="CJ397" s="269"/>
      <c r="CK397" s="269"/>
      <c r="CL397" s="266"/>
    </row>
    <row r="398" spans="1:90">
      <c r="A398" s="95"/>
      <c r="B398" s="263"/>
      <c r="C398" s="263"/>
      <c r="D398" s="263"/>
      <c r="E398" s="263"/>
      <c r="F398" s="263"/>
      <c r="G398" s="263"/>
      <c r="H398" s="95"/>
      <c r="I398" s="95"/>
      <c r="J398" s="263"/>
      <c r="K398" s="263"/>
      <c r="L398" s="263"/>
      <c r="M398" s="263"/>
      <c r="N398" s="263"/>
      <c r="O398" s="263"/>
      <c r="P398" s="95"/>
      <c r="Q398" s="95"/>
      <c r="R398" s="95"/>
      <c r="S398" s="95"/>
      <c r="T398" s="95"/>
      <c r="U398" s="95"/>
      <c r="V398" s="95"/>
      <c r="W398" s="95"/>
      <c r="X398" s="95"/>
      <c r="Y398" s="95"/>
      <c r="Z398" s="95"/>
      <c r="AA398" s="95"/>
      <c r="AB398" s="95"/>
      <c r="AC398" s="95"/>
      <c r="AD398" s="95"/>
      <c r="AE398" s="95"/>
      <c r="AF398" s="95"/>
      <c r="AG398" s="95"/>
      <c r="AH398" s="95"/>
      <c r="AI398" s="95"/>
      <c r="AJ398" s="95"/>
      <c r="AK398" s="95"/>
      <c r="AL398" s="95"/>
      <c r="AM398" s="95"/>
      <c r="AN398" s="94"/>
      <c r="AO398" s="95"/>
      <c r="AP398" s="95"/>
      <c r="AQ398" s="95"/>
      <c r="AR398" s="95"/>
      <c r="AS398" s="95"/>
      <c r="AT398" s="95"/>
      <c r="AU398" s="95"/>
      <c r="AV398" s="95"/>
      <c r="AW398" s="95"/>
      <c r="AX398" s="95"/>
      <c r="AY398" s="95"/>
      <c r="AZ398" s="95"/>
      <c r="BA398" s="95"/>
      <c r="BB398" s="95"/>
      <c r="BC398" s="214"/>
      <c r="BD398" s="95"/>
      <c r="BE398" s="95"/>
      <c r="BF398" s="95"/>
      <c r="BG398" s="95"/>
      <c r="BH398" s="95"/>
      <c r="BI398" s="24"/>
      <c r="BJ398" s="95"/>
      <c r="BK398" s="265"/>
      <c r="BL398" s="265"/>
      <c r="BM398" s="265"/>
      <c r="BN398" s="266"/>
      <c r="BO398" s="267"/>
      <c r="BP398" s="268"/>
      <c r="BQ398" s="269"/>
      <c r="BR398" s="269"/>
      <c r="BS398" s="269"/>
      <c r="BT398" s="269"/>
      <c r="BU398" s="269"/>
      <c r="BV398" s="269"/>
      <c r="BW398" s="268"/>
      <c r="BX398" s="269"/>
      <c r="BY398" s="268"/>
      <c r="BZ398" s="268"/>
      <c r="CA398" s="268"/>
      <c r="CB398" s="269"/>
      <c r="CC398" s="268"/>
      <c r="CD398" s="268"/>
      <c r="CE398" s="269"/>
      <c r="CF398" s="269"/>
      <c r="CG398" s="269"/>
      <c r="CH398" s="269"/>
      <c r="CI398" s="269"/>
      <c r="CJ398" s="269"/>
      <c r="CK398" s="269"/>
      <c r="CL398" s="266"/>
    </row>
    <row r="399" spans="1:90">
      <c r="A399" s="95"/>
      <c r="B399" s="263"/>
      <c r="C399" s="263"/>
      <c r="D399" s="263"/>
      <c r="E399" s="263"/>
      <c r="F399" s="263"/>
      <c r="G399" s="263"/>
      <c r="H399" s="95"/>
      <c r="I399" s="95"/>
      <c r="J399" s="263"/>
      <c r="K399" s="263"/>
      <c r="L399" s="263"/>
      <c r="M399" s="263"/>
      <c r="N399" s="263"/>
      <c r="O399" s="263"/>
      <c r="P399" s="95"/>
      <c r="Q399" s="95"/>
      <c r="R399" s="95"/>
      <c r="S399" s="95"/>
      <c r="T399" s="95"/>
      <c r="U399" s="95"/>
      <c r="V399" s="95"/>
      <c r="W399" s="95"/>
      <c r="X399" s="95"/>
      <c r="Y399" s="95"/>
      <c r="Z399" s="95"/>
      <c r="AA399" s="95"/>
      <c r="AB399" s="95"/>
      <c r="AC399" s="95"/>
      <c r="AD399" s="95"/>
      <c r="AE399" s="95"/>
      <c r="AF399" s="95"/>
      <c r="AG399" s="95"/>
      <c r="AH399" s="95"/>
      <c r="AI399" s="95"/>
      <c r="AJ399" s="95"/>
      <c r="AK399" s="95"/>
      <c r="AL399" s="95"/>
      <c r="AM399" s="95"/>
      <c r="AN399" s="94"/>
      <c r="AO399" s="95"/>
      <c r="AP399" s="95"/>
      <c r="AQ399" s="95"/>
      <c r="AR399" s="95"/>
      <c r="AS399" s="95"/>
      <c r="AT399" s="95"/>
      <c r="AU399" s="95"/>
      <c r="AV399" s="95"/>
      <c r="AW399" s="95"/>
      <c r="AX399" s="95"/>
      <c r="AY399" s="95"/>
      <c r="AZ399" s="95"/>
      <c r="BA399" s="95"/>
      <c r="BB399" s="95"/>
      <c r="BC399" s="214"/>
      <c r="BD399" s="95"/>
      <c r="BE399" s="95"/>
      <c r="BF399" s="95"/>
      <c r="BG399" s="95"/>
      <c r="BH399" s="95"/>
      <c r="BI399" s="24"/>
      <c r="BJ399" s="95"/>
      <c r="BK399" s="265"/>
      <c r="BL399" s="265"/>
      <c r="BM399" s="265"/>
      <c r="BN399" s="266"/>
      <c r="BO399" s="267"/>
      <c r="BP399" s="268"/>
      <c r="BQ399" s="269"/>
      <c r="BR399" s="269"/>
      <c r="BS399" s="269"/>
      <c r="BT399" s="269"/>
      <c r="BU399" s="269"/>
      <c r="BV399" s="269"/>
      <c r="BW399" s="268"/>
      <c r="BX399" s="269"/>
      <c r="BY399" s="268"/>
      <c r="BZ399" s="268"/>
      <c r="CA399" s="268"/>
      <c r="CB399" s="269"/>
      <c r="CC399" s="268"/>
      <c r="CD399" s="268"/>
      <c r="CE399" s="269"/>
      <c r="CF399" s="269"/>
      <c r="CG399" s="269"/>
      <c r="CH399" s="269"/>
      <c r="CI399" s="269"/>
      <c r="CJ399" s="269"/>
      <c r="CK399" s="269"/>
      <c r="CL399" s="266"/>
    </row>
    <row r="400" spans="1:90">
      <c r="A400" s="95"/>
      <c r="B400" s="263"/>
      <c r="C400" s="263"/>
      <c r="D400" s="263"/>
      <c r="E400" s="263"/>
      <c r="F400" s="263"/>
      <c r="G400" s="263"/>
      <c r="H400" s="95"/>
      <c r="I400" s="95"/>
      <c r="J400" s="263"/>
      <c r="K400" s="263"/>
      <c r="L400" s="263"/>
      <c r="M400" s="263"/>
      <c r="N400" s="263"/>
      <c r="O400" s="263"/>
      <c r="P400" s="95"/>
      <c r="Q400" s="95"/>
      <c r="R400" s="95"/>
      <c r="S400" s="95"/>
      <c r="T400" s="95"/>
      <c r="U400" s="95"/>
      <c r="V400" s="95"/>
      <c r="W400" s="95"/>
      <c r="X400" s="95"/>
      <c r="Y400" s="95"/>
      <c r="Z400" s="95"/>
      <c r="AA400" s="95"/>
      <c r="AB400" s="95"/>
      <c r="AC400" s="95"/>
      <c r="AD400" s="95"/>
      <c r="AE400" s="95"/>
      <c r="AF400" s="95"/>
      <c r="AG400" s="95"/>
      <c r="AH400" s="95"/>
      <c r="AI400" s="95"/>
      <c r="AJ400" s="95"/>
      <c r="AK400" s="95"/>
      <c r="AL400" s="95"/>
      <c r="AM400" s="95"/>
      <c r="AN400" s="94"/>
      <c r="AO400" s="95"/>
      <c r="AP400" s="95"/>
      <c r="AQ400" s="95"/>
      <c r="AR400" s="95"/>
      <c r="AS400" s="95"/>
      <c r="AT400" s="95"/>
      <c r="AU400" s="95"/>
      <c r="AV400" s="95"/>
      <c r="AW400" s="95"/>
      <c r="AX400" s="95"/>
      <c r="AY400" s="95"/>
      <c r="AZ400" s="95"/>
      <c r="BA400" s="95"/>
      <c r="BB400" s="95"/>
      <c r="BC400" s="214"/>
      <c r="BD400" s="95"/>
      <c r="BE400" s="95"/>
      <c r="BF400" s="95"/>
      <c r="BG400" s="95"/>
      <c r="BH400" s="95"/>
      <c r="BI400" s="24"/>
      <c r="BJ400" s="95"/>
      <c r="BK400" s="265"/>
      <c r="BL400" s="265"/>
      <c r="BM400" s="265"/>
      <c r="BN400" s="266"/>
      <c r="BO400" s="267"/>
      <c r="BP400" s="268"/>
      <c r="BQ400" s="269"/>
      <c r="BR400" s="269"/>
      <c r="BS400" s="269"/>
      <c r="BT400" s="269"/>
      <c r="BU400" s="269"/>
      <c r="BV400" s="269"/>
      <c r="BW400" s="268"/>
      <c r="BX400" s="269"/>
      <c r="BY400" s="268"/>
      <c r="BZ400" s="268"/>
      <c r="CA400" s="268"/>
      <c r="CB400" s="269"/>
      <c r="CC400" s="268"/>
      <c r="CD400" s="268"/>
      <c r="CE400" s="269"/>
      <c r="CF400" s="269"/>
      <c r="CG400" s="269"/>
      <c r="CH400" s="269"/>
      <c r="CI400" s="269"/>
      <c r="CJ400" s="269"/>
      <c r="CK400" s="269"/>
      <c r="CL400" s="266"/>
    </row>
    <row r="401" spans="1:90">
      <c r="A401" s="95"/>
      <c r="B401" s="263"/>
      <c r="C401" s="263"/>
      <c r="D401" s="263"/>
      <c r="E401" s="263"/>
      <c r="F401" s="263"/>
      <c r="G401" s="263"/>
      <c r="H401" s="95"/>
      <c r="I401" s="95"/>
      <c r="J401" s="263"/>
      <c r="K401" s="263"/>
      <c r="L401" s="263"/>
      <c r="M401" s="263"/>
      <c r="N401" s="263"/>
      <c r="O401" s="263"/>
      <c r="P401" s="95"/>
      <c r="Q401" s="95"/>
      <c r="R401" s="95"/>
      <c r="S401" s="95"/>
      <c r="T401" s="95"/>
      <c r="U401" s="95"/>
      <c r="V401" s="95"/>
      <c r="W401" s="95"/>
      <c r="X401" s="95"/>
      <c r="Y401" s="95"/>
      <c r="Z401" s="95"/>
      <c r="AA401" s="95"/>
      <c r="AB401" s="95"/>
      <c r="AC401" s="95"/>
      <c r="AD401" s="95"/>
      <c r="AE401" s="95"/>
      <c r="AF401" s="95"/>
      <c r="AG401" s="95"/>
      <c r="AH401" s="95"/>
      <c r="AI401" s="95"/>
      <c r="AJ401" s="95"/>
      <c r="AK401" s="95"/>
      <c r="AL401" s="95"/>
      <c r="AM401" s="95"/>
      <c r="AN401" s="94"/>
      <c r="AO401" s="95"/>
      <c r="AP401" s="95"/>
      <c r="AQ401" s="95"/>
      <c r="AR401" s="95"/>
      <c r="AS401" s="95"/>
      <c r="AT401" s="95"/>
      <c r="AU401" s="95"/>
      <c r="AV401" s="95"/>
      <c r="AW401" s="95"/>
      <c r="AX401" s="95"/>
      <c r="AY401" s="95"/>
      <c r="AZ401" s="95"/>
      <c r="BA401" s="95"/>
      <c r="BB401" s="95"/>
      <c r="BC401" s="214"/>
      <c r="BD401" s="95"/>
      <c r="BE401" s="95"/>
      <c r="BF401" s="95"/>
      <c r="BG401" s="95"/>
      <c r="BH401" s="95"/>
      <c r="BI401" s="24"/>
      <c r="BJ401" s="95"/>
      <c r="BK401" s="265"/>
      <c r="BL401" s="265"/>
      <c r="BM401" s="265"/>
      <c r="BN401" s="266"/>
      <c r="BO401" s="267"/>
      <c r="BP401" s="268"/>
      <c r="BQ401" s="269"/>
      <c r="BR401" s="269"/>
      <c r="BS401" s="269"/>
      <c r="BT401" s="269"/>
      <c r="BU401" s="269"/>
      <c r="BV401" s="269"/>
      <c r="BW401" s="268"/>
      <c r="BX401" s="269"/>
      <c r="BY401" s="268"/>
      <c r="BZ401" s="268"/>
      <c r="CA401" s="268"/>
      <c r="CB401" s="269"/>
      <c r="CC401" s="268"/>
      <c r="CD401" s="268"/>
      <c r="CE401" s="269"/>
      <c r="CF401" s="269"/>
      <c r="CG401" s="269"/>
      <c r="CH401" s="269"/>
      <c r="CI401" s="269"/>
      <c r="CJ401" s="269"/>
      <c r="CK401" s="269"/>
      <c r="CL401" s="266"/>
    </row>
    <row r="402" spans="1:90">
      <c r="A402" s="95"/>
      <c r="B402" s="263"/>
      <c r="C402" s="263"/>
      <c r="D402" s="263"/>
      <c r="E402" s="263"/>
      <c r="F402" s="263"/>
      <c r="G402" s="263"/>
      <c r="H402" s="95"/>
      <c r="I402" s="95"/>
      <c r="J402" s="263"/>
      <c r="K402" s="263"/>
      <c r="L402" s="263"/>
      <c r="M402" s="263"/>
      <c r="N402" s="263"/>
      <c r="O402" s="263"/>
      <c r="P402" s="95"/>
      <c r="Q402" s="95"/>
      <c r="R402" s="95"/>
      <c r="S402" s="95"/>
      <c r="T402" s="95"/>
      <c r="U402" s="95"/>
      <c r="V402" s="95"/>
      <c r="W402" s="95"/>
      <c r="X402" s="95"/>
      <c r="Y402" s="95"/>
      <c r="Z402" s="95"/>
      <c r="AA402" s="95"/>
      <c r="AB402" s="95"/>
      <c r="AC402" s="95"/>
      <c r="AD402" s="95"/>
      <c r="AE402" s="95"/>
      <c r="AF402" s="95"/>
      <c r="AG402" s="95"/>
      <c r="AH402" s="95"/>
      <c r="AI402" s="95"/>
      <c r="AJ402" s="95"/>
      <c r="AK402" s="95"/>
      <c r="AL402" s="95"/>
      <c r="AM402" s="95"/>
      <c r="AN402" s="94"/>
      <c r="AO402" s="95"/>
      <c r="AP402" s="95"/>
      <c r="AQ402" s="95"/>
      <c r="AR402" s="95"/>
      <c r="AS402" s="95"/>
      <c r="AT402" s="95"/>
      <c r="AU402" s="95"/>
      <c r="AV402" s="95"/>
      <c r="AW402" s="95"/>
      <c r="AX402" s="95"/>
      <c r="AY402" s="95"/>
      <c r="AZ402" s="95"/>
      <c r="BA402" s="95"/>
      <c r="BB402" s="95"/>
      <c r="BC402" s="214"/>
      <c r="BD402" s="95"/>
      <c r="BE402" s="95"/>
      <c r="BF402" s="95"/>
      <c r="BG402" s="95"/>
      <c r="BH402" s="95"/>
      <c r="BI402" s="24"/>
      <c r="BJ402" s="95"/>
      <c r="BK402" s="265"/>
      <c r="BL402" s="265"/>
      <c r="BM402" s="265"/>
      <c r="BN402" s="266"/>
      <c r="BO402" s="267"/>
      <c r="BP402" s="268"/>
      <c r="BQ402" s="269"/>
      <c r="BR402" s="269"/>
      <c r="BS402" s="269"/>
      <c r="BT402" s="269"/>
      <c r="BU402" s="269"/>
      <c r="BV402" s="269"/>
      <c r="BW402" s="268"/>
      <c r="BX402" s="269"/>
      <c r="BY402" s="268"/>
      <c r="BZ402" s="268"/>
      <c r="CA402" s="268"/>
      <c r="CB402" s="269"/>
      <c r="CC402" s="268"/>
      <c r="CD402" s="268"/>
      <c r="CE402" s="269"/>
      <c r="CF402" s="269"/>
      <c r="CG402" s="269"/>
      <c r="CH402" s="269"/>
      <c r="CI402" s="269"/>
      <c r="CJ402" s="269"/>
      <c r="CK402" s="269"/>
      <c r="CL402" s="266"/>
    </row>
    <row r="403" spans="1:90">
      <c r="A403" s="95"/>
      <c r="B403" s="263"/>
      <c r="C403" s="263"/>
      <c r="D403" s="263"/>
      <c r="E403" s="263"/>
      <c r="F403" s="263"/>
      <c r="G403" s="263"/>
      <c r="H403" s="95"/>
      <c r="I403" s="95"/>
      <c r="J403" s="263"/>
      <c r="K403" s="263"/>
      <c r="L403" s="263"/>
      <c r="M403" s="263"/>
      <c r="N403" s="263"/>
      <c r="O403" s="263"/>
      <c r="P403" s="95"/>
      <c r="Q403" s="95"/>
      <c r="R403" s="95"/>
      <c r="S403" s="95"/>
      <c r="T403" s="95"/>
      <c r="U403" s="95"/>
      <c r="V403" s="95"/>
      <c r="W403" s="95"/>
      <c r="X403" s="95"/>
      <c r="Y403" s="95"/>
      <c r="Z403" s="95"/>
      <c r="AA403" s="95"/>
      <c r="AB403" s="95"/>
      <c r="AC403" s="95"/>
      <c r="AD403" s="95"/>
      <c r="AE403" s="95"/>
      <c r="AF403" s="95"/>
      <c r="AG403" s="95"/>
      <c r="AH403" s="95"/>
      <c r="AI403" s="95"/>
      <c r="AJ403" s="95"/>
      <c r="AK403" s="95"/>
      <c r="AL403" s="95"/>
      <c r="AM403" s="95"/>
      <c r="AN403" s="94"/>
      <c r="AO403" s="95"/>
      <c r="AP403" s="95"/>
      <c r="AQ403" s="95"/>
      <c r="AR403" s="95"/>
      <c r="AS403" s="95"/>
      <c r="AT403" s="95"/>
      <c r="AU403" s="95"/>
      <c r="AV403" s="95"/>
      <c r="AW403" s="95"/>
      <c r="AX403" s="95"/>
      <c r="AY403" s="95"/>
      <c r="AZ403" s="95"/>
      <c r="BA403" s="95"/>
      <c r="BB403" s="95"/>
      <c r="BC403" s="214"/>
      <c r="BD403" s="95"/>
      <c r="BE403" s="95"/>
      <c r="BF403" s="95"/>
      <c r="BG403" s="95"/>
      <c r="BH403" s="95"/>
      <c r="BI403" s="24"/>
      <c r="BJ403" s="95"/>
      <c r="BK403" s="265"/>
      <c r="BL403" s="265"/>
      <c r="BM403" s="265"/>
      <c r="BN403" s="266"/>
      <c r="BO403" s="267"/>
      <c r="BP403" s="268"/>
      <c r="BQ403" s="269"/>
      <c r="BR403" s="269"/>
      <c r="BS403" s="269"/>
      <c r="BT403" s="269"/>
      <c r="BU403" s="269"/>
      <c r="BV403" s="269"/>
      <c r="BW403" s="268"/>
      <c r="BX403" s="269"/>
      <c r="BY403" s="268"/>
      <c r="BZ403" s="268"/>
      <c r="CA403" s="268"/>
      <c r="CB403" s="269"/>
      <c r="CC403" s="268"/>
      <c r="CD403" s="268"/>
      <c r="CE403" s="269"/>
      <c r="CF403" s="269"/>
      <c r="CG403" s="269"/>
      <c r="CH403" s="269"/>
      <c r="CI403" s="269"/>
      <c r="CJ403" s="269"/>
      <c r="CK403" s="269"/>
      <c r="CL403" s="266"/>
    </row>
    <row r="404" spans="1:90">
      <c r="A404" s="95"/>
      <c r="B404" s="263"/>
      <c r="C404" s="263"/>
      <c r="D404" s="263"/>
      <c r="E404" s="263"/>
      <c r="F404" s="263"/>
      <c r="G404" s="263"/>
      <c r="H404" s="95"/>
      <c r="I404" s="95"/>
      <c r="J404" s="263"/>
      <c r="K404" s="263"/>
      <c r="L404" s="263"/>
      <c r="M404" s="263"/>
      <c r="N404" s="263"/>
      <c r="O404" s="263"/>
      <c r="P404" s="95"/>
      <c r="Q404" s="95"/>
      <c r="R404" s="95"/>
      <c r="S404" s="95"/>
      <c r="T404" s="95"/>
      <c r="U404" s="95"/>
      <c r="V404" s="95"/>
      <c r="W404" s="95"/>
      <c r="X404" s="95"/>
      <c r="Y404" s="95"/>
      <c r="Z404" s="95"/>
      <c r="AA404" s="95"/>
      <c r="AB404" s="95"/>
      <c r="AC404" s="95"/>
      <c r="AD404" s="95"/>
      <c r="AE404" s="95"/>
      <c r="AF404" s="95"/>
      <c r="AG404" s="95"/>
      <c r="AH404" s="95"/>
      <c r="AI404" s="95"/>
      <c r="AJ404" s="95"/>
      <c r="AK404" s="95"/>
      <c r="AL404" s="95"/>
      <c r="AM404" s="95"/>
      <c r="AN404" s="94"/>
      <c r="AO404" s="95"/>
      <c r="AP404" s="95"/>
      <c r="AQ404" s="95"/>
      <c r="AR404" s="95"/>
      <c r="AS404" s="95"/>
      <c r="AT404" s="95"/>
      <c r="AU404" s="95"/>
      <c r="AV404" s="95"/>
      <c r="AW404" s="95"/>
      <c r="AX404" s="95"/>
      <c r="AY404" s="95"/>
      <c r="AZ404" s="95"/>
      <c r="BA404" s="95"/>
      <c r="BB404" s="95"/>
      <c r="BC404" s="214"/>
      <c r="BD404" s="95"/>
      <c r="BE404" s="95"/>
      <c r="BF404" s="95"/>
      <c r="BG404" s="95"/>
      <c r="BH404" s="95"/>
      <c r="BI404" s="24"/>
      <c r="BJ404" s="95"/>
      <c r="BK404" s="265"/>
      <c r="BL404" s="265"/>
      <c r="BM404" s="265"/>
      <c r="BN404" s="266"/>
      <c r="BO404" s="267"/>
      <c r="BP404" s="268"/>
      <c r="BQ404" s="269"/>
      <c r="BR404" s="269"/>
      <c r="BS404" s="269"/>
      <c r="BT404" s="269"/>
      <c r="BU404" s="269"/>
      <c r="BV404" s="269"/>
      <c r="BW404" s="268"/>
      <c r="BX404" s="269"/>
      <c r="BY404" s="268"/>
      <c r="BZ404" s="268"/>
      <c r="CA404" s="268"/>
      <c r="CB404" s="269"/>
      <c r="CC404" s="268"/>
      <c r="CD404" s="268"/>
      <c r="CE404" s="269"/>
      <c r="CF404" s="269"/>
      <c r="CG404" s="269"/>
      <c r="CH404" s="269"/>
      <c r="CI404" s="269"/>
      <c r="CJ404" s="269"/>
      <c r="CK404" s="269"/>
      <c r="CL404" s="266"/>
    </row>
    <row r="405" spans="1:90">
      <c r="A405" s="95"/>
      <c r="B405" s="263"/>
      <c r="C405" s="263"/>
      <c r="D405" s="263"/>
      <c r="E405" s="263"/>
      <c r="F405" s="263"/>
      <c r="G405" s="263"/>
      <c r="H405" s="95"/>
      <c r="I405" s="95"/>
      <c r="J405" s="263"/>
      <c r="K405" s="263"/>
      <c r="L405" s="263"/>
      <c r="M405" s="263"/>
      <c r="N405" s="263"/>
      <c r="O405" s="263"/>
      <c r="P405" s="95"/>
      <c r="Q405" s="95"/>
      <c r="R405" s="95"/>
      <c r="S405" s="95"/>
      <c r="T405" s="95"/>
      <c r="U405" s="95"/>
      <c r="V405" s="95"/>
      <c r="W405" s="95"/>
      <c r="X405" s="95"/>
      <c r="Y405" s="95"/>
      <c r="Z405" s="95"/>
      <c r="AA405" s="95"/>
      <c r="AB405" s="95"/>
      <c r="AC405" s="95"/>
      <c r="AD405" s="95"/>
      <c r="AE405" s="95"/>
      <c r="AF405" s="95"/>
      <c r="AG405" s="95"/>
      <c r="AH405" s="95"/>
      <c r="AI405" s="95"/>
      <c r="AJ405" s="95"/>
      <c r="AK405" s="95"/>
      <c r="AL405" s="95"/>
      <c r="AM405" s="95"/>
      <c r="AN405" s="94"/>
      <c r="AO405" s="95"/>
      <c r="AP405" s="95"/>
      <c r="AQ405" s="95"/>
      <c r="AR405" s="95"/>
      <c r="AS405" s="95"/>
      <c r="AT405" s="95"/>
      <c r="AU405" s="95"/>
      <c r="AV405" s="95"/>
      <c r="AW405" s="95"/>
      <c r="AX405" s="95"/>
      <c r="AY405" s="95"/>
      <c r="AZ405" s="95"/>
      <c r="BA405" s="95"/>
      <c r="BB405" s="95"/>
      <c r="BC405" s="214"/>
      <c r="BD405" s="95"/>
      <c r="BE405" s="95"/>
      <c r="BF405" s="95"/>
      <c r="BG405" s="95"/>
      <c r="BH405" s="95"/>
      <c r="BI405" s="24"/>
      <c r="BJ405" s="95"/>
      <c r="BK405" s="265"/>
      <c r="BL405" s="265"/>
      <c r="BM405" s="265"/>
      <c r="BN405" s="266"/>
      <c r="BO405" s="267"/>
      <c r="BP405" s="268"/>
      <c r="BQ405" s="269"/>
      <c r="BR405" s="269"/>
      <c r="BS405" s="269"/>
      <c r="BT405" s="269"/>
      <c r="BU405" s="269"/>
      <c r="BV405" s="269"/>
      <c r="BW405" s="268"/>
      <c r="BX405" s="269"/>
      <c r="BY405" s="268"/>
      <c r="BZ405" s="268"/>
      <c r="CA405" s="268"/>
      <c r="CB405" s="269"/>
      <c r="CC405" s="268"/>
      <c r="CD405" s="268"/>
      <c r="CE405" s="269"/>
      <c r="CF405" s="269"/>
      <c r="CG405" s="269"/>
      <c r="CH405" s="269"/>
      <c r="CI405" s="269"/>
      <c r="CJ405" s="269"/>
      <c r="CK405" s="269"/>
      <c r="CL405" s="266"/>
    </row>
    <row r="406" spans="1:90">
      <c r="A406" s="95"/>
      <c r="B406" s="263"/>
      <c r="C406" s="263"/>
      <c r="D406" s="263"/>
      <c r="E406" s="263"/>
      <c r="F406" s="263"/>
      <c r="G406" s="263"/>
      <c r="H406" s="95"/>
      <c r="I406" s="95"/>
      <c r="J406" s="263"/>
      <c r="K406" s="263"/>
      <c r="L406" s="263"/>
      <c r="M406" s="263"/>
      <c r="N406" s="263"/>
      <c r="O406" s="263"/>
      <c r="P406" s="95"/>
      <c r="Q406" s="95"/>
      <c r="R406" s="95"/>
      <c r="S406" s="95"/>
      <c r="T406" s="95"/>
      <c r="U406" s="95"/>
      <c r="V406" s="95"/>
      <c r="W406" s="95"/>
      <c r="X406" s="95"/>
      <c r="Y406" s="95"/>
      <c r="Z406" s="95"/>
      <c r="AA406" s="95"/>
      <c r="AB406" s="95"/>
      <c r="AC406" s="95"/>
      <c r="AD406" s="95"/>
      <c r="AE406" s="95"/>
      <c r="AF406" s="95"/>
      <c r="AG406" s="95"/>
      <c r="AH406" s="95"/>
      <c r="AI406" s="95"/>
      <c r="AJ406" s="95"/>
      <c r="AK406" s="95"/>
      <c r="AL406" s="95"/>
      <c r="AM406" s="95"/>
      <c r="AN406" s="94"/>
      <c r="AO406" s="95"/>
      <c r="AP406" s="95"/>
      <c r="AQ406" s="95"/>
      <c r="AR406" s="95"/>
      <c r="AS406" s="95"/>
      <c r="AT406" s="95"/>
      <c r="AU406" s="95"/>
      <c r="AV406" s="95"/>
      <c r="AW406" s="95"/>
      <c r="AX406" s="95"/>
      <c r="AY406" s="95"/>
      <c r="AZ406" s="95"/>
      <c r="BA406" s="95"/>
      <c r="BB406" s="95"/>
      <c r="BC406" s="214"/>
      <c r="BD406" s="95"/>
      <c r="BE406" s="95"/>
      <c r="BF406" s="95"/>
      <c r="BG406" s="95"/>
      <c r="BH406" s="95"/>
      <c r="BI406" s="24"/>
      <c r="BJ406" s="95"/>
      <c r="BK406" s="265"/>
      <c r="BL406" s="265"/>
      <c r="BM406" s="265"/>
      <c r="BN406" s="266"/>
      <c r="BO406" s="267"/>
      <c r="BP406" s="268"/>
      <c r="BQ406" s="269"/>
      <c r="BR406" s="269"/>
      <c r="BS406" s="269"/>
      <c r="BT406" s="269"/>
      <c r="BU406" s="269"/>
      <c r="BV406" s="269"/>
      <c r="BW406" s="268"/>
      <c r="BX406" s="269"/>
      <c r="BY406" s="268"/>
      <c r="BZ406" s="268"/>
      <c r="CA406" s="268"/>
      <c r="CB406" s="269"/>
      <c r="CC406" s="268"/>
      <c r="CD406" s="268"/>
      <c r="CE406" s="269"/>
      <c r="CF406" s="269"/>
      <c r="CG406" s="269"/>
      <c r="CH406" s="269"/>
      <c r="CI406" s="269"/>
      <c r="CJ406" s="269"/>
      <c r="CK406" s="269"/>
      <c r="CL406" s="266"/>
    </row>
    <row r="407" spans="1:90">
      <c r="A407" s="95"/>
      <c r="B407" s="263"/>
      <c r="C407" s="263"/>
      <c r="D407" s="263"/>
      <c r="E407" s="263"/>
      <c r="F407" s="263"/>
      <c r="G407" s="263"/>
      <c r="H407" s="95"/>
      <c r="I407" s="95"/>
      <c r="J407" s="263"/>
      <c r="K407" s="263"/>
      <c r="L407" s="263"/>
      <c r="M407" s="263"/>
      <c r="N407" s="263"/>
      <c r="O407" s="263"/>
      <c r="P407" s="95"/>
      <c r="Q407" s="95"/>
      <c r="R407" s="95"/>
      <c r="S407" s="95"/>
      <c r="T407" s="95"/>
      <c r="U407" s="95"/>
      <c r="V407" s="95"/>
      <c r="W407" s="95"/>
      <c r="X407" s="95"/>
      <c r="Y407" s="95"/>
      <c r="Z407" s="95"/>
      <c r="AA407" s="95"/>
      <c r="AB407" s="95"/>
      <c r="AC407" s="95"/>
      <c r="AD407" s="95"/>
      <c r="AE407" s="95"/>
      <c r="AF407" s="95"/>
      <c r="AG407" s="95"/>
      <c r="AH407" s="95"/>
      <c r="AI407" s="95"/>
      <c r="AJ407" s="95"/>
      <c r="AK407" s="95"/>
      <c r="AL407" s="95"/>
      <c r="AM407" s="95"/>
      <c r="AN407" s="94"/>
      <c r="AO407" s="95"/>
      <c r="AP407" s="95"/>
      <c r="AQ407" s="95"/>
      <c r="AR407" s="95"/>
      <c r="AS407" s="95"/>
      <c r="AT407" s="95"/>
      <c r="AU407" s="95"/>
      <c r="AV407" s="95"/>
      <c r="AW407" s="95"/>
      <c r="AX407" s="95"/>
      <c r="AY407" s="95"/>
      <c r="AZ407" s="95"/>
      <c r="BA407" s="95"/>
      <c r="BB407" s="95"/>
      <c r="BC407" s="214"/>
      <c r="BD407" s="95"/>
      <c r="BE407" s="95"/>
      <c r="BF407" s="95"/>
      <c r="BG407" s="95"/>
      <c r="BH407" s="95"/>
      <c r="BI407" s="24"/>
      <c r="BJ407" s="95"/>
      <c r="BK407" s="265"/>
      <c r="BL407" s="265"/>
      <c r="BM407" s="265"/>
      <c r="BN407" s="266"/>
      <c r="BO407" s="267"/>
      <c r="BP407" s="268"/>
      <c r="BQ407" s="269"/>
      <c r="BR407" s="269"/>
      <c r="BS407" s="269"/>
      <c r="BT407" s="269"/>
      <c r="BU407" s="269"/>
      <c r="BV407" s="269"/>
      <c r="BW407" s="268"/>
      <c r="BX407" s="269"/>
      <c r="BY407" s="268"/>
      <c r="BZ407" s="268"/>
      <c r="CA407" s="268"/>
      <c r="CB407" s="269"/>
      <c r="CC407" s="268"/>
      <c r="CD407" s="268"/>
      <c r="CE407" s="269"/>
      <c r="CF407" s="269"/>
      <c r="CG407" s="269"/>
      <c r="CH407" s="269"/>
      <c r="CI407" s="269"/>
      <c r="CJ407" s="269"/>
      <c r="CK407" s="269"/>
      <c r="CL407" s="266"/>
    </row>
    <row r="408" spans="1:90">
      <c r="A408" s="95"/>
      <c r="B408" s="263"/>
      <c r="C408" s="263"/>
      <c r="D408" s="263"/>
      <c r="E408" s="263"/>
      <c r="F408" s="263"/>
      <c r="G408" s="263"/>
      <c r="H408" s="95"/>
      <c r="I408" s="95"/>
      <c r="J408" s="263"/>
      <c r="K408" s="263"/>
      <c r="L408" s="263"/>
      <c r="M408" s="263"/>
      <c r="N408" s="263"/>
      <c r="O408" s="263"/>
      <c r="P408" s="95"/>
      <c r="Q408" s="95"/>
      <c r="R408" s="95"/>
      <c r="S408" s="95"/>
      <c r="T408" s="95"/>
      <c r="U408" s="95"/>
      <c r="V408" s="95"/>
      <c r="W408" s="95"/>
      <c r="X408" s="95"/>
      <c r="Y408" s="95"/>
      <c r="Z408" s="95"/>
      <c r="AA408" s="95"/>
      <c r="AB408" s="95"/>
      <c r="AC408" s="95"/>
      <c r="AD408" s="95"/>
      <c r="AE408" s="95"/>
      <c r="AF408" s="95"/>
      <c r="AG408" s="95"/>
      <c r="AH408" s="95"/>
      <c r="AI408" s="95"/>
      <c r="AJ408" s="95"/>
      <c r="AK408" s="95"/>
      <c r="AL408" s="95"/>
      <c r="AM408" s="95"/>
      <c r="AN408" s="94"/>
      <c r="AO408" s="95"/>
      <c r="AP408" s="95"/>
      <c r="AQ408" s="95"/>
      <c r="AR408" s="95"/>
      <c r="AS408" s="95"/>
      <c r="AT408" s="95"/>
      <c r="AU408" s="95"/>
      <c r="AV408" s="95"/>
      <c r="AW408" s="95"/>
      <c r="AX408" s="95"/>
      <c r="AY408" s="95"/>
      <c r="AZ408" s="95"/>
      <c r="BA408" s="95"/>
      <c r="BB408" s="95"/>
      <c r="BC408" s="214"/>
      <c r="BD408" s="95"/>
      <c r="BE408" s="95"/>
      <c r="BF408" s="95"/>
      <c r="BG408" s="95"/>
      <c r="BH408" s="95"/>
      <c r="BI408" s="24"/>
      <c r="BJ408" s="95"/>
      <c r="BK408" s="265"/>
      <c r="BL408" s="265"/>
      <c r="BM408" s="265"/>
      <c r="BN408" s="266"/>
      <c r="BO408" s="267"/>
      <c r="BP408" s="268"/>
      <c r="BQ408" s="269"/>
      <c r="BR408" s="269"/>
      <c r="BS408" s="269"/>
      <c r="BT408" s="269"/>
      <c r="BU408" s="269"/>
      <c r="BV408" s="269"/>
      <c r="BW408" s="268"/>
      <c r="BX408" s="269"/>
      <c r="BY408" s="268"/>
      <c r="BZ408" s="268"/>
      <c r="CA408" s="268"/>
      <c r="CB408" s="269"/>
      <c r="CC408" s="268"/>
      <c r="CD408" s="268"/>
      <c r="CE408" s="269"/>
      <c r="CF408" s="269"/>
      <c r="CG408" s="269"/>
      <c r="CH408" s="269"/>
      <c r="CI408" s="269"/>
      <c r="CJ408" s="269"/>
      <c r="CK408" s="269"/>
      <c r="CL408" s="266"/>
    </row>
    <row r="409" spans="1:90">
      <c r="A409" s="95"/>
      <c r="B409" s="263"/>
      <c r="C409" s="263"/>
      <c r="D409" s="263"/>
      <c r="E409" s="263"/>
      <c r="F409" s="263"/>
      <c r="G409" s="263"/>
      <c r="H409" s="95"/>
      <c r="I409" s="95"/>
      <c r="J409" s="263"/>
      <c r="K409" s="263"/>
      <c r="L409" s="263"/>
      <c r="M409" s="263"/>
      <c r="N409" s="263"/>
      <c r="O409" s="263"/>
      <c r="P409" s="95"/>
      <c r="Q409" s="95"/>
      <c r="R409" s="95"/>
      <c r="S409" s="95"/>
      <c r="T409" s="95"/>
      <c r="U409" s="95"/>
      <c r="V409" s="95"/>
      <c r="W409" s="95"/>
      <c r="X409" s="95"/>
      <c r="Y409" s="95"/>
      <c r="Z409" s="95"/>
      <c r="AA409" s="95"/>
      <c r="AB409" s="95"/>
      <c r="AC409" s="95"/>
      <c r="AD409" s="95"/>
      <c r="AE409" s="95"/>
      <c r="AF409" s="95"/>
      <c r="AG409" s="95"/>
      <c r="AH409" s="95"/>
      <c r="AI409" s="95"/>
      <c r="AJ409" s="95"/>
      <c r="AK409" s="95"/>
      <c r="AL409" s="95"/>
      <c r="AM409" s="95"/>
      <c r="AN409" s="94"/>
      <c r="AO409" s="95"/>
      <c r="AP409" s="95"/>
      <c r="AQ409" s="95"/>
      <c r="AR409" s="95"/>
      <c r="AS409" s="95"/>
      <c r="AT409" s="95"/>
      <c r="AU409" s="95"/>
      <c r="AV409" s="95"/>
      <c r="AW409" s="95"/>
      <c r="AX409" s="95"/>
      <c r="AY409" s="95"/>
      <c r="AZ409" s="95"/>
      <c r="BA409" s="95"/>
      <c r="BB409" s="95"/>
      <c r="BC409" s="214"/>
      <c r="BD409" s="95"/>
      <c r="BE409" s="95"/>
      <c r="BF409" s="95"/>
      <c r="BG409" s="95"/>
      <c r="BH409" s="95"/>
      <c r="BI409" s="24"/>
      <c r="BJ409" s="95"/>
      <c r="BK409" s="265"/>
      <c r="BL409" s="265"/>
      <c r="BM409" s="265"/>
      <c r="BN409" s="266"/>
      <c r="BO409" s="267"/>
      <c r="BP409" s="268"/>
      <c r="BQ409" s="269"/>
      <c r="BR409" s="269"/>
      <c r="BS409" s="269"/>
      <c r="BT409" s="269"/>
      <c r="BU409" s="269"/>
      <c r="BV409" s="269"/>
      <c r="BW409" s="268"/>
      <c r="BX409" s="269"/>
      <c r="BY409" s="268"/>
      <c r="BZ409" s="268"/>
      <c r="CA409" s="268"/>
      <c r="CB409" s="269"/>
      <c r="CC409" s="268"/>
      <c r="CD409" s="268"/>
      <c r="CE409" s="269"/>
      <c r="CF409" s="269"/>
      <c r="CG409" s="269"/>
      <c r="CH409" s="269"/>
      <c r="CI409" s="269"/>
      <c r="CJ409" s="269"/>
      <c r="CK409" s="269"/>
      <c r="CL409" s="266"/>
    </row>
    <row r="410" spans="1:90">
      <c r="A410" s="95"/>
      <c r="B410" s="263"/>
      <c r="C410" s="263"/>
      <c r="D410" s="263"/>
      <c r="E410" s="263"/>
      <c r="F410" s="263"/>
      <c r="G410" s="263"/>
      <c r="H410" s="95"/>
      <c r="I410" s="95"/>
      <c r="J410" s="263"/>
      <c r="K410" s="263"/>
      <c r="L410" s="263"/>
      <c r="M410" s="263"/>
      <c r="N410" s="263"/>
      <c r="O410" s="263"/>
      <c r="P410" s="95"/>
      <c r="Q410" s="95"/>
      <c r="R410" s="95"/>
      <c r="S410" s="95"/>
      <c r="T410" s="95"/>
      <c r="U410" s="95"/>
      <c r="V410" s="95"/>
      <c r="W410" s="95"/>
      <c r="X410" s="95"/>
      <c r="Y410" s="95"/>
      <c r="Z410" s="95"/>
      <c r="AA410" s="95"/>
      <c r="AB410" s="95"/>
      <c r="AC410" s="95"/>
      <c r="AD410" s="95"/>
      <c r="AE410" s="95"/>
      <c r="AF410" s="95"/>
      <c r="AG410" s="95"/>
      <c r="AH410" s="95"/>
      <c r="AI410" s="95"/>
      <c r="AJ410" s="95"/>
      <c r="AK410" s="95"/>
      <c r="AL410" s="95"/>
      <c r="AM410" s="95"/>
      <c r="AN410" s="94"/>
      <c r="AO410" s="95"/>
      <c r="AP410" s="95"/>
      <c r="AQ410" s="95"/>
      <c r="AR410" s="95"/>
      <c r="AS410" s="95"/>
      <c r="AT410" s="95"/>
      <c r="AU410" s="95"/>
      <c r="AV410" s="95"/>
      <c r="AW410" s="95"/>
      <c r="AX410" s="95"/>
      <c r="AY410" s="95"/>
      <c r="AZ410" s="95"/>
      <c r="BA410" s="95"/>
      <c r="BB410" s="95"/>
      <c r="BC410" s="214"/>
      <c r="BD410" s="95"/>
      <c r="BE410" s="95"/>
      <c r="BF410" s="95"/>
      <c r="BG410" s="95"/>
      <c r="BH410" s="95"/>
      <c r="BI410" s="24"/>
      <c r="BJ410" s="95"/>
      <c r="BK410" s="265"/>
      <c r="BL410" s="265"/>
      <c r="BM410" s="265"/>
      <c r="BN410" s="266"/>
      <c r="BO410" s="267"/>
      <c r="BP410" s="268"/>
      <c r="BQ410" s="269"/>
      <c r="BR410" s="269"/>
      <c r="BS410" s="269"/>
      <c r="BT410" s="269"/>
      <c r="BU410" s="269"/>
      <c r="BV410" s="269"/>
      <c r="BW410" s="268"/>
      <c r="BX410" s="269"/>
      <c r="BY410" s="268"/>
      <c r="BZ410" s="268"/>
      <c r="CA410" s="268"/>
      <c r="CB410" s="269"/>
      <c r="CC410" s="268"/>
      <c r="CD410" s="268"/>
      <c r="CE410" s="269"/>
      <c r="CF410" s="269"/>
      <c r="CG410" s="269"/>
      <c r="CH410" s="269"/>
      <c r="CI410" s="269"/>
      <c r="CJ410" s="269"/>
      <c r="CK410" s="269"/>
      <c r="CL410" s="266"/>
    </row>
    <row r="411" spans="1:90">
      <c r="A411" s="95"/>
      <c r="B411" s="263"/>
      <c r="C411" s="263"/>
      <c r="D411" s="263"/>
      <c r="E411" s="263"/>
      <c r="F411" s="263"/>
      <c r="G411" s="263"/>
      <c r="H411" s="95"/>
      <c r="I411" s="95"/>
      <c r="J411" s="263"/>
      <c r="K411" s="263"/>
      <c r="L411" s="263"/>
      <c r="M411" s="263"/>
      <c r="N411" s="263"/>
      <c r="O411" s="263"/>
      <c r="P411" s="95"/>
      <c r="Q411" s="95"/>
      <c r="R411" s="95"/>
      <c r="S411" s="95"/>
      <c r="T411" s="95"/>
      <c r="U411" s="95"/>
      <c r="V411" s="95"/>
      <c r="W411" s="95"/>
      <c r="X411" s="95"/>
      <c r="Y411" s="95"/>
      <c r="Z411" s="95"/>
      <c r="AA411" s="95"/>
      <c r="AB411" s="95"/>
      <c r="AC411" s="95"/>
      <c r="AD411" s="95"/>
      <c r="AE411" s="95"/>
      <c r="AF411" s="95"/>
      <c r="AG411" s="95"/>
      <c r="AH411" s="95"/>
      <c r="AI411" s="95"/>
      <c r="AJ411" s="95"/>
      <c r="AK411" s="95"/>
      <c r="AL411" s="95"/>
      <c r="AM411" s="95"/>
      <c r="AN411" s="94"/>
      <c r="AO411" s="95"/>
      <c r="AP411" s="95"/>
      <c r="AQ411" s="95"/>
      <c r="AR411" s="95"/>
      <c r="AS411" s="95"/>
      <c r="AT411" s="95"/>
      <c r="AU411" s="95"/>
      <c r="AV411" s="95"/>
      <c r="AW411" s="95"/>
      <c r="AX411" s="95"/>
      <c r="AY411" s="95"/>
      <c r="AZ411" s="95"/>
      <c r="BA411" s="95"/>
      <c r="BB411" s="95"/>
      <c r="BC411" s="214"/>
      <c r="BD411" s="95"/>
      <c r="BE411" s="95"/>
      <c r="BF411" s="95"/>
      <c r="BG411" s="95"/>
      <c r="BH411" s="95"/>
      <c r="BI411" s="24"/>
      <c r="BJ411" s="95"/>
      <c r="BK411" s="265"/>
      <c r="BL411" s="265"/>
      <c r="BM411" s="265"/>
      <c r="BN411" s="266"/>
      <c r="BO411" s="267"/>
      <c r="BP411" s="268"/>
      <c r="BQ411" s="269"/>
      <c r="BR411" s="269"/>
      <c r="BS411" s="269"/>
      <c r="BT411" s="269"/>
      <c r="BU411" s="269"/>
      <c r="BV411" s="269"/>
      <c r="BW411" s="268"/>
      <c r="BX411" s="269"/>
      <c r="BY411" s="268"/>
      <c r="BZ411" s="268"/>
      <c r="CA411" s="268"/>
      <c r="CB411" s="269"/>
      <c r="CC411" s="268"/>
      <c r="CD411" s="268"/>
      <c r="CE411" s="269"/>
      <c r="CF411" s="269"/>
      <c r="CG411" s="269"/>
      <c r="CH411" s="269"/>
      <c r="CI411" s="269"/>
      <c r="CJ411" s="269"/>
      <c r="CK411" s="269"/>
      <c r="CL411" s="266"/>
    </row>
    <row r="412" spans="1:90">
      <c r="A412" s="95"/>
      <c r="B412" s="263"/>
      <c r="C412" s="263"/>
      <c r="D412" s="263"/>
      <c r="E412" s="263"/>
      <c r="F412" s="263"/>
      <c r="G412" s="263"/>
      <c r="H412" s="95"/>
      <c r="I412" s="95"/>
      <c r="J412" s="263"/>
      <c r="K412" s="263"/>
      <c r="L412" s="263"/>
      <c r="M412" s="263"/>
      <c r="N412" s="263"/>
      <c r="O412" s="263"/>
      <c r="P412" s="95"/>
      <c r="Q412" s="95"/>
      <c r="R412" s="95"/>
      <c r="S412" s="95"/>
      <c r="T412" s="95"/>
      <c r="U412" s="95"/>
      <c r="V412" s="95"/>
      <c r="W412" s="95"/>
      <c r="X412" s="95"/>
      <c r="Y412" s="95"/>
      <c r="Z412" s="95"/>
      <c r="AA412" s="95"/>
      <c r="AB412" s="95"/>
      <c r="AC412" s="95"/>
      <c r="AD412" s="95"/>
      <c r="AE412" s="95"/>
      <c r="AF412" s="95"/>
      <c r="AG412" s="95"/>
      <c r="AH412" s="95"/>
      <c r="AI412" s="95"/>
      <c r="AJ412" s="95"/>
      <c r="AK412" s="95"/>
      <c r="AL412" s="95"/>
      <c r="AM412" s="95"/>
      <c r="AN412" s="94"/>
      <c r="AO412" s="95"/>
      <c r="AP412" s="95"/>
      <c r="AQ412" s="95"/>
      <c r="AR412" s="95"/>
      <c r="AS412" s="95"/>
      <c r="AT412" s="95"/>
      <c r="AU412" s="95"/>
      <c r="AV412" s="95"/>
      <c r="AW412" s="95"/>
      <c r="AX412" s="95"/>
      <c r="AY412" s="95"/>
      <c r="AZ412" s="95"/>
      <c r="BA412" s="95"/>
      <c r="BB412" s="95"/>
      <c r="BC412" s="214"/>
      <c r="BD412" s="95"/>
      <c r="BE412" s="95"/>
      <c r="BF412" s="95"/>
      <c r="BG412" s="95"/>
      <c r="BH412" s="95"/>
      <c r="BI412" s="24"/>
      <c r="BJ412" s="95"/>
      <c r="BK412" s="265"/>
      <c r="BL412" s="265"/>
      <c r="BM412" s="265"/>
      <c r="BN412" s="266"/>
      <c r="BO412" s="267"/>
      <c r="BP412" s="268"/>
      <c r="BQ412" s="269"/>
      <c r="BR412" s="269"/>
      <c r="BS412" s="269"/>
      <c r="BT412" s="269"/>
      <c r="BU412" s="269"/>
      <c r="BV412" s="269"/>
      <c r="BW412" s="268"/>
      <c r="BX412" s="269"/>
      <c r="BY412" s="268"/>
      <c r="BZ412" s="268"/>
      <c r="CA412" s="268"/>
      <c r="CB412" s="269"/>
      <c r="CC412" s="268"/>
      <c r="CD412" s="268"/>
      <c r="CE412" s="269"/>
      <c r="CF412" s="269"/>
      <c r="CG412" s="269"/>
      <c r="CH412" s="269"/>
      <c r="CI412" s="269"/>
      <c r="CJ412" s="269"/>
      <c r="CK412" s="269"/>
      <c r="CL412" s="266"/>
    </row>
    <row r="413" spans="1:90">
      <c r="A413" s="95"/>
      <c r="B413" s="263"/>
      <c r="C413" s="263"/>
      <c r="D413" s="263"/>
      <c r="E413" s="263"/>
      <c r="F413" s="263"/>
      <c r="G413" s="263"/>
      <c r="H413" s="95"/>
      <c r="I413" s="95"/>
      <c r="J413" s="263"/>
      <c r="K413" s="263"/>
      <c r="L413" s="263"/>
      <c r="M413" s="263"/>
      <c r="N413" s="263"/>
      <c r="O413" s="263"/>
      <c r="P413" s="95"/>
      <c r="Q413" s="95"/>
      <c r="R413" s="95"/>
      <c r="S413" s="95"/>
      <c r="T413" s="95"/>
      <c r="U413" s="95"/>
      <c r="V413" s="95"/>
      <c r="W413" s="95"/>
      <c r="X413" s="95"/>
      <c r="Y413" s="95"/>
      <c r="Z413" s="95"/>
      <c r="AA413" s="95"/>
      <c r="AB413" s="95"/>
      <c r="AC413" s="95"/>
      <c r="AD413" s="95"/>
      <c r="AE413" s="95"/>
      <c r="AF413" s="95"/>
      <c r="AG413" s="95"/>
      <c r="AH413" s="95"/>
      <c r="AI413" s="95"/>
      <c r="AJ413" s="95"/>
      <c r="AK413" s="95"/>
      <c r="AL413" s="95"/>
      <c r="AM413" s="95"/>
      <c r="AN413" s="94"/>
      <c r="AO413" s="95"/>
      <c r="AP413" s="95"/>
      <c r="AQ413" s="95"/>
      <c r="AR413" s="95"/>
      <c r="AS413" s="95"/>
      <c r="AT413" s="95"/>
      <c r="AU413" s="95"/>
      <c r="AV413" s="95"/>
      <c r="AW413" s="95"/>
      <c r="AX413" s="95"/>
      <c r="AY413" s="95"/>
      <c r="AZ413" s="95"/>
      <c r="BA413" s="95"/>
      <c r="BB413" s="95"/>
      <c r="BC413" s="214"/>
      <c r="BD413" s="95"/>
      <c r="BE413" s="95"/>
      <c r="BF413" s="95"/>
      <c r="BG413" s="95"/>
      <c r="BH413" s="95"/>
      <c r="BI413" s="24"/>
      <c r="BJ413" s="95"/>
      <c r="BK413" s="265"/>
      <c r="BL413" s="265"/>
      <c r="BM413" s="265"/>
      <c r="BN413" s="266"/>
      <c r="BO413" s="267"/>
      <c r="BP413" s="268"/>
      <c r="BQ413" s="269"/>
      <c r="BR413" s="269"/>
      <c r="BS413" s="269"/>
      <c r="BT413" s="269"/>
      <c r="BU413" s="269"/>
      <c r="BV413" s="269"/>
      <c r="BW413" s="268"/>
      <c r="BX413" s="269"/>
      <c r="BY413" s="268"/>
      <c r="BZ413" s="268"/>
      <c r="CA413" s="268"/>
      <c r="CB413" s="269"/>
      <c r="CC413" s="268"/>
      <c r="CD413" s="268"/>
      <c r="CE413" s="269"/>
      <c r="CF413" s="269"/>
      <c r="CG413" s="269"/>
      <c r="CH413" s="269"/>
      <c r="CI413" s="269"/>
      <c r="CJ413" s="269"/>
      <c r="CK413" s="269"/>
      <c r="CL413" s="266"/>
    </row>
    <row r="414" spans="1:90">
      <c r="A414" s="95"/>
      <c r="B414" s="263"/>
      <c r="C414" s="263"/>
      <c r="D414" s="263"/>
      <c r="E414" s="263"/>
      <c r="F414" s="263"/>
      <c r="G414" s="263"/>
      <c r="H414" s="95"/>
      <c r="I414" s="95"/>
      <c r="J414" s="263"/>
      <c r="K414" s="263"/>
      <c r="L414" s="263"/>
      <c r="M414" s="263"/>
      <c r="N414" s="263"/>
      <c r="O414" s="263"/>
      <c r="P414" s="95"/>
      <c r="Q414" s="95"/>
      <c r="R414" s="95"/>
      <c r="S414" s="95"/>
      <c r="T414" s="95"/>
      <c r="U414" s="95"/>
      <c r="V414" s="95"/>
      <c r="W414" s="95"/>
      <c r="X414" s="95"/>
      <c r="Y414" s="95"/>
      <c r="Z414" s="95"/>
      <c r="AA414" s="95"/>
      <c r="AB414" s="95"/>
      <c r="AC414" s="95"/>
      <c r="AD414" s="95"/>
      <c r="AE414" s="95"/>
      <c r="AF414" s="95"/>
      <c r="AG414" s="95"/>
      <c r="AH414" s="95"/>
      <c r="AI414" s="95"/>
      <c r="AJ414" s="95"/>
      <c r="AK414" s="95"/>
      <c r="AL414" s="95"/>
      <c r="AM414" s="95"/>
      <c r="AN414" s="94"/>
      <c r="AO414" s="95"/>
      <c r="AP414" s="95"/>
      <c r="AQ414" s="95"/>
      <c r="AR414" s="95"/>
      <c r="AS414" s="95"/>
      <c r="AT414" s="95"/>
      <c r="AU414" s="95"/>
      <c r="AV414" s="95"/>
      <c r="AW414" s="95"/>
      <c r="AX414" s="95"/>
      <c r="AY414" s="95"/>
      <c r="AZ414" s="95"/>
      <c r="BA414" s="95"/>
      <c r="BB414" s="95"/>
      <c r="BC414" s="214"/>
      <c r="BD414" s="95"/>
      <c r="BE414" s="95"/>
      <c r="BF414" s="95"/>
      <c r="BG414" s="95"/>
      <c r="BH414" s="95"/>
      <c r="BI414" s="24"/>
      <c r="BJ414" s="95"/>
      <c r="BK414" s="265"/>
      <c r="BL414" s="265"/>
      <c r="BM414" s="265"/>
      <c r="BN414" s="266"/>
      <c r="BO414" s="267"/>
      <c r="BP414" s="268"/>
      <c r="BQ414" s="269"/>
      <c r="BR414" s="269"/>
      <c r="BS414" s="269"/>
      <c r="BT414" s="269"/>
      <c r="BU414" s="269"/>
      <c r="BV414" s="269"/>
      <c r="BW414" s="268"/>
      <c r="BX414" s="269"/>
      <c r="BY414" s="268"/>
      <c r="BZ414" s="268"/>
      <c r="CA414" s="268"/>
      <c r="CB414" s="269"/>
      <c r="CC414" s="268"/>
      <c r="CD414" s="268"/>
      <c r="CE414" s="269"/>
      <c r="CF414" s="269"/>
      <c r="CG414" s="269"/>
      <c r="CH414" s="269"/>
      <c r="CI414" s="269"/>
      <c r="CJ414" s="269"/>
      <c r="CK414" s="269"/>
      <c r="CL414" s="266"/>
    </row>
    <row r="415" spans="1:90">
      <c r="A415" s="95"/>
      <c r="B415" s="263"/>
      <c r="C415" s="263"/>
      <c r="D415" s="263"/>
      <c r="E415" s="263"/>
      <c r="F415" s="263"/>
      <c r="G415" s="263"/>
      <c r="H415" s="95"/>
      <c r="I415" s="95"/>
      <c r="J415" s="263"/>
      <c r="K415" s="263"/>
      <c r="L415" s="263"/>
      <c r="M415" s="263"/>
      <c r="N415" s="263"/>
      <c r="O415" s="263"/>
      <c r="P415" s="95"/>
      <c r="Q415" s="95"/>
      <c r="R415" s="95"/>
      <c r="S415" s="95"/>
      <c r="T415" s="95"/>
      <c r="U415" s="95"/>
      <c r="V415" s="95"/>
      <c r="W415" s="95"/>
      <c r="X415" s="95"/>
      <c r="Y415" s="95"/>
      <c r="Z415" s="95"/>
      <c r="AA415" s="95"/>
      <c r="AB415" s="95"/>
      <c r="AC415" s="95"/>
      <c r="AD415" s="95"/>
      <c r="AE415" s="95"/>
      <c r="AF415" s="95"/>
      <c r="AG415" s="95"/>
      <c r="AH415" s="95"/>
      <c r="AI415" s="95"/>
      <c r="AJ415" s="95"/>
      <c r="AK415" s="95"/>
      <c r="AL415" s="95"/>
      <c r="AM415" s="95"/>
      <c r="AN415" s="94"/>
      <c r="AO415" s="95"/>
      <c r="AP415" s="95"/>
      <c r="AQ415" s="95"/>
      <c r="AR415" s="95"/>
      <c r="AS415" s="95"/>
      <c r="AT415" s="95"/>
      <c r="AU415" s="95"/>
      <c r="AV415" s="95"/>
      <c r="AW415" s="95"/>
      <c r="AX415" s="95"/>
      <c r="AY415" s="95"/>
      <c r="AZ415" s="95"/>
      <c r="BA415" s="95"/>
      <c r="BB415" s="95"/>
      <c r="BC415" s="214"/>
      <c r="BD415" s="95"/>
      <c r="BE415" s="95"/>
      <c r="BF415" s="95"/>
      <c r="BG415" s="95"/>
      <c r="BH415" s="95"/>
      <c r="BI415" s="24"/>
      <c r="BJ415" s="95"/>
      <c r="BK415" s="265"/>
      <c r="BL415" s="265"/>
      <c r="BM415" s="265"/>
      <c r="BN415" s="266"/>
      <c r="BO415" s="267"/>
      <c r="BP415" s="268"/>
      <c r="BQ415" s="269"/>
      <c r="BR415" s="269"/>
      <c r="BS415" s="269"/>
      <c r="BT415" s="269"/>
      <c r="BU415" s="269"/>
      <c r="BV415" s="269"/>
      <c r="BW415" s="268"/>
      <c r="BX415" s="269"/>
      <c r="BY415" s="268"/>
      <c r="BZ415" s="268"/>
      <c r="CA415" s="268"/>
      <c r="CB415" s="269"/>
      <c r="CC415" s="268"/>
      <c r="CD415" s="268"/>
      <c r="CE415" s="269"/>
      <c r="CF415" s="269"/>
      <c r="CG415" s="269"/>
      <c r="CH415" s="269"/>
      <c r="CI415" s="269"/>
      <c r="CJ415" s="269"/>
      <c r="CK415" s="269"/>
      <c r="CL415" s="266"/>
    </row>
    <row r="416" spans="1:90">
      <c r="A416" s="95"/>
      <c r="B416" s="263"/>
      <c r="C416" s="263"/>
      <c r="D416" s="263"/>
      <c r="E416" s="263"/>
      <c r="F416" s="263"/>
      <c r="G416" s="263"/>
      <c r="H416" s="95"/>
      <c r="I416" s="95"/>
      <c r="J416" s="263"/>
      <c r="K416" s="263"/>
      <c r="L416" s="263"/>
      <c r="M416" s="263"/>
      <c r="N416" s="263"/>
      <c r="O416" s="263"/>
      <c r="P416" s="95"/>
      <c r="Q416" s="95"/>
      <c r="R416" s="95"/>
      <c r="S416" s="95"/>
      <c r="T416" s="95"/>
      <c r="U416" s="95"/>
      <c r="V416" s="95"/>
      <c r="W416" s="95"/>
      <c r="X416" s="95"/>
      <c r="Y416" s="95"/>
      <c r="Z416" s="95"/>
      <c r="AA416" s="95"/>
      <c r="AB416" s="95"/>
      <c r="AC416" s="95"/>
      <c r="AD416" s="95"/>
      <c r="AE416" s="95"/>
      <c r="AF416" s="95"/>
      <c r="AG416" s="95"/>
      <c r="AH416" s="95"/>
      <c r="AI416" s="95"/>
      <c r="AJ416" s="95"/>
      <c r="AK416" s="95"/>
      <c r="AL416" s="95"/>
      <c r="AM416" s="95"/>
      <c r="AN416" s="94"/>
      <c r="AO416" s="95"/>
      <c r="AP416" s="95"/>
      <c r="AQ416" s="95"/>
      <c r="AR416" s="95"/>
      <c r="AS416" s="95"/>
      <c r="AT416" s="95"/>
      <c r="AU416" s="95"/>
      <c r="AV416" s="95"/>
      <c r="AW416" s="95"/>
      <c r="AX416" s="95"/>
      <c r="AY416" s="95"/>
      <c r="AZ416" s="95"/>
      <c r="BA416" s="95"/>
      <c r="BB416" s="95"/>
      <c r="BC416" s="214"/>
      <c r="BD416" s="95"/>
      <c r="BE416" s="95"/>
      <c r="BF416" s="95"/>
      <c r="BG416" s="95"/>
      <c r="BH416" s="95"/>
      <c r="BI416" s="24"/>
      <c r="BJ416" s="95"/>
      <c r="BK416" s="265"/>
      <c r="BL416" s="265"/>
      <c r="BM416" s="265"/>
      <c r="BN416" s="266"/>
      <c r="BO416" s="267"/>
      <c r="BP416" s="268"/>
      <c r="BQ416" s="269"/>
      <c r="BR416" s="269"/>
      <c r="BS416" s="269"/>
      <c r="BT416" s="269"/>
      <c r="BU416" s="269"/>
      <c r="BV416" s="269"/>
      <c r="BW416" s="268"/>
      <c r="BX416" s="269"/>
      <c r="BY416" s="268"/>
      <c r="BZ416" s="268"/>
      <c r="CA416" s="268"/>
      <c r="CB416" s="269"/>
      <c r="CC416" s="268"/>
      <c r="CD416" s="268"/>
      <c r="CE416" s="269"/>
      <c r="CF416" s="269"/>
      <c r="CG416" s="269"/>
      <c r="CH416" s="269"/>
      <c r="CI416" s="269"/>
      <c r="CJ416" s="269"/>
      <c r="CK416" s="269"/>
      <c r="CL416" s="266"/>
    </row>
    <row r="417" spans="1:90">
      <c r="A417" s="95"/>
      <c r="B417" s="263"/>
      <c r="C417" s="263"/>
      <c r="D417" s="263"/>
      <c r="E417" s="263"/>
      <c r="F417" s="263"/>
      <c r="G417" s="263"/>
      <c r="H417" s="95"/>
      <c r="I417" s="95"/>
      <c r="J417" s="263"/>
      <c r="K417" s="263"/>
      <c r="L417" s="263"/>
      <c r="M417" s="263"/>
      <c r="N417" s="263"/>
      <c r="O417" s="263"/>
      <c r="P417" s="95"/>
      <c r="Q417" s="95"/>
      <c r="R417" s="95"/>
      <c r="S417" s="95"/>
      <c r="T417" s="95"/>
      <c r="U417" s="95"/>
      <c r="V417" s="95"/>
      <c r="W417" s="95"/>
      <c r="X417" s="95"/>
      <c r="Y417" s="95"/>
      <c r="Z417" s="95"/>
      <c r="AA417" s="95"/>
      <c r="AB417" s="95"/>
      <c r="AC417" s="95"/>
      <c r="AD417" s="95"/>
      <c r="AE417" s="95"/>
      <c r="AF417" s="95"/>
      <c r="AG417" s="95"/>
      <c r="AH417" s="95"/>
      <c r="AI417" s="95"/>
      <c r="AJ417" s="95"/>
      <c r="AK417" s="95"/>
      <c r="AL417" s="95"/>
      <c r="AM417" s="95"/>
      <c r="AN417" s="94"/>
      <c r="AO417" s="95"/>
      <c r="AP417" s="95"/>
      <c r="AQ417" s="95"/>
      <c r="AR417" s="95"/>
      <c r="AS417" s="95"/>
      <c r="AT417" s="95"/>
      <c r="AU417" s="95"/>
      <c r="AV417" s="95"/>
      <c r="AW417" s="95"/>
      <c r="AX417" s="95"/>
      <c r="AY417" s="95"/>
      <c r="AZ417" s="95"/>
      <c r="BA417" s="95"/>
      <c r="BB417" s="95"/>
      <c r="BC417" s="214"/>
      <c r="BD417" s="95"/>
      <c r="BE417" s="95"/>
      <c r="BF417" s="95"/>
      <c r="BG417" s="95"/>
      <c r="BH417" s="95"/>
      <c r="BI417" s="24"/>
      <c r="BJ417" s="95"/>
      <c r="BK417" s="265"/>
      <c r="BL417" s="265"/>
      <c r="BM417" s="265"/>
      <c r="BN417" s="266"/>
      <c r="BO417" s="267"/>
      <c r="BP417" s="268"/>
      <c r="BQ417" s="269"/>
      <c r="BR417" s="269"/>
      <c r="BS417" s="269"/>
      <c r="BT417" s="269"/>
      <c r="BU417" s="269"/>
      <c r="BV417" s="269"/>
      <c r="BW417" s="268"/>
      <c r="BX417" s="269"/>
      <c r="BY417" s="268"/>
      <c r="BZ417" s="268"/>
      <c r="CA417" s="268"/>
      <c r="CB417" s="269"/>
      <c r="CC417" s="268"/>
      <c r="CD417" s="268"/>
      <c r="CE417" s="269"/>
      <c r="CF417" s="269"/>
      <c r="CG417" s="269"/>
      <c r="CH417" s="269"/>
      <c r="CI417" s="269"/>
      <c r="CJ417" s="269"/>
      <c r="CK417" s="269"/>
      <c r="CL417" s="266"/>
    </row>
    <row r="418" spans="1:90">
      <c r="A418" s="95"/>
      <c r="B418" s="263"/>
      <c r="C418" s="263"/>
      <c r="D418" s="263"/>
      <c r="E418" s="263"/>
      <c r="F418" s="263"/>
      <c r="G418" s="263"/>
      <c r="H418" s="95"/>
      <c r="I418" s="95"/>
      <c r="J418" s="263"/>
      <c r="K418" s="263"/>
      <c r="L418" s="263"/>
      <c r="M418" s="263"/>
      <c r="N418" s="263"/>
      <c r="O418" s="263"/>
      <c r="P418" s="95"/>
      <c r="Q418" s="95"/>
      <c r="R418" s="95"/>
      <c r="S418" s="95"/>
      <c r="T418" s="95"/>
      <c r="U418" s="95"/>
      <c r="V418" s="95"/>
      <c r="W418" s="95"/>
      <c r="X418" s="95"/>
      <c r="Y418" s="95"/>
      <c r="Z418" s="95"/>
      <c r="AA418" s="95"/>
      <c r="AB418" s="95"/>
      <c r="AC418" s="95"/>
      <c r="AD418" s="95"/>
      <c r="AE418" s="95"/>
      <c r="AF418" s="95"/>
      <c r="AG418" s="95"/>
      <c r="AH418" s="95"/>
      <c r="AI418" s="95"/>
      <c r="AJ418" s="95"/>
      <c r="AK418" s="95"/>
      <c r="AL418" s="95"/>
      <c r="AM418" s="95"/>
      <c r="AN418" s="94"/>
      <c r="AO418" s="95"/>
      <c r="AP418" s="95"/>
      <c r="AQ418" s="95"/>
      <c r="AR418" s="95"/>
      <c r="AS418" s="95"/>
      <c r="AT418" s="95"/>
      <c r="AU418" s="95"/>
      <c r="AV418" s="95"/>
      <c r="AW418" s="95"/>
      <c r="AX418" s="95"/>
      <c r="AY418" s="95"/>
      <c r="AZ418" s="95"/>
      <c r="BA418" s="95"/>
      <c r="BB418" s="95"/>
      <c r="BC418" s="214"/>
      <c r="BD418" s="95"/>
      <c r="BE418" s="95"/>
      <c r="BF418" s="95"/>
      <c r="BG418" s="95"/>
      <c r="BH418" s="95"/>
      <c r="BI418" s="24"/>
      <c r="BJ418" s="95"/>
      <c r="BK418" s="265"/>
      <c r="BL418" s="265"/>
      <c r="BM418" s="265"/>
      <c r="BN418" s="266"/>
      <c r="BO418" s="267"/>
      <c r="BP418" s="268"/>
      <c r="BQ418" s="269"/>
      <c r="BR418" s="269"/>
      <c r="BS418" s="269"/>
      <c r="BT418" s="269"/>
      <c r="BU418" s="269"/>
      <c r="BV418" s="269"/>
      <c r="BW418" s="268"/>
      <c r="BX418" s="269"/>
      <c r="BY418" s="268"/>
      <c r="BZ418" s="268"/>
      <c r="CA418" s="268"/>
      <c r="CB418" s="269"/>
      <c r="CC418" s="268"/>
      <c r="CD418" s="268"/>
      <c r="CE418" s="269"/>
      <c r="CF418" s="269"/>
      <c r="CG418" s="269"/>
      <c r="CH418" s="269"/>
      <c r="CI418" s="269"/>
      <c r="CJ418" s="269"/>
      <c r="CK418" s="269"/>
      <c r="CL418" s="266"/>
    </row>
    <row r="419" spans="1:90">
      <c r="A419" s="95"/>
      <c r="B419" s="263"/>
      <c r="C419" s="263"/>
      <c r="D419" s="263"/>
      <c r="E419" s="263"/>
      <c r="F419" s="263"/>
      <c r="G419" s="263"/>
      <c r="H419" s="95"/>
      <c r="I419" s="95"/>
      <c r="J419" s="263"/>
      <c r="K419" s="263"/>
      <c r="L419" s="263"/>
      <c r="M419" s="263"/>
      <c r="N419" s="263"/>
      <c r="O419" s="263"/>
      <c r="P419" s="95"/>
      <c r="Q419" s="95"/>
      <c r="R419" s="95"/>
      <c r="S419" s="95"/>
      <c r="T419" s="95"/>
      <c r="U419" s="95"/>
      <c r="V419" s="95"/>
      <c r="W419" s="95"/>
      <c r="X419" s="95"/>
      <c r="Y419" s="95"/>
      <c r="Z419" s="95"/>
      <c r="AA419" s="95"/>
      <c r="AB419" s="95"/>
      <c r="AC419" s="95"/>
      <c r="AD419" s="95"/>
      <c r="AE419" s="95"/>
      <c r="AF419" s="95"/>
      <c r="AG419" s="95"/>
      <c r="AH419" s="95"/>
      <c r="AI419" s="95"/>
      <c r="AJ419" s="95"/>
      <c r="AK419" s="95"/>
      <c r="AL419" s="95"/>
      <c r="AM419" s="95"/>
      <c r="AN419" s="94"/>
      <c r="AO419" s="95"/>
      <c r="AP419" s="95"/>
      <c r="AQ419" s="95"/>
      <c r="AR419" s="95"/>
      <c r="AS419" s="95"/>
      <c r="AT419" s="95"/>
      <c r="AU419" s="95"/>
      <c r="AV419" s="95"/>
      <c r="AW419" s="95"/>
      <c r="AX419" s="95"/>
      <c r="AY419" s="95"/>
      <c r="AZ419" s="95"/>
      <c r="BA419" s="95"/>
      <c r="BB419" s="95"/>
      <c r="BC419" s="214"/>
      <c r="BD419" s="95"/>
      <c r="BE419" s="95"/>
      <c r="BF419" s="95"/>
      <c r="BG419" s="95"/>
      <c r="BH419" s="95"/>
      <c r="BI419" s="24"/>
      <c r="BJ419" s="95"/>
      <c r="BK419" s="265"/>
      <c r="BL419" s="265"/>
      <c r="BM419" s="265"/>
      <c r="BN419" s="266"/>
      <c r="BO419" s="267"/>
      <c r="BP419" s="268"/>
      <c r="BQ419" s="269"/>
      <c r="BR419" s="269"/>
      <c r="BS419" s="269"/>
      <c r="BT419" s="269"/>
      <c r="BU419" s="269"/>
      <c r="BV419" s="269"/>
      <c r="BW419" s="268"/>
      <c r="BX419" s="269"/>
      <c r="BY419" s="268"/>
      <c r="BZ419" s="268"/>
      <c r="CA419" s="268"/>
      <c r="CB419" s="269"/>
      <c r="CC419" s="268"/>
      <c r="CD419" s="268"/>
      <c r="CE419" s="269"/>
      <c r="CF419" s="269"/>
      <c r="CG419" s="269"/>
      <c r="CH419" s="269"/>
      <c r="CI419" s="269"/>
      <c r="CJ419" s="269"/>
      <c r="CK419" s="269"/>
      <c r="CL419" s="266"/>
    </row>
    <row r="420" spans="1:90">
      <c r="A420" s="95"/>
      <c r="B420" s="263"/>
      <c r="C420" s="263"/>
      <c r="D420" s="263"/>
      <c r="E420" s="263"/>
      <c r="F420" s="263"/>
      <c r="G420" s="263"/>
      <c r="H420" s="95"/>
      <c r="I420" s="95"/>
      <c r="J420" s="263"/>
      <c r="K420" s="263"/>
      <c r="L420" s="263"/>
      <c r="M420" s="263"/>
      <c r="N420" s="263"/>
      <c r="O420" s="263"/>
      <c r="P420" s="95"/>
      <c r="Q420" s="95"/>
      <c r="R420" s="95"/>
      <c r="S420" s="95"/>
      <c r="T420" s="95"/>
      <c r="U420" s="95"/>
      <c r="V420" s="95"/>
      <c r="W420" s="95"/>
      <c r="X420" s="95"/>
      <c r="Y420" s="95"/>
      <c r="Z420" s="95"/>
      <c r="AA420" s="95"/>
      <c r="AB420" s="95"/>
      <c r="AC420" s="95"/>
      <c r="AD420" s="95"/>
      <c r="AE420" s="95"/>
      <c r="AF420" s="95"/>
      <c r="AG420" s="95"/>
      <c r="AH420" s="95"/>
      <c r="AI420" s="95"/>
      <c r="AJ420" s="95"/>
      <c r="AK420" s="95"/>
      <c r="AL420" s="95"/>
      <c r="AM420" s="95"/>
      <c r="AN420" s="94"/>
      <c r="AO420" s="95"/>
      <c r="AP420" s="95"/>
      <c r="AQ420" s="95"/>
      <c r="AR420" s="95"/>
      <c r="AS420" s="95"/>
      <c r="AT420" s="95"/>
      <c r="AU420" s="95"/>
      <c r="AV420" s="95"/>
      <c r="AW420" s="95"/>
      <c r="AX420" s="95"/>
      <c r="AY420" s="95"/>
      <c r="AZ420" s="95"/>
      <c r="BA420" s="95"/>
      <c r="BB420" s="95"/>
      <c r="BC420" s="214"/>
      <c r="BD420" s="95"/>
      <c r="BE420" s="95"/>
      <c r="BF420" s="95"/>
      <c r="BG420" s="95"/>
      <c r="BH420" s="95"/>
      <c r="BI420" s="24"/>
      <c r="BJ420" s="95"/>
      <c r="BK420" s="265"/>
      <c r="BL420" s="265"/>
      <c r="BM420" s="265"/>
      <c r="BN420" s="266"/>
      <c r="BO420" s="267"/>
      <c r="BP420" s="268"/>
      <c r="BQ420" s="269"/>
      <c r="BR420" s="269"/>
      <c r="BS420" s="269"/>
      <c r="BT420" s="269"/>
      <c r="BU420" s="269"/>
      <c r="BV420" s="269"/>
      <c r="BW420" s="268"/>
      <c r="BX420" s="269"/>
      <c r="BY420" s="268"/>
      <c r="BZ420" s="268"/>
      <c r="CA420" s="268"/>
      <c r="CB420" s="269"/>
      <c r="CC420" s="268"/>
      <c r="CD420" s="268"/>
      <c r="CE420" s="269"/>
      <c r="CF420" s="269"/>
      <c r="CG420" s="269"/>
      <c r="CH420" s="269"/>
      <c r="CI420" s="269"/>
      <c r="CJ420" s="269"/>
      <c r="CK420" s="269"/>
      <c r="CL420" s="266"/>
    </row>
    <row r="421" spans="1:90">
      <c r="BC421" s="214"/>
      <c r="BE421" s="25"/>
    </row>
    <row r="422" spans="1:90">
      <c r="BC422" s="214"/>
      <c r="BE422" s="25"/>
    </row>
    <row r="423" spans="1:90">
      <c r="BC423" s="214"/>
      <c r="BE423" s="25"/>
    </row>
    <row r="424" spans="1:90">
      <c r="BC424" s="214"/>
      <c r="BE424" s="25"/>
    </row>
    <row r="425" spans="1:90">
      <c r="BC425" s="214"/>
      <c r="BE425" s="25"/>
    </row>
    <row r="426" spans="1:90">
      <c r="BC426" s="214"/>
      <c r="BE426" s="25"/>
    </row>
    <row r="427" spans="1:90">
      <c r="BC427" s="214"/>
      <c r="BE427" s="25"/>
    </row>
    <row r="428" spans="1:90">
      <c r="BC428" s="214"/>
      <c r="BE428" s="25"/>
    </row>
    <row r="429" spans="1:90">
      <c r="BC429" s="214"/>
      <c r="BE429" s="25"/>
    </row>
    <row r="430" spans="1:90">
      <c r="BC430" s="214"/>
      <c r="BE430" s="25"/>
    </row>
    <row r="431" spans="1:90">
      <c r="BC431" s="214"/>
      <c r="BE431" s="25"/>
    </row>
    <row r="432" spans="1:90">
      <c r="BC432" s="214"/>
      <c r="BE432" s="25"/>
    </row>
    <row r="433" spans="55:57">
      <c r="BC433" s="214"/>
      <c r="BE433" s="25"/>
    </row>
    <row r="434" spans="55:57">
      <c r="BC434" s="214"/>
      <c r="BE434" s="25"/>
    </row>
    <row r="435" spans="55:57">
      <c r="BC435" s="214"/>
      <c r="BE435" s="25"/>
    </row>
    <row r="436" spans="55:57">
      <c r="BC436" s="214"/>
      <c r="BE436" s="25"/>
    </row>
    <row r="437" spans="55:57">
      <c r="BC437" s="214"/>
      <c r="BE437" s="25"/>
    </row>
    <row r="438" spans="55:57">
      <c r="BC438" s="214"/>
      <c r="BE438" s="25"/>
    </row>
    <row r="439" spans="55:57">
      <c r="BC439" s="214"/>
      <c r="BE439" s="25"/>
    </row>
    <row r="440" spans="55:57">
      <c r="BC440" s="214"/>
      <c r="BE440" s="25"/>
    </row>
    <row r="441" spans="55:57">
      <c r="BC441" s="214"/>
      <c r="BE441" s="25"/>
    </row>
    <row r="442" spans="55:57">
      <c r="BC442" s="214"/>
      <c r="BE442" s="25"/>
    </row>
    <row r="443" spans="55:57">
      <c r="BC443" s="214"/>
      <c r="BE443" s="25"/>
    </row>
    <row r="444" spans="55:57">
      <c r="BC444" s="214"/>
      <c r="BE444" s="25"/>
    </row>
    <row r="445" spans="55:57">
      <c r="BC445" s="214"/>
      <c r="BE445" s="25"/>
    </row>
    <row r="446" spans="55:57">
      <c r="BC446" s="214"/>
      <c r="BE446" s="25"/>
    </row>
    <row r="447" spans="55:57">
      <c r="BC447" s="214"/>
      <c r="BE447" s="25"/>
    </row>
    <row r="448" spans="55:57">
      <c r="BC448" s="214"/>
      <c r="BE448" s="25"/>
    </row>
    <row r="449" spans="55:57">
      <c r="BC449" s="214"/>
      <c r="BE449" s="25"/>
    </row>
    <row r="450" spans="55:57">
      <c r="BC450" s="214"/>
      <c r="BE450" s="25"/>
    </row>
    <row r="451" spans="55:57">
      <c r="BC451" s="214"/>
      <c r="BE451" s="25"/>
    </row>
    <row r="452" spans="55:57">
      <c r="BC452" s="214"/>
      <c r="BE452" s="25"/>
    </row>
    <row r="453" spans="55:57">
      <c r="BC453" s="214"/>
      <c r="BE453" s="25"/>
    </row>
    <row r="454" spans="55:57">
      <c r="BC454" s="214"/>
      <c r="BE454" s="25"/>
    </row>
    <row r="455" spans="55:57">
      <c r="BC455" s="214"/>
      <c r="BE455" s="25"/>
    </row>
    <row r="456" spans="55:57">
      <c r="BC456" s="214"/>
      <c r="BE456" s="25"/>
    </row>
    <row r="457" spans="55:57">
      <c r="BC457" s="214"/>
      <c r="BE457" s="25"/>
    </row>
    <row r="458" spans="55:57">
      <c r="BC458" s="214"/>
      <c r="BE458" s="25"/>
    </row>
    <row r="459" spans="55:57">
      <c r="BC459" s="214"/>
      <c r="BE459" s="25"/>
    </row>
    <row r="460" spans="55:57">
      <c r="BE460" s="25"/>
    </row>
    <row r="461" spans="55:57">
      <c r="BE461" s="25"/>
    </row>
    <row r="462" spans="55:57">
      <c r="BE462" s="25"/>
    </row>
    <row r="463" spans="55:57">
      <c r="BE463" s="25"/>
    </row>
    <row r="464" spans="55:57">
      <c r="BE464" s="25"/>
    </row>
    <row r="465" spans="57:57">
      <c r="BE465" s="25"/>
    </row>
    <row r="466" spans="57:57">
      <c r="BE466" s="25"/>
    </row>
    <row r="467" spans="57:57">
      <c r="BE467" s="25"/>
    </row>
    <row r="468" spans="57:57">
      <c r="BE468" s="25"/>
    </row>
    <row r="469" spans="57:57">
      <c r="BE469" s="25"/>
    </row>
    <row r="470" spans="57:57">
      <c r="BE470" s="25"/>
    </row>
    <row r="471" spans="57:57">
      <c r="BE471" s="25"/>
    </row>
    <row r="472" spans="57:57">
      <c r="BE472" s="25"/>
    </row>
    <row r="473" spans="57:57">
      <c r="BE473" s="25"/>
    </row>
    <row r="474" spans="57:57">
      <c r="BE474" s="25"/>
    </row>
    <row r="475" spans="57:57">
      <c r="BE475" s="25"/>
    </row>
    <row r="476" spans="57:57">
      <c r="BE476" s="25"/>
    </row>
    <row r="477" spans="57:57">
      <c r="BE477" s="25"/>
    </row>
    <row r="478" spans="57:57">
      <c r="BE478" s="25"/>
    </row>
    <row r="479" spans="57:57">
      <c r="BE479" s="25"/>
    </row>
    <row r="480" spans="57:57">
      <c r="BE480" s="25"/>
    </row>
    <row r="481" spans="57:57">
      <c r="BE481" s="25"/>
    </row>
    <row r="482" spans="57:57">
      <c r="BE482" s="25"/>
    </row>
    <row r="483" spans="57:57">
      <c r="BE483" s="25"/>
    </row>
    <row r="484" spans="57:57">
      <c r="BE484" s="25"/>
    </row>
    <row r="485" spans="57:57">
      <c r="BE485" s="25"/>
    </row>
    <row r="486" spans="57:57">
      <c r="BE486" s="25"/>
    </row>
    <row r="487" spans="57:57">
      <c r="BE487" s="25"/>
    </row>
    <row r="488" spans="57:57">
      <c r="BE488" s="25"/>
    </row>
    <row r="489" spans="57:57">
      <c r="BE489" s="25"/>
    </row>
    <row r="490" spans="57:57">
      <c r="BE490" s="25"/>
    </row>
    <row r="491" spans="57:57">
      <c r="BE491" s="25"/>
    </row>
    <row r="492" spans="57:57">
      <c r="BE492" s="25"/>
    </row>
    <row r="493" spans="57:57">
      <c r="BE493" s="25"/>
    </row>
    <row r="494" spans="57:57">
      <c r="BE494" s="25"/>
    </row>
    <row r="495" spans="57:57">
      <c r="BE495" s="25"/>
    </row>
    <row r="496" spans="57:57">
      <c r="BE496" s="25"/>
    </row>
    <row r="497" spans="55:57">
      <c r="BE497" s="25"/>
    </row>
    <row r="498" spans="55:57">
      <c r="BE498" s="25"/>
    </row>
    <row r="499" spans="55:57">
      <c r="BE499" s="25"/>
    </row>
    <row r="500" spans="55:57">
      <c r="BE500" s="25"/>
    </row>
    <row r="501" spans="55:57">
      <c r="BE501" s="25"/>
    </row>
    <row r="502" spans="55:57">
      <c r="BE502" s="25"/>
    </row>
    <row r="503" spans="55:57">
      <c r="BC503" s="214"/>
      <c r="BE503" s="25"/>
    </row>
    <row r="504" spans="55:57">
      <c r="BC504" s="214"/>
      <c r="BE504" s="25"/>
    </row>
    <row r="505" spans="55:57">
      <c r="BC505" s="214"/>
      <c r="BE505" s="25"/>
    </row>
    <row r="506" spans="55:57">
      <c r="BC506" s="214"/>
      <c r="BE506" s="25"/>
    </row>
    <row r="507" spans="55:57">
      <c r="BC507" s="214"/>
      <c r="BE507" s="25"/>
    </row>
    <row r="508" spans="55:57">
      <c r="BC508" s="214"/>
      <c r="BE508" s="25"/>
    </row>
    <row r="509" spans="55:57">
      <c r="BC509" s="214"/>
      <c r="BE509" s="25"/>
    </row>
    <row r="510" spans="55:57">
      <c r="BC510" s="214"/>
      <c r="BE510" s="25"/>
    </row>
    <row r="511" spans="55:57">
      <c r="BC511" s="214"/>
      <c r="BE511" s="25"/>
    </row>
    <row r="512" spans="55:57">
      <c r="BC512" s="214"/>
      <c r="BE512" s="25"/>
    </row>
    <row r="513" spans="55:57">
      <c r="BC513" s="214"/>
      <c r="BE513" s="25"/>
    </row>
    <row r="514" spans="55:57">
      <c r="BC514" s="214"/>
      <c r="BE514" s="25"/>
    </row>
    <row r="515" spans="55:57">
      <c r="BC515" s="214"/>
      <c r="BE515" s="25"/>
    </row>
    <row r="516" spans="55:57">
      <c r="BC516" s="214"/>
      <c r="BE516" s="25"/>
    </row>
    <row r="517" spans="55:57">
      <c r="BC517" s="214"/>
      <c r="BE517" s="25"/>
    </row>
    <row r="518" spans="55:57">
      <c r="BC518" s="214"/>
      <c r="BE518" s="25"/>
    </row>
    <row r="519" spans="55:57">
      <c r="BC519" s="214"/>
      <c r="BE519" s="25"/>
    </row>
    <row r="520" spans="55:57">
      <c r="BC520" s="214"/>
      <c r="BE520" s="25"/>
    </row>
    <row r="521" spans="55:57">
      <c r="BC521" s="214"/>
      <c r="BE521" s="25"/>
    </row>
    <row r="522" spans="55:57">
      <c r="BC522" s="214"/>
      <c r="BE522" s="25"/>
    </row>
    <row r="523" spans="55:57">
      <c r="BC523" s="214"/>
      <c r="BE523" s="25"/>
    </row>
    <row r="524" spans="55:57">
      <c r="BC524" s="214"/>
      <c r="BE524" s="25"/>
    </row>
    <row r="525" spans="55:57">
      <c r="BC525" s="214"/>
      <c r="BE525" s="25"/>
    </row>
    <row r="526" spans="55:57">
      <c r="BC526" s="214"/>
      <c r="BE526" s="25"/>
    </row>
    <row r="527" spans="55:57">
      <c r="BC527" s="214"/>
      <c r="BE527" s="25"/>
    </row>
    <row r="528" spans="55:57">
      <c r="BC528" s="214"/>
      <c r="BE528" s="25"/>
    </row>
    <row r="529" spans="55:57">
      <c r="BC529" s="214"/>
      <c r="BE529" s="25"/>
    </row>
    <row r="530" spans="55:57">
      <c r="BC530" s="214"/>
      <c r="BE530" s="25"/>
    </row>
    <row r="531" spans="55:57">
      <c r="BC531" s="214"/>
      <c r="BE531" s="25"/>
    </row>
    <row r="532" spans="55:57">
      <c r="BC532" s="214"/>
      <c r="BE532" s="25"/>
    </row>
    <row r="533" spans="55:57">
      <c r="BC533" s="214"/>
      <c r="BE533" s="25"/>
    </row>
    <row r="534" spans="55:57">
      <c r="BC534" s="214"/>
      <c r="BE534" s="25"/>
    </row>
    <row r="535" spans="55:57">
      <c r="BC535" s="214"/>
      <c r="BE535" s="25"/>
    </row>
    <row r="536" spans="55:57">
      <c r="BC536" s="214"/>
      <c r="BE536" s="25"/>
    </row>
    <row r="537" spans="55:57">
      <c r="BC537" s="214"/>
      <c r="BE537" s="25"/>
    </row>
    <row r="538" spans="55:57">
      <c r="BC538" s="214"/>
      <c r="BE538" s="25"/>
    </row>
    <row r="539" spans="55:57">
      <c r="BC539" s="214"/>
      <c r="BE539" s="25"/>
    </row>
    <row r="540" spans="55:57">
      <c r="BC540" s="214"/>
      <c r="BE540" s="25"/>
    </row>
    <row r="541" spans="55:57">
      <c r="BC541" s="214"/>
      <c r="BE541" s="25"/>
    </row>
    <row r="542" spans="55:57">
      <c r="BC542" s="214"/>
      <c r="BE542" s="25"/>
    </row>
    <row r="543" spans="55:57">
      <c r="BC543" s="214"/>
      <c r="BE543" s="25"/>
    </row>
    <row r="544" spans="55:57">
      <c r="BC544" s="214"/>
      <c r="BE544" s="25"/>
    </row>
    <row r="545" spans="55:57">
      <c r="BC545" s="214"/>
      <c r="BE545" s="25"/>
    </row>
    <row r="546" spans="55:57">
      <c r="BC546" s="214"/>
      <c r="BE546" s="25"/>
    </row>
    <row r="547" spans="55:57">
      <c r="BC547" s="214"/>
      <c r="BE547" s="25"/>
    </row>
    <row r="548" spans="55:57">
      <c r="BC548" s="214"/>
      <c r="BE548" s="25"/>
    </row>
    <row r="549" spans="55:57">
      <c r="BC549" s="214"/>
      <c r="BE549" s="25"/>
    </row>
    <row r="550" spans="55:57" s="251" customFormat="1">
      <c r="BC550" s="312"/>
      <c r="BE550" s="313"/>
    </row>
    <row r="551" spans="55:57">
      <c r="BC551" s="273"/>
      <c r="BE551" s="25"/>
    </row>
    <row r="552" spans="55:57">
      <c r="BC552" s="273"/>
      <c r="BE552" s="25"/>
    </row>
    <row r="553" spans="55:57">
      <c r="BC553" s="273"/>
      <c r="BE553" s="25"/>
    </row>
    <row r="554" spans="55:57">
      <c r="BC554" s="273"/>
      <c r="BE554" s="25"/>
    </row>
    <row r="555" spans="55:57">
      <c r="BC555" s="273"/>
      <c r="BE555" s="25"/>
    </row>
    <row r="556" spans="55:57">
      <c r="BC556" s="273"/>
      <c r="BE556" s="25"/>
    </row>
    <row r="557" spans="55:57">
      <c r="BC557" s="273"/>
      <c r="BE557" s="25"/>
    </row>
    <row r="558" spans="55:57">
      <c r="BC558" s="273"/>
      <c r="BE558" s="25"/>
    </row>
    <row r="559" spans="55:57">
      <c r="BC559" s="273"/>
      <c r="BE559" s="25"/>
    </row>
    <row r="560" spans="55:57">
      <c r="BC560" s="273"/>
      <c r="BE560" s="25"/>
    </row>
    <row r="561" spans="55:57">
      <c r="BC561" s="273"/>
      <c r="BE561" s="25"/>
    </row>
    <row r="562" spans="55:57">
      <c r="BC562" s="273"/>
      <c r="BE562" s="25"/>
    </row>
    <row r="563" spans="55:57">
      <c r="BC563" s="273"/>
      <c r="BE563" s="25"/>
    </row>
    <row r="564" spans="55:57">
      <c r="BC564" s="273"/>
      <c r="BE564" s="25"/>
    </row>
    <row r="565" spans="55:57">
      <c r="BC565" s="273"/>
      <c r="BE565" s="25"/>
    </row>
    <row r="566" spans="55:57">
      <c r="BC566" s="273"/>
      <c r="BE566" s="25"/>
    </row>
    <row r="567" spans="55:57">
      <c r="BC567" s="273"/>
      <c r="BE567" s="25"/>
    </row>
    <row r="568" spans="55:57">
      <c r="BC568" s="273"/>
      <c r="BE568" s="25"/>
    </row>
    <row r="569" spans="55:57">
      <c r="BC569" s="273"/>
      <c r="BE569" s="25"/>
    </row>
    <row r="570" spans="55:57">
      <c r="BC570" s="273"/>
      <c r="BE570" s="25"/>
    </row>
    <row r="571" spans="55:57">
      <c r="BC571" s="273"/>
      <c r="BE571" s="25"/>
    </row>
    <row r="572" spans="55:57">
      <c r="BC572" s="273"/>
      <c r="BE572" s="25"/>
    </row>
    <row r="573" spans="55:57">
      <c r="BC573" s="273"/>
      <c r="BE573" s="25"/>
    </row>
    <row r="574" spans="55:57">
      <c r="BC574" s="273"/>
      <c r="BE574" s="25"/>
    </row>
    <row r="575" spans="55:57">
      <c r="BC575" s="273"/>
      <c r="BE575" s="25"/>
    </row>
    <row r="576" spans="55:57">
      <c r="BC576" s="273"/>
      <c r="BE576" s="25"/>
    </row>
    <row r="577" spans="55:57">
      <c r="BC577" s="273"/>
      <c r="BE577" s="25"/>
    </row>
    <row r="578" spans="55:57">
      <c r="BC578" s="273"/>
      <c r="BE578" s="25"/>
    </row>
    <row r="579" spans="55:57">
      <c r="BC579" s="273"/>
      <c r="BE579" s="25"/>
    </row>
    <row r="580" spans="55:57">
      <c r="BC580" s="273"/>
      <c r="BE580" s="25"/>
    </row>
    <row r="581" spans="55:57">
      <c r="BC581" s="273"/>
      <c r="BE581" s="25"/>
    </row>
    <row r="582" spans="55:57">
      <c r="BC582" s="273"/>
      <c r="BE582" s="25"/>
    </row>
    <row r="583" spans="55:57">
      <c r="BC583" s="273"/>
      <c r="BE583" s="25"/>
    </row>
    <row r="584" spans="55:57">
      <c r="BC584" s="273"/>
      <c r="BE584" s="25"/>
    </row>
    <row r="585" spans="55:57">
      <c r="BC585" s="273"/>
      <c r="BE585" s="25"/>
    </row>
    <row r="586" spans="55:57">
      <c r="BC586" s="273"/>
      <c r="BE586" s="25"/>
    </row>
    <row r="587" spans="55:57">
      <c r="BC587" s="273"/>
      <c r="BE587" s="25"/>
    </row>
    <row r="588" spans="55:57">
      <c r="BC588" s="273"/>
      <c r="BE588" s="25"/>
    </row>
    <row r="589" spans="55:57">
      <c r="BC589" s="273"/>
      <c r="BE589" s="25"/>
    </row>
    <row r="590" spans="55:57">
      <c r="BC590" s="273"/>
      <c r="BE590" s="25"/>
    </row>
    <row r="591" spans="55:57">
      <c r="BC591" s="273"/>
      <c r="BE591" s="25"/>
    </row>
    <row r="592" spans="55:57">
      <c r="BC592" s="273"/>
      <c r="BE592" s="25"/>
    </row>
    <row r="593" spans="55:57">
      <c r="BC593" s="273"/>
      <c r="BE593" s="25"/>
    </row>
    <row r="594" spans="55:57">
      <c r="BC594" s="273"/>
      <c r="BE594" s="25"/>
    </row>
    <row r="595" spans="55:57">
      <c r="BC595" s="273"/>
      <c r="BE595" s="25"/>
    </row>
    <row r="596" spans="55:57">
      <c r="BC596" s="273"/>
      <c r="BE596" s="25"/>
    </row>
    <row r="597" spans="55:57">
      <c r="BC597" s="273"/>
      <c r="BE597" s="25"/>
    </row>
    <row r="598" spans="55:57">
      <c r="BC598" s="273"/>
      <c r="BE598" s="25"/>
    </row>
    <row r="599" spans="55:57">
      <c r="BC599" s="273"/>
      <c r="BE599" s="25"/>
    </row>
    <row r="600" spans="55:57">
      <c r="BC600" s="273"/>
      <c r="BE600" s="25"/>
    </row>
    <row r="601" spans="55:57">
      <c r="BC601" s="273"/>
      <c r="BE601" s="25"/>
    </row>
    <row r="602" spans="55:57">
      <c r="BC602" s="273"/>
      <c r="BE602" s="25"/>
    </row>
    <row r="603" spans="55:57">
      <c r="BC603" s="273"/>
      <c r="BE603" s="25"/>
    </row>
    <row r="604" spans="55:57">
      <c r="BC604" s="273"/>
      <c r="BE604" s="25"/>
    </row>
    <row r="605" spans="55:57">
      <c r="BC605" s="273"/>
      <c r="BE605" s="25"/>
    </row>
    <row r="606" spans="55:57">
      <c r="BC606" s="273"/>
      <c r="BE606" s="25"/>
    </row>
    <row r="607" spans="55:57">
      <c r="BC607" s="273"/>
      <c r="BE607" s="25"/>
    </row>
    <row r="608" spans="55:57">
      <c r="BC608" s="273"/>
      <c r="BE608" s="25"/>
    </row>
    <row r="609" spans="55:57">
      <c r="BC609" s="273"/>
      <c r="BE609" s="25"/>
    </row>
    <row r="610" spans="55:57">
      <c r="BC610" s="273"/>
      <c r="BE610" s="25"/>
    </row>
    <row r="611" spans="55:57">
      <c r="BC611" s="273"/>
      <c r="BE611" s="25"/>
    </row>
    <row r="612" spans="55:57">
      <c r="BC612" s="273"/>
      <c r="BE612" s="25"/>
    </row>
    <row r="613" spans="55:57">
      <c r="BC613" s="273"/>
      <c r="BE613" s="25"/>
    </row>
    <row r="614" spans="55:57">
      <c r="BC614" s="273"/>
      <c r="BE614" s="25"/>
    </row>
    <row r="615" spans="55:57">
      <c r="BC615" s="273"/>
      <c r="BE615" s="25"/>
    </row>
    <row r="616" spans="55:57">
      <c r="BC616" s="273"/>
      <c r="BE616" s="25"/>
    </row>
    <row r="617" spans="55:57">
      <c r="BC617" s="273"/>
      <c r="BE617" s="25"/>
    </row>
    <row r="618" spans="55:57">
      <c r="BC618" s="273"/>
      <c r="BE618" s="25"/>
    </row>
    <row r="619" spans="55:57">
      <c r="BC619" s="273"/>
      <c r="BE619" s="25"/>
    </row>
    <row r="620" spans="55:57">
      <c r="BC620" s="273"/>
      <c r="BE620" s="25"/>
    </row>
    <row r="621" spans="55:57">
      <c r="BC621" s="273"/>
      <c r="BE621" s="25"/>
    </row>
    <row r="622" spans="55:57">
      <c r="BC622" s="273"/>
      <c r="BE622" s="25"/>
    </row>
    <row r="623" spans="55:57">
      <c r="BC623" s="273"/>
      <c r="BE623" s="25"/>
    </row>
    <row r="624" spans="55:57">
      <c r="BC624" s="273"/>
      <c r="BE624" s="25"/>
    </row>
    <row r="625" spans="55:57">
      <c r="BC625" s="273"/>
      <c r="BE625" s="25"/>
    </row>
    <row r="626" spans="55:57">
      <c r="BC626" s="273"/>
      <c r="BE626" s="25"/>
    </row>
    <row r="627" spans="55:57">
      <c r="BC627" s="273"/>
      <c r="BE627" s="25"/>
    </row>
    <row r="628" spans="55:57">
      <c r="BC628" s="273"/>
      <c r="BE628" s="25"/>
    </row>
    <row r="629" spans="55:57">
      <c r="BC629" s="273"/>
      <c r="BE629" s="25"/>
    </row>
    <row r="630" spans="55:57">
      <c r="BC630" s="273"/>
      <c r="BE630" s="25"/>
    </row>
    <row r="631" spans="55:57">
      <c r="BC631" s="273"/>
      <c r="BE631" s="25"/>
    </row>
    <row r="632" spans="55:57">
      <c r="BC632" s="273"/>
      <c r="BE632" s="25"/>
    </row>
    <row r="633" spans="55:57">
      <c r="BC633" s="273"/>
      <c r="BE633" s="25"/>
    </row>
    <row r="634" spans="55:57">
      <c r="BC634" s="273"/>
      <c r="BE634" s="25"/>
    </row>
    <row r="635" spans="55:57">
      <c r="BC635" s="273"/>
      <c r="BE635" s="25"/>
    </row>
    <row r="636" spans="55:57">
      <c r="BC636" s="273"/>
      <c r="BE636" s="25"/>
    </row>
    <row r="637" spans="55:57">
      <c r="BC637" s="273"/>
      <c r="BE637" s="25"/>
    </row>
    <row r="638" spans="55:57">
      <c r="BC638" s="273"/>
      <c r="BE638" s="25"/>
    </row>
    <row r="639" spans="55:57">
      <c r="BC639" s="273"/>
      <c r="BE639" s="25"/>
    </row>
    <row r="640" spans="55:57">
      <c r="BC640" s="273"/>
      <c r="BE640" s="25"/>
    </row>
    <row r="641" spans="55:57">
      <c r="BC641" s="273"/>
      <c r="BE641" s="25"/>
    </row>
    <row r="642" spans="55:57">
      <c r="BC642" s="273"/>
      <c r="BE642" s="25"/>
    </row>
    <row r="643" spans="55:57">
      <c r="BC643" s="273"/>
      <c r="BE643" s="25"/>
    </row>
    <row r="644" spans="55:57">
      <c r="BC644" s="273"/>
      <c r="BE644" s="25"/>
    </row>
    <row r="645" spans="55:57">
      <c r="BC645" s="273"/>
      <c r="BE645" s="25"/>
    </row>
    <row r="646" spans="55:57">
      <c r="BC646" s="273"/>
      <c r="BE646" s="25"/>
    </row>
    <row r="647" spans="55:57">
      <c r="BC647" s="273"/>
      <c r="BE647" s="25"/>
    </row>
    <row r="648" spans="55:57">
      <c r="BC648" s="273"/>
      <c r="BE648" s="25"/>
    </row>
    <row r="649" spans="55:57">
      <c r="BC649" s="273"/>
      <c r="BE649" s="25"/>
    </row>
    <row r="650" spans="55:57">
      <c r="BC650" s="273"/>
      <c r="BE650" s="25"/>
    </row>
    <row r="651" spans="55:57">
      <c r="BC651" s="273"/>
      <c r="BE651" s="25"/>
    </row>
    <row r="652" spans="55:57">
      <c r="BC652" s="273"/>
      <c r="BE652" s="25"/>
    </row>
    <row r="653" spans="55:57">
      <c r="BC653" s="273"/>
      <c r="BE653" s="25"/>
    </row>
    <row r="654" spans="55:57">
      <c r="BC654" s="273"/>
      <c r="BE654" s="25"/>
    </row>
    <row r="655" spans="55:57">
      <c r="BC655" s="273"/>
      <c r="BE655" s="25"/>
    </row>
    <row r="656" spans="55:57">
      <c r="BC656" s="273"/>
      <c r="BE656" s="25"/>
    </row>
    <row r="657" spans="55:57">
      <c r="BC657" s="273"/>
      <c r="BE657" s="25"/>
    </row>
    <row r="658" spans="55:57">
      <c r="BC658" s="273"/>
      <c r="BE658" s="25"/>
    </row>
    <row r="659" spans="55:57">
      <c r="BC659" s="273"/>
      <c r="BE659" s="25"/>
    </row>
    <row r="660" spans="55:57">
      <c r="BC660" s="273"/>
      <c r="BE660" s="25"/>
    </row>
    <row r="661" spans="55:57">
      <c r="BC661" s="273"/>
      <c r="BE661" s="25"/>
    </row>
    <row r="662" spans="55:57">
      <c r="BC662" s="273"/>
      <c r="BE662" s="25"/>
    </row>
    <row r="663" spans="55:57">
      <c r="BC663" s="273"/>
      <c r="BE663" s="25"/>
    </row>
    <row r="664" spans="55:57">
      <c r="BC664" s="273"/>
      <c r="BE664" s="25"/>
    </row>
    <row r="665" spans="55:57">
      <c r="BC665" s="273"/>
      <c r="BE665" s="25"/>
    </row>
    <row r="666" spans="55:57">
      <c r="BC666" s="273"/>
      <c r="BE666" s="25"/>
    </row>
    <row r="667" spans="55:57">
      <c r="BC667" s="273"/>
      <c r="BE667" s="25"/>
    </row>
    <row r="668" spans="55:57">
      <c r="BC668" s="273"/>
      <c r="BE668" s="25"/>
    </row>
    <row r="669" spans="55:57">
      <c r="BC669" s="273"/>
      <c r="BE669" s="25"/>
    </row>
    <row r="670" spans="55:57">
      <c r="BC670" s="273"/>
      <c r="BE670" s="25"/>
    </row>
    <row r="671" spans="55:57">
      <c r="BC671" s="273"/>
      <c r="BE671" s="25"/>
    </row>
    <row r="672" spans="55:57">
      <c r="BC672" s="273"/>
      <c r="BE672" s="25"/>
    </row>
    <row r="673" spans="55:57">
      <c r="BC673" s="273"/>
      <c r="BE673" s="25"/>
    </row>
    <row r="674" spans="55:57">
      <c r="BC674" s="273"/>
      <c r="BE674" s="25"/>
    </row>
    <row r="675" spans="55:57">
      <c r="BC675" s="273"/>
      <c r="BE675" s="25"/>
    </row>
    <row r="676" spans="55:57">
      <c r="BC676" s="273"/>
      <c r="BE676" s="25"/>
    </row>
    <row r="677" spans="55:57">
      <c r="BC677" s="273"/>
      <c r="BE677" s="25"/>
    </row>
    <row r="678" spans="55:57">
      <c r="BC678" s="273"/>
      <c r="BE678" s="25"/>
    </row>
    <row r="679" spans="55:57">
      <c r="BC679" s="273"/>
      <c r="BE679" s="25"/>
    </row>
    <row r="680" spans="55:57">
      <c r="BC680" s="273"/>
      <c r="BE680" s="25"/>
    </row>
    <row r="681" spans="55:57">
      <c r="BC681" s="273"/>
      <c r="BE681" s="25"/>
    </row>
    <row r="682" spans="55:57">
      <c r="BC682" s="273"/>
      <c r="BE682" s="25"/>
    </row>
    <row r="683" spans="55:57">
      <c r="BC683" s="273"/>
      <c r="BE683" s="25"/>
    </row>
    <row r="684" spans="55:57">
      <c r="BC684" s="273"/>
      <c r="BE684" s="25"/>
    </row>
    <row r="685" spans="55:57">
      <c r="BC685" s="273"/>
      <c r="BE685" s="25"/>
    </row>
    <row r="686" spans="55:57">
      <c r="BC686" s="273"/>
      <c r="BE686" s="25"/>
    </row>
    <row r="687" spans="55:57">
      <c r="BC687" s="273"/>
      <c r="BE687" s="25"/>
    </row>
    <row r="688" spans="55:57">
      <c r="BC688" s="273"/>
      <c r="BE688" s="25"/>
    </row>
    <row r="689" spans="55:57">
      <c r="BC689" s="273"/>
      <c r="BE689" s="25"/>
    </row>
    <row r="690" spans="55:57">
      <c r="BC690" s="273"/>
      <c r="BE690" s="25"/>
    </row>
    <row r="691" spans="55:57">
      <c r="BC691" s="273"/>
      <c r="BE691" s="25"/>
    </row>
    <row r="692" spans="55:57">
      <c r="BC692" s="273"/>
      <c r="BE692" s="25"/>
    </row>
    <row r="693" spans="55:57">
      <c r="BC693" s="273"/>
      <c r="BE693" s="25"/>
    </row>
    <row r="694" spans="55:57">
      <c r="BC694" s="273"/>
      <c r="BE694" s="25"/>
    </row>
    <row r="695" spans="55:57">
      <c r="BC695" s="273"/>
      <c r="BE695" s="25"/>
    </row>
    <row r="696" spans="55:57">
      <c r="BC696" s="273"/>
      <c r="BE696" s="25"/>
    </row>
    <row r="697" spans="55:57">
      <c r="BC697" s="273"/>
      <c r="BE697" s="25"/>
    </row>
    <row r="698" spans="55:57">
      <c r="BC698" s="273"/>
      <c r="BE698" s="25"/>
    </row>
    <row r="699" spans="55:57">
      <c r="BC699" s="273"/>
      <c r="BE699" s="25"/>
    </row>
    <row r="700" spans="55:57">
      <c r="BC700" s="273"/>
      <c r="BE700" s="25"/>
    </row>
    <row r="701" spans="55:57">
      <c r="BC701" s="273"/>
      <c r="BE701" s="25"/>
    </row>
    <row r="702" spans="55:57">
      <c r="BC702" s="273"/>
      <c r="BE702" s="25"/>
    </row>
    <row r="703" spans="55:57">
      <c r="BC703" s="273"/>
      <c r="BE703" s="25"/>
    </row>
    <row r="704" spans="55:57">
      <c r="BC704" s="273"/>
      <c r="BE704" s="25"/>
    </row>
    <row r="705" spans="55:57">
      <c r="BC705" s="273"/>
      <c r="BE705" s="25"/>
    </row>
    <row r="706" spans="55:57">
      <c r="BC706" s="273"/>
      <c r="BE706" s="25"/>
    </row>
    <row r="707" spans="55:57">
      <c r="BC707" s="273"/>
      <c r="BE707" s="25"/>
    </row>
    <row r="708" spans="55:57">
      <c r="BC708" s="273"/>
      <c r="BE708" s="25"/>
    </row>
    <row r="709" spans="55:57">
      <c r="BC709" s="273"/>
      <c r="BE709" s="25"/>
    </row>
    <row r="710" spans="55:57">
      <c r="BC710" s="273"/>
      <c r="BE710" s="25"/>
    </row>
    <row r="711" spans="55:57">
      <c r="BC711" s="273"/>
      <c r="BE711" s="25"/>
    </row>
    <row r="712" spans="55:57">
      <c r="BC712" s="273"/>
      <c r="BE712" s="25"/>
    </row>
    <row r="713" spans="55:57">
      <c r="BC713" s="273"/>
      <c r="BE713" s="25"/>
    </row>
    <row r="714" spans="55:57">
      <c r="BC714" s="273"/>
      <c r="BE714" s="25"/>
    </row>
    <row r="715" spans="55:57">
      <c r="BC715" s="273"/>
      <c r="BE715" s="25"/>
    </row>
    <row r="716" spans="55:57">
      <c r="BC716" s="273"/>
      <c r="BE716" s="25"/>
    </row>
    <row r="717" spans="55:57">
      <c r="BC717" s="273"/>
      <c r="BE717" s="25"/>
    </row>
    <row r="718" spans="55:57">
      <c r="BC718" s="273"/>
      <c r="BE718" s="25"/>
    </row>
    <row r="719" spans="55:57">
      <c r="BC719" s="273"/>
      <c r="BE719" s="25"/>
    </row>
    <row r="720" spans="55:57">
      <c r="BC720" s="273"/>
      <c r="BE720" s="25"/>
    </row>
    <row r="721" spans="55:57">
      <c r="BC721" s="273"/>
      <c r="BE721" s="25"/>
    </row>
    <row r="722" spans="55:57">
      <c r="BC722" s="273"/>
      <c r="BE722" s="25"/>
    </row>
    <row r="723" spans="55:57">
      <c r="BC723" s="273"/>
      <c r="BE723" s="25"/>
    </row>
    <row r="724" spans="55:57">
      <c r="BC724" s="273"/>
      <c r="BE724" s="25"/>
    </row>
    <row r="725" spans="55:57">
      <c r="BC725" s="273"/>
      <c r="BE725" s="25"/>
    </row>
    <row r="726" spans="55:57">
      <c r="BC726" s="273"/>
      <c r="BE726" s="25"/>
    </row>
    <row r="727" spans="55:57">
      <c r="BC727" s="273"/>
      <c r="BE727" s="25"/>
    </row>
    <row r="728" spans="55:57">
      <c r="BC728" s="273"/>
      <c r="BE728" s="25"/>
    </row>
    <row r="729" spans="55:57">
      <c r="BC729" s="273"/>
      <c r="BE729" s="25"/>
    </row>
    <row r="730" spans="55:57">
      <c r="BC730" s="273"/>
      <c r="BE730" s="25"/>
    </row>
    <row r="731" spans="55:57">
      <c r="BC731" s="273"/>
      <c r="BE731" s="25"/>
    </row>
    <row r="732" spans="55:57">
      <c r="BC732" s="273"/>
      <c r="BE732" s="25"/>
    </row>
    <row r="733" spans="55:57">
      <c r="BC733" s="273"/>
      <c r="BE733" s="25"/>
    </row>
    <row r="734" spans="55:57">
      <c r="BC734" s="273"/>
      <c r="BE734" s="25"/>
    </row>
    <row r="735" spans="55:57">
      <c r="BC735" s="273"/>
      <c r="BE735" s="25"/>
    </row>
    <row r="736" spans="55:57">
      <c r="BC736" s="273"/>
      <c r="BE736" s="25"/>
    </row>
    <row r="737" spans="55:57">
      <c r="BC737" s="273"/>
      <c r="BE737" s="25"/>
    </row>
    <row r="738" spans="55:57">
      <c r="BC738" s="273"/>
      <c r="BE738" s="25"/>
    </row>
    <row r="739" spans="55:57">
      <c r="BC739" s="273"/>
      <c r="BE739" s="25"/>
    </row>
    <row r="740" spans="55:57">
      <c r="BC740" s="273"/>
      <c r="BE740" s="25"/>
    </row>
    <row r="741" spans="55:57">
      <c r="BC741" s="273"/>
      <c r="BE741" s="25"/>
    </row>
    <row r="742" spans="55:57">
      <c r="BC742" s="273"/>
      <c r="BE742" s="25"/>
    </row>
    <row r="743" spans="55:57">
      <c r="BC743" s="273"/>
      <c r="BE743" s="25"/>
    </row>
    <row r="744" spans="55:57">
      <c r="BC744" s="273"/>
      <c r="BE744" s="25"/>
    </row>
    <row r="745" spans="55:57">
      <c r="BC745" s="273"/>
      <c r="BE745" s="25"/>
    </row>
    <row r="746" spans="55:57">
      <c r="BC746" s="273"/>
      <c r="BE746" s="25"/>
    </row>
    <row r="747" spans="55:57">
      <c r="BC747" s="273"/>
      <c r="BE747" s="25"/>
    </row>
    <row r="748" spans="55:57">
      <c r="BC748" s="273"/>
      <c r="BE748" s="25"/>
    </row>
    <row r="749" spans="55:57">
      <c r="BC749" s="273"/>
      <c r="BE749" s="25"/>
    </row>
    <row r="750" spans="55:57">
      <c r="BC750" s="273"/>
      <c r="BE750" s="25"/>
    </row>
    <row r="751" spans="55:57">
      <c r="BC751" s="273"/>
      <c r="BE751" s="25"/>
    </row>
    <row r="752" spans="55:57">
      <c r="BC752" s="273"/>
      <c r="BE752" s="25"/>
    </row>
    <row r="753" spans="55:57">
      <c r="BC753" s="273"/>
      <c r="BE753" s="25"/>
    </row>
    <row r="754" spans="55:57">
      <c r="BC754" s="273"/>
      <c r="BE754" s="25"/>
    </row>
    <row r="755" spans="55:57">
      <c r="BC755" s="273"/>
      <c r="BE755" s="25"/>
    </row>
    <row r="756" spans="55:57">
      <c r="BC756" s="273"/>
      <c r="BE756" s="25"/>
    </row>
    <row r="757" spans="55:57">
      <c r="BC757" s="273"/>
      <c r="BE757" s="25"/>
    </row>
    <row r="758" spans="55:57">
      <c r="BC758" s="273"/>
      <c r="BE758" s="25"/>
    </row>
    <row r="759" spans="55:57">
      <c r="BC759" s="273"/>
      <c r="BE759" s="25"/>
    </row>
    <row r="760" spans="55:57">
      <c r="BC760" s="273"/>
      <c r="BE760" s="25"/>
    </row>
    <row r="761" spans="55:57">
      <c r="BC761" s="273"/>
      <c r="BE761" s="25"/>
    </row>
    <row r="762" spans="55:57">
      <c r="BC762" s="273"/>
      <c r="BE762" s="25"/>
    </row>
    <row r="763" spans="55:57">
      <c r="BC763" s="273"/>
      <c r="BE763" s="25"/>
    </row>
    <row r="764" spans="55:57">
      <c r="BC764" s="273"/>
      <c r="BE764" s="25"/>
    </row>
    <row r="765" spans="55:57">
      <c r="BC765" s="273"/>
      <c r="BE765" s="25"/>
    </row>
    <row r="766" spans="55:57">
      <c r="BC766" s="273"/>
      <c r="BE766" s="25"/>
    </row>
    <row r="767" spans="55:57">
      <c r="BC767" s="273"/>
      <c r="BE767" s="25"/>
    </row>
    <row r="768" spans="55:57">
      <c r="BC768" s="273"/>
      <c r="BE768" s="25"/>
    </row>
    <row r="769" spans="55:57">
      <c r="BC769" s="273"/>
      <c r="BE769" s="25"/>
    </row>
    <row r="770" spans="55:57">
      <c r="BC770" s="273"/>
      <c r="BE770" s="25"/>
    </row>
    <row r="771" spans="55:57">
      <c r="BC771" s="273"/>
      <c r="BE771" s="25"/>
    </row>
    <row r="772" spans="55:57">
      <c r="BC772" s="273"/>
      <c r="BE772" s="25"/>
    </row>
    <row r="773" spans="55:57">
      <c r="BC773" s="273"/>
      <c r="BE773" s="25"/>
    </row>
    <row r="774" spans="55:57">
      <c r="BC774" s="273"/>
      <c r="BE774" s="25"/>
    </row>
    <row r="775" spans="55:57">
      <c r="BC775" s="273"/>
      <c r="BE775" s="25"/>
    </row>
    <row r="776" spans="55:57">
      <c r="BC776" s="273"/>
      <c r="BE776" s="25"/>
    </row>
    <row r="777" spans="55:57">
      <c r="BC777" s="273"/>
      <c r="BE777" s="25"/>
    </row>
    <row r="778" spans="55:57">
      <c r="BC778" s="273"/>
      <c r="BE778" s="25"/>
    </row>
    <row r="779" spans="55:57">
      <c r="BC779" s="273"/>
      <c r="BE779" s="25"/>
    </row>
    <row r="780" spans="55:57">
      <c r="BC780" s="273"/>
      <c r="BE780" s="25"/>
    </row>
    <row r="781" spans="55:57">
      <c r="BC781" s="273"/>
      <c r="BE781" s="25"/>
    </row>
    <row r="782" spans="55:57">
      <c r="BC782" s="273"/>
      <c r="BE782" s="25"/>
    </row>
    <row r="783" spans="55:57">
      <c r="BC783" s="273"/>
      <c r="BE783" s="25"/>
    </row>
    <row r="784" spans="55:57">
      <c r="BC784" s="273"/>
      <c r="BE784" s="25"/>
    </row>
    <row r="785" spans="55:57">
      <c r="BC785" s="273"/>
      <c r="BE785" s="25"/>
    </row>
    <row r="786" spans="55:57">
      <c r="BC786" s="273"/>
      <c r="BE786" s="25"/>
    </row>
    <row r="787" spans="55:57">
      <c r="BC787" s="273"/>
      <c r="BE787" s="25"/>
    </row>
    <row r="788" spans="55:57">
      <c r="BC788" s="273"/>
      <c r="BE788" s="25"/>
    </row>
    <row r="789" spans="55:57">
      <c r="BC789" s="273"/>
      <c r="BE789" s="25"/>
    </row>
    <row r="790" spans="55:57">
      <c r="BC790" s="273"/>
      <c r="BE790" s="25"/>
    </row>
    <row r="791" spans="55:57">
      <c r="BC791" s="273"/>
      <c r="BE791" s="25"/>
    </row>
    <row r="792" spans="55:57">
      <c r="BC792" s="273"/>
      <c r="BE792" s="25"/>
    </row>
    <row r="793" spans="55:57">
      <c r="BC793" s="273"/>
      <c r="BE793" s="25"/>
    </row>
    <row r="794" spans="55:57">
      <c r="BC794" s="273"/>
      <c r="BE794" s="25"/>
    </row>
    <row r="795" spans="55:57">
      <c r="BC795" s="273"/>
      <c r="BE795" s="25"/>
    </row>
    <row r="796" spans="55:57">
      <c r="BC796" s="273"/>
      <c r="BE796" s="25"/>
    </row>
    <row r="797" spans="55:57">
      <c r="BC797" s="273"/>
      <c r="BE797" s="25"/>
    </row>
    <row r="798" spans="55:57">
      <c r="BC798" s="273"/>
      <c r="BE798" s="25"/>
    </row>
    <row r="799" spans="55:57">
      <c r="BC799" s="273"/>
      <c r="BE799" s="25"/>
    </row>
    <row r="800" spans="55:57">
      <c r="BC800" s="273"/>
      <c r="BE800" s="25"/>
    </row>
    <row r="801" spans="55:57">
      <c r="BC801" s="273"/>
      <c r="BE801" s="25"/>
    </row>
    <row r="802" spans="55:57">
      <c r="BC802" s="273"/>
      <c r="BE802" s="25"/>
    </row>
    <row r="803" spans="55:57">
      <c r="BC803" s="273"/>
      <c r="BE803" s="25"/>
    </row>
    <row r="804" spans="55:57">
      <c r="BC804" s="273"/>
      <c r="BE804" s="25"/>
    </row>
    <row r="805" spans="55:57">
      <c r="BC805" s="273"/>
      <c r="BE805" s="25"/>
    </row>
    <row r="806" spans="55:57">
      <c r="BC806" s="273"/>
      <c r="BE806" s="25"/>
    </row>
    <row r="807" spans="55:57">
      <c r="BC807" s="273"/>
      <c r="BE807" s="25"/>
    </row>
    <row r="808" spans="55:57">
      <c r="BC808" s="273"/>
      <c r="BE808" s="25"/>
    </row>
    <row r="809" spans="55:57">
      <c r="BC809" s="273"/>
      <c r="BE809" s="25"/>
    </row>
    <row r="810" spans="55:57">
      <c r="BC810" s="273"/>
      <c r="BE810" s="25"/>
    </row>
    <row r="811" spans="55:57">
      <c r="BC811" s="273"/>
      <c r="BE811" s="25"/>
    </row>
    <row r="812" spans="55:57">
      <c r="BC812" s="273"/>
      <c r="BE812" s="25"/>
    </row>
    <row r="813" spans="55:57">
      <c r="BC813" s="273"/>
      <c r="BE813" s="25"/>
    </row>
    <row r="814" spans="55:57">
      <c r="BC814" s="273"/>
      <c r="BE814" s="25"/>
    </row>
    <row r="815" spans="55:57">
      <c r="BC815" s="273"/>
      <c r="BE815" s="25"/>
    </row>
    <row r="816" spans="55:57">
      <c r="BC816" s="273"/>
      <c r="BE816" s="25"/>
    </row>
    <row r="817" spans="55:57">
      <c r="BC817" s="273"/>
      <c r="BE817" s="25"/>
    </row>
    <row r="818" spans="55:57">
      <c r="BC818" s="273"/>
      <c r="BE818" s="25"/>
    </row>
    <row r="819" spans="55:57">
      <c r="BC819" s="273"/>
      <c r="BE819" s="25"/>
    </row>
    <row r="820" spans="55:57">
      <c r="BC820" s="273"/>
      <c r="BE820" s="25"/>
    </row>
    <row r="821" spans="55:57">
      <c r="BC821" s="273"/>
      <c r="BE821" s="25"/>
    </row>
    <row r="822" spans="55:57">
      <c r="BC822" s="273"/>
      <c r="BE822" s="25"/>
    </row>
    <row r="823" spans="55:57">
      <c r="BC823" s="273"/>
      <c r="BE823" s="25"/>
    </row>
    <row r="824" spans="55:57">
      <c r="BC824" s="273"/>
      <c r="BE824" s="25"/>
    </row>
    <row r="825" spans="55:57">
      <c r="BC825" s="273"/>
      <c r="BE825" s="25"/>
    </row>
    <row r="826" spans="55:57">
      <c r="BC826" s="273"/>
      <c r="BE826" s="25"/>
    </row>
    <row r="827" spans="55:57">
      <c r="BC827" s="273"/>
      <c r="BE827" s="25"/>
    </row>
    <row r="828" spans="55:57">
      <c r="BC828" s="273"/>
      <c r="BE828" s="25"/>
    </row>
    <row r="829" spans="55:57">
      <c r="BC829" s="273"/>
      <c r="BE829" s="25"/>
    </row>
    <row r="830" spans="55:57">
      <c r="BC830" s="273"/>
      <c r="BE830" s="25"/>
    </row>
    <row r="831" spans="55:57">
      <c r="BC831" s="273"/>
      <c r="BE831" s="25"/>
    </row>
    <row r="832" spans="55:57">
      <c r="BC832" s="273"/>
      <c r="BE832" s="25"/>
    </row>
    <row r="833" spans="55:57">
      <c r="BC833" s="273"/>
      <c r="BE833" s="25"/>
    </row>
    <row r="834" spans="55:57">
      <c r="BC834" s="273"/>
      <c r="BE834" s="25"/>
    </row>
    <row r="835" spans="55:57">
      <c r="BC835" s="273"/>
      <c r="BE835" s="25"/>
    </row>
    <row r="836" spans="55:57">
      <c r="BC836" s="273"/>
      <c r="BE836" s="25"/>
    </row>
    <row r="837" spans="55:57">
      <c r="BC837" s="273"/>
      <c r="BE837" s="25"/>
    </row>
    <row r="838" spans="55:57">
      <c r="BC838" s="273"/>
      <c r="BE838" s="25"/>
    </row>
    <row r="839" spans="55:57">
      <c r="BC839" s="273"/>
      <c r="BE839" s="25"/>
    </row>
    <row r="840" spans="55:57">
      <c r="BC840" s="273"/>
      <c r="BE840" s="25"/>
    </row>
    <row r="841" spans="55:57">
      <c r="BC841" s="273"/>
      <c r="BE841" s="25"/>
    </row>
    <row r="842" spans="55:57">
      <c r="BC842" s="273"/>
      <c r="BE842" s="25"/>
    </row>
    <row r="843" spans="55:57">
      <c r="BC843" s="273"/>
      <c r="BE843" s="25"/>
    </row>
    <row r="844" spans="55:57">
      <c r="BC844" s="273"/>
      <c r="BE844" s="25"/>
    </row>
    <row r="845" spans="55:57">
      <c r="BC845" s="273"/>
      <c r="BE845" s="25"/>
    </row>
    <row r="846" spans="55:57">
      <c r="BC846" s="273"/>
      <c r="BE846" s="25"/>
    </row>
    <row r="847" spans="55:57">
      <c r="BC847" s="273"/>
      <c r="BE847" s="25"/>
    </row>
    <row r="848" spans="55:57">
      <c r="BC848" s="273"/>
      <c r="BE848" s="25"/>
    </row>
    <row r="849" spans="55:57">
      <c r="BC849" s="273"/>
      <c r="BE849" s="25"/>
    </row>
    <row r="850" spans="55:57">
      <c r="BC850" s="273"/>
      <c r="BE850" s="25"/>
    </row>
    <row r="851" spans="55:57">
      <c r="BC851" s="273"/>
      <c r="BE851" s="25"/>
    </row>
    <row r="852" spans="55:57">
      <c r="BC852" s="273"/>
      <c r="BE852" s="25"/>
    </row>
    <row r="853" spans="55:57">
      <c r="BC853" s="273"/>
      <c r="BE853" s="25"/>
    </row>
    <row r="854" spans="55:57">
      <c r="BC854" s="273"/>
      <c r="BE854" s="25"/>
    </row>
    <row r="855" spans="55:57">
      <c r="BC855" s="273"/>
      <c r="BE855" s="25"/>
    </row>
    <row r="856" spans="55:57">
      <c r="BC856" s="273"/>
      <c r="BE856" s="25"/>
    </row>
    <row r="857" spans="55:57">
      <c r="BC857" s="273"/>
      <c r="BE857" s="25"/>
    </row>
    <row r="858" spans="55:57">
      <c r="BC858" s="273"/>
      <c r="BE858" s="25"/>
    </row>
    <row r="859" spans="55:57">
      <c r="BC859" s="273"/>
      <c r="BE859" s="25"/>
    </row>
    <row r="860" spans="55:57">
      <c r="BC860" s="273"/>
      <c r="BE860" s="25"/>
    </row>
    <row r="861" spans="55:57">
      <c r="BC861" s="273"/>
      <c r="BE861" s="25"/>
    </row>
    <row r="862" spans="55:57">
      <c r="BC862" s="273"/>
      <c r="BE862" s="25"/>
    </row>
    <row r="863" spans="55:57">
      <c r="BC863" s="273"/>
      <c r="BE863" s="25"/>
    </row>
    <row r="864" spans="55:57">
      <c r="BC864" s="273"/>
      <c r="BE864" s="25"/>
    </row>
    <row r="865" spans="55:57">
      <c r="BC865" s="273"/>
      <c r="BE865" s="25"/>
    </row>
    <row r="866" spans="55:57">
      <c r="BC866" s="273"/>
      <c r="BE866" s="25"/>
    </row>
    <row r="867" spans="55:57">
      <c r="BC867" s="273"/>
      <c r="BE867" s="25"/>
    </row>
    <row r="868" spans="55:57">
      <c r="BC868" s="273"/>
      <c r="BE868" s="25"/>
    </row>
    <row r="869" spans="55:57">
      <c r="BC869" s="273"/>
      <c r="BE869" s="25"/>
    </row>
    <row r="870" spans="55:57">
      <c r="BC870" s="273"/>
      <c r="BE870" s="25"/>
    </row>
    <row r="871" spans="55:57">
      <c r="BC871" s="273"/>
      <c r="BE871" s="25"/>
    </row>
    <row r="872" spans="55:57">
      <c r="BC872" s="273"/>
      <c r="BE872" s="25"/>
    </row>
    <row r="873" spans="55:57">
      <c r="BC873" s="273"/>
      <c r="BE873" s="25"/>
    </row>
    <row r="874" spans="55:57">
      <c r="BC874" s="273"/>
      <c r="BE874" s="25"/>
    </row>
    <row r="875" spans="55:57">
      <c r="BC875" s="273"/>
      <c r="BE875" s="25"/>
    </row>
    <row r="876" spans="55:57">
      <c r="BC876" s="273"/>
      <c r="BE876" s="25"/>
    </row>
    <row r="877" spans="55:57">
      <c r="BC877" s="273"/>
      <c r="BE877" s="25"/>
    </row>
    <row r="878" spans="55:57">
      <c r="BC878" s="273"/>
      <c r="BE878" s="25"/>
    </row>
    <row r="879" spans="55:57">
      <c r="BC879" s="273"/>
      <c r="BE879" s="25"/>
    </row>
    <row r="880" spans="55:57">
      <c r="BC880" s="273"/>
      <c r="BE880" s="25"/>
    </row>
    <row r="881" spans="55:57">
      <c r="BC881" s="273"/>
      <c r="BE881" s="25"/>
    </row>
    <row r="882" spans="55:57">
      <c r="BC882" s="273"/>
      <c r="BE882" s="25"/>
    </row>
    <row r="883" spans="55:57">
      <c r="BC883" s="273"/>
      <c r="BE883" s="25"/>
    </row>
    <row r="884" spans="55:57">
      <c r="BC884" s="273"/>
      <c r="BE884" s="25"/>
    </row>
    <row r="885" spans="55:57">
      <c r="BC885" s="273"/>
      <c r="BE885" s="25"/>
    </row>
    <row r="886" spans="55:57">
      <c r="BC886" s="273"/>
      <c r="BE886" s="25"/>
    </row>
    <row r="887" spans="55:57">
      <c r="BC887" s="273"/>
      <c r="BE887" s="25"/>
    </row>
    <row r="888" spans="55:57">
      <c r="BC888" s="273"/>
      <c r="BE888" s="25"/>
    </row>
    <row r="889" spans="55:57">
      <c r="BC889" s="273"/>
      <c r="BE889" s="25"/>
    </row>
    <row r="890" spans="55:57">
      <c r="BC890" s="273"/>
      <c r="BE890" s="25"/>
    </row>
    <row r="891" spans="55:57">
      <c r="BC891" s="273"/>
      <c r="BE891" s="25"/>
    </row>
    <row r="892" spans="55:57">
      <c r="BC892" s="273"/>
      <c r="BE892" s="25"/>
    </row>
    <row r="893" spans="55:57">
      <c r="BC893" s="273"/>
      <c r="BE893" s="25"/>
    </row>
    <row r="894" spans="55:57">
      <c r="BC894" s="273"/>
      <c r="BE894" s="25"/>
    </row>
    <row r="895" spans="55:57">
      <c r="BC895" s="273"/>
      <c r="BE895" s="25"/>
    </row>
    <row r="896" spans="55:57">
      <c r="BC896" s="273"/>
      <c r="BE896" s="25"/>
    </row>
    <row r="897" spans="55:57">
      <c r="BC897" s="273"/>
      <c r="BE897" s="25"/>
    </row>
    <row r="898" spans="55:57">
      <c r="BC898" s="273"/>
      <c r="BE898" s="25"/>
    </row>
    <row r="899" spans="55:57">
      <c r="BC899" s="273"/>
      <c r="BE899" s="25"/>
    </row>
    <row r="900" spans="55:57">
      <c r="BC900" s="273"/>
      <c r="BE900" s="25"/>
    </row>
    <row r="901" spans="55:57">
      <c r="BC901" s="273"/>
      <c r="BE901" s="25"/>
    </row>
    <row r="902" spans="55:57">
      <c r="BC902" s="273"/>
      <c r="BE902" s="25"/>
    </row>
    <row r="903" spans="55:57">
      <c r="BC903" s="273"/>
      <c r="BE903" s="25"/>
    </row>
    <row r="904" spans="55:57">
      <c r="BC904" s="273"/>
      <c r="BE904" s="25"/>
    </row>
    <row r="905" spans="55:57">
      <c r="BC905" s="273"/>
      <c r="BE905" s="25"/>
    </row>
    <row r="906" spans="55:57">
      <c r="BC906" s="273"/>
      <c r="BE906" s="25"/>
    </row>
    <row r="907" spans="55:57">
      <c r="BC907" s="273"/>
      <c r="BE907" s="25"/>
    </row>
    <row r="908" spans="55:57">
      <c r="BC908" s="273"/>
      <c r="BE908" s="25"/>
    </row>
    <row r="909" spans="55:57">
      <c r="BC909" s="273"/>
      <c r="BE909" s="25"/>
    </row>
    <row r="910" spans="55:57">
      <c r="BC910" s="273"/>
      <c r="BE910" s="25"/>
    </row>
    <row r="911" spans="55:57">
      <c r="BC911" s="273"/>
      <c r="BE911" s="25"/>
    </row>
    <row r="912" spans="55:57">
      <c r="BC912" s="273"/>
      <c r="BE912" s="25"/>
    </row>
    <row r="913" spans="55:57">
      <c r="BC913" s="273"/>
      <c r="BE913" s="25"/>
    </row>
    <row r="914" spans="55:57">
      <c r="BC914" s="273"/>
      <c r="BE914" s="25"/>
    </row>
    <row r="915" spans="55:57">
      <c r="BC915" s="273"/>
      <c r="BE915" s="25"/>
    </row>
    <row r="916" spans="55:57">
      <c r="BC916" s="273"/>
      <c r="BE916" s="25"/>
    </row>
    <row r="917" spans="55:57">
      <c r="BC917" s="273"/>
      <c r="BE917" s="25"/>
    </row>
    <row r="918" spans="55:57">
      <c r="BC918" s="273"/>
      <c r="BE918" s="25"/>
    </row>
    <row r="919" spans="55:57">
      <c r="BC919" s="273"/>
      <c r="BE919" s="25"/>
    </row>
    <row r="920" spans="55:57">
      <c r="BC920" s="273"/>
      <c r="BE920" s="25"/>
    </row>
    <row r="921" spans="55:57">
      <c r="BC921" s="273"/>
      <c r="BE921" s="25"/>
    </row>
    <row r="922" spans="55:57">
      <c r="BC922" s="273"/>
      <c r="BE922" s="25"/>
    </row>
    <row r="923" spans="55:57">
      <c r="BC923" s="273"/>
      <c r="BE923" s="25"/>
    </row>
    <row r="924" spans="55:57">
      <c r="BC924" s="273"/>
      <c r="BE924" s="25"/>
    </row>
    <row r="925" spans="55:57">
      <c r="BC925" s="273"/>
      <c r="BE925" s="25"/>
    </row>
    <row r="926" spans="55:57">
      <c r="BC926" s="273"/>
      <c r="BE926" s="25"/>
    </row>
    <row r="927" spans="55:57">
      <c r="BC927" s="273"/>
      <c r="BE927" s="25"/>
    </row>
    <row r="928" spans="55:57">
      <c r="BC928" s="273"/>
      <c r="BE928" s="25"/>
    </row>
    <row r="929" spans="55:57">
      <c r="BC929" s="273"/>
      <c r="BE929" s="25"/>
    </row>
    <row r="930" spans="55:57">
      <c r="BC930" s="273"/>
      <c r="BE930" s="25"/>
    </row>
    <row r="931" spans="55:57">
      <c r="BC931" s="273"/>
      <c r="BE931" s="25"/>
    </row>
    <row r="932" spans="55:57">
      <c r="BC932" s="273"/>
      <c r="BE932" s="25"/>
    </row>
    <row r="933" spans="55:57">
      <c r="BC933" s="273"/>
      <c r="BE933" s="25"/>
    </row>
    <row r="934" spans="55:57">
      <c r="BC934" s="273"/>
      <c r="BE934" s="25"/>
    </row>
    <row r="935" spans="55:57">
      <c r="BC935" s="273"/>
      <c r="BE935" s="25"/>
    </row>
    <row r="936" spans="55:57">
      <c r="BC936" s="273"/>
      <c r="BE936" s="25"/>
    </row>
    <row r="937" spans="55:57">
      <c r="BC937" s="273"/>
      <c r="BE937" s="25"/>
    </row>
    <row r="938" spans="55:57">
      <c r="BC938" s="273"/>
      <c r="BE938" s="25"/>
    </row>
    <row r="939" spans="55:57">
      <c r="BC939" s="273"/>
      <c r="BE939" s="25"/>
    </row>
    <row r="940" spans="55:57">
      <c r="BC940" s="273"/>
      <c r="BE940" s="25"/>
    </row>
    <row r="941" spans="55:57">
      <c r="BC941" s="273"/>
      <c r="BE941" s="25"/>
    </row>
    <row r="942" spans="55:57">
      <c r="BC942" s="273"/>
      <c r="BE942" s="25"/>
    </row>
    <row r="943" spans="55:57">
      <c r="BC943" s="273"/>
      <c r="BE943" s="25"/>
    </row>
    <row r="944" spans="55:57">
      <c r="BC944" s="273"/>
      <c r="BE944" s="25"/>
    </row>
    <row r="945" spans="55:57">
      <c r="BC945" s="273"/>
      <c r="BE945" s="25"/>
    </row>
    <row r="946" spans="55:57">
      <c r="BC946" s="273"/>
      <c r="BE946" s="25"/>
    </row>
    <row r="947" spans="55:57">
      <c r="BC947" s="273"/>
      <c r="BE947" s="25"/>
    </row>
    <row r="948" spans="55:57">
      <c r="BC948" s="273"/>
      <c r="BE948" s="25"/>
    </row>
    <row r="949" spans="55:57">
      <c r="BC949" s="273"/>
      <c r="BE949" s="25"/>
    </row>
    <row r="950" spans="55:57">
      <c r="BC950" s="273"/>
      <c r="BE950" s="25"/>
    </row>
    <row r="951" spans="55:57">
      <c r="BC951" s="273"/>
      <c r="BE951" s="25"/>
    </row>
    <row r="952" spans="55:57">
      <c r="BC952" s="273"/>
      <c r="BE952" s="25"/>
    </row>
    <row r="953" spans="55:57">
      <c r="BC953" s="273"/>
      <c r="BE953" s="25"/>
    </row>
    <row r="954" spans="55:57">
      <c r="BC954" s="273"/>
      <c r="BE954" s="25"/>
    </row>
    <row r="955" spans="55:57">
      <c r="BC955" s="273"/>
      <c r="BE955" s="25"/>
    </row>
    <row r="956" spans="55:57">
      <c r="BC956" s="273"/>
      <c r="BE956" s="25"/>
    </row>
    <row r="957" spans="55:57">
      <c r="BC957" s="273"/>
      <c r="BE957" s="25"/>
    </row>
    <row r="958" spans="55:57">
      <c r="BC958" s="273"/>
      <c r="BE958" s="25"/>
    </row>
    <row r="959" spans="55:57">
      <c r="BC959" s="273"/>
      <c r="BE959" s="25"/>
    </row>
    <row r="960" spans="55:57">
      <c r="BC960" s="273"/>
      <c r="BE960" s="25"/>
    </row>
    <row r="961" spans="55:57">
      <c r="BC961" s="273"/>
      <c r="BE961" s="25"/>
    </row>
    <row r="962" spans="55:57">
      <c r="BC962" s="273"/>
      <c r="BE962" s="25"/>
    </row>
    <row r="963" spans="55:57">
      <c r="BC963" s="273"/>
      <c r="BE963" s="25"/>
    </row>
    <row r="964" spans="55:57">
      <c r="BC964" s="273"/>
      <c r="BE964" s="25"/>
    </row>
    <row r="965" spans="55:57">
      <c r="BC965" s="273"/>
      <c r="BE965" s="25"/>
    </row>
    <row r="966" spans="55:57">
      <c r="BC966" s="273"/>
      <c r="BE966" s="25"/>
    </row>
    <row r="967" spans="55:57">
      <c r="BC967" s="273"/>
      <c r="BE967" s="25"/>
    </row>
    <row r="968" spans="55:57">
      <c r="BC968" s="273"/>
      <c r="BE968" s="25"/>
    </row>
    <row r="969" spans="55:57">
      <c r="BC969" s="273"/>
      <c r="BE969" s="25"/>
    </row>
    <row r="970" spans="55:57">
      <c r="BC970" s="273"/>
      <c r="BE970" s="25"/>
    </row>
    <row r="971" spans="55:57">
      <c r="BC971" s="273"/>
      <c r="BE971" s="25"/>
    </row>
    <row r="972" spans="55:57">
      <c r="BC972" s="273"/>
      <c r="BE972" s="25"/>
    </row>
    <row r="973" spans="55:57">
      <c r="BC973" s="273"/>
      <c r="BE973" s="25"/>
    </row>
    <row r="974" spans="55:57">
      <c r="BC974" s="273"/>
      <c r="BE974" s="25"/>
    </row>
    <row r="975" spans="55:57">
      <c r="BC975" s="273"/>
      <c r="BE975" s="25"/>
    </row>
    <row r="976" spans="55:57">
      <c r="BC976" s="273"/>
      <c r="BE976" s="25"/>
    </row>
    <row r="977" spans="55:57">
      <c r="BC977" s="273"/>
      <c r="BE977" s="25"/>
    </row>
    <row r="978" spans="55:57">
      <c r="BC978" s="273"/>
      <c r="BE978" s="25"/>
    </row>
    <row r="979" spans="55:57">
      <c r="BC979" s="273"/>
      <c r="BE979" s="25"/>
    </row>
    <row r="980" spans="55:57">
      <c r="BC980" s="273"/>
      <c r="BE980" s="25"/>
    </row>
    <row r="981" spans="55:57">
      <c r="BC981" s="273"/>
      <c r="BE981" s="25"/>
    </row>
    <row r="982" spans="55:57">
      <c r="BC982" s="273"/>
      <c r="BE982" s="25"/>
    </row>
    <row r="983" spans="55:57">
      <c r="BC983" s="273"/>
      <c r="BE983" s="25"/>
    </row>
    <row r="984" spans="55:57">
      <c r="BC984" s="273"/>
      <c r="BE984" s="25"/>
    </row>
    <row r="985" spans="55:57">
      <c r="BC985" s="273"/>
      <c r="BE985" s="25"/>
    </row>
    <row r="986" spans="55:57">
      <c r="BC986" s="273"/>
      <c r="BE986" s="25"/>
    </row>
    <row r="987" spans="55:57">
      <c r="BC987" s="273"/>
      <c r="BE987" s="25"/>
    </row>
    <row r="988" spans="55:57">
      <c r="BC988" s="273"/>
      <c r="BE988" s="25"/>
    </row>
    <row r="989" spans="55:57">
      <c r="BC989" s="273"/>
      <c r="BE989" s="25"/>
    </row>
    <row r="990" spans="55:57">
      <c r="BC990" s="273"/>
      <c r="BE990" s="25"/>
    </row>
    <row r="991" spans="55:57">
      <c r="BC991" s="273"/>
      <c r="BE991" s="25"/>
    </row>
    <row r="992" spans="55:57">
      <c r="BC992" s="273"/>
      <c r="BE992" s="25"/>
    </row>
    <row r="993" spans="55:57">
      <c r="BC993" s="273"/>
      <c r="BE993" s="25"/>
    </row>
    <row r="994" spans="55:57">
      <c r="BC994" s="273"/>
      <c r="BE994" s="25"/>
    </row>
    <row r="995" spans="55:57">
      <c r="BC995" s="273"/>
      <c r="BE995" s="25"/>
    </row>
    <row r="996" spans="55:57">
      <c r="BC996" s="273"/>
      <c r="BE996" s="25"/>
    </row>
    <row r="997" spans="55:57">
      <c r="BC997" s="273"/>
      <c r="BE997" s="25"/>
    </row>
    <row r="998" spans="55:57">
      <c r="BC998" s="273"/>
      <c r="BE998" s="25"/>
    </row>
    <row r="999" spans="55:57">
      <c r="BC999" s="273"/>
      <c r="BE999" s="25"/>
    </row>
    <row r="1000" spans="55:57">
      <c r="BC1000" s="273"/>
      <c r="BE1000" s="25"/>
    </row>
    <row r="1001" spans="55:57">
      <c r="BC1001" s="273"/>
      <c r="BE1001" s="25"/>
    </row>
    <row r="1002" spans="55:57">
      <c r="BC1002" s="273"/>
      <c r="BE1002" s="25"/>
    </row>
    <row r="1003" spans="55:57">
      <c r="BC1003" s="273"/>
      <c r="BE1003" s="25"/>
    </row>
    <row r="1004" spans="55:57">
      <c r="BC1004" s="273"/>
      <c r="BE1004" s="25"/>
    </row>
    <row r="1005" spans="55:57">
      <c r="BC1005" s="273"/>
      <c r="BE1005" s="25"/>
    </row>
    <row r="1006" spans="55:57">
      <c r="BC1006" s="273"/>
      <c r="BE1006" s="25"/>
    </row>
    <row r="1007" spans="55:57">
      <c r="BC1007" s="273"/>
      <c r="BE1007" s="25"/>
    </row>
    <row r="1008" spans="55:57">
      <c r="BC1008" s="273"/>
      <c r="BE1008" s="25"/>
    </row>
    <row r="1009" spans="55:57">
      <c r="BC1009" s="273"/>
      <c r="BE1009" s="25"/>
    </row>
    <row r="1010" spans="55:57">
      <c r="BC1010" s="273"/>
      <c r="BE1010" s="25"/>
    </row>
    <row r="1011" spans="55:57">
      <c r="BC1011" s="273"/>
      <c r="BE1011" s="25"/>
    </row>
    <row r="1012" spans="55:57">
      <c r="BC1012" s="273"/>
      <c r="BE1012" s="25"/>
    </row>
    <row r="1013" spans="55:57">
      <c r="BC1013" s="273"/>
      <c r="BE1013" s="25"/>
    </row>
    <row r="1014" spans="55:57">
      <c r="BC1014" s="273"/>
      <c r="BE1014" s="25"/>
    </row>
    <row r="1015" spans="55:57">
      <c r="BC1015" s="273"/>
      <c r="BE1015" s="25"/>
    </row>
    <row r="1016" spans="55:57">
      <c r="BC1016" s="273"/>
      <c r="BE1016" s="25"/>
    </row>
    <row r="1017" spans="55:57">
      <c r="BC1017" s="273"/>
      <c r="BE1017" s="25"/>
    </row>
    <row r="1018" spans="55:57">
      <c r="BC1018" s="273"/>
      <c r="BE1018" s="25"/>
    </row>
    <row r="1019" spans="55:57">
      <c r="BC1019" s="273"/>
      <c r="BE1019" s="25"/>
    </row>
    <row r="1020" spans="55:57">
      <c r="BC1020" s="273"/>
      <c r="BE1020" s="25"/>
    </row>
    <row r="1021" spans="55:57">
      <c r="BC1021" s="273"/>
      <c r="BE1021" s="25"/>
    </row>
    <row r="1022" spans="55:57">
      <c r="BC1022" s="273"/>
      <c r="BE1022" s="25"/>
    </row>
    <row r="1023" spans="55:57">
      <c r="BC1023" s="273"/>
      <c r="BE1023" s="25"/>
    </row>
    <row r="1024" spans="55:57">
      <c r="BC1024" s="273"/>
      <c r="BE1024" s="25"/>
    </row>
    <row r="1025" spans="55:57">
      <c r="BC1025" s="273"/>
      <c r="BE1025" s="25"/>
    </row>
    <row r="1026" spans="55:57">
      <c r="BC1026" s="273"/>
      <c r="BE1026" s="25"/>
    </row>
    <row r="1027" spans="55:57">
      <c r="BC1027" s="273"/>
      <c r="BE1027" s="25"/>
    </row>
    <row r="1028" spans="55:57">
      <c r="BC1028" s="273"/>
      <c r="BE1028" s="25"/>
    </row>
    <row r="1029" spans="55:57">
      <c r="BC1029" s="273"/>
      <c r="BE1029" s="25"/>
    </row>
    <row r="1030" spans="55:57">
      <c r="BC1030" s="273"/>
      <c r="BE1030" s="25"/>
    </row>
    <row r="1031" spans="55:57">
      <c r="BC1031" s="273"/>
      <c r="BE1031" s="25"/>
    </row>
    <row r="1032" spans="55:57">
      <c r="BC1032" s="273"/>
      <c r="BE1032" s="25"/>
    </row>
    <row r="1033" spans="55:57">
      <c r="BC1033" s="273"/>
      <c r="BE1033" s="25"/>
    </row>
    <row r="1034" spans="55:57">
      <c r="BC1034" s="273"/>
      <c r="BE1034" s="25"/>
    </row>
    <row r="1035" spans="55:57">
      <c r="BC1035" s="273"/>
      <c r="BE1035" s="25"/>
    </row>
    <row r="1036" spans="55:57">
      <c r="BC1036" s="273"/>
      <c r="BE1036" s="25"/>
    </row>
    <row r="1037" spans="55:57">
      <c r="BC1037" s="273"/>
      <c r="BE1037" s="25"/>
    </row>
    <row r="1038" spans="55:57">
      <c r="BC1038" s="273"/>
      <c r="BE1038" s="25"/>
    </row>
    <row r="1039" spans="55:57">
      <c r="BC1039" s="273"/>
      <c r="BE1039" s="25"/>
    </row>
    <row r="1040" spans="55:57">
      <c r="BC1040" s="273"/>
      <c r="BE1040" s="25"/>
    </row>
    <row r="1041" spans="55:57">
      <c r="BC1041" s="273"/>
      <c r="BE1041" s="25"/>
    </row>
    <row r="1042" spans="55:57">
      <c r="BC1042" s="273"/>
      <c r="BE1042" s="25"/>
    </row>
    <row r="1043" spans="55:57">
      <c r="BC1043" s="273"/>
      <c r="BE1043" s="25"/>
    </row>
    <row r="1044" spans="55:57">
      <c r="BC1044" s="273"/>
      <c r="BE1044" s="25"/>
    </row>
    <row r="1045" spans="55:57">
      <c r="BC1045" s="273"/>
      <c r="BE1045" s="25"/>
    </row>
    <row r="1046" spans="55:57">
      <c r="BC1046" s="273"/>
      <c r="BE1046" s="25"/>
    </row>
    <row r="1047" spans="55:57">
      <c r="BC1047" s="273"/>
      <c r="BE1047" s="25"/>
    </row>
    <row r="1048" spans="55:57">
      <c r="BC1048" s="273"/>
      <c r="BE1048" s="25"/>
    </row>
    <row r="1049" spans="55:57">
      <c r="BC1049" s="273"/>
      <c r="BE1049" s="25"/>
    </row>
    <row r="1050" spans="55:57">
      <c r="BC1050" s="273"/>
      <c r="BE1050" s="25"/>
    </row>
    <row r="1051" spans="55:57">
      <c r="BC1051" s="273"/>
      <c r="BE1051" s="25"/>
    </row>
    <row r="1052" spans="55:57">
      <c r="BC1052" s="273"/>
      <c r="BE1052" s="25"/>
    </row>
    <row r="1053" spans="55:57">
      <c r="BC1053" s="273"/>
      <c r="BE1053" s="25"/>
    </row>
    <row r="1054" spans="55:57">
      <c r="BC1054" s="273"/>
      <c r="BE1054" s="25"/>
    </row>
    <row r="1055" spans="55:57">
      <c r="BC1055" s="273"/>
      <c r="BE1055" s="25"/>
    </row>
    <row r="1056" spans="55:57">
      <c r="BC1056" s="273"/>
      <c r="BE1056" s="25"/>
    </row>
    <row r="1057" spans="55:57">
      <c r="BC1057" s="273"/>
      <c r="BE1057" s="25"/>
    </row>
    <row r="1058" spans="55:57">
      <c r="BC1058" s="273"/>
      <c r="BE1058" s="25"/>
    </row>
    <row r="1059" spans="55:57">
      <c r="BC1059" s="273"/>
      <c r="BE1059" s="25"/>
    </row>
    <row r="1060" spans="55:57">
      <c r="BC1060" s="273"/>
      <c r="BE1060" s="25"/>
    </row>
    <row r="1061" spans="55:57">
      <c r="BC1061" s="273"/>
      <c r="BE1061" s="25"/>
    </row>
    <row r="1062" spans="55:57">
      <c r="BC1062" s="273"/>
      <c r="BE1062" s="25"/>
    </row>
    <row r="1063" spans="55:57">
      <c r="BC1063" s="273"/>
      <c r="BE1063" s="25"/>
    </row>
    <row r="1064" spans="55:57">
      <c r="BC1064" s="273"/>
      <c r="BE1064" s="25"/>
    </row>
    <row r="1065" spans="55:57">
      <c r="BC1065" s="273"/>
      <c r="BE1065" s="25"/>
    </row>
    <row r="1066" spans="55:57">
      <c r="BC1066" s="273"/>
      <c r="BE1066" s="25"/>
    </row>
    <row r="1067" spans="55:57">
      <c r="BC1067" s="273"/>
      <c r="BE1067" s="25"/>
    </row>
    <row r="1068" spans="55:57">
      <c r="BC1068" s="273"/>
      <c r="BE1068" s="25"/>
    </row>
    <row r="1069" spans="55:57">
      <c r="BC1069" s="273"/>
      <c r="BE1069" s="25"/>
    </row>
    <row r="1070" spans="55:57">
      <c r="BC1070" s="273"/>
      <c r="BE1070" s="25"/>
    </row>
    <row r="1071" spans="55:57">
      <c r="BC1071" s="273"/>
      <c r="BE1071" s="25"/>
    </row>
    <row r="1072" spans="55:57">
      <c r="BC1072" s="273"/>
      <c r="BE1072" s="25"/>
    </row>
    <row r="1073" spans="55:57">
      <c r="BC1073" s="273"/>
      <c r="BE1073" s="25"/>
    </row>
    <row r="1074" spans="55:57">
      <c r="BC1074" s="273"/>
      <c r="BE1074" s="25"/>
    </row>
    <row r="1075" spans="55:57">
      <c r="BC1075" s="273"/>
      <c r="BE1075" s="25"/>
    </row>
    <row r="1076" spans="55:57">
      <c r="BC1076" s="273"/>
      <c r="BE1076" s="25"/>
    </row>
    <row r="1077" spans="55:57">
      <c r="BC1077" s="273"/>
      <c r="BE1077" s="25"/>
    </row>
    <row r="1078" spans="55:57">
      <c r="BC1078" s="273"/>
      <c r="BE1078" s="25"/>
    </row>
    <row r="1079" spans="55:57">
      <c r="BC1079" s="273"/>
      <c r="BE1079" s="25"/>
    </row>
    <row r="1080" spans="55:57">
      <c r="BC1080" s="273"/>
      <c r="BE1080" s="25"/>
    </row>
    <row r="1081" spans="55:57">
      <c r="BC1081" s="273"/>
      <c r="BE1081" s="25"/>
    </row>
    <row r="1082" spans="55:57">
      <c r="BC1082" s="273"/>
      <c r="BE1082" s="25"/>
    </row>
    <row r="1083" spans="55:57">
      <c r="BC1083" s="273"/>
      <c r="BE1083" s="25"/>
    </row>
    <row r="1084" spans="55:57">
      <c r="BC1084" s="273"/>
      <c r="BE1084" s="25"/>
    </row>
    <row r="1085" spans="55:57">
      <c r="BC1085" s="273"/>
      <c r="BE1085" s="25"/>
    </row>
    <row r="1086" spans="55:57">
      <c r="BC1086" s="273"/>
      <c r="BE1086" s="25"/>
    </row>
    <row r="1087" spans="55:57">
      <c r="BC1087" s="273"/>
      <c r="BE1087" s="25"/>
    </row>
    <row r="1088" spans="55:57">
      <c r="BC1088" s="273"/>
      <c r="BE1088" s="25"/>
    </row>
    <row r="1089" spans="55:57">
      <c r="BC1089" s="273"/>
      <c r="BE1089" s="25"/>
    </row>
    <row r="1090" spans="55:57">
      <c r="BC1090" s="273"/>
      <c r="BE1090" s="25"/>
    </row>
    <row r="1091" spans="55:57">
      <c r="BC1091" s="273"/>
      <c r="BE1091" s="25"/>
    </row>
    <row r="1092" spans="55:57">
      <c r="BC1092" s="273"/>
      <c r="BE1092" s="25"/>
    </row>
    <row r="1093" spans="55:57">
      <c r="BC1093" s="273"/>
      <c r="BE1093" s="25"/>
    </row>
    <row r="1094" spans="55:57">
      <c r="BC1094" s="273"/>
      <c r="BE1094" s="25"/>
    </row>
    <row r="1095" spans="55:57">
      <c r="BC1095" s="273"/>
      <c r="BE1095" s="25"/>
    </row>
    <row r="1096" spans="55:57">
      <c r="BC1096" s="273"/>
      <c r="BE1096" s="25"/>
    </row>
    <row r="1097" spans="55:57">
      <c r="BC1097" s="273"/>
      <c r="BE1097" s="25"/>
    </row>
    <row r="1098" spans="55:57">
      <c r="BC1098" s="273"/>
      <c r="BE1098" s="25"/>
    </row>
    <row r="1099" spans="55:57">
      <c r="BC1099" s="273"/>
      <c r="BE1099" s="25"/>
    </row>
    <row r="1100" spans="55:57">
      <c r="BC1100" s="273"/>
      <c r="BE1100" s="25"/>
    </row>
    <row r="1101" spans="55:57">
      <c r="BC1101" s="273"/>
      <c r="BE1101" s="25"/>
    </row>
    <row r="1102" spans="55:57">
      <c r="BC1102" s="273"/>
      <c r="BE1102" s="25"/>
    </row>
    <row r="1103" spans="55:57">
      <c r="BC1103" s="273"/>
      <c r="BE1103" s="25"/>
    </row>
    <row r="1104" spans="55:57">
      <c r="BC1104" s="273"/>
      <c r="BE1104" s="25"/>
    </row>
    <row r="1105" spans="1:91">
      <c r="BC1105" s="273"/>
      <c r="BE1105" s="25"/>
    </row>
    <row r="1106" spans="1:91">
      <c r="BC1106" s="273"/>
      <c r="BE1106" s="25"/>
    </row>
    <row r="1107" spans="1:91">
      <c r="BC1107" s="273"/>
      <c r="BE1107" s="25"/>
    </row>
    <row r="1108" spans="1:91">
      <c r="BC1108" s="273"/>
      <c r="BE1108" s="25"/>
    </row>
    <row r="1109" spans="1:91">
      <c r="BC1109" s="273"/>
      <c r="BE1109" s="25"/>
    </row>
    <row r="1110" spans="1:91">
      <c r="BC1110" s="273"/>
      <c r="BE1110" s="25"/>
    </row>
    <row r="1111" spans="1:91">
      <c r="BC1111" s="273"/>
      <c r="BE1111" s="25"/>
    </row>
    <row r="1112" spans="1:91">
      <c r="BC1112" s="273"/>
      <c r="BE1112" s="25"/>
    </row>
    <row r="1113" spans="1:91">
      <c r="BC1113" s="273"/>
      <c r="BE1113" s="25"/>
    </row>
    <row r="1114" spans="1:91">
      <c r="BC1114" s="249"/>
      <c r="BE1114" s="25"/>
    </row>
    <row r="1115" spans="1:91">
      <c r="A1115" t="s">
        <v>38</v>
      </c>
      <c r="BC1115" s="294"/>
      <c r="BH1115">
        <f>SUBTOTAL(103,Tabela_Base_Financeiro[PO Ship TO])</f>
        <v>2</v>
      </c>
      <c r="CM1115">
        <f>SUBTOTAL(103,Tabela_Base_Financeiro[TOTAL])</f>
        <v>0</v>
      </c>
    </row>
  </sheetData>
  <phoneticPr fontId="10" type="noConversion"/>
  <dataValidations count="1">
    <dataValidation type="date" allowBlank="1" showInputMessage="1" showErrorMessage="1" promptTitle="正确日期格式" prompt="YYYY-MM-DD" sqref="BO4:BO97" xr:uid="{00000000-0002-0000-0500-000000000000}">
      <formula1>1</formula1>
      <formula2>401768</formula2>
    </dataValidation>
  </dataValidations>
  <pageMargins left="0.511811024" right="0.511811024" top="0.78740157499999996" bottom="0.78740157499999996" header="0.31496062000000002" footer="0.31496062000000002"/>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D30"/>
  <sheetViews>
    <sheetView topLeftCell="A4" workbookViewId="0">
      <selection activeCell="B27" sqref="B27"/>
    </sheetView>
  </sheetViews>
  <sheetFormatPr defaultRowHeight="14.4"/>
  <cols>
    <col min="2" max="2" width="19.109375" customWidth="1"/>
    <col min="3" max="3" width="16" customWidth="1"/>
    <col min="4" max="4" width="14.88671875" customWidth="1"/>
  </cols>
  <sheetData>
    <row r="3" spans="2:4">
      <c r="B3" s="213" t="s">
        <v>89</v>
      </c>
      <c r="C3" s="120" t="s">
        <v>154</v>
      </c>
      <c r="D3" s="120" t="s">
        <v>2452</v>
      </c>
    </row>
    <row r="4" spans="2:4">
      <c r="B4" s="215" t="s">
        <v>2407</v>
      </c>
      <c r="C4" s="121" t="s">
        <v>2437</v>
      </c>
      <c r="D4" s="250" t="s">
        <v>2453</v>
      </c>
    </row>
    <row r="5" spans="2:4">
      <c r="B5" s="214" t="s">
        <v>2408</v>
      </c>
      <c r="C5" s="121" t="s">
        <v>2438</v>
      </c>
      <c r="D5" s="250" t="s">
        <v>2453</v>
      </c>
    </row>
    <row r="6" spans="2:4">
      <c r="B6" s="214" t="s">
        <v>2442</v>
      </c>
      <c r="C6" s="121" t="s">
        <v>2437</v>
      </c>
      <c r="D6" s="250" t="s">
        <v>2453</v>
      </c>
    </row>
    <row r="7" spans="2:4">
      <c r="B7" s="214" t="s">
        <v>2448</v>
      </c>
      <c r="C7" s="121" t="s">
        <v>2451</v>
      </c>
      <c r="D7" s="250" t="s">
        <v>2453</v>
      </c>
    </row>
    <row r="8" spans="2:4">
      <c r="B8" s="214" t="s">
        <v>2443</v>
      </c>
      <c r="C8" s="121" t="s">
        <v>2438</v>
      </c>
      <c r="D8" s="250" t="s">
        <v>2453</v>
      </c>
    </row>
    <row r="9" spans="2:4">
      <c r="B9" s="214" t="s">
        <v>8306</v>
      </c>
      <c r="C9" s="121" t="s">
        <v>2441</v>
      </c>
      <c r="D9" s="250" t="s">
        <v>2454</v>
      </c>
    </row>
    <row r="10" spans="2:4">
      <c r="B10" s="214" t="s">
        <v>2446</v>
      </c>
      <c r="C10" s="121" t="s">
        <v>2447</v>
      </c>
      <c r="D10" s="250" t="s">
        <v>2454</v>
      </c>
    </row>
    <row r="11" spans="2:4">
      <c r="B11" s="214" t="s">
        <v>2444</v>
      </c>
      <c r="C11" s="121" t="s">
        <v>2445</v>
      </c>
      <c r="D11" s="250" t="s">
        <v>2454</v>
      </c>
    </row>
    <row r="12" spans="2:4">
      <c r="B12" s="214" t="s">
        <v>2439</v>
      </c>
      <c r="C12" s="121" t="s">
        <v>2440</v>
      </c>
      <c r="D12" s="250" t="s">
        <v>2455</v>
      </c>
    </row>
    <row r="13" spans="2:4">
      <c r="B13" s="214" t="s">
        <v>2449</v>
      </c>
      <c r="C13" s="121" t="s">
        <v>2450</v>
      </c>
      <c r="D13" s="250" t="s">
        <v>2455</v>
      </c>
    </row>
    <row r="14" spans="2:4">
      <c r="B14" s="214" t="s">
        <v>4808</v>
      </c>
      <c r="C14" s="121" t="s">
        <v>2441</v>
      </c>
      <c r="D14" s="250" t="s">
        <v>2454</v>
      </c>
    </row>
    <row r="15" spans="2:4">
      <c r="B15" s="249" t="s">
        <v>8249</v>
      </c>
      <c r="C15" s="121" t="s">
        <v>2441</v>
      </c>
      <c r="D15" s="250" t="s">
        <v>2454</v>
      </c>
    </row>
    <row r="16" spans="2:4">
      <c r="B16" s="249" t="s">
        <v>8250</v>
      </c>
      <c r="C16" s="121" t="s">
        <v>2437</v>
      </c>
      <c r="D16" s="121" t="s">
        <v>2453</v>
      </c>
    </row>
    <row r="17" spans="2:4">
      <c r="B17" s="249" t="s">
        <v>8251</v>
      </c>
      <c r="C17" s="250" t="s">
        <v>8253</v>
      </c>
      <c r="D17" s="250" t="s">
        <v>2455</v>
      </c>
    </row>
    <row r="18" spans="2:4">
      <c r="B18" s="249" t="s">
        <v>8295</v>
      </c>
      <c r="C18" s="121" t="s">
        <v>2454</v>
      </c>
      <c r="D18" s="121" t="s">
        <v>2454</v>
      </c>
    </row>
    <row r="19" spans="2:4">
      <c r="B19" s="273" t="s">
        <v>8307</v>
      </c>
      <c r="C19" s="121" t="s">
        <v>2445</v>
      </c>
      <c r="D19" s="121" t="s">
        <v>2454</v>
      </c>
    </row>
    <row r="20" spans="2:4">
      <c r="B20" s="214" t="s">
        <v>8308</v>
      </c>
      <c r="C20" s="274" t="s">
        <v>8309</v>
      </c>
      <c r="D20" s="274" t="s">
        <v>2455</v>
      </c>
    </row>
    <row r="21" spans="2:4">
      <c r="B21" s="341" t="s">
        <v>8321</v>
      </c>
      <c r="C21" s="342" t="s">
        <v>2438</v>
      </c>
      <c r="D21" s="342" t="s">
        <v>2453</v>
      </c>
    </row>
    <row r="22" spans="2:4">
      <c r="B22" s="343" t="s">
        <v>8323</v>
      </c>
      <c r="C22" s="344" t="s">
        <v>8328</v>
      </c>
      <c r="D22" s="344" t="s">
        <v>8327</v>
      </c>
    </row>
    <row r="23" spans="2:4">
      <c r="B23" s="343" t="s">
        <v>8324</v>
      </c>
      <c r="C23" s="344" t="s">
        <v>8326</v>
      </c>
      <c r="D23" s="344" t="s">
        <v>8327</v>
      </c>
    </row>
    <row r="24" spans="2:4">
      <c r="B24" s="343" t="s">
        <v>8322</v>
      </c>
      <c r="C24" s="344" t="s">
        <v>8325</v>
      </c>
      <c r="D24" s="344" t="s">
        <v>2455</v>
      </c>
    </row>
    <row r="25" spans="2:4">
      <c r="B25" s="343" t="s">
        <v>8329</v>
      </c>
      <c r="C25" s="344" t="s">
        <v>8330</v>
      </c>
      <c r="D25" s="344" t="s">
        <v>2455</v>
      </c>
    </row>
    <row r="26" spans="2:4">
      <c r="B26" s="355" t="s">
        <v>8331</v>
      </c>
      <c r="C26" s="356" t="s">
        <v>8332</v>
      </c>
      <c r="D26" s="356" t="s">
        <v>2454</v>
      </c>
    </row>
    <row r="27" spans="2:4">
      <c r="B27" s="355"/>
      <c r="C27" s="356"/>
      <c r="D27" s="356"/>
    </row>
    <row r="28" spans="2:4">
      <c r="B28" s="355"/>
      <c r="C28" s="356"/>
      <c r="D28" s="356"/>
    </row>
    <row r="29" spans="2:4">
      <c r="B29" s="355"/>
      <c r="C29" s="356"/>
      <c r="D29" s="356"/>
    </row>
    <row r="30" spans="2:4">
      <c r="B30" s="214"/>
      <c r="C30" s="274"/>
      <c r="D30" s="274"/>
    </row>
  </sheetData>
  <conditionalFormatting sqref="B1:B8 B10:B1048576">
    <cfRule type="duplicateValues" dxfId="515" priority="2"/>
  </conditionalFormatting>
  <conditionalFormatting sqref="B9">
    <cfRule type="duplicateValues" dxfId="514" priority="1"/>
  </conditionalFormatting>
  <pageMargins left="0.511811024" right="0.511811024" top="0.78740157499999996" bottom="0.78740157499999996" header="0.31496062000000002" footer="0.31496062000000002"/>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D9800"/>
  <sheetViews>
    <sheetView topLeftCell="A6517" zoomScaleNormal="100" workbookViewId="0">
      <selection activeCell="C6531" sqref="C6531"/>
    </sheetView>
  </sheetViews>
  <sheetFormatPr defaultRowHeight="14.4" outlineLevelCol="1"/>
  <cols>
    <col min="2" max="2" width="20" style="57" customWidth="1"/>
    <col min="3" max="3" width="24" style="152" customWidth="1" outlineLevel="1"/>
    <col min="4" max="4" width="7.6640625" style="151" customWidth="1"/>
  </cols>
  <sheetData>
    <row r="1" spans="2:4">
      <c r="C1" s="96"/>
      <c r="D1" s="57"/>
    </row>
    <row r="2" spans="2:4">
      <c r="B2" s="205" t="s">
        <v>6860</v>
      </c>
      <c r="C2" s="206" t="s">
        <v>6861</v>
      </c>
      <c r="D2" s="207" t="s">
        <v>6862</v>
      </c>
    </row>
    <row r="3" spans="2:4">
      <c r="B3" s="198" t="s">
        <v>1962</v>
      </c>
      <c r="C3" s="154" t="s">
        <v>2124</v>
      </c>
      <c r="D3" s="201" t="s">
        <v>2218</v>
      </c>
    </row>
    <row r="4" spans="2:4">
      <c r="B4" s="198" t="s">
        <v>1967</v>
      </c>
      <c r="C4" s="154" t="s">
        <v>2129</v>
      </c>
      <c r="D4" s="201" t="s">
        <v>2217</v>
      </c>
    </row>
    <row r="5" spans="2:4">
      <c r="B5" s="198" t="s">
        <v>1156</v>
      </c>
      <c r="C5" s="154" t="s">
        <v>1587</v>
      </c>
      <c r="D5" s="201" t="s">
        <v>1958</v>
      </c>
    </row>
    <row r="6" spans="2:4">
      <c r="B6" s="198" t="s">
        <v>1158</v>
      </c>
      <c r="C6" s="154" t="s">
        <v>1587</v>
      </c>
      <c r="D6" s="201" t="s">
        <v>1958</v>
      </c>
    </row>
    <row r="7" spans="2:4">
      <c r="B7" s="198" t="s">
        <v>1157</v>
      </c>
      <c r="C7" s="154" t="s">
        <v>1641</v>
      </c>
      <c r="D7" s="201" t="s">
        <v>1958</v>
      </c>
    </row>
    <row r="8" spans="2:4">
      <c r="B8" s="198" t="s">
        <v>768</v>
      </c>
      <c r="C8" s="154" t="s">
        <v>1561</v>
      </c>
      <c r="D8" s="201" t="s">
        <v>1955</v>
      </c>
    </row>
    <row r="9" spans="2:4">
      <c r="B9" s="198" t="s">
        <v>752</v>
      </c>
      <c r="C9" s="154" t="s">
        <v>149</v>
      </c>
      <c r="D9" s="201" t="s">
        <v>1956</v>
      </c>
    </row>
    <row r="10" spans="2:4">
      <c r="B10" s="198" t="s">
        <v>1175</v>
      </c>
      <c r="C10" s="154" t="s">
        <v>1907</v>
      </c>
      <c r="D10" s="201" t="s">
        <v>1956</v>
      </c>
    </row>
    <row r="11" spans="2:4">
      <c r="B11" s="198" t="s">
        <v>2535</v>
      </c>
      <c r="C11" s="154" t="s">
        <v>1567</v>
      </c>
      <c r="D11" s="201" t="s">
        <v>1953</v>
      </c>
    </row>
    <row r="12" spans="2:4">
      <c r="B12" s="198" t="s">
        <v>566</v>
      </c>
      <c r="C12" s="154" t="s">
        <v>1710</v>
      </c>
      <c r="D12" s="201" t="s">
        <v>1956</v>
      </c>
    </row>
    <row r="13" spans="2:4">
      <c r="B13" s="198" t="s">
        <v>831</v>
      </c>
      <c r="C13" s="154" t="s">
        <v>1519</v>
      </c>
      <c r="D13" s="201" t="s">
        <v>1951</v>
      </c>
    </row>
    <row r="14" spans="2:4">
      <c r="B14" s="198" t="s">
        <v>604</v>
      </c>
      <c r="C14" s="154" t="s">
        <v>1521</v>
      </c>
      <c r="D14" s="201" t="s">
        <v>1951</v>
      </c>
    </row>
    <row r="15" spans="2:4">
      <c r="B15" s="198" t="s">
        <v>1085</v>
      </c>
      <c r="C15" s="154" t="s">
        <v>1513</v>
      </c>
      <c r="D15" s="201" t="s">
        <v>1956</v>
      </c>
    </row>
    <row r="16" spans="2:4">
      <c r="B16" s="198" t="s">
        <v>854</v>
      </c>
      <c r="C16" s="154" t="s">
        <v>1522</v>
      </c>
      <c r="D16" s="201" t="s">
        <v>1953</v>
      </c>
    </row>
    <row r="17" spans="2:4">
      <c r="B17" s="198" t="s">
        <v>991</v>
      </c>
      <c r="C17" s="154" t="s">
        <v>1665</v>
      </c>
      <c r="D17" s="201" t="s">
        <v>1951</v>
      </c>
    </row>
    <row r="18" spans="2:4">
      <c r="B18" s="198" t="s">
        <v>731</v>
      </c>
      <c r="C18" s="154" t="s">
        <v>1770</v>
      </c>
      <c r="D18" s="201" t="s">
        <v>1956</v>
      </c>
    </row>
    <row r="19" spans="2:4">
      <c r="B19" s="198" t="s">
        <v>816</v>
      </c>
      <c r="C19" s="154" t="s">
        <v>1693</v>
      </c>
      <c r="D19" s="201" t="s">
        <v>1955</v>
      </c>
    </row>
    <row r="20" spans="2:4">
      <c r="B20" s="198" t="s">
        <v>801</v>
      </c>
      <c r="C20" s="154" t="s">
        <v>1559</v>
      </c>
      <c r="D20" s="201" t="s">
        <v>1952</v>
      </c>
    </row>
    <row r="21" spans="2:4">
      <c r="B21" s="198" t="s">
        <v>568</v>
      </c>
      <c r="C21" s="154" t="s">
        <v>1712</v>
      </c>
      <c r="D21" s="201" t="s">
        <v>1956</v>
      </c>
    </row>
    <row r="22" spans="2:4">
      <c r="B22" s="198" t="s">
        <v>1010</v>
      </c>
      <c r="C22" s="154" t="s">
        <v>1559</v>
      </c>
      <c r="D22" s="201" t="s">
        <v>1952</v>
      </c>
    </row>
    <row r="23" spans="2:4">
      <c r="B23" s="198" t="s">
        <v>1465</v>
      </c>
      <c r="C23" s="154" t="s">
        <v>152</v>
      </c>
      <c r="D23" s="201" t="s">
        <v>1952</v>
      </c>
    </row>
    <row r="24" spans="2:4">
      <c r="B24" s="198" t="s">
        <v>985</v>
      </c>
      <c r="C24" s="154" t="s">
        <v>1851</v>
      </c>
      <c r="D24" s="201" t="s">
        <v>1954</v>
      </c>
    </row>
    <row r="25" spans="2:4">
      <c r="B25" s="198" t="s">
        <v>1227</v>
      </c>
      <c r="C25" s="154" t="s">
        <v>149</v>
      </c>
      <c r="D25" s="201" t="s">
        <v>1956</v>
      </c>
    </row>
    <row r="26" spans="2:4">
      <c r="B26" s="198" t="s">
        <v>2809</v>
      </c>
      <c r="C26" s="154" t="s">
        <v>2963</v>
      </c>
      <c r="D26" s="201" t="s">
        <v>1955</v>
      </c>
    </row>
    <row r="27" spans="2:4">
      <c r="B27" s="198" t="s">
        <v>1351</v>
      </c>
      <c r="C27" s="154" t="s">
        <v>150</v>
      </c>
      <c r="D27" s="201" t="s">
        <v>1951</v>
      </c>
    </row>
    <row r="28" spans="2:4">
      <c r="B28" s="198" t="s">
        <v>1128</v>
      </c>
      <c r="C28" s="154" t="s">
        <v>1513</v>
      </c>
      <c r="D28" s="201" t="s">
        <v>1956</v>
      </c>
    </row>
    <row r="29" spans="2:4">
      <c r="B29" s="198" t="s">
        <v>656</v>
      </c>
      <c r="C29" s="154" t="s">
        <v>1567</v>
      </c>
      <c r="D29" s="201" t="s">
        <v>1953</v>
      </c>
    </row>
    <row r="30" spans="2:4">
      <c r="B30" s="198" t="s">
        <v>293</v>
      </c>
      <c r="C30" s="154" t="s">
        <v>1588</v>
      </c>
      <c r="D30" s="201" t="s">
        <v>1953</v>
      </c>
    </row>
    <row r="31" spans="2:4">
      <c r="B31" s="198" t="s">
        <v>1305</v>
      </c>
      <c r="C31" s="154" t="s">
        <v>1588</v>
      </c>
      <c r="D31" s="201" t="s">
        <v>1953</v>
      </c>
    </row>
    <row r="32" spans="2:4">
      <c r="B32" s="198" t="s">
        <v>1274</v>
      </c>
      <c r="C32" s="154" t="s">
        <v>1921</v>
      </c>
      <c r="D32" s="201" t="s">
        <v>1953</v>
      </c>
    </row>
    <row r="33" spans="2:4">
      <c r="B33" s="198" t="s">
        <v>459</v>
      </c>
      <c r="C33" s="154" t="s">
        <v>1672</v>
      </c>
      <c r="D33" s="201" t="s">
        <v>1953</v>
      </c>
    </row>
    <row r="34" spans="2:4">
      <c r="B34" s="198" t="s">
        <v>2680</v>
      </c>
      <c r="C34" s="154" t="s">
        <v>2964</v>
      </c>
      <c r="D34" s="201" t="s">
        <v>1953</v>
      </c>
    </row>
    <row r="35" spans="2:4">
      <c r="B35" s="198" t="s">
        <v>446</v>
      </c>
      <c r="C35" s="154" t="s">
        <v>1560</v>
      </c>
      <c r="D35" s="201" t="s">
        <v>1953</v>
      </c>
    </row>
    <row r="36" spans="2:4">
      <c r="B36" s="198" t="s">
        <v>1270</v>
      </c>
      <c r="C36" s="154" t="s">
        <v>1522</v>
      </c>
      <c r="D36" s="201" t="s">
        <v>1953</v>
      </c>
    </row>
    <row r="37" spans="2:4">
      <c r="B37" s="198" t="s">
        <v>2845</v>
      </c>
      <c r="C37" s="154" t="s">
        <v>2965</v>
      </c>
      <c r="D37" s="201" t="s">
        <v>1953</v>
      </c>
    </row>
    <row r="38" spans="2:4">
      <c r="B38" s="198" t="s">
        <v>1241</v>
      </c>
      <c r="C38" s="154" t="s">
        <v>1522</v>
      </c>
      <c r="D38" s="201" t="s">
        <v>1953</v>
      </c>
    </row>
    <row r="39" spans="2:4">
      <c r="B39" s="198" t="s">
        <v>1242</v>
      </c>
      <c r="C39" s="154" t="s">
        <v>1522</v>
      </c>
      <c r="D39" s="201" t="s">
        <v>1953</v>
      </c>
    </row>
    <row r="40" spans="2:4">
      <c r="B40" s="198" t="s">
        <v>1243</v>
      </c>
      <c r="C40" s="154" t="s">
        <v>1522</v>
      </c>
      <c r="D40" s="201" t="s">
        <v>1953</v>
      </c>
    </row>
    <row r="41" spans="2:4">
      <c r="B41" s="198" t="s">
        <v>1307</v>
      </c>
      <c r="C41" s="154" t="s">
        <v>1588</v>
      </c>
      <c r="D41" s="201" t="s">
        <v>1953</v>
      </c>
    </row>
    <row r="42" spans="2:4">
      <c r="B42" s="198" t="s">
        <v>396</v>
      </c>
      <c r="C42" s="154" t="s">
        <v>1560</v>
      </c>
      <c r="D42" s="201" t="s">
        <v>1953</v>
      </c>
    </row>
    <row r="43" spans="2:4">
      <c r="B43" s="198" t="s">
        <v>1302</v>
      </c>
      <c r="C43" s="154" t="s">
        <v>1522</v>
      </c>
      <c r="D43" s="201" t="s">
        <v>1953</v>
      </c>
    </row>
    <row r="44" spans="2:4">
      <c r="B44" s="198" t="s">
        <v>1271</v>
      </c>
      <c r="C44" s="154" t="s">
        <v>1522</v>
      </c>
      <c r="D44" s="201" t="s">
        <v>1953</v>
      </c>
    </row>
    <row r="45" spans="2:4">
      <c r="B45" s="198" t="s">
        <v>2873</v>
      </c>
      <c r="C45" s="154" t="s">
        <v>2966</v>
      </c>
      <c r="D45" s="201" t="s">
        <v>1953</v>
      </c>
    </row>
    <row r="46" spans="2:4">
      <c r="B46" s="198" t="s">
        <v>2328</v>
      </c>
      <c r="C46" s="154" t="s">
        <v>2337</v>
      </c>
      <c r="D46" s="201" t="s">
        <v>1953</v>
      </c>
    </row>
    <row r="47" spans="2:4">
      <c r="B47" s="198" t="s">
        <v>2861</v>
      </c>
      <c r="C47" s="154" t="s">
        <v>2967</v>
      </c>
      <c r="D47" s="201" t="s">
        <v>1953</v>
      </c>
    </row>
    <row r="48" spans="2:4">
      <c r="B48" s="198" t="s">
        <v>2330</v>
      </c>
      <c r="C48" s="154" t="s">
        <v>2335</v>
      </c>
      <c r="D48" s="201" t="s">
        <v>1953</v>
      </c>
    </row>
    <row r="49" spans="2:4">
      <c r="B49" s="198" t="s">
        <v>2370</v>
      </c>
      <c r="C49" s="154" t="s">
        <v>2378</v>
      </c>
      <c r="D49" s="201" t="s">
        <v>1953</v>
      </c>
    </row>
    <row r="50" spans="2:4">
      <c r="B50" s="198" t="s">
        <v>614</v>
      </c>
      <c r="C50" s="154" t="s">
        <v>1727</v>
      </c>
      <c r="D50" s="201" t="s">
        <v>1953</v>
      </c>
    </row>
    <row r="51" spans="2:4">
      <c r="B51" s="198" t="s">
        <v>1484</v>
      </c>
      <c r="C51" s="154" t="s">
        <v>1945</v>
      </c>
      <c r="D51" s="201" t="s">
        <v>1953</v>
      </c>
    </row>
    <row r="52" spans="2:4">
      <c r="B52" s="198" t="s">
        <v>294</v>
      </c>
      <c r="C52" s="154" t="s">
        <v>1589</v>
      </c>
      <c r="D52" s="201" t="s">
        <v>1953</v>
      </c>
    </row>
    <row r="53" spans="2:4">
      <c r="B53" s="198" t="s">
        <v>1272</v>
      </c>
      <c r="C53" s="154" t="s">
        <v>1919</v>
      </c>
      <c r="D53" s="201" t="s">
        <v>1953</v>
      </c>
    </row>
    <row r="54" spans="2:4">
      <c r="B54" s="198" t="s">
        <v>140</v>
      </c>
      <c r="C54" s="154" t="s">
        <v>1737</v>
      </c>
      <c r="D54" s="201" t="s">
        <v>1953</v>
      </c>
    </row>
    <row r="55" spans="2:4">
      <c r="B55" s="198" t="s">
        <v>2373</v>
      </c>
      <c r="C55" s="154" t="s">
        <v>1771</v>
      </c>
      <c r="D55" s="201" t="s">
        <v>1953</v>
      </c>
    </row>
    <row r="56" spans="2:4">
      <c r="B56" s="198" t="s">
        <v>2810</v>
      </c>
      <c r="C56" s="154" t="s">
        <v>2968</v>
      </c>
      <c r="D56" s="201" t="s">
        <v>1953</v>
      </c>
    </row>
    <row r="57" spans="2:4">
      <c r="B57" s="198" t="s">
        <v>2395</v>
      </c>
      <c r="C57" s="154" t="s">
        <v>2394</v>
      </c>
      <c r="D57" s="201" t="s">
        <v>1953</v>
      </c>
    </row>
    <row r="58" spans="2:4">
      <c r="B58" s="198" t="s">
        <v>495</v>
      </c>
      <c r="C58" s="154" t="s">
        <v>1690</v>
      </c>
      <c r="D58" s="201" t="s">
        <v>1953</v>
      </c>
    </row>
    <row r="59" spans="2:4">
      <c r="B59" s="198" t="s">
        <v>2329</v>
      </c>
      <c r="C59" s="154" t="s">
        <v>2336</v>
      </c>
      <c r="D59" s="201" t="s">
        <v>1953</v>
      </c>
    </row>
    <row r="60" spans="2:4">
      <c r="B60" s="198" t="s">
        <v>322</v>
      </c>
      <c r="C60" s="154" t="s">
        <v>1603</v>
      </c>
      <c r="D60" s="201" t="s">
        <v>1953</v>
      </c>
    </row>
    <row r="61" spans="2:4">
      <c r="B61" s="198" t="s">
        <v>2702</v>
      </c>
      <c r="C61" s="154" t="s">
        <v>1715</v>
      </c>
      <c r="D61" s="201" t="s">
        <v>1953</v>
      </c>
    </row>
    <row r="62" spans="2:4">
      <c r="B62" s="198" t="s">
        <v>1273</v>
      </c>
      <c r="C62" s="154" t="s">
        <v>1920</v>
      </c>
      <c r="D62" s="201" t="s">
        <v>1953</v>
      </c>
    </row>
    <row r="63" spans="2:4">
      <c r="B63" s="198" t="s">
        <v>645</v>
      </c>
      <c r="C63" s="154" t="s">
        <v>1735</v>
      </c>
      <c r="D63" s="201" t="s">
        <v>1953</v>
      </c>
    </row>
    <row r="64" spans="2:4">
      <c r="B64" s="198" t="s">
        <v>941</v>
      </c>
      <c r="C64" s="154" t="s">
        <v>1843</v>
      </c>
      <c r="D64" s="201" t="s">
        <v>1952</v>
      </c>
    </row>
    <row r="65" spans="2:4">
      <c r="B65" s="198" t="s">
        <v>906</v>
      </c>
      <c r="C65" s="154" t="s">
        <v>1513</v>
      </c>
      <c r="D65" s="201" t="s">
        <v>1956</v>
      </c>
    </row>
    <row r="66" spans="2:4">
      <c r="B66" s="198" t="s">
        <v>692</v>
      </c>
      <c r="C66" s="154" t="s">
        <v>1513</v>
      </c>
      <c r="D66" s="201" t="s">
        <v>1956</v>
      </c>
    </row>
    <row r="67" spans="2:4">
      <c r="B67" s="198" t="s">
        <v>1120</v>
      </c>
      <c r="C67" s="154" t="s">
        <v>149</v>
      </c>
      <c r="D67" s="201" t="s">
        <v>1956</v>
      </c>
    </row>
    <row r="68" spans="2:4">
      <c r="B68" s="198" t="s">
        <v>1473</v>
      </c>
      <c r="C68" s="154" t="s">
        <v>1932</v>
      </c>
      <c r="D68" s="201" t="s">
        <v>1956</v>
      </c>
    </row>
    <row r="69" spans="2:4">
      <c r="B69" s="198" t="s">
        <v>1188</v>
      </c>
      <c r="C69" s="154" t="s">
        <v>1665</v>
      </c>
      <c r="D69" s="201" t="s">
        <v>1951</v>
      </c>
    </row>
    <row r="70" spans="2:4">
      <c r="B70" s="198" t="s">
        <v>1103</v>
      </c>
      <c r="C70" s="154" t="s">
        <v>1885</v>
      </c>
      <c r="D70" s="201" t="s">
        <v>1956</v>
      </c>
    </row>
    <row r="71" spans="2:4">
      <c r="B71" s="198" t="s">
        <v>1155</v>
      </c>
      <c r="C71" s="154" t="s">
        <v>1898</v>
      </c>
      <c r="D71" s="201" t="s">
        <v>1960</v>
      </c>
    </row>
    <row r="72" spans="2:4">
      <c r="B72" s="198" t="s">
        <v>264</v>
      </c>
      <c r="C72" s="154" t="s">
        <v>1569</v>
      </c>
      <c r="D72" s="201" t="s">
        <v>1959</v>
      </c>
    </row>
    <row r="73" spans="2:4">
      <c r="B73" s="198" t="s">
        <v>607</v>
      </c>
      <c r="C73" s="154" t="s">
        <v>2391</v>
      </c>
      <c r="D73" s="201" t="s">
        <v>1958</v>
      </c>
    </row>
    <row r="74" spans="2:4">
      <c r="B74" s="198" t="s">
        <v>2392</v>
      </c>
      <c r="C74" s="154" t="s">
        <v>150</v>
      </c>
      <c r="D74" s="201" t="s">
        <v>1951</v>
      </c>
    </row>
    <row r="75" spans="2:4">
      <c r="B75" s="198" t="s">
        <v>2513</v>
      </c>
      <c r="C75" s="154" t="s">
        <v>2391</v>
      </c>
      <c r="D75" s="201" t="s">
        <v>1958</v>
      </c>
    </row>
    <row r="76" spans="2:4">
      <c r="B76" s="198" t="s">
        <v>2825</v>
      </c>
      <c r="C76" s="154" t="s">
        <v>149</v>
      </c>
      <c r="D76" s="201" t="s">
        <v>1956</v>
      </c>
    </row>
    <row r="77" spans="2:4">
      <c r="B77" s="198" t="s">
        <v>708</v>
      </c>
      <c r="C77" s="154" t="s">
        <v>1699</v>
      </c>
      <c r="D77" s="201" t="s">
        <v>1956</v>
      </c>
    </row>
    <row r="78" spans="2:4">
      <c r="B78" s="198" t="s">
        <v>836</v>
      </c>
      <c r="C78" s="154" t="s">
        <v>149</v>
      </c>
      <c r="D78" s="201" t="s">
        <v>1956</v>
      </c>
    </row>
    <row r="79" spans="2:4">
      <c r="B79" s="198" t="s">
        <v>2100</v>
      </c>
      <c r="C79" s="154" t="s">
        <v>2196</v>
      </c>
      <c r="D79" s="201" t="s">
        <v>2220</v>
      </c>
    </row>
    <row r="80" spans="2:4">
      <c r="B80" s="198" t="s">
        <v>1319</v>
      </c>
      <c r="C80" s="154" t="s">
        <v>149</v>
      </c>
      <c r="D80" s="201" t="s">
        <v>1956</v>
      </c>
    </row>
    <row r="81" spans="2:4">
      <c r="B81" s="198" t="s">
        <v>2242</v>
      </c>
      <c r="C81" s="154" t="s">
        <v>2191</v>
      </c>
      <c r="D81" s="201" t="s">
        <v>2216</v>
      </c>
    </row>
    <row r="82" spans="2:4">
      <c r="B82" s="198" t="s">
        <v>481</v>
      </c>
      <c r="C82" s="154" t="s">
        <v>1682</v>
      </c>
      <c r="D82" s="201" t="s">
        <v>1951</v>
      </c>
    </row>
    <row r="83" spans="2:4">
      <c r="B83" s="198" t="s">
        <v>1017</v>
      </c>
      <c r="C83" s="154" t="s">
        <v>152</v>
      </c>
      <c r="D83" s="201" t="s">
        <v>1952</v>
      </c>
    </row>
    <row r="84" spans="2:4">
      <c r="B84" s="198" t="s">
        <v>704</v>
      </c>
      <c r="C84" s="154" t="s">
        <v>1757</v>
      </c>
      <c r="D84" s="201" t="s">
        <v>1956</v>
      </c>
    </row>
    <row r="85" spans="2:4">
      <c r="B85" s="198" t="s">
        <v>2104</v>
      </c>
      <c r="C85" s="154" t="s">
        <v>2197</v>
      </c>
      <c r="D85" s="201" t="s">
        <v>2219</v>
      </c>
    </row>
    <row r="86" spans="2:4">
      <c r="B86" s="198" t="s">
        <v>632</v>
      </c>
      <c r="C86" s="154" t="s">
        <v>150</v>
      </c>
      <c r="D86" s="201" t="s">
        <v>1951</v>
      </c>
    </row>
    <row r="87" spans="2:4">
      <c r="B87" s="198" t="s">
        <v>770</v>
      </c>
      <c r="C87" s="154" t="s">
        <v>149</v>
      </c>
      <c r="D87" s="201" t="s">
        <v>1956</v>
      </c>
    </row>
    <row r="88" spans="2:4">
      <c r="B88" s="198" t="s">
        <v>653</v>
      </c>
      <c r="C88" s="154" t="s">
        <v>1741</v>
      </c>
      <c r="D88" s="201" t="s">
        <v>1956</v>
      </c>
    </row>
    <row r="89" spans="2:4">
      <c r="B89" s="198" t="s">
        <v>2277</v>
      </c>
      <c r="C89" s="154" t="s">
        <v>1534</v>
      </c>
      <c r="D89" s="201" t="s">
        <v>1959</v>
      </c>
    </row>
    <row r="90" spans="2:4">
      <c r="B90" s="198" t="s">
        <v>823</v>
      </c>
      <c r="C90" s="154" t="s">
        <v>1605</v>
      </c>
      <c r="D90" s="201" t="s">
        <v>1952</v>
      </c>
    </row>
    <row r="91" spans="2:4">
      <c r="B91" s="198" t="s">
        <v>1064</v>
      </c>
      <c r="C91" s="154" t="s">
        <v>1878</v>
      </c>
      <c r="D91" s="201" t="s">
        <v>1955</v>
      </c>
    </row>
    <row r="92" spans="2:4">
      <c r="B92" s="198" t="s">
        <v>1233</v>
      </c>
      <c r="C92" s="154" t="s">
        <v>1860</v>
      </c>
      <c r="D92" s="201" t="s">
        <v>1956</v>
      </c>
    </row>
    <row r="93" spans="2:4">
      <c r="B93" s="198" t="s">
        <v>907</v>
      </c>
      <c r="C93" s="154" t="s">
        <v>4601</v>
      </c>
      <c r="D93" s="201" t="s">
        <v>2216</v>
      </c>
    </row>
    <row r="94" spans="2:4">
      <c r="B94" s="198" t="s">
        <v>643</v>
      </c>
      <c r="C94" s="154" t="s">
        <v>1513</v>
      </c>
      <c r="D94" s="201" t="s">
        <v>1956</v>
      </c>
    </row>
    <row r="95" spans="2:4">
      <c r="B95" s="198" t="s">
        <v>1341</v>
      </c>
      <c r="C95" s="154" t="s">
        <v>1521</v>
      </c>
      <c r="D95" s="201" t="s">
        <v>1951</v>
      </c>
    </row>
    <row r="96" spans="2:4">
      <c r="B96" s="198" t="s">
        <v>1482</v>
      </c>
      <c r="C96" s="154" t="s">
        <v>1734</v>
      </c>
      <c r="D96" s="201" t="s">
        <v>1955</v>
      </c>
    </row>
    <row r="97" spans="2:4">
      <c r="B97" s="198" t="s">
        <v>292</v>
      </c>
      <c r="C97" s="154" t="s">
        <v>1587</v>
      </c>
      <c r="D97" s="201" t="s">
        <v>1958</v>
      </c>
    </row>
    <row r="98" spans="2:4">
      <c r="B98" s="198" t="s">
        <v>295</v>
      </c>
      <c r="C98" s="154" t="s">
        <v>1590</v>
      </c>
      <c r="D98" s="201" t="s">
        <v>1958</v>
      </c>
    </row>
    <row r="99" spans="2:4">
      <c r="B99" s="198" t="s">
        <v>525</v>
      </c>
      <c r="C99" s="154" t="s">
        <v>1695</v>
      </c>
      <c r="D99" s="201" t="s">
        <v>1958</v>
      </c>
    </row>
    <row r="100" spans="2:4">
      <c r="B100" s="198" t="s">
        <v>2841</v>
      </c>
      <c r="C100" s="154" t="s">
        <v>2937</v>
      </c>
      <c r="D100" s="201" t="s">
        <v>1958</v>
      </c>
    </row>
    <row r="101" spans="2:4">
      <c r="B101" s="198" t="s">
        <v>487</v>
      </c>
      <c r="C101" s="154" t="s">
        <v>1685</v>
      </c>
      <c r="D101" s="201" t="s">
        <v>1958</v>
      </c>
    </row>
    <row r="102" spans="2:4">
      <c r="B102" s="198" t="s">
        <v>464</v>
      </c>
      <c r="C102" s="154" t="s">
        <v>1620</v>
      </c>
      <c r="D102" s="201" t="s">
        <v>1958</v>
      </c>
    </row>
    <row r="103" spans="2:4">
      <c r="B103" s="198" t="s">
        <v>363</v>
      </c>
      <c r="C103" s="154" t="s">
        <v>1620</v>
      </c>
      <c r="D103" s="201" t="s">
        <v>1958</v>
      </c>
    </row>
    <row r="104" spans="2:4">
      <c r="B104" s="198" t="s">
        <v>1248</v>
      </c>
      <c r="C104" s="154" t="s">
        <v>1620</v>
      </c>
      <c r="D104" s="201" t="s">
        <v>1958</v>
      </c>
    </row>
    <row r="105" spans="2:4">
      <c r="B105" s="198" t="s">
        <v>447</v>
      </c>
      <c r="C105" s="154" t="s">
        <v>1620</v>
      </c>
      <c r="D105" s="201" t="s">
        <v>1958</v>
      </c>
    </row>
    <row r="106" spans="2:4">
      <c r="B106" s="198" t="s">
        <v>1224</v>
      </c>
      <c r="C106" s="154" t="s">
        <v>1587</v>
      </c>
      <c r="D106" s="201" t="s">
        <v>1958</v>
      </c>
    </row>
    <row r="107" spans="2:4">
      <c r="B107" s="198" t="s">
        <v>1225</v>
      </c>
      <c r="C107" s="154" t="s">
        <v>1587</v>
      </c>
      <c r="D107" s="201" t="s">
        <v>1958</v>
      </c>
    </row>
    <row r="108" spans="2:4">
      <c r="B108" s="198" t="s">
        <v>1437</v>
      </c>
      <c r="C108" s="154" t="s">
        <v>1587</v>
      </c>
      <c r="D108" s="201" t="s">
        <v>1958</v>
      </c>
    </row>
    <row r="109" spans="2:4">
      <c r="B109" s="198" t="s">
        <v>1293</v>
      </c>
      <c r="C109" s="154" t="s">
        <v>1587</v>
      </c>
      <c r="D109" s="201" t="s">
        <v>1958</v>
      </c>
    </row>
    <row r="110" spans="2:4">
      <c r="B110" s="198" t="s">
        <v>1278</v>
      </c>
      <c r="C110" s="154" t="s">
        <v>1587</v>
      </c>
      <c r="D110" s="201" t="s">
        <v>1958</v>
      </c>
    </row>
    <row r="111" spans="2:4">
      <c r="B111" s="198" t="s">
        <v>1277</v>
      </c>
      <c r="C111" s="154" t="s">
        <v>1587</v>
      </c>
      <c r="D111" s="201" t="s">
        <v>1958</v>
      </c>
    </row>
    <row r="112" spans="2:4">
      <c r="B112" s="198" t="s">
        <v>1052</v>
      </c>
      <c r="C112" s="154" t="s">
        <v>1587</v>
      </c>
      <c r="D112" s="201" t="s">
        <v>1958</v>
      </c>
    </row>
    <row r="113" spans="2:4">
      <c r="B113" s="198" t="s">
        <v>1148</v>
      </c>
      <c r="C113" s="154" t="s">
        <v>1587</v>
      </c>
      <c r="D113" s="201" t="s">
        <v>1958</v>
      </c>
    </row>
    <row r="114" spans="2:4">
      <c r="B114" s="198" t="s">
        <v>1294</v>
      </c>
      <c r="C114" s="154" t="s">
        <v>1587</v>
      </c>
      <c r="D114" s="201" t="s">
        <v>1958</v>
      </c>
    </row>
    <row r="115" spans="2:4">
      <c r="B115" s="198" t="s">
        <v>989</v>
      </c>
      <c r="C115" s="154" t="s">
        <v>1587</v>
      </c>
      <c r="D115" s="201" t="s">
        <v>1958</v>
      </c>
    </row>
    <row r="116" spans="2:4">
      <c r="B116" s="198" t="s">
        <v>990</v>
      </c>
      <c r="C116" s="154" t="s">
        <v>1587</v>
      </c>
      <c r="D116" s="201" t="s">
        <v>1958</v>
      </c>
    </row>
    <row r="117" spans="2:4">
      <c r="B117" s="198" t="s">
        <v>1286</v>
      </c>
      <c r="C117" s="154" t="s">
        <v>1587</v>
      </c>
      <c r="D117" s="201" t="s">
        <v>1958</v>
      </c>
    </row>
    <row r="118" spans="2:4">
      <c r="B118" s="198" t="s">
        <v>1221</v>
      </c>
      <c r="C118" s="154" t="s">
        <v>1587</v>
      </c>
      <c r="D118" s="201" t="s">
        <v>1958</v>
      </c>
    </row>
    <row r="119" spans="2:4">
      <c r="B119" s="198" t="s">
        <v>1217</v>
      </c>
      <c r="C119" s="154" t="s">
        <v>1590</v>
      </c>
      <c r="D119" s="201" t="s">
        <v>1958</v>
      </c>
    </row>
    <row r="120" spans="2:4">
      <c r="B120" s="198" t="s">
        <v>950</v>
      </c>
      <c r="C120" s="154" t="s">
        <v>1587</v>
      </c>
      <c r="D120" s="201" t="s">
        <v>1958</v>
      </c>
    </row>
    <row r="121" spans="2:4">
      <c r="B121" s="198" t="s">
        <v>951</v>
      </c>
      <c r="C121" s="154" t="s">
        <v>1587</v>
      </c>
      <c r="D121" s="201" t="s">
        <v>1958</v>
      </c>
    </row>
    <row r="122" spans="2:4">
      <c r="B122" s="198" t="s">
        <v>1216</v>
      </c>
      <c r="C122" s="154" t="s">
        <v>1587</v>
      </c>
      <c r="D122" s="201" t="s">
        <v>1958</v>
      </c>
    </row>
    <row r="123" spans="2:4">
      <c r="B123" s="198" t="s">
        <v>1295</v>
      </c>
      <c r="C123" s="154" t="s">
        <v>1587</v>
      </c>
      <c r="D123" s="201" t="s">
        <v>1958</v>
      </c>
    </row>
    <row r="124" spans="2:4">
      <c r="B124" s="198" t="s">
        <v>952</v>
      </c>
      <c r="C124" s="154" t="s">
        <v>1587</v>
      </c>
      <c r="D124" s="201" t="s">
        <v>1958</v>
      </c>
    </row>
    <row r="125" spans="2:4">
      <c r="B125" s="198" t="s">
        <v>1222</v>
      </c>
      <c r="C125" s="154" t="s">
        <v>1587</v>
      </c>
      <c r="D125" s="201" t="s">
        <v>1958</v>
      </c>
    </row>
    <row r="126" spans="2:4">
      <c r="B126" s="198" t="s">
        <v>1051</v>
      </c>
      <c r="C126" s="154" t="s">
        <v>1587</v>
      </c>
      <c r="D126" s="201" t="s">
        <v>1958</v>
      </c>
    </row>
    <row r="127" spans="2:4">
      <c r="B127" s="198" t="s">
        <v>1280</v>
      </c>
      <c r="C127" s="154" t="s">
        <v>1587</v>
      </c>
      <c r="D127" s="201" t="s">
        <v>1958</v>
      </c>
    </row>
    <row r="128" spans="2:4">
      <c r="B128" s="198" t="s">
        <v>1151</v>
      </c>
      <c r="C128" s="154" t="s">
        <v>1587</v>
      </c>
      <c r="D128" s="201" t="s">
        <v>1958</v>
      </c>
    </row>
    <row r="129" spans="2:4">
      <c r="B129" s="198" t="s">
        <v>1059</v>
      </c>
      <c r="C129" s="154" t="s">
        <v>1587</v>
      </c>
      <c r="D129" s="201" t="s">
        <v>1958</v>
      </c>
    </row>
    <row r="130" spans="2:4">
      <c r="B130" s="198" t="s">
        <v>1150</v>
      </c>
      <c r="C130" s="154" t="s">
        <v>1587</v>
      </c>
      <c r="D130" s="201" t="s">
        <v>1958</v>
      </c>
    </row>
    <row r="131" spans="2:4">
      <c r="B131" s="198" t="s">
        <v>1152</v>
      </c>
      <c r="C131" s="154" t="s">
        <v>1587</v>
      </c>
      <c r="D131" s="201" t="s">
        <v>1958</v>
      </c>
    </row>
    <row r="132" spans="2:4">
      <c r="B132" s="198" t="s">
        <v>1219</v>
      </c>
      <c r="C132" s="154" t="s">
        <v>1587</v>
      </c>
      <c r="D132" s="201" t="s">
        <v>1958</v>
      </c>
    </row>
    <row r="133" spans="2:4">
      <c r="B133" s="198" t="s">
        <v>1223</v>
      </c>
      <c r="C133" s="154" t="s">
        <v>1587</v>
      </c>
      <c r="D133" s="201" t="s">
        <v>1958</v>
      </c>
    </row>
    <row r="134" spans="2:4">
      <c r="B134" s="198" t="s">
        <v>1257</v>
      </c>
      <c r="C134" s="154" t="s">
        <v>1587</v>
      </c>
      <c r="D134" s="201" t="s">
        <v>1958</v>
      </c>
    </row>
    <row r="135" spans="2:4">
      <c r="B135" s="198" t="s">
        <v>1255</v>
      </c>
      <c r="C135" s="154" t="s">
        <v>1587</v>
      </c>
      <c r="D135" s="201" t="s">
        <v>1958</v>
      </c>
    </row>
    <row r="136" spans="2:4">
      <c r="B136" s="198" t="s">
        <v>1296</v>
      </c>
      <c r="C136" s="154" t="s">
        <v>1587</v>
      </c>
      <c r="D136" s="201" t="s">
        <v>1958</v>
      </c>
    </row>
    <row r="137" spans="2:4">
      <c r="B137" s="198" t="s">
        <v>1283</v>
      </c>
      <c r="C137" s="154" t="s">
        <v>1587</v>
      </c>
      <c r="D137" s="201" t="s">
        <v>1958</v>
      </c>
    </row>
    <row r="138" spans="2:4">
      <c r="B138" s="198" t="s">
        <v>1254</v>
      </c>
      <c r="C138" s="154" t="s">
        <v>1587</v>
      </c>
      <c r="D138" s="201" t="s">
        <v>1958</v>
      </c>
    </row>
    <row r="139" spans="2:4">
      <c r="B139" s="198" t="s">
        <v>1053</v>
      </c>
      <c r="C139" s="154" t="s">
        <v>1587</v>
      </c>
      <c r="D139" s="201" t="s">
        <v>1958</v>
      </c>
    </row>
    <row r="140" spans="2:4">
      <c r="B140" s="198" t="s">
        <v>1209</v>
      </c>
      <c r="C140" s="154" t="s">
        <v>1587</v>
      </c>
      <c r="D140" s="201" t="s">
        <v>1958</v>
      </c>
    </row>
    <row r="141" spans="2:4">
      <c r="B141" s="198" t="s">
        <v>1210</v>
      </c>
      <c r="C141" s="154" t="s">
        <v>1587</v>
      </c>
      <c r="D141" s="201" t="s">
        <v>1958</v>
      </c>
    </row>
    <row r="142" spans="2:4">
      <c r="B142" s="198" t="s">
        <v>953</v>
      </c>
      <c r="C142" s="154" t="s">
        <v>1587</v>
      </c>
      <c r="D142" s="201" t="s">
        <v>1958</v>
      </c>
    </row>
    <row r="143" spans="2:4">
      <c r="B143" s="198" t="s">
        <v>1061</v>
      </c>
      <c r="C143" s="154" t="s">
        <v>1587</v>
      </c>
      <c r="D143" s="201" t="s">
        <v>1958</v>
      </c>
    </row>
    <row r="144" spans="2:4">
      <c r="B144" s="198" t="s">
        <v>1060</v>
      </c>
      <c r="C144" s="154" t="s">
        <v>1587</v>
      </c>
      <c r="D144" s="201" t="s">
        <v>1958</v>
      </c>
    </row>
    <row r="145" spans="2:4">
      <c r="B145" s="198" t="s">
        <v>2832</v>
      </c>
      <c r="C145" s="154" t="s">
        <v>2936</v>
      </c>
      <c r="D145" s="201" t="s">
        <v>1958</v>
      </c>
    </row>
    <row r="146" spans="2:4">
      <c r="B146" s="198" t="s">
        <v>1297</v>
      </c>
      <c r="C146" s="154" t="s">
        <v>1587</v>
      </c>
      <c r="D146" s="201" t="s">
        <v>1958</v>
      </c>
    </row>
    <row r="147" spans="2:4">
      <c r="B147" s="198" t="s">
        <v>1154</v>
      </c>
      <c r="C147" s="154" t="s">
        <v>1587</v>
      </c>
      <c r="D147" s="201" t="s">
        <v>1958</v>
      </c>
    </row>
    <row r="148" spans="2:4">
      <c r="B148" s="198" t="s">
        <v>1253</v>
      </c>
      <c r="C148" s="154" t="s">
        <v>1587</v>
      </c>
      <c r="D148" s="201" t="s">
        <v>1958</v>
      </c>
    </row>
    <row r="149" spans="2:4">
      <c r="B149" s="198" t="s">
        <v>1279</v>
      </c>
      <c r="C149" s="154" t="s">
        <v>1587</v>
      </c>
      <c r="D149" s="201" t="s">
        <v>1958</v>
      </c>
    </row>
    <row r="150" spans="2:4">
      <c r="B150" s="198" t="s">
        <v>1281</v>
      </c>
      <c r="C150" s="154" t="s">
        <v>1587</v>
      </c>
      <c r="D150" s="201" t="s">
        <v>1958</v>
      </c>
    </row>
    <row r="151" spans="2:4">
      <c r="B151" s="198" t="s">
        <v>2403</v>
      </c>
      <c r="C151" s="154" t="s">
        <v>1587</v>
      </c>
      <c r="D151" s="201" t="s">
        <v>1958</v>
      </c>
    </row>
    <row r="152" spans="2:4">
      <c r="B152" s="198" t="s">
        <v>2488</v>
      </c>
      <c r="C152" s="154" t="s">
        <v>1587</v>
      </c>
      <c r="D152" s="201" t="s">
        <v>1958</v>
      </c>
    </row>
    <row r="153" spans="2:4">
      <c r="B153" s="198" t="s">
        <v>1282</v>
      </c>
      <c r="C153" s="154" t="s">
        <v>1587</v>
      </c>
      <c r="D153" s="201" t="s">
        <v>1958</v>
      </c>
    </row>
    <row r="154" spans="2:4">
      <c r="B154" s="198" t="s">
        <v>1260</v>
      </c>
      <c r="C154" s="154" t="s">
        <v>1587</v>
      </c>
      <c r="D154" s="201" t="s">
        <v>1958</v>
      </c>
    </row>
    <row r="155" spans="2:4">
      <c r="B155" s="198" t="s">
        <v>1108</v>
      </c>
      <c r="C155" s="154" t="s">
        <v>1587</v>
      </c>
      <c r="D155" s="201" t="s">
        <v>1958</v>
      </c>
    </row>
    <row r="156" spans="2:4">
      <c r="B156" s="198" t="s">
        <v>1203</v>
      </c>
      <c r="C156" s="154" t="s">
        <v>1587</v>
      </c>
      <c r="D156" s="201" t="s">
        <v>1958</v>
      </c>
    </row>
    <row r="157" spans="2:4">
      <c r="B157" s="198" t="s">
        <v>1298</v>
      </c>
      <c r="C157" s="154" t="s">
        <v>1587</v>
      </c>
      <c r="D157" s="201" t="s">
        <v>1958</v>
      </c>
    </row>
    <row r="158" spans="2:4">
      <c r="B158" s="198" t="s">
        <v>1284</v>
      </c>
      <c r="C158" s="154" t="s">
        <v>1587</v>
      </c>
      <c r="D158" s="201" t="s">
        <v>1958</v>
      </c>
    </row>
    <row r="159" spans="2:4">
      <c r="B159" s="198" t="s">
        <v>1204</v>
      </c>
      <c r="C159" s="154" t="s">
        <v>1587</v>
      </c>
      <c r="D159" s="201" t="s">
        <v>1958</v>
      </c>
    </row>
    <row r="160" spans="2:4">
      <c r="B160" s="198" t="s">
        <v>2881</v>
      </c>
      <c r="C160" s="154" t="s">
        <v>2947</v>
      </c>
      <c r="D160" s="201" t="s">
        <v>1958</v>
      </c>
    </row>
    <row r="161" spans="2:4">
      <c r="B161" s="198" t="s">
        <v>2862</v>
      </c>
      <c r="C161" s="154" t="s">
        <v>2941</v>
      </c>
      <c r="D161" s="201" t="s">
        <v>1958</v>
      </c>
    </row>
    <row r="162" spans="2:4">
      <c r="B162" s="198" t="s">
        <v>2357</v>
      </c>
      <c r="C162" s="154" t="s">
        <v>2358</v>
      </c>
      <c r="D162" s="201" t="s">
        <v>1958</v>
      </c>
    </row>
    <row r="163" spans="2:4">
      <c r="B163" s="198" t="s">
        <v>2327</v>
      </c>
      <c r="C163" s="154" t="s">
        <v>2334</v>
      </c>
      <c r="D163" s="201" t="s">
        <v>1958</v>
      </c>
    </row>
    <row r="164" spans="2:4">
      <c r="B164" s="198" t="s">
        <v>954</v>
      </c>
      <c r="C164" s="154" t="s">
        <v>1587</v>
      </c>
      <c r="D164" s="201" t="s">
        <v>1958</v>
      </c>
    </row>
    <row r="165" spans="2:4">
      <c r="B165" s="198" t="s">
        <v>812</v>
      </c>
      <c r="C165" s="154" t="s">
        <v>1587</v>
      </c>
      <c r="D165" s="201" t="s">
        <v>1958</v>
      </c>
    </row>
    <row r="166" spans="2:4">
      <c r="B166" s="198" t="s">
        <v>1076</v>
      </c>
      <c r="C166" s="154" t="s">
        <v>1587</v>
      </c>
      <c r="D166" s="201" t="s">
        <v>1958</v>
      </c>
    </row>
    <row r="167" spans="2:4">
      <c r="B167" s="198" t="s">
        <v>966</v>
      </c>
      <c r="C167" s="154" t="s">
        <v>1587</v>
      </c>
      <c r="D167" s="201" t="s">
        <v>1958</v>
      </c>
    </row>
    <row r="168" spans="2:4">
      <c r="B168" s="198" t="s">
        <v>1145</v>
      </c>
      <c r="C168" s="154" t="s">
        <v>1587</v>
      </c>
      <c r="D168" s="201" t="s">
        <v>1958</v>
      </c>
    </row>
    <row r="169" spans="2:4">
      <c r="B169" s="198" t="s">
        <v>1211</v>
      </c>
      <c r="C169" s="154" t="s">
        <v>1587</v>
      </c>
      <c r="D169" s="201" t="s">
        <v>1958</v>
      </c>
    </row>
    <row r="170" spans="2:4">
      <c r="B170" s="198" t="s">
        <v>1287</v>
      </c>
      <c r="C170" s="154" t="s">
        <v>1587</v>
      </c>
      <c r="D170" s="201" t="s">
        <v>1958</v>
      </c>
    </row>
    <row r="171" spans="2:4">
      <c r="B171" s="198" t="s">
        <v>1147</v>
      </c>
      <c r="C171" s="154" t="s">
        <v>1587</v>
      </c>
      <c r="D171" s="201" t="s">
        <v>1958</v>
      </c>
    </row>
    <row r="172" spans="2:4">
      <c r="B172" s="198" t="s">
        <v>505</v>
      </c>
      <c r="C172" s="154" t="s">
        <v>1587</v>
      </c>
      <c r="D172" s="201" t="s">
        <v>1958</v>
      </c>
    </row>
    <row r="173" spans="2:4">
      <c r="B173" s="198" t="s">
        <v>814</v>
      </c>
      <c r="C173" s="154" t="s">
        <v>1587</v>
      </c>
      <c r="D173" s="201" t="s">
        <v>1958</v>
      </c>
    </row>
    <row r="174" spans="2:4">
      <c r="B174" s="198" t="s">
        <v>1054</v>
      </c>
      <c r="C174" s="154" t="s">
        <v>1587</v>
      </c>
      <c r="D174" s="201" t="s">
        <v>1958</v>
      </c>
    </row>
    <row r="175" spans="2:4">
      <c r="B175" s="198" t="s">
        <v>517</v>
      </c>
      <c r="C175" s="154" t="s">
        <v>1587</v>
      </c>
      <c r="D175" s="201" t="s">
        <v>1958</v>
      </c>
    </row>
    <row r="176" spans="2:4">
      <c r="B176" s="198" t="s">
        <v>984</v>
      </c>
      <c r="C176" s="154" t="s">
        <v>1587</v>
      </c>
      <c r="D176" s="201" t="s">
        <v>1958</v>
      </c>
    </row>
    <row r="177" spans="2:4">
      <c r="B177" s="198" t="s">
        <v>1288</v>
      </c>
      <c r="C177" s="154" t="s">
        <v>1587</v>
      </c>
      <c r="D177" s="201" t="s">
        <v>1958</v>
      </c>
    </row>
    <row r="178" spans="2:4">
      <c r="B178" s="198" t="s">
        <v>955</v>
      </c>
      <c r="C178" s="154" t="s">
        <v>1587</v>
      </c>
      <c r="D178" s="201" t="s">
        <v>1958</v>
      </c>
    </row>
    <row r="179" spans="2:4">
      <c r="B179" s="198" t="s">
        <v>1432</v>
      </c>
      <c r="C179" s="154" t="s">
        <v>1587</v>
      </c>
      <c r="D179" s="201" t="s">
        <v>1958</v>
      </c>
    </row>
    <row r="180" spans="2:4">
      <c r="B180" s="198" t="s">
        <v>2491</v>
      </c>
      <c r="C180" s="154" t="s">
        <v>1587</v>
      </c>
      <c r="D180" s="201" t="s">
        <v>1958</v>
      </c>
    </row>
    <row r="181" spans="2:4">
      <c r="B181" s="198" t="s">
        <v>956</v>
      </c>
      <c r="C181" s="154" t="s">
        <v>1587</v>
      </c>
      <c r="D181" s="201" t="s">
        <v>1958</v>
      </c>
    </row>
    <row r="182" spans="2:4">
      <c r="B182" s="198" t="s">
        <v>1055</v>
      </c>
      <c r="C182" s="154" t="s">
        <v>1587</v>
      </c>
      <c r="D182" s="201" t="s">
        <v>1958</v>
      </c>
    </row>
    <row r="183" spans="2:4">
      <c r="B183" s="198" t="s">
        <v>957</v>
      </c>
      <c r="C183" s="154" t="s">
        <v>1587</v>
      </c>
      <c r="D183" s="201" t="s">
        <v>1958</v>
      </c>
    </row>
    <row r="184" spans="2:4">
      <c r="B184" s="198" t="s">
        <v>232</v>
      </c>
      <c r="C184" s="154" t="s">
        <v>1556</v>
      </c>
      <c r="D184" s="201" t="s">
        <v>1958</v>
      </c>
    </row>
    <row r="185" spans="2:4">
      <c r="B185" s="198" t="s">
        <v>851</v>
      </c>
      <c r="C185" s="154" t="s">
        <v>1587</v>
      </c>
      <c r="D185" s="201" t="s">
        <v>1958</v>
      </c>
    </row>
    <row r="186" spans="2:4">
      <c r="B186" s="198" t="s">
        <v>958</v>
      </c>
      <c r="C186" s="154" t="s">
        <v>1587</v>
      </c>
      <c r="D186" s="201" t="s">
        <v>1958</v>
      </c>
    </row>
    <row r="187" spans="2:4">
      <c r="B187" s="198" t="s">
        <v>959</v>
      </c>
      <c r="C187" s="154" t="s">
        <v>1587</v>
      </c>
      <c r="D187" s="201" t="s">
        <v>1958</v>
      </c>
    </row>
    <row r="188" spans="2:4">
      <c r="B188" s="198" t="s">
        <v>1056</v>
      </c>
      <c r="C188" s="154" t="s">
        <v>1587</v>
      </c>
      <c r="D188" s="201" t="s">
        <v>1958</v>
      </c>
    </row>
    <row r="189" spans="2:4">
      <c r="B189" s="198" t="s">
        <v>960</v>
      </c>
      <c r="C189" s="154" t="s">
        <v>1587</v>
      </c>
      <c r="D189" s="201" t="s">
        <v>1958</v>
      </c>
    </row>
    <row r="190" spans="2:4">
      <c r="B190" s="198" t="s">
        <v>1378</v>
      </c>
      <c r="C190" s="154" t="s">
        <v>1587</v>
      </c>
      <c r="D190" s="201" t="s">
        <v>1958</v>
      </c>
    </row>
    <row r="191" spans="2:4">
      <c r="B191" s="198" t="s">
        <v>1215</v>
      </c>
      <c r="C191" s="154" t="s">
        <v>1587</v>
      </c>
      <c r="D191" s="201" t="s">
        <v>1958</v>
      </c>
    </row>
    <row r="192" spans="2:4">
      <c r="B192" s="198" t="s">
        <v>1258</v>
      </c>
      <c r="C192" s="154" t="s">
        <v>1587</v>
      </c>
      <c r="D192" s="201" t="s">
        <v>1958</v>
      </c>
    </row>
    <row r="193" spans="2:4">
      <c r="B193" s="198" t="s">
        <v>1395</v>
      </c>
      <c r="C193" s="154" t="s">
        <v>1587</v>
      </c>
      <c r="D193" s="201" t="s">
        <v>1958</v>
      </c>
    </row>
    <row r="194" spans="2:4">
      <c r="B194" s="198" t="s">
        <v>1107</v>
      </c>
      <c r="C194" s="154" t="s">
        <v>1587</v>
      </c>
      <c r="D194" s="201" t="s">
        <v>1958</v>
      </c>
    </row>
    <row r="195" spans="2:4">
      <c r="B195" s="198" t="s">
        <v>1057</v>
      </c>
      <c r="C195" s="154" t="s">
        <v>1587</v>
      </c>
      <c r="D195" s="201" t="s">
        <v>1958</v>
      </c>
    </row>
    <row r="196" spans="2:4">
      <c r="B196" s="198" t="s">
        <v>1388</v>
      </c>
      <c r="C196" s="154" t="s">
        <v>1587</v>
      </c>
      <c r="D196" s="201" t="s">
        <v>1958</v>
      </c>
    </row>
    <row r="197" spans="2:4">
      <c r="B197" s="198" t="s">
        <v>961</v>
      </c>
      <c r="C197" s="154" t="s">
        <v>1587</v>
      </c>
      <c r="D197" s="201" t="s">
        <v>1958</v>
      </c>
    </row>
    <row r="198" spans="2:4">
      <c r="B198" s="198" t="s">
        <v>1058</v>
      </c>
      <c r="C198" s="154" t="s">
        <v>1587</v>
      </c>
      <c r="D198" s="201" t="s">
        <v>1958</v>
      </c>
    </row>
    <row r="199" spans="2:4">
      <c r="B199" s="198" t="s">
        <v>1077</v>
      </c>
      <c r="C199" s="154" t="s">
        <v>1587</v>
      </c>
      <c r="D199" s="201" t="s">
        <v>1958</v>
      </c>
    </row>
    <row r="200" spans="2:4">
      <c r="B200" s="198" t="s">
        <v>818</v>
      </c>
      <c r="C200" s="154" t="s">
        <v>1587</v>
      </c>
      <c r="D200" s="201" t="s">
        <v>1958</v>
      </c>
    </row>
    <row r="201" spans="2:4">
      <c r="B201" s="198" t="s">
        <v>511</v>
      </c>
      <c r="C201" s="154" t="s">
        <v>1587</v>
      </c>
      <c r="D201" s="201" t="s">
        <v>1958</v>
      </c>
    </row>
    <row r="202" spans="2:4">
      <c r="B202" s="198" t="s">
        <v>522</v>
      </c>
      <c r="C202" s="154" t="s">
        <v>1587</v>
      </c>
      <c r="D202" s="201" t="s">
        <v>1958</v>
      </c>
    </row>
    <row r="203" spans="2:4">
      <c r="B203" s="198" t="s">
        <v>1218</v>
      </c>
      <c r="C203" s="154" t="s">
        <v>1587</v>
      </c>
      <c r="D203" s="201" t="s">
        <v>1958</v>
      </c>
    </row>
    <row r="204" spans="2:4">
      <c r="B204" s="198" t="s">
        <v>962</v>
      </c>
      <c r="C204" s="154" t="s">
        <v>1587</v>
      </c>
      <c r="D204" s="201" t="s">
        <v>1958</v>
      </c>
    </row>
    <row r="205" spans="2:4">
      <c r="B205" s="198" t="s">
        <v>1289</v>
      </c>
      <c r="C205" s="154" t="s">
        <v>1587</v>
      </c>
      <c r="D205" s="201" t="s">
        <v>1958</v>
      </c>
    </row>
    <row r="206" spans="2:4">
      <c r="B206" s="198" t="s">
        <v>815</v>
      </c>
      <c r="C206" s="154" t="s">
        <v>1587</v>
      </c>
      <c r="D206" s="201" t="s">
        <v>1958</v>
      </c>
    </row>
    <row r="207" spans="2:4">
      <c r="B207" s="198" t="s">
        <v>508</v>
      </c>
      <c r="C207" s="154" t="s">
        <v>1587</v>
      </c>
      <c r="D207" s="201" t="s">
        <v>1958</v>
      </c>
    </row>
    <row r="208" spans="2:4">
      <c r="B208" s="198" t="s">
        <v>506</v>
      </c>
      <c r="C208" s="154" t="s">
        <v>1587</v>
      </c>
      <c r="D208" s="201" t="s">
        <v>1958</v>
      </c>
    </row>
    <row r="209" spans="2:4">
      <c r="B209" s="198" t="s">
        <v>515</v>
      </c>
      <c r="C209" s="154" t="s">
        <v>1587</v>
      </c>
      <c r="D209" s="201" t="s">
        <v>1958</v>
      </c>
    </row>
    <row r="210" spans="2:4">
      <c r="B210" s="198" t="s">
        <v>514</v>
      </c>
      <c r="C210" s="154" t="s">
        <v>1587</v>
      </c>
      <c r="D210" s="201" t="s">
        <v>1958</v>
      </c>
    </row>
    <row r="211" spans="2:4">
      <c r="B211" s="198" t="s">
        <v>867</v>
      </c>
      <c r="C211" s="154" t="s">
        <v>1587</v>
      </c>
      <c r="D211" s="201" t="s">
        <v>1958</v>
      </c>
    </row>
    <row r="212" spans="2:4">
      <c r="B212" s="198" t="s">
        <v>804</v>
      </c>
      <c r="C212" s="154" t="s">
        <v>1587</v>
      </c>
      <c r="D212" s="201" t="s">
        <v>1958</v>
      </c>
    </row>
    <row r="213" spans="2:4">
      <c r="B213" s="198" t="s">
        <v>516</v>
      </c>
      <c r="C213" s="154" t="s">
        <v>1587</v>
      </c>
      <c r="D213" s="201" t="s">
        <v>1958</v>
      </c>
    </row>
    <row r="214" spans="2:4">
      <c r="B214" s="198" t="s">
        <v>963</v>
      </c>
      <c r="C214" s="154" t="s">
        <v>1587</v>
      </c>
      <c r="D214" s="201" t="s">
        <v>1958</v>
      </c>
    </row>
    <row r="215" spans="2:4">
      <c r="B215" s="198" t="s">
        <v>2866</v>
      </c>
      <c r="C215" s="154" t="s">
        <v>2945</v>
      </c>
      <c r="D215" s="201" t="s">
        <v>1958</v>
      </c>
    </row>
    <row r="216" spans="2:4">
      <c r="B216" s="198" t="s">
        <v>2326</v>
      </c>
      <c r="C216" s="154" t="s">
        <v>2332</v>
      </c>
      <c r="D216" s="201" t="s">
        <v>1958</v>
      </c>
    </row>
    <row r="217" spans="2:4">
      <c r="B217" s="198" t="s">
        <v>1195</v>
      </c>
      <c r="C217" s="154" t="s">
        <v>1532</v>
      </c>
      <c r="D217" s="201" t="s">
        <v>1958</v>
      </c>
    </row>
    <row r="218" spans="2:4">
      <c r="B218" s="198" t="s">
        <v>1078</v>
      </c>
      <c r="C218" s="154" t="s">
        <v>1532</v>
      </c>
      <c r="D218" s="201" t="s">
        <v>1958</v>
      </c>
    </row>
    <row r="219" spans="2:4">
      <c r="B219" s="198" t="s">
        <v>1149</v>
      </c>
      <c r="C219" s="154" t="s">
        <v>1587</v>
      </c>
      <c r="D219" s="201" t="s">
        <v>1958</v>
      </c>
    </row>
    <row r="220" spans="2:4">
      <c r="B220" s="198" t="s">
        <v>868</v>
      </c>
      <c r="C220" s="154" t="s">
        <v>1532</v>
      </c>
      <c r="D220" s="201" t="s">
        <v>1958</v>
      </c>
    </row>
    <row r="221" spans="2:4">
      <c r="B221" s="198" t="s">
        <v>964</v>
      </c>
      <c r="C221" s="154" t="s">
        <v>1587</v>
      </c>
      <c r="D221" s="201" t="s">
        <v>1958</v>
      </c>
    </row>
    <row r="222" spans="2:4">
      <c r="B222" s="198" t="s">
        <v>195</v>
      </c>
      <c r="C222" s="154" t="s">
        <v>1532</v>
      </c>
      <c r="D222" s="201" t="s">
        <v>1958</v>
      </c>
    </row>
    <row r="223" spans="2:4">
      <c r="B223" s="198" t="s">
        <v>642</v>
      </c>
      <c r="C223" s="154" t="s">
        <v>1532</v>
      </c>
      <c r="D223" s="201" t="s">
        <v>1958</v>
      </c>
    </row>
    <row r="224" spans="2:4">
      <c r="B224" s="198" t="s">
        <v>1290</v>
      </c>
      <c r="C224" s="154" t="s">
        <v>3337</v>
      </c>
      <c r="D224" s="201" t="s">
        <v>1958</v>
      </c>
    </row>
    <row r="225" spans="2:4">
      <c r="B225" s="198" t="s">
        <v>1267</v>
      </c>
      <c r="C225" s="154" t="s">
        <v>1587</v>
      </c>
      <c r="D225" s="201" t="s">
        <v>1958</v>
      </c>
    </row>
    <row r="226" spans="2:4">
      <c r="B226" s="198" t="s">
        <v>2492</v>
      </c>
      <c r="C226" s="154" t="s">
        <v>1587</v>
      </c>
      <c r="D226" s="201" t="s">
        <v>1958</v>
      </c>
    </row>
    <row r="227" spans="2:4">
      <c r="B227" s="198" t="s">
        <v>1050</v>
      </c>
      <c r="C227" s="154" t="s">
        <v>1587</v>
      </c>
      <c r="D227" s="201" t="s">
        <v>1958</v>
      </c>
    </row>
    <row r="228" spans="2:4">
      <c r="B228" s="198" t="s">
        <v>1262</v>
      </c>
      <c r="C228" s="154" t="s">
        <v>1587</v>
      </c>
      <c r="D228" s="201" t="s">
        <v>1958</v>
      </c>
    </row>
    <row r="229" spans="2:4">
      <c r="B229" s="198" t="s">
        <v>1105</v>
      </c>
      <c r="C229" s="154" t="s">
        <v>1587</v>
      </c>
      <c r="D229" s="201" t="s">
        <v>1958</v>
      </c>
    </row>
    <row r="230" spans="2:4">
      <c r="B230" s="198" t="s">
        <v>1153</v>
      </c>
      <c r="C230" s="154" t="s">
        <v>1587</v>
      </c>
      <c r="D230" s="201" t="s">
        <v>1958</v>
      </c>
    </row>
    <row r="231" spans="2:4">
      <c r="B231" s="198" t="s">
        <v>1379</v>
      </c>
      <c r="C231" s="154" t="s">
        <v>1587</v>
      </c>
      <c r="D231" s="201" t="s">
        <v>1958</v>
      </c>
    </row>
    <row r="232" spans="2:4">
      <c r="B232" s="198" t="s">
        <v>1123</v>
      </c>
      <c r="C232" s="154" t="s">
        <v>1587</v>
      </c>
      <c r="D232" s="201" t="s">
        <v>1958</v>
      </c>
    </row>
    <row r="233" spans="2:4">
      <c r="B233" s="198" t="s">
        <v>1247</v>
      </c>
      <c r="C233" s="154" t="s">
        <v>1587</v>
      </c>
      <c r="D233" s="201" t="s">
        <v>1958</v>
      </c>
    </row>
    <row r="234" spans="2:4">
      <c r="B234" s="198" t="s">
        <v>490</v>
      </c>
      <c r="C234" s="154" t="s">
        <v>1587</v>
      </c>
      <c r="D234" s="201" t="s">
        <v>1958</v>
      </c>
    </row>
    <row r="235" spans="2:4">
      <c r="B235" s="198" t="s">
        <v>965</v>
      </c>
      <c r="C235" s="154" t="s">
        <v>1587</v>
      </c>
      <c r="D235" s="201" t="s">
        <v>1958</v>
      </c>
    </row>
    <row r="236" spans="2:4">
      <c r="B236" s="198" t="s">
        <v>1265</v>
      </c>
      <c r="C236" s="154" t="s">
        <v>1587</v>
      </c>
      <c r="D236" s="201" t="s">
        <v>1958</v>
      </c>
    </row>
    <row r="237" spans="2:4">
      <c r="B237" s="198" t="s">
        <v>1220</v>
      </c>
      <c r="C237" s="154" t="s">
        <v>1587</v>
      </c>
      <c r="D237" s="201" t="s">
        <v>1958</v>
      </c>
    </row>
    <row r="238" spans="2:4">
      <c r="B238" s="198" t="s">
        <v>825</v>
      </c>
      <c r="C238" s="154" t="s">
        <v>1587</v>
      </c>
      <c r="D238" s="201" t="s">
        <v>1958</v>
      </c>
    </row>
    <row r="239" spans="2:4">
      <c r="B239" s="198" t="s">
        <v>626</v>
      </c>
      <c r="C239" s="154" t="s">
        <v>1587</v>
      </c>
      <c r="D239" s="201" t="s">
        <v>1958</v>
      </c>
    </row>
    <row r="240" spans="2:4">
      <c r="B240" s="198" t="s">
        <v>967</v>
      </c>
      <c r="C240" s="154" t="s">
        <v>1627</v>
      </c>
      <c r="D240" s="201" t="s">
        <v>1958</v>
      </c>
    </row>
    <row r="241" spans="2:4">
      <c r="B241" s="198" t="s">
        <v>378</v>
      </c>
      <c r="C241" s="154" t="s">
        <v>1627</v>
      </c>
      <c r="D241" s="201" t="s">
        <v>1958</v>
      </c>
    </row>
    <row r="242" spans="2:4">
      <c r="B242" s="198" t="s">
        <v>2836</v>
      </c>
      <c r="C242" s="154" t="s">
        <v>1627</v>
      </c>
      <c r="D242" s="201" t="s">
        <v>1958</v>
      </c>
    </row>
    <row r="243" spans="2:4">
      <c r="B243" s="198" t="s">
        <v>968</v>
      </c>
      <c r="C243" s="154" t="s">
        <v>1627</v>
      </c>
      <c r="D243" s="201" t="s">
        <v>1958</v>
      </c>
    </row>
    <row r="244" spans="2:4">
      <c r="B244" s="198" t="s">
        <v>1389</v>
      </c>
      <c r="C244" s="154" t="s">
        <v>2969</v>
      </c>
      <c r="D244" s="201" t="s">
        <v>1958</v>
      </c>
    </row>
    <row r="245" spans="2:4">
      <c r="B245" s="198" t="s">
        <v>2802</v>
      </c>
      <c r="C245" s="154" t="s">
        <v>2933</v>
      </c>
      <c r="D245" s="201" t="s">
        <v>1958</v>
      </c>
    </row>
    <row r="246" spans="2:4">
      <c r="B246" s="198" t="s">
        <v>2882</v>
      </c>
      <c r="C246" s="154" t="s">
        <v>2948</v>
      </c>
      <c r="D246" s="201" t="s">
        <v>1958</v>
      </c>
    </row>
    <row r="247" spans="2:4">
      <c r="B247" s="198" t="s">
        <v>2812</v>
      </c>
      <c r="C247" s="154" t="s">
        <v>2970</v>
      </c>
      <c r="D247" s="201" t="s">
        <v>1958</v>
      </c>
    </row>
    <row r="248" spans="2:4">
      <c r="B248" s="198" t="s">
        <v>2842</v>
      </c>
      <c r="C248" s="154" t="s">
        <v>2938</v>
      </c>
      <c r="D248" s="201" t="s">
        <v>1958</v>
      </c>
    </row>
    <row r="249" spans="2:4">
      <c r="B249" s="198" t="s">
        <v>536</v>
      </c>
      <c r="C249" s="154" t="s">
        <v>1641</v>
      </c>
      <c r="D249" s="201" t="s">
        <v>1958</v>
      </c>
    </row>
    <row r="250" spans="2:4">
      <c r="B250" s="198" t="s">
        <v>537</v>
      </c>
      <c r="C250" s="154" t="s">
        <v>1641</v>
      </c>
      <c r="D250" s="201" t="s">
        <v>1958</v>
      </c>
    </row>
    <row r="251" spans="2:4">
      <c r="B251" s="198" t="s">
        <v>409</v>
      </c>
      <c r="C251" s="154" t="s">
        <v>1641</v>
      </c>
      <c r="D251" s="201" t="s">
        <v>1958</v>
      </c>
    </row>
    <row r="252" spans="2:4">
      <c r="B252" s="198" t="s">
        <v>2679</v>
      </c>
      <c r="C252" s="154" t="s">
        <v>1641</v>
      </c>
      <c r="D252" s="201" t="s">
        <v>1958</v>
      </c>
    </row>
    <row r="253" spans="2:4">
      <c r="B253" s="198" t="s">
        <v>543</v>
      </c>
      <c r="C253" s="154" t="s">
        <v>1641</v>
      </c>
      <c r="D253" s="201" t="s">
        <v>1958</v>
      </c>
    </row>
    <row r="254" spans="2:4">
      <c r="B254" s="198" t="s">
        <v>421</v>
      </c>
      <c r="C254" s="154" t="s">
        <v>1641</v>
      </c>
      <c r="D254" s="201" t="s">
        <v>1958</v>
      </c>
    </row>
    <row r="255" spans="2:4">
      <c r="B255" s="198" t="s">
        <v>2703</v>
      </c>
      <c r="C255" s="154" t="s">
        <v>2971</v>
      </c>
      <c r="D255" s="201" t="s">
        <v>1958</v>
      </c>
    </row>
    <row r="256" spans="2:4">
      <c r="B256" s="198" t="s">
        <v>2372</v>
      </c>
      <c r="C256" s="154" t="s">
        <v>2380</v>
      </c>
      <c r="D256" s="201" t="s">
        <v>1958</v>
      </c>
    </row>
    <row r="257" spans="2:4">
      <c r="B257" s="198" t="s">
        <v>1146</v>
      </c>
      <c r="C257" s="154" t="s">
        <v>2888</v>
      </c>
      <c r="D257" s="201" t="s">
        <v>1958</v>
      </c>
    </row>
    <row r="258" spans="2:4">
      <c r="B258" s="198" t="s">
        <v>1387</v>
      </c>
      <c r="C258" s="154" t="s">
        <v>2888</v>
      </c>
      <c r="D258" s="201" t="s">
        <v>1958</v>
      </c>
    </row>
    <row r="259" spans="2:4">
      <c r="B259" s="198" t="s">
        <v>441</v>
      </c>
      <c r="C259" s="154" t="s">
        <v>1661</v>
      </c>
      <c r="D259" s="201" t="s">
        <v>1958</v>
      </c>
    </row>
    <row r="260" spans="2:4">
      <c r="B260" s="198" t="s">
        <v>1481</v>
      </c>
      <c r="C260" s="154" t="s">
        <v>1944</v>
      </c>
      <c r="D260" s="201" t="s">
        <v>1958</v>
      </c>
    </row>
    <row r="261" spans="2:4">
      <c r="B261" s="198" t="s">
        <v>1285</v>
      </c>
      <c r="C261" s="154" t="s">
        <v>1923</v>
      </c>
      <c r="D261" s="201" t="s">
        <v>1958</v>
      </c>
    </row>
    <row r="262" spans="2:4">
      <c r="B262" s="198" t="s">
        <v>2781</v>
      </c>
      <c r="C262" s="154" t="s">
        <v>1933</v>
      </c>
      <c r="D262" s="201" t="s">
        <v>1958</v>
      </c>
    </row>
    <row r="263" spans="2:4">
      <c r="B263" s="198" t="s">
        <v>2323</v>
      </c>
      <c r="C263" s="154" t="s">
        <v>2322</v>
      </c>
      <c r="D263" s="201" t="s">
        <v>1958</v>
      </c>
    </row>
    <row r="264" spans="2:4">
      <c r="B264" s="198" t="s">
        <v>1276</v>
      </c>
      <c r="C264" s="154" t="s">
        <v>1578</v>
      </c>
      <c r="D264" s="201" t="s">
        <v>1958</v>
      </c>
    </row>
    <row r="265" spans="2:4">
      <c r="B265" s="198" t="s">
        <v>278</v>
      </c>
      <c r="C265" s="154" t="s">
        <v>1578</v>
      </c>
      <c r="D265" s="201" t="s">
        <v>1958</v>
      </c>
    </row>
    <row r="266" spans="2:4">
      <c r="B266" s="198" t="s">
        <v>316</v>
      </c>
      <c r="C266" s="154" t="s">
        <v>1578</v>
      </c>
      <c r="D266" s="201" t="s">
        <v>1958</v>
      </c>
    </row>
    <row r="267" spans="2:4">
      <c r="B267" s="198" t="s">
        <v>858</v>
      </c>
      <c r="C267" s="154" t="s">
        <v>1578</v>
      </c>
      <c r="D267" s="201" t="s">
        <v>1958</v>
      </c>
    </row>
    <row r="268" spans="2:4">
      <c r="B268" s="198" t="s">
        <v>548</v>
      </c>
      <c r="C268" s="154" t="s">
        <v>1578</v>
      </c>
      <c r="D268" s="201" t="s">
        <v>1958</v>
      </c>
    </row>
    <row r="269" spans="2:4">
      <c r="B269" s="198" t="s">
        <v>2555</v>
      </c>
      <c r="C269" s="154" t="s">
        <v>1578</v>
      </c>
      <c r="D269" s="201" t="s">
        <v>1958</v>
      </c>
    </row>
    <row r="270" spans="2:4">
      <c r="B270" s="198" t="s">
        <v>431</v>
      </c>
      <c r="C270" s="154" t="s">
        <v>1653</v>
      </c>
      <c r="D270" s="201" t="s">
        <v>1958</v>
      </c>
    </row>
    <row r="271" spans="2:4">
      <c r="B271" s="198" t="s">
        <v>545</v>
      </c>
      <c r="C271" s="154" t="s">
        <v>1653</v>
      </c>
      <c r="D271" s="201" t="s">
        <v>1958</v>
      </c>
    </row>
    <row r="272" spans="2:4">
      <c r="B272" s="198" t="s">
        <v>2776</v>
      </c>
      <c r="C272" s="154" t="s">
        <v>1653</v>
      </c>
      <c r="D272" s="201" t="s">
        <v>1958</v>
      </c>
    </row>
    <row r="273" spans="2:4">
      <c r="B273" s="198" t="s">
        <v>436</v>
      </c>
      <c r="C273" s="154" t="s">
        <v>1658</v>
      </c>
      <c r="D273" s="201" t="s">
        <v>1958</v>
      </c>
    </row>
    <row r="274" spans="2:4">
      <c r="B274" s="198" t="s">
        <v>1251</v>
      </c>
      <c r="C274" s="154" t="s">
        <v>1587</v>
      </c>
      <c r="D274" s="201" t="s">
        <v>1958</v>
      </c>
    </row>
    <row r="275" spans="2:4">
      <c r="B275" s="198" t="s">
        <v>1268</v>
      </c>
      <c r="C275" s="154" t="s">
        <v>1587</v>
      </c>
      <c r="D275" s="201" t="s">
        <v>1958</v>
      </c>
    </row>
    <row r="276" spans="2:4">
      <c r="B276" s="198" t="s">
        <v>1261</v>
      </c>
      <c r="C276" s="154" t="s">
        <v>1587</v>
      </c>
      <c r="D276" s="201" t="s">
        <v>1958</v>
      </c>
    </row>
    <row r="277" spans="2:4">
      <c r="B277" s="198" t="s">
        <v>790</v>
      </c>
      <c r="C277" s="154" t="s">
        <v>1587</v>
      </c>
      <c r="D277" s="201" t="s">
        <v>1958</v>
      </c>
    </row>
    <row r="278" spans="2:4">
      <c r="B278" s="198" t="s">
        <v>1250</v>
      </c>
      <c r="C278" s="154" t="s">
        <v>1587</v>
      </c>
      <c r="D278" s="201" t="s">
        <v>1958</v>
      </c>
    </row>
    <row r="279" spans="2:4">
      <c r="B279" s="198" t="s">
        <v>1263</v>
      </c>
      <c r="C279" s="154" t="s">
        <v>1587</v>
      </c>
      <c r="D279" s="201" t="s">
        <v>1958</v>
      </c>
    </row>
    <row r="280" spans="2:4">
      <c r="B280" s="198" t="s">
        <v>969</v>
      </c>
      <c r="C280" s="154" t="s">
        <v>1587</v>
      </c>
      <c r="D280" s="201" t="s">
        <v>1958</v>
      </c>
    </row>
    <row r="281" spans="2:4">
      <c r="B281" s="198" t="s">
        <v>1249</v>
      </c>
      <c r="C281" s="154" t="s">
        <v>1587</v>
      </c>
      <c r="D281" s="201" t="s">
        <v>1958</v>
      </c>
    </row>
    <row r="282" spans="2:4">
      <c r="B282" s="198" t="s">
        <v>983</v>
      </c>
      <c r="C282" s="154" t="s">
        <v>1587</v>
      </c>
      <c r="D282" s="201" t="s">
        <v>1958</v>
      </c>
    </row>
    <row r="283" spans="2:4">
      <c r="B283" s="198" t="s">
        <v>2815</v>
      </c>
      <c r="C283" s="154" t="s">
        <v>2972</v>
      </c>
      <c r="D283" s="201" t="s">
        <v>1958</v>
      </c>
    </row>
    <row r="284" spans="2:4">
      <c r="B284" s="198" t="s">
        <v>2884</v>
      </c>
      <c r="C284" s="154" t="s">
        <v>2973</v>
      </c>
      <c r="D284" s="201" t="s">
        <v>1958</v>
      </c>
    </row>
    <row r="285" spans="2:4">
      <c r="B285" s="198" t="s">
        <v>1390</v>
      </c>
      <c r="C285" s="154" t="s">
        <v>1930</v>
      </c>
      <c r="D285" s="201" t="s">
        <v>1958</v>
      </c>
    </row>
    <row r="286" spans="2:4">
      <c r="B286" s="198" t="s">
        <v>1269</v>
      </c>
      <c r="C286" s="154" t="s">
        <v>1918</v>
      </c>
      <c r="D286" s="201" t="s">
        <v>1958</v>
      </c>
    </row>
    <row r="287" spans="2:4">
      <c r="B287" s="198" t="s">
        <v>1259</v>
      </c>
      <c r="C287" s="154" t="s">
        <v>1918</v>
      </c>
      <c r="D287" s="201" t="s">
        <v>1958</v>
      </c>
    </row>
    <row r="288" spans="2:4">
      <c r="B288" s="198" t="s">
        <v>970</v>
      </c>
      <c r="C288" s="154" t="s">
        <v>1557</v>
      </c>
      <c r="D288" s="201" t="s">
        <v>1958</v>
      </c>
    </row>
    <row r="289" spans="2:4">
      <c r="B289" s="198" t="s">
        <v>233</v>
      </c>
      <c r="C289" s="154" t="s">
        <v>1557</v>
      </c>
      <c r="D289" s="201" t="s">
        <v>1958</v>
      </c>
    </row>
    <row r="290" spans="2:4">
      <c r="B290" s="198" t="s">
        <v>2879</v>
      </c>
      <c r="C290" s="154" t="s">
        <v>1557</v>
      </c>
      <c r="D290" s="201" t="s">
        <v>1958</v>
      </c>
    </row>
    <row r="291" spans="2:4">
      <c r="B291" s="198" t="s">
        <v>971</v>
      </c>
      <c r="C291" s="154" t="s">
        <v>1590</v>
      </c>
      <c r="D291" s="201" t="s">
        <v>1958</v>
      </c>
    </row>
    <row r="292" spans="2:4">
      <c r="B292" s="198" t="s">
        <v>1299</v>
      </c>
      <c r="C292" s="154" t="s">
        <v>1590</v>
      </c>
      <c r="D292" s="201" t="s">
        <v>1958</v>
      </c>
    </row>
    <row r="293" spans="2:4">
      <c r="B293" s="198" t="s">
        <v>859</v>
      </c>
      <c r="C293" s="154" t="s">
        <v>1590</v>
      </c>
      <c r="D293" s="201" t="s">
        <v>1958</v>
      </c>
    </row>
    <row r="294" spans="2:4">
      <c r="B294" s="198" t="s">
        <v>866</v>
      </c>
      <c r="C294" s="154" t="s">
        <v>1590</v>
      </c>
      <c r="D294" s="201" t="s">
        <v>1958</v>
      </c>
    </row>
    <row r="295" spans="2:4">
      <c r="B295" s="198" t="s">
        <v>871</v>
      </c>
      <c r="C295" s="154" t="s">
        <v>1590</v>
      </c>
      <c r="D295" s="201" t="s">
        <v>1958</v>
      </c>
    </row>
    <row r="296" spans="2:4">
      <c r="B296" s="198" t="s">
        <v>972</v>
      </c>
      <c r="C296" s="154" t="s">
        <v>1590</v>
      </c>
      <c r="D296" s="201" t="s">
        <v>1958</v>
      </c>
    </row>
    <row r="297" spans="2:4">
      <c r="B297" s="198" t="s">
        <v>973</v>
      </c>
      <c r="C297" s="154" t="s">
        <v>1590</v>
      </c>
      <c r="D297" s="201" t="s">
        <v>1958</v>
      </c>
    </row>
    <row r="298" spans="2:4">
      <c r="B298" s="198" t="s">
        <v>974</v>
      </c>
      <c r="C298" s="154" t="s">
        <v>1590</v>
      </c>
      <c r="D298" s="201" t="s">
        <v>1958</v>
      </c>
    </row>
    <row r="299" spans="2:4">
      <c r="B299" s="198" t="s">
        <v>494</v>
      </c>
      <c r="C299" s="154" t="s">
        <v>1689</v>
      </c>
      <c r="D299" s="201" t="s">
        <v>1958</v>
      </c>
    </row>
    <row r="300" spans="2:4">
      <c r="B300" s="198" t="s">
        <v>1275</v>
      </c>
      <c r="C300" s="154" t="s">
        <v>1922</v>
      </c>
      <c r="D300" s="201" t="s">
        <v>1958</v>
      </c>
    </row>
    <row r="301" spans="2:4">
      <c r="B301" s="198" t="s">
        <v>620</v>
      </c>
      <c r="C301" s="154" t="s">
        <v>1729</v>
      </c>
      <c r="D301" s="201" t="s">
        <v>1958</v>
      </c>
    </row>
    <row r="302" spans="2:4">
      <c r="B302" s="198" t="s">
        <v>2325</v>
      </c>
      <c r="C302" s="154" t="s">
        <v>2333</v>
      </c>
      <c r="D302" s="201" t="s">
        <v>1958</v>
      </c>
    </row>
    <row r="303" spans="2:4">
      <c r="B303" s="198" t="s">
        <v>2863</v>
      </c>
      <c r="C303" s="154" t="s">
        <v>2942</v>
      </c>
      <c r="D303" s="201" t="s">
        <v>1958</v>
      </c>
    </row>
    <row r="304" spans="2:4">
      <c r="B304" s="198" t="s">
        <v>1029</v>
      </c>
      <c r="C304" s="154" t="s">
        <v>1868</v>
      </c>
      <c r="D304" s="201" t="s">
        <v>1952</v>
      </c>
    </row>
    <row r="305" spans="2:4">
      <c r="B305" s="198" t="s">
        <v>2872</v>
      </c>
      <c r="C305" s="154" t="s">
        <v>1587</v>
      </c>
      <c r="D305" s="201" t="s">
        <v>1958</v>
      </c>
    </row>
    <row r="306" spans="2:4">
      <c r="B306" s="198" t="s">
        <v>512</v>
      </c>
      <c r="C306" s="154" t="s">
        <v>1587</v>
      </c>
      <c r="D306" s="201" t="s">
        <v>1958</v>
      </c>
    </row>
    <row r="307" spans="2:4">
      <c r="B307" s="198" t="s">
        <v>820</v>
      </c>
      <c r="C307" s="154" t="s">
        <v>1587</v>
      </c>
      <c r="D307" s="201" t="s">
        <v>1958</v>
      </c>
    </row>
    <row r="308" spans="2:4">
      <c r="B308" s="198" t="s">
        <v>824</v>
      </c>
      <c r="C308" s="154" t="s">
        <v>1587</v>
      </c>
      <c r="D308" s="201" t="s">
        <v>1958</v>
      </c>
    </row>
    <row r="309" spans="2:4">
      <c r="B309" s="198" t="s">
        <v>1291</v>
      </c>
      <c r="C309" s="154" t="s">
        <v>1587</v>
      </c>
      <c r="D309" s="201" t="s">
        <v>1958</v>
      </c>
    </row>
    <row r="310" spans="2:4">
      <c r="B310" s="198" t="s">
        <v>1266</v>
      </c>
      <c r="C310" s="154" t="s">
        <v>1587</v>
      </c>
      <c r="D310" s="201" t="s">
        <v>1958</v>
      </c>
    </row>
    <row r="311" spans="2:4">
      <c r="B311" s="198" t="s">
        <v>504</v>
      </c>
      <c r="C311" s="154" t="s">
        <v>1587</v>
      </c>
      <c r="D311" s="201" t="s">
        <v>1958</v>
      </c>
    </row>
    <row r="312" spans="2:4">
      <c r="B312" s="198" t="s">
        <v>860</v>
      </c>
      <c r="C312" s="154" t="s">
        <v>1587</v>
      </c>
      <c r="D312" s="201" t="s">
        <v>1958</v>
      </c>
    </row>
    <row r="313" spans="2:4">
      <c r="B313" s="198" t="s">
        <v>1106</v>
      </c>
      <c r="C313" s="154" t="s">
        <v>1587</v>
      </c>
      <c r="D313" s="201" t="s">
        <v>1958</v>
      </c>
    </row>
    <row r="314" spans="2:4">
      <c r="B314" s="198" t="s">
        <v>476</v>
      </c>
      <c r="C314" s="154" t="s">
        <v>1587</v>
      </c>
      <c r="D314" s="201" t="s">
        <v>1958</v>
      </c>
    </row>
    <row r="315" spans="2:4">
      <c r="B315" s="198" t="s">
        <v>524</v>
      </c>
      <c r="C315" s="154" t="s">
        <v>1587</v>
      </c>
      <c r="D315" s="201" t="s">
        <v>1958</v>
      </c>
    </row>
    <row r="316" spans="2:4">
      <c r="B316" s="198" t="s">
        <v>975</v>
      </c>
      <c r="C316" s="154" t="s">
        <v>1587</v>
      </c>
      <c r="D316" s="201" t="s">
        <v>1958</v>
      </c>
    </row>
    <row r="317" spans="2:4">
      <c r="B317" s="198" t="s">
        <v>235</v>
      </c>
      <c r="C317" s="154" t="s">
        <v>1558</v>
      </c>
      <c r="D317" s="201" t="s">
        <v>1958</v>
      </c>
    </row>
    <row r="318" spans="2:4">
      <c r="B318" s="198" t="s">
        <v>976</v>
      </c>
      <c r="C318" s="154" t="s">
        <v>1809</v>
      </c>
      <c r="D318" s="201" t="s">
        <v>1958</v>
      </c>
    </row>
    <row r="319" spans="2:4">
      <c r="B319" s="198" t="s">
        <v>861</v>
      </c>
      <c r="C319" s="154" t="s">
        <v>1809</v>
      </c>
      <c r="D319" s="201" t="s">
        <v>1958</v>
      </c>
    </row>
    <row r="320" spans="2:4">
      <c r="B320" s="198" t="s">
        <v>458</v>
      </c>
      <c r="C320" s="154" t="s">
        <v>1671</v>
      </c>
      <c r="D320" s="201" t="s">
        <v>1958</v>
      </c>
    </row>
    <row r="321" spans="2:4">
      <c r="B321" s="198" t="s">
        <v>2589</v>
      </c>
      <c r="C321" s="154" t="s">
        <v>2974</v>
      </c>
      <c r="D321" s="201" t="s">
        <v>1958</v>
      </c>
    </row>
    <row r="322" spans="2:4">
      <c r="B322" s="198" t="s">
        <v>2560</v>
      </c>
      <c r="C322" s="154" t="s">
        <v>2975</v>
      </c>
      <c r="D322" s="201" t="s">
        <v>1958</v>
      </c>
    </row>
    <row r="323" spans="2:4">
      <c r="B323" s="198" t="s">
        <v>2561</v>
      </c>
      <c r="C323" s="154" t="s">
        <v>2975</v>
      </c>
      <c r="D323" s="201" t="s">
        <v>1958</v>
      </c>
    </row>
    <row r="324" spans="2:4">
      <c r="B324" s="198" t="s">
        <v>1159</v>
      </c>
      <c r="C324" s="154" t="s">
        <v>1587</v>
      </c>
      <c r="D324" s="201" t="s">
        <v>1958</v>
      </c>
    </row>
    <row r="325" spans="2:4">
      <c r="B325" s="198" t="s">
        <v>2457</v>
      </c>
      <c r="C325" s="154" t="s">
        <v>2406</v>
      </c>
      <c r="D325" s="201" t="s">
        <v>1958</v>
      </c>
    </row>
    <row r="326" spans="2:4">
      <c r="B326" s="198" t="s">
        <v>2750</v>
      </c>
      <c r="C326" s="154" t="s">
        <v>2976</v>
      </c>
      <c r="D326" s="201" t="s">
        <v>1958</v>
      </c>
    </row>
    <row r="327" spans="2:4">
      <c r="B327" s="198" t="s">
        <v>744</v>
      </c>
      <c r="C327" s="154" t="s">
        <v>1623</v>
      </c>
      <c r="D327" s="201" t="s">
        <v>1958</v>
      </c>
    </row>
    <row r="328" spans="2:4">
      <c r="B328" s="198" t="s">
        <v>977</v>
      </c>
      <c r="C328" s="154" t="s">
        <v>1623</v>
      </c>
      <c r="D328" s="201" t="s">
        <v>1958</v>
      </c>
    </row>
    <row r="329" spans="2:4">
      <c r="B329" s="198" t="s">
        <v>521</v>
      </c>
      <c r="C329" s="154" t="s">
        <v>1623</v>
      </c>
      <c r="D329" s="201" t="s">
        <v>1958</v>
      </c>
    </row>
    <row r="330" spans="2:4">
      <c r="B330" s="198" t="s">
        <v>830</v>
      </c>
      <c r="C330" s="154" t="s">
        <v>1623</v>
      </c>
      <c r="D330" s="201" t="s">
        <v>1958</v>
      </c>
    </row>
    <row r="331" spans="2:4">
      <c r="B331" s="198" t="s">
        <v>533</v>
      </c>
      <c r="C331" s="154" t="s">
        <v>1623</v>
      </c>
      <c r="D331" s="201" t="s">
        <v>1958</v>
      </c>
    </row>
    <row r="332" spans="2:4">
      <c r="B332" s="198" t="s">
        <v>369</v>
      </c>
      <c r="C332" s="154" t="s">
        <v>1623</v>
      </c>
      <c r="D332" s="201" t="s">
        <v>1958</v>
      </c>
    </row>
    <row r="333" spans="2:4">
      <c r="B333" s="198" t="s">
        <v>2816</v>
      </c>
      <c r="C333" s="154" t="s">
        <v>2935</v>
      </c>
      <c r="D333" s="201" t="s">
        <v>1958</v>
      </c>
    </row>
    <row r="334" spans="2:4">
      <c r="B334" s="198" t="s">
        <v>2324</v>
      </c>
      <c r="C334" s="154" t="s">
        <v>2331</v>
      </c>
      <c r="D334" s="201" t="s">
        <v>1958</v>
      </c>
    </row>
    <row r="335" spans="2:4">
      <c r="B335" s="198" t="s">
        <v>2371</v>
      </c>
      <c r="C335" s="154" t="s">
        <v>2379</v>
      </c>
      <c r="D335" s="201" t="s">
        <v>1958</v>
      </c>
    </row>
    <row r="336" spans="2:4">
      <c r="B336" s="198" t="s">
        <v>2563</v>
      </c>
      <c r="C336" s="154" t="s">
        <v>2977</v>
      </c>
      <c r="D336" s="201" t="s">
        <v>1958</v>
      </c>
    </row>
    <row r="337" spans="2:4">
      <c r="B337" s="198" t="s">
        <v>1292</v>
      </c>
      <c r="C337" s="154" t="s">
        <v>3338</v>
      </c>
      <c r="D337" s="201" t="s">
        <v>1958</v>
      </c>
    </row>
    <row r="338" spans="2:4">
      <c r="B338" s="198" t="s">
        <v>762</v>
      </c>
      <c r="C338" s="154" t="s">
        <v>1780</v>
      </c>
      <c r="D338" s="201" t="s">
        <v>1958</v>
      </c>
    </row>
    <row r="339" spans="2:4">
      <c r="B339" s="198" t="s">
        <v>978</v>
      </c>
      <c r="C339" s="154" t="s">
        <v>1780</v>
      </c>
      <c r="D339" s="201" t="s">
        <v>1958</v>
      </c>
    </row>
    <row r="340" spans="2:4">
      <c r="B340" s="198" t="s">
        <v>2540</v>
      </c>
      <c r="C340" s="154" t="s">
        <v>2978</v>
      </c>
      <c r="D340" s="201" t="s">
        <v>1958</v>
      </c>
    </row>
    <row r="341" spans="2:4">
      <c r="B341" s="198" t="s">
        <v>746</v>
      </c>
      <c r="C341" s="154" t="s">
        <v>1776</v>
      </c>
      <c r="D341" s="201" t="s">
        <v>1958</v>
      </c>
    </row>
    <row r="342" spans="2:4">
      <c r="B342" s="198" t="s">
        <v>2880</v>
      </c>
      <c r="C342" s="154" t="s">
        <v>2946</v>
      </c>
      <c r="D342" s="201" t="s">
        <v>1958</v>
      </c>
    </row>
    <row r="343" spans="2:4">
      <c r="B343" s="198" t="s">
        <v>434</v>
      </c>
      <c r="C343" s="154" t="s">
        <v>1656</v>
      </c>
      <c r="D343" s="201" t="s">
        <v>1958</v>
      </c>
    </row>
    <row r="344" spans="2:4">
      <c r="B344" s="198" t="s">
        <v>817</v>
      </c>
      <c r="C344" s="154" t="s">
        <v>1551</v>
      </c>
      <c r="D344" s="201" t="s">
        <v>1958</v>
      </c>
    </row>
    <row r="345" spans="2:4">
      <c r="B345" s="198" t="s">
        <v>865</v>
      </c>
      <c r="C345" s="154" t="s">
        <v>1551</v>
      </c>
      <c r="D345" s="201" t="s">
        <v>1958</v>
      </c>
    </row>
    <row r="346" spans="2:4">
      <c r="B346" s="198" t="s">
        <v>764</v>
      </c>
      <c r="C346" s="154" t="s">
        <v>1551</v>
      </c>
      <c r="D346" s="201" t="s">
        <v>1958</v>
      </c>
    </row>
    <row r="347" spans="2:4">
      <c r="B347" s="198" t="s">
        <v>781</v>
      </c>
      <c r="C347" s="154" t="s">
        <v>1551</v>
      </c>
      <c r="D347" s="201" t="s">
        <v>1958</v>
      </c>
    </row>
    <row r="348" spans="2:4">
      <c r="B348" s="198" t="s">
        <v>810</v>
      </c>
      <c r="C348" s="154" t="s">
        <v>1551</v>
      </c>
      <c r="D348" s="201" t="s">
        <v>1958</v>
      </c>
    </row>
    <row r="349" spans="2:4">
      <c r="B349" s="198" t="s">
        <v>763</v>
      </c>
      <c r="C349" s="154" t="s">
        <v>1551</v>
      </c>
      <c r="D349" s="201" t="s">
        <v>1958</v>
      </c>
    </row>
    <row r="350" spans="2:4">
      <c r="B350" s="198" t="s">
        <v>979</v>
      </c>
      <c r="C350" s="154" t="s">
        <v>1551</v>
      </c>
      <c r="D350" s="201" t="s">
        <v>1958</v>
      </c>
    </row>
    <row r="351" spans="2:4">
      <c r="B351" s="198" t="s">
        <v>784</v>
      </c>
      <c r="C351" s="154" t="s">
        <v>1551</v>
      </c>
      <c r="D351" s="201" t="s">
        <v>1958</v>
      </c>
    </row>
    <row r="352" spans="2:4">
      <c r="B352" s="198" t="s">
        <v>829</v>
      </c>
      <c r="C352" s="154" t="s">
        <v>1551</v>
      </c>
      <c r="D352" s="201" t="s">
        <v>1958</v>
      </c>
    </row>
    <row r="353" spans="2:4">
      <c r="B353" s="198" t="s">
        <v>460</v>
      </c>
      <c r="C353" s="154" t="s">
        <v>1551</v>
      </c>
      <c r="D353" s="201" t="s">
        <v>1958</v>
      </c>
    </row>
    <row r="354" spans="2:4">
      <c r="B354" s="198" t="s">
        <v>1300</v>
      </c>
      <c r="C354" s="154" t="s">
        <v>1565</v>
      </c>
      <c r="D354" s="201" t="s">
        <v>1958</v>
      </c>
    </row>
    <row r="355" spans="2:4">
      <c r="B355" s="198" t="s">
        <v>1264</v>
      </c>
      <c r="C355" s="154" t="s">
        <v>1565</v>
      </c>
      <c r="D355" s="201" t="s">
        <v>1958</v>
      </c>
    </row>
    <row r="356" spans="2:4">
      <c r="B356" s="198" t="s">
        <v>1256</v>
      </c>
      <c r="C356" s="154" t="s">
        <v>1565</v>
      </c>
      <c r="D356" s="201" t="s">
        <v>1958</v>
      </c>
    </row>
    <row r="357" spans="2:4">
      <c r="B357" s="198" t="s">
        <v>980</v>
      </c>
      <c r="C357" s="154" t="s">
        <v>1565</v>
      </c>
      <c r="D357" s="201" t="s">
        <v>1958</v>
      </c>
    </row>
    <row r="358" spans="2:4">
      <c r="B358" s="198" t="s">
        <v>2683</v>
      </c>
      <c r="C358" s="154" t="s">
        <v>1565</v>
      </c>
      <c r="D358" s="201" t="s">
        <v>1958</v>
      </c>
    </row>
    <row r="359" spans="2:4">
      <c r="B359" s="198" t="s">
        <v>2686</v>
      </c>
      <c r="C359" s="154" t="s">
        <v>1565</v>
      </c>
      <c r="D359" s="201" t="s">
        <v>1958</v>
      </c>
    </row>
    <row r="360" spans="2:4">
      <c r="B360" s="198" t="s">
        <v>1023</v>
      </c>
      <c r="C360" s="154" t="s">
        <v>149</v>
      </c>
      <c r="D360" s="201" t="s">
        <v>1956</v>
      </c>
    </row>
    <row r="361" spans="2:4">
      <c r="B361" s="198" t="s">
        <v>767</v>
      </c>
      <c r="C361" s="154" t="s">
        <v>1781</v>
      </c>
      <c r="D361" s="201" t="s">
        <v>1951</v>
      </c>
    </row>
    <row r="362" spans="2:4">
      <c r="B362" s="198" t="s">
        <v>738</v>
      </c>
      <c r="C362" s="154" t="s">
        <v>1612</v>
      </c>
      <c r="D362" s="201" t="s">
        <v>1953</v>
      </c>
    </row>
    <row r="363" spans="2:4">
      <c r="B363" s="198" t="s">
        <v>572</v>
      </c>
      <c r="C363" s="154" t="s">
        <v>1522</v>
      </c>
      <c r="D363" s="201" t="s">
        <v>1953</v>
      </c>
    </row>
    <row r="364" spans="2:4">
      <c r="B364" s="198" t="s">
        <v>1429</v>
      </c>
      <c r="C364" s="154" t="s">
        <v>1935</v>
      </c>
      <c r="D364" s="201" t="s">
        <v>1960</v>
      </c>
    </row>
    <row r="365" spans="2:4">
      <c r="B365" s="198" t="s">
        <v>267</v>
      </c>
      <c r="C365" s="154" t="s">
        <v>1572</v>
      </c>
      <c r="D365" s="201" t="s">
        <v>1951</v>
      </c>
    </row>
    <row r="366" spans="2:4">
      <c r="B366" s="198" t="s">
        <v>1476</v>
      </c>
      <c r="C366" s="154" t="s">
        <v>149</v>
      </c>
      <c r="D366" s="201" t="s">
        <v>1956</v>
      </c>
    </row>
    <row r="367" spans="2:4">
      <c r="B367" s="198" t="s">
        <v>993</v>
      </c>
      <c r="C367" s="154" t="s">
        <v>1853</v>
      </c>
      <c r="D367" s="201" t="s">
        <v>1951</v>
      </c>
    </row>
    <row r="368" spans="2:4">
      <c r="B368" s="198" t="s">
        <v>2837</v>
      </c>
      <c r="C368" s="154" t="s">
        <v>3339</v>
      </c>
      <c r="D368" s="201" t="s">
        <v>1951</v>
      </c>
    </row>
    <row r="369" spans="2:4">
      <c r="B369" s="198" t="s">
        <v>1226</v>
      </c>
      <c r="C369" s="154" t="s">
        <v>1559</v>
      </c>
      <c r="D369" s="201" t="s">
        <v>1952</v>
      </c>
    </row>
    <row r="370" spans="2:4">
      <c r="B370" s="198" t="s">
        <v>821</v>
      </c>
      <c r="C370" s="154" t="s">
        <v>1559</v>
      </c>
      <c r="D370" s="201" t="s">
        <v>1952</v>
      </c>
    </row>
    <row r="371" spans="2:4">
      <c r="B371" s="198" t="s">
        <v>1172</v>
      </c>
      <c r="C371" s="154" t="s">
        <v>1616</v>
      </c>
      <c r="D371" s="201" t="s">
        <v>1952</v>
      </c>
    </row>
    <row r="372" spans="2:4">
      <c r="B372" s="198" t="s">
        <v>1469</v>
      </c>
      <c r="C372" s="154" t="s">
        <v>152</v>
      </c>
      <c r="D372" s="201" t="s">
        <v>1952</v>
      </c>
    </row>
    <row r="373" spans="2:4">
      <c r="B373" s="198" t="s">
        <v>777</v>
      </c>
      <c r="C373" s="154" t="s">
        <v>1609</v>
      </c>
      <c r="D373" s="201" t="s">
        <v>1951</v>
      </c>
    </row>
    <row r="374" spans="2:4">
      <c r="B374" s="198" t="s">
        <v>649</v>
      </c>
      <c r="C374" s="154" t="s">
        <v>1738</v>
      </c>
      <c r="D374" s="201" t="s">
        <v>1956</v>
      </c>
    </row>
    <row r="375" spans="2:4">
      <c r="B375" s="198" t="s">
        <v>377</v>
      </c>
      <c r="C375" s="154" t="s">
        <v>1626</v>
      </c>
      <c r="D375" s="201" t="s">
        <v>1951</v>
      </c>
    </row>
    <row r="376" spans="2:4">
      <c r="B376" s="198" t="s">
        <v>273</v>
      </c>
      <c r="C376" s="154" t="s">
        <v>1572</v>
      </c>
      <c r="D376" s="201" t="s">
        <v>1951</v>
      </c>
    </row>
    <row r="377" spans="2:4">
      <c r="B377" s="198" t="s">
        <v>2246</v>
      </c>
      <c r="C377" s="154" t="s">
        <v>2203</v>
      </c>
      <c r="D377" s="201" t="s">
        <v>2216</v>
      </c>
    </row>
    <row r="378" spans="2:4">
      <c r="B378" s="198" t="s">
        <v>2435</v>
      </c>
      <c r="C378" s="154" t="s">
        <v>3061</v>
      </c>
      <c r="D378" s="201" t="s">
        <v>1958</v>
      </c>
    </row>
    <row r="379" spans="2:4">
      <c r="B379" s="198" t="s">
        <v>2243</v>
      </c>
      <c r="C379" s="154" t="s">
        <v>2191</v>
      </c>
      <c r="D379" s="201" t="s">
        <v>2216</v>
      </c>
    </row>
    <row r="380" spans="2:4">
      <c r="B380" s="198" t="s">
        <v>2369</v>
      </c>
      <c r="C380" s="154" t="s">
        <v>1519</v>
      </c>
      <c r="D380" s="201" t="s">
        <v>1951</v>
      </c>
    </row>
    <row r="381" spans="2:4">
      <c r="B381" s="198" t="s">
        <v>473</v>
      </c>
      <c r="C381" s="154" t="s">
        <v>1678</v>
      </c>
      <c r="D381" s="201" t="s">
        <v>1952</v>
      </c>
    </row>
    <row r="382" spans="2:4">
      <c r="B382" s="198" t="s">
        <v>2634</v>
      </c>
      <c r="C382" s="154" t="s">
        <v>1678</v>
      </c>
      <c r="D382" s="201" t="s">
        <v>1952</v>
      </c>
    </row>
    <row r="383" spans="2:4">
      <c r="B383" s="198" t="s">
        <v>570</v>
      </c>
      <c r="C383" s="154" t="s">
        <v>1713</v>
      </c>
      <c r="D383" s="201" t="s">
        <v>1956</v>
      </c>
    </row>
    <row r="384" spans="2:4">
      <c r="B384" s="198" t="s">
        <v>930</v>
      </c>
      <c r="C384" s="154" t="s">
        <v>1836</v>
      </c>
      <c r="D384" s="201" t="s">
        <v>1954</v>
      </c>
    </row>
    <row r="385" spans="2:4">
      <c r="B385" s="198" t="s">
        <v>2228</v>
      </c>
      <c r="C385" s="154" t="s">
        <v>1518</v>
      </c>
      <c r="D385" s="201" t="s">
        <v>1957</v>
      </c>
    </row>
    <row r="386" spans="2:4">
      <c r="B386" s="198" t="s">
        <v>869</v>
      </c>
      <c r="C386" s="154" t="s">
        <v>1672</v>
      </c>
      <c r="D386" s="201" t="s">
        <v>1953</v>
      </c>
    </row>
    <row r="387" spans="2:4">
      <c r="B387" s="198" t="s">
        <v>1464</v>
      </c>
      <c r="C387" s="154" t="s">
        <v>1521</v>
      </c>
      <c r="D387" s="201" t="s">
        <v>1951</v>
      </c>
    </row>
    <row r="388" spans="2:4">
      <c r="B388" s="198" t="s">
        <v>1191</v>
      </c>
      <c r="C388" s="154" t="s">
        <v>1911</v>
      </c>
      <c r="D388" s="201" t="s">
        <v>1951</v>
      </c>
    </row>
    <row r="389" spans="2:4">
      <c r="B389" s="198" t="s">
        <v>1244</v>
      </c>
      <c r="C389" s="154" t="s">
        <v>1917</v>
      </c>
      <c r="D389" s="201" t="s">
        <v>1951</v>
      </c>
    </row>
    <row r="390" spans="2:4">
      <c r="B390" s="198" t="s">
        <v>1468</v>
      </c>
      <c r="C390" s="154" t="s">
        <v>1817</v>
      </c>
      <c r="D390" s="201" t="s">
        <v>1956</v>
      </c>
    </row>
    <row r="391" spans="2:4">
      <c r="B391" s="198" t="s">
        <v>1005</v>
      </c>
      <c r="C391" s="154" t="s">
        <v>1859</v>
      </c>
      <c r="D391" s="201" t="s">
        <v>1956</v>
      </c>
    </row>
    <row r="392" spans="2:4">
      <c r="B392" s="198" t="s">
        <v>2553</v>
      </c>
      <c r="C392" s="154" t="s">
        <v>150</v>
      </c>
      <c r="D392" s="201" t="s">
        <v>1951</v>
      </c>
    </row>
    <row r="393" spans="2:4">
      <c r="B393" s="198" t="s">
        <v>1032</v>
      </c>
      <c r="C393" s="154" t="s">
        <v>1869</v>
      </c>
      <c r="D393" s="201" t="s">
        <v>1952</v>
      </c>
    </row>
    <row r="394" spans="2:4">
      <c r="B394" s="198" t="s">
        <v>2531</v>
      </c>
      <c r="C394" s="154" t="s">
        <v>2900</v>
      </c>
      <c r="D394" s="201" t="s">
        <v>1958</v>
      </c>
    </row>
    <row r="395" spans="2:4">
      <c r="B395" s="198" t="s">
        <v>1181</v>
      </c>
      <c r="C395" s="154" t="s">
        <v>1909</v>
      </c>
      <c r="D395" s="201" t="s">
        <v>1956</v>
      </c>
    </row>
    <row r="396" spans="2:4">
      <c r="B396" s="198" t="s">
        <v>855</v>
      </c>
      <c r="C396" s="154" t="s">
        <v>1807</v>
      </c>
      <c r="D396" s="201" t="s">
        <v>1953</v>
      </c>
    </row>
    <row r="397" spans="2:4">
      <c r="B397" s="198" t="s">
        <v>2255</v>
      </c>
      <c r="C397" s="154" t="s">
        <v>2191</v>
      </c>
      <c r="D397" s="201" t="s">
        <v>2216</v>
      </c>
    </row>
    <row r="398" spans="2:4">
      <c r="B398" s="198" t="s">
        <v>2568</v>
      </c>
      <c r="C398" s="154" t="s">
        <v>2979</v>
      </c>
      <c r="D398" s="201" t="s">
        <v>1952</v>
      </c>
    </row>
    <row r="399" spans="2:4">
      <c r="B399" s="198" t="s">
        <v>840</v>
      </c>
      <c r="C399" s="154" t="s">
        <v>150</v>
      </c>
      <c r="D399" s="201" t="s">
        <v>1951</v>
      </c>
    </row>
    <row r="400" spans="2:4">
      <c r="B400" s="198" t="s">
        <v>1165</v>
      </c>
      <c r="C400" s="154" t="s">
        <v>1855</v>
      </c>
      <c r="D400" s="201" t="s">
        <v>1952</v>
      </c>
    </row>
    <row r="401" spans="2:4">
      <c r="B401" s="198" t="s">
        <v>435</v>
      </c>
      <c r="C401" s="154" t="s">
        <v>1657</v>
      </c>
      <c r="D401" s="201" t="s">
        <v>1956</v>
      </c>
    </row>
    <row r="402" spans="2:4">
      <c r="B402" s="198" t="s">
        <v>2099</v>
      </c>
      <c r="C402" s="154" t="s">
        <v>2195</v>
      </c>
      <c r="D402" s="201" t="s">
        <v>2219</v>
      </c>
    </row>
    <row r="403" spans="2:4">
      <c r="B403" s="198" t="s">
        <v>2341</v>
      </c>
      <c r="C403" s="154" t="s">
        <v>1805</v>
      </c>
      <c r="D403" s="201" t="s">
        <v>1956</v>
      </c>
    </row>
    <row r="404" spans="2:4">
      <c r="B404" s="198" t="s">
        <v>747</v>
      </c>
      <c r="C404" s="154" t="s">
        <v>1522</v>
      </c>
      <c r="D404" s="201" t="s">
        <v>1953</v>
      </c>
    </row>
    <row r="405" spans="2:4">
      <c r="B405" s="198"/>
      <c r="C405" s="154"/>
      <c r="D405" s="201"/>
    </row>
    <row r="406" spans="2:4">
      <c r="B406" s="198" t="s">
        <v>2244</v>
      </c>
      <c r="C406" s="154" t="s">
        <v>2191</v>
      </c>
      <c r="D406" s="201" t="s">
        <v>2216</v>
      </c>
    </row>
    <row r="407" spans="2:4">
      <c r="B407" s="198" t="s">
        <v>803</v>
      </c>
      <c r="C407" s="154" t="s">
        <v>1544</v>
      </c>
      <c r="D407" s="201" t="s">
        <v>1951</v>
      </c>
    </row>
    <row r="408" spans="2:4">
      <c r="B408" s="198" t="s">
        <v>1335</v>
      </c>
      <c r="C408" s="154" t="s">
        <v>1926</v>
      </c>
      <c r="D408" s="201" t="s">
        <v>1955</v>
      </c>
    </row>
    <row r="409" spans="2:4">
      <c r="B409" s="198" t="s">
        <v>1352</v>
      </c>
      <c r="C409" s="154" t="s">
        <v>150</v>
      </c>
      <c r="D409" s="201" t="s">
        <v>1951</v>
      </c>
    </row>
    <row r="410" spans="2:4">
      <c r="B410" s="198" t="s">
        <v>1342</v>
      </c>
      <c r="C410" s="154" t="s">
        <v>150</v>
      </c>
      <c r="D410" s="201" t="s">
        <v>1951</v>
      </c>
    </row>
    <row r="411" spans="2:4">
      <c r="B411" s="198" t="s">
        <v>618</v>
      </c>
      <c r="C411" s="154" t="s">
        <v>152</v>
      </c>
      <c r="D411" s="201" t="s">
        <v>1952</v>
      </c>
    </row>
    <row r="412" spans="2:4">
      <c r="B412" s="198" t="s">
        <v>709</v>
      </c>
      <c r="C412" s="154" t="s">
        <v>1759</v>
      </c>
      <c r="D412" s="201" t="s">
        <v>1956</v>
      </c>
    </row>
    <row r="413" spans="2:4">
      <c r="B413" s="198" t="s">
        <v>2508</v>
      </c>
      <c r="C413" s="154" t="s">
        <v>2980</v>
      </c>
      <c r="D413" s="201" t="s">
        <v>1956</v>
      </c>
    </row>
    <row r="414" spans="2:4">
      <c r="B414" s="198" t="s">
        <v>2285</v>
      </c>
      <c r="C414" s="154" t="s">
        <v>2312</v>
      </c>
      <c r="D414" s="201" t="s">
        <v>1955</v>
      </c>
    </row>
    <row r="415" spans="2:4">
      <c r="B415" s="198" t="s">
        <v>2573</v>
      </c>
      <c r="C415" s="154" t="s">
        <v>1781</v>
      </c>
      <c r="D415" s="201" t="s">
        <v>1951</v>
      </c>
    </row>
    <row r="416" spans="2:4">
      <c r="B416" s="198" t="s">
        <v>2590</v>
      </c>
      <c r="C416" s="154" t="s">
        <v>1781</v>
      </c>
      <c r="D416" s="201" t="s">
        <v>1951</v>
      </c>
    </row>
    <row r="417" spans="2:4">
      <c r="B417" s="198" t="s">
        <v>2245</v>
      </c>
      <c r="C417" s="154" t="s">
        <v>2202</v>
      </c>
      <c r="D417" s="201" t="s">
        <v>2216</v>
      </c>
    </row>
    <row r="418" spans="2:4">
      <c r="B418" s="198" t="s">
        <v>1071</v>
      </c>
      <c r="C418" s="154" t="s">
        <v>1544</v>
      </c>
      <c r="D418" s="201" t="s">
        <v>1951</v>
      </c>
    </row>
    <row r="419" spans="2:4">
      <c r="B419" s="198" t="s">
        <v>805</v>
      </c>
      <c r="C419" s="154" t="s">
        <v>1544</v>
      </c>
      <c r="D419" s="201" t="s">
        <v>1951</v>
      </c>
    </row>
    <row r="420" spans="2:4">
      <c r="B420" s="198" t="s">
        <v>2747</v>
      </c>
      <c r="C420" s="154" t="s">
        <v>2981</v>
      </c>
      <c r="D420" s="201" t="s">
        <v>2887</v>
      </c>
    </row>
    <row r="421" spans="2:4">
      <c r="B421" s="198" t="s">
        <v>1112</v>
      </c>
      <c r="C421" s="154" t="s">
        <v>1817</v>
      </c>
      <c r="D421" s="201" t="s">
        <v>1956</v>
      </c>
    </row>
    <row r="422" spans="2:4">
      <c r="B422" s="198" t="s">
        <v>657</v>
      </c>
      <c r="C422" s="154" t="s">
        <v>1743</v>
      </c>
      <c r="D422" s="201" t="s">
        <v>1952</v>
      </c>
    </row>
    <row r="423" spans="2:4">
      <c r="B423" s="198" t="s">
        <v>529</v>
      </c>
      <c r="C423" s="154" t="s">
        <v>1590</v>
      </c>
      <c r="D423" s="201" t="s">
        <v>1958</v>
      </c>
    </row>
    <row r="424" spans="2:4">
      <c r="B424" s="198" t="s">
        <v>2949</v>
      </c>
      <c r="C424" s="154" t="s">
        <v>1590</v>
      </c>
      <c r="D424" s="201" t="s">
        <v>1958</v>
      </c>
    </row>
    <row r="425" spans="2:4">
      <c r="B425" s="198" t="s">
        <v>1141</v>
      </c>
      <c r="C425" s="154" t="s">
        <v>1595</v>
      </c>
      <c r="D425" s="201" t="s">
        <v>1956</v>
      </c>
    </row>
    <row r="426" spans="2:4">
      <c r="B426" s="198" t="s">
        <v>880</v>
      </c>
      <c r="C426" s="154" t="s">
        <v>1815</v>
      </c>
      <c r="D426" s="201" t="s">
        <v>1955</v>
      </c>
    </row>
    <row r="427" spans="2:4">
      <c r="B427" s="198" t="s">
        <v>416</v>
      </c>
      <c r="C427" s="154" t="s">
        <v>1646</v>
      </c>
      <c r="D427" s="201" t="s">
        <v>1959</v>
      </c>
    </row>
    <row r="428" spans="2:4">
      <c r="B428" s="198" t="s">
        <v>1340</v>
      </c>
      <c r="C428" s="154" t="s">
        <v>153</v>
      </c>
      <c r="D428" s="201" t="s">
        <v>1951</v>
      </c>
    </row>
    <row r="429" spans="2:4">
      <c r="B429" s="198" t="s">
        <v>1470</v>
      </c>
      <c r="C429" s="154" t="s">
        <v>1541</v>
      </c>
      <c r="D429" s="201" t="s">
        <v>1955</v>
      </c>
    </row>
    <row r="430" spans="2:4">
      <c r="B430" s="198" t="s">
        <v>717</v>
      </c>
      <c r="C430" s="154" t="s">
        <v>1595</v>
      </c>
      <c r="D430" s="201" t="s">
        <v>1956</v>
      </c>
    </row>
    <row r="431" spans="2:4">
      <c r="B431" s="198" t="s">
        <v>753</v>
      </c>
      <c r="C431" s="154" t="s">
        <v>149</v>
      </c>
      <c r="D431" s="201" t="s">
        <v>1956</v>
      </c>
    </row>
    <row r="432" spans="2:4">
      <c r="B432" s="198" t="s">
        <v>2539</v>
      </c>
      <c r="C432" s="154" t="s">
        <v>2901</v>
      </c>
      <c r="D432" s="201" t="s">
        <v>1958</v>
      </c>
    </row>
    <row r="433" spans="2:4">
      <c r="B433" s="198" t="s">
        <v>1009</v>
      </c>
      <c r="C433" s="154" t="s">
        <v>1759</v>
      </c>
      <c r="D433" s="201" t="s">
        <v>1956</v>
      </c>
    </row>
    <row r="434" spans="2:4">
      <c r="B434" s="198" t="s">
        <v>577</v>
      </c>
      <c r="C434" s="154" t="s">
        <v>1541</v>
      </c>
      <c r="D434" s="201" t="s">
        <v>1955</v>
      </c>
    </row>
    <row r="435" spans="2:4">
      <c r="B435" s="198" t="s">
        <v>2224</v>
      </c>
      <c r="C435" s="154" t="s">
        <v>2199</v>
      </c>
      <c r="D435" s="201" t="s">
        <v>1959</v>
      </c>
    </row>
    <row r="436" spans="2:4">
      <c r="B436" s="198" t="s">
        <v>602</v>
      </c>
      <c r="C436" s="154" t="s">
        <v>1521</v>
      </c>
      <c r="D436" s="201" t="s">
        <v>1951</v>
      </c>
    </row>
    <row r="437" spans="2:4">
      <c r="B437" s="198" t="s">
        <v>2583</v>
      </c>
      <c r="C437" s="154" t="s">
        <v>150</v>
      </c>
      <c r="D437" s="201" t="s">
        <v>1951</v>
      </c>
    </row>
    <row r="438" spans="2:4">
      <c r="B438" s="198" t="s">
        <v>1228</v>
      </c>
      <c r="C438" s="154" t="s">
        <v>1595</v>
      </c>
      <c r="D438" s="201" t="s">
        <v>1956</v>
      </c>
    </row>
    <row r="439" spans="2:4">
      <c r="B439" s="198" t="s">
        <v>352</v>
      </c>
      <c r="C439" s="154" t="s">
        <v>149</v>
      </c>
      <c r="D439" s="201" t="s">
        <v>1956</v>
      </c>
    </row>
    <row r="440" spans="2:4">
      <c r="B440" s="198" t="s">
        <v>2564</v>
      </c>
      <c r="C440" s="154" t="s">
        <v>149</v>
      </c>
      <c r="D440" s="201" t="s">
        <v>1956</v>
      </c>
    </row>
    <row r="441" spans="2:4">
      <c r="B441" s="198" t="s">
        <v>448</v>
      </c>
      <c r="C441" s="154" t="s">
        <v>149</v>
      </c>
      <c r="D441" s="201" t="s">
        <v>1956</v>
      </c>
    </row>
    <row r="442" spans="2:4">
      <c r="B442" s="198" t="s">
        <v>324</v>
      </c>
      <c r="C442" s="154" t="s">
        <v>149</v>
      </c>
      <c r="D442" s="201" t="s">
        <v>1956</v>
      </c>
    </row>
    <row r="443" spans="2:4">
      <c r="B443" s="198" t="s">
        <v>2546</v>
      </c>
      <c r="C443" s="154" t="s">
        <v>149</v>
      </c>
      <c r="D443" s="201" t="s">
        <v>1956</v>
      </c>
    </row>
    <row r="444" spans="2:4">
      <c r="B444" s="198" t="s">
        <v>2808</v>
      </c>
      <c r="C444" s="154" t="s">
        <v>149</v>
      </c>
      <c r="D444" s="201" t="s">
        <v>1956</v>
      </c>
    </row>
    <row r="445" spans="2:4">
      <c r="B445" s="198" t="s">
        <v>1207</v>
      </c>
      <c r="C445" s="154" t="s">
        <v>149</v>
      </c>
      <c r="D445" s="201" t="s">
        <v>1956</v>
      </c>
    </row>
    <row r="446" spans="2:4">
      <c r="B446" s="198" t="s">
        <v>1208</v>
      </c>
      <c r="C446" s="154" t="s">
        <v>149</v>
      </c>
      <c r="D446" s="201" t="s">
        <v>1956</v>
      </c>
    </row>
    <row r="447" spans="2:4">
      <c r="B447" s="198" t="s">
        <v>135</v>
      </c>
      <c r="C447" s="154" t="s">
        <v>149</v>
      </c>
      <c r="D447" s="201" t="s">
        <v>1956</v>
      </c>
    </row>
    <row r="448" spans="2:4">
      <c r="B448" s="198" t="s">
        <v>1314</v>
      </c>
      <c r="C448" s="154" t="s">
        <v>149</v>
      </c>
      <c r="D448" s="201" t="s">
        <v>1956</v>
      </c>
    </row>
    <row r="449" spans="2:4">
      <c r="B449" s="198" t="s">
        <v>1252</v>
      </c>
      <c r="C449" s="154" t="s">
        <v>149</v>
      </c>
      <c r="D449" s="201" t="s">
        <v>1956</v>
      </c>
    </row>
    <row r="450" spans="2:4">
      <c r="B450" s="198" t="s">
        <v>1229</v>
      </c>
      <c r="C450" s="154" t="s">
        <v>149</v>
      </c>
      <c r="D450" s="201" t="s">
        <v>1956</v>
      </c>
    </row>
    <row r="451" spans="2:4">
      <c r="B451" s="198" t="s">
        <v>136</v>
      </c>
      <c r="C451" s="154" t="s">
        <v>149</v>
      </c>
      <c r="D451" s="201" t="s">
        <v>1956</v>
      </c>
    </row>
    <row r="452" spans="2:4">
      <c r="B452" s="198" t="s">
        <v>542</v>
      </c>
      <c r="C452" s="154" t="s">
        <v>1699</v>
      </c>
      <c r="D452" s="201" t="s">
        <v>1956</v>
      </c>
    </row>
    <row r="453" spans="2:4">
      <c r="B453" s="198" t="s">
        <v>2533</v>
      </c>
      <c r="C453" s="154" t="s">
        <v>149</v>
      </c>
      <c r="D453" s="201" t="s">
        <v>1956</v>
      </c>
    </row>
    <row r="454" spans="2:4">
      <c r="B454" s="198" t="s">
        <v>2404</v>
      </c>
      <c r="C454" s="154" t="s">
        <v>149</v>
      </c>
      <c r="D454" s="201" t="s">
        <v>1956</v>
      </c>
    </row>
    <row r="455" spans="2:4">
      <c r="B455" s="198" t="s">
        <v>822</v>
      </c>
      <c r="C455" s="154" t="s">
        <v>149</v>
      </c>
      <c r="D455" s="201" t="s">
        <v>1956</v>
      </c>
    </row>
    <row r="456" spans="2:4">
      <c r="B456" s="198" t="s">
        <v>2405</v>
      </c>
      <c r="C456" s="154" t="s">
        <v>149</v>
      </c>
      <c r="D456" s="201" t="s">
        <v>1956</v>
      </c>
    </row>
    <row r="457" spans="2:4">
      <c r="B457" s="198" t="s">
        <v>2475</v>
      </c>
      <c r="C457" s="154" t="s">
        <v>1738</v>
      </c>
      <c r="D457" s="201" t="s">
        <v>1956</v>
      </c>
    </row>
    <row r="458" spans="2:4">
      <c r="B458" s="198" t="s">
        <v>2478</v>
      </c>
      <c r="C458" s="154" t="s">
        <v>1738</v>
      </c>
      <c r="D458" s="201" t="s">
        <v>1956</v>
      </c>
    </row>
    <row r="459" spans="2:4">
      <c r="B459" s="198" t="s">
        <v>1380</v>
      </c>
      <c r="C459" s="154" t="s">
        <v>149</v>
      </c>
      <c r="D459" s="201" t="s">
        <v>1956</v>
      </c>
    </row>
    <row r="460" spans="2:4">
      <c r="B460" s="198" t="s">
        <v>270</v>
      </c>
      <c r="C460" s="154" t="s">
        <v>149</v>
      </c>
      <c r="D460" s="201" t="s">
        <v>1956</v>
      </c>
    </row>
    <row r="461" spans="2:4">
      <c r="B461" s="198" t="s">
        <v>296</v>
      </c>
      <c r="C461" s="154" t="s">
        <v>149</v>
      </c>
      <c r="D461" s="201" t="s">
        <v>1956</v>
      </c>
    </row>
    <row r="462" spans="2:4">
      <c r="B462" s="198" t="s">
        <v>2501</v>
      </c>
      <c r="C462" s="154" t="s">
        <v>1817</v>
      </c>
      <c r="D462" s="201" t="s">
        <v>1956</v>
      </c>
    </row>
    <row r="463" spans="2:4">
      <c r="B463" s="198" t="s">
        <v>2480</v>
      </c>
      <c r="C463" s="154" t="s">
        <v>3340</v>
      </c>
      <c r="D463" s="201" t="s">
        <v>1956</v>
      </c>
    </row>
    <row r="464" spans="2:4">
      <c r="B464" s="198" t="s">
        <v>2463</v>
      </c>
      <c r="C464" s="154" t="s">
        <v>1595</v>
      </c>
      <c r="D464" s="201" t="s">
        <v>1956</v>
      </c>
    </row>
    <row r="465" spans="2:4">
      <c r="B465" s="198" t="s">
        <v>2465</v>
      </c>
      <c r="C465" s="154" t="s">
        <v>2406</v>
      </c>
      <c r="D465" s="201" t="s">
        <v>1956</v>
      </c>
    </row>
    <row r="466" spans="2:4">
      <c r="B466" s="198" t="s">
        <v>306</v>
      </c>
      <c r="C466" s="154" t="s">
        <v>1595</v>
      </c>
      <c r="D466" s="201" t="s">
        <v>1956</v>
      </c>
    </row>
    <row r="467" spans="2:4">
      <c r="B467" s="198" t="s">
        <v>372</v>
      </c>
      <c r="C467" s="154" t="s">
        <v>1595</v>
      </c>
      <c r="D467" s="201" t="s">
        <v>1956</v>
      </c>
    </row>
    <row r="468" spans="2:4">
      <c r="B468" s="198" t="s">
        <v>373</v>
      </c>
      <c r="C468" s="154" t="s">
        <v>1595</v>
      </c>
      <c r="D468" s="201" t="s">
        <v>1956</v>
      </c>
    </row>
    <row r="469" spans="2:4">
      <c r="B469" s="198" t="s">
        <v>2472</v>
      </c>
      <c r="C469" s="154" t="s">
        <v>2406</v>
      </c>
      <c r="D469" s="201" t="s">
        <v>1956</v>
      </c>
    </row>
    <row r="470" spans="2:4">
      <c r="B470" s="198" t="s">
        <v>2476</v>
      </c>
      <c r="C470" s="154" t="s">
        <v>2406</v>
      </c>
      <c r="D470" s="201" t="s">
        <v>1956</v>
      </c>
    </row>
    <row r="471" spans="2:4">
      <c r="B471" s="198" t="s">
        <v>2377</v>
      </c>
      <c r="C471" s="154" t="s">
        <v>149</v>
      </c>
      <c r="D471" s="201" t="s">
        <v>1956</v>
      </c>
    </row>
    <row r="472" spans="2:4">
      <c r="B472" s="198" t="s">
        <v>2376</v>
      </c>
      <c r="C472" s="154" t="s">
        <v>149</v>
      </c>
      <c r="D472" s="201" t="s">
        <v>1956</v>
      </c>
    </row>
    <row r="473" spans="2:4">
      <c r="B473" s="198" t="s">
        <v>418</v>
      </c>
      <c r="C473" s="154" t="s">
        <v>1647</v>
      </c>
      <c r="D473" s="201" t="s">
        <v>1956</v>
      </c>
    </row>
    <row r="474" spans="2:4">
      <c r="B474" s="198" t="s">
        <v>385</v>
      </c>
      <c r="C474" s="154" t="s">
        <v>149</v>
      </c>
      <c r="D474" s="201" t="s">
        <v>1956</v>
      </c>
    </row>
    <row r="475" spans="2:4">
      <c r="B475" s="198" t="s">
        <v>344</v>
      </c>
      <c r="C475" s="154" t="s">
        <v>1525</v>
      </c>
      <c r="D475" s="201" t="s">
        <v>1956</v>
      </c>
    </row>
    <row r="476" spans="2:4">
      <c r="B476" s="198" t="s">
        <v>395</v>
      </c>
      <c r="C476" s="154" t="s">
        <v>1634</v>
      </c>
      <c r="D476" s="201" t="s">
        <v>1956</v>
      </c>
    </row>
    <row r="477" spans="2:4">
      <c r="B477" s="198" t="s">
        <v>2470</v>
      </c>
      <c r="C477" s="154" t="s">
        <v>2406</v>
      </c>
      <c r="D477" s="201" t="s">
        <v>1956</v>
      </c>
    </row>
    <row r="478" spans="2:4">
      <c r="B478" s="198" t="s">
        <v>397</v>
      </c>
      <c r="C478" s="154" t="s">
        <v>1517</v>
      </c>
      <c r="D478" s="201" t="s">
        <v>1956</v>
      </c>
    </row>
    <row r="479" spans="2:4">
      <c r="B479" s="198" t="s">
        <v>682</v>
      </c>
      <c r="C479" s="154" t="s">
        <v>1724</v>
      </c>
      <c r="D479" s="201" t="s">
        <v>1956</v>
      </c>
    </row>
    <row r="480" spans="2:4">
      <c r="B480" s="198" t="s">
        <v>2483</v>
      </c>
      <c r="C480" s="154" t="s">
        <v>2406</v>
      </c>
      <c r="D480" s="201" t="s">
        <v>1956</v>
      </c>
    </row>
    <row r="481" spans="2:4">
      <c r="B481" s="198" t="s">
        <v>417</v>
      </c>
      <c r="C481" s="154" t="s">
        <v>1628</v>
      </c>
      <c r="D481" s="201" t="s">
        <v>1956</v>
      </c>
    </row>
    <row r="482" spans="2:4">
      <c r="B482" s="198" t="s">
        <v>384</v>
      </c>
      <c r="C482" s="154" t="s">
        <v>1628</v>
      </c>
      <c r="D482" s="201" t="s">
        <v>1956</v>
      </c>
    </row>
    <row r="483" spans="2:4">
      <c r="B483" s="198" t="s">
        <v>2462</v>
      </c>
      <c r="C483" s="154" t="s">
        <v>2406</v>
      </c>
      <c r="D483" s="201" t="s">
        <v>1956</v>
      </c>
    </row>
    <row r="484" spans="2:4">
      <c r="B484" s="198" t="s">
        <v>530</v>
      </c>
      <c r="C484" s="154" t="s">
        <v>149</v>
      </c>
      <c r="D484" s="201" t="s">
        <v>1956</v>
      </c>
    </row>
    <row r="485" spans="2:4">
      <c r="B485" s="198" t="s">
        <v>307</v>
      </c>
      <c r="C485" s="154" t="s">
        <v>149</v>
      </c>
      <c r="D485" s="201" t="s">
        <v>1956</v>
      </c>
    </row>
    <row r="486" spans="2:4">
      <c r="B486" s="198" t="s">
        <v>146</v>
      </c>
      <c r="C486" s="154" t="s">
        <v>149</v>
      </c>
      <c r="D486" s="201" t="s">
        <v>1956</v>
      </c>
    </row>
    <row r="487" spans="2:4">
      <c r="B487" s="198" t="s">
        <v>2484</v>
      </c>
      <c r="C487" s="154" t="s">
        <v>2406</v>
      </c>
      <c r="D487" s="201" t="s">
        <v>1956</v>
      </c>
    </row>
    <row r="488" spans="2:4">
      <c r="B488" s="198" t="s">
        <v>2485</v>
      </c>
      <c r="C488" s="154" t="s">
        <v>2406</v>
      </c>
      <c r="D488" s="201" t="s">
        <v>1956</v>
      </c>
    </row>
    <row r="489" spans="2:4">
      <c r="B489" s="198" t="s">
        <v>1230</v>
      </c>
      <c r="C489" s="154" t="s">
        <v>149</v>
      </c>
      <c r="D489" s="201" t="s">
        <v>1956</v>
      </c>
    </row>
    <row r="490" spans="2:4">
      <c r="B490" s="198" t="s">
        <v>205</v>
      </c>
      <c r="C490" s="154" t="s">
        <v>149</v>
      </c>
      <c r="D490" s="201" t="s">
        <v>1956</v>
      </c>
    </row>
    <row r="491" spans="2:4">
      <c r="B491" s="198" t="s">
        <v>1316</v>
      </c>
      <c r="C491" s="154" t="s">
        <v>149</v>
      </c>
      <c r="D491" s="201" t="s">
        <v>1956</v>
      </c>
    </row>
    <row r="492" spans="2:4">
      <c r="B492" s="198" t="s">
        <v>1381</v>
      </c>
      <c r="C492" s="154" t="s">
        <v>149</v>
      </c>
      <c r="D492" s="201" t="s">
        <v>1956</v>
      </c>
    </row>
    <row r="493" spans="2:4">
      <c r="B493" s="198" t="s">
        <v>1309</v>
      </c>
      <c r="C493" s="154" t="s">
        <v>149</v>
      </c>
      <c r="D493" s="201" t="s">
        <v>1956</v>
      </c>
    </row>
    <row r="494" spans="2:4">
      <c r="B494" s="198" t="s">
        <v>1382</v>
      </c>
      <c r="C494" s="154" t="s">
        <v>149</v>
      </c>
      <c r="D494" s="201" t="s">
        <v>1956</v>
      </c>
    </row>
    <row r="495" spans="2:4">
      <c r="B495" s="198" t="s">
        <v>1315</v>
      </c>
      <c r="C495" s="154" t="s">
        <v>149</v>
      </c>
      <c r="D495" s="201" t="s">
        <v>1956</v>
      </c>
    </row>
    <row r="496" spans="2:4">
      <c r="B496" s="198" t="s">
        <v>1317</v>
      </c>
      <c r="C496" s="154" t="s">
        <v>149</v>
      </c>
      <c r="D496" s="201" t="s">
        <v>1956</v>
      </c>
    </row>
    <row r="497" spans="2:4">
      <c r="B497" s="198" t="s">
        <v>2458</v>
      </c>
      <c r="C497" s="154" t="s">
        <v>149</v>
      </c>
      <c r="D497" s="201" t="s">
        <v>1956</v>
      </c>
    </row>
    <row r="498" spans="2:4">
      <c r="B498" s="198" t="s">
        <v>1318</v>
      </c>
      <c r="C498" s="154" t="s">
        <v>149</v>
      </c>
      <c r="D498" s="201" t="s">
        <v>1956</v>
      </c>
    </row>
    <row r="499" spans="2:4">
      <c r="B499" s="198" t="s">
        <v>872</v>
      </c>
      <c r="C499" s="154" t="s">
        <v>149</v>
      </c>
      <c r="D499" s="201" t="s">
        <v>1956</v>
      </c>
    </row>
    <row r="500" spans="2:4">
      <c r="B500" s="198" t="s">
        <v>234</v>
      </c>
      <c r="C500" s="154" t="s">
        <v>149</v>
      </c>
      <c r="D500" s="201" t="s">
        <v>1956</v>
      </c>
    </row>
    <row r="501" spans="2:4">
      <c r="B501" s="198" t="s">
        <v>208</v>
      </c>
      <c r="C501" s="154" t="s">
        <v>149</v>
      </c>
      <c r="D501" s="201" t="s">
        <v>1956</v>
      </c>
    </row>
    <row r="502" spans="2:4">
      <c r="B502" s="198" t="s">
        <v>200</v>
      </c>
      <c r="C502" s="154" t="s">
        <v>149</v>
      </c>
      <c r="D502" s="201" t="s">
        <v>1956</v>
      </c>
    </row>
    <row r="503" spans="2:4">
      <c r="B503" s="198" t="s">
        <v>383</v>
      </c>
      <c r="C503" s="154" t="s">
        <v>149</v>
      </c>
      <c r="D503" s="201" t="s">
        <v>1956</v>
      </c>
    </row>
    <row r="504" spans="2:4">
      <c r="B504" s="198" t="s">
        <v>325</v>
      </c>
      <c r="C504" s="154" t="s">
        <v>149</v>
      </c>
      <c r="D504" s="201" t="s">
        <v>1956</v>
      </c>
    </row>
    <row r="505" spans="2:4">
      <c r="B505" s="198" t="s">
        <v>2502</v>
      </c>
      <c r="C505" s="154" t="s">
        <v>149</v>
      </c>
      <c r="D505" s="201" t="s">
        <v>1956</v>
      </c>
    </row>
    <row r="506" spans="2:4">
      <c r="B506" s="198" t="s">
        <v>229</v>
      </c>
      <c r="C506" s="154" t="s">
        <v>149</v>
      </c>
      <c r="D506" s="201" t="s">
        <v>1956</v>
      </c>
    </row>
    <row r="507" spans="2:4">
      <c r="B507" s="198" t="s">
        <v>455</v>
      </c>
      <c r="C507" s="154" t="s">
        <v>149</v>
      </c>
      <c r="D507" s="201" t="s">
        <v>1956</v>
      </c>
    </row>
    <row r="508" spans="2:4">
      <c r="B508" s="198" t="s">
        <v>2594</v>
      </c>
      <c r="C508" s="154" t="s">
        <v>149</v>
      </c>
      <c r="D508" s="201" t="s">
        <v>1956</v>
      </c>
    </row>
    <row r="509" spans="2:4">
      <c r="B509" s="198" t="s">
        <v>2864</v>
      </c>
      <c r="C509" s="154" t="s">
        <v>2943</v>
      </c>
      <c r="D509" s="201" t="s">
        <v>1956</v>
      </c>
    </row>
    <row r="510" spans="2:4">
      <c r="B510" s="198" t="s">
        <v>330</v>
      </c>
      <c r="C510" s="154" t="s">
        <v>149</v>
      </c>
      <c r="D510" s="201" t="s">
        <v>1956</v>
      </c>
    </row>
    <row r="511" spans="2:4">
      <c r="B511" s="198" t="s">
        <v>534</v>
      </c>
      <c r="C511" s="154" t="s">
        <v>149</v>
      </c>
      <c r="D511" s="201" t="s">
        <v>1956</v>
      </c>
    </row>
    <row r="512" spans="2:4">
      <c r="B512" s="198" t="s">
        <v>331</v>
      </c>
      <c r="C512" s="154" t="s">
        <v>1607</v>
      </c>
      <c r="D512" s="201" t="s">
        <v>1956</v>
      </c>
    </row>
    <row r="513" spans="2:4">
      <c r="B513" s="198" t="s">
        <v>2468</v>
      </c>
      <c r="C513" s="154" t="s">
        <v>2406</v>
      </c>
      <c r="D513" s="201" t="s">
        <v>1956</v>
      </c>
    </row>
    <row r="514" spans="2:4">
      <c r="B514" s="198" t="s">
        <v>184</v>
      </c>
      <c r="C514" s="154" t="s">
        <v>1525</v>
      </c>
      <c r="D514" s="201" t="s">
        <v>1956</v>
      </c>
    </row>
    <row r="515" spans="2:4">
      <c r="B515" s="198" t="s">
        <v>2865</v>
      </c>
      <c r="C515" s="154" t="s">
        <v>2944</v>
      </c>
      <c r="D515" s="201" t="s">
        <v>1956</v>
      </c>
    </row>
    <row r="516" spans="2:4">
      <c r="B516" s="198" t="s">
        <v>844</v>
      </c>
      <c r="C516" s="154" t="s">
        <v>1802</v>
      </c>
      <c r="D516" s="201" t="s">
        <v>1951</v>
      </c>
    </row>
    <row r="517" spans="2:4">
      <c r="B517" s="198" t="s">
        <v>444</v>
      </c>
      <c r="C517" s="154" t="s">
        <v>1664</v>
      </c>
      <c r="D517" s="201" t="s">
        <v>1956</v>
      </c>
    </row>
    <row r="518" spans="2:4">
      <c r="B518" s="198" t="s">
        <v>1434</v>
      </c>
      <c r="C518" s="154" t="s">
        <v>149</v>
      </c>
      <c r="D518" s="201" t="s">
        <v>1956</v>
      </c>
    </row>
    <row r="519" spans="2:4">
      <c r="B519" s="198" t="s">
        <v>432</v>
      </c>
      <c r="C519" s="154" t="s">
        <v>1654</v>
      </c>
      <c r="D519" s="201" t="s">
        <v>1956</v>
      </c>
    </row>
    <row r="520" spans="2:4">
      <c r="B520" s="198" t="s">
        <v>2473</v>
      </c>
      <c r="C520" s="154" t="s">
        <v>2406</v>
      </c>
      <c r="D520" s="201" t="s">
        <v>1956</v>
      </c>
    </row>
    <row r="521" spans="2:4">
      <c r="B521" s="198" t="s">
        <v>813</v>
      </c>
      <c r="C521" s="154" t="s">
        <v>152</v>
      </c>
      <c r="D521" s="201" t="s">
        <v>1952</v>
      </c>
    </row>
    <row r="522" spans="2:4">
      <c r="B522" s="198" t="s">
        <v>2479</v>
      </c>
      <c r="C522" s="154" t="s">
        <v>1639</v>
      </c>
      <c r="D522" s="201" t="s">
        <v>1956</v>
      </c>
    </row>
    <row r="523" spans="2:4">
      <c r="B523" s="198" t="s">
        <v>2481</v>
      </c>
      <c r="C523" s="154" t="s">
        <v>2406</v>
      </c>
      <c r="D523" s="201" t="s">
        <v>1956</v>
      </c>
    </row>
    <row r="524" spans="2:4">
      <c r="B524" s="198" t="s">
        <v>2482</v>
      </c>
      <c r="C524" s="154" t="s">
        <v>2406</v>
      </c>
      <c r="D524" s="201" t="s">
        <v>1956</v>
      </c>
    </row>
    <row r="525" spans="2:4">
      <c r="B525" s="198" t="s">
        <v>2609</v>
      </c>
      <c r="C525" s="154" t="s">
        <v>149</v>
      </c>
      <c r="D525" s="201" t="s">
        <v>1956</v>
      </c>
    </row>
    <row r="526" spans="2:4">
      <c r="B526" s="198" t="s">
        <v>2092</v>
      </c>
      <c r="C526" s="154" t="s">
        <v>2194</v>
      </c>
      <c r="D526" s="201" t="s">
        <v>2219</v>
      </c>
    </row>
    <row r="527" spans="2:4">
      <c r="B527" s="198" t="s">
        <v>1345</v>
      </c>
      <c r="C527" s="154" t="s">
        <v>1927</v>
      </c>
      <c r="D527" s="201" t="s">
        <v>1951</v>
      </c>
    </row>
    <row r="528" spans="2:4">
      <c r="B528" s="198" t="s">
        <v>1162</v>
      </c>
      <c r="C528" s="154" t="s">
        <v>1901</v>
      </c>
      <c r="D528" s="201" t="s">
        <v>1952</v>
      </c>
    </row>
    <row r="529" spans="2:4">
      <c r="B529" s="198"/>
      <c r="C529" s="154"/>
      <c r="D529" s="201"/>
    </row>
    <row r="530" spans="2:4">
      <c r="B530" s="198" t="s">
        <v>2238</v>
      </c>
      <c r="C530" s="154" t="s">
        <v>1518</v>
      </c>
      <c r="D530" s="201" t="s">
        <v>1957</v>
      </c>
    </row>
    <row r="531" spans="2:4">
      <c r="B531" s="198" t="s">
        <v>931</v>
      </c>
      <c r="C531" s="154" t="s">
        <v>1837</v>
      </c>
      <c r="D531" s="201" t="s">
        <v>1951</v>
      </c>
    </row>
    <row r="532" spans="2:4">
      <c r="B532" s="198" t="s">
        <v>842</v>
      </c>
      <c r="C532" s="154" t="s">
        <v>1801</v>
      </c>
      <c r="D532" s="201" t="s">
        <v>1951</v>
      </c>
    </row>
    <row r="533" spans="2:4">
      <c r="B533" s="198" t="s">
        <v>2432</v>
      </c>
      <c r="C533" s="154" t="s">
        <v>1627</v>
      </c>
      <c r="D533" s="201" t="s">
        <v>1958</v>
      </c>
    </row>
    <row r="534" spans="2:4">
      <c r="B534" s="198" t="s">
        <v>1343</v>
      </c>
      <c r="C534" s="154" t="s">
        <v>150</v>
      </c>
      <c r="D534" s="201" t="s">
        <v>1951</v>
      </c>
    </row>
    <row r="535" spans="2:4">
      <c r="B535" s="198" t="s">
        <v>2743</v>
      </c>
      <c r="C535" s="154" t="s">
        <v>2982</v>
      </c>
      <c r="D535" s="201" t="s">
        <v>2887</v>
      </c>
    </row>
    <row r="536" spans="2:4">
      <c r="B536" s="198" t="s">
        <v>1235</v>
      </c>
      <c r="C536" s="154" t="s">
        <v>149</v>
      </c>
      <c r="D536" s="201" t="s">
        <v>1956</v>
      </c>
    </row>
    <row r="537" spans="2:4">
      <c r="B537" s="198" t="s">
        <v>1334</v>
      </c>
      <c r="C537" s="154" t="s">
        <v>1522</v>
      </c>
      <c r="D537" s="201" t="s">
        <v>1953</v>
      </c>
    </row>
    <row r="538" spans="2:4">
      <c r="B538" s="198" t="s">
        <v>2427</v>
      </c>
      <c r="C538" s="154" t="s">
        <v>2950</v>
      </c>
      <c r="D538" s="201" t="s">
        <v>1951</v>
      </c>
    </row>
    <row r="539" spans="2:4">
      <c r="B539" s="198" t="s">
        <v>469</v>
      </c>
      <c r="C539" s="154" t="s">
        <v>1675</v>
      </c>
      <c r="D539" s="201" t="s">
        <v>1951</v>
      </c>
    </row>
    <row r="540" spans="2:4">
      <c r="B540" s="198" t="s">
        <v>1160</v>
      </c>
      <c r="C540" s="154" t="s">
        <v>1899</v>
      </c>
      <c r="D540" s="201" t="s">
        <v>1952</v>
      </c>
    </row>
    <row r="541" spans="2:4">
      <c r="B541" s="198" t="s">
        <v>2366</v>
      </c>
      <c r="C541" s="154" t="s">
        <v>2365</v>
      </c>
      <c r="D541" s="201" t="s">
        <v>2217</v>
      </c>
    </row>
    <row r="542" spans="2:4">
      <c r="B542" s="198" t="s">
        <v>1104</v>
      </c>
      <c r="C542" s="154" t="s">
        <v>1886</v>
      </c>
      <c r="D542" s="201" t="s">
        <v>1956</v>
      </c>
    </row>
    <row r="543" spans="2:4">
      <c r="B543" s="198"/>
      <c r="C543" s="154"/>
      <c r="D543" s="201"/>
    </row>
    <row r="544" spans="2:4">
      <c r="B544" s="198" t="s">
        <v>2251</v>
      </c>
      <c r="C544" s="154" t="s">
        <v>1518</v>
      </c>
      <c r="D544" s="201" t="s">
        <v>1957</v>
      </c>
    </row>
    <row r="545" spans="2:4">
      <c r="B545" s="198" t="s">
        <v>1049</v>
      </c>
      <c r="C545" s="154" t="s">
        <v>1877</v>
      </c>
      <c r="D545" s="201" t="s">
        <v>1954</v>
      </c>
    </row>
    <row r="546" spans="2:4">
      <c r="B546" s="198" t="s">
        <v>1477</v>
      </c>
      <c r="C546" s="154" t="s">
        <v>1759</v>
      </c>
      <c r="D546" s="201" t="s">
        <v>1956</v>
      </c>
    </row>
    <row r="547" spans="2:4">
      <c r="B547" s="198" t="s">
        <v>2584</v>
      </c>
      <c r="C547" s="154" t="s">
        <v>2983</v>
      </c>
      <c r="D547" s="201" t="s">
        <v>1951</v>
      </c>
    </row>
    <row r="548" spans="2:4">
      <c r="B548" s="198" t="s">
        <v>2956</v>
      </c>
      <c r="C548" s="154" t="s">
        <v>1938</v>
      </c>
      <c r="D548" s="201" t="s">
        <v>1958</v>
      </c>
    </row>
    <row r="549" spans="2:4">
      <c r="B549" s="198" t="s">
        <v>1431</v>
      </c>
      <c r="C549" s="154" t="s">
        <v>1938</v>
      </c>
      <c r="D549" s="201" t="s">
        <v>1958</v>
      </c>
    </row>
    <row r="550" spans="2:4">
      <c r="B550" s="198" t="s">
        <v>908</v>
      </c>
      <c r="C550" s="154" t="s">
        <v>1827</v>
      </c>
      <c r="D550" s="201" t="s">
        <v>1956</v>
      </c>
    </row>
    <row r="551" spans="2:4">
      <c r="B551" s="198"/>
      <c r="C551" s="154"/>
      <c r="D551" s="201"/>
    </row>
    <row r="552" spans="2:4">
      <c r="B552" s="198" t="s">
        <v>1440</v>
      </c>
      <c r="C552" s="154" t="s">
        <v>1939</v>
      </c>
      <c r="D552" s="201" t="s">
        <v>1953</v>
      </c>
    </row>
    <row r="553" spans="2:4">
      <c r="B553" s="198" t="s">
        <v>608</v>
      </c>
      <c r="C553" s="154" t="s">
        <v>1513</v>
      </c>
      <c r="D553" s="201" t="s">
        <v>1956</v>
      </c>
    </row>
    <row r="554" spans="2:4">
      <c r="B554" s="198" t="s">
        <v>2735</v>
      </c>
      <c r="C554" s="154" t="s">
        <v>2925</v>
      </c>
      <c r="D554" s="201" t="s">
        <v>1953</v>
      </c>
    </row>
    <row r="555" spans="2:4">
      <c r="B555" s="198" t="s">
        <v>2581</v>
      </c>
      <c r="C555" s="154" t="s">
        <v>1522</v>
      </c>
      <c r="D555" s="201" t="s">
        <v>1953</v>
      </c>
    </row>
    <row r="556" spans="2:4">
      <c r="B556" s="198" t="s">
        <v>1471</v>
      </c>
      <c r="C556" s="154" t="s">
        <v>1817</v>
      </c>
      <c r="D556" s="201" t="s">
        <v>1956</v>
      </c>
    </row>
    <row r="557" spans="2:4">
      <c r="B557" s="198" t="s">
        <v>1192</v>
      </c>
      <c r="C557" s="154" t="s">
        <v>1508</v>
      </c>
      <c r="D557" s="201" t="s">
        <v>1951</v>
      </c>
    </row>
    <row r="558" spans="2:4">
      <c r="B558" s="198" t="s">
        <v>353</v>
      </c>
      <c r="C558" s="154" t="s">
        <v>1555</v>
      </c>
      <c r="D558" s="201" t="s">
        <v>1959</v>
      </c>
    </row>
    <row r="559" spans="2:4">
      <c r="B559" s="198" t="s">
        <v>759</v>
      </c>
      <c r="C559" s="154" t="s">
        <v>1779</v>
      </c>
      <c r="D559" s="201" t="s">
        <v>1955</v>
      </c>
    </row>
    <row r="560" spans="2:4">
      <c r="B560" s="198" t="s">
        <v>901</v>
      </c>
      <c r="C560" s="154" t="s">
        <v>1825</v>
      </c>
      <c r="D560" s="201" t="s">
        <v>1951</v>
      </c>
    </row>
    <row r="561" spans="2:4">
      <c r="B561" s="198" t="s">
        <v>2838</v>
      </c>
      <c r="C561" s="154" t="s">
        <v>1522</v>
      </c>
      <c r="D561" s="201" t="s">
        <v>1953</v>
      </c>
    </row>
    <row r="562" spans="2:4">
      <c r="B562" s="198" t="s">
        <v>873</v>
      </c>
      <c r="C562" s="154" t="s">
        <v>1567</v>
      </c>
      <c r="D562" s="201" t="s">
        <v>1953</v>
      </c>
    </row>
    <row r="563" spans="2:4">
      <c r="B563" s="198" t="s">
        <v>1232</v>
      </c>
      <c r="C563" s="154" t="s">
        <v>1522</v>
      </c>
      <c r="D563" s="201" t="s">
        <v>1953</v>
      </c>
    </row>
    <row r="564" spans="2:4">
      <c r="B564" s="198" t="s">
        <v>2387</v>
      </c>
      <c r="C564" s="154" t="s">
        <v>1518</v>
      </c>
      <c r="D564" s="201" t="s">
        <v>1957</v>
      </c>
    </row>
    <row r="565" spans="2:4">
      <c r="B565" s="198" t="s">
        <v>2253</v>
      </c>
      <c r="C565" s="154" t="s">
        <v>1518</v>
      </c>
      <c r="D565" s="201" t="s">
        <v>1957</v>
      </c>
    </row>
    <row r="566" spans="2:4">
      <c r="B566" s="198" t="s">
        <v>2608</v>
      </c>
      <c r="C566" s="154" t="s">
        <v>1519</v>
      </c>
      <c r="D566" s="201" t="s">
        <v>1951</v>
      </c>
    </row>
    <row r="567" spans="2:4">
      <c r="B567" s="198" t="s">
        <v>587</v>
      </c>
      <c r="C567" s="154" t="s">
        <v>1711</v>
      </c>
      <c r="D567" s="201" t="s">
        <v>1956</v>
      </c>
    </row>
    <row r="568" spans="2:4">
      <c r="B568" s="198" t="s">
        <v>2612</v>
      </c>
      <c r="C568" s="154" t="s">
        <v>1517</v>
      </c>
      <c r="D568" s="201" t="s">
        <v>1956</v>
      </c>
    </row>
    <row r="569" spans="2:4">
      <c r="B569" s="198"/>
      <c r="C569" s="154"/>
      <c r="D569" s="201"/>
    </row>
    <row r="570" spans="2:4">
      <c r="B570" s="198"/>
      <c r="C570" s="154"/>
      <c r="D570" s="201"/>
    </row>
    <row r="571" spans="2:4">
      <c r="B571" s="198" t="s">
        <v>2401</v>
      </c>
      <c r="C571" s="154" t="s">
        <v>3279</v>
      </c>
      <c r="D571" s="201" t="s">
        <v>2216</v>
      </c>
    </row>
    <row r="572" spans="2:4">
      <c r="B572" s="198" t="s">
        <v>2401</v>
      </c>
      <c r="C572" s="154" t="s">
        <v>3279</v>
      </c>
      <c r="D572" s="201" t="s">
        <v>2216</v>
      </c>
    </row>
    <row r="573" spans="2:4">
      <c r="B573" s="198" t="s">
        <v>2778</v>
      </c>
      <c r="C573" s="154" t="s">
        <v>2931</v>
      </c>
      <c r="D573" s="201" t="s">
        <v>1952</v>
      </c>
    </row>
    <row r="574" spans="2:4">
      <c r="B574" s="198" t="s">
        <v>2567</v>
      </c>
      <c r="C574" s="154" t="s">
        <v>142</v>
      </c>
      <c r="D574" s="201" t="s">
        <v>1954</v>
      </c>
    </row>
    <row r="575" spans="2:4">
      <c r="B575" s="198" t="s">
        <v>834</v>
      </c>
      <c r="C575" s="154" t="s">
        <v>1800</v>
      </c>
      <c r="D575" s="201" t="s">
        <v>1952</v>
      </c>
    </row>
    <row r="576" spans="2:4">
      <c r="B576" s="198" t="s">
        <v>571</v>
      </c>
      <c r="C576" s="154" t="s">
        <v>1714</v>
      </c>
      <c r="D576" s="201" t="s">
        <v>1956</v>
      </c>
    </row>
    <row r="577" spans="2:4">
      <c r="B577" s="198" t="s">
        <v>1067</v>
      </c>
      <c r="C577" s="154" t="s">
        <v>1511</v>
      </c>
      <c r="D577" s="201" t="s">
        <v>1951</v>
      </c>
    </row>
    <row r="578" spans="2:4">
      <c r="B578" s="198" t="s">
        <v>1020</v>
      </c>
      <c r="C578" s="154" t="s">
        <v>1559</v>
      </c>
      <c r="D578" s="201" t="s">
        <v>1952</v>
      </c>
    </row>
    <row r="579" spans="2:4">
      <c r="B579" s="198" t="s">
        <v>654</v>
      </c>
      <c r="C579" s="154" t="s">
        <v>1742</v>
      </c>
      <c r="D579" s="201" t="s">
        <v>1956</v>
      </c>
    </row>
    <row r="580" spans="2:4">
      <c r="B580" s="198" t="s">
        <v>595</v>
      </c>
      <c r="C580" s="154" t="s">
        <v>1721</v>
      </c>
      <c r="D580" s="201" t="s">
        <v>1958</v>
      </c>
    </row>
    <row r="581" spans="2:4">
      <c r="B581" s="198" t="s">
        <v>806</v>
      </c>
      <c r="C581" s="154" t="s">
        <v>1544</v>
      </c>
      <c r="D581" s="201" t="s">
        <v>1951</v>
      </c>
    </row>
    <row r="582" spans="2:4">
      <c r="B582" s="198" t="s">
        <v>599</v>
      </c>
      <c r="C582" s="154" t="s">
        <v>1711</v>
      </c>
      <c r="D582" s="201" t="s">
        <v>1956</v>
      </c>
    </row>
    <row r="583" spans="2:4">
      <c r="B583" s="198" t="s">
        <v>274</v>
      </c>
      <c r="C583" s="154" t="s">
        <v>1575</v>
      </c>
      <c r="D583" s="201" t="s">
        <v>1959</v>
      </c>
    </row>
    <row r="584" spans="2:4">
      <c r="B584" s="198" t="s">
        <v>760</v>
      </c>
      <c r="C584" s="154" t="s">
        <v>1541</v>
      </c>
      <c r="D584" s="201" t="s">
        <v>1955</v>
      </c>
    </row>
    <row r="585" spans="2:4">
      <c r="B585" s="198" t="s">
        <v>732</v>
      </c>
      <c r="C585" s="154" t="s">
        <v>1711</v>
      </c>
      <c r="D585" s="201" t="s">
        <v>1956</v>
      </c>
    </row>
    <row r="586" spans="2:4">
      <c r="B586" s="198" t="s">
        <v>758</v>
      </c>
      <c r="C586" s="154" t="s">
        <v>1511</v>
      </c>
      <c r="D586" s="201" t="s">
        <v>1951</v>
      </c>
    </row>
    <row r="587" spans="2:4">
      <c r="B587" s="198" t="s">
        <v>1173</v>
      </c>
      <c r="C587" s="154" t="s">
        <v>1906</v>
      </c>
      <c r="D587" s="201" t="s">
        <v>1952</v>
      </c>
    </row>
    <row r="588" spans="2:4">
      <c r="B588" s="198" t="s">
        <v>1231</v>
      </c>
      <c r="C588" s="154" t="s">
        <v>142</v>
      </c>
      <c r="D588" s="201" t="s">
        <v>1954</v>
      </c>
    </row>
    <row r="589" spans="2:4">
      <c r="B589" s="198" t="s">
        <v>585</v>
      </c>
      <c r="C589" s="154" t="s">
        <v>1519</v>
      </c>
      <c r="D589" s="201" t="s">
        <v>1951</v>
      </c>
    </row>
    <row r="590" spans="2:4">
      <c r="B590" s="198" t="s">
        <v>610</v>
      </c>
      <c r="C590" s="154" t="s">
        <v>1724</v>
      </c>
      <c r="D590" s="201" t="s">
        <v>1956</v>
      </c>
    </row>
    <row r="591" spans="2:4">
      <c r="B591" s="198" t="s">
        <v>1213</v>
      </c>
      <c r="C591" s="154" t="s">
        <v>2406</v>
      </c>
      <c r="D591" s="201"/>
    </row>
    <row r="592" spans="2:4">
      <c r="B592" s="198" t="s">
        <v>2088</v>
      </c>
      <c r="C592" s="154" t="s">
        <v>2190</v>
      </c>
      <c r="D592" s="201" t="s">
        <v>1959</v>
      </c>
    </row>
    <row r="593" spans="2:4">
      <c r="B593" s="198" t="s">
        <v>2340</v>
      </c>
      <c r="C593" s="154" t="s">
        <v>2190</v>
      </c>
      <c r="D593" s="201" t="s">
        <v>1959</v>
      </c>
    </row>
    <row r="594" spans="2:4">
      <c r="B594" s="198" t="s">
        <v>1338</v>
      </c>
      <c r="C594" s="154" t="s">
        <v>150</v>
      </c>
      <c r="D594" s="201" t="s">
        <v>1951</v>
      </c>
    </row>
    <row r="595" spans="2:4">
      <c r="B595" s="198" t="s">
        <v>478</v>
      </c>
      <c r="C595" s="154" t="s">
        <v>149</v>
      </c>
      <c r="D595" s="201" t="s">
        <v>1956</v>
      </c>
    </row>
    <row r="596" spans="2:4">
      <c r="B596" s="198" t="s">
        <v>2388</v>
      </c>
      <c r="C596" s="154" t="s">
        <v>2389</v>
      </c>
      <c r="D596" s="201" t="s">
        <v>1959</v>
      </c>
    </row>
    <row r="597" spans="2:4">
      <c r="B597" s="198" t="s">
        <v>2643</v>
      </c>
      <c r="C597" s="154" t="s">
        <v>150</v>
      </c>
      <c r="D597" s="201" t="s">
        <v>1951</v>
      </c>
    </row>
    <row r="598" spans="2:4">
      <c r="B598" s="198" t="s">
        <v>277</v>
      </c>
      <c r="C598" s="154" t="s">
        <v>1577</v>
      </c>
      <c r="D598" s="201" t="s">
        <v>1951</v>
      </c>
    </row>
    <row r="599" spans="2:4">
      <c r="B599" s="198" t="s">
        <v>269</v>
      </c>
      <c r="C599" s="154" t="s">
        <v>1518</v>
      </c>
      <c r="D599" s="201" t="s">
        <v>1957</v>
      </c>
    </row>
    <row r="600" spans="2:4">
      <c r="B600" s="198" t="s">
        <v>362</v>
      </c>
      <c r="C600" s="154" t="s">
        <v>1518</v>
      </c>
      <c r="D600" s="201" t="s">
        <v>1957</v>
      </c>
    </row>
    <row r="601" spans="2:4">
      <c r="B601" s="198" t="s">
        <v>198</v>
      </c>
      <c r="C601" s="154" t="s">
        <v>1518</v>
      </c>
      <c r="D601" s="201" t="s">
        <v>1957</v>
      </c>
    </row>
    <row r="602" spans="2:4">
      <c r="B602" s="198" t="s">
        <v>194</v>
      </c>
      <c r="C602" s="154" t="s">
        <v>1518</v>
      </c>
      <c r="D602" s="201" t="s">
        <v>1957</v>
      </c>
    </row>
    <row r="603" spans="2:4">
      <c r="B603" s="198" t="s">
        <v>541</v>
      </c>
      <c r="C603" s="154" t="s">
        <v>1518</v>
      </c>
      <c r="D603" s="201" t="s">
        <v>1957</v>
      </c>
    </row>
    <row r="604" spans="2:4">
      <c r="B604" s="198" t="s">
        <v>468</v>
      </c>
      <c r="C604" s="154" t="s">
        <v>1518</v>
      </c>
      <c r="D604" s="201" t="s">
        <v>1957</v>
      </c>
    </row>
    <row r="605" spans="2:4">
      <c r="B605" s="198" t="s">
        <v>212</v>
      </c>
      <c r="C605" s="154" t="s">
        <v>1518</v>
      </c>
      <c r="D605" s="201" t="s">
        <v>1957</v>
      </c>
    </row>
    <row r="606" spans="2:4">
      <c r="B606" s="198" t="s">
        <v>2076</v>
      </c>
      <c r="C606" s="154" t="s">
        <v>1518</v>
      </c>
      <c r="D606" s="201" t="s">
        <v>1957</v>
      </c>
    </row>
    <row r="607" spans="2:4">
      <c r="B607" s="198" t="s">
        <v>2078</v>
      </c>
      <c r="C607" s="154" t="s">
        <v>1518</v>
      </c>
      <c r="D607" s="201" t="s">
        <v>1957</v>
      </c>
    </row>
    <row r="608" spans="2:4">
      <c r="B608" s="198" t="s">
        <v>2072</v>
      </c>
      <c r="C608" s="154" t="s">
        <v>1518</v>
      </c>
      <c r="D608" s="201" t="s">
        <v>1957</v>
      </c>
    </row>
    <row r="609" spans="2:4">
      <c r="B609" s="198" t="s">
        <v>2083</v>
      </c>
      <c r="C609" s="154" t="s">
        <v>1518</v>
      </c>
      <c r="D609" s="201" t="s">
        <v>1957</v>
      </c>
    </row>
    <row r="610" spans="2:4">
      <c r="B610" s="198" t="s">
        <v>199</v>
      </c>
      <c r="C610" s="154" t="s">
        <v>1518</v>
      </c>
      <c r="D610" s="201" t="s">
        <v>1957</v>
      </c>
    </row>
    <row r="611" spans="2:4">
      <c r="B611" s="198" t="s">
        <v>379</v>
      </c>
      <c r="C611" s="154" t="s">
        <v>1518</v>
      </c>
      <c r="D611" s="201" t="s">
        <v>1957</v>
      </c>
    </row>
    <row r="612" spans="2:4">
      <c r="B612" s="198" t="s">
        <v>439</v>
      </c>
      <c r="C612" s="154" t="s">
        <v>1518</v>
      </c>
      <c r="D612" s="201" t="s">
        <v>1957</v>
      </c>
    </row>
    <row r="613" spans="2:4">
      <c r="B613" s="198" t="s">
        <v>2024</v>
      </c>
      <c r="C613" s="154" t="s">
        <v>1518</v>
      </c>
      <c r="D613" s="201" t="s">
        <v>1957</v>
      </c>
    </row>
    <row r="614" spans="2:4">
      <c r="B614" s="198" t="s">
        <v>2278</v>
      </c>
      <c r="C614" s="154" t="s">
        <v>2191</v>
      </c>
      <c r="D614" s="201" t="s">
        <v>2216</v>
      </c>
    </row>
    <row r="615" spans="2:4">
      <c r="B615" s="198" t="s">
        <v>765</v>
      </c>
      <c r="C615" s="154" t="s">
        <v>142</v>
      </c>
      <c r="D615" s="201" t="s">
        <v>1954</v>
      </c>
    </row>
    <row r="616" spans="2:4">
      <c r="B616" s="198" t="s">
        <v>1025</v>
      </c>
      <c r="C616" s="154" t="s">
        <v>1867</v>
      </c>
      <c r="D616" s="201" t="s">
        <v>1952</v>
      </c>
    </row>
    <row r="617" spans="2:4">
      <c r="B617" s="198" t="s">
        <v>621</v>
      </c>
      <c r="C617" s="154" t="s">
        <v>1730</v>
      </c>
      <c r="D617" s="201" t="s">
        <v>1953</v>
      </c>
    </row>
    <row r="618" spans="2:4">
      <c r="B618" s="198" t="s">
        <v>913</v>
      </c>
      <c r="C618" s="154" t="s">
        <v>1831</v>
      </c>
      <c r="D618" s="201" t="s">
        <v>1956</v>
      </c>
    </row>
    <row r="619" spans="2:4">
      <c r="B619" s="198" t="s">
        <v>638</v>
      </c>
      <c r="C619" s="154" t="s">
        <v>1519</v>
      </c>
      <c r="D619" s="201" t="s">
        <v>1951</v>
      </c>
    </row>
    <row r="620" spans="2:4">
      <c r="B620" s="198" t="s">
        <v>686</v>
      </c>
      <c r="C620" s="154" t="s">
        <v>1730</v>
      </c>
      <c r="D620" s="201" t="s">
        <v>1953</v>
      </c>
    </row>
    <row r="621" spans="2:4">
      <c r="B621" s="198" t="s">
        <v>2497</v>
      </c>
      <c r="C621" s="154" t="s">
        <v>1544</v>
      </c>
      <c r="D621" s="201" t="s">
        <v>1951</v>
      </c>
    </row>
    <row r="622" spans="2:4">
      <c r="B622" s="198" t="s">
        <v>1463</v>
      </c>
      <c r="C622" s="154" t="s">
        <v>149</v>
      </c>
      <c r="D622" s="201" t="s">
        <v>1956</v>
      </c>
    </row>
    <row r="623" spans="2:4">
      <c r="B623" s="198" t="s">
        <v>2603</v>
      </c>
      <c r="C623" s="154" t="s">
        <v>142</v>
      </c>
      <c r="D623" s="201" t="s">
        <v>1954</v>
      </c>
    </row>
    <row r="624" spans="2:4">
      <c r="B624" s="198" t="s">
        <v>2249</v>
      </c>
      <c r="C624" s="154" t="s">
        <v>1518</v>
      </c>
      <c r="D624" s="201" t="s">
        <v>1957</v>
      </c>
    </row>
    <row r="625" spans="2:4">
      <c r="B625" s="198" t="s">
        <v>467</v>
      </c>
      <c r="C625" s="154" t="s">
        <v>1534</v>
      </c>
      <c r="D625" s="201" t="s">
        <v>1959</v>
      </c>
    </row>
    <row r="626" spans="2:4">
      <c r="B626" s="198" t="s">
        <v>619</v>
      </c>
      <c r="C626" s="154" t="s">
        <v>142</v>
      </c>
      <c r="D626" s="201" t="s">
        <v>1954</v>
      </c>
    </row>
    <row r="627" spans="2:4">
      <c r="B627" s="198" t="s">
        <v>2826</v>
      </c>
      <c r="C627" s="154" t="s">
        <v>1522</v>
      </c>
      <c r="D627" s="201" t="s">
        <v>1953</v>
      </c>
    </row>
    <row r="628" spans="2:4">
      <c r="B628" s="198" t="s">
        <v>1189</v>
      </c>
      <c r="C628" s="154" t="s">
        <v>1625</v>
      </c>
      <c r="D628" s="201" t="s">
        <v>1951</v>
      </c>
    </row>
    <row r="629" spans="2:4">
      <c r="B629" s="198" t="s">
        <v>1182</v>
      </c>
      <c r="C629" s="154" t="s">
        <v>1647</v>
      </c>
      <c r="D629" s="201" t="s">
        <v>1956</v>
      </c>
    </row>
    <row r="630" spans="2:4">
      <c r="B630" s="198" t="s">
        <v>1337</v>
      </c>
      <c r="C630" s="154" t="s">
        <v>1543</v>
      </c>
      <c r="D630" s="201" t="s">
        <v>1955</v>
      </c>
    </row>
    <row r="631" spans="2:4">
      <c r="B631" s="198" t="s">
        <v>636</v>
      </c>
      <c r="C631" s="154" t="s">
        <v>1519</v>
      </c>
      <c r="D631" s="201" t="s">
        <v>1951</v>
      </c>
    </row>
    <row r="632" spans="2:4">
      <c r="B632" s="198" t="s">
        <v>710</v>
      </c>
      <c r="C632" s="154" t="s">
        <v>1647</v>
      </c>
      <c r="D632" s="201" t="s">
        <v>1956</v>
      </c>
    </row>
    <row r="633" spans="2:4">
      <c r="B633" s="198" t="s">
        <v>2087</v>
      </c>
      <c r="C633" s="154" t="s">
        <v>1518</v>
      </c>
      <c r="D633" s="201" t="s">
        <v>1957</v>
      </c>
    </row>
    <row r="634" spans="2:4">
      <c r="B634" s="198" t="s">
        <v>2596</v>
      </c>
      <c r="C634" s="154" t="s">
        <v>1519</v>
      </c>
      <c r="D634" s="201" t="s">
        <v>1951</v>
      </c>
    </row>
    <row r="635" spans="2:4">
      <c r="B635" s="198" t="s">
        <v>2276</v>
      </c>
      <c r="C635" s="154" t="s">
        <v>1518</v>
      </c>
      <c r="D635" s="201" t="s">
        <v>1957</v>
      </c>
    </row>
    <row r="636" spans="2:4">
      <c r="B636" s="198" t="s">
        <v>2101</v>
      </c>
      <c r="C636" s="154" t="s">
        <v>1518</v>
      </c>
      <c r="D636" s="201" t="s">
        <v>1957</v>
      </c>
    </row>
    <row r="637" spans="2:4">
      <c r="B637" s="198" t="s">
        <v>1462</v>
      </c>
      <c r="C637" s="154" t="s">
        <v>150</v>
      </c>
      <c r="D637" s="201" t="s">
        <v>1951</v>
      </c>
    </row>
    <row r="638" spans="2:4">
      <c r="B638" s="198" t="s">
        <v>1386</v>
      </c>
      <c r="C638" s="154" t="s">
        <v>150</v>
      </c>
      <c r="D638" s="201" t="s">
        <v>1951</v>
      </c>
    </row>
    <row r="639" spans="2:4">
      <c r="B639" s="198" t="s">
        <v>2611</v>
      </c>
      <c r="C639" s="154" t="s">
        <v>149</v>
      </c>
      <c r="D639" s="201" t="s">
        <v>1956</v>
      </c>
    </row>
    <row r="640" spans="2:4">
      <c r="B640" s="198" t="s">
        <v>450</v>
      </c>
      <c r="C640" s="154" t="s">
        <v>1647</v>
      </c>
      <c r="D640" s="201" t="s">
        <v>1956</v>
      </c>
    </row>
    <row r="641" spans="2:4">
      <c r="B641" s="198" t="s">
        <v>640</v>
      </c>
      <c r="C641" s="154" t="s">
        <v>1541</v>
      </c>
      <c r="D641" s="201" t="s">
        <v>1955</v>
      </c>
    </row>
    <row r="642" spans="2:4">
      <c r="B642" s="198" t="s">
        <v>1167</v>
      </c>
      <c r="C642" s="154" t="s">
        <v>1903</v>
      </c>
      <c r="D642" s="201" t="s">
        <v>1952</v>
      </c>
    </row>
    <row r="643" spans="2:4">
      <c r="B643" s="198" t="s">
        <v>926</v>
      </c>
      <c r="C643" s="154" t="s">
        <v>149</v>
      </c>
      <c r="D643" s="201" t="s">
        <v>1956</v>
      </c>
    </row>
    <row r="644" spans="2:4">
      <c r="B644" s="198" t="s">
        <v>932</v>
      </c>
      <c r="C644" s="154" t="s">
        <v>150</v>
      </c>
      <c r="D644" s="201" t="s">
        <v>1951</v>
      </c>
    </row>
    <row r="645" spans="2:4">
      <c r="B645" s="198" t="s">
        <v>1028</v>
      </c>
      <c r="C645" s="154" t="s">
        <v>150</v>
      </c>
      <c r="D645" s="201" t="s">
        <v>1951</v>
      </c>
    </row>
    <row r="646" spans="2:4">
      <c r="B646" s="198" t="s">
        <v>772</v>
      </c>
      <c r="C646" s="154" t="s">
        <v>149</v>
      </c>
      <c r="D646" s="201" t="s">
        <v>1956</v>
      </c>
    </row>
    <row r="647" spans="2:4">
      <c r="B647" s="198" t="s">
        <v>2230</v>
      </c>
      <c r="C647" s="154" t="s">
        <v>1518</v>
      </c>
      <c r="D647" s="201" t="s">
        <v>1957</v>
      </c>
    </row>
    <row r="648" spans="2:4">
      <c r="B648" s="198" t="s">
        <v>290</v>
      </c>
      <c r="C648" s="154" t="s">
        <v>1585</v>
      </c>
      <c r="D648" s="201" t="s">
        <v>1951</v>
      </c>
    </row>
    <row r="649" spans="2:4">
      <c r="B649" s="198" t="s">
        <v>2631</v>
      </c>
      <c r="C649" s="154" t="s">
        <v>152</v>
      </c>
      <c r="D649" s="201" t="s">
        <v>1952</v>
      </c>
    </row>
    <row r="650" spans="2:4">
      <c r="B650" s="198" t="s">
        <v>580</v>
      </c>
      <c r="C650" s="154" t="s">
        <v>1716</v>
      </c>
      <c r="D650" s="201" t="s">
        <v>1956</v>
      </c>
    </row>
    <row r="651" spans="2:4">
      <c r="B651" s="198" t="s">
        <v>1320</v>
      </c>
      <c r="C651" s="154" t="s">
        <v>149</v>
      </c>
      <c r="D651" s="201" t="s">
        <v>1956</v>
      </c>
    </row>
    <row r="652" spans="2:4">
      <c r="B652" s="198" t="s">
        <v>909</v>
      </c>
      <c r="C652" s="154" t="s">
        <v>1811</v>
      </c>
      <c r="D652" s="201" t="s">
        <v>1956</v>
      </c>
    </row>
    <row r="653" spans="2:4">
      <c r="B653" s="198" t="s">
        <v>2592</v>
      </c>
      <c r="C653" s="154" t="s">
        <v>149</v>
      </c>
      <c r="D653" s="201" t="s">
        <v>1956</v>
      </c>
    </row>
    <row r="654" spans="2:4">
      <c r="B654" s="198" t="s">
        <v>563</v>
      </c>
      <c r="C654" s="154" t="s">
        <v>1511</v>
      </c>
      <c r="D654" s="201" t="s">
        <v>1951</v>
      </c>
    </row>
    <row r="655" spans="2:4">
      <c r="B655" s="198" t="s">
        <v>848</v>
      </c>
      <c r="C655" s="154" t="s">
        <v>150</v>
      </c>
      <c r="D655" s="201" t="s">
        <v>1951</v>
      </c>
    </row>
    <row r="656" spans="2:4">
      <c r="B656" s="198" t="s">
        <v>1035</v>
      </c>
      <c r="C656" s="154" t="s">
        <v>1872</v>
      </c>
      <c r="D656" s="201" t="s">
        <v>1954</v>
      </c>
    </row>
    <row r="657" spans="2:4">
      <c r="B657" s="198" t="s">
        <v>2384</v>
      </c>
      <c r="C657" s="154" t="s">
        <v>1518</v>
      </c>
      <c r="D657" s="201" t="s">
        <v>1957</v>
      </c>
    </row>
    <row r="658" spans="2:4">
      <c r="B658" s="198" t="s">
        <v>1171</v>
      </c>
      <c r="C658" s="154" t="s">
        <v>1600</v>
      </c>
      <c r="D658" s="201" t="s">
        <v>1952</v>
      </c>
    </row>
    <row r="659" spans="2:4">
      <c r="B659" s="198" t="s">
        <v>995</v>
      </c>
      <c r="C659" s="154" t="s">
        <v>1621</v>
      </c>
      <c r="D659" s="201" t="s">
        <v>1951</v>
      </c>
    </row>
    <row r="660" spans="2:4">
      <c r="B660" s="198" t="s">
        <v>315</v>
      </c>
      <c r="C660" s="154" t="s">
        <v>1600</v>
      </c>
      <c r="D660" s="201" t="s">
        <v>1952</v>
      </c>
    </row>
    <row r="661" spans="2:4">
      <c r="B661" s="198" t="s">
        <v>849</v>
      </c>
      <c r="C661" s="154" t="s">
        <v>1805</v>
      </c>
      <c r="D661" s="201" t="s">
        <v>1956</v>
      </c>
    </row>
    <row r="662" spans="2:4">
      <c r="B662" s="198" t="s">
        <v>340</v>
      </c>
      <c r="C662" s="154" t="s">
        <v>1611</v>
      </c>
      <c r="D662" s="201" t="s">
        <v>1959</v>
      </c>
    </row>
    <row r="663" spans="2:4">
      <c r="B663" s="198" t="s">
        <v>611</v>
      </c>
      <c r="C663" s="154" t="s">
        <v>1725</v>
      </c>
      <c r="D663" s="201" t="s">
        <v>1956</v>
      </c>
    </row>
    <row r="664" spans="2:4">
      <c r="B664" s="198" t="s">
        <v>914</v>
      </c>
      <c r="C664" s="154" t="s">
        <v>1725</v>
      </c>
      <c r="D664" s="201" t="s">
        <v>1956</v>
      </c>
    </row>
    <row r="665" spans="2:4">
      <c r="B665" s="198" t="s">
        <v>2344</v>
      </c>
      <c r="C665" s="154" t="s">
        <v>1518</v>
      </c>
      <c r="D665" s="201" t="s">
        <v>1957</v>
      </c>
    </row>
    <row r="666" spans="2:4">
      <c r="B666" s="198" t="s">
        <v>2580</v>
      </c>
      <c r="C666" s="154" t="s">
        <v>1600</v>
      </c>
      <c r="D666" s="201" t="s">
        <v>1952</v>
      </c>
    </row>
    <row r="667" spans="2:4">
      <c r="B667" s="198" t="s">
        <v>2593</v>
      </c>
      <c r="C667" s="154" t="s">
        <v>149</v>
      </c>
      <c r="D667" s="201" t="s">
        <v>1956</v>
      </c>
    </row>
    <row r="668" spans="2:4">
      <c r="B668" s="198" t="s">
        <v>2431</v>
      </c>
      <c r="C668" s="154" t="s">
        <v>150</v>
      </c>
      <c r="D668" s="201" t="s">
        <v>1951</v>
      </c>
    </row>
    <row r="669" spans="2:4">
      <c r="B669" s="198" t="s">
        <v>1030</v>
      </c>
      <c r="C669" s="154" t="s">
        <v>150</v>
      </c>
      <c r="D669" s="201" t="s">
        <v>1951</v>
      </c>
    </row>
    <row r="670" spans="2:4">
      <c r="B670" s="198" t="s">
        <v>314</v>
      </c>
      <c r="C670" s="154" t="s">
        <v>1599</v>
      </c>
      <c r="D670" s="201" t="s">
        <v>1951</v>
      </c>
    </row>
    <row r="671" spans="2:4">
      <c r="B671" s="198" t="s">
        <v>1031</v>
      </c>
      <c r="C671" s="154" t="s">
        <v>150</v>
      </c>
      <c r="D671" s="201" t="s">
        <v>1951</v>
      </c>
    </row>
    <row r="672" spans="2:4">
      <c r="B672" s="198" t="s">
        <v>1461</v>
      </c>
      <c r="C672" s="154" t="s">
        <v>149</v>
      </c>
      <c r="D672" s="201" t="s">
        <v>1956</v>
      </c>
    </row>
    <row r="673" spans="2:4">
      <c r="B673" s="198" t="s">
        <v>2951</v>
      </c>
      <c r="C673" s="154" t="s">
        <v>1933</v>
      </c>
      <c r="D673" s="201" t="s">
        <v>1958</v>
      </c>
    </row>
    <row r="674" spans="2:4">
      <c r="B674" s="198" t="s">
        <v>996</v>
      </c>
      <c r="C674" s="154" t="s">
        <v>1853</v>
      </c>
      <c r="D674" s="201" t="s">
        <v>1951</v>
      </c>
    </row>
    <row r="675" spans="2:4">
      <c r="B675" s="198" t="s">
        <v>915</v>
      </c>
      <c r="C675" s="154" t="s">
        <v>1832</v>
      </c>
      <c r="D675" s="201" t="s">
        <v>1956</v>
      </c>
    </row>
    <row r="676" spans="2:4">
      <c r="B676" s="198" t="s">
        <v>2649</v>
      </c>
      <c r="C676" s="154" t="s">
        <v>1522</v>
      </c>
      <c r="D676" s="201" t="s">
        <v>1953</v>
      </c>
    </row>
    <row r="677" spans="2:4">
      <c r="B677" s="198" t="s">
        <v>733</v>
      </c>
      <c r="C677" s="154" t="s">
        <v>1771</v>
      </c>
      <c r="D677" s="201" t="s">
        <v>1953</v>
      </c>
    </row>
    <row r="678" spans="2:4">
      <c r="B678" s="198" t="s">
        <v>1428</v>
      </c>
      <c r="C678" s="154" t="s">
        <v>1771</v>
      </c>
      <c r="D678" s="201" t="s">
        <v>1953</v>
      </c>
    </row>
    <row r="679" spans="2:4">
      <c r="B679" s="198" t="s">
        <v>637</v>
      </c>
      <c r="C679" s="154" t="s">
        <v>1544</v>
      </c>
      <c r="D679" s="201" t="s">
        <v>1951</v>
      </c>
    </row>
    <row r="680" spans="2:4">
      <c r="B680" s="198" t="s">
        <v>1127</v>
      </c>
      <c r="C680" s="154" t="s">
        <v>1893</v>
      </c>
      <c r="D680" s="201" t="s">
        <v>1956</v>
      </c>
    </row>
    <row r="681" spans="2:4">
      <c r="B681" s="198" t="s">
        <v>2222</v>
      </c>
      <c r="C681" s="154" t="s">
        <v>1534</v>
      </c>
      <c r="D681" s="201" t="s">
        <v>1959</v>
      </c>
    </row>
    <row r="682" spans="2:4">
      <c r="B682" s="198" t="s">
        <v>2279</v>
      </c>
      <c r="C682" s="154" t="s">
        <v>2191</v>
      </c>
      <c r="D682" s="201" t="s">
        <v>2216</v>
      </c>
    </row>
    <row r="683" spans="2:4">
      <c r="B683" s="198" t="s">
        <v>773</v>
      </c>
      <c r="C683" s="154" t="s">
        <v>149</v>
      </c>
      <c r="D683" s="201" t="s">
        <v>1956</v>
      </c>
    </row>
    <row r="684" spans="2:4">
      <c r="B684" s="198" t="s">
        <v>1074</v>
      </c>
      <c r="C684" s="154" t="s">
        <v>1881</v>
      </c>
      <c r="D684" s="201" t="s">
        <v>1951</v>
      </c>
    </row>
    <row r="685" spans="2:4">
      <c r="B685" s="198" t="s">
        <v>1483</v>
      </c>
      <c r="C685" s="154" t="s">
        <v>1657</v>
      </c>
      <c r="D685" s="201" t="s">
        <v>1956</v>
      </c>
    </row>
    <row r="686" spans="2:4">
      <c r="B686" s="198" t="s">
        <v>2514</v>
      </c>
      <c r="C686" s="154" t="s">
        <v>2406</v>
      </c>
      <c r="D686" s="201" t="s">
        <v>1956</v>
      </c>
    </row>
    <row r="687" spans="2:4">
      <c r="B687" s="198" t="s">
        <v>2604</v>
      </c>
      <c r="C687" s="154" t="s">
        <v>2984</v>
      </c>
      <c r="D687" s="201" t="s">
        <v>1956</v>
      </c>
    </row>
    <row r="688" spans="2:4">
      <c r="B688" s="198" t="s">
        <v>808</v>
      </c>
      <c r="C688" s="154" t="s">
        <v>1794</v>
      </c>
      <c r="D688" s="201" t="s">
        <v>1955</v>
      </c>
    </row>
    <row r="689" spans="2:4">
      <c r="B689" s="198" t="s">
        <v>407</v>
      </c>
      <c r="C689" s="154" t="s">
        <v>1639</v>
      </c>
      <c r="D689" s="201" t="s">
        <v>1956</v>
      </c>
    </row>
    <row r="690" spans="2:4">
      <c r="B690" s="198" t="s">
        <v>2256</v>
      </c>
      <c r="C690" s="154" t="s">
        <v>2191</v>
      </c>
      <c r="D690" s="201" t="s">
        <v>2216</v>
      </c>
    </row>
    <row r="691" spans="2:4">
      <c r="B691" s="198" t="s">
        <v>134</v>
      </c>
      <c r="C691" s="154" t="s">
        <v>143</v>
      </c>
      <c r="D691" s="201" t="s">
        <v>1954</v>
      </c>
    </row>
    <row r="692" spans="2:4">
      <c r="B692" s="198" t="s">
        <v>311</v>
      </c>
      <c r="C692" s="154" t="s">
        <v>1577</v>
      </c>
      <c r="D692" s="201" t="s">
        <v>1951</v>
      </c>
    </row>
    <row r="693" spans="2:4">
      <c r="B693" s="198" t="s">
        <v>771</v>
      </c>
      <c r="C693" s="154" t="s">
        <v>1660</v>
      </c>
      <c r="D693" s="201" t="s">
        <v>1951</v>
      </c>
    </row>
    <row r="694" spans="2:4">
      <c r="B694" s="198" t="s">
        <v>457</v>
      </c>
      <c r="C694" s="154" t="s">
        <v>1670</v>
      </c>
      <c r="D694" s="201" t="s">
        <v>1959</v>
      </c>
    </row>
    <row r="695" spans="2:4">
      <c r="B695" s="198" t="s">
        <v>1019</v>
      </c>
      <c r="C695" s="154" t="s">
        <v>1698</v>
      </c>
      <c r="D695" s="201" t="s">
        <v>1954</v>
      </c>
    </row>
    <row r="696" spans="2:4">
      <c r="B696" s="198" t="s">
        <v>197</v>
      </c>
      <c r="C696" s="154" t="s">
        <v>1534</v>
      </c>
      <c r="D696" s="201" t="s">
        <v>1959</v>
      </c>
    </row>
    <row r="697" spans="2:4">
      <c r="B697" s="198" t="s">
        <v>206</v>
      </c>
      <c r="C697" s="154" t="s">
        <v>1534</v>
      </c>
      <c r="D697" s="201" t="s">
        <v>1959</v>
      </c>
    </row>
    <row r="698" spans="2:4">
      <c r="B698" s="198" t="s">
        <v>491</v>
      </c>
      <c r="C698" s="154" t="s">
        <v>1534</v>
      </c>
      <c r="D698" s="201" t="s">
        <v>1959</v>
      </c>
    </row>
    <row r="699" spans="2:4">
      <c r="B699" s="198" t="s">
        <v>500</v>
      </c>
      <c r="C699" s="154" t="s">
        <v>1534</v>
      </c>
      <c r="D699" s="201" t="s">
        <v>1959</v>
      </c>
    </row>
    <row r="700" spans="2:4">
      <c r="B700" s="198" t="s">
        <v>465</v>
      </c>
      <c r="C700" s="154" t="s">
        <v>1674</v>
      </c>
      <c r="D700" s="201" t="s">
        <v>1959</v>
      </c>
    </row>
    <row r="701" spans="2:4">
      <c r="B701" s="198" t="s">
        <v>449</v>
      </c>
      <c r="C701" s="154" t="s">
        <v>1666</v>
      </c>
      <c r="D701" s="201" t="s">
        <v>1959</v>
      </c>
    </row>
    <row r="702" spans="2:4">
      <c r="B702" s="198" t="s">
        <v>394</v>
      </c>
      <c r="C702" s="154" t="s">
        <v>1633</v>
      </c>
      <c r="D702" s="201" t="s">
        <v>1959</v>
      </c>
    </row>
    <row r="703" spans="2:4">
      <c r="B703" s="198" t="s">
        <v>513</v>
      </c>
      <c r="C703" s="154" t="s">
        <v>1633</v>
      </c>
      <c r="D703" s="201" t="s">
        <v>1959</v>
      </c>
    </row>
    <row r="704" spans="2:4">
      <c r="B704" s="198" t="s">
        <v>544</v>
      </c>
      <c r="C704" s="154" t="s">
        <v>1700</v>
      </c>
      <c r="D704" s="201" t="s">
        <v>1959</v>
      </c>
    </row>
    <row r="705" spans="2:4">
      <c r="B705" s="198" t="s">
        <v>2520</v>
      </c>
      <c r="C705" s="154" t="s">
        <v>149</v>
      </c>
      <c r="D705" s="201" t="s">
        <v>1956</v>
      </c>
    </row>
    <row r="706" spans="2:4">
      <c r="B706" s="198" t="s">
        <v>2350</v>
      </c>
      <c r="C706" s="154" t="s">
        <v>1621</v>
      </c>
      <c r="D706" s="201" t="s">
        <v>1951</v>
      </c>
    </row>
    <row r="707" spans="2:4">
      <c r="B707" s="198" t="s">
        <v>2349</v>
      </c>
      <c r="C707" s="154" t="s">
        <v>2348</v>
      </c>
      <c r="D707" s="201" t="s">
        <v>1956</v>
      </c>
    </row>
    <row r="708" spans="2:4">
      <c r="B708" s="198" t="s">
        <v>589</v>
      </c>
      <c r="C708" s="154" t="s">
        <v>1544</v>
      </c>
      <c r="D708" s="201" t="s">
        <v>1951</v>
      </c>
    </row>
    <row r="709" spans="2:4">
      <c r="B709" s="198" t="s">
        <v>1143</v>
      </c>
      <c r="C709" s="154" t="s">
        <v>149</v>
      </c>
      <c r="D709" s="201" t="s">
        <v>1956</v>
      </c>
    </row>
    <row r="710" spans="2:4">
      <c r="B710" s="198" t="s">
        <v>313</v>
      </c>
      <c r="C710" s="154" t="s">
        <v>1577</v>
      </c>
      <c r="D710" s="201" t="s">
        <v>1951</v>
      </c>
    </row>
    <row r="711" spans="2:4">
      <c r="B711" s="198" t="s">
        <v>1336</v>
      </c>
      <c r="C711" s="154" t="s">
        <v>1541</v>
      </c>
      <c r="D711" s="201" t="s">
        <v>1955</v>
      </c>
    </row>
    <row r="712" spans="2:4">
      <c r="B712" s="198" t="s">
        <v>878</v>
      </c>
      <c r="C712" s="154" t="s">
        <v>1602</v>
      </c>
      <c r="D712" s="201" t="s">
        <v>1951</v>
      </c>
    </row>
    <row r="713" spans="2:4">
      <c r="B713" s="198" t="s">
        <v>832</v>
      </c>
      <c r="C713" s="154" t="s">
        <v>1799</v>
      </c>
      <c r="D713" s="201" t="s">
        <v>1954</v>
      </c>
    </row>
    <row r="714" spans="2:4">
      <c r="B714" s="198" t="s">
        <v>1397</v>
      </c>
      <c r="C714" s="154" t="s">
        <v>1931</v>
      </c>
      <c r="D714" s="201" t="s">
        <v>1958</v>
      </c>
    </row>
    <row r="715" spans="2:4">
      <c r="B715" s="198" t="s">
        <v>2090</v>
      </c>
      <c r="C715" s="154" t="s">
        <v>2191</v>
      </c>
      <c r="D715" s="201" t="s">
        <v>2216</v>
      </c>
    </row>
    <row r="716" spans="2:4">
      <c r="B716" s="198" t="s">
        <v>564</v>
      </c>
      <c r="C716" s="154" t="s">
        <v>1602</v>
      </c>
      <c r="D716" s="201" t="s">
        <v>1951</v>
      </c>
    </row>
    <row r="717" spans="2:4">
      <c r="B717" s="198" t="s">
        <v>920</v>
      </c>
      <c r="C717" s="154" t="s">
        <v>149</v>
      </c>
      <c r="D717" s="201" t="s">
        <v>1956</v>
      </c>
    </row>
    <row r="718" spans="2:4">
      <c r="B718" s="198" t="s">
        <v>2617</v>
      </c>
      <c r="C718" s="154" t="s">
        <v>1522</v>
      </c>
      <c r="D718" s="201" t="s">
        <v>1953</v>
      </c>
    </row>
    <row r="719" spans="2:4">
      <c r="B719" s="198" t="s">
        <v>1333</v>
      </c>
      <c r="C719" s="154" t="s">
        <v>1522</v>
      </c>
      <c r="D719" s="201" t="s">
        <v>1953</v>
      </c>
    </row>
    <row r="720" spans="2:4">
      <c r="B720" s="198" t="s">
        <v>916</v>
      </c>
      <c r="C720" s="154" t="s">
        <v>1525</v>
      </c>
      <c r="D720" s="201" t="s">
        <v>1956</v>
      </c>
    </row>
    <row r="721" spans="2:4">
      <c r="B721" s="198" t="s">
        <v>2363</v>
      </c>
      <c r="C721" s="154" t="s">
        <v>2191</v>
      </c>
      <c r="D721" s="201" t="s">
        <v>2216</v>
      </c>
    </row>
    <row r="722" spans="2:4">
      <c r="B722" s="198" t="s">
        <v>2636</v>
      </c>
      <c r="C722" s="154" t="s">
        <v>152</v>
      </c>
      <c r="D722" s="201" t="s">
        <v>1952</v>
      </c>
    </row>
    <row r="723" spans="2:4">
      <c r="B723" s="198" t="s">
        <v>1391</v>
      </c>
      <c r="C723" s="154" t="s">
        <v>150</v>
      </c>
      <c r="D723" s="201" t="s">
        <v>1951</v>
      </c>
    </row>
    <row r="724" spans="2:4">
      <c r="B724" s="198" t="s">
        <v>716</v>
      </c>
      <c r="C724" s="154" t="s">
        <v>1517</v>
      </c>
      <c r="D724" s="201" t="s">
        <v>1956</v>
      </c>
    </row>
    <row r="725" spans="2:4">
      <c r="B725" s="198" t="s">
        <v>2620</v>
      </c>
      <c r="C725" s="154" t="s">
        <v>150</v>
      </c>
      <c r="D725" s="201" t="s">
        <v>1951</v>
      </c>
    </row>
    <row r="726" spans="2:4">
      <c r="B726" s="198" t="s">
        <v>318</v>
      </c>
      <c r="C726" s="154" t="s">
        <v>1601</v>
      </c>
      <c r="D726" s="201" t="s">
        <v>1951</v>
      </c>
    </row>
    <row r="727" spans="2:4">
      <c r="B727" s="198" t="s">
        <v>2287</v>
      </c>
      <c r="C727" s="154" t="s">
        <v>1559</v>
      </c>
      <c r="D727" s="201" t="s">
        <v>1952</v>
      </c>
    </row>
    <row r="728" spans="2:4">
      <c r="B728" s="198" t="s">
        <v>268</v>
      </c>
      <c r="C728" s="154" t="s">
        <v>1573</v>
      </c>
      <c r="D728" s="201" t="s">
        <v>1959</v>
      </c>
    </row>
    <row r="729" spans="2:4">
      <c r="B729" s="198" t="s">
        <v>2360</v>
      </c>
      <c r="C729" s="154" t="s">
        <v>150</v>
      </c>
      <c r="D729" s="201" t="s">
        <v>1951</v>
      </c>
    </row>
    <row r="730" spans="2:4">
      <c r="B730" s="198" t="s">
        <v>308</v>
      </c>
      <c r="C730" s="154" t="s">
        <v>1596</v>
      </c>
      <c r="D730" s="201" t="s">
        <v>1951</v>
      </c>
    </row>
    <row r="731" spans="2:4">
      <c r="B731" s="198" t="s">
        <v>309</v>
      </c>
      <c r="C731" s="154" t="s">
        <v>1597</v>
      </c>
      <c r="D731" s="201" t="s">
        <v>1959</v>
      </c>
    </row>
    <row r="732" spans="2:4">
      <c r="B732" s="198" t="s">
        <v>302</v>
      </c>
      <c r="C732" s="154" t="s">
        <v>1576</v>
      </c>
      <c r="D732" s="201" t="s">
        <v>1956</v>
      </c>
    </row>
    <row r="733" spans="2:4">
      <c r="B733" s="198" t="s">
        <v>301</v>
      </c>
      <c r="C733" s="154" t="s">
        <v>1576</v>
      </c>
      <c r="D733" s="201" t="s">
        <v>1956</v>
      </c>
    </row>
    <row r="734" spans="2:4">
      <c r="B734" s="198" t="s">
        <v>1132</v>
      </c>
      <c r="C734" s="154" t="s">
        <v>1713</v>
      </c>
      <c r="D734" s="201" t="s">
        <v>1956</v>
      </c>
    </row>
    <row r="735" spans="2:4">
      <c r="B735" s="198" t="s">
        <v>662</v>
      </c>
      <c r="C735" s="154" t="s">
        <v>1746</v>
      </c>
      <c r="D735" s="201" t="s">
        <v>1953</v>
      </c>
    </row>
    <row r="736" spans="2:4">
      <c r="B736" s="198" t="s">
        <v>1135</v>
      </c>
      <c r="C736" s="154" t="s">
        <v>1896</v>
      </c>
      <c r="D736" s="201" t="s">
        <v>1956</v>
      </c>
    </row>
    <row r="737" spans="2:4">
      <c r="B737" s="198" t="s">
        <v>263</v>
      </c>
      <c r="C737" s="154" t="s">
        <v>1568</v>
      </c>
      <c r="D737" s="201" t="s">
        <v>1952</v>
      </c>
    </row>
    <row r="738" spans="2:4">
      <c r="B738" s="198" t="s">
        <v>917</v>
      </c>
      <c r="C738" s="154" t="s">
        <v>1713</v>
      </c>
      <c r="D738" s="201" t="s">
        <v>1956</v>
      </c>
    </row>
    <row r="739" spans="2:4">
      <c r="B739" s="198" t="s">
        <v>690</v>
      </c>
      <c r="C739" s="154" t="s">
        <v>1713</v>
      </c>
      <c r="D739" s="201" t="s">
        <v>1956</v>
      </c>
    </row>
    <row r="740" spans="2:4">
      <c r="B740" s="198" t="s">
        <v>1102</v>
      </c>
      <c r="C740" s="154" t="s">
        <v>1634</v>
      </c>
      <c r="D740" s="201" t="s">
        <v>1956</v>
      </c>
    </row>
    <row r="741" spans="2:4">
      <c r="B741" s="198" t="s">
        <v>921</v>
      </c>
      <c r="C741" s="154" t="s">
        <v>149</v>
      </c>
      <c r="D741" s="201" t="s">
        <v>1956</v>
      </c>
    </row>
    <row r="742" spans="2:4">
      <c r="B742" s="198" t="s">
        <v>933</v>
      </c>
      <c r="C742" s="154" t="s">
        <v>1838</v>
      </c>
      <c r="D742" s="201" t="s">
        <v>1955</v>
      </c>
    </row>
    <row r="743" spans="2:4">
      <c r="B743" s="198" t="s">
        <v>2614</v>
      </c>
      <c r="C743" s="154" t="s">
        <v>2985</v>
      </c>
      <c r="D743" s="201" t="s">
        <v>1956</v>
      </c>
    </row>
    <row r="744" spans="2:4">
      <c r="B744" s="198" t="s">
        <v>1183</v>
      </c>
      <c r="C744" s="154" t="s">
        <v>1910</v>
      </c>
      <c r="D744" s="201" t="s">
        <v>1956</v>
      </c>
    </row>
    <row r="745" spans="2:4">
      <c r="B745" s="198" t="s">
        <v>2494</v>
      </c>
      <c r="C745" s="154" t="s">
        <v>1595</v>
      </c>
      <c r="D745" s="201" t="s">
        <v>1956</v>
      </c>
    </row>
    <row r="746" spans="2:4">
      <c r="B746" s="198" t="s">
        <v>1013</v>
      </c>
      <c r="C746" s="154" t="s">
        <v>1864</v>
      </c>
      <c r="D746" s="201" t="s">
        <v>1956</v>
      </c>
    </row>
    <row r="747" spans="2:4">
      <c r="B747" s="198" t="s">
        <v>2419</v>
      </c>
      <c r="C747" s="154" t="s">
        <v>2397</v>
      </c>
      <c r="D747" s="201" t="s">
        <v>1956</v>
      </c>
    </row>
    <row r="748" spans="2:4">
      <c r="B748" s="198" t="s">
        <v>1000</v>
      </c>
      <c r="C748" s="154" t="s">
        <v>1856</v>
      </c>
      <c r="D748" s="201" t="s">
        <v>1955</v>
      </c>
    </row>
    <row r="749" spans="2:4">
      <c r="B749" s="198" t="s">
        <v>624</v>
      </c>
      <c r="C749" s="154" t="s">
        <v>1511</v>
      </c>
      <c r="D749" s="201" t="s">
        <v>1951</v>
      </c>
    </row>
    <row r="750" spans="2:4">
      <c r="B750" s="198" t="s">
        <v>1184</v>
      </c>
      <c r="C750" s="154" t="s">
        <v>1910</v>
      </c>
      <c r="D750" s="201" t="s">
        <v>1956</v>
      </c>
    </row>
    <row r="751" spans="2:4">
      <c r="B751" s="198" t="s">
        <v>1139</v>
      </c>
      <c r="C751" s="154" t="s">
        <v>1576</v>
      </c>
      <c r="D751" s="201" t="s">
        <v>1956</v>
      </c>
    </row>
    <row r="752" spans="2:4">
      <c r="B752" s="198" t="s">
        <v>2633</v>
      </c>
      <c r="C752" s="154" t="s">
        <v>1625</v>
      </c>
      <c r="D752" s="201" t="s">
        <v>1951</v>
      </c>
    </row>
    <row r="753" spans="2:4">
      <c r="B753" s="198" t="s">
        <v>1212</v>
      </c>
      <c r="C753" s="154" t="s">
        <v>1916</v>
      </c>
      <c r="D753" s="201" t="s">
        <v>1952</v>
      </c>
    </row>
    <row r="754" spans="2:4">
      <c r="B754" s="198" t="s">
        <v>337</v>
      </c>
      <c r="C754" s="154" t="s">
        <v>1514</v>
      </c>
      <c r="D754" s="201" t="s">
        <v>1951</v>
      </c>
    </row>
    <row r="755" spans="2:4">
      <c r="B755" s="198" t="s">
        <v>2308</v>
      </c>
      <c r="C755" s="154" t="s">
        <v>1634</v>
      </c>
      <c r="D755" s="201" t="s">
        <v>1956</v>
      </c>
    </row>
    <row r="756" spans="2:4">
      <c r="B756" s="198" t="s">
        <v>2823</v>
      </c>
      <c r="C756" s="154" t="s">
        <v>1576</v>
      </c>
      <c r="D756" s="201" t="s">
        <v>1956</v>
      </c>
    </row>
    <row r="757" spans="2:4">
      <c r="B757" s="198" t="s">
        <v>2677</v>
      </c>
      <c r="C757" s="154" t="s">
        <v>1544</v>
      </c>
      <c r="D757" s="201" t="s">
        <v>1951</v>
      </c>
    </row>
    <row r="758" spans="2:4">
      <c r="B758" s="198" t="s">
        <v>1038</v>
      </c>
      <c r="C758" s="154" t="s">
        <v>1874</v>
      </c>
      <c r="D758" s="201" t="s">
        <v>1954</v>
      </c>
    </row>
    <row r="759" spans="2:4">
      <c r="B759" s="198" t="s">
        <v>723</v>
      </c>
      <c r="C759" s="154" t="s">
        <v>1763</v>
      </c>
      <c r="D759" s="201" t="s">
        <v>1956</v>
      </c>
    </row>
    <row r="760" spans="2:4">
      <c r="B760" s="198" t="s">
        <v>1185</v>
      </c>
      <c r="C760" s="154" t="s">
        <v>1910</v>
      </c>
      <c r="D760" s="201" t="s">
        <v>1956</v>
      </c>
    </row>
    <row r="761" spans="2:4">
      <c r="B761" s="198" t="s">
        <v>2876</v>
      </c>
      <c r="C761" s="154" t="s">
        <v>1519</v>
      </c>
      <c r="D761" s="201" t="s">
        <v>1951</v>
      </c>
    </row>
    <row r="762" spans="2:4">
      <c r="B762" s="198" t="s">
        <v>1325</v>
      </c>
      <c r="C762" s="154" t="s">
        <v>149</v>
      </c>
      <c r="D762" s="201" t="s">
        <v>1956</v>
      </c>
    </row>
    <row r="763" spans="2:4">
      <c r="B763" s="198" t="s">
        <v>934</v>
      </c>
      <c r="C763" s="154" t="s">
        <v>1792</v>
      </c>
      <c r="D763" s="201" t="s">
        <v>1955</v>
      </c>
    </row>
    <row r="764" spans="2:4">
      <c r="B764" s="198" t="s">
        <v>565</v>
      </c>
      <c r="C764" s="154" t="s">
        <v>1519</v>
      </c>
      <c r="D764" s="201" t="s">
        <v>1951</v>
      </c>
    </row>
    <row r="765" spans="2:4">
      <c r="B765" s="198" t="s">
        <v>203</v>
      </c>
      <c r="C765" s="154" t="s">
        <v>1538</v>
      </c>
      <c r="D765" s="201" t="s">
        <v>1956</v>
      </c>
    </row>
    <row r="766" spans="2:4">
      <c r="B766" s="198" t="s">
        <v>204</v>
      </c>
      <c r="C766" s="154" t="s">
        <v>1538</v>
      </c>
      <c r="D766" s="201" t="s">
        <v>1956</v>
      </c>
    </row>
    <row r="767" spans="2:4">
      <c r="B767" s="198" t="s">
        <v>701</v>
      </c>
      <c r="C767" s="154" t="s">
        <v>149</v>
      </c>
      <c r="D767" s="201" t="s">
        <v>1956</v>
      </c>
    </row>
    <row r="768" spans="2:4">
      <c r="B768" s="198" t="s">
        <v>622</v>
      </c>
      <c r="C768" s="154" t="s">
        <v>1522</v>
      </c>
      <c r="D768" s="201" t="s">
        <v>1953</v>
      </c>
    </row>
    <row r="769" spans="2:4">
      <c r="B769" s="198" t="s">
        <v>454</v>
      </c>
      <c r="C769" s="154" t="s">
        <v>1668</v>
      </c>
      <c r="D769" s="201" t="s">
        <v>1952</v>
      </c>
    </row>
    <row r="770" spans="2:4">
      <c r="B770" s="198" t="s">
        <v>774</v>
      </c>
      <c r="C770" s="154" t="s">
        <v>149</v>
      </c>
      <c r="D770" s="201" t="s">
        <v>1956</v>
      </c>
    </row>
    <row r="771" spans="2:4">
      <c r="B771" s="198" t="s">
        <v>1479</v>
      </c>
      <c r="C771" s="154" t="s">
        <v>1942</v>
      </c>
      <c r="D771" s="201" t="s">
        <v>1956</v>
      </c>
    </row>
    <row r="772" spans="2:4">
      <c r="B772" s="198" t="s">
        <v>2420</v>
      </c>
      <c r="C772" s="154" t="s">
        <v>1631</v>
      </c>
      <c r="D772" s="201" t="s">
        <v>1951</v>
      </c>
    </row>
    <row r="773" spans="2:4">
      <c r="B773" s="198" t="s">
        <v>588</v>
      </c>
      <c r="C773" s="154" t="s">
        <v>150</v>
      </c>
      <c r="D773" s="201" t="s">
        <v>1951</v>
      </c>
    </row>
    <row r="774" spans="2:4">
      <c r="B774" s="198" t="s">
        <v>1004</v>
      </c>
      <c r="C774" s="154" t="s">
        <v>1569</v>
      </c>
      <c r="D774" s="201" t="s">
        <v>1959</v>
      </c>
    </row>
    <row r="775" spans="2:4">
      <c r="B775" s="198" t="s">
        <v>1027</v>
      </c>
      <c r="C775" s="154" t="s">
        <v>1622</v>
      </c>
      <c r="D775" s="201" t="s">
        <v>1954</v>
      </c>
    </row>
    <row r="776" spans="2:4">
      <c r="B776" s="198" t="s">
        <v>1002</v>
      </c>
      <c r="C776" s="154" t="s">
        <v>1857</v>
      </c>
      <c r="D776" s="201" t="s">
        <v>1956</v>
      </c>
    </row>
    <row r="777" spans="2:4">
      <c r="B777" s="198" t="s">
        <v>231</v>
      </c>
      <c r="C777" s="154" t="s">
        <v>1555</v>
      </c>
      <c r="D777" s="201" t="s">
        <v>1959</v>
      </c>
    </row>
    <row r="778" spans="2:4">
      <c r="B778" s="198" t="s">
        <v>2095</v>
      </c>
      <c r="C778" s="154" t="s">
        <v>2195</v>
      </c>
      <c r="D778" s="201" t="s">
        <v>2219</v>
      </c>
    </row>
    <row r="779" spans="2:4">
      <c r="B779" s="198" t="s">
        <v>528</v>
      </c>
      <c r="C779" s="154" t="s">
        <v>1633</v>
      </c>
      <c r="D779" s="201" t="s">
        <v>1959</v>
      </c>
    </row>
    <row r="780" spans="2:4">
      <c r="B780" s="198" t="s">
        <v>2096</v>
      </c>
      <c r="C780" s="154" t="s">
        <v>2195</v>
      </c>
      <c r="D780" s="201" t="s">
        <v>2219</v>
      </c>
    </row>
    <row r="781" spans="2:4">
      <c r="B781" s="198" t="s">
        <v>837</v>
      </c>
      <c r="C781" s="154" t="s">
        <v>149</v>
      </c>
      <c r="D781" s="201" t="s">
        <v>1956</v>
      </c>
    </row>
    <row r="782" spans="2:4">
      <c r="B782" s="198" t="s">
        <v>1117</v>
      </c>
      <c r="C782" s="154" t="s">
        <v>1541</v>
      </c>
      <c r="D782" s="201" t="s">
        <v>1955</v>
      </c>
    </row>
    <row r="783" spans="2:4">
      <c r="B783" s="198" t="s">
        <v>2382</v>
      </c>
      <c r="C783" s="154" t="s">
        <v>1942</v>
      </c>
      <c r="D783" s="201" t="s">
        <v>1956</v>
      </c>
    </row>
    <row r="784" spans="2:4">
      <c r="B784" s="198" t="s">
        <v>2495</v>
      </c>
      <c r="C784" s="154" t="s">
        <v>149</v>
      </c>
      <c r="D784" s="201" t="s">
        <v>1956</v>
      </c>
    </row>
    <row r="785" spans="2:4">
      <c r="B785" s="198" t="s">
        <v>1328</v>
      </c>
      <c r="C785" s="154" t="s">
        <v>1517</v>
      </c>
      <c r="D785" s="201" t="s">
        <v>1956</v>
      </c>
    </row>
    <row r="786" spans="2:4">
      <c r="B786" s="198" t="s">
        <v>918</v>
      </c>
      <c r="C786" s="154" t="s">
        <v>1811</v>
      </c>
      <c r="D786" s="201" t="s">
        <v>1956</v>
      </c>
    </row>
    <row r="787" spans="2:4">
      <c r="B787" s="198" t="s">
        <v>742</v>
      </c>
      <c r="C787" s="154" t="s">
        <v>1774</v>
      </c>
      <c r="D787" s="201" t="s">
        <v>1954</v>
      </c>
    </row>
    <row r="788" spans="2:4">
      <c r="B788" s="198" t="s">
        <v>1472</v>
      </c>
      <c r="C788" s="154" t="s">
        <v>149</v>
      </c>
      <c r="D788" s="201" t="s">
        <v>1956</v>
      </c>
    </row>
    <row r="789" spans="2:4">
      <c r="B789" s="198" t="s">
        <v>688</v>
      </c>
      <c r="C789" s="154" t="s">
        <v>1657</v>
      </c>
      <c r="D789" s="201" t="s">
        <v>1956</v>
      </c>
    </row>
    <row r="790" spans="2:4">
      <c r="B790" s="198" t="s">
        <v>1443</v>
      </c>
      <c r="C790" s="154" t="s">
        <v>149</v>
      </c>
      <c r="D790" s="201" t="s">
        <v>1956</v>
      </c>
    </row>
    <row r="791" spans="2:4">
      <c r="B791" s="198" t="s">
        <v>735</v>
      </c>
      <c r="C791" s="154" t="s">
        <v>1541</v>
      </c>
      <c r="D791" s="201" t="s">
        <v>1955</v>
      </c>
    </row>
    <row r="792" spans="2:4">
      <c r="B792" s="198" t="s">
        <v>891</v>
      </c>
      <c r="C792" s="154" t="s">
        <v>1820</v>
      </c>
      <c r="D792" s="201" t="s">
        <v>1953</v>
      </c>
    </row>
    <row r="793" spans="2:4">
      <c r="B793" s="198" t="s">
        <v>471</v>
      </c>
      <c r="C793" s="154" t="s">
        <v>1676</v>
      </c>
      <c r="D793" s="201" t="s">
        <v>1956</v>
      </c>
    </row>
    <row r="794" spans="2:4">
      <c r="B794" s="198" t="s">
        <v>2827</v>
      </c>
      <c r="C794" s="154" t="s">
        <v>1522</v>
      </c>
      <c r="D794" s="201" t="s">
        <v>1953</v>
      </c>
    </row>
    <row r="795" spans="2:4">
      <c r="B795" s="198" t="s">
        <v>1433</v>
      </c>
      <c r="C795" s="154" t="s">
        <v>149</v>
      </c>
      <c r="D795" s="201" t="s">
        <v>1956</v>
      </c>
    </row>
    <row r="796" spans="2:4">
      <c r="B796" s="198" t="s">
        <v>1329</v>
      </c>
      <c r="C796" s="154" t="s">
        <v>1517</v>
      </c>
      <c r="D796" s="201" t="s">
        <v>1956</v>
      </c>
    </row>
    <row r="797" spans="2:4">
      <c r="B797" s="198" t="s">
        <v>291</v>
      </c>
      <c r="C797" s="154" t="s">
        <v>1586</v>
      </c>
      <c r="D797" s="201" t="s">
        <v>1951</v>
      </c>
    </row>
    <row r="798" spans="2:4">
      <c r="B798" s="198" t="s">
        <v>2430</v>
      </c>
      <c r="C798" s="154" t="s">
        <v>3052</v>
      </c>
      <c r="D798" s="201" t="s">
        <v>1951</v>
      </c>
    </row>
    <row r="799" spans="2:4">
      <c r="B799" s="198" t="s">
        <v>482</v>
      </c>
      <c r="C799" s="154" t="s">
        <v>1683</v>
      </c>
      <c r="D799" s="201" t="s">
        <v>1951</v>
      </c>
    </row>
    <row r="800" spans="2:4">
      <c r="B800" s="198" t="s">
        <v>2586</v>
      </c>
      <c r="C800" s="154" t="s">
        <v>2909</v>
      </c>
      <c r="D800" s="201" t="s">
        <v>1956</v>
      </c>
    </row>
    <row r="801" spans="2:4">
      <c r="B801" s="198" t="s">
        <v>303</v>
      </c>
      <c r="C801" s="154" t="s">
        <v>1593</v>
      </c>
      <c r="D801" s="201" t="s">
        <v>1959</v>
      </c>
    </row>
    <row r="802" spans="2:4">
      <c r="B802" s="198" t="s">
        <v>596</v>
      </c>
      <c r="C802" s="154" t="s">
        <v>1517</v>
      </c>
      <c r="D802" s="201" t="s">
        <v>1956</v>
      </c>
    </row>
    <row r="803" spans="2:4">
      <c r="B803" s="198" t="s">
        <v>1194</v>
      </c>
      <c r="C803" s="154" t="s">
        <v>1912</v>
      </c>
      <c r="D803" s="201" t="s">
        <v>1954</v>
      </c>
    </row>
    <row r="804" spans="2:4">
      <c r="B804" s="198" t="s">
        <v>923</v>
      </c>
      <c r="C804" s="154" t="s">
        <v>1833</v>
      </c>
      <c r="D804" s="201" t="s">
        <v>1956</v>
      </c>
    </row>
    <row r="805" spans="2:4">
      <c r="B805" s="198" t="s">
        <v>1033</v>
      </c>
      <c r="C805" s="154" t="s">
        <v>1870</v>
      </c>
      <c r="D805" s="201" t="s">
        <v>1954</v>
      </c>
    </row>
    <row r="806" spans="2:4">
      <c r="B806" s="198" t="s">
        <v>562</v>
      </c>
      <c r="C806" s="154" t="s">
        <v>1511</v>
      </c>
      <c r="D806" s="201" t="s">
        <v>1951</v>
      </c>
    </row>
    <row r="807" spans="2:4">
      <c r="B807" s="198" t="s">
        <v>778</v>
      </c>
      <c r="C807" s="154" t="s">
        <v>1784</v>
      </c>
      <c r="D807" s="201" t="s">
        <v>1951</v>
      </c>
    </row>
    <row r="808" spans="2:4">
      <c r="B808" s="198" t="s">
        <v>1113</v>
      </c>
      <c r="C808" s="154" t="s">
        <v>1889</v>
      </c>
      <c r="D808" s="201" t="s">
        <v>1956</v>
      </c>
    </row>
    <row r="809" spans="2:4">
      <c r="B809" s="198" t="s">
        <v>886</v>
      </c>
      <c r="C809" s="154" t="s">
        <v>1817</v>
      </c>
      <c r="D809" s="201" t="s">
        <v>1956</v>
      </c>
    </row>
    <row r="810" spans="2:4">
      <c r="B810" s="198" t="s">
        <v>1044</v>
      </c>
      <c r="C810" s="154" t="s">
        <v>1833</v>
      </c>
      <c r="D810" s="201" t="s">
        <v>1956</v>
      </c>
    </row>
    <row r="811" spans="2:4">
      <c r="B811" s="198" t="s">
        <v>705</v>
      </c>
      <c r="C811" s="154" t="s">
        <v>1711</v>
      </c>
      <c r="D811" s="201" t="s">
        <v>1956</v>
      </c>
    </row>
    <row r="812" spans="2:4">
      <c r="B812" s="198" t="s">
        <v>776</v>
      </c>
      <c r="C812" s="154" t="s">
        <v>1783</v>
      </c>
      <c r="D812" s="201" t="s">
        <v>1955</v>
      </c>
    </row>
    <row r="813" spans="2:4">
      <c r="B813" s="198" t="s">
        <v>658</v>
      </c>
      <c r="C813" s="154" t="s">
        <v>1559</v>
      </c>
      <c r="D813" s="201" t="s">
        <v>1952</v>
      </c>
    </row>
    <row r="814" spans="2:4">
      <c r="B814" s="198" t="s">
        <v>999</v>
      </c>
      <c r="C814" s="154" t="s">
        <v>1855</v>
      </c>
      <c r="D814" s="201" t="s">
        <v>1952</v>
      </c>
    </row>
    <row r="815" spans="2:4">
      <c r="B815" s="198" t="s">
        <v>1040</v>
      </c>
      <c r="C815" s="154" t="s">
        <v>149</v>
      </c>
      <c r="D815" s="201" t="s">
        <v>1956</v>
      </c>
    </row>
    <row r="816" spans="2:4">
      <c r="B816" s="198" t="s">
        <v>347</v>
      </c>
      <c r="C816" s="154" t="s">
        <v>1614</v>
      </c>
      <c r="D816" s="201" t="s">
        <v>1951</v>
      </c>
    </row>
    <row r="817" spans="2:4">
      <c r="B817" s="198" t="s">
        <v>2364</v>
      </c>
      <c r="C817" s="154" t="s">
        <v>2155</v>
      </c>
      <c r="D817" s="201" t="s">
        <v>2218</v>
      </c>
    </row>
    <row r="818" spans="2:4">
      <c r="B818" s="198" t="s">
        <v>936</v>
      </c>
      <c r="C818" s="154" t="s">
        <v>1839</v>
      </c>
      <c r="D818" s="201" t="s">
        <v>1955</v>
      </c>
    </row>
    <row r="819" spans="2:4">
      <c r="B819" s="198" t="s">
        <v>603</v>
      </c>
      <c r="C819" s="154" t="s">
        <v>1566</v>
      </c>
      <c r="D819" s="201" t="s">
        <v>1951</v>
      </c>
    </row>
    <row r="820" spans="2:4">
      <c r="B820" s="198" t="s">
        <v>1398</v>
      </c>
      <c r="C820" s="154" t="s">
        <v>1559</v>
      </c>
      <c r="D820" s="201" t="s">
        <v>1952</v>
      </c>
    </row>
    <row r="821" spans="2:4">
      <c r="B821" s="198" t="s">
        <v>700</v>
      </c>
      <c r="C821" s="154" t="s">
        <v>152</v>
      </c>
      <c r="D821" s="201" t="s">
        <v>1952</v>
      </c>
    </row>
    <row r="822" spans="2:4">
      <c r="B822" s="198" t="s">
        <v>578</v>
      </c>
      <c r="C822" s="154" t="s">
        <v>1541</v>
      </c>
      <c r="D822" s="201" t="s">
        <v>1955</v>
      </c>
    </row>
    <row r="823" spans="2:4">
      <c r="B823" s="198" t="s">
        <v>2712</v>
      </c>
      <c r="C823" s="154" t="s">
        <v>2986</v>
      </c>
      <c r="D823" s="201" t="s">
        <v>1951</v>
      </c>
    </row>
    <row r="824" spans="2:4">
      <c r="B824" s="198" t="s">
        <v>327</v>
      </c>
      <c r="C824" s="154" t="s">
        <v>1604</v>
      </c>
      <c r="D824" s="201" t="s">
        <v>1959</v>
      </c>
    </row>
    <row r="825" spans="2:4">
      <c r="B825" s="198" t="s">
        <v>1480</v>
      </c>
      <c r="C825" s="154" t="s">
        <v>1943</v>
      </c>
      <c r="D825" s="201" t="s">
        <v>1956</v>
      </c>
    </row>
    <row r="826" spans="2:4">
      <c r="B826" s="198" t="s">
        <v>2613</v>
      </c>
      <c r="C826" s="154" t="s">
        <v>2987</v>
      </c>
      <c r="D826" s="201" t="s">
        <v>1956</v>
      </c>
    </row>
    <row r="827" spans="2:4">
      <c r="B827" s="198" t="s">
        <v>600</v>
      </c>
      <c r="C827" s="154" t="s">
        <v>1723</v>
      </c>
      <c r="D827" s="201" t="s">
        <v>1951</v>
      </c>
    </row>
    <row r="828" spans="2:4">
      <c r="B828" s="198" t="s">
        <v>2705</v>
      </c>
      <c r="C828" s="154" t="s">
        <v>2988</v>
      </c>
      <c r="D828" s="201" t="s">
        <v>1952</v>
      </c>
    </row>
    <row r="829" spans="2:4">
      <c r="B829" s="198" t="s">
        <v>623</v>
      </c>
      <c r="C829" s="154" t="s">
        <v>1731</v>
      </c>
      <c r="D829" s="201" t="s">
        <v>1953</v>
      </c>
    </row>
    <row r="830" spans="2:4">
      <c r="B830" s="198" t="s">
        <v>1166</v>
      </c>
      <c r="C830" s="154" t="s">
        <v>1855</v>
      </c>
      <c r="D830" s="201" t="s">
        <v>1952</v>
      </c>
    </row>
    <row r="831" spans="2:4">
      <c r="B831" s="198" t="s">
        <v>1003</v>
      </c>
      <c r="C831" s="154" t="s">
        <v>1858</v>
      </c>
      <c r="D831" s="201" t="s">
        <v>1955</v>
      </c>
    </row>
    <row r="832" spans="2:4">
      <c r="B832" s="198" t="s">
        <v>2623</v>
      </c>
      <c r="C832" s="154" t="s">
        <v>149</v>
      </c>
      <c r="D832" s="201" t="s">
        <v>1956</v>
      </c>
    </row>
    <row r="833" spans="2:4">
      <c r="B833" s="198" t="s">
        <v>2704</v>
      </c>
      <c r="C833" s="154" t="s">
        <v>1635</v>
      </c>
      <c r="D833" s="201" t="s">
        <v>1952</v>
      </c>
    </row>
    <row r="834" spans="2:4">
      <c r="B834" s="198" t="s">
        <v>2720</v>
      </c>
      <c r="C834" s="154" t="s">
        <v>2989</v>
      </c>
      <c r="D834" s="201" t="s">
        <v>1952</v>
      </c>
    </row>
    <row r="835" spans="2:4">
      <c r="B835" s="198" t="s">
        <v>1014</v>
      </c>
      <c r="C835" s="154" t="s">
        <v>1865</v>
      </c>
      <c r="D835" s="201" t="s">
        <v>1955</v>
      </c>
    </row>
    <row r="836" spans="2:4">
      <c r="B836" s="198" t="s">
        <v>2814</v>
      </c>
      <c r="C836" s="154" t="s">
        <v>142</v>
      </c>
      <c r="D836" s="201" t="s">
        <v>1954</v>
      </c>
    </row>
    <row r="837" spans="2:4">
      <c r="B837" s="198" t="s">
        <v>944</v>
      </c>
      <c r="C837" s="154" t="s">
        <v>1846</v>
      </c>
      <c r="D837" s="201" t="s">
        <v>1955</v>
      </c>
    </row>
    <row r="838" spans="2:4">
      <c r="B838" s="198" t="s">
        <v>2361</v>
      </c>
      <c r="C838" s="154" t="s">
        <v>2386</v>
      </c>
      <c r="D838" s="201" t="s">
        <v>1959</v>
      </c>
    </row>
    <row r="839" spans="2:4">
      <c r="B839" s="198" t="s">
        <v>1326</v>
      </c>
      <c r="C839" s="154" t="s">
        <v>149</v>
      </c>
      <c r="D839" s="201" t="s">
        <v>1956</v>
      </c>
    </row>
    <row r="840" spans="2:4">
      <c r="B840" s="198" t="s">
        <v>779</v>
      </c>
      <c r="C840" s="154" t="s">
        <v>1602</v>
      </c>
      <c r="D840" s="201" t="s">
        <v>1951</v>
      </c>
    </row>
    <row r="841" spans="2:4">
      <c r="B841" s="198" t="s">
        <v>1346</v>
      </c>
      <c r="C841" s="154" t="s">
        <v>1511</v>
      </c>
      <c r="D841" s="201" t="s">
        <v>1951</v>
      </c>
    </row>
    <row r="842" spans="2:4">
      <c r="B842" s="198" t="s">
        <v>1043</v>
      </c>
      <c r="C842" s="154" t="s">
        <v>149</v>
      </c>
      <c r="D842" s="201" t="s">
        <v>1956</v>
      </c>
    </row>
    <row r="843" spans="2:4">
      <c r="B843" s="198" t="s">
        <v>922</v>
      </c>
      <c r="C843" s="154" t="s">
        <v>1628</v>
      </c>
      <c r="D843" s="201" t="s">
        <v>1956</v>
      </c>
    </row>
    <row r="844" spans="2:4">
      <c r="B844" s="198" t="s">
        <v>887</v>
      </c>
      <c r="C844" s="154" t="s">
        <v>1818</v>
      </c>
      <c r="D844" s="201" t="s">
        <v>1956</v>
      </c>
    </row>
    <row r="845" spans="2:4">
      <c r="B845" s="198" t="s">
        <v>807</v>
      </c>
      <c r="C845" s="154" t="s">
        <v>1793</v>
      </c>
      <c r="D845" s="201" t="s">
        <v>1951</v>
      </c>
    </row>
    <row r="846" spans="2:4">
      <c r="B846" s="198" t="s">
        <v>1353</v>
      </c>
      <c r="C846" s="154" t="s">
        <v>150</v>
      </c>
      <c r="D846" s="201" t="s">
        <v>1951</v>
      </c>
    </row>
    <row r="847" spans="2:4">
      <c r="B847" s="198" t="s">
        <v>2260</v>
      </c>
      <c r="C847" s="154" t="s">
        <v>2210</v>
      </c>
      <c r="D847" s="201" t="s">
        <v>1959</v>
      </c>
    </row>
    <row r="848" spans="2:4">
      <c r="B848" s="198" t="s">
        <v>462</v>
      </c>
      <c r="C848" s="154" t="s">
        <v>1610</v>
      </c>
      <c r="D848" s="201" t="s">
        <v>1959</v>
      </c>
    </row>
    <row r="849" spans="2:4">
      <c r="B849" s="198" t="s">
        <v>1441</v>
      </c>
      <c r="C849" s="154" t="s">
        <v>1628</v>
      </c>
      <c r="D849" s="201" t="s">
        <v>1956</v>
      </c>
    </row>
    <row r="850" spans="2:4">
      <c r="B850" s="198" t="s">
        <v>925</v>
      </c>
      <c r="C850" s="154" t="s">
        <v>1835</v>
      </c>
      <c r="D850" s="201" t="s">
        <v>1955</v>
      </c>
    </row>
    <row r="851" spans="2:4">
      <c r="B851" s="198" t="s">
        <v>2575</v>
      </c>
      <c r="C851" s="154" t="s">
        <v>2906</v>
      </c>
      <c r="D851" s="201" t="s">
        <v>1958</v>
      </c>
    </row>
    <row r="852" spans="2:4">
      <c r="B852" s="198" t="s">
        <v>1169</v>
      </c>
      <c r="C852" s="154" t="s">
        <v>1534</v>
      </c>
      <c r="D852" s="201" t="s">
        <v>1959</v>
      </c>
    </row>
    <row r="853" spans="2:4">
      <c r="B853" s="198" t="s">
        <v>1169</v>
      </c>
      <c r="C853" s="154" t="s">
        <v>1905</v>
      </c>
      <c r="D853" s="201" t="s">
        <v>1952</v>
      </c>
    </row>
    <row r="854" spans="2:4">
      <c r="B854" s="198" t="s">
        <v>2356</v>
      </c>
      <c r="C854" s="154" t="s">
        <v>1905</v>
      </c>
      <c r="D854" s="201" t="s">
        <v>1952</v>
      </c>
    </row>
    <row r="855" spans="2:4">
      <c r="B855" s="198" t="s">
        <v>794</v>
      </c>
      <c r="C855" s="154" t="s">
        <v>1786</v>
      </c>
      <c r="D855" s="201" t="s">
        <v>1951</v>
      </c>
    </row>
    <row r="856" spans="2:4">
      <c r="B856" s="198" t="s">
        <v>1065</v>
      </c>
      <c r="C856" s="154" t="s">
        <v>1879</v>
      </c>
      <c r="D856" s="201" t="s">
        <v>1955</v>
      </c>
    </row>
    <row r="857" spans="2:4">
      <c r="B857" s="198" t="s">
        <v>935</v>
      </c>
      <c r="C857" s="154" t="s">
        <v>142</v>
      </c>
      <c r="D857" s="201" t="s">
        <v>1954</v>
      </c>
    </row>
    <row r="858" spans="2:4">
      <c r="B858" s="198" t="s">
        <v>1006</v>
      </c>
      <c r="C858" s="154" t="s">
        <v>1860</v>
      </c>
      <c r="D858" s="201" t="s">
        <v>1956</v>
      </c>
    </row>
    <row r="859" spans="2:4">
      <c r="B859" s="198" t="s">
        <v>754</v>
      </c>
      <c r="C859" s="154" t="s">
        <v>1777</v>
      </c>
      <c r="D859" s="201" t="s">
        <v>1956</v>
      </c>
    </row>
    <row r="860" spans="2:4">
      <c r="B860" s="198" t="s">
        <v>2791</v>
      </c>
      <c r="C860" s="154" t="s">
        <v>2990</v>
      </c>
      <c r="D860" s="201" t="s">
        <v>1956</v>
      </c>
    </row>
    <row r="861" spans="2:4">
      <c r="B861" s="198" t="s">
        <v>714</v>
      </c>
      <c r="C861" s="154" t="s">
        <v>1760</v>
      </c>
      <c r="D861" s="201" t="s">
        <v>1956</v>
      </c>
    </row>
    <row r="862" spans="2:4">
      <c r="B862" s="198" t="s">
        <v>1138</v>
      </c>
      <c r="C862" s="154" t="s">
        <v>1897</v>
      </c>
      <c r="D862" s="201" t="s">
        <v>1956</v>
      </c>
    </row>
    <row r="863" spans="2:4">
      <c r="B863" s="198" t="s">
        <v>718</v>
      </c>
      <c r="C863" s="154" t="s">
        <v>149</v>
      </c>
      <c r="D863" s="201" t="s">
        <v>1956</v>
      </c>
    </row>
    <row r="864" spans="2:4">
      <c r="B864" s="198" t="s">
        <v>2504</v>
      </c>
      <c r="C864" s="154" t="s">
        <v>142</v>
      </c>
      <c r="D864" s="201" t="s">
        <v>1954</v>
      </c>
    </row>
    <row r="865" spans="2:4">
      <c r="B865" s="198" t="s">
        <v>1324</v>
      </c>
      <c r="C865" s="154" t="s">
        <v>149</v>
      </c>
      <c r="D865" s="201" t="s">
        <v>1956</v>
      </c>
    </row>
    <row r="866" spans="2:4">
      <c r="B866" s="198" t="s">
        <v>945</v>
      </c>
      <c r="C866" s="154" t="s">
        <v>1847</v>
      </c>
      <c r="D866" s="201" t="s">
        <v>1955</v>
      </c>
    </row>
    <row r="867" spans="2:4">
      <c r="B867" s="198" t="s">
        <v>2423</v>
      </c>
      <c r="C867" s="154" t="s">
        <v>149</v>
      </c>
      <c r="D867" s="201" t="s">
        <v>1956</v>
      </c>
    </row>
    <row r="868" spans="2:4">
      <c r="B868" s="198" t="s">
        <v>209</v>
      </c>
      <c r="C868" s="154" t="s">
        <v>1539</v>
      </c>
      <c r="D868" s="201" t="s">
        <v>1956</v>
      </c>
    </row>
    <row r="869" spans="2:4">
      <c r="B869" s="198" t="s">
        <v>879</v>
      </c>
      <c r="C869" s="154" t="s">
        <v>1786</v>
      </c>
      <c r="D869" s="201" t="s">
        <v>1951</v>
      </c>
    </row>
    <row r="870" spans="2:4">
      <c r="B870" s="198" t="s">
        <v>661</v>
      </c>
      <c r="C870" s="154" t="s">
        <v>1581</v>
      </c>
      <c r="D870" s="201" t="s">
        <v>1955</v>
      </c>
    </row>
    <row r="871" spans="2:4">
      <c r="B871" s="198" t="s">
        <v>775</v>
      </c>
      <c r="C871" s="154" t="s">
        <v>1782</v>
      </c>
      <c r="D871" s="201" t="s">
        <v>1956</v>
      </c>
    </row>
    <row r="872" spans="2:4">
      <c r="B872" s="198"/>
      <c r="C872" s="154"/>
      <c r="D872" s="201"/>
    </row>
    <row r="873" spans="2:4">
      <c r="B873" s="198" t="s">
        <v>937</v>
      </c>
      <c r="C873" s="154" t="s">
        <v>1840</v>
      </c>
      <c r="D873" s="201" t="s">
        <v>1955</v>
      </c>
    </row>
    <row r="874" spans="2:4">
      <c r="B874" s="198" t="s">
        <v>2247</v>
      </c>
      <c r="C874" s="154" t="s">
        <v>2204</v>
      </c>
      <c r="D874" s="201" t="s">
        <v>2216</v>
      </c>
    </row>
    <row r="875" spans="2:4">
      <c r="B875" s="198" t="s">
        <v>339</v>
      </c>
      <c r="C875" s="154" t="s">
        <v>1610</v>
      </c>
      <c r="D875" s="201" t="s">
        <v>1959</v>
      </c>
    </row>
    <row r="876" spans="2:4">
      <c r="B876" s="198"/>
      <c r="C876" s="154"/>
      <c r="D876" s="201"/>
    </row>
    <row r="877" spans="2:4">
      <c r="B877" s="198" t="s">
        <v>938</v>
      </c>
      <c r="C877" s="154" t="s">
        <v>1841</v>
      </c>
      <c r="D877" s="201" t="s">
        <v>1955</v>
      </c>
    </row>
    <row r="878" spans="2:4">
      <c r="B878" s="198" t="s">
        <v>1015</v>
      </c>
      <c r="C878" s="154" t="s">
        <v>1760</v>
      </c>
      <c r="D878" s="201" t="s">
        <v>1956</v>
      </c>
    </row>
    <row r="879" spans="2:4">
      <c r="B879" s="198" t="s">
        <v>2418</v>
      </c>
      <c r="C879" s="154" t="s">
        <v>152</v>
      </c>
      <c r="D879" s="201" t="s">
        <v>1952</v>
      </c>
    </row>
    <row r="880" spans="2:4">
      <c r="B880" s="198" t="s">
        <v>466</v>
      </c>
      <c r="C880" s="154" t="s">
        <v>1534</v>
      </c>
      <c r="D880" s="201" t="s">
        <v>1959</v>
      </c>
    </row>
    <row r="881" spans="2:4">
      <c r="B881" s="198" t="s">
        <v>707</v>
      </c>
      <c r="C881" s="154" t="s">
        <v>142</v>
      </c>
      <c r="D881" s="201" t="s">
        <v>1954</v>
      </c>
    </row>
    <row r="882" spans="2:4">
      <c r="B882" s="198" t="s">
        <v>737</v>
      </c>
      <c r="C882" s="154" t="s">
        <v>1581</v>
      </c>
      <c r="D882" s="201" t="s">
        <v>1955</v>
      </c>
    </row>
    <row r="883" spans="2:4">
      <c r="B883" s="198" t="s">
        <v>828</v>
      </c>
      <c r="C883" s="154" t="s">
        <v>1759</v>
      </c>
      <c r="D883" s="201" t="s">
        <v>1956</v>
      </c>
    </row>
    <row r="884" spans="2:4">
      <c r="B884" s="198" t="s">
        <v>888</v>
      </c>
      <c r="C884" s="154" t="s">
        <v>149</v>
      </c>
      <c r="D884" s="201" t="s">
        <v>1956</v>
      </c>
    </row>
    <row r="885" spans="2:4">
      <c r="B885" s="198" t="s">
        <v>889</v>
      </c>
      <c r="C885" s="154" t="s">
        <v>1628</v>
      </c>
      <c r="D885" s="201" t="s">
        <v>1956</v>
      </c>
    </row>
    <row r="886" spans="2:4">
      <c r="B886" s="198" t="s">
        <v>1174</v>
      </c>
      <c r="C886" s="154" t="s">
        <v>149</v>
      </c>
      <c r="D886" s="201" t="s">
        <v>1956</v>
      </c>
    </row>
    <row r="887" spans="2:4">
      <c r="B887" s="198" t="s">
        <v>1129</v>
      </c>
      <c r="C887" s="154" t="s">
        <v>1894</v>
      </c>
      <c r="D887" s="201" t="s">
        <v>1956</v>
      </c>
    </row>
    <row r="888" spans="2:4">
      <c r="B888" s="198" t="s">
        <v>2390</v>
      </c>
      <c r="C888" s="154" t="s">
        <v>2391</v>
      </c>
      <c r="D888" s="201" t="s">
        <v>1958</v>
      </c>
    </row>
    <row r="889" spans="2:4">
      <c r="B889" s="198" t="s">
        <v>1084</v>
      </c>
      <c r="C889" s="154" t="s">
        <v>1644</v>
      </c>
      <c r="D889" s="201" t="s">
        <v>1959</v>
      </c>
    </row>
    <row r="890" spans="2:4">
      <c r="B890" s="198" t="s">
        <v>648</v>
      </c>
      <c r="C890" s="154" t="s">
        <v>1737</v>
      </c>
      <c r="D890" s="201" t="s">
        <v>1953</v>
      </c>
    </row>
    <row r="891" spans="2:4">
      <c r="B891" s="198" t="s">
        <v>892</v>
      </c>
      <c r="C891" s="154" t="s">
        <v>1655</v>
      </c>
      <c r="D891" s="201" t="s">
        <v>1954</v>
      </c>
    </row>
    <row r="892" spans="2:4">
      <c r="B892" s="198" t="s">
        <v>634</v>
      </c>
      <c r="C892" s="154" t="s">
        <v>1727</v>
      </c>
      <c r="D892" s="201" t="s">
        <v>1953</v>
      </c>
    </row>
    <row r="893" spans="2:4">
      <c r="B893" s="198" t="s">
        <v>1001</v>
      </c>
      <c r="C893" s="154" t="s">
        <v>1732</v>
      </c>
      <c r="D893" s="201" t="s">
        <v>1955</v>
      </c>
    </row>
    <row r="894" spans="2:4">
      <c r="B894" s="198" t="s">
        <v>1082</v>
      </c>
      <c r="C894" s="154" t="s">
        <v>1879</v>
      </c>
      <c r="D894" s="201" t="s">
        <v>1955</v>
      </c>
    </row>
    <row r="895" spans="2:4">
      <c r="B895" s="198" t="s">
        <v>845</v>
      </c>
      <c r="C895" s="154" t="s">
        <v>150</v>
      </c>
      <c r="D895" s="201" t="s">
        <v>1951</v>
      </c>
    </row>
    <row r="896" spans="2:4">
      <c r="B896" s="198" t="s">
        <v>687</v>
      </c>
      <c r="C896" s="154" t="s">
        <v>1534</v>
      </c>
      <c r="D896" s="201" t="s">
        <v>1959</v>
      </c>
    </row>
    <row r="897" spans="2:4">
      <c r="B897" s="198" t="s">
        <v>1034</v>
      </c>
      <c r="C897" s="154" t="s">
        <v>1871</v>
      </c>
      <c r="D897" s="201" t="s">
        <v>1956</v>
      </c>
    </row>
    <row r="898" spans="2:4">
      <c r="B898" s="198" t="s">
        <v>593</v>
      </c>
      <c r="C898" s="154" t="s">
        <v>152</v>
      </c>
      <c r="D898" s="201" t="s">
        <v>1952</v>
      </c>
    </row>
    <row r="899" spans="2:4">
      <c r="B899" s="198" t="s">
        <v>2258</v>
      </c>
      <c r="C899" s="154" t="s">
        <v>2208</v>
      </c>
      <c r="D899" s="201" t="s">
        <v>2216</v>
      </c>
    </row>
    <row r="900" spans="2:4">
      <c r="B900" s="198" t="s">
        <v>2818</v>
      </c>
      <c r="C900" s="154" t="s">
        <v>1522</v>
      </c>
      <c r="D900" s="201" t="s">
        <v>1953</v>
      </c>
    </row>
    <row r="901" spans="2:4">
      <c r="B901" s="198" t="s">
        <v>346</v>
      </c>
      <c r="C901" s="154" t="s">
        <v>1587</v>
      </c>
      <c r="D901" s="201" t="s">
        <v>1958</v>
      </c>
    </row>
    <row r="902" spans="2:4">
      <c r="B902" s="198" t="s">
        <v>342</v>
      </c>
      <c r="C902" s="154" t="s">
        <v>1587</v>
      </c>
      <c r="D902" s="201" t="s">
        <v>1958</v>
      </c>
    </row>
    <row r="903" spans="2:4">
      <c r="B903" s="198" t="s">
        <v>2292</v>
      </c>
      <c r="C903" s="154" t="s">
        <v>1587</v>
      </c>
      <c r="D903" s="201" t="s">
        <v>1958</v>
      </c>
    </row>
    <row r="904" spans="2:4">
      <c r="B904" s="198" t="s">
        <v>349</v>
      </c>
      <c r="C904" s="154" t="s">
        <v>1556</v>
      </c>
      <c r="D904" s="201" t="s">
        <v>1958</v>
      </c>
    </row>
    <row r="905" spans="2:4">
      <c r="B905" s="198" t="s">
        <v>219</v>
      </c>
      <c r="C905" s="154" t="s">
        <v>1545</v>
      </c>
      <c r="D905" s="201" t="s">
        <v>1958</v>
      </c>
    </row>
    <row r="906" spans="2:4">
      <c r="B906" s="198" t="s">
        <v>550</v>
      </c>
      <c r="C906" s="154" t="s">
        <v>1702</v>
      </c>
      <c r="D906" s="201" t="s">
        <v>1958</v>
      </c>
    </row>
    <row r="907" spans="2:4">
      <c r="B907" s="198" t="s">
        <v>228</v>
      </c>
      <c r="C907" s="154" t="s">
        <v>1554</v>
      </c>
      <c r="D907" s="201" t="s">
        <v>1958</v>
      </c>
    </row>
    <row r="908" spans="2:4">
      <c r="B908" s="198" t="s">
        <v>2290</v>
      </c>
      <c r="C908" s="154" t="s">
        <v>1641</v>
      </c>
      <c r="D908" s="201" t="s">
        <v>1958</v>
      </c>
    </row>
    <row r="909" spans="2:4">
      <c r="B909" s="198" t="s">
        <v>2291</v>
      </c>
      <c r="C909" s="154" t="s">
        <v>1944</v>
      </c>
      <c r="D909" s="201" t="s">
        <v>1958</v>
      </c>
    </row>
    <row r="910" spans="2:4">
      <c r="B910" s="198" t="s">
        <v>226</v>
      </c>
      <c r="C910" s="154" t="s">
        <v>1552</v>
      </c>
      <c r="D910" s="201" t="s">
        <v>1958</v>
      </c>
    </row>
    <row r="911" spans="2:4">
      <c r="B911" s="198" t="s">
        <v>2294</v>
      </c>
      <c r="C911" s="154" t="s">
        <v>1557</v>
      </c>
      <c r="D911" s="201" t="s">
        <v>1958</v>
      </c>
    </row>
    <row r="912" spans="2:4">
      <c r="B912" s="198" t="s">
        <v>356</v>
      </c>
      <c r="C912" s="154" t="s">
        <v>1617</v>
      </c>
      <c r="D912" s="201" t="s">
        <v>1958</v>
      </c>
    </row>
    <row r="913" spans="2:4">
      <c r="B913" s="198" t="s">
        <v>224</v>
      </c>
      <c r="C913" s="154" t="s">
        <v>1550</v>
      </c>
      <c r="D913" s="201" t="s">
        <v>1958</v>
      </c>
    </row>
    <row r="914" spans="2:4">
      <c r="B914" s="198" t="s">
        <v>734</v>
      </c>
      <c r="C914" s="154" t="s">
        <v>1772</v>
      </c>
      <c r="D914" s="201" t="s">
        <v>1958</v>
      </c>
    </row>
    <row r="915" spans="2:4">
      <c r="B915" s="198" t="s">
        <v>225</v>
      </c>
      <c r="C915" s="154" t="s">
        <v>1551</v>
      </c>
      <c r="D915" s="201" t="s">
        <v>1958</v>
      </c>
    </row>
    <row r="916" spans="2:4">
      <c r="B916" s="198" t="s">
        <v>2293</v>
      </c>
      <c r="C916" s="154" t="s">
        <v>1551</v>
      </c>
      <c r="D916" s="201" t="s">
        <v>1958</v>
      </c>
    </row>
    <row r="917" spans="2:4">
      <c r="B917" s="198" t="s">
        <v>551</v>
      </c>
      <c r="C917" s="154" t="s">
        <v>1703</v>
      </c>
      <c r="D917" s="201" t="s">
        <v>1958</v>
      </c>
    </row>
    <row r="918" spans="2:4">
      <c r="B918" s="198" t="s">
        <v>220</v>
      </c>
      <c r="C918" s="154" t="s">
        <v>1546</v>
      </c>
      <c r="D918" s="201" t="s">
        <v>1958</v>
      </c>
    </row>
    <row r="919" spans="2:4">
      <c r="B919" s="198" t="s">
        <v>221</v>
      </c>
      <c r="C919" s="154" t="s">
        <v>1547</v>
      </c>
      <c r="D919" s="201" t="s">
        <v>1958</v>
      </c>
    </row>
    <row r="920" spans="2:4">
      <c r="B920" s="198" t="s">
        <v>222</v>
      </c>
      <c r="C920" s="154" t="s">
        <v>1548</v>
      </c>
      <c r="D920" s="201" t="s">
        <v>1958</v>
      </c>
    </row>
    <row r="921" spans="2:4">
      <c r="B921" s="198" t="s">
        <v>556</v>
      </c>
      <c r="C921" s="154" t="s">
        <v>1708</v>
      </c>
      <c r="D921" s="201" t="s">
        <v>1958</v>
      </c>
    </row>
    <row r="922" spans="2:4">
      <c r="B922" s="198" t="s">
        <v>227</v>
      </c>
      <c r="C922" s="154" t="s">
        <v>1553</v>
      </c>
      <c r="D922" s="201" t="s">
        <v>1958</v>
      </c>
    </row>
    <row r="923" spans="2:4">
      <c r="B923" s="198" t="s">
        <v>223</v>
      </c>
      <c r="C923" s="154" t="s">
        <v>1549</v>
      </c>
      <c r="D923" s="201" t="s">
        <v>1958</v>
      </c>
    </row>
    <row r="924" spans="2:4">
      <c r="B924" s="198" t="s">
        <v>552</v>
      </c>
      <c r="C924" s="154" t="s">
        <v>1704</v>
      </c>
      <c r="D924" s="201" t="s">
        <v>1958</v>
      </c>
    </row>
    <row r="925" spans="2:4">
      <c r="B925" s="198" t="s">
        <v>554</v>
      </c>
      <c r="C925" s="154" t="s">
        <v>1706</v>
      </c>
      <c r="D925" s="201" t="s">
        <v>1958</v>
      </c>
    </row>
    <row r="926" spans="2:4">
      <c r="B926" s="198" t="s">
        <v>553</v>
      </c>
      <c r="C926" s="154" t="s">
        <v>1705</v>
      </c>
      <c r="D926" s="201" t="s">
        <v>1958</v>
      </c>
    </row>
    <row r="927" spans="2:4">
      <c r="B927" s="198" t="s">
        <v>789</v>
      </c>
      <c r="C927" s="154" t="s">
        <v>1787</v>
      </c>
      <c r="D927" s="201" t="s">
        <v>1958</v>
      </c>
    </row>
    <row r="928" spans="2:4">
      <c r="B928" s="198" t="s">
        <v>555</v>
      </c>
      <c r="C928" s="154" t="s">
        <v>1707</v>
      </c>
      <c r="D928" s="201" t="s">
        <v>1958</v>
      </c>
    </row>
    <row r="929" spans="2:4">
      <c r="B929" s="198" t="s">
        <v>413</v>
      </c>
      <c r="C929" s="154" t="s">
        <v>1643</v>
      </c>
      <c r="D929" s="201" t="s">
        <v>1956</v>
      </c>
    </row>
    <row r="930" spans="2:4">
      <c r="B930" s="198" t="s">
        <v>2819</v>
      </c>
      <c r="C930" s="154" t="s">
        <v>1541</v>
      </c>
      <c r="D930" s="201" t="s">
        <v>1955</v>
      </c>
    </row>
    <row r="931" spans="2:4">
      <c r="B931" s="198" t="s">
        <v>350</v>
      </c>
      <c r="C931" s="154" t="s">
        <v>1615</v>
      </c>
      <c r="D931" s="201" t="s">
        <v>1955</v>
      </c>
    </row>
    <row r="932" spans="2:4">
      <c r="B932" s="198" t="s">
        <v>2295</v>
      </c>
      <c r="C932" s="154" t="s">
        <v>150</v>
      </c>
      <c r="D932" s="201" t="s">
        <v>1951</v>
      </c>
    </row>
    <row r="933" spans="2:4">
      <c r="B933" s="198"/>
      <c r="C933" s="154"/>
      <c r="D933" s="201"/>
    </row>
    <row r="934" spans="2:4">
      <c r="B934" s="198" t="s">
        <v>404</v>
      </c>
      <c r="C934" s="154" t="s">
        <v>150</v>
      </c>
      <c r="D934" s="201" t="s">
        <v>1951</v>
      </c>
    </row>
    <row r="935" spans="2:4">
      <c r="B935" s="198" t="s">
        <v>2297</v>
      </c>
      <c r="C935" s="154" t="s">
        <v>1631</v>
      </c>
      <c r="D935" s="201" t="s">
        <v>1951</v>
      </c>
    </row>
    <row r="936" spans="2:4">
      <c r="B936" s="198" t="s">
        <v>549</v>
      </c>
      <c r="C936" s="154" t="s">
        <v>1701</v>
      </c>
      <c r="D936" s="201" t="s">
        <v>1952</v>
      </c>
    </row>
    <row r="937" spans="2:4">
      <c r="B937" s="198" t="s">
        <v>2296</v>
      </c>
      <c r="C937" s="154" t="s">
        <v>142</v>
      </c>
      <c r="D937" s="201" t="s">
        <v>1954</v>
      </c>
    </row>
    <row r="938" spans="2:4">
      <c r="B938" s="198" t="s">
        <v>1999</v>
      </c>
      <c r="C938" s="154" t="s">
        <v>2126</v>
      </c>
      <c r="D938" s="201" t="s">
        <v>2218</v>
      </c>
    </row>
    <row r="939" spans="2:4">
      <c r="B939" s="198" t="s">
        <v>1997</v>
      </c>
      <c r="C939" s="154" t="s">
        <v>2155</v>
      </c>
      <c r="D939" s="201" t="s">
        <v>2218</v>
      </c>
    </row>
    <row r="940" spans="2:4">
      <c r="B940" s="198" t="s">
        <v>852</v>
      </c>
      <c r="C940" s="154" t="s">
        <v>1806</v>
      </c>
      <c r="D940" s="201" t="s">
        <v>1954</v>
      </c>
    </row>
    <row r="941" spans="2:4">
      <c r="B941" s="198" t="s">
        <v>7473</v>
      </c>
      <c r="C941" s="154" t="s">
        <v>1644</v>
      </c>
      <c r="D941" s="201" t="s">
        <v>1959</v>
      </c>
    </row>
    <row r="942" spans="2:4">
      <c r="B942" s="198"/>
      <c r="C942" s="154"/>
      <c r="D942" s="201"/>
    </row>
    <row r="943" spans="2:4">
      <c r="B943" s="198" t="s">
        <v>2385</v>
      </c>
      <c r="C943" s="154" t="s">
        <v>142</v>
      </c>
      <c r="D943" s="201" t="s">
        <v>1954</v>
      </c>
    </row>
    <row r="944" spans="2:4">
      <c r="B944" s="198" t="s">
        <v>567</v>
      </c>
      <c r="C944" s="154" t="s">
        <v>1711</v>
      </c>
      <c r="D944" s="201" t="s">
        <v>1956</v>
      </c>
    </row>
    <row r="945" spans="2:4">
      <c r="B945" s="198" t="s">
        <v>2716</v>
      </c>
      <c r="C945" s="154" t="s">
        <v>1541</v>
      </c>
      <c r="D945" s="201" t="s">
        <v>1955</v>
      </c>
    </row>
    <row r="946" spans="2:4">
      <c r="B946" s="198" t="s">
        <v>1478</v>
      </c>
      <c r="C946" s="154" t="s">
        <v>1517</v>
      </c>
      <c r="D946" s="201" t="s">
        <v>1956</v>
      </c>
    </row>
    <row r="947" spans="2:4">
      <c r="B947" s="198" t="s">
        <v>1978</v>
      </c>
      <c r="C947" s="154" t="s">
        <v>2138</v>
      </c>
      <c r="D947" s="201" t="s">
        <v>2218</v>
      </c>
    </row>
    <row r="948" spans="2:4">
      <c r="B948" s="198" t="s">
        <v>1961</v>
      </c>
      <c r="C948" s="154" t="s">
        <v>2123</v>
      </c>
      <c r="D948" s="201" t="s">
        <v>2217</v>
      </c>
    </row>
    <row r="949" spans="2:4">
      <c r="B949" s="198" t="s">
        <v>2958</v>
      </c>
      <c r="C949" s="154" t="s">
        <v>1530</v>
      </c>
      <c r="D949" s="201" t="s">
        <v>1955</v>
      </c>
    </row>
    <row r="950" spans="2:4">
      <c r="B950" s="198" t="s">
        <v>791</v>
      </c>
      <c r="C950" s="154" t="s">
        <v>149</v>
      </c>
      <c r="D950" s="201" t="s">
        <v>1956</v>
      </c>
    </row>
    <row r="951" spans="2:4">
      <c r="B951" s="198" t="s">
        <v>2257</v>
      </c>
      <c r="C951" s="154" t="s">
        <v>2207</v>
      </c>
      <c r="D951" s="201" t="s">
        <v>2216</v>
      </c>
    </row>
    <row r="952" spans="2:4">
      <c r="B952" s="198" t="s">
        <v>1016</v>
      </c>
      <c r="C952" s="154" t="s">
        <v>1866</v>
      </c>
      <c r="D952" s="201" t="s">
        <v>1956</v>
      </c>
    </row>
    <row r="953" spans="2:4">
      <c r="B953" s="198" t="s">
        <v>2952</v>
      </c>
      <c r="C953" s="154" t="s">
        <v>1934</v>
      </c>
      <c r="D953" s="201" t="s">
        <v>1958</v>
      </c>
    </row>
    <row r="954" spans="2:4">
      <c r="B954" s="198" t="s">
        <v>1426</v>
      </c>
      <c r="C954" s="154" t="s">
        <v>1934</v>
      </c>
      <c r="D954" s="201" t="s">
        <v>1958</v>
      </c>
    </row>
    <row r="955" spans="2:4">
      <c r="B955" s="198" t="s">
        <v>400</v>
      </c>
      <c r="C955" s="154" t="s">
        <v>1619</v>
      </c>
      <c r="D955" s="201" t="s">
        <v>1959</v>
      </c>
    </row>
    <row r="956" spans="2:4">
      <c r="B956" s="198" t="s">
        <v>361</v>
      </c>
      <c r="C956" s="154" t="s">
        <v>1619</v>
      </c>
      <c r="D956" s="201" t="s">
        <v>1959</v>
      </c>
    </row>
    <row r="957" spans="2:4">
      <c r="B957" s="198" t="s">
        <v>652</v>
      </c>
      <c r="C957" s="154" t="s">
        <v>1740</v>
      </c>
      <c r="D957" s="201" t="s">
        <v>1956</v>
      </c>
    </row>
    <row r="958" spans="2:4">
      <c r="B958" s="198" t="s">
        <v>148</v>
      </c>
      <c r="C958" s="154" t="s">
        <v>142</v>
      </c>
      <c r="D958" s="201" t="s">
        <v>1954</v>
      </c>
    </row>
    <row r="959" spans="2:4">
      <c r="B959" s="198" t="s">
        <v>1439</v>
      </c>
      <c r="C959" s="154" t="s">
        <v>1625</v>
      </c>
      <c r="D959" s="201" t="s">
        <v>1951</v>
      </c>
    </row>
    <row r="960" spans="2:4">
      <c r="B960" s="198" t="s">
        <v>2522</v>
      </c>
      <c r="C960" s="154" t="s">
        <v>149</v>
      </c>
      <c r="D960" s="201" t="s">
        <v>1956</v>
      </c>
    </row>
    <row r="961" spans="2:4">
      <c r="B961" s="198" t="s">
        <v>2250</v>
      </c>
      <c r="C961" s="154" t="s">
        <v>1518</v>
      </c>
      <c r="D961" s="201" t="s">
        <v>1957</v>
      </c>
    </row>
    <row r="962" spans="2:4">
      <c r="B962" s="198" t="s">
        <v>1427</v>
      </c>
      <c r="C962" s="154" t="s">
        <v>142</v>
      </c>
      <c r="D962" s="201" t="s">
        <v>1954</v>
      </c>
    </row>
    <row r="963" spans="2:4">
      <c r="B963" s="198" t="s">
        <v>472</v>
      </c>
      <c r="C963" s="154" t="s">
        <v>1677</v>
      </c>
      <c r="D963" s="201" t="s">
        <v>1959</v>
      </c>
    </row>
    <row r="964" spans="2:4">
      <c r="B964" s="198" t="s">
        <v>1186</v>
      </c>
      <c r="C964" s="154" t="s">
        <v>1722</v>
      </c>
      <c r="D964" s="201" t="s">
        <v>1956</v>
      </c>
    </row>
    <row r="965" spans="2:4">
      <c r="B965" s="198" t="s">
        <v>1124</v>
      </c>
      <c r="C965" s="154" t="s">
        <v>1891</v>
      </c>
      <c r="D965" s="201" t="s">
        <v>1956</v>
      </c>
    </row>
    <row r="966" spans="2:4">
      <c r="B966" s="198" t="s">
        <v>795</v>
      </c>
      <c r="C966" s="154" t="s">
        <v>1508</v>
      </c>
      <c r="D966" s="201" t="s">
        <v>1951</v>
      </c>
    </row>
    <row r="967" spans="2:4">
      <c r="B967" s="198" t="s">
        <v>1083</v>
      </c>
      <c r="C967" s="154" t="s">
        <v>1523</v>
      </c>
      <c r="D967" s="201" t="s">
        <v>1955</v>
      </c>
    </row>
    <row r="968" spans="2:4">
      <c r="B968" s="198" t="s">
        <v>2737</v>
      </c>
      <c r="C968" s="154" t="s">
        <v>2925</v>
      </c>
      <c r="D968" s="201" t="s">
        <v>1953</v>
      </c>
    </row>
    <row r="969" spans="2:4">
      <c r="B969" s="198" t="s">
        <v>2869</v>
      </c>
      <c r="C969" s="154" t="s">
        <v>2406</v>
      </c>
      <c r="D969" s="201" t="s">
        <v>1953</v>
      </c>
    </row>
    <row r="970" spans="2:4">
      <c r="B970" s="198" t="s">
        <v>2777</v>
      </c>
      <c r="C970" s="154" t="s">
        <v>2991</v>
      </c>
      <c r="D970" s="201" t="s">
        <v>1953</v>
      </c>
    </row>
    <row r="971" spans="2:4">
      <c r="B971" s="198" t="s">
        <v>2665</v>
      </c>
      <c r="C971" s="154" t="s">
        <v>2966</v>
      </c>
      <c r="D971" s="201" t="s">
        <v>1953</v>
      </c>
    </row>
    <row r="972" spans="2:4">
      <c r="B972" s="198" t="s">
        <v>2664</v>
      </c>
      <c r="C972" s="154" t="s">
        <v>1612</v>
      </c>
      <c r="D972" s="201" t="s">
        <v>1953</v>
      </c>
    </row>
    <row r="973" spans="2:4">
      <c r="B973" s="198" t="s">
        <v>2688</v>
      </c>
      <c r="C973" s="154" t="s">
        <v>2992</v>
      </c>
      <c r="D973" s="201" t="s">
        <v>1953</v>
      </c>
    </row>
    <row r="974" spans="2:4">
      <c r="B974" s="198" t="s">
        <v>2839</v>
      </c>
      <c r="C974" s="154" t="s">
        <v>1522</v>
      </c>
      <c r="D974" s="201" t="s">
        <v>1953</v>
      </c>
    </row>
    <row r="975" spans="2:4">
      <c r="B975" s="198" t="s">
        <v>2755</v>
      </c>
      <c r="C975" s="154" t="s">
        <v>1522</v>
      </c>
      <c r="D975" s="201" t="s">
        <v>1953</v>
      </c>
    </row>
    <row r="976" spans="2:4">
      <c r="B976" s="198" t="s">
        <v>2646</v>
      </c>
      <c r="C976" s="154" t="s">
        <v>1522</v>
      </c>
      <c r="D976" s="201" t="s">
        <v>1953</v>
      </c>
    </row>
    <row r="977" spans="2:4">
      <c r="B977" s="198" t="s">
        <v>2638</v>
      </c>
      <c r="C977" s="154" t="s">
        <v>1522</v>
      </c>
      <c r="D977" s="201" t="s">
        <v>1953</v>
      </c>
    </row>
    <row r="978" spans="2:4">
      <c r="B978" s="198" t="s">
        <v>597</v>
      </c>
      <c r="C978" s="154" t="s">
        <v>1722</v>
      </c>
      <c r="D978" s="201" t="s">
        <v>1956</v>
      </c>
    </row>
    <row r="979" spans="2:4">
      <c r="B979" s="198" t="s">
        <v>2655</v>
      </c>
      <c r="C979" s="154" t="s">
        <v>1522</v>
      </c>
      <c r="D979" s="201" t="s">
        <v>1953</v>
      </c>
    </row>
    <row r="980" spans="2:4">
      <c r="B980" s="198" t="s">
        <v>2650</v>
      </c>
      <c r="C980" s="154" t="s">
        <v>1522</v>
      </c>
      <c r="D980" s="201" t="s">
        <v>1953</v>
      </c>
    </row>
    <row r="981" spans="2:4">
      <c r="B981" s="198" t="s">
        <v>2783</v>
      </c>
      <c r="C981" s="154" t="s">
        <v>1522</v>
      </c>
      <c r="D981" s="201" t="s">
        <v>1953</v>
      </c>
    </row>
    <row r="982" spans="2:4">
      <c r="B982" s="198" t="s">
        <v>2645</v>
      </c>
      <c r="C982" s="154" t="s">
        <v>1522</v>
      </c>
      <c r="D982" s="201" t="s">
        <v>1953</v>
      </c>
    </row>
    <row r="983" spans="2:4">
      <c r="B983" s="198" t="s">
        <v>2651</v>
      </c>
      <c r="C983" s="154" t="s">
        <v>1522</v>
      </c>
      <c r="D983" s="201" t="s">
        <v>1953</v>
      </c>
    </row>
    <row r="984" spans="2:4">
      <c r="B984" s="198" t="s">
        <v>1503</v>
      </c>
      <c r="C984" s="154" t="s">
        <v>1559</v>
      </c>
      <c r="D984" s="201" t="s">
        <v>1952</v>
      </c>
    </row>
    <row r="985" spans="2:4">
      <c r="B985" s="198" t="s">
        <v>2658</v>
      </c>
      <c r="C985" s="154" t="s">
        <v>1522</v>
      </c>
      <c r="D985" s="201" t="s">
        <v>1953</v>
      </c>
    </row>
    <row r="986" spans="2:4">
      <c r="B986" s="198" t="s">
        <v>2782</v>
      </c>
      <c r="C986" s="154" t="s">
        <v>1522</v>
      </c>
      <c r="D986" s="201" t="s">
        <v>1953</v>
      </c>
    </row>
    <row r="987" spans="2:4">
      <c r="B987" s="198" t="s">
        <v>2711</v>
      </c>
      <c r="C987" s="154" t="s">
        <v>1522</v>
      </c>
      <c r="D987" s="201" t="s">
        <v>1953</v>
      </c>
    </row>
    <row r="988" spans="2:4">
      <c r="B988" s="198" t="s">
        <v>2822</v>
      </c>
      <c r="C988" s="154" t="s">
        <v>1522</v>
      </c>
      <c r="D988" s="201" t="s">
        <v>1953</v>
      </c>
    </row>
    <row r="989" spans="2:4">
      <c r="B989" s="198" t="s">
        <v>2753</v>
      </c>
      <c r="C989" s="154" t="s">
        <v>1522</v>
      </c>
      <c r="D989" s="201" t="s">
        <v>1953</v>
      </c>
    </row>
    <row r="990" spans="2:4">
      <c r="B990" s="198" t="s">
        <v>2751</v>
      </c>
      <c r="C990" s="154" t="s">
        <v>1589</v>
      </c>
      <c r="D990" s="201" t="s">
        <v>1953</v>
      </c>
    </row>
    <row r="991" spans="2:4">
      <c r="B991" s="198" t="s">
        <v>2721</v>
      </c>
      <c r="C991" s="154" t="s">
        <v>1589</v>
      </c>
      <c r="D991" s="201" t="s">
        <v>1953</v>
      </c>
    </row>
    <row r="992" spans="2:4">
      <c r="B992" s="198" t="s">
        <v>2763</v>
      </c>
      <c r="C992" s="154" t="s">
        <v>1589</v>
      </c>
      <c r="D992" s="201" t="s">
        <v>1953</v>
      </c>
    </row>
    <row r="993" spans="2:4">
      <c r="B993" s="198" t="s">
        <v>2654</v>
      </c>
      <c r="C993" s="154" t="s">
        <v>2378</v>
      </c>
      <c r="D993" s="201" t="s">
        <v>1953</v>
      </c>
    </row>
    <row r="994" spans="2:4">
      <c r="B994" s="198" t="s">
        <v>2674</v>
      </c>
      <c r="C994" s="154" t="s">
        <v>2993</v>
      </c>
      <c r="D994" s="201" t="s">
        <v>1953</v>
      </c>
    </row>
    <row r="995" spans="2:4">
      <c r="B995" s="198" t="s">
        <v>2730</v>
      </c>
      <c r="C995" s="154" t="s">
        <v>1603</v>
      </c>
      <c r="D995" s="201" t="s">
        <v>1953</v>
      </c>
    </row>
    <row r="996" spans="2:4">
      <c r="B996" s="198" t="s">
        <v>2647</v>
      </c>
      <c r="C996" s="154" t="s">
        <v>1813</v>
      </c>
      <c r="D996" s="201" t="s">
        <v>1953</v>
      </c>
    </row>
    <row r="997" spans="2:4">
      <c r="B997" s="198" t="s">
        <v>2874</v>
      </c>
      <c r="C997" s="154" t="s">
        <v>2994</v>
      </c>
      <c r="D997" s="201" t="s">
        <v>1956</v>
      </c>
    </row>
    <row r="998" spans="2:4">
      <c r="B998" s="198" t="s">
        <v>2754</v>
      </c>
      <c r="C998" s="154" t="s">
        <v>1699</v>
      </c>
      <c r="D998" s="201" t="s">
        <v>1956</v>
      </c>
    </row>
    <row r="999" spans="2:4">
      <c r="B999" s="198" t="s">
        <v>2758</v>
      </c>
      <c r="C999" s="154" t="s">
        <v>1805</v>
      </c>
      <c r="D999" s="201" t="s">
        <v>1956</v>
      </c>
    </row>
    <row r="1000" spans="2:4">
      <c r="B1000" s="198" t="s">
        <v>2605</v>
      </c>
      <c r="C1000" s="154" t="s">
        <v>2995</v>
      </c>
      <c r="D1000" s="201" t="s">
        <v>1956</v>
      </c>
    </row>
    <row r="1001" spans="2:4">
      <c r="B1001" s="198" t="s">
        <v>2542</v>
      </c>
      <c r="C1001" s="154" t="s">
        <v>2996</v>
      </c>
      <c r="D1001" s="201" t="s">
        <v>1956</v>
      </c>
    </row>
    <row r="1002" spans="2:4">
      <c r="B1002" s="198" t="s">
        <v>2756</v>
      </c>
      <c r="C1002" s="154" t="s">
        <v>2997</v>
      </c>
      <c r="D1002" s="201" t="s">
        <v>1956</v>
      </c>
    </row>
    <row r="1003" spans="2:4">
      <c r="B1003" s="198" t="s">
        <v>2668</v>
      </c>
      <c r="C1003" s="154" t="s">
        <v>1817</v>
      </c>
      <c r="D1003" s="201" t="s">
        <v>1956</v>
      </c>
    </row>
    <row r="1004" spans="2:4">
      <c r="B1004" s="198" t="s">
        <v>2693</v>
      </c>
      <c r="C1004" s="154" t="s">
        <v>1817</v>
      </c>
      <c r="D1004" s="201" t="s">
        <v>1956</v>
      </c>
    </row>
    <row r="1005" spans="2:4">
      <c r="B1005" s="198" t="s">
        <v>2434</v>
      </c>
      <c r="C1005" s="154" t="s">
        <v>2998</v>
      </c>
      <c r="D1005" s="201" t="s">
        <v>1956</v>
      </c>
    </row>
    <row r="1006" spans="2:4">
      <c r="B1006" s="198" t="s">
        <v>2698</v>
      </c>
      <c r="C1006" s="154" t="s">
        <v>2999</v>
      </c>
      <c r="D1006" s="201" t="s">
        <v>1956</v>
      </c>
    </row>
    <row r="1007" spans="2:4">
      <c r="B1007" s="198" t="s">
        <v>2624</v>
      </c>
      <c r="C1007" s="154" t="s">
        <v>3000</v>
      </c>
      <c r="D1007" s="201" t="s">
        <v>1956</v>
      </c>
    </row>
    <row r="1008" spans="2:4">
      <c r="B1008" s="198" t="s">
        <v>2628</v>
      </c>
      <c r="C1008" s="154" t="s">
        <v>1595</v>
      </c>
      <c r="D1008" s="201" t="s">
        <v>1956</v>
      </c>
    </row>
    <row r="1009" spans="2:4">
      <c r="B1009" s="198" t="s">
        <v>1187</v>
      </c>
      <c r="C1009" s="154" t="s">
        <v>1722</v>
      </c>
      <c r="D1009" s="201" t="s">
        <v>1956</v>
      </c>
    </row>
    <row r="1010" spans="2:4">
      <c r="B1010" s="198" t="s">
        <v>2796</v>
      </c>
      <c r="C1010" s="154" t="s">
        <v>1595</v>
      </c>
      <c r="D1010" s="201" t="s">
        <v>1956</v>
      </c>
    </row>
    <row r="1011" spans="2:4">
      <c r="B1011" s="198" t="s">
        <v>2630</v>
      </c>
      <c r="C1011" s="154" t="s">
        <v>1595</v>
      </c>
      <c r="D1011" s="201" t="s">
        <v>1956</v>
      </c>
    </row>
    <row r="1012" spans="2:4">
      <c r="B1012" s="198" t="s">
        <v>2762</v>
      </c>
      <c r="C1012" s="154" t="s">
        <v>149</v>
      </c>
      <c r="D1012" s="201" t="s">
        <v>1956</v>
      </c>
    </row>
    <row r="1013" spans="2:4">
      <c r="B1013" s="198" t="s">
        <v>2709</v>
      </c>
      <c r="C1013" s="154" t="s">
        <v>149</v>
      </c>
      <c r="D1013" s="201" t="s">
        <v>1956</v>
      </c>
    </row>
    <row r="1014" spans="2:4">
      <c r="B1014" s="198" t="s">
        <v>2710</v>
      </c>
      <c r="C1014" s="154" t="s">
        <v>149</v>
      </c>
      <c r="D1014" s="201" t="s">
        <v>1956</v>
      </c>
    </row>
    <row r="1015" spans="2:4">
      <c r="B1015" s="198" t="s">
        <v>2659</v>
      </c>
      <c r="C1015" s="154" t="s">
        <v>149</v>
      </c>
      <c r="D1015" s="201" t="s">
        <v>1956</v>
      </c>
    </row>
    <row r="1016" spans="2:4">
      <c r="B1016" s="198" t="s">
        <v>2690</v>
      </c>
      <c r="C1016" s="154" t="s">
        <v>149</v>
      </c>
      <c r="D1016" s="201" t="s">
        <v>1956</v>
      </c>
    </row>
    <row r="1017" spans="2:4">
      <c r="B1017" s="198" t="s">
        <v>2821</v>
      </c>
      <c r="C1017" s="154" t="s">
        <v>149</v>
      </c>
      <c r="D1017" s="201" t="s">
        <v>1956</v>
      </c>
    </row>
    <row r="1018" spans="2:4">
      <c r="B1018" s="198" t="s">
        <v>1504</v>
      </c>
      <c r="C1018" s="154" t="s">
        <v>149</v>
      </c>
      <c r="D1018" s="201" t="s">
        <v>1956</v>
      </c>
    </row>
    <row r="1019" spans="2:4">
      <c r="B1019" s="198" t="s">
        <v>1502</v>
      </c>
      <c r="C1019" s="154" t="s">
        <v>149</v>
      </c>
      <c r="D1019" s="201" t="s">
        <v>1956</v>
      </c>
    </row>
    <row r="1020" spans="2:4">
      <c r="B1020" s="198" t="s">
        <v>2792</v>
      </c>
      <c r="C1020" s="154" t="s">
        <v>149</v>
      </c>
      <c r="D1020" s="201" t="s">
        <v>1956</v>
      </c>
    </row>
    <row r="1021" spans="2:4">
      <c r="B1021" s="198" t="s">
        <v>2662</v>
      </c>
      <c r="C1021" s="154" t="s">
        <v>149</v>
      </c>
      <c r="D1021" s="201" t="s">
        <v>1956</v>
      </c>
    </row>
    <row r="1022" spans="2:4">
      <c r="B1022" s="198" t="s">
        <v>2806</v>
      </c>
      <c r="C1022" s="154" t="s">
        <v>149</v>
      </c>
      <c r="D1022" s="201" t="s">
        <v>1956</v>
      </c>
    </row>
    <row r="1023" spans="2:4">
      <c r="B1023" s="198" t="s">
        <v>2691</v>
      </c>
      <c r="C1023" s="154" t="s">
        <v>149</v>
      </c>
      <c r="D1023" s="201" t="s">
        <v>1956</v>
      </c>
    </row>
    <row r="1024" spans="2:4">
      <c r="B1024" s="198" t="s">
        <v>2547</v>
      </c>
      <c r="C1024" s="154" t="s">
        <v>149</v>
      </c>
      <c r="D1024" s="201" t="s">
        <v>1956</v>
      </c>
    </row>
    <row r="1025" spans="2:4">
      <c r="B1025" s="198" t="s">
        <v>857</v>
      </c>
      <c r="C1025" s="154" t="s">
        <v>1808</v>
      </c>
      <c r="D1025" s="201" t="s">
        <v>1953</v>
      </c>
    </row>
    <row r="1026" spans="2:4">
      <c r="B1026" s="198" t="s">
        <v>2666</v>
      </c>
      <c r="C1026" s="154" t="s">
        <v>149</v>
      </c>
      <c r="D1026" s="201" t="s">
        <v>1956</v>
      </c>
    </row>
    <row r="1027" spans="2:4">
      <c r="B1027" s="198" t="s">
        <v>2692</v>
      </c>
      <c r="C1027" s="154" t="s">
        <v>149</v>
      </c>
      <c r="D1027" s="201" t="s">
        <v>1956</v>
      </c>
    </row>
    <row r="1028" spans="2:4">
      <c r="B1028" s="198" t="s">
        <v>2770</v>
      </c>
      <c r="C1028" s="154" t="s">
        <v>149</v>
      </c>
      <c r="D1028" s="201" t="s">
        <v>1956</v>
      </c>
    </row>
    <row r="1029" spans="2:4">
      <c r="B1029" s="198" t="s">
        <v>2694</v>
      </c>
      <c r="C1029" s="154" t="s">
        <v>149</v>
      </c>
      <c r="D1029" s="201" t="s">
        <v>1956</v>
      </c>
    </row>
    <row r="1030" spans="2:4">
      <c r="B1030" s="198" t="s">
        <v>2510</v>
      </c>
      <c r="C1030" s="154" t="s">
        <v>149</v>
      </c>
      <c r="D1030" s="201" t="s">
        <v>1956</v>
      </c>
    </row>
    <row r="1031" spans="2:4">
      <c r="B1031" s="198" t="s">
        <v>2725</v>
      </c>
      <c r="C1031" s="154" t="s">
        <v>3001</v>
      </c>
      <c r="D1031" s="201" t="s">
        <v>1956</v>
      </c>
    </row>
    <row r="1032" spans="2:4">
      <c r="B1032" s="198" t="s">
        <v>2657</v>
      </c>
      <c r="C1032" s="154" t="s">
        <v>3002</v>
      </c>
      <c r="D1032" s="201" t="s">
        <v>1956</v>
      </c>
    </row>
    <row r="1033" spans="2:4">
      <c r="B1033" s="198" t="s">
        <v>2672</v>
      </c>
      <c r="C1033" s="154" t="s">
        <v>3003</v>
      </c>
      <c r="D1033" s="201" t="s">
        <v>1956</v>
      </c>
    </row>
    <row r="1034" spans="2:4">
      <c r="B1034" s="198" t="s">
        <v>2587</v>
      </c>
      <c r="C1034" s="154" t="s">
        <v>2910</v>
      </c>
      <c r="D1034" s="201" t="s">
        <v>1956</v>
      </c>
    </row>
    <row r="1035" spans="2:4">
      <c r="B1035" s="198" t="s">
        <v>2771</v>
      </c>
      <c r="C1035" s="154" t="s">
        <v>2930</v>
      </c>
      <c r="D1035" s="201" t="s">
        <v>1956</v>
      </c>
    </row>
    <row r="1036" spans="2:4">
      <c r="B1036" s="198" t="s">
        <v>2396</v>
      </c>
      <c r="C1036" s="154" t="s">
        <v>2397</v>
      </c>
      <c r="D1036" s="201" t="s">
        <v>1956</v>
      </c>
    </row>
    <row r="1037" spans="2:4">
      <c r="B1037" s="198" t="s">
        <v>2529</v>
      </c>
      <c r="C1037" s="154" t="s">
        <v>2899</v>
      </c>
      <c r="D1037" s="201" t="s">
        <v>1956</v>
      </c>
    </row>
    <row r="1038" spans="2:4">
      <c r="B1038" s="198" t="s">
        <v>2400</v>
      </c>
      <c r="C1038" s="154" t="s">
        <v>1517</v>
      </c>
      <c r="D1038" s="201" t="s">
        <v>1956</v>
      </c>
    </row>
    <row r="1039" spans="2:4">
      <c r="B1039" s="198" t="s">
        <v>2571</v>
      </c>
      <c r="C1039" s="154" t="s">
        <v>1517</v>
      </c>
      <c r="D1039" s="201" t="s">
        <v>1956</v>
      </c>
    </row>
    <row r="1040" spans="2:4">
      <c r="B1040" s="198" t="s">
        <v>2807</v>
      </c>
      <c r="C1040" s="154" t="s">
        <v>1517</v>
      </c>
      <c r="D1040" s="201" t="s">
        <v>1956</v>
      </c>
    </row>
    <row r="1041" spans="2:4">
      <c r="B1041" s="198" t="s">
        <v>2678</v>
      </c>
      <c r="C1041" s="154" t="s">
        <v>1628</v>
      </c>
      <c r="D1041" s="201" t="s">
        <v>1956</v>
      </c>
    </row>
    <row r="1042" spans="2:4">
      <c r="B1042" s="198" t="s">
        <v>2736</v>
      </c>
      <c r="C1042" s="154" t="s">
        <v>1628</v>
      </c>
      <c r="D1042" s="201" t="s">
        <v>1956</v>
      </c>
    </row>
    <row r="1043" spans="2:4">
      <c r="B1043" s="198" t="s">
        <v>2543</v>
      </c>
      <c r="C1043" s="154" t="s">
        <v>1782</v>
      </c>
      <c r="D1043" s="201" t="s">
        <v>1956</v>
      </c>
    </row>
    <row r="1044" spans="2:4">
      <c r="B1044" s="198" t="s">
        <v>2774</v>
      </c>
      <c r="C1044" s="154" t="s">
        <v>1830</v>
      </c>
      <c r="D1044" s="201" t="s">
        <v>1956</v>
      </c>
    </row>
    <row r="1045" spans="2:4">
      <c r="B1045" s="198" t="s">
        <v>2797</v>
      </c>
      <c r="C1045" s="154" t="s">
        <v>1830</v>
      </c>
      <c r="D1045" s="201" t="s">
        <v>1956</v>
      </c>
    </row>
    <row r="1046" spans="2:4">
      <c r="B1046" s="198" t="s">
        <v>2684</v>
      </c>
      <c r="C1046" s="154" t="s">
        <v>1894</v>
      </c>
      <c r="D1046" s="201" t="s">
        <v>1956</v>
      </c>
    </row>
    <row r="1047" spans="2:4">
      <c r="B1047" s="198" t="s">
        <v>2697</v>
      </c>
      <c r="C1047" s="154" t="s">
        <v>3004</v>
      </c>
      <c r="D1047" s="201" t="s">
        <v>1956</v>
      </c>
    </row>
    <row r="1048" spans="2:4">
      <c r="B1048" s="198" t="s">
        <v>2588</v>
      </c>
      <c r="C1048" s="154" t="s">
        <v>3005</v>
      </c>
      <c r="D1048" s="201" t="s">
        <v>1956</v>
      </c>
    </row>
    <row r="1049" spans="2:4">
      <c r="B1049" s="198" t="s">
        <v>2824</v>
      </c>
      <c r="C1049" s="154" t="s">
        <v>3006</v>
      </c>
      <c r="D1049" s="201" t="s">
        <v>1956</v>
      </c>
    </row>
    <row r="1050" spans="2:4">
      <c r="B1050" s="198" t="s">
        <v>2629</v>
      </c>
      <c r="C1050" s="154" t="s">
        <v>3007</v>
      </c>
      <c r="D1050" s="201" t="s">
        <v>1956</v>
      </c>
    </row>
    <row r="1051" spans="2:4">
      <c r="B1051" s="198" t="s">
        <v>2695</v>
      </c>
      <c r="C1051" s="154" t="s">
        <v>1654</v>
      </c>
      <c r="D1051" s="201" t="s">
        <v>1956</v>
      </c>
    </row>
    <row r="1052" spans="2:4">
      <c r="B1052" s="198" t="s">
        <v>2310</v>
      </c>
      <c r="C1052" s="154" t="s">
        <v>152</v>
      </c>
      <c r="D1052" s="201" t="s">
        <v>1952</v>
      </c>
    </row>
    <row r="1053" spans="2:4">
      <c r="B1053" s="198" t="s">
        <v>939</v>
      </c>
      <c r="C1053" s="154" t="s">
        <v>1842</v>
      </c>
      <c r="D1053" s="201" t="s">
        <v>1955</v>
      </c>
    </row>
    <row r="1054" spans="2:4">
      <c r="B1054" s="198" t="s">
        <v>2722</v>
      </c>
      <c r="C1054" s="154" t="s">
        <v>1693</v>
      </c>
      <c r="D1054" s="201" t="s">
        <v>1955</v>
      </c>
    </row>
    <row r="1055" spans="2:4">
      <c r="B1055" s="198" t="s">
        <v>2773</v>
      </c>
      <c r="C1055" s="154" t="s">
        <v>3008</v>
      </c>
      <c r="D1055" s="201" t="s">
        <v>1955</v>
      </c>
    </row>
    <row r="1056" spans="2:4">
      <c r="B1056" s="198" t="s">
        <v>2700</v>
      </c>
      <c r="C1056" s="154" t="s">
        <v>3009</v>
      </c>
      <c r="D1056" s="201" t="s">
        <v>2887</v>
      </c>
    </row>
    <row r="1057" spans="2:4">
      <c r="B1057" s="198" t="s">
        <v>1069</v>
      </c>
      <c r="C1057" s="154" t="s">
        <v>150</v>
      </c>
      <c r="D1057" s="201" t="s">
        <v>1951</v>
      </c>
    </row>
    <row r="1058" spans="2:4">
      <c r="B1058" s="198" t="s">
        <v>2717</v>
      </c>
      <c r="C1058" s="154" t="s">
        <v>1581</v>
      </c>
      <c r="D1058" s="201" t="s">
        <v>1955</v>
      </c>
    </row>
    <row r="1059" spans="2:4">
      <c r="B1059" s="198" t="s">
        <v>2610</v>
      </c>
      <c r="C1059" s="154" t="s">
        <v>1581</v>
      </c>
      <c r="D1059" s="201" t="s">
        <v>1955</v>
      </c>
    </row>
    <row r="1060" spans="2:4">
      <c r="B1060" s="198" t="s">
        <v>2715</v>
      </c>
      <c r="C1060" s="154" t="s">
        <v>1581</v>
      </c>
      <c r="D1060" s="201" t="s">
        <v>1955</v>
      </c>
    </row>
    <row r="1061" spans="2:4">
      <c r="B1061" s="198" t="s">
        <v>2687</v>
      </c>
      <c r="C1061" s="154" t="s">
        <v>1615</v>
      </c>
      <c r="D1061" s="201" t="s">
        <v>1955</v>
      </c>
    </row>
    <row r="1062" spans="2:4">
      <c r="B1062" s="198" t="s">
        <v>2803</v>
      </c>
      <c r="C1062" s="154" t="s">
        <v>1581</v>
      </c>
      <c r="D1062" s="201" t="s">
        <v>1955</v>
      </c>
    </row>
    <row r="1063" spans="2:4">
      <c r="B1063" s="198" t="s">
        <v>631</v>
      </c>
      <c r="C1063" s="154" t="s">
        <v>1733</v>
      </c>
      <c r="D1063" s="201" t="s">
        <v>1953</v>
      </c>
    </row>
    <row r="1064" spans="2:4">
      <c r="B1064" s="198" t="s">
        <v>2749</v>
      </c>
      <c r="C1064" s="154" t="s">
        <v>1581</v>
      </c>
      <c r="D1064" s="201" t="s">
        <v>1955</v>
      </c>
    </row>
    <row r="1065" spans="2:4">
      <c r="B1065" s="198" t="s">
        <v>2804</v>
      </c>
      <c r="C1065" s="154" t="s">
        <v>1581</v>
      </c>
      <c r="D1065" s="201" t="s">
        <v>1955</v>
      </c>
    </row>
    <row r="1066" spans="2:4">
      <c r="B1066" s="198" t="s">
        <v>2723</v>
      </c>
      <c r="C1066" s="154" t="s">
        <v>1581</v>
      </c>
      <c r="D1066" s="201" t="s">
        <v>1955</v>
      </c>
    </row>
    <row r="1067" spans="2:4">
      <c r="B1067" s="198" t="s">
        <v>2635</v>
      </c>
      <c r="C1067" s="154" t="s">
        <v>1581</v>
      </c>
      <c r="D1067" s="201" t="s">
        <v>1955</v>
      </c>
    </row>
    <row r="1068" spans="2:4">
      <c r="B1068" s="198" t="s">
        <v>2706</v>
      </c>
      <c r="C1068" s="154" t="s">
        <v>3010</v>
      </c>
      <c r="D1068" s="201" t="s">
        <v>1955</v>
      </c>
    </row>
    <row r="1069" spans="2:4">
      <c r="B1069" s="198" t="s">
        <v>2660</v>
      </c>
      <c r="C1069" s="154" t="s">
        <v>3011</v>
      </c>
      <c r="D1069" s="201" t="s">
        <v>1955</v>
      </c>
    </row>
    <row r="1070" spans="2:4">
      <c r="B1070" s="198" t="s">
        <v>2548</v>
      </c>
      <c r="C1070" s="154" t="s">
        <v>3012</v>
      </c>
      <c r="D1070" s="201" t="s">
        <v>1955</v>
      </c>
    </row>
    <row r="1071" spans="2:4">
      <c r="B1071" s="198" t="s">
        <v>1490</v>
      </c>
      <c r="C1071" s="154" t="s">
        <v>1541</v>
      </c>
      <c r="D1071" s="201" t="s">
        <v>1955</v>
      </c>
    </row>
    <row r="1072" spans="2:4">
      <c r="B1072" s="198" t="s">
        <v>2284</v>
      </c>
      <c r="C1072" s="154" t="s">
        <v>1541</v>
      </c>
      <c r="D1072" s="201" t="s">
        <v>1955</v>
      </c>
    </row>
    <row r="1073" spans="2:4">
      <c r="B1073" s="198" t="s">
        <v>1493</v>
      </c>
      <c r="C1073" s="154" t="s">
        <v>1541</v>
      </c>
      <c r="D1073" s="201" t="s">
        <v>1955</v>
      </c>
    </row>
    <row r="1074" spans="2:4">
      <c r="B1074" s="198" t="s">
        <v>1489</v>
      </c>
      <c r="C1074" s="154" t="s">
        <v>1541</v>
      </c>
      <c r="D1074" s="201" t="s">
        <v>1955</v>
      </c>
    </row>
    <row r="1075" spans="2:4">
      <c r="B1075" s="198" t="s">
        <v>2653</v>
      </c>
      <c r="C1075" s="154" t="s">
        <v>1841</v>
      </c>
      <c r="D1075" s="201" t="s">
        <v>1955</v>
      </c>
    </row>
    <row r="1076" spans="2:4">
      <c r="B1076" s="198" t="s">
        <v>2707</v>
      </c>
      <c r="C1076" s="154" t="s">
        <v>3013</v>
      </c>
      <c r="D1076" s="201" t="s">
        <v>1955</v>
      </c>
    </row>
    <row r="1077" spans="2:4">
      <c r="B1077" s="198" t="s">
        <v>1444</v>
      </c>
      <c r="C1077" s="154" t="s">
        <v>1734</v>
      </c>
      <c r="D1077" s="201" t="s">
        <v>1955</v>
      </c>
    </row>
    <row r="1078" spans="2:4">
      <c r="B1078" s="198" t="s">
        <v>2742</v>
      </c>
      <c r="C1078" s="154" t="s">
        <v>1615</v>
      </c>
      <c r="D1078" s="201" t="s">
        <v>1955</v>
      </c>
    </row>
    <row r="1079" spans="2:4">
      <c r="B1079" s="198" t="s">
        <v>780</v>
      </c>
      <c r="C1079" s="154" t="s">
        <v>1559</v>
      </c>
      <c r="D1079" s="201" t="s">
        <v>1952</v>
      </c>
    </row>
    <row r="1080" spans="2:4">
      <c r="B1080" s="198" t="s">
        <v>2728</v>
      </c>
      <c r="C1080" s="154" t="s">
        <v>3014</v>
      </c>
      <c r="D1080" s="201" t="s">
        <v>1955</v>
      </c>
    </row>
    <row r="1081" spans="2:4">
      <c r="B1081" s="198" t="s">
        <v>2727</v>
      </c>
      <c r="C1081" s="154" t="s">
        <v>3015</v>
      </c>
      <c r="D1081" s="201" t="s">
        <v>1955</v>
      </c>
    </row>
    <row r="1082" spans="2:4">
      <c r="B1082" s="198" t="s">
        <v>2718</v>
      </c>
      <c r="C1082" s="154" t="s">
        <v>1566</v>
      </c>
      <c r="D1082" s="201" t="s">
        <v>1951</v>
      </c>
    </row>
    <row r="1083" spans="2:4">
      <c r="B1083" s="198" t="s">
        <v>2719</v>
      </c>
      <c r="C1083" s="154" t="s">
        <v>1544</v>
      </c>
      <c r="D1083" s="201" t="s">
        <v>1951</v>
      </c>
    </row>
    <row r="1084" spans="2:4">
      <c r="B1084" s="198" t="s">
        <v>2733</v>
      </c>
      <c r="C1084" s="154" t="s">
        <v>1544</v>
      </c>
      <c r="D1084" s="201" t="s">
        <v>1951</v>
      </c>
    </row>
    <row r="1085" spans="2:4">
      <c r="B1085" s="198" t="s">
        <v>2738</v>
      </c>
      <c r="C1085" s="154" t="s">
        <v>150</v>
      </c>
      <c r="D1085" s="201" t="s">
        <v>1951</v>
      </c>
    </row>
    <row r="1086" spans="2:4">
      <c r="B1086" s="198" t="s">
        <v>2739</v>
      </c>
      <c r="C1086" s="154" t="s">
        <v>1544</v>
      </c>
      <c r="D1086" s="201" t="s">
        <v>1951</v>
      </c>
    </row>
    <row r="1087" spans="2:4">
      <c r="B1087" s="198" t="s">
        <v>2606</v>
      </c>
      <c r="C1087" s="154" t="s">
        <v>1665</v>
      </c>
      <c r="D1087" s="201" t="s">
        <v>1951</v>
      </c>
    </row>
    <row r="1088" spans="2:4">
      <c r="B1088" s="198" t="s">
        <v>2625</v>
      </c>
      <c r="C1088" s="154" t="s">
        <v>150</v>
      </c>
      <c r="D1088" s="201" t="s">
        <v>1951</v>
      </c>
    </row>
    <row r="1089" spans="2:4">
      <c r="B1089" s="198" t="s">
        <v>2726</v>
      </c>
      <c r="C1089" s="154" t="s">
        <v>2923</v>
      </c>
      <c r="D1089" s="201" t="s">
        <v>1951</v>
      </c>
    </row>
    <row r="1090" spans="2:4">
      <c r="B1090" s="198" t="s">
        <v>2790</v>
      </c>
      <c r="C1090" s="154" t="s">
        <v>1660</v>
      </c>
      <c r="D1090" s="201" t="s">
        <v>1951</v>
      </c>
    </row>
    <row r="1091" spans="2:4">
      <c r="B1091" s="198" t="s">
        <v>2834</v>
      </c>
      <c r="C1091" s="154" t="s">
        <v>1660</v>
      </c>
      <c r="D1091" s="201" t="s">
        <v>1951</v>
      </c>
    </row>
    <row r="1092" spans="2:4">
      <c r="B1092" s="198" t="s">
        <v>1392</v>
      </c>
      <c r="C1092" s="154" t="s">
        <v>1521</v>
      </c>
      <c r="D1092" s="201" t="s">
        <v>1951</v>
      </c>
    </row>
    <row r="1093" spans="2:4">
      <c r="B1093" s="198" t="s">
        <v>2685</v>
      </c>
      <c r="C1093" s="154" t="s">
        <v>1519</v>
      </c>
      <c r="D1093" s="201" t="s">
        <v>1951</v>
      </c>
    </row>
    <row r="1094" spans="2:4">
      <c r="B1094" s="198" t="s">
        <v>2676</v>
      </c>
      <c r="C1094" s="154" t="s">
        <v>150</v>
      </c>
      <c r="D1094" s="201" t="s">
        <v>1951</v>
      </c>
    </row>
    <row r="1095" spans="2:4">
      <c r="B1095" s="198" t="s">
        <v>2640</v>
      </c>
      <c r="C1095" s="154" t="s">
        <v>1521</v>
      </c>
      <c r="D1095" s="201" t="s">
        <v>1951</v>
      </c>
    </row>
    <row r="1096" spans="2:4">
      <c r="B1096" s="198" t="s">
        <v>2779</v>
      </c>
      <c r="C1096" s="154" t="s">
        <v>1521</v>
      </c>
      <c r="D1096" s="201" t="s">
        <v>1951</v>
      </c>
    </row>
    <row r="1097" spans="2:4">
      <c r="B1097" s="198" t="s">
        <v>2656</v>
      </c>
      <c r="C1097" s="154" t="s">
        <v>1845</v>
      </c>
      <c r="D1097" s="201" t="s">
        <v>1951</v>
      </c>
    </row>
    <row r="1098" spans="2:4">
      <c r="B1098" s="198" t="s">
        <v>2775</v>
      </c>
      <c r="C1098" s="154" t="s">
        <v>153</v>
      </c>
      <c r="D1098" s="201" t="s">
        <v>1951</v>
      </c>
    </row>
    <row r="1099" spans="2:4">
      <c r="B1099" s="198" t="s">
        <v>2637</v>
      </c>
      <c r="C1099" s="154" t="s">
        <v>150</v>
      </c>
      <c r="D1099" s="201" t="s">
        <v>1951</v>
      </c>
    </row>
    <row r="1100" spans="2:4">
      <c r="B1100" s="198" t="s">
        <v>2788</v>
      </c>
      <c r="C1100" s="154" t="s">
        <v>153</v>
      </c>
      <c r="D1100" s="201" t="s">
        <v>1951</v>
      </c>
    </row>
    <row r="1101" spans="2:4">
      <c r="B1101" s="198" t="s">
        <v>2794</v>
      </c>
      <c r="C1101" s="154" t="s">
        <v>153</v>
      </c>
      <c r="D1101" s="201" t="s">
        <v>1951</v>
      </c>
    </row>
    <row r="1102" spans="2:4">
      <c r="B1102" s="198" t="s">
        <v>2847</v>
      </c>
      <c r="C1102" s="154" t="s">
        <v>150</v>
      </c>
      <c r="D1102" s="201" t="s">
        <v>1951</v>
      </c>
    </row>
    <row r="1103" spans="2:4">
      <c r="B1103" s="198" t="s">
        <v>2744</v>
      </c>
      <c r="C1103" s="154" t="s">
        <v>150</v>
      </c>
      <c r="D1103" s="201" t="s">
        <v>1951</v>
      </c>
    </row>
    <row r="1104" spans="2:4">
      <c r="B1104" s="198" t="s">
        <v>298</v>
      </c>
      <c r="C1104" s="154" t="s">
        <v>1592</v>
      </c>
      <c r="D1104" s="201" t="s">
        <v>1951</v>
      </c>
    </row>
    <row r="1105" spans="2:4">
      <c r="B1105" s="198" t="s">
        <v>2621</v>
      </c>
      <c r="C1105" s="154" t="s">
        <v>150</v>
      </c>
      <c r="D1105" s="201" t="s">
        <v>1951</v>
      </c>
    </row>
    <row r="1106" spans="2:4">
      <c r="B1106" s="198" t="s">
        <v>2780</v>
      </c>
      <c r="C1106" s="154" t="s">
        <v>150</v>
      </c>
      <c r="D1106" s="201" t="s">
        <v>1951</v>
      </c>
    </row>
    <row r="1107" spans="2:4">
      <c r="B1107" s="198" t="s">
        <v>2675</v>
      </c>
      <c r="C1107" s="154" t="s">
        <v>150</v>
      </c>
      <c r="D1107" s="201" t="s">
        <v>1951</v>
      </c>
    </row>
    <row r="1108" spans="2:4">
      <c r="B1108" s="198" t="s">
        <v>2673</v>
      </c>
      <c r="C1108" s="154" t="s">
        <v>150</v>
      </c>
      <c r="D1108" s="201" t="s">
        <v>1951</v>
      </c>
    </row>
    <row r="1109" spans="2:4">
      <c r="B1109" s="198" t="s">
        <v>2833</v>
      </c>
      <c r="C1109" s="154" t="s">
        <v>150</v>
      </c>
      <c r="D1109" s="201" t="s">
        <v>1951</v>
      </c>
    </row>
    <row r="1110" spans="2:4">
      <c r="B1110" s="198" t="s">
        <v>2871</v>
      </c>
      <c r="C1110" s="154" t="s">
        <v>150</v>
      </c>
      <c r="D1110" s="201" t="s">
        <v>1951</v>
      </c>
    </row>
    <row r="1111" spans="2:4">
      <c r="B1111" s="198" t="s">
        <v>2746</v>
      </c>
      <c r="C1111" s="154" t="s">
        <v>150</v>
      </c>
      <c r="D1111" s="201" t="s">
        <v>1951</v>
      </c>
    </row>
    <row r="1112" spans="2:4">
      <c r="B1112" s="198" t="s">
        <v>910</v>
      </c>
      <c r="C1112" s="154" t="s">
        <v>1828</v>
      </c>
      <c r="D1112" s="201" t="s">
        <v>1956</v>
      </c>
    </row>
    <row r="1113" spans="2:4">
      <c r="B1113" s="198" t="s">
        <v>2740</v>
      </c>
      <c r="C1113" s="154" t="s">
        <v>2926</v>
      </c>
      <c r="D1113" s="201" t="s">
        <v>1951</v>
      </c>
    </row>
    <row r="1114" spans="2:4">
      <c r="B1114" s="198" t="s">
        <v>2813</v>
      </c>
      <c r="C1114" s="154" t="s">
        <v>1519</v>
      </c>
      <c r="D1114" s="201" t="s">
        <v>1951</v>
      </c>
    </row>
    <row r="1115" spans="2:4">
      <c r="B1115" s="198" t="s">
        <v>2787</v>
      </c>
      <c r="C1115" s="154" t="s">
        <v>150</v>
      </c>
      <c r="D1115" s="201" t="s">
        <v>1951</v>
      </c>
    </row>
    <row r="1116" spans="2:4">
      <c r="B1116" s="198" t="s">
        <v>2784</v>
      </c>
      <c r="C1116" s="154" t="s">
        <v>1903</v>
      </c>
      <c r="D1116" s="201" t="s">
        <v>1952</v>
      </c>
    </row>
    <row r="1117" spans="2:4">
      <c r="B1117" s="198" t="s">
        <v>2699</v>
      </c>
      <c r="C1117" s="154" t="s">
        <v>3016</v>
      </c>
      <c r="D1117" s="201" t="s">
        <v>1952</v>
      </c>
    </row>
    <row r="1118" spans="2:4">
      <c r="B1118" s="198" t="s">
        <v>2786</v>
      </c>
      <c r="C1118" s="154" t="s">
        <v>2989</v>
      </c>
      <c r="D1118" s="201" t="s">
        <v>1952</v>
      </c>
    </row>
    <row r="1119" spans="2:4">
      <c r="B1119" s="198" t="s">
        <v>2748</v>
      </c>
      <c r="C1119" s="154" t="s">
        <v>3017</v>
      </c>
      <c r="D1119" s="201" t="s">
        <v>1952</v>
      </c>
    </row>
    <row r="1120" spans="2:4">
      <c r="B1120" s="198" t="s">
        <v>2582</v>
      </c>
      <c r="C1120" s="154" t="s">
        <v>3018</v>
      </c>
      <c r="D1120" s="201" t="s">
        <v>1952</v>
      </c>
    </row>
    <row r="1121" spans="2:4">
      <c r="B1121" s="198" t="s">
        <v>919</v>
      </c>
      <c r="C1121" s="154" t="s">
        <v>1828</v>
      </c>
      <c r="D1121" s="201" t="s">
        <v>1956</v>
      </c>
    </row>
    <row r="1122" spans="2:4">
      <c r="B1122" s="198" t="s">
        <v>2734</v>
      </c>
      <c r="C1122" s="154" t="s">
        <v>3019</v>
      </c>
      <c r="D1122" s="201" t="s">
        <v>1954</v>
      </c>
    </row>
    <row r="1123" spans="2:4">
      <c r="B1123" s="198" t="s">
        <v>2670</v>
      </c>
      <c r="C1123" s="154" t="s">
        <v>1622</v>
      </c>
      <c r="D1123" s="201" t="s">
        <v>1954</v>
      </c>
    </row>
    <row r="1124" spans="2:4">
      <c r="B1124" s="198" t="s">
        <v>2729</v>
      </c>
      <c r="C1124" s="154" t="s">
        <v>1698</v>
      </c>
      <c r="D1124" s="201" t="s">
        <v>1954</v>
      </c>
    </row>
    <row r="1125" spans="2:4">
      <c r="B1125" s="198" t="s">
        <v>2731</v>
      </c>
      <c r="C1125" s="154" t="s">
        <v>1698</v>
      </c>
      <c r="D1125" s="201" t="s">
        <v>1954</v>
      </c>
    </row>
    <row r="1126" spans="2:4">
      <c r="B1126" s="198" t="s">
        <v>2306</v>
      </c>
      <c r="C1126" s="154" t="s">
        <v>2320</v>
      </c>
      <c r="D1126" s="201" t="s">
        <v>1954</v>
      </c>
    </row>
    <row r="1127" spans="2:4">
      <c r="B1127" s="198" t="s">
        <v>2398</v>
      </c>
      <c r="C1127" s="154" t="s">
        <v>2399</v>
      </c>
      <c r="D1127" s="201" t="s">
        <v>1954</v>
      </c>
    </row>
    <row r="1128" spans="2:4">
      <c r="B1128" s="198" t="s">
        <v>2381</v>
      </c>
      <c r="C1128" s="154" t="s">
        <v>1655</v>
      </c>
      <c r="D1128" s="201" t="s">
        <v>1954</v>
      </c>
    </row>
    <row r="1129" spans="2:4">
      <c r="B1129" s="198" t="s">
        <v>2805</v>
      </c>
      <c r="C1129" s="154" t="s">
        <v>1655</v>
      </c>
      <c r="D1129" s="201" t="s">
        <v>1954</v>
      </c>
    </row>
    <row r="1130" spans="2:4">
      <c r="B1130" s="198" t="s">
        <v>2772</v>
      </c>
      <c r="C1130" s="154" t="s">
        <v>142</v>
      </c>
      <c r="D1130" s="201" t="s">
        <v>1954</v>
      </c>
    </row>
    <row r="1131" spans="2:4">
      <c r="B1131" s="198" t="s">
        <v>2671</v>
      </c>
      <c r="C1131" s="154" t="s">
        <v>142</v>
      </c>
      <c r="D1131" s="201" t="s">
        <v>1954</v>
      </c>
    </row>
    <row r="1132" spans="2:4">
      <c r="B1132" s="198" t="s">
        <v>2626</v>
      </c>
      <c r="C1132" s="154" t="s">
        <v>142</v>
      </c>
      <c r="D1132" s="201" t="s">
        <v>1954</v>
      </c>
    </row>
    <row r="1133" spans="2:4">
      <c r="B1133" s="198" t="s">
        <v>2601</v>
      </c>
      <c r="C1133" s="154" t="s">
        <v>142</v>
      </c>
      <c r="D1133" s="201" t="s">
        <v>1954</v>
      </c>
    </row>
    <row r="1134" spans="2:4">
      <c r="B1134" s="198" t="s">
        <v>2639</v>
      </c>
      <c r="C1134" s="154" t="s">
        <v>3020</v>
      </c>
      <c r="D1134" s="201" t="s">
        <v>1954</v>
      </c>
    </row>
    <row r="1135" spans="2:4">
      <c r="B1135" s="198" t="s">
        <v>2512</v>
      </c>
      <c r="C1135" s="154" t="s">
        <v>2891</v>
      </c>
      <c r="D1135" s="201" t="s">
        <v>1954</v>
      </c>
    </row>
    <row r="1136" spans="2:4">
      <c r="B1136" s="198" t="s">
        <v>2732</v>
      </c>
      <c r="C1136" s="154" t="s">
        <v>2924</v>
      </c>
      <c r="D1136" s="201" t="s">
        <v>1954</v>
      </c>
    </row>
    <row r="1137" spans="2:4">
      <c r="B1137" s="198" t="s">
        <v>2343</v>
      </c>
      <c r="C1137" s="154" t="s">
        <v>2345</v>
      </c>
      <c r="D1137" s="201" t="s">
        <v>1959</v>
      </c>
    </row>
    <row r="1138" spans="2:4">
      <c r="B1138" s="198" t="s">
        <v>940</v>
      </c>
      <c r="C1138" s="154" t="s">
        <v>1643</v>
      </c>
      <c r="D1138" s="201" t="s">
        <v>1955</v>
      </c>
    </row>
    <row r="1139" spans="2:4">
      <c r="B1139" s="198" t="s">
        <v>510</v>
      </c>
      <c r="C1139" s="154" t="s">
        <v>1693</v>
      </c>
      <c r="D1139" s="201" t="s">
        <v>1955</v>
      </c>
    </row>
    <row r="1140" spans="2:4">
      <c r="B1140" s="198" t="s">
        <v>1358</v>
      </c>
      <c r="C1140" s="154" t="s">
        <v>1928</v>
      </c>
      <c r="D1140" s="201" t="s">
        <v>1955</v>
      </c>
    </row>
    <row r="1141" spans="2:4">
      <c r="B1141" s="198" t="s">
        <v>668</v>
      </c>
      <c r="C1141" s="154" t="s">
        <v>1581</v>
      </c>
      <c r="D1141" s="201" t="s">
        <v>1955</v>
      </c>
    </row>
    <row r="1142" spans="2:4">
      <c r="B1142" s="198" t="s">
        <v>452</v>
      </c>
      <c r="C1142" s="154" t="s">
        <v>1667</v>
      </c>
      <c r="D1142" s="201" t="s">
        <v>1955</v>
      </c>
    </row>
    <row r="1143" spans="2:4">
      <c r="B1143" s="198" t="s">
        <v>2817</v>
      </c>
      <c r="C1143" s="154" t="s">
        <v>1541</v>
      </c>
      <c r="D1143" s="201" t="s">
        <v>1955</v>
      </c>
    </row>
    <row r="1144" spans="2:4">
      <c r="B1144" s="198" t="s">
        <v>1425</v>
      </c>
      <c r="C1144" s="154" t="s">
        <v>1541</v>
      </c>
      <c r="D1144" s="201" t="s">
        <v>1955</v>
      </c>
    </row>
    <row r="1145" spans="2:4">
      <c r="B1145" s="198" t="s">
        <v>1238</v>
      </c>
      <c r="C1145" s="154" t="s">
        <v>1516</v>
      </c>
      <c r="D1145" s="201" t="s">
        <v>1955</v>
      </c>
    </row>
    <row r="1146" spans="2:4">
      <c r="B1146" s="198" t="s">
        <v>2461</v>
      </c>
      <c r="C1146" s="154" t="s">
        <v>2406</v>
      </c>
      <c r="D1146" s="201" t="s">
        <v>1955</v>
      </c>
    </row>
    <row r="1147" spans="2:4">
      <c r="B1147" s="198" t="s">
        <v>2459</v>
      </c>
      <c r="C1147" s="154" t="s">
        <v>2406</v>
      </c>
      <c r="D1147" s="201" t="s">
        <v>1955</v>
      </c>
    </row>
    <row r="1148" spans="2:4">
      <c r="B1148" s="198" t="s">
        <v>1214</v>
      </c>
      <c r="C1148" s="154" t="s">
        <v>142</v>
      </c>
      <c r="D1148" s="201" t="s">
        <v>1954</v>
      </c>
    </row>
    <row r="1149" spans="2:4">
      <c r="B1149" s="198" t="s">
        <v>2835</v>
      </c>
      <c r="C1149" s="154" t="s">
        <v>3021</v>
      </c>
      <c r="D1149" s="201" t="s">
        <v>1955</v>
      </c>
    </row>
    <row r="1150" spans="2:4">
      <c r="B1150" s="198" t="s">
        <v>644</v>
      </c>
      <c r="C1150" s="154" t="s">
        <v>1734</v>
      </c>
      <c r="D1150" s="201" t="s">
        <v>1955</v>
      </c>
    </row>
    <row r="1151" spans="2:4">
      <c r="B1151" s="198" t="s">
        <v>1494</v>
      </c>
      <c r="C1151" s="154" t="s">
        <v>149</v>
      </c>
      <c r="D1151" s="201" t="s">
        <v>1956</v>
      </c>
    </row>
    <row r="1152" spans="2:4">
      <c r="B1152" s="198" t="s">
        <v>305</v>
      </c>
      <c r="C1152" s="154" t="s">
        <v>1594</v>
      </c>
      <c r="D1152" s="201" t="s">
        <v>1955</v>
      </c>
    </row>
    <row r="1153" spans="2:4">
      <c r="B1153" s="198" t="s">
        <v>1359</v>
      </c>
      <c r="C1153" s="154" t="s">
        <v>1510</v>
      </c>
      <c r="D1153" s="201" t="s">
        <v>1955</v>
      </c>
    </row>
    <row r="1154" spans="2:4">
      <c r="B1154" s="198" t="s">
        <v>2840</v>
      </c>
      <c r="C1154" s="154" t="s">
        <v>3022</v>
      </c>
      <c r="D1154" s="201" t="s">
        <v>1955</v>
      </c>
    </row>
    <row r="1155" spans="2:4">
      <c r="B1155" s="198" t="s">
        <v>329</v>
      </c>
      <c r="C1155" s="154" t="s">
        <v>1606</v>
      </c>
      <c r="D1155" s="201" t="s">
        <v>1955</v>
      </c>
    </row>
    <row r="1156" spans="2:4">
      <c r="B1156" s="198" t="s">
        <v>546</v>
      </c>
      <c r="C1156" s="154" t="s">
        <v>1541</v>
      </c>
      <c r="D1156" s="201" t="s">
        <v>1955</v>
      </c>
    </row>
    <row r="1157" spans="2:4">
      <c r="B1157" s="198" t="s">
        <v>1240</v>
      </c>
      <c r="C1157" s="154" t="s">
        <v>1541</v>
      </c>
      <c r="D1157" s="201" t="s">
        <v>1955</v>
      </c>
    </row>
    <row r="1158" spans="2:4">
      <c r="B1158" s="198" t="s">
        <v>1239</v>
      </c>
      <c r="C1158" s="154" t="s">
        <v>1541</v>
      </c>
      <c r="D1158" s="201" t="s">
        <v>1955</v>
      </c>
    </row>
    <row r="1159" spans="2:4">
      <c r="B1159" s="198" t="s">
        <v>1357</v>
      </c>
      <c r="C1159" s="154" t="s">
        <v>1541</v>
      </c>
      <c r="D1159" s="201" t="s">
        <v>1955</v>
      </c>
    </row>
    <row r="1160" spans="2:4">
      <c r="B1160" s="198" t="s">
        <v>579</v>
      </c>
      <c r="C1160" s="154" t="s">
        <v>1516</v>
      </c>
      <c r="D1160" s="201" t="s">
        <v>1955</v>
      </c>
    </row>
    <row r="1161" spans="2:4">
      <c r="B1161" s="198" t="s">
        <v>890</v>
      </c>
      <c r="C1161" s="154" t="s">
        <v>1819</v>
      </c>
      <c r="D1161" s="201" t="s">
        <v>1956</v>
      </c>
    </row>
    <row r="1162" spans="2:4">
      <c r="B1162" s="198" t="s">
        <v>1466</v>
      </c>
      <c r="C1162" s="154" t="s">
        <v>151</v>
      </c>
      <c r="D1162" s="201" t="s">
        <v>1954</v>
      </c>
    </row>
    <row r="1163" spans="2:4">
      <c r="B1163" s="198" t="s">
        <v>639</v>
      </c>
      <c r="C1163" s="154" t="s">
        <v>1581</v>
      </c>
      <c r="D1163" s="201" t="s">
        <v>1955</v>
      </c>
    </row>
    <row r="1164" spans="2:4">
      <c r="B1164" s="198" t="s">
        <v>451</v>
      </c>
      <c r="C1164" s="154" t="s">
        <v>1631</v>
      </c>
      <c r="D1164" s="201" t="s">
        <v>1951</v>
      </c>
    </row>
    <row r="1165" spans="2:4">
      <c r="B1165" s="198" t="s">
        <v>874</v>
      </c>
      <c r="C1165" s="154" t="s">
        <v>1812</v>
      </c>
      <c r="D1165" s="201" t="s">
        <v>1953</v>
      </c>
    </row>
    <row r="1166" spans="2:4">
      <c r="B1166" s="198" t="s">
        <v>1140</v>
      </c>
      <c r="C1166" s="154" t="s">
        <v>1749</v>
      </c>
      <c r="D1166" s="201" t="s">
        <v>1956</v>
      </c>
    </row>
    <row r="1167" spans="2:4">
      <c r="B1167" s="198" t="s">
        <v>581</v>
      </c>
      <c r="C1167" s="154" t="s">
        <v>1517</v>
      </c>
      <c r="D1167" s="201" t="s">
        <v>1956</v>
      </c>
    </row>
    <row r="1168" spans="2:4">
      <c r="B1168" s="198" t="s">
        <v>1436</v>
      </c>
      <c r="C1168" s="154" t="s">
        <v>150</v>
      </c>
      <c r="D1168" s="201" t="s">
        <v>1951</v>
      </c>
    </row>
    <row r="1169" spans="2:4">
      <c r="B1169" s="198" t="s">
        <v>881</v>
      </c>
      <c r="C1169" s="154" t="s">
        <v>1544</v>
      </c>
      <c r="D1169" s="201" t="s">
        <v>1951</v>
      </c>
    </row>
    <row r="1170" spans="2:4">
      <c r="B1170" s="198" t="s">
        <v>2252</v>
      </c>
      <c r="C1170" s="154" t="s">
        <v>1518</v>
      </c>
      <c r="D1170" s="201" t="s">
        <v>1957</v>
      </c>
    </row>
    <row r="1171" spans="2:4">
      <c r="B1171" s="198" t="s">
        <v>2252</v>
      </c>
      <c r="C1171" s="154" t="s">
        <v>1544</v>
      </c>
      <c r="D1171" s="201" t="s">
        <v>1951</v>
      </c>
    </row>
    <row r="1172" spans="2:4">
      <c r="B1172" s="198" t="s">
        <v>711</v>
      </c>
      <c r="C1172" s="154" t="s">
        <v>1562</v>
      </c>
      <c r="D1172" s="201" t="s">
        <v>1951</v>
      </c>
    </row>
    <row r="1173" spans="2:4">
      <c r="B1173" s="198" t="s">
        <v>1170</v>
      </c>
      <c r="C1173" s="154" t="s">
        <v>1518</v>
      </c>
      <c r="D1173" s="201" t="s">
        <v>1957</v>
      </c>
    </row>
    <row r="1174" spans="2:4">
      <c r="B1174" s="198" t="s">
        <v>2339</v>
      </c>
      <c r="C1174" s="154" t="s">
        <v>152</v>
      </c>
      <c r="D1174" s="201" t="s">
        <v>1952</v>
      </c>
    </row>
    <row r="1175" spans="2:4">
      <c r="B1175" s="198" t="s">
        <v>666</v>
      </c>
      <c r="C1175" s="154" t="s">
        <v>1747</v>
      </c>
      <c r="D1175" s="201" t="s">
        <v>1956</v>
      </c>
    </row>
    <row r="1176" spans="2:4">
      <c r="B1176" s="198" t="s">
        <v>1007</v>
      </c>
      <c r="C1176" s="154" t="s">
        <v>1861</v>
      </c>
      <c r="D1176" s="201" t="s">
        <v>1956</v>
      </c>
    </row>
    <row r="1177" spans="2:4">
      <c r="B1177" s="198" t="s">
        <v>297</v>
      </c>
      <c r="C1177" s="154" t="s">
        <v>1591</v>
      </c>
      <c r="D1177" s="201" t="s">
        <v>1951</v>
      </c>
    </row>
    <row r="1178" spans="2:4">
      <c r="B1178" s="198" t="s">
        <v>2466</v>
      </c>
      <c r="C1178" s="154" t="s">
        <v>3023</v>
      </c>
      <c r="D1178" s="201" t="s">
        <v>1951</v>
      </c>
    </row>
    <row r="1179" spans="2:4">
      <c r="B1179" s="198" t="s">
        <v>323</v>
      </c>
      <c r="C1179" s="154" t="s">
        <v>1566</v>
      </c>
      <c r="D1179" s="201" t="s">
        <v>1951</v>
      </c>
    </row>
    <row r="1180" spans="2:4">
      <c r="B1180" s="198" t="s">
        <v>429</v>
      </c>
      <c r="C1180" s="154" t="s">
        <v>1566</v>
      </c>
      <c r="D1180" s="201" t="s">
        <v>1951</v>
      </c>
    </row>
    <row r="1181" spans="2:4">
      <c r="B1181" s="198" t="s">
        <v>946</v>
      </c>
      <c r="C1181" s="154" t="s">
        <v>1848</v>
      </c>
      <c r="D1181" s="201" t="s">
        <v>1951</v>
      </c>
    </row>
    <row r="1182" spans="2:4">
      <c r="B1182" s="198" t="s">
        <v>2544</v>
      </c>
      <c r="C1182" s="154" t="s">
        <v>3024</v>
      </c>
      <c r="D1182" s="201" t="s">
        <v>1951</v>
      </c>
    </row>
    <row r="1183" spans="2:4">
      <c r="B1183" s="198" t="s">
        <v>615</v>
      </c>
      <c r="C1183" s="154" t="s">
        <v>1728</v>
      </c>
      <c r="D1183" s="201" t="s">
        <v>1951</v>
      </c>
    </row>
    <row r="1184" spans="2:4">
      <c r="B1184" s="198" t="s">
        <v>336</v>
      </c>
      <c r="C1184" s="154" t="s">
        <v>1609</v>
      </c>
      <c r="D1184" s="201" t="s">
        <v>1951</v>
      </c>
    </row>
    <row r="1185" spans="2:4">
      <c r="B1185" s="198" t="s">
        <v>715</v>
      </c>
      <c r="C1185" s="154" t="s">
        <v>1609</v>
      </c>
      <c r="D1185" s="201" t="s">
        <v>1951</v>
      </c>
    </row>
    <row r="1186" spans="2:4">
      <c r="B1186" s="198" t="s">
        <v>2500</v>
      </c>
      <c r="C1186" s="154" t="s">
        <v>150</v>
      </c>
      <c r="D1186" s="201" t="s">
        <v>1951</v>
      </c>
    </row>
    <row r="1187" spans="2:4">
      <c r="B1187" s="198" t="s">
        <v>1092</v>
      </c>
      <c r="C1187" s="154" t="s">
        <v>150</v>
      </c>
      <c r="D1187" s="201" t="s">
        <v>1951</v>
      </c>
    </row>
    <row r="1188" spans="2:4">
      <c r="B1188" s="198" t="s">
        <v>558</v>
      </c>
      <c r="C1188" s="154" t="s">
        <v>150</v>
      </c>
      <c r="D1188" s="201" t="s">
        <v>1951</v>
      </c>
    </row>
    <row r="1189" spans="2:4">
      <c r="B1189" s="198" t="s">
        <v>1093</v>
      </c>
      <c r="C1189" s="154" t="s">
        <v>150</v>
      </c>
      <c r="D1189" s="201" t="s">
        <v>1951</v>
      </c>
    </row>
    <row r="1190" spans="2:4">
      <c r="B1190" s="198" t="s">
        <v>1088</v>
      </c>
      <c r="C1190" s="154" t="s">
        <v>150</v>
      </c>
      <c r="D1190" s="201" t="s">
        <v>1951</v>
      </c>
    </row>
    <row r="1191" spans="2:4">
      <c r="B1191" s="198" t="s">
        <v>1090</v>
      </c>
      <c r="C1191" s="154" t="s">
        <v>150</v>
      </c>
      <c r="D1191" s="201" t="s">
        <v>1951</v>
      </c>
    </row>
    <row r="1192" spans="2:4">
      <c r="B1192" s="198" t="s">
        <v>1095</v>
      </c>
      <c r="C1192" s="154" t="s">
        <v>150</v>
      </c>
      <c r="D1192" s="201" t="s">
        <v>1951</v>
      </c>
    </row>
    <row r="1193" spans="2:4">
      <c r="B1193" s="198" t="s">
        <v>1096</v>
      </c>
      <c r="C1193" s="154" t="s">
        <v>150</v>
      </c>
      <c r="D1193" s="201" t="s">
        <v>1951</v>
      </c>
    </row>
    <row r="1194" spans="2:4">
      <c r="B1194" s="198" t="s">
        <v>1097</v>
      </c>
      <c r="C1194" s="154" t="s">
        <v>150</v>
      </c>
      <c r="D1194" s="201" t="s">
        <v>1951</v>
      </c>
    </row>
    <row r="1195" spans="2:4">
      <c r="B1195" s="198" t="s">
        <v>1087</v>
      </c>
      <c r="C1195" s="154" t="s">
        <v>150</v>
      </c>
      <c r="D1195" s="201" t="s">
        <v>1951</v>
      </c>
    </row>
    <row r="1196" spans="2:4">
      <c r="B1196" s="198" t="s">
        <v>1091</v>
      </c>
      <c r="C1196" s="154" t="s">
        <v>150</v>
      </c>
      <c r="D1196" s="201" t="s">
        <v>1951</v>
      </c>
    </row>
    <row r="1197" spans="2:4">
      <c r="B1197" s="198" t="s">
        <v>1098</v>
      </c>
      <c r="C1197" s="154" t="s">
        <v>150</v>
      </c>
      <c r="D1197" s="201" t="s">
        <v>1951</v>
      </c>
    </row>
    <row r="1198" spans="2:4">
      <c r="B1198" s="198" t="s">
        <v>1099</v>
      </c>
      <c r="C1198" s="154" t="s">
        <v>150</v>
      </c>
      <c r="D1198" s="201" t="s">
        <v>1951</v>
      </c>
    </row>
    <row r="1199" spans="2:4">
      <c r="B1199" s="198" t="s">
        <v>1234</v>
      </c>
      <c r="C1199" s="154" t="s">
        <v>150</v>
      </c>
      <c r="D1199" s="201" t="s">
        <v>1951</v>
      </c>
    </row>
    <row r="1200" spans="2:4">
      <c r="B1200" s="198" t="s">
        <v>1100</v>
      </c>
      <c r="C1200" s="154" t="s">
        <v>150</v>
      </c>
      <c r="D1200" s="201" t="s">
        <v>1951</v>
      </c>
    </row>
    <row r="1201" spans="2:4">
      <c r="B1201" s="198" t="s">
        <v>2489</v>
      </c>
      <c r="C1201" s="154" t="s">
        <v>2406</v>
      </c>
      <c r="D1201" s="201" t="s">
        <v>1951</v>
      </c>
    </row>
    <row r="1202" spans="2:4">
      <c r="B1202" s="198" t="s">
        <v>1369</v>
      </c>
      <c r="C1202" s="154" t="s">
        <v>150</v>
      </c>
      <c r="D1202" s="201" t="s">
        <v>1951</v>
      </c>
    </row>
    <row r="1203" spans="2:4">
      <c r="B1203" s="198" t="s">
        <v>1086</v>
      </c>
      <c r="C1203" s="154" t="s">
        <v>150</v>
      </c>
      <c r="D1203" s="201" t="s">
        <v>1951</v>
      </c>
    </row>
    <row r="1204" spans="2:4">
      <c r="B1204" s="198" t="s">
        <v>1311</v>
      </c>
      <c r="C1204" s="154" t="s">
        <v>150</v>
      </c>
      <c r="D1204" s="201" t="s">
        <v>1951</v>
      </c>
    </row>
    <row r="1205" spans="2:4">
      <c r="B1205" s="198" t="s">
        <v>1246</v>
      </c>
      <c r="C1205" s="154" t="s">
        <v>150</v>
      </c>
      <c r="D1205" s="201" t="s">
        <v>1951</v>
      </c>
    </row>
    <row r="1206" spans="2:4">
      <c r="B1206" s="198" t="s">
        <v>1370</v>
      </c>
      <c r="C1206" s="154" t="s">
        <v>150</v>
      </c>
      <c r="D1206" s="201" t="s">
        <v>1951</v>
      </c>
    </row>
    <row r="1207" spans="2:4">
      <c r="B1207" s="198" t="s">
        <v>1245</v>
      </c>
      <c r="C1207" s="154" t="s">
        <v>150</v>
      </c>
      <c r="D1207" s="201" t="s">
        <v>1951</v>
      </c>
    </row>
    <row r="1208" spans="2:4">
      <c r="B1208" s="198" t="s">
        <v>1089</v>
      </c>
      <c r="C1208" s="154" t="s">
        <v>150</v>
      </c>
      <c r="D1208" s="201" t="s">
        <v>1951</v>
      </c>
    </row>
    <row r="1209" spans="2:4">
      <c r="B1209" s="198" t="s">
        <v>1094</v>
      </c>
      <c r="C1209" s="154" t="s">
        <v>150</v>
      </c>
      <c r="D1209" s="201" t="s">
        <v>1951</v>
      </c>
    </row>
    <row r="1210" spans="2:4">
      <c r="B1210" s="198" t="s">
        <v>1362</v>
      </c>
      <c r="C1210" s="154" t="s">
        <v>150</v>
      </c>
      <c r="D1210" s="201" t="s">
        <v>1951</v>
      </c>
    </row>
    <row r="1211" spans="2:4">
      <c r="B1211" s="198" t="s">
        <v>826</v>
      </c>
      <c r="C1211" s="154" t="s">
        <v>150</v>
      </c>
      <c r="D1211" s="201" t="s">
        <v>1951</v>
      </c>
    </row>
    <row r="1212" spans="2:4">
      <c r="B1212" s="198" t="s">
        <v>2460</v>
      </c>
      <c r="C1212" s="154" t="s">
        <v>150</v>
      </c>
      <c r="D1212" s="201" t="s">
        <v>1951</v>
      </c>
    </row>
    <row r="1213" spans="2:4">
      <c r="B1213" s="198" t="s">
        <v>628</v>
      </c>
      <c r="C1213" s="154" t="s">
        <v>150</v>
      </c>
      <c r="D1213" s="201" t="s">
        <v>1951</v>
      </c>
    </row>
    <row r="1214" spans="2:4">
      <c r="B1214" s="198" t="s">
        <v>609</v>
      </c>
      <c r="C1214" s="154" t="s">
        <v>1517</v>
      </c>
      <c r="D1214" s="201" t="s">
        <v>1956</v>
      </c>
    </row>
    <row r="1215" spans="2:4">
      <c r="B1215" s="198" t="s">
        <v>519</v>
      </c>
      <c r="C1215" s="154" t="s">
        <v>1544</v>
      </c>
      <c r="D1215" s="201" t="s">
        <v>1951</v>
      </c>
    </row>
    <row r="1216" spans="2:4">
      <c r="B1216" s="198" t="s">
        <v>430</v>
      </c>
      <c r="C1216" s="154" t="s">
        <v>1544</v>
      </c>
      <c r="D1216" s="201" t="s">
        <v>1951</v>
      </c>
    </row>
    <row r="1217" spans="2:4">
      <c r="B1217" s="198" t="s">
        <v>557</v>
      </c>
      <c r="C1217" s="154" t="s">
        <v>1544</v>
      </c>
      <c r="D1217" s="201" t="s">
        <v>1951</v>
      </c>
    </row>
    <row r="1218" spans="2:4">
      <c r="B1218" s="198" t="s">
        <v>785</v>
      </c>
      <c r="C1218" s="154" t="s">
        <v>1544</v>
      </c>
      <c r="D1218" s="201" t="s">
        <v>1951</v>
      </c>
    </row>
    <row r="1219" spans="2:4">
      <c r="B1219" s="198" t="s">
        <v>786</v>
      </c>
      <c r="C1219" s="154" t="s">
        <v>1544</v>
      </c>
      <c r="D1219" s="201" t="s">
        <v>1951</v>
      </c>
    </row>
    <row r="1220" spans="2:4">
      <c r="B1220" s="198" t="s">
        <v>497</v>
      </c>
      <c r="C1220" s="154" t="s">
        <v>1665</v>
      </c>
      <c r="D1220" s="201" t="s">
        <v>1951</v>
      </c>
    </row>
    <row r="1221" spans="2:4">
      <c r="B1221" s="198" t="s">
        <v>539</v>
      </c>
      <c r="C1221" s="154" t="s">
        <v>1665</v>
      </c>
      <c r="D1221" s="201" t="s">
        <v>1951</v>
      </c>
    </row>
    <row r="1222" spans="2:4">
      <c r="B1222" s="198" t="s">
        <v>518</v>
      </c>
      <c r="C1222" s="154" t="s">
        <v>1665</v>
      </c>
      <c r="D1222" s="201" t="s">
        <v>1951</v>
      </c>
    </row>
    <row r="1223" spans="2:4">
      <c r="B1223" s="198" t="s">
        <v>445</v>
      </c>
      <c r="C1223" s="154" t="s">
        <v>1665</v>
      </c>
      <c r="D1223" s="201" t="s">
        <v>1951</v>
      </c>
    </row>
    <row r="1224" spans="2:4">
      <c r="B1224" s="198" t="s">
        <v>483</v>
      </c>
      <c r="C1224" s="154" t="s">
        <v>1665</v>
      </c>
      <c r="D1224" s="201" t="s">
        <v>1951</v>
      </c>
    </row>
    <row r="1225" spans="2:4">
      <c r="B1225" s="198" t="s">
        <v>559</v>
      </c>
      <c r="C1225" s="154" t="s">
        <v>1511</v>
      </c>
      <c r="D1225" s="201" t="s">
        <v>1951</v>
      </c>
    </row>
    <row r="1226" spans="2:4">
      <c r="B1226" s="198" t="s">
        <v>300</v>
      </c>
      <c r="C1226" s="154" t="s">
        <v>1511</v>
      </c>
      <c r="D1226" s="201" t="s">
        <v>1951</v>
      </c>
    </row>
    <row r="1227" spans="2:4">
      <c r="B1227" s="198" t="s">
        <v>333</v>
      </c>
      <c r="C1227" s="154" t="s">
        <v>1511</v>
      </c>
      <c r="D1227" s="201" t="s">
        <v>1951</v>
      </c>
    </row>
    <row r="1228" spans="2:4">
      <c r="B1228" s="198" t="s">
        <v>665</v>
      </c>
      <c r="C1228" s="154" t="s">
        <v>1511</v>
      </c>
      <c r="D1228" s="201" t="s">
        <v>1951</v>
      </c>
    </row>
    <row r="1229" spans="2:4">
      <c r="B1229" s="198" t="s">
        <v>509</v>
      </c>
      <c r="C1229" s="154" t="s">
        <v>1511</v>
      </c>
      <c r="D1229" s="201" t="s">
        <v>1951</v>
      </c>
    </row>
    <row r="1230" spans="2:4">
      <c r="B1230" s="198" t="s">
        <v>862</v>
      </c>
      <c r="C1230" s="154" t="s">
        <v>1752</v>
      </c>
      <c r="D1230" s="201" t="s">
        <v>1951</v>
      </c>
    </row>
    <row r="1231" spans="2:4">
      <c r="B1231" s="198" t="s">
        <v>2474</v>
      </c>
      <c r="C1231" s="154" t="s">
        <v>3025</v>
      </c>
      <c r="D1231" s="201" t="s">
        <v>1951</v>
      </c>
    </row>
    <row r="1232" spans="2:4">
      <c r="B1232" s="198" t="s">
        <v>646</v>
      </c>
      <c r="C1232" s="154" t="s">
        <v>1736</v>
      </c>
      <c r="D1232" s="201" t="s">
        <v>1953</v>
      </c>
    </row>
    <row r="1233" spans="2:4">
      <c r="B1233" s="198" t="s">
        <v>1430</v>
      </c>
      <c r="C1233" s="154" t="s">
        <v>1936</v>
      </c>
      <c r="D1233" s="201" t="s">
        <v>1960</v>
      </c>
    </row>
    <row r="1234" spans="2:4">
      <c r="B1234" s="198" t="s">
        <v>1312</v>
      </c>
      <c r="C1234" s="154" t="s">
        <v>150</v>
      </c>
      <c r="D1234" s="201" t="s">
        <v>1951</v>
      </c>
    </row>
    <row r="1235" spans="2:4">
      <c r="B1235" s="198" t="s">
        <v>1313</v>
      </c>
      <c r="C1235" s="154" t="s">
        <v>150</v>
      </c>
      <c r="D1235" s="201" t="s">
        <v>1951</v>
      </c>
    </row>
    <row r="1236" spans="2:4">
      <c r="B1236" s="198" t="s">
        <v>1301</v>
      </c>
      <c r="C1236" s="154" t="s">
        <v>150</v>
      </c>
      <c r="D1236" s="201" t="s">
        <v>1951</v>
      </c>
    </row>
    <row r="1237" spans="2:4">
      <c r="B1237" s="198" t="s">
        <v>2486</v>
      </c>
      <c r="C1237" s="154" t="s">
        <v>150</v>
      </c>
      <c r="D1237" s="201" t="s">
        <v>1951</v>
      </c>
    </row>
    <row r="1238" spans="2:4">
      <c r="B1238" s="198" t="s">
        <v>1383</v>
      </c>
      <c r="C1238" s="154" t="s">
        <v>150</v>
      </c>
      <c r="D1238" s="201" t="s">
        <v>1951</v>
      </c>
    </row>
    <row r="1239" spans="2:4">
      <c r="B1239" s="198" t="s">
        <v>1306</v>
      </c>
      <c r="C1239" s="154" t="s">
        <v>150</v>
      </c>
      <c r="D1239" s="201" t="s">
        <v>1951</v>
      </c>
    </row>
    <row r="1240" spans="2:4">
      <c r="B1240" s="198" t="s">
        <v>1236</v>
      </c>
      <c r="C1240" s="154" t="s">
        <v>150</v>
      </c>
      <c r="D1240" s="201" t="s">
        <v>1951</v>
      </c>
    </row>
    <row r="1241" spans="2:4">
      <c r="B1241" s="198" t="s">
        <v>2487</v>
      </c>
      <c r="C1241" s="154" t="s">
        <v>150</v>
      </c>
      <c r="D1241" s="201" t="s">
        <v>1951</v>
      </c>
    </row>
    <row r="1242" spans="2:4">
      <c r="B1242" s="198" t="s">
        <v>2801</v>
      </c>
      <c r="C1242" s="154" t="s">
        <v>3026</v>
      </c>
      <c r="D1242" s="201" t="s">
        <v>1954</v>
      </c>
    </row>
    <row r="1243" spans="2:4">
      <c r="B1243" s="198" t="s">
        <v>819</v>
      </c>
      <c r="C1243" s="154" t="s">
        <v>1797</v>
      </c>
      <c r="D1243" s="201" t="s">
        <v>1951</v>
      </c>
    </row>
    <row r="1244" spans="2:4">
      <c r="B1244" s="198" t="s">
        <v>2471</v>
      </c>
      <c r="C1244" s="154" t="s">
        <v>3027</v>
      </c>
      <c r="D1244" s="201" t="s">
        <v>1951</v>
      </c>
    </row>
    <row r="1245" spans="2:4">
      <c r="B1245" s="198" t="s">
        <v>440</v>
      </c>
      <c r="C1245" s="154" t="s">
        <v>1660</v>
      </c>
      <c r="D1245" s="201" t="s">
        <v>1951</v>
      </c>
    </row>
    <row r="1246" spans="2:4">
      <c r="B1246" s="198" t="s">
        <v>319</v>
      </c>
      <c r="C1246" s="154" t="s">
        <v>1602</v>
      </c>
      <c r="D1246" s="201" t="s">
        <v>1951</v>
      </c>
    </row>
    <row r="1247" spans="2:4">
      <c r="B1247" s="198" t="s">
        <v>699</v>
      </c>
      <c r="C1247" s="154" t="s">
        <v>1756</v>
      </c>
      <c r="D1247" s="201" t="s">
        <v>1951</v>
      </c>
    </row>
    <row r="1248" spans="2:4">
      <c r="B1248" s="198" t="s">
        <v>2477</v>
      </c>
      <c r="C1248" s="154" t="s">
        <v>1756</v>
      </c>
      <c r="D1248" s="201" t="s">
        <v>1951</v>
      </c>
    </row>
    <row r="1249" spans="2:4">
      <c r="B1249" s="198" t="s">
        <v>1376</v>
      </c>
      <c r="C1249" s="154" t="s">
        <v>1621</v>
      </c>
      <c r="D1249" s="201" t="s">
        <v>1951</v>
      </c>
    </row>
    <row r="1250" spans="2:4">
      <c r="B1250" s="198" t="s">
        <v>503</v>
      </c>
      <c r="C1250" s="154" t="s">
        <v>1625</v>
      </c>
      <c r="D1250" s="201" t="s">
        <v>1951</v>
      </c>
    </row>
    <row r="1251" spans="2:4">
      <c r="B1251" s="198" t="s">
        <v>675</v>
      </c>
      <c r="C1251" s="154" t="s">
        <v>1625</v>
      </c>
      <c r="D1251" s="201" t="s">
        <v>1951</v>
      </c>
    </row>
    <row r="1252" spans="2:4">
      <c r="B1252" s="198" t="s">
        <v>374</v>
      </c>
      <c r="C1252" s="154" t="s">
        <v>1625</v>
      </c>
      <c r="D1252" s="201" t="s">
        <v>1951</v>
      </c>
    </row>
    <row r="1253" spans="2:4">
      <c r="B1253" s="198" t="s">
        <v>685</v>
      </c>
      <c r="C1253" s="154" t="s">
        <v>1625</v>
      </c>
      <c r="D1253" s="201" t="s">
        <v>1951</v>
      </c>
    </row>
    <row r="1254" spans="2:4">
      <c r="B1254" s="198" t="s">
        <v>680</v>
      </c>
      <c r="C1254" s="154" t="s">
        <v>1625</v>
      </c>
      <c r="D1254" s="201" t="s">
        <v>1951</v>
      </c>
    </row>
    <row r="1255" spans="2:4">
      <c r="B1255" s="198" t="s">
        <v>520</v>
      </c>
      <c r="C1255" s="154" t="s">
        <v>150</v>
      </c>
      <c r="D1255" s="201" t="s">
        <v>1951</v>
      </c>
    </row>
    <row r="1256" spans="2:4">
      <c r="B1256" s="198" t="s">
        <v>664</v>
      </c>
      <c r="C1256" s="154" t="s">
        <v>150</v>
      </c>
      <c r="D1256" s="201" t="s">
        <v>1951</v>
      </c>
    </row>
    <row r="1257" spans="2:4">
      <c r="B1257" s="198" t="s">
        <v>1371</v>
      </c>
      <c r="C1257" s="154" t="s">
        <v>150</v>
      </c>
      <c r="D1257" s="201" t="s">
        <v>1951</v>
      </c>
    </row>
    <row r="1258" spans="2:4">
      <c r="B1258" s="198" t="s">
        <v>672</v>
      </c>
      <c r="C1258" s="154" t="s">
        <v>150</v>
      </c>
      <c r="D1258" s="201" t="s">
        <v>1951</v>
      </c>
    </row>
    <row r="1259" spans="2:4">
      <c r="B1259" s="198" t="s">
        <v>1205</v>
      </c>
      <c r="C1259" s="154" t="s">
        <v>150</v>
      </c>
      <c r="D1259" s="201" t="s">
        <v>1951</v>
      </c>
    </row>
    <row r="1260" spans="2:4">
      <c r="B1260" s="198" t="s">
        <v>526</v>
      </c>
      <c r="C1260" s="154" t="s">
        <v>150</v>
      </c>
      <c r="D1260" s="201" t="s">
        <v>1951</v>
      </c>
    </row>
    <row r="1261" spans="2:4">
      <c r="B1261" s="198" t="s">
        <v>1372</v>
      </c>
      <c r="C1261" s="154" t="s">
        <v>150</v>
      </c>
      <c r="D1261" s="201" t="s">
        <v>1951</v>
      </c>
    </row>
    <row r="1262" spans="2:4">
      <c r="B1262" s="198" t="s">
        <v>2844</v>
      </c>
      <c r="C1262" s="154" t="s">
        <v>3028</v>
      </c>
      <c r="D1262" s="201" t="s">
        <v>1951</v>
      </c>
    </row>
    <row r="1263" spans="2:4">
      <c r="B1263" s="198" t="s">
        <v>547</v>
      </c>
      <c r="C1263" s="154" t="s">
        <v>1508</v>
      </c>
      <c r="D1263" s="201" t="s">
        <v>1951</v>
      </c>
    </row>
    <row r="1264" spans="2:4">
      <c r="B1264" s="198" t="s">
        <v>1375</v>
      </c>
      <c r="C1264" s="154" t="s">
        <v>1508</v>
      </c>
      <c r="D1264" s="201" t="s">
        <v>1951</v>
      </c>
    </row>
    <row r="1265" spans="2:4">
      <c r="B1265" s="198" t="s">
        <v>160</v>
      </c>
      <c r="C1265" s="154" t="s">
        <v>1508</v>
      </c>
      <c r="D1265" s="201" t="s">
        <v>1951</v>
      </c>
    </row>
    <row r="1266" spans="2:4">
      <c r="B1266" s="198" t="s">
        <v>364</v>
      </c>
      <c r="C1266" s="154" t="s">
        <v>1508</v>
      </c>
      <c r="D1266" s="201" t="s">
        <v>1951</v>
      </c>
    </row>
    <row r="1267" spans="2:4">
      <c r="B1267" s="198" t="s">
        <v>375</v>
      </c>
      <c r="C1267" s="154" t="s">
        <v>1508</v>
      </c>
      <c r="D1267" s="201" t="s">
        <v>1951</v>
      </c>
    </row>
    <row r="1268" spans="2:4">
      <c r="B1268" s="198" t="s">
        <v>498</v>
      </c>
      <c r="C1268" s="154" t="s">
        <v>1924</v>
      </c>
      <c r="D1268" s="201" t="s">
        <v>1951</v>
      </c>
    </row>
    <row r="1269" spans="2:4">
      <c r="B1269" s="198" t="s">
        <v>540</v>
      </c>
      <c r="C1269" s="154" t="s">
        <v>1519</v>
      </c>
      <c r="D1269" s="201" t="s">
        <v>1951</v>
      </c>
    </row>
    <row r="1270" spans="2:4">
      <c r="B1270" s="198" t="s">
        <v>320</v>
      </c>
      <c r="C1270" s="154" t="s">
        <v>1519</v>
      </c>
      <c r="D1270" s="201" t="s">
        <v>1951</v>
      </c>
    </row>
    <row r="1271" spans="2:4">
      <c r="B1271" s="198" t="s">
        <v>630</v>
      </c>
      <c r="C1271" s="154" t="s">
        <v>1519</v>
      </c>
      <c r="D1271" s="201" t="s">
        <v>1951</v>
      </c>
    </row>
    <row r="1272" spans="2:4">
      <c r="B1272" s="198" t="s">
        <v>2562</v>
      </c>
      <c r="C1272" s="154" t="s">
        <v>1793</v>
      </c>
      <c r="D1272" s="201" t="s">
        <v>1951</v>
      </c>
    </row>
    <row r="1273" spans="2:4">
      <c r="B1273" s="198" t="s">
        <v>2493</v>
      </c>
      <c r="C1273" s="154" t="s">
        <v>2406</v>
      </c>
      <c r="D1273" s="201" t="s">
        <v>1951</v>
      </c>
    </row>
    <row r="1274" spans="2:4">
      <c r="B1274" s="198" t="s">
        <v>2490</v>
      </c>
      <c r="C1274" s="154" t="s">
        <v>2406</v>
      </c>
      <c r="D1274" s="201" t="s">
        <v>1951</v>
      </c>
    </row>
    <row r="1275" spans="2:4">
      <c r="B1275" s="198" t="s">
        <v>486</v>
      </c>
      <c r="C1275" s="154" t="s">
        <v>150</v>
      </c>
      <c r="D1275" s="201" t="s">
        <v>1951</v>
      </c>
    </row>
    <row r="1276" spans="2:4">
      <c r="B1276" s="198" t="s">
        <v>663</v>
      </c>
      <c r="C1276" s="154" t="s">
        <v>150</v>
      </c>
      <c r="D1276" s="201" t="s">
        <v>1951</v>
      </c>
    </row>
    <row r="1277" spans="2:4">
      <c r="B1277" s="198" t="s">
        <v>2469</v>
      </c>
      <c r="C1277" s="154" t="s">
        <v>3029</v>
      </c>
      <c r="D1277" s="201" t="s">
        <v>1951</v>
      </c>
    </row>
    <row r="1278" spans="2:4">
      <c r="B1278" s="198" t="s">
        <v>387</v>
      </c>
      <c r="C1278" s="154" t="s">
        <v>1521</v>
      </c>
      <c r="D1278" s="201" t="s">
        <v>1951</v>
      </c>
    </row>
    <row r="1279" spans="2:4">
      <c r="B1279" s="198" t="s">
        <v>527</v>
      </c>
      <c r="C1279" s="154" t="s">
        <v>1521</v>
      </c>
      <c r="D1279" s="201" t="s">
        <v>1951</v>
      </c>
    </row>
    <row r="1280" spans="2:4">
      <c r="B1280" s="198" t="s">
        <v>1373</v>
      </c>
      <c r="C1280" s="154" t="s">
        <v>1521</v>
      </c>
      <c r="D1280" s="201" t="s">
        <v>1951</v>
      </c>
    </row>
    <row r="1281" spans="2:4">
      <c r="B1281" s="198" t="s">
        <v>2551</v>
      </c>
      <c r="C1281" s="154" t="s">
        <v>1521</v>
      </c>
      <c r="D1281" s="201" t="s">
        <v>1951</v>
      </c>
    </row>
    <row r="1282" spans="2:4">
      <c r="B1282" s="198" t="s">
        <v>947</v>
      </c>
      <c r="C1282" s="154" t="s">
        <v>1631</v>
      </c>
      <c r="D1282" s="201" t="s">
        <v>1951</v>
      </c>
    </row>
    <row r="1283" spans="2:4">
      <c r="B1283" s="198" t="s">
        <v>863</v>
      </c>
      <c r="C1283" s="154" t="s">
        <v>1631</v>
      </c>
      <c r="D1283" s="201" t="s">
        <v>1951</v>
      </c>
    </row>
    <row r="1284" spans="2:4">
      <c r="B1284" s="198" t="s">
        <v>403</v>
      </c>
      <c r="C1284" s="154" t="s">
        <v>1631</v>
      </c>
      <c r="D1284" s="201" t="s">
        <v>1951</v>
      </c>
    </row>
    <row r="1285" spans="2:4">
      <c r="B1285" s="198" t="s">
        <v>948</v>
      </c>
      <c r="C1285" s="154" t="s">
        <v>1631</v>
      </c>
      <c r="D1285" s="201" t="s">
        <v>1951</v>
      </c>
    </row>
    <row r="1286" spans="2:4">
      <c r="B1286" s="198" t="s">
        <v>981</v>
      </c>
      <c r="C1286" s="154" t="s">
        <v>1850</v>
      </c>
      <c r="D1286" s="201" t="s">
        <v>1951</v>
      </c>
    </row>
    <row r="1287" spans="2:4">
      <c r="B1287" s="198" t="s">
        <v>391</v>
      </c>
      <c r="C1287" s="154" t="s">
        <v>1631</v>
      </c>
      <c r="D1287" s="201" t="s">
        <v>1951</v>
      </c>
    </row>
    <row r="1288" spans="2:4">
      <c r="B1288" s="198" t="s">
        <v>627</v>
      </c>
      <c r="C1288" s="154" t="s">
        <v>153</v>
      </c>
      <c r="D1288" s="201" t="s">
        <v>1951</v>
      </c>
    </row>
    <row r="1289" spans="2:4">
      <c r="B1289" s="198" t="s">
        <v>317</v>
      </c>
      <c r="C1289" s="154" t="s">
        <v>153</v>
      </c>
      <c r="D1289" s="201" t="s">
        <v>1951</v>
      </c>
    </row>
    <row r="1290" spans="2:4">
      <c r="B1290" s="198" t="s">
        <v>1374</v>
      </c>
      <c r="C1290" s="154" t="s">
        <v>153</v>
      </c>
      <c r="D1290" s="201" t="s">
        <v>1951</v>
      </c>
    </row>
    <row r="1291" spans="2:4">
      <c r="B1291" s="198" t="s">
        <v>2538</v>
      </c>
      <c r="C1291" s="154" t="s">
        <v>1824</v>
      </c>
      <c r="D1291" s="201" t="s">
        <v>1951</v>
      </c>
    </row>
    <row r="1292" spans="2:4">
      <c r="B1292" s="198" t="s">
        <v>2566</v>
      </c>
      <c r="C1292" s="154" t="s">
        <v>1824</v>
      </c>
      <c r="D1292" s="201" t="s">
        <v>1951</v>
      </c>
    </row>
    <row r="1293" spans="2:4">
      <c r="B1293" s="198" t="s">
        <v>1308</v>
      </c>
      <c r="C1293" s="154" t="s">
        <v>1882</v>
      </c>
      <c r="D1293" s="201" t="s">
        <v>1951</v>
      </c>
    </row>
    <row r="1294" spans="2:4">
      <c r="B1294" s="198" t="s">
        <v>282</v>
      </c>
      <c r="C1294" s="154" t="s">
        <v>1580</v>
      </c>
      <c r="D1294" s="201" t="s">
        <v>1951</v>
      </c>
    </row>
    <row r="1295" spans="2:4">
      <c r="B1295" s="198" t="s">
        <v>726</v>
      </c>
      <c r="C1295" s="154" t="s">
        <v>1766</v>
      </c>
      <c r="D1295" s="201" t="s">
        <v>1951</v>
      </c>
    </row>
    <row r="1296" spans="2:4">
      <c r="B1296" s="198" t="s">
        <v>949</v>
      </c>
      <c r="C1296" s="154" t="s">
        <v>1849</v>
      </c>
      <c r="D1296" s="201" t="s">
        <v>1951</v>
      </c>
    </row>
    <row r="1297" spans="2:4">
      <c r="B1297" s="198" t="s">
        <v>669</v>
      </c>
      <c r="C1297" s="154" t="s">
        <v>1515</v>
      </c>
      <c r="D1297" s="201" t="s">
        <v>1951</v>
      </c>
    </row>
    <row r="1298" spans="2:4">
      <c r="B1298" s="198" t="s">
        <v>864</v>
      </c>
      <c r="C1298" s="154" t="s">
        <v>1810</v>
      </c>
      <c r="D1298" s="201" t="s">
        <v>1951</v>
      </c>
    </row>
    <row r="1299" spans="2:4">
      <c r="B1299" s="198" t="s">
        <v>691</v>
      </c>
      <c r="C1299" s="154" t="s">
        <v>1753</v>
      </c>
      <c r="D1299" s="201" t="s">
        <v>1951</v>
      </c>
    </row>
    <row r="1300" spans="2:4">
      <c r="B1300" s="198" t="s">
        <v>788</v>
      </c>
      <c r="C1300" s="154" t="s">
        <v>1786</v>
      </c>
      <c r="D1300" s="201" t="s">
        <v>1951</v>
      </c>
    </row>
    <row r="1301" spans="2:4">
      <c r="B1301" s="198" t="s">
        <v>2534</v>
      </c>
      <c r="C1301" s="154" t="s">
        <v>3030</v>
      </c>
      <c r="D1301" s="201" t="s">
        <v>1951</v>
      </c>
    </row>
    <row r="1302" spans="2:4">
      <c r="B1302" s="198" t="s">
        <v>2644</v>
      </c>
      <c r="C1302" s="154" t="s">
        <v>3030</v>
      </c>
      <c r="D1302" s="201" t="s">
        <v>1951</v>
      </c>
    </row>
    <row r="1303" spans="2:4">
      <c r="B1303" s="198" t="s">
        <v>2785</v>
      </c>
      <c r="C1303" s="154" t="s">
        <v>1544</v>
      </c>
      <c r="D1303" s="201" t="s">
        <v>1951</v>
      </c>
    </row>
    <row r="1304" spans="2:4">
      <c r="B1304" s="198" t="s">
        <v>265</v>
      </c>
      <c r="C1304" s="154" t="s">
        <v>1570</v>
      </c>
      <c r="D1304" s="201" t="s">
        <v>1959</v>
      </c>
    </row>
    <row r="1305" spans="2:4">
      <c r="B1305" s="198" t="s">
        <v>502</v>
      </c>
      <c r="C1305" s="154" t="s">
        <v>1651</v>
      </c>
      <c r="D1305" s="201" t="s">
        <v>1952</v>
      </c>
    </row>
    <row r="1306" spans="2:4">
      <c r="B1306" s="198" t="s">
        <v>328</v>
      </c>
      <c r="C1306" s="154" t="s">
        <v>1605</v>
      </c>
      <c r="D1306" s="201" t="s">
        <v>1952</v>
      </c>
    </row>
    <row r="1307" spans="2:4">
      <c r="B1307" s="198" t="s">
        <v>354</v>
      </c>
      <c r="C1307" s="154" t="s">
        <v>1605</v>
      </c>
      <c r="D1307" s="201" t="s">
        <v>1952</v>
      </c>
    </row>
    <row r="1308" spans="2:4">
      <c r="B1308" s="198" t="s">
        <v>355</v>
      </c>
      <c r="C1308" s="154" t="s">
        <v>1616</v>
      </c>
      <c r="D1308" s="201" t="s">
        <v>1952</v>
      </c>
    </row>
    <row r="1309" spans="2:4">
      <c r="B1309" s="198" t="s">
        <v>488</v>
      </c>
      <c r="C1309" s="154" t="s">
        <v>1648</v>
      </c>
      <c r="D1309" s="201" t="s">
        <v>1952</v>
      </c>
    </row>
    <row r="1310" spans="2:4">
      <c r="B1310" s="198" t="s">
        <v>2467</v>
      </c>
      <c r="C1310" s="154" t="s">
        <v>2406</v>
      </c>
      <c r="D1310" s="201" t="s">
        <v>1952</v>
      </c>
    </row>
    <row r="1311" spans="2:4">
      <c r="B1311" s="198" t="s">
        <v>2374</v>
      </c>
      <c r="C1311" s="154" t="s">
        <v>1636</v>
      </c>
      <c r="D1311" s="201" t="s">
        <v>1952</v>
      </c>
    </row>
    <row r="1312" spans="2:4">
      <c r="B1312" s="198" t="s">
        <v>2375</v>
      </c>
      <c r="C1312" s="154" t="s">
        <v>1630</v>
      </c>
      <c r="D1312" s="201" t="s">
        <v>1952</v>
      </c>
    </row>
    <row r="1313" spans="2:4">
      <c r="B1313" s="198" t="s">
        <v>496</v>
      </c>
      <c r="C1313" s="154" t="s">
        <v>1600</v>
      </c>
      <c r="D1313" s="201" t="s">
        <v>1952</v>
      </c>
    </row>
    <row r="1314" spans="2:4">
      <c r="B1314" s="198" t="s">
        <v>1163</v>
      </c>
      <c r="C1314" s="154" t="s">
        <v>1902</v>
      </c>
      <c r="D1314" s="201" t="s">
        <v>1952</v>
      </c>
    </row>
    <row r="1315" spans="2:4">
      <c r="B1315" s="198" t="s">
        <v>341</v>
      </c>
      <c r="C1315" s="154" t="s">
        <v>1612</v>
      </c>
      <c r="D1315" s="201" t="s">
        <v>1953</v>
      </c>
    </row>
    <row r="1316" spans="2:4">
      <c r="B1316" s="198" t="s">
        <v>532</v>
      </c>
      <c r="C1316" s="154" t="s">
        <v>1697</v>
      </c>
      <c r="D1316" s="201" t="s">
        <v>1952</v>
      </c>
    </row>
    <row r="1317" spans="2:4">
      <c r="B1317" s="198" t="s">
        <v>345</v>
      </c>
      <c r="C1317" s="154" t="s">
        <v>1613</v>
      </c>
      <c r="D1317" s="201" t="s">
        <v>1952</v>
      </c>
    </row>
    <row r="1318" spans="2:4">
      <c r="B1318" s="198" t="s">
        <v>410</v>
      </c>
      <c r="C1318" s="154" t="s">
        <v>1642</v>
      </c>
      <c r="D1318" s="201" t="s">
        <v>1952</v>
      </c>
    </row>
    <row r="1319" spans="2:4">
      <c r="B1319" s="198" t="s">
        <v>406</v>
      </c>
      <c r="C1319" s="154" t="s">
        <v>1638</v>
      </c>
      <c r="D1319" s="201" t="s">
        <v>1952</v>
      </c>
    </row>
    <row r="1320" spans="2:4">
      <c r="B1320" s="198" t="s">
        <v>357</v>
      </c>
      <c r="C1320" s="154" t="s">
        <v>1559</v>
      </c>
      <c r="D1320" s="201" t="s">
        <v>1952</v>
      </c>
    </row>
    <row r="1321" spans="2:4">
      <c r="B1321" s="198" t="s">
        <v>237</v>
      </c>
      <c r="C1321" s="154" t="s">
        <v>1559</v>
      </c>
      <c r="D1321" s="201" t="s">
        <v>1952</v>
      </c>
    </row>
    <row r="1322" spans="2:4">
      <c r="B1322" s="198" t="s">
        <v>461</v>
      </c>
      <c r="C1322" s="154" t="s">
        <v>1559</v>
      </c>
      <c r="D1322" s="201" t="s">
        <v>1952</v>
      </c>
    </row>
    <row r="1323" spans="2:4">
      <c r="B1323" s="198" t="s">
        <v>335</v>
      </c>
      <c r="C1323" s="154" t="s">
        <v>152</v>
      </c>
      <c r="D1323" s="201" t="s">
        <v>1952</v>
      </c>
    </row>
    <row r="1324" spans="2:4">
      <c r="B1324" s="198" t="s">
        <v>650</v>
      </c>
      <c r="C1324" s="154" t="s">
        <v>152</v>
      </c>
      <c r="D1324" s="201" t="s">
        <v>1952</v>
      </c>
    </row>
    <row r="1325" spans="2:4">
      <c r="B1325" s="198" t="s">
        <v>671</v>
      </c>
      <c r="C1325" s="154" t="s">
        <v>152</v>
      </c>
      <c r="D1325" s="201" t="s">
        <v>1952</v>
      </c>
    </row>
    <row r="1326" spans="2:4">
      <c r="B1326" s="198" t="s">
        <v>147</v>
      </c>
      <c r="C1326" s="154" t="s">
        <v>152</v>
      </c>
      <c r="D1326" s="201" t="s">
        <v>1952</v>
      </c>
    </row>
    <row r="1327" spans="2:4">
      <c r="B1327" s="198" t="s">
        <v>713</v>
      </c>
      <c r="C1327" s="154" t="s">
        <v>152</v>
      </c>
      <c r="D1327" s="201" t="s">
        <v>1952</v>
      </c>
    </row>
    <row r="1328" spans="2:4">
      <c r="B1328" s="198" t="s">
        <v>145</v>
      </c>
      <c r="C1328" s="154" t="s">
        <v>152</v>
      </c>
      <c r="D1328" s="201" t="s">
        <v>1952</v>
      </c>
    </row>
    <row r="1329" spans="2:4">
      <c r="B1329" s="198" t="s">
        <v>1364</v>
      </c>
      <c r="C1329" s="154" t="s">
        <v>152</v>
      </c>
      <c r="D1329" s="201" t="s">
        <v>1952</v>
      </c>
    </row>
    <row r="1330" spans="2:4">
      <c r="B1330" s="198" t="s">
        <v>338</v>
      </c>
      <c r="C1330" s="154" t="s">
        <v>152</v>
      </c>
      <c r="D1330" s="201" t="s">
        <v>1952</v>
      </c>
    </row>
    <row r="1331" spans="2:4">
      <c r="B1331" s="198" t="s">
        <v>332</v>
      </c>
      <c r="C1331" s="154" t="s">
        <v>152</v>
      </c>
      <c r="D1331" s="201" t="s">
        <v>1952</v>
      </c>
    </row>
    <row r="1332" spans="2:4">
      <c r="B1332" s="198" t="s">
        <v>1363</v>
      </c>
      <c r="C1332" s="154" t="s">
        <v>152</v>
      </c>
      <c r="D1332" s="201" t="s">
        <v>1952</v>
      </c>
    </row>
    <row r="1333" spans="2:4">
      <c r="B1333" s="198" t="s">
        <v>1360</v>
      </c>
      <c r="C1333" s="154" t="s">
        <v>152</v>
      </c>
      <c r="D1333" s="201" t="s">
        <v>1952</v>
      </c>
    </row>
    <row r="1334" spans="2:4">
      <c r="B1334" s="198" t="s">
        <v>1361</v>
      </c>
      <c r="C1334" s="154" t="s">
        <v>152</v>
      </c>
      <c r="D1334" s="201" t="s">
        <v>1952</v>
      </c>
    </row>
    <row r="1335" spans="2:4">
      <c r="B1335" s="198" t="s">
        <v>280</v>
      </c>
      <c r="C1335" s="154" t="s">
        <v>152</v>
      </c>
      <c r="D1335" s="201" t="s">
        <v>1952</v>
      </c>
    </row>
    <row r="1336" spans="2:4">
      <c r="B1336" s="198" t="s">
        <v>405</v>
      </c>
      <c r="C1336" s="154" t="s">
        <v>152</v>
      </c>
      <c r="D1336" s="201" t="s">
        <v>1952</v>
      </c>
    </row>
    <row r="1337" spans="2:4">
      <c r="B1337" s="198" t="s">
        <v>1365</v>
      </c>
      <c r="C1337" s="154" t="s">
        <v>152</v>
      </c>
      <c r="D1337" s="201" t="s">
        <v>1952</v>
      </c>
    </row>
    <row r="1338" spans="2:4">
      <c r="B1338" s="198" t="s">
        <v>1366</v>
      </c>
      <c r="C1338" s="154" t="s">
        <v>152</v>
      </c>
      <c r="D1338" s="201" t="s">
        <v>1952</v>
      </c>
    </row>
    <row r="1339" spans="2:4">
      <c r="B1339" s="198" t="s">
        <v>453</v>
      </c>
      <c r="C1339" s="154" t="s">
        <v>1583</v>
      </c>
      <c r="D1339" s="201" t="s">
        <v>1952</v>
      </c>
    </row>
    <row r="1340" spans="2:4">
      <c r="B1340" s="198" t="s">
        <v>2464</v>
      </c>
      <c r="C1340" s="154" t="s">
        <v>2406</v>
      </c>
      <c r="D1340" s="201" t="s">
        <v>1952</v>
      </c>
    </row>
    <row r="1341" spans="2:4">
      <c r="B1341" s="198" t="s">
        <v>2267</v>
      </c>
      <c r="C1341" s="154" t="s">
        <v>2265</v>
      </c>
      <c r="D1341" s="201" t="s">
        <v>1952</v>
      </c>
    </row>
    <row r="1342" spans="2:4">
      <c r="B1342" s="198" t="s">
        <v>2266</v>
      </c>
      <c r="C1342" s="154" t="s">
        <v>2265</v>
      </c>
      <c r="D1342" s="201" t="s">
        <v>1952</v>
      </c>
    </row>
    <row r="1343" spans="2:4">
      <c r="B1343" s="198" t="s">
        <v>586</v>
      </c>
      <c r="C1343" s="154" t="s">
        <v>1719</v>
      </c>
      <c r="D1343" s="201" t="s">
        <v>1959</v>
      </c>
    </row>
    <row r="1344" spans="2:4">
      <c r="B1344" s="198" t="s">
        <v>1176</v>
      </c>
      <c r="C1344" s="154" t="s">
        <v>1607</v>
      </c>
      <c r="D1344" s="201" t="s">
        <v>1956</v>
      </c>
    </row>
    <row r="1345" spans="2:4">
      <c r="B1345" s="198" t="s">
        <v>1045</v>
      </c>
      <c r="C1345" s="154" t="s">
        <v>1522</v>
      </c>
      <c r="D1345" s="201" t="s">
        <v>1953</v>
      </c>
    </row>
    <row r="1346" spans="2:4">
      <c r="B1346" s="198" t="s">
        <v>725</v>
      </c>
      <c r="C1346" s="154" t="s">
        <v>1765</v>
      </c>
      <c r="D1346" s="201" t="s">
        <v>1956</v>
      </c>
    </row>
    <row r="1347" spans="2:4">
      <c r="B1347" s="198" t="s">
        <v>2953</v>
      </c>
      <c r="C1347" s="154" t="s">
        <v>4053</v>
      </c>
      <c r="D1347" s="201" t="s">
        <v>2216</v>
      </c>
    </row>
    <row r="1348" spans="2:4">
      <c r="B1348" s="198"/>
      <c r="C1348" s="154"/>
      <c r="D1348" s="201"/>
    </row>
    <row r="1349" spans="2:4">
      <c r="B1349" s="198" t="s">
        <v>893</v>
      </c>
      <c r="C1349" s="154" t="s">
        <v>1821</v>
      </c>
      <c r="D1349" s="201" t="s">
        <v>1953</v>
      </c>
    </row>
    <row r="1350" spans="2:4">
      <c r="B1350" s="198" t="s">
        <v>875</v>
      </c>
      <c r="C1350" s="154" t="s">
        <v>1567</v>
      </c>
      <c r="D1350" s="201" t="s">
        <v>1953</v>
      </c>
    </row>
    <row r="1351" spans="2:4">
      <c r="B1351" s="198" t="s">
        <v>1079</v>
      </c>
      <c r="C1351" s="154" t="s">
        <v>1845</v>
      </c>
      <c r="D1351" s="201" t="s">
        <v>1951</v>
      </c>
    </row>
    <row r="1352" spans="2:4">
      <c r="B1352" s="198" t="s">
        <v>883</v>
      </c>
      <c r="C1352" s="154" t="s">
        <v>151</v>
      </c>
      <c r="D1352" s="201" t="s">
        <v>1954</v>
      </c>
    </row>
    <row r="1353" spans="2:4">
      <c r="B1353" s="198" t="s">
        <v>1339</v>
      </c>
      <c r="C1353" s="154" t="s">
        <v>150</v>
      </c>
      <c r="D1353" s="201" t="s">
        <v>1951</v>
      </c>
    </row>
    <row r="1354" spans="2:4">
      <c r="B1354" s="198" t="s">
        <v>902</v>
      </c>
      <c r="C1354" s="154" t="s">
        <v>1649</v>
      </c>
      <c r="D1354" s="201" t="s">
        <v>1954</v>
      </c>
    </row>
    <row r="1355" spans="2:4">
      <c r="B1355" s="198" t="s">
        <v>942</v>
      </c>
      <c r="C1355" s="154" t="s">
        <v>1844</v>
      </c>
      <c r="D1355" s="201" t="s">
        <v>1955</v>
      </c>
    </row>
    <row r="1356" spans="2:4">
      <c r="B1356" s="198" t="s">
        <v>1101</v>
      </c>
      <c r="C1356" s="154" t="s">
        <v>1884</v>
      </c>
      <c r="D1356" s="201" t="s">
        <v>1956</v>
      </c>
    </row>
    <row r="1357" spans="2:4">
      <c r="B1357" s="198" t="s">
        <v>2505</v>
      </c>
      <c r="C1357" s="154" t="s">
        <v>151</v>
      </c>
      <c r="D1357" s="201" t="s">
        <v>1954</v>
      </c>
    </row>
    <row r="1358" spans="2:4">
      <c r="B1358" s="198" t="s">
        <v>856</v>
      </c>
      <c r="C1358" s="154" t="s">
        <v>1542</v>
      </c>
      <c r="D1358" s="201" t="s">
        <v>1953</v>
      </c>
    </row>
    <row r="1359" spans="2:4">
      <c r="B1359" s="198" t="s">
        <v>456</v>
      </c>
      <c r="C1359" s="154" t="s">
        <v>1669</v>
      </c>
      <c r="D1359" s="201" t="s">
        <v>1959</v>
      </c>
    </row>
    <row r="1360" spans="2:4">
      <c r="B1360" s="198" t="s">
        <v>678</v>
      </c>
      <c r="C1360" s="154" t="s">
        <v>1543</v>
      </c>
      <c r="D1360" s="201" t="s">
        <v>1955</v>
      </c>
    </row>
    <row r="1361" spans="2:4">
      <c r="B1361" s="198" t="s">
        <v>210</v>
      </c>
      <c r="C1361" s="154" t="s">
        <v>1540</v>
      </c>
      <c r="D1361" s="201" t="s">
        <v>1959</v>
      </c>
    </row>
    <row r="1362" spans="2:4">
      <c r="B1362" s="198" t="s">
        <v>1136</v>
      </c>
      <c r="C1362" s="154" t="s">
        <v>1859</v>
      </c>
      <c r="D1362" s="201" t="s">
        <v>1956</v>
      </c>
    </row>
    <row r="1363" spans="2:4">
      <c r="B1363" s="198" t="s">
        <v>1047</v>
      </c>
      <c r="C1363" s="154" t="s">
        <v>1876</v>
      </c>
      <c r="D1363" s="201" t="s">
        <v>1956</v>
      </c>
    </row>
    <row r="1364" spans="2:4">
      <c r="B1364" s="198" t="s">
        <v>1070</v>
      </c>
      <c r="C1364" s="154" t="s">
        <v>1562</v>
      </c>
      <c r="D1364" s="201" t="s">
        <v>1951</v>
      </c>
    </row>
    <row r="1365" spans="2:4">
      <c r="B1365" s="198" t="s">
        <v>986</v>
      </c>
      <c r="C1365" s="154" t="s">
        <v>1732</v>
      </c>
      <c r="D1365" s="201" t="s">
        <v>1955</v>
      </c>
    </row>
    <row r="1366" spans="2:4">
      <c r="B1366" s="198" t="s">
        <v>443</v>
      </c>
      <c r="C1366" s="154" t="s">
        <v>1663</v>
      </c>
      <c r="D1366" s="201" t="s">
        <v>1955</v>
      </c>
    </row>
    <row r="1367" spans="2:4">
      <c r="B1367" s="198" t="s">
        <v>997</v>
      </c>
      <c r="C1367" s="154" t="s">
        <v>1854</v>
      </c>
      <c r="D1367" s="201" t="s">
        <v>1951</v>
      </c>
    </row>
    <row r="1368" spans="2:4">
      <c r="B1368" s="198" t="s">
        <v>605</v>
      </c>
      <c r="C1368" s="154" t="s">
        <v>151</v>
      </c>
      <c r="D1368" s="201" t="s">
        <v>1954</v>
      </c>
    </row>
    <row r="1369" spans="2:4">
      <c r="B1369" s="198" t="s">
        <v>1137</v>
      </c>
      <c r="C1369" s="154" t="s">
        <v>1819</v>
      </c>
      <c r="D1369" s="201" t="s">
        <v>1956</v>
      </c>
    </row>
    <row r="1370" spans="2:4">
      <c r="B1370" s="198" t="s">
        <v>2954</v>
      </c>
      <c r="C1370" s="154" t="s">
        <v>1782</v>
      </c>
      <c r="D1370" s="201" t="s">
        <v>1960</v>
      </c>
    </row>
    <row r="1371" spans="2:4">
      <c r="B1371" s="198" t="s">
        <v>998</v>
      </c>
      <c r="C1371" s="154" t="s">
        <v>1854</v>
      </c>
      <c r="D1371" s="201" t="s">
        <v>1951</v>
      </c>
    </row>
    <row r="1372" spans="2:4">
      <c r="B1372" s="198" t="s">
        <v>2229</v>
      </c>
      <c r="C1372" s="154" t="s">
        <v>2199</v>
      </c>
      <c r="D1372" s="201" t="s">
        <v>1959</v>
      </c>
    </row>
    <row r="1373" spans="2:4">
      <c r="B1373" s="198" t="s">
        <v>402</v>
      </c>
      <c r="C1373" s="154" t="s">
        <v>1637</v>
      </c>
      <c r="D1373" s="201" t="s">
        <v>1951</v>
      </c>
    </row>
    <row r="1374" spans="2:4">
      <c r="B1374" s="198" t="s">
        <v>2877</v>
      </c>
      <c r="C1374" s="154" t="s">
        <v>1637</v>
      </c>
      <c r="D1374" s="201" t="s">
        <v>1951</v>
      </c>
    </row>
    <row r="1375" spans="2:4">
      <c r="B1375" s="198" t="s">
        <v>1018</v>
      </c>
      <c r="C1375" s="154" t="s">
        <v>151</v>
      </c>
      <c r="D1375" s="201" t="s">
        <v>1951</v>
      </c>
    </row>
    <row r="1376" spans="2:4">
      <c r="B1376" s="198" t="s">
        <v>1972</v>
      </c>
      <c r="C1376" s="154" t="s">
        <v>2132</v>
      </c>
      <c r="D1376" s="201" t="s">
        <v>2217</v>
      </c>
    </row>
    <row r="1377" spans="2:4">
      <c r="B1377" s="198" t="s">
        <v>2069</v>
      </c>
      <c r="C1377" s="154" t="s">
        <v>2167</v>
      </c>
      <c r="D1377" s="201" t="s">
        <v>2217</v>
      </c>
    </row>
    <row r="1378" spans="2:4">
      <c r="B1378" s="198" t="s">
        <v>2071</v>
      </c>
      <c r="C1378" s="154" t="s">
        <v>2184</v>
      </c>
      <c r="D1378" s="201" t="s">
        <v>2217</v>
      </c>
    </row>
    <row r="1379" spans="2:4">
      <c r="B1379" s="198" t="s">
        <v>2766</v>
      </c>
      <c r="C1379" s="154" t="s">
        <v>1583</v>
      </c>
      <c r="D1379" s="201" t="s">
        <v>1952</v>
      </c>
    </row>
    <row r="1380" spans="2:4">
      <c r="B1380" s="198" t="s">
        <v>2048</v>
      </c>
      <c r="C1380" s="154" t="s">
        <v>2180</v>
      </c>
      <c r="D1380" s="201" t="s">
        <v>2217</v>
      </c>
    </row>
    <row r="1381" spans="2:4">
      <c r="B1381" s="198" t="s">
        <v>2053</v>
      </c>
      <c r="C1381" s="154" t="s">
        <v>2180</v>
      </c>
      <c r="D1381" s="201" t="s">
        <v>2217</v>
      </c>
    </row>
    <row r="1382" spans="2:4">
      <c r="B1382" s="198" t="s">
        <v>2004</v>
      </c>
      <c r="C1382" s="154" t="s">
        <v>2125</v>
      </c>
      <c r="D1382" s="201" t="s">
        <v>2217</v>
      </c>
    </row>
    <row r="1383" spans="2:4">
      <c r="B1383" s="198" t="s">
        <v>2008</v>
      </c>
      <c r="C1383" s="154" t="s">
        <v>2125</v>
      </c>
      <c r="D1383" s="201" t="s">
        <v>2217</v>
      </c>
    </row>
    <row r="1384" spans="2:4">
      <c r="B1384" s="198" t="s">
        <v>1965</v>
      </c>
      <c r="C1384" s="154" t="s">
        <v>2127</v>
      </c>
      <c r="D1384" s="201" t="s">
        <v>2217</v>
      </c>
    </row>
    <row r="1385" spans="2:4">
      <c r="B1385" s="198" t="s">
        <v>2014</v>
      </c>
      <c r="C1385" s="154" t="s">
        <v>2125</v>
      </c>
      <c r="D1385" s="201" t="s">
        <v>2217</v>
      </c>
    </row>
    <row r="1386" spans="2:4">
      <c r="B1386" s="198" t="s">
        <v>2009</v>
      </c>
      <c r="C1386" s="154" t="s">
        <v>2125</v>
      </c>
      <c r="D1386" s="201" t="s">
        <v>2217</v>
      </c>
    </row>
    <row r="1387" spans="2:4">
      <c r="B1387" s="198" t="s">
        <v>2073</v>
      </c>
      <c r="C1387" s="154" t="s">
        <v>2125</v>
      </c>
      <c r="D1387" s="201" t="s">
        <v>2217</v>
      </c>
    </row>
    <row r="1388" spans="2:4">
      <c r="B1388" s="198" t="s">
        <v>2077</v>
      </c>
      <c r="C1388" s="154" t="s">
        <v>2125</v>
      </c>
      <c r="D1388" s="201" t="s">
        <v>2217</v>
      </c>
    </row>
    <row r="1389" spans="2:4">
      <c r="B1389" s="198" t="s">
        <v>2011</v>
      </c>
      <c r="C1389" s="154" t="s">
        <v>2160</v>
      </c>
      <c r="D1389" s="201" t="s">
        <v>2217</v>
      </c>
    </row>
    <row r="1390" spans="2:4">
      <c r="B1390" s="198" t="s">
        <v>1963</v>
      </c>
      <c r="C1390" s="154" t="s">
        <v>2125</v>
      </c>
      <c r="D1390" s="201" t="s">
        <v>2217</v>
      </c>
    </row>
    <row r="1391" spans="2:4">
      <c r="B1391" s="198" t="s">
        <v>2049</v>
      </c>
      <c r="C1391" s="154" t="s">
        <v>1798</v>
      </c>
      <c r="D1391" s="201" t="s">
        <v>2217</v>
      </c>
    </row>
    <row r="1392" spans="2:4">
      <c r="B1392" s="198" t="s">
        <v>1969</v>
      </c>
      <c r="C1392" s="154" t="s">
        <v>2125</v>
      </c>
      <c r="D1392" s="201" t="s">
        <v>2217</v>
      </c>
    </row>
    <row r="1393" spans="2:4">
      <c r="B1393" s="198" t="s">
        <v>2003</v>
      </c>
      <c r="C1393" s="154" t="s">
        <v>2125</v>
      </c>
      <c r="D1393" s="201" t="s">
        <v>2217</v>
      </c>
    </row>
    <row r="1394" spans="2:4">
      <c r="B1394" s="198" t="s">
        <v>2000</v>
      </c>
      <c r="C1394" s="154" t="s">
        <v>2125</v>
      </c>
      <c r="D1394" s="201" t="s">
        <v>2217</v>
      </c>
    </row>
    <row r="1395" spans="2:4">
      <c r="B1395" s="198" t="s">
        <v>2663</v>
      </c>
      <c r="C1395" s="154" t="s">
        <v>150</v>
      </c>
      <c r="D1395" s="201" t="s">
        <v>1951</v>
      </c>
    </row>
    <row r="1396" spans="2:4">
      <c r="B1396" s="198" t="s">
        <v>2060</v>
      </c>
      <c r="C1396" s="154" t="s">
        <v>2164</v>
      </c>
      <c r="D1396" s="201" t="s">
        <v>2217</v>
      </c>
    </row>
    <row r="1397" spans="2:4">
      <c r="B1397" s="198" t="s">
        <v>2055</v>
      </c>
      <c r="C1397" s="154" t="s">
        <v>2164</v>
      </c>
      <c r="D1397" s="201" t="s">
        <v>2217</v>
      </c>
    </row>
    <row r="1398" spans="2:4">
      <c r="B1398" s="198" t="s">
        <v>1966</v>
      </c>
      <c r="C1398" s="154" t="s">
        <v>2128</v>
      </c>
      <c r="D1398" s="201" t="s">
        <v>2217</v>
      </c>
    </row>
    <row r="1399" spans="2:4">
      <c r="B1399" s="198" t="s">
        <v>1979</v>
      </c>
      <c r="C1399" s="154" t="s">
        <v>2139</v>
      </c>
      <c r="D1399" s="201" t="s">
        <v>2217</v>
      </c>
    </row>
    <row r="1400" spans="2:4">
      <c r="B1400" s="198" t="s">
        <v>748</v>
      </c>
      <c r="C1400" s="154" t="s">
        <v>152</v>
      </c>
      <c r="D1400" s="201" t="s">
        <v>1952</v>
      </c>
    </row>
    <row r="1401" spans="2:4">
      <c r="B1401" s="198" t="s">
        <v>2062</v>
      </c>
      <c r="C1401" s="154" t="s">
        <v>2174</v>
      </c>
      <c r="D1401" s="201" t="s">
        <v>2217</v>
      </c>
    </row>
    <row r="1402" spans="2:4">
      <c r="B1402" s="198" t="s">
        <v>2054</v>
      </c>
      <c r="C1402" s="154" t="s">
        <v>2174</v>
      </c>
      <c r="D1402" s="201" t="s">
        <v>2217</v>
      </c>
    </row>
    <row r="1403" spans="2:4">
      <c r="B1403" s="198" t="s">
        <v>2031</v>
      </c>
      <c r="C1403" s="154" t="s">
        <v>2174</v>
      </c>
      <c r="D1403" s="201" t="s">
        <v>2217</v>
      </c>
    </row>
    <row r="1404" spans="2:4">
      <c r="B1404" s="198" t="s">
        <v>2798</v>
      </c>
      <c r="C1404" s="154" t="s">
        <v>3031</v>
      </c>
      <c r="D1404" s="201" t="s">
        <v>1954</v>
      </c>
    </row>
    <row r="1405" spans="2:4">
      <c r="B1405" s="198" t="s">
        <v>2046</v>
      </c>
      <c r="C1405" s="154" t="s">
        <v>2176</v>
      </c>
      <c r="D1405" s="201" t="s">
        <v>2217</v>
      </c>
    </row>
    <row r="1406" spans="2:4">
      <c r="B1406" s="198" t="s">
        <v>2052</v>
      </c>
      <c r="C1406" s="154" t="s">
        <v>2176</v>
      </c>
      <c r="D1406" s="201" t="s">
        <v>2217</v>
      </c>
    </row>
    <row r="1407" spans="2:4">
      <c r="B1407" s="198" t="s">
        <v>2045</v>
      </c>
      <c r="C1407" s="154" t="s">
        <v>2176</v>
      </c>
      <c r="D1407" s="201" t="s">
        <v>2217</v>
      </c>
    </row>
    <row r="1408" spans="2:4">
      <c r="B1408" s="198" t="s">
        <v>2051</v>
      </c>
      <c r="C1408" s="154" t="s">
        <v>2176</v>
      </c>
      <c r="D1408" s="201" t="s">
        <v>2217</v>
      </c>
    </row>
    <row r="1409" spans="2:4">
      <c r="B1409" s="198" t="s">
        <v>2033</v>
      </c>
      <c r="C1409" s="154" t="s">
        <v>2176</v>
      </c>
      <c r="D1409" s="201" t="s">
        <v>2217</v>
      </c>
    </row>
    <row r="1410" spans="2:4">
      <c r="B1410" s="198" t="s">
        <v>2058</v>
      </c>
      <c r="C1410" s="154" t="s">
        <v>2176</v>
      </c>
      <c r="D1410" s="201" t="s">
        <v>2217</v>
      </c>
    </row>
    <row r="1411" spans="2:4">
      <c r="B1411" s="198" t="s">
        <v>2059</v>
      </c>
      <c r="C1411" s="154" t="s">
        <v>2176</v>
      </c>
      <c r="D1411" s="201" t="s">
        <v>2217</v>
      </c>
    </row>
    <row r="1412" spans="2:4">
      <c r="B1412" s="198" t="s">
        <v>2064</v>
      </c>
      <c r="C1412" s="154" t="s">
        <v>2176</v>
      </c>
      <c r="D1412" s="201" t="s">
        <v>2217</v>
      </c>
    </row>
    <row r="1413" spans="2:4">
      <c r="B1413" s="198" t="s">
        <v>2050</v>
      </c>
      <c r="C1413" s="154" t="s">
        <v>2176</v>
      </c>
      <c r="D1413" s="201" t="s">
        <v>2217</v>
      </c>
    </row>
    <row r="1414" spans="2:4">
      <c r="B1414" s="198" t="s">
        <v>2035</v>
      </c>
      <c r="C1414" s="154" t="s">
        <v>2176</v>
      </c>
      <c r="D1414" s="201" t="s">
        <v>2217</v>
      </c>
    </row>
    <row r="1415" spans="2:4">
      <c r="B1415" s="198" t="s">
        <v>2039</v>
      </c>
      <c r="C1415" s="154" t="s">
        <v>2176</v>
      </c>
      <c r="D1415" s="201" t="s">
        <v>2217</v>
      </c>
    </row>
    <row r="1416" spans="2:4">
      <c r="B1416" s="198" t="s">
        <v>2040</v>
      </c>
      <c r="C1416" s="154" t="s">
        <v>2176</v>
      </c>
      <c r="D1416" s="201" t="s">
        <v>2217</v>
      </c>
    </row>
    <row r="1417" spans="2:4">
      <c r="B1417" s="198" t="s">
        <v>2061</v>
      </c>
      <c r="C1417" s="154" t="s">
        <v>2176</v>
      </c>
      <c r="D1417" s="201" t="s">
        <v>2217</v>
      </c>
    </row>
    <row r="1418" spans="2:4">
      <c r="B1418" s="198" t="s">
        <v>2041</v>
      </c>
      <c r="C1418" s="154" t="s">
        <v>2133</v>
      </c>
      <c r="D1418" s="201" t="s">
        <v>2217</v>
      </c>
    </row>
    <row r="1419" spans="2:4">
      <c r="B1419" s="198" t="s">
        <v>2034</v>
      </c>
      <c r="C1419" s="154" t="s">
        <v>2133</v>
      </c>
      <c r="D1419" s="201" t="s">
        <v>2217</v>
      </c>
    </row>
    <row r="1420" spans="2:4">
      <c r="B1420" s="198" t="s">
        <v>2047</v>
      </c>
      <c r="C1420" s="154" t="s">
        <v>2133</v>
      </c>
      <c r="D1420" s="201" t="s">
        <v>2217</v>
      </c>
    </row>
    <row r="1421" spans="2:4">
      <c r="B1421" s="198" t="s">
        <v>1973</v>
      </c>
      <c r="C1421" s="154" t="s">
        <v>2133</v>
      </c>
      <c r="D1421" s="201" t="s">
        <v>2217</v>
      </c>
    </row>
    <row r="1422" spans="2:4">
      <c r="B1422" s="198" t="s">
        <v>2043</v>
      </c>
      <c r="C1422" s="154" t="s">
        <v>2133</v>
      </c>
      <c r="D1422" s="201" t="s">
        <v>2217</v>
      </c>
    </row>
    <row r="1423" spans="2:4">
      <c r="B1423" s="198" t="s">
        <v>1995</v>
      </c>
      <c r="C1423" s="154" t="s">
        <v>2154</v>
      </c>
      <c r="D1423" s="201" t="s">
        <v>2217</v>
      </c>
    </row>
    <row r="1424" spans="2:4">
      <c r="B1424" s="198" t="s">
        <v>1996</v>
      </c>
      <c r="C1424" s="154" t="s">
        <v>2154</v>
      </c>
      <c r="D1424" s="201" t="s">
        <v>2217</v>
      </c>
    </row>
    <row r="1425" spans="2:4">
      <c r="B1425" s="198" t="s">
        <v>2038</v>
      </c>
      <c r="C1425" s="154" t="s">
        <v>2154</v>
      </c>
      <c r="D1425" s="201" t="s">
        <v>2217</v>
      </c>
    </row>
    <row r="1426" spans="2:4">
      <c r="B1426" s="198" t="s">
        <v>2013</v>
      </c>
      <c r="C1426" s="154" t="s">
        <v>2125</v>
      </c>
      <c r="D1426" s="201" t="s">
        <v>2217</v>
      </c>
    </row>
    <row r="1427" spans="2:4">
      <c r="B1427" s="198" t="s">
        <v>2022</v>
      </c>
      <c r="C1427" s="154" t="s">
        <v>2168</v>
      </c>
      <c r="D1427" s="201" t="s">
        <v>2217</v>
      </c>
    </row>
    <row r="1428" spans="2:4">
      <c r="B1428" s="198" t="s">
        <v>2023</v>
      </c>
      <c r="C1428" s="154" t="s">
        <v>2169</v>
      </c>
      <c r="D1428" s="201" t="s">
        <v>2217</v>
      </c>
    </row>
    <row r="1429" spans="2:4">
      <c r="B1429" s="198" t="s">
        <v>2001</v>
      </c>
      <c r="C1429" s="154" t="s">
        <v>2156</v>
      </c>
      <c r="D1429" s="201" t="s">
        <v>2217</v>
      </c>
    </row>
    <row r="1430" spans="2:4">
      <c r="B1430" s="198" t="s">
        <v>2032</v>
      </c>
      <c r="C1430" s="154" t="s">
        <v>2175</v>
      </c>
      <c r="D1430" s="201" t="s">
        <v>2217</v>
      </c>
    </row>
    <row r="1431" spans="2:4">
      <c r="B1431" s="198" t="s">
        <v>1355</v>
      </c>
      <c r="C1431" s="154" t="s">
        <v>1519</v>
      </c>
      <c r="D1431" s="201" t="s">
        <v>1951</v>
      </c>
    </row>
    <row r="1432" spans="2:4">
      <c r="B1432" s="198" t="s">
        <v>1066</v>
      </c>
      <c r="C1432" s="154" t="s">
        <v>1880</v>
      </c>
      <c r="D1432" s="201" t="s">
        <v>1953</v>
      </c>
    </row>
    <row r="1433" spans="2:4">
      <c r="B1433" s="198" t="s">
        <v>399</v>
      </c>
      <c r="C1433" s="154" t="s">
        <v>1534</v>
      </c>
      <c r="D1433" s="201" t="s">
        <v>1951</v>
      </c>
    </row>
    <row r="1434" spans="2:4">
      <c r="B1434" s="198" t="s">
        <v>1161</v>
      </c>
      <c r="C1434" s="154" t="s">
        <v>1900</v>
      </c>
      <c r="D1434" s="201" t="s">
        <v>1952</v>
      </c>
    </row>
    <row r="1435" spans="2:4">
      <c r="B1435" s="198" t="s">
        <v>1435</v>
      </c>
      <c r="C1435" s="154" t="s">
        <v>151</v>
      </c>
      <c r="D1435" s="201" t="s">
        <v>1954</v>
      </c>
    </row>
    <row r="1436" spans="2:4">
      <c r="B1436" s="198" t="s">
        <v>683</v>
      </c>
      <c r="C1436" s="154" t="s">
        <v>1511</v>
      </c>
      <c r="D1436" s="201" t="s">
        <v>1951</v>
      </c>
    </row>
    <row r="1437" spans="2:4">
      <c r="B1437" s="198" t="s">
        <v>1384</v>
      </c>
      <c r="C1437" s="154" t="s">
        <v>1844</v>
      </c>
      <c r="D1437" s="201" t="s">
        <v>1955</v>
      </c>
    </row>
    <row r="1438" spans="2:4">
      <c r="B1438" s="198" t="s">
        <v>1500</v>
      </c>
      <c r="C1438" s="154" t="s">
        <v>1631</v>
      </c>
      <c r="D1438" s="201" t="s">
        <v>1951</v>
      </c>
    </row>
    <row r="1439" spans="2:4">
      <c r="B1439" s="198" t="s">
        <v>689</v>
      </c>
      <c r="C1439" s="154" t="s">
        <v>1544</v>
      </c>
      <c r="D1439" s="201" t="s">
        <v>1951</v>
      </c>
    </row>
    <row r="1440" spans="2:4">
      <c r="B1440" s="198" t="s">
        <v>943</v>
      </c>
      <c r="C1440" s="154" t="s">
        <v>1845</v>
      </c>
      <c r="D1440" s="201" t="s">
        <v>1951</v>
      </c>
    </row>
    <row r="1441" spans="2:4">
      <c r="B1441" s="198" t="s">
        <v>673</v>
      </c>
      <c r="C1441" s="154" t="s">
        <v>1749</v>
      </c>
      <c r="D1441" s="201" t="s">
        <v>1956</v>
      </c>
    </row>
    <row r="1442" spans="2:4">
      <c r="B1442" s="198" t="s">
        <v>793</v>
      </c>
      <c r="C1442" s="154" t="s">
        <v>1789</v>
      </c>
      <c r="D1442" s="201" t="s">
        <v>1954</v>
      </c>
    </row>
    <row r="1443" spans="2:4">
      <c r="B1443" s="198" t="s">
        <v>1046</v>
      </c>
      <c r="C1443" s="154" t="s">
        <v>1522</v>
      </c>
      <c r="D1443" s="201" t="s">
        <v>1953</v>
      </c>
    </row>
    <row r="1444" spans="2:4">
      <c r="B1444" s="198" t="s">
        <v>928</v>
      </c>
      <c r="C1444" s="154" t="s">
        <v>149</v>
      </c>
      <c r="D1444" s="201" t="s">
        <v>1956</v>
      </c>
    </row>
    <row r="1445" spans="2:4">
      <c r="B1445" s="198" t="s">
        <v>903</v>
      </c>
      <c r="C1445" s="154" t="s">
        <v>1522</v>
      </c>
      <c r="D1445" s="201" t="s">
        <v>1953</v>
      </c>
    </row>
    <row r="1446" spans="2:4">
      <c r="B1446" s="198" t="s">
        <v>882</v>
      </c>
      <c r="C1446" s="154" t="s">
        <v>1816</v>
      </c>
      <c r="D1446" s="201" t="s">
        <v>1954</v>
      </c>
    </row>
    <row r="1447" spans="2:4">
      <c r="B1447" s="198" t="s">
        <v>749</v>
      </c>
      <c r="C1447" s="154" t="s">
        <v>149</v>
      </c>
      <c r="D1447" s="201" t="s">
        <v>1956</v>
      </c>
    </row>
    <row r="1448" spans="2:4">
      <c r="B1448" s="198" t="s">
        <v>601</v>
      </c>
      <c r="C1448" s="154" t="s">
        <v>1581</v>
      </c>
      <c r="D1448" s="201" t="s">
        <v>1955</v>
      </c>
    </row>
    <row r="1449" spans="2:4">
      <c r="B1449" s="198" t="s">
        <v>884</v>
      </c>
      <c r="C1449" s="154" t="s">
        <v>151</v>
      </c>
      <c r="D1449" s="201" t="s">
        <v>1954</v>
      </c>
    </row>
    <row r="1450" spans="2:4">
      <c r="B1450" s="198" t="s">
        <v>904</v>
      </c>
      <c r="C1450" s="154" t="s">
        <v>151</v>
      </c>
      <c r="D1450" s="201" t="s">
        <v>1954</v>
      </c>
    </row>
    <row r="1451" spans="2:4">
      <c r="B1451" s="198" t="s">
        <v>1063</v>
      </c>
      <c r="C1451" s="154" t="s">
        <v>151</v>
      </c>
      <c r="D1451" s="201" t="s">
        <v>1951</v>
      </c>
    </row>
    <row r="1452" spans="2:4">
      <c r="B1452" s="198" t="s">
        <v>697</v>
      </c>
      <c r="C1452" s="154" t="s">
        <v>151</v>
      </c>
      <c r="D1452" s="201" t="s">
        <v>1954</v>
      </c>
    </row>
    <row r="1453" spans="2:4">
      <c r="B1453" s="198" t="s">
        <v>905</v>
      </c>
      <c r="C1453" s="154" t="s">
        <v>151</v>
      </c>
      <c r="D1453" s="201" t="s">
        <v>1954</v>
      </c>
    </row>
    <row r="1454" spans="2:4">
      <c r="B1454" s="198" t="s">
        <v>894</v>
      </c>
      <c r="C1454" s="154" t="s">
        <v>1822</v>
      </c>
      <c r="D1454" s="201" t="s">
        <v>1951</v>
      </c>
    </row>
    <row r="1455" spans="2:4">
      <c r="B1455" s="198" t="s">
        <v>1177</v>
      </c>
      <c r="C1455" s="154" t="s">
        <v>1595</v>
      </c>
      <c r="D1455" s="201" t="s">
        <v>1956</v>
      </c>
    </row>
    <row r="1456" spans="2:4">
      <c r="B1456" s="198" t="s">
        <v>2745</v>
      </c>
      <c r="C1456" s="154" t="s">
        <v>2928</v>
      </c>
      <c r="D1456" s="201" t="s">
        <v>1954</v>
      </c>
    </row>
    <row r="1457" spans="2:4">
      <c r="B1457" s="198" t="s">
        <v>2761</v>
      </c>
      <c r="C1457" s="154" t="s">
        <v>1631</v>
      </c>
      <c r="D1457" s="201" t="s">
        <v>1951</v>
      </c>
    </row>
    <row r="1458" spans="2:4">
      <c r="B1458" s="198" t="s">
        <v>2619</v>
      </c>
      <c r="C1458" s="154" t="s">
        <v>150</v>
      </c>
      <c r="D1458" s="201" t="s">
        <v>1951</v>
      </c>
    </row>
    <row r="1459" spans="2:4">
      <c r="B1459" s="198" t="s">
        <v>2261</v>
      </c>
      <c r="C1459" s="154" t="s">
        <v>1518</v>
      </c>
      <c r="D1459" s="201" t="s">
        <v>1957</v>
      </c>
    </row>
    <row r="1460" spans="2:4">
      <c r="B1460" s="198" t="s">
        <v>670</v>
      </c>
      <c r="C1460" s="154" t="s">
        <v>1739</v>
      </c>
      <c r="D1460" s="201" t="s">
        <v>1956</v>
      </c>
    </row>
    <row r="1461" spans="2:4">
      <c r="B1461" s="198" t="s">
        <v>1344</v>
      </c>
      <c r="C1461" s="154" t="s">
        <v>153</v>
      </c>
      <c r="D1461" s="201" t="s">
        <v>1951</v>
      </c>
    </row>
    <row r="1462" spans="2:4">
      <c r="B1462" s="198" t="s">
        <v>2597</v>
      </c>
      <c r="C1462" s="154" t="s">
        <v>1761</v>
      </c>
      <c r="D1462" s="201" t="s">
        <v>1953</v>
      </c>
    </row>
    <row r="1463" spans="2:4">
      <c r="B1463" s="198" t="s">
        <v>2875</v>
      </c>
      <c r="C1463" s="154" t="s">
        <v>1739</v>
      </c>
      <c r="D1463" s="201" t="s">
        <v>1956</v>
      </c>
    </row>
    <row r="1464" spans="2:4">
      <c r="B1464" s="198" t="s">
        <v>694</v>
      </c>
      <c r="C1464" s="154" t="s">
        <v>1731</v>
      </c>
      <c r="D1464" s="201" t="s">
        <v>1953</v>
      </c>
    </row>
    <row r="1465" spans="2:4">
      <c r="B1465" s="198" t="s">
        <v>594</v>
      </c>
      <c r="C1465" s="154" t="s">
        <v>1720</v>
      </c>
      <c r="D1465" s="201" t="s">
        <v>1956</v>
      </c>
    </row>
    <row r="1466" spans="2:4">
      <c r="B1466" s="198" t="s">
        <v>755</v>
      </c>
      <c r="C1466" s="154" t="s">
        <v>1778</v>
      </c>
      <c r="D1466" s="201" t="s">
        <v>1951</v>
      </c>
    </row>
    <row r="1467" spans="2:4">
      <c r="B1467" s="198" t="s">
        <v>2269</v>
      </c>
      <c r="C1467" s="154" t="s">
        <v>1518</v>
      </c>
      <c r="D1467" s="201" t="s">
        <v>1957</v>
      </c>
    </row>
    <row r="1468" spans="2:4">
      <c r="B1468" s="198" t="s">
        <v>2259</v>
      </c>
      <c r="C1468" s="154" t="s">
        <v>2209</v>
      </c>
      <c r="D1468" s="201" t="s">
        <v>2216</v>
      </c>
    </row>
    <row r="1469" spans="2:4">
      <c r="B1469" s="198" t="s">
        <v>651</v>
      </c>
      <c r="C1469" s="154" t="s">
        <v>1739</v>
      </c>
      <c r="D1469" s="201" t="s">
        <v>1956</v>
      </c>
    </row>
    <row r="1470" spans="2:4">
      <c r="B1470" s="198" t="s">
        <v>1474</v>
      </c>
      <c r="C1470" s="154" t="s">
        <v>1940</v>
      </c>
      <c r="D1470" s="201" t="s">
        <v>1956</v>
      </c>
    </row>
    <row r="1471" spans="2:4">
      <c r="B1471" s="198" t="s">
        <v>591</v>
      </c>
      <c r="C1471" s="154" t="s">
        <v>142</v>
      </c>
      <c r="D1471" s="201" t="s">
        <v>1954</v>
      </c>
    </row>
    <row r="1472" spans="2:4">
      <c r="B1472" s="198" t="s">
        <v>1024</v>
      </c>
      <c r="C1472" s="154" t="s">
        <v>1739</v>
      </c>
      <c r="D1472" s="201" t="s">
        <v>1956</v>
      </c>
    </row>
    <row r="1473" spans="2:4">
      <c r="B1473" s="198" t="s">
        <v>695</v>
      </c>
      <c r="C1473" s="154" t="s">
        <v>1544</v>
      </c>
      <c r="D1473" s="201" t="s">
        <v>1951</v>
      </c>
    </row>
    <row r="1474" spans="2:4">
      <c r="B1474" s="198" t="s">
        <v>381</v>
      </c>
      <c r="C1474" s="154" t="s">
        <v>1626</v>
      </c>
      <c r="D1474" s="201" t="s">
        <v>1951</v>
      </c>
    </row>
    <row r="1475" spans="2:4">
      <c r="B1475" s="198" t="s">
        <v>1021</v>
      </c>
      <c r="C1475" s="154" t="s">
        <v>1625</v>
      </c>
      <c r="D1475" s="201" t="s">
        <v>1951</v>
      </c>
    </row>
    <row r="1476" spans="2:4">
      <c r="B1476" s="198" t="s">
        <v>1142</v>
      </c>
      <c r="C1476" s="154" t="s">
        <v>1657</v>
      </c>
      <c r="D1476" s="201" t="s">
        <v>1956</v>
      </c>
    </row>
    <row r="1477" spans="2:4">
      <c r="B1477" s="198" t="s">
        <v>724</v>
      </c>
      <c r="C1477" s="154" t="s">
        <v>1764</v>
      </c>
      <c r="D1477" s="201" t="s">
        <v>1951</v>
      </c>
    </row>
    <row r="1478" spans="2:4">
      <c r="B1478" s="198" t="s">
        <v>992</v>
      </c>
      <c r="C1478" s="154" t="s">
        <v>1764</v>
      </c>
      <c r="D1478" s="201" t="s">
        <v>1951</v>
      </c>
    </row>
    <row r="1479" spans="2:4">
      <c r="B1479" s="198" t="s">
        <v>2342</v>
      </c>
      <c r="C1479" s="154" t="s">
        <v>1688</v>
      </c>
      <c r="D1479" s="201" t="s">
        <v>1959</v>
      </c>
    </row>
    <row r="1480" spans="2:4">
      <c r="B1480" s="198" t="s">
        <v>633</v>
      </c>
      <c r="C1480" s="154" t="s">
        <v>150</v>
      </c>
      <c r="D1480" s="201" t="s">
        <v>1951</v>
      </c>
    </row>
    <row r="1481" spans="2:4">
      <c r="B1481" s="198" t="s">
        <v>1080</v>
      </c>
      <c r="C1481" s="154" t="s">
        <v>1883</v>
      </c>
      <c r="D1481" s="201" t="s">
        <v>1951</v>
      </c>
    </row>
    <row r="1482" spans="2:4">
      <c r="B1482" s="198" t="s">
        <v>720</v>
      </c>
      <c r="C1482" s="154" t="s">
        <v>142</v>
      </c>
      <c r="D1482" s="201" t="s">
        <v>1954</v>
      </c>
    </row>
    <row r="1483" spans="2:4">
      <c r="B1483" s="198" t="s">
        <v>655</v>
      </c>
      <c r="C1483" s="154" t="s">
        <v>1559</v>
      </c>
      <c r="D1483" s="201" t="s">
        <v>1952</v>
      </c>
    </row>
    <row r="1484" spans="2:4">
      <c r="B1484" s="198" t="s">
        <v>994</v>
      </c>
      <c r="C1484" s="154" t="s">
        <v>1764</v>
      </c>
      <c r="D1484" s="201" t="s">
        <v>1951</v>
      </c>
    </row>
    <row r="1485" spans="2:4">
      <c r="B1485" s="198" t="s">
        <v>1041</v>
      </c>
      <c r="C1485" s="154" t="s">
        <v>1541</v>
      </c>
      <c r="D1485" s="201" t="s">
        <v>1955</v>
      </c>
    </row>
    <row r="1486" spans="2:4">
      <c r="B1486" s="198" t="s">
        <v>761</v>
      </c>
      <c r="C1486" s="154" t="s">
        <v>142</v>
      </c>
      <c r="D1486" s="201" t="s">
        <v>1954</v>
      </c>
    </row>
    <row r="1487" spans="2:4">
      <c r="B1487" s="198" t="s">
        <v>470</v>
      </c>
      <c r="C1487" s="154" t="s">
        <v>1631</v>
      </c>
      <c r="D1487" s="201" t="s">
        <v>1951</v>
      </c>
    </row>
    <row r="1488" spans="2:4">
      <c r="B1488" s="198" t="s">
        <v>2241</v>
      </c>
      <c r="C1488" s="154" t="s">
        <v>1518</v>
      </c>
      <c r="D1488" s="201" t="s">
        <v>1957</v>
      </c>
    </row>
    <row r="1489" spans="2:4">
      <c r="B1489" s="198" t="s">
        <v>853</v>
      </c>
      <c r="C1489" s="154" t="s">
        <v>1509</v>
      </c>
      <c r="D1489" s="201" t="s">
        <v>1954</v>
      </c>
    </row>
    <row r="1490" spans="2:4">
      <c r="B1490" s="198" t="s">
        <v>635</v>
      </c>
      <c r="C1490" s="154" t="s">
        <v>1521</v>
      </c>
      <c r="D1490" s="201" t="s">
        <v>1951</v>
      </c>
    </row>
    <row r="1491" spans="2:4">
      <c r="B1491" s="198" t="s">
        <v>2226</v>
      </c>
      <c r="C1491" s="154" t="s">
        <v>2214</v>
      </c>
      <c r="D1491" s="201" t="s">
        <v>1959</v>
      </c>
    </row>
    <row r="1492" spans="2:4">
      <c r="B1492" s="198" t="s">
        <v>2226</v>
      </c>
      <c r="C1492" s="154" t="s">
        <v>150</v>
      </c>
      <c r="D1492" s="201" t="s">
        <v>1951</v>
      </c>
    </row>
    <row r="1493" spans="2:4">
      <c r="B1493" s="198" t="s">
        <v>2955</v>
      </c>
      <c r="C1493" s="154" t="s">
        <v>1937</v>
      </c>
      <c r="D1493" s="201" t="s">
        <v>1958</v>
      </c>
    </row>
    <row r="1494" spans="2:4">
      <c r="B1494" s="198" t="s">
        <v>493</v>
      </c>
      <c r="C1494" s="154" t="s">
        <v>1688</v>
      </c>
      <c r="D1494" s="201" t="s">
        <v>1959</v>
      </c>
    </row>
    <row r="1495" spans="2:4">
      <c r="B1495" s="198" t="s">
        <v>1354</v>
      </c>
      <c r="C1495" s="154" t="s">
        <v>150</v>
      </c>
      <c r="D1495" s="201" t="s">
        <v>1951</v>
      </c>
    </row>
    <row r="1496" spans="2:4">
      <c r="B1496" s="198" t="s">
        <v>769</v>
      </c>
      <c r="C1496" s="154" t="s">
        <v>142</v>
      </c>
      <c r="D1496" s="201" t="s">
        <v>1954</v>
      </c>
    </row>
    <row r="1497" spans="2:4">
      <c r="B1497" s="198" t="s">
        <v>809</v>
      </c>
      <c r="C1497" s="154" t="s">
        <v>1795</v>
      </c>
      <c r="D1497" s="201" t="s">
        <v>1955</v>
      </c>
    </row>
    <row r="1498" spans="2:4">
      <c r="B1498" s="198" t="s">
        <v>782</v>
      </c>
      <c r="C1498" s="154" t="s">
        <v>1785</v>
      </c>
      <c r="D1498" s="201" t="s">
        <v>1951</v>
      </c>
    </row>
    <row r="1499" spans="2:4">
      <c r="B1499" s="198" t="s">
        <v>299</v>
      </c>
      <c r="C1499" s="154" t="s">
        <v>142</v>
      </c>
      <c r="D1499" s="201" t="s">
        <v>1954</v>
      </c>
    </row>
    <row r="1500" spans="2:4">
      <c r="B1500" s="198" t="s">
        <v>1303</v>
      </c>
      <c r="C1500" s="154" t="s">
        <v>142</v>
      </c>
      <c r="D1500" s="201" t="s">
        <v>1954</v>
      </c>
    </row>
    <row r="1501" spans="2:4">
      <c r="B1501" s="198" t="s">
        <v>279</v>
      </c>
      <c r="C1501" s="154" t="s">
        <v>1579</v>
      </c>
      <c r="D1501" s="201" t="s">
        <v>1954</v>
      </c>
    </row>
    <row r="1502" spans="2:4">
      <c r="B1502" s="198" t="s">
        <v>2799</v>
      </c>
      <c r="C1502" s="154" t="s">
        <v>3032</v>
      </c>
      <c r="D1502" s="201" t="s">
        <v>1954</v>
      </c>
    </row>
    <row r="1503" spans="2:4">
      <c r="B1503" s="198" t="s">
        <v>1068</v>
      </c>
      <c r="C1503" s="154" t="s">
        <v>150</v>
      </c>
      <c r="D1503" s="201" t="s">
        <v>1951</v>
      </c>
    </row>
    <row r="1504" spans="2:4">
      <c r="B1504" s="198" t="s">
        <v>538</v>
      </c>
      <c r="C1504" s="154" t="s">
        <v>1698</v>
      </c>
      <c r="D1504" s="201" t="s">
        <v>1954</v>
      </c>
    </row>
    <row r="1505" spans="2:4">
      <c r="B1505" s="198" t="s">
        <v>535</v>
      </c>
      <c r="C1505" s="154" t="s">
        <v>1698</v>
      </c>
      <c r="D1505" s="201" t="s">
        <v>1954</v>
      </c>
    </row>
    <row r="1506" spans="2:4">
      <c r="B1506" s="198" t="s">
        <v>531</v>
      </c>
      <c r="C1506" s="154" t="s">
        <v>1696</v>
      </c>
      <c r="D1506" s="201" t="s">
        <v>1954</v>
      </c>
    </row>
    <row r="1507" spans="2:4">
      <c r="B1507" s="198" t="s">
        <v>1304</v>
      </c>
      <c r="C1507" s="154" t="s">
        <v>142</v>
      </c>
      <c r="D1507" s="201" t="s">
        <v>1954</v>
      </c>
    </row>
    <row r="1508" spans="2:4">
      <c r="B1508" s="198" t="s">
        <v>1310</v>
      </c>
      <c r="C1508" s="154" t="s">
        <v>142</v>
      </c>
      <c r="D1508" s="201" t="s">
        <v>1954</v>
      </c>
    </row>
    <row r="1509" spans="2:4">
      <c r="B1509" s="198" t="s">
        <v>386</v>
      </c>
      <c r="C1509" s="154" t="s">
        <v>142</v>
      </c>
      <c r="D1509" s="201" t="s">
        <v>1954</v>
      </c>
    </row>
    <row r="1510" spans="2:4">
      <c r="B1510" s="198" t="s">
        <v>433</v>
      </c>
      <c r="C1510" s="154" t="s">
        <v>1655</v>
      </c>
      <c r="D1510" s="201" t="s">
        <v>1954</v>
      </c>
    </row>
    <row r="1511" spans="2:4">
      <c r="B1511" s="198" t="s">
        <v>489</v>
      </c>
      <c r="C1511" s="154" t="s">
        <v>1686</v>
      </c>
      <c r="D1511" s="201" t="s">
        <v>1954</v>
      </c>
    </row>
    <row r="1512" spans="2:4">
      <c r="B1512" s="198" t="s">
        <v>2793</v>
      </c>
      <c r="C1512" s="154" t="s">
        <v>3033</v>
      </c>
      <c r="D1512" s="201" t="s">
        <v>1954</v>
      </c>
    </row>
    <row r="1513" spans="2:4">
      <c r="B1513" s="198" t="s">
        <v>321</v>
      </c>
      <c r="C1513" s="154" t="s">
        <v>151</v>
      </c>
      <c r="D1513" s="201" t="s">
        <v>1954</v>
      </c>
    </row>
    <row r="1514" spans="2:4">
      <c r="B1514" s="198" t="s">
        <v>141</v>
      </c>
      <c r="C1514" s="154" t="s">
        <v>151</v>
      </c>
      <c r="D1514" s="201" t="s">
        <v>1954</v>
      </c>
    </row>
    <row r="1515" spans="2:4">
      <c r="B1515" s="198" t="s">
        <v>144</v>
      </c>
      <c r="C1515" s="154" t="s">
        <v>151</v>
      </c>
      <c r="D1515" s="201" t="s">
        <v>1954</v>
      </c>
    </row>
    <row r="1516" spans="2:4">
      <c r="B1516" s="198" t="s">
        <v>982</v>
      </c>
      <c r="C1516" s="154" t="s">
        <v>151</v>
      </c>
      <c r="D1516" s="201" t="s">
        <v>1954</v>
      </c>
    </row>
    <row r="1517" spans="2:4">
      <c r="B1517" s="198" t="s">
        <v>1367</v>
      </c>
      <c r="C1517" s="154" t="s">
        <v>142</v>
      </c>
      <c r="D1517" s="201" t="s">
        <v>1954</v>
      </c>
    </row>
    <row r="1518" spans="2:4">
      <c r="B1518" s="198" t="s">
        <v>304</v>
      </c>
      <c r="C1518" s="154" t="s">
        <v>142</v>
      </c>
      <c r="D1518" s="201" t="s">
        <v>1954</v>
      </c>
    </row>
    <row r="1519" spans="2:4">
      <c r="B1519" s="198" t="s">
        <v>1368</v>
      </c>
      <c r="C1519" s="154" t="s">
        <v>1929</v>
      </c>
      <c r="D1519" s="201" t="s">
        <v>1954</v>
      </c>
    </row>
    <row r="1520" spans="2:4">
      <c r="B1520" s="198" t="s">
        <v>2565</v>
      </c>
      <c r="C1520" s="154" t="s">
        <v>1929</v>
      </c>
      <c r="D1520" s="201" t="s">
        <v>1954</v>
      </c>
    </row>
    <row r="1521" spans="2:4">
      <c r="B1521" s="198" t="s">
        <v>2843</v>
      </c>
      <c r="C1521" s="154" t="s">
        <v>3034</v>
      </c>
      <c r="D1521" s="201" t="s">
        <v>1954</v>
      </c>
    </row>
    <row r="1522" spans="2:4">
      <c r="B1522" s="198" t="s">
        <v>499</v>
      </c>
      <c r="C1522" s="154" t="s">
        <v>1691</v>
      </c>
      <c r="D1522" s="201" t="s">
        <v>1952</v>
      </c>
    </row>
    <row r="1523" spans="2:4">
      <c r="B1523" s="198" t="s">
        <v>1042</v>
      </c>
      <c r="C1523" s="154" t="s">
        <v>1541</v>
      </c>
      <c r="D1523" s="201" t="s">
        <v>1955</v>
      </c>
    </row>
    <row r="1524" spans="2:4">
      <c r="B1524" s="198" t="s">
        <v>1206</v>
      </c>
      <c r="C1524" s="154" t="s">
        <v>1544</v>
      </c>
      <c r="D1524" s="201" t="s">
        <v>1951</v>
      </c>
    </row>
    <row r="1525" spans="2:4">
      <c r="B1525" s="198" t="s">
        <v>582</v>
      </c>
      <c r="C1525" s="154" t="s">
        <v>1717</v>
      </c>
      <c r="D1525" s="201" t="s">
        <v>1956</v>
      </c>
    </row>
    <row r="1526" spans="2:4">
      <c r="B1526" s="198" t="s">
        <v>895</v>
      </c>
      <c r="C1526" s="154" t="s">
        <v>150</v>
      </c>
      <c r="D1526" s="201" t="s">
        <v>1951</v>
      </c>
    </row>
    <row r="1527" spans="2:4">
      <c r="B1527" s="198" t="s">
        <v>1347</v>
      </c>
      <c r="C1527" s="154" t="s">
        <v>150</v>
      </c>
      <c r="D1527" s="201" t="s">
        <v>1951</v>
      </c>
    </row>
    <row r="1528" spans="2:4">
      <c r="B1528" s="198" t="s">
        <v>988</v>
      </c>
      <c r="C1528" s="154" t="s">
        <v>1852</v>
      </c>
      <c r="D1528" s="201" t="s">
        <v>1953</v>
      </c>
    </row>
    <row r="1529" spans="2:4">
      <c r="B1529" s="198" t="s">
        <v>2713</v>
      </c>
      <c r="C1529" s="154" t="s">
        <v>150</v>
      </c>
      <c r="D1529" s="201" t="s">
        <v>1951</v>
      </c>
    </row>
    <row r="1530" spans="2:4">
      <c r="B1530" s="198" t="s">
        <v>1081</v>
      </c>
      <c r="C1530" s="154" t="s">
        <v>1625</v>
      </c>
      <c r="D1530" s="201" t="s">
        <v>1951</v>
      </c>
    </row>
    <row r="1531" spans="2:4">
      <c r="B1531" s="198" t="s">
        <v>1385</v>
      </c>
      <c r="C1531" s="154" t="s">
        <v>150</v>
      </c>
      <c r="D1531" s="201" t="s">
        <v>1951</v>
      </c>
    </row>
    <row r="1532" spans="2:4">
      <c r="B1532" s="198" t="s">
        <v>2429</v>
      </c>
      <c r="C1532" s="154" t="s">
        <v>3050</v>
      </c>
      <c r="D1532" s="201" t="s">
        <v>1953</v>
      </c>
    </row>
    <row r="1533" spans="2:4">
      <c r="B1533" s="198" t="s">
        <v>641</v>
      </c>
      <c r="C1533" s="154" t="s">
        <v>153</v>
      </c>
      <c r="D1533" s="201" t="s">
        <v>1951</v>
      </c>
    </row>
    <row r="1534" spans="2:4">
      <c r="B1534" s="198" t="s">
        <v>1475</v>
      </c>
      <c r="C1534" s="154" t="s">
        <v>1941</v>
      </c>
      <c r="D1534" s="201" t="s">
        <v>1956</v>
      </c>
    </row>
    <row r="1535" spans="2:4">
      <c r="B1535" s="198" t="s">
        <v>2254</v>
      </c>
      <c r="C1535" s="154" t="s">
        <v>2206</v>
      </c>
      <c r="D1535" s="201" t="s">
        <v>1959</v>
      </c>
    </row>
    <row r="1536" spans="2:4">
      <c r="B1536" s="198" t="s">
        <v>2433</v>
      </c>
      <c r="C1536" s="154" t="s">
        <v>3065</v>
      </c>
      <c r="D1536" s="201" t="s">
        <v>1958</v>
      </c>
    </row>
    <row r="1537" spans="2:4">
      <c r="B1537" s="198" t="s">
        <v>2559</v>
      </c>
      <c r="C1537" s="154" t="s">
        <v>3035</v>
      </c>
      <c r="D1537" s="201" t="s">
        <v>1952</v>
      </c>
    </row>
    <row r="1538" spans="2:4">
      <c r="B1538" s="198" t="s">
        <v>1121</v>
      </c>
      <c r="C1538" s="154" t="s">
        <v>1767</v>
      </c>
      <c r="D1538" s="201" t="s">
        <v>1956</v>
      </c>
    </row>
    <row r="1539" spans="2:4">
      <c r="B1539" s="198" t="s">
        <v>1193</v>
      </c>
      <c r="C1539" s="154" t="s">
        <v>1511</v>
      </c>
      <c r="D1539" s="201" t="s">
        <v>1951</v>
      </c>
    </row>
    <row r="1540" spans="2:4">
      <c r="B1540" s="198" t="s">
        <v>2661</v>
      </c>
      <c r="C1540" s="154" t="s">
        <v>3036</v>
      </c>
      <c r="D1540" s="201" t="s">
        <v>1951</v>
      </c>
    </row>
    <row r="1541" spans="2:4">
      <c r="B1541" s="198" t="s">
        <v>2615</v>
      </c>
      <c r="C1541" s="154" t="s">
        <v>1657</v>
      </c>
      <c r="D1541" s="201" t="s">
        <v>1956</v>
      </c>
    </row>
    <row r="1542" spans="2:4">
      <c r="B1542" s="198" t="s">
        <v>2037</v>
      </c>
      <c r="C1542" s="154" t="s">
        <v>2178</v>
      </c>
      <c r="D1542" s="201" t="s">
        <v>2218</v>
      </c>
    </row>
    <row r="1543" spans="2:4">
      <c r="B1543" s="198" t="s">
        <v>2010</v>
      </c>
      <c r="C1543" s="154" t="s">
        <v>2159</v>
      </c>
      <c r="D1543" s="201" t="s">
        <v>2218</v>
      </c>
    </row>
    <row r="1544" spans="2:4">
      <c r="B1544" s="198" t="s">
        <v>1992</v>
      </c>
      <c r="C1544" s="154" t="s">
        <v>2151</v>
      </c>
      <c r="D1544" s="201" t="s">
        <v>2218</v>
      </c>
    </row>
    <row r="1545" spans="2:4">
      <c r="B1545" s="198" t="s">
        <v>2002</v>
      </c>
      <c r="C1545" s="154" t="s">
        <v>2153</v>
      </c>
      <c r="D1545" s="201" t="s">
        <v>2218</v>
      </c>
    </row>
    <row r="1546" spans="2:4">
      <c r="B1546" s="198" t="s">
        <v>1994</v>
      </c>
      <c r="C1546" s="154" t="s">
        <v>2153</v>
      </c>
      <c r="D1546" s="201" t="s">
        <v>2218</v>
      </c>
    </row>
    <row r="1547" spans="2:4">
      <c r="B1547" s="198" t="s">
        <v>1991</v>
      </c>
      <c r="C1547" s="154" t="s">
        <v>2150</v>
      </c>
      <c r="D1547" s="201" t="s">
        <v>2218</v>
      </c>
    </row>
    <row r="1548" spans="2:4">
      <c r="B1548" s="198" t="s">
        <v>1037</v>
      </c>
      <c r="C1548" s="154" t="s">
        <v>152</v>
      </c>
      <c r="D1548" s="201" t="s">
        <v>1952</v>
      </c>
    </row>
    <row r="1549" spans="2:4">
      <c r="B1549" s="198" t="s">
        <v>2237</v>
      </c>
      <c r="C1549" s="154" t="s">
        <v>1518</v>
      </c>
      <c r="D1549" s="201" t="s">
        <v>1957</v>
      </c>
    </row>
    <row r="1550" spans="2:4">
      <c r="B1550" s="198" t="s">
        <v>1998</v>
      </c>
      <c r="C1550" s="154" t="s">
        <v>2126</v>
      </c>
      <c r="D1550" s="201" t="s">
        <v>2218</v>
      </c>
    </row>
    <row r="1551" spans="2:4">
      <c r="B1551" s="198" t="s">
        <v>2346</v>
      </c>
      <c r="C1551" s="154" t="s">
        <v>1882</v>
      </c>
      <c r="D1551" s="201" t="s">
        <v>1951</v>
      </c>
    </row>
    <row r="1552" spans="2:4">
      <c r="B1552" s="198" t="s">
        <v>2030</v>
      </c>
      <c r="C1552" s="154" t="s">
        <v>2165</v>
      </c>
      <c r="D1552" s="201" t="s">
        <v>2218</v>
      </c>
    </row>
    <row r="1553" spans="2:4">
      <c r="B1553" s="198" t="s">
        <v>2018</v>
      </c>
      <c r="C1553" s="154" t="s">
        <v>2165</v>
      </c>
      <c r="D1553" s="201" t="s">
        <v>2218</v>
      </c>
    </row>
    <row r="1554" spans="2:4">
      <c r="B1554" s="198" t="s">
        <v>2028</v>
      </c>
      <c r="C1554" s="154" t="s">
        <v>2172</v>
      </c>
      <c r="D1554" s="201" t="s">
        <v>2218</v>
      </c>
    </row>
    <row r="1555" spans="2:4">
      <c r="B1555" s="198" t="s">
        <v>756</v>
      </c>
      <c r="C1555" s="154" t="s">
        <v>1659</v>
      </c>
      <c r="D1555" s="201" t="s">
        <v>1951</v>
      </c>
    </row>
    <row r="1556" spans="2:4">
      <c r="B1556" s="198" t="s">
        <v>1981</v>
      </c>
      <c r="C1556" s="154" t="s">
        <v>2141</v>
      </c>
      <c r="D1556" s="201" t="s">
        <v>2218</v>
      </c>
    </row>
    <row r="1557" spans="2:4">
      <c r="B1557" s="198" t="s">
        <v>1990</v>
      </c>
      <c r="C1557" s="154" t="s">
        <v>2149</v>
      </c>
      <c r="D1557" s="201" t="s">
        <v>2218</v>
      </c>
    </row>
    <row r="1558" spans="2:4">
      <c r="B1558" s="198" t="s">
        <v>2079</v>
      </c>
      <c r="C1558" s="154" t="s">
        <v>2185</v>
      </c>
      <c r="D1558" s="201" t="s">
        <v>2218</v>
      </c>
    </row>
    <row r="1559" spans="2:4">
      <c r="B1559" s="198" t="s">
        <v>2027</v>
      </c>
      <c r="C1559" s="154" t="s">
        <v>2171</v>
      </c>
      <c r="D1559" s="201" t="s">
        <v>2218</v>
      </c>
    </row>
    <row r="1560" spans="2:4">
      <c r="B1560" s="198" t="s">
        <v>2019</v>
      </c>
      <c r="C1560" s="154" t="s">
        <v>2166</v>
      </c>
      <c r="D1560" s="201" t="s">
        <v>2218</v>
      </c>
    </row>
    <row r="1561" spans="2:4">
      <c r="B1561" s="198" t="s">
        <v>681</v>
      </c>
      <c r="C1561" s="154" t="s">
        <v>1752</v>
      </c>
      <c r="D1561" s="201" t="s">
        <v>1951</v>
      </c>
    </row>
    <row r="1562" spans="2:4">
      <c r="B1562" s="198" t="s">
        <v>727</v>
      </c>
      <c r="C1562" s="154" t="s">
        <v>1767</v>
      </c>
      <c r="D1562" s="201" t="s">
        <v>1956</v>
      </c>
    </row>
    <row r="1563" spans="2:4">
      <c r="B1563" s="198" t="s">
        <v>266</v>
      </c>
      <c r="C1563" s="154" t="s">
        <v>1571</v>
      </c>
      <c r="D1563" s="201" t="s">
        <v>1959</v>
      </c>
    </row>
    <row r="1564" spans="2:4">
      <c r="B1564" s="198" t="s">
        <v>896</v>
      </c>
      <c r="C1564" s="154" t="s">
        <v>1803</v>
      </c>
      <c r="D1564" s="201" t="s">
        <v>1951</v>
      </c>
    </row>
    <row r="1565" spans="2:4">
      <c r="B1565" s="198" t="s">
        <v>1048</v>
      </c>
      <c r="C1565" s="154" t="s">
        <v>1657</v>
      </c>
      <c r="D1565" s="201" t="s">
        <v>1956</v>
      </c>
    </row>
    <row r="1566" spans="2:4">
      <c r="B1566" s="198" t="s">
        <v>2545</v>
      </c>
      <c r="C1566" s="154" t="s">
        <v>2902</v>
      </c>
      <c r="D1566" s="201" t="s">
        <v>1958</v>
      </c>
    </row>
    <row r="1567" spans="2:4">
      <c r="B1567" s="198" t="s">
        <v>2511</v>
      </c>
      <c r="C1567" s="154" t="s">
        <v>150</v>
      </c>
      <c r="D1567" s="201" t="s">
        <v>1951</v>
      </c>
    </row>
    <row r="1568" spans="2:4">
      <c r="B1568" s="198" t="s">
        <v>1168</v>
      </c>
      <c r="C1568" s="154" t="s">
        <v>1904</v>
      </c>
      <c r="D1568" s="201" t="s">
        <v>1952</v>
      </c>
    </row>
    <row r="1569" spans="2:4">
      <c r="B1569" s="198" t="s">
        <v>2760</v>
      </c>
      <c r="C1569" s="154" t="s">
        <v>3037</v>
      </c>
      <c r="D1569" s="201" t="s">
        <v>1955</v>
      </c>
    </row>
    <row r="1570" spans="2:4">
      <c r="B1570" s="198" t="s">
        <v>1178</v>
      </c>
      <c r="C1570" s="154" t="s">
        <v>1722</v>
      </c>
      <c r="D1570" s="201" t="s">
        <v>1956</v>
      </c>
    </row>
    <row r="1571" spans="2:4">
      <c r="B1571" s="198" t="s">
        <v>743</v>
      </c>
      <c r="C1571" s="154" t="s">
        <v>1775</v>
      </c>
      <c r="D1571" s="201" t="s">
        <v>1954</v>
      </c>
    </row>
    <row r="1572" spans="2:4">
      <c r="B1572" s="198" t="s">
        <v>987</v>
      </c>
      <c r="C1572" s="154" t="s">
        <v>1747</v>
      </c>
      <c r="D1572" s="201" t="s">
        <v>1956</v>
      </c>
    </row>
    <row r="1573" spans="2:4">
      <c r="B1573" s="198" t="s">
        <v>2503</v>
      </c>
      <c r="C1573" s="154" t="s">
        <v>149</v>
      </c>
      <c r="D1573" s="201" t="s">
        <v>1956</v>
      </c>
    </row>
    <row r="1574" spans="2:4">
      <c r="B1574" s="198" t="s">
        <v>846</v>
      </c>
      <c r="C1574" s="154" t="s">
        <v>1803</v>
      </c>
      <c r="D1574" s="201" t="s">
        <v>1955</v>
      </c>
    </row>
    <row r="1575" spans="2:4">
      <c r="B1575" s="198" t="s">
        <v>2234</v>
      </c>
      <c r="C1575" s="154" t="s">
        <v>2200</v>
      </c>
      <c r="D1575" s="201" t="s">
        <v>1959</v>
      </c>
    </row>
    <row r="1576" spans="2:4">
      <c r="B1576" s="198" t="s">
        <v>560</v>
      </c>
      <c r="C1576" s="154" t="s">
        <v>1709</v>
      </c>
      <c r="D1576" s="201" t="s">
        <v>1959</v>
      </c>
    </row>
    <row r="1577" spans="2:4">
      <c r="B1577" s="198" t="s">
        <v>1322</v>
      </c>
      <c r="C1577" s="154" t="s">
        <v>149</v>
      </c>
      <c r="D1577" s="201" t="s">
        <v>1956</v>
      </c>
    </row>
    <row r="1578" spans="2:4">
      <c r="B1578" s="198" t="s">
        <v>839</v>
      </c>
      <c r="C1578" s="154" t="s">
        <v>149</v>
      </c>
      <c r="D1578" s="201" t="s">
        <v>1956</v>
      </c>
    </row>
    <row r="1579" spans="2:4">
      <c r="B1579" s="198" t="s">
        <v>693</v>
      </c>
      <c r="C1579" s="154" t="s">
        <v>1580</v>
      </c>
      <c r="D1579" s="201" t="s">
        <v>1951</v>
      </c>
    </row>
    <row r="1580" spans="2:4">
      <c r="B1580" s="198" t="s">
        <v>706</v>
      </c>
      <c r="C1580" s="154" t="s">
        <v>1758</v>
      </c>
      <c r="D1580" s="201" t="s">
        <v>1951</v>
      </c>
    </row>
    <row r="1581" spans="2:4">
      <c r="B1581" s="198" t="s">
        <v>569</v>
      </c>
      <c r="C1581" s="154" t="s">
        <v>150</v>
      </c>
      <c r="D1581" s="201" t="s">
        <v>1951</v>
      </c>
    </row>
    <row r="1582" spans="2:4">
      <c r="B1582" s="198" t="s">
        <v>1039</v>
      </c>
      <c r="C1582" s="154" t="s">
        <v>1875</v>
      </c>
      <c r="D1582" s="201" t="s">
        <v>1951</v>
      </c>
    </row>
    <row r="1583" spans="2:4">
      <c r="B1583" s="198" t="s">
        <v>2769</v>
      </c>
      <c r="C1583" s="154" t="s">
        <v>150</v>
      </c>
      <c r="D1583" s="201" t="s">
        <v>1951</v>
      </c>
    </row>
    <row r="1584" spans="2:4">
      <c r="B1584" s="198" t="s">
        <v>1075</v>
      </c>
      <c r="C1584" s="154" t="s">
        <v>1882</v>
      </c>
      <c r="D1584" s="201" t="s">
        <v>1951</v>
      </c>
    </row>
    <row r="1585" spans="2:4">
      <c r="B1585" s="198" t="s">
        <v>787</v>
      </c>
      <c r="C1585" s="154" t="s">
        <v>152</v>
      </c>
      <c r="D1585" s="201" t="s">
        <v>1952</v>
      </c>
    </row>
    <row r="1586" spans="2:4">
      <c r="B1586" s="198" t="s">
        <v>897</v>
      </c>
      <c r="C1586" s="154" t="s">
        <v>1823</v>
      </c>
      <c r="D1586" s="201" t="s">
        <v>1955</v>
      </c>
    </row>
    <row r="1587" spans="2:4">
      <c r="B1587" s="198" t="s">
        <v>475</v>
      </c>
      <c r="C1587" s="154" t="s">
        <v>1680</v>
      </c>
      <c r="D1587" s="201" t="s">
        <v>1955</v>
      </c>
    </row>
    <row r="1588" spans="2:4">
      <c r="B1588" s="198" t="s">
        <v>1968</v>
      </c>
      <c r="C1588" s="154" t="s">
        <v>2126</v>
      </c>
      <c r="D1588" s="201" t="s">
        <v>2218</v>
      </c>
    </row>
    <row r="1589" spans="2:4">
      <c r="B1589" s="198" t="s">
        <v>1964</v>
      </c>
      <c r="C1589" s="154" t="s">
        <v>2126</v>
      </c>
      <c r="D1589" s="201" t="s">
        <v>2218</v>
      </c>
    </row>
    <row r="1590" spans="2:4">
      <c r="B1590" s="198" t="s">
        <v>1977</v>
      </c>
      <c r="C1590" s="154" t="s">
        <v>2137</v>
      </c>
      <c r="D1590" s="201" t="s">
        <v>2218</v>
      </c>
    </row>
    <row r="1591" spans="2:4">
      <c r="B1591" s="198" t="s">
        <v>898</v>
      </c>
      <c r="C1591" s="154" t="s">
        <v>1824</v>
      </c>
      <c r="D1591" s="201" t="s">
        <v>1951</v>
      </c>
    </row>
    <row r="1592" spans="2:4">
      <c r="B1592" s="198" t="s">
        <v>1970</v>
      </c>
      <c r="C1592" s="154" t="s">
        <v>2130</v>
      </c>
      <c r="D1592" s="201" t="s">
        <v>2217</v>
      </c>
    </row>
    <row r="1593" spans="2:4">
      <c r="B1593" s="198" t="s">
        <v>2701</v>
      </c>
      <c r="C1593" s="154" t="s">
        <v>3038</v>
      </c>
      <c r="D1593" s="201" t="s">
        <v>2887</v>
      </c>
    </row>
    <row r="1594" spans="2:4">
      <c r="B1594" s="198" t="s">
        <v>899</v>
      </c>
      <c r="C1594" s="154" t="s">
        <v>1731</v>
      </c>
      <c r="D1594" s="201" t="s">
        <v>1953</v>
      </c>
    </row>
    <row r="1595" spans="2:4">
      <c r="B1595" s="198" t="s">
        <v>426</v>
      </c>
      <c r="C1595" s="154" t="s">
        <v>150</v>
      </c>
      <c r="D1595" s="201" t="s">
        <v>1951</v>
      </c>
    </row>
    <row r="1596" spans="2:4">
      <c r="B1596" s="198" t="s">
        <v>1491</v>
      </c>
      <c r="C1596" s="154" t="s">
        <v>149</v>
      </c>
      <c r="D1596" s="201" t="s">
        <v>1956</v>
      </c>
    </row>
    <row r="1597" spans="2:4">
      <c r="B1597" s="198" t="s">
        <v>847</v>
      </c>
      <c r="C1597" s="154" t="s">
        <v>1804</v>
      </c>
      <c r="D1597" s="201" t="s">
        <v>1955</v>
      </c>
    </row>
    <row r="1598" spans="2:4">
      <c r="B1598" s="198" t="s">
        <v>876</v>
      </c>
      <c r="C1598" s="154" t="s">
        <v>1813</v>
      </c>
      <c r="D1598" s="201" t="s">
        <v>1953</v>
      </c>
    </row>
    <row r="1599" spans="2:4">
      <c r="B1599" s="198" t="s">
        <v>2741</v>
      </c>
      <c r="C1599" s="154" t="s">
        <v>2927</v>
      </c>
      <c r="D1599" s="201" t="s">
        <v>1952</v>
      </c>
    </row>
    <row r="1600" spans="2:4">
      <c r="B1600" s="198" t="s">
        <v>702</v>
      </c>
      <c r="C1600" s="154" t="s">
        <v>1724</v>
      </c>
      <c r="D1600" s="201" t="s">
        <v>1956</v>
      </c>
    </row>
    <row r="1601" spans="2:4">
      <c r="B1601" s="198" t="s">
        <v>592</v>
      </c>
      <c r="C1601" s="154" t="s">
        <v>142</v>
      </c>
      <c r="D1601" s="201" t="s">
        <v>1954</v>
      </c>
    </row>
    <row r="1602" spans="2:4">
      <c r="B1602" s="198" t="s">
        <v>371</v>
      </c>
      <c r="C1602" s="154" t="s">
        <v>1624</v>
      </c>
      <c r="D1602" s="201" t="s">
        <v>1951</v>
      </c>
    </row>
    <row r="1603" spans="2:4">
      <c r="B1603" s="198" t="s">
        <v>911</v>
      </c>
      <c r="C1603" s="154" t="s">
        <v>1829</v>
      </c>
      <c r="D1603" s="201" t="s">
        <v>1956</v>
      </c>
    </row>
    <row r="1604" spans="2:4">
      <c r="B1604" s="198" t="s">
        <v>606</v>
      </c>
      <c r="C1604" s="154" t="s">
        <v>1519</v>
      </c>
      <c r="D1604" s="201" t="s">
        <v>1951</v>
      </c>
    </row>
    <row r="1605" spans="2:4">
      <c r="B1605" s="198" t="s">
        <v>1122</v>
      </c>
      <c r="C1605" s="154" t="s">
        <v>1657</v>
      </c>
      <c r="D1605" s="201" t="s">
        <v>1956</v>
      </c>
    </row>
    <row r="1606" spans="2:4">
      <c r="B1606" s="198" t="s">
        <v>696</v>
      </c>
      <c r="C1606" s="154" t="s">
        <v>1754</v>
      </c>
      <c r="D1606" s="201" t="s">
        <v>1956</v>
      </c>
    </row>
    <row r="1607" spans="2:4">
      <c r="B1607" s="198" t="s">
        <v>1144</v>
      </c>
      <c r="C1607" s="154" t="s">
        <v>1657</v>
      </c>
      <c r="D1607" s="201" t="s">
        <v>1956</v>
      </c>
    </row>
    <row r="1608" spans="2:4">
      <c r="B1608" s="198" t="s">
        <v>2106</v>
      </c>
      <c r="C1608" s="154" t="s">
        <v>1534</v>
      </c>
      <c r="D1608" s="201" t="s">
        <v>1959</v>
      </c>
    </row>
    <row r="1609" spans="2:4">
      <c r="B1609" s="198" t="s">
        <v>2235</v>
      </c>
      <c r="C1609" s="154" t="s">
        <v>2201</v>
      </c>
      <c r="D1609" s="201" t="s">
        <v>1959</v>
      </c>
    </row>
    <row r="1610" spans="2:4">
      <c r="B1610" s="198" t="s">
        <v>2523</v>
      </c>
      <c r="C1610" s="154" t="s">
        <v>149</v>
      </c>
      <c r="D1610" s="201" t="s">
        <v>1956</v>
      </c>
    </row>
    <row r="1611" spans="2:4">
      <c r="B1611" s="198" t="s">
        <v>1487</v>
      </c>
      <c r="C1611" s="154" t="s">
        <v>2406</v>
      </c>
      <c r="D1611" s="201" t="s">
        <v>1953</v>
      </c>
    </row>
    <row r="1612" spans="2:4">
      <c r="B1612" s="198" t="s">
        <v>2669</v>
      </c>
      <c r="C1612" s="154" t="s">
        <v>152</v>
      </c>
      <c r="D1612" s="201" t="s">
        <v>1952</v>
      </c>
    </row>
    <row r="1613" spans="2:4">
      <c r="B1613" s="198" t="s">
        <v>257</v>
      </c>
      <c r="C1613" s="154" t="s">
        <v>1566</v>
      </c>
      <c r="D1613" s="201" t="s">
        <v>1951</v>
      </c>
    </row>
    <row r="1614" spans="2:4">
      <c r="B1614" s="198" t="s">
        <v>239</v>
      </c>
      <c r="C1614" s="154" t="s">
        <v>1561</v>
      </c>
      <c r="D1614" s="201" t="s">
        <v>1955</v>
      </c>
    </row>
    <row r="1615" spans="2:4">
      <c r="B1615" s="198" t="s">
        <v>334</v>
      </c>
      <c r="C1615" s="154" t="s">
        <v>1608</v>
      </c>
      <c r="D1615" s="201" t="s">
        <v>1952</v>
      </c>
    </row>
    <row r="1616" spans="2:4">
      <c r="B1616" s="198" t="s">
        <v>492</v>
      </c>
      <c r="C1616" s="154" t="s">
        <v>1687</v>
      </c>
      <c r="D1616" s="201" t="s">
        <v>1951</v>
      </c>
    </row>
    <row r="1617" spans="2:4">
      <c r="B1617" s="198" t="s">
        <v>728</v>
      </c>
      <c r="C1617" s="154" t="s">
        <v>1768</v>
      </c>
      <c r="D1617" s="201" t="s">
        <v>1953</v>
      </c>
    </row>
    <row r="1618" spans="2:4">
      <c r="B1618" s="198" t="s">
        <v>1237</v>
      </c>
      <c r="C1618" s="154" t="s">
        <v>1522</v>
      </c>
      <c r="D1618" s="201" t="s">
        <v>1953</v>
      </c>
    </row>
    <row r="1619" spans="2:4">
      <c r="B1619" s="198" t="s">
        <v>2020</v>
      </c>
      <c r="C1619" s="154" t="s">
        <v>2167</v>
      </c>
      <c r="D1619" s="201" t="s">
        <v>2217</v>
      </c>
    </row>
    <row r="1620" spans="2:4">
      <c r="B1620" s="198" t="s">
        <v>1126</v>
      </c>
      <c r="C1620" s="154" t="s">
        <v>1699</v>
      </c>
      <c r="D1620" s="201" t="s">
        <v>1956</v>
      </c>
    </row>
    <row r="1621" spans="2:4">
      <c r="B1621" s="198" t="s">
        <v>833</v>
      </c>
      <c r="C1621" s="154" t="s">
        <v>1699</v>
      </c>
      <c r="D1621" s="201" t="s">
        <v>1956</v>
      </c>
    </row>
    <row r="1622" spans="2:4">
      <c r="B1622" s="198" t="s">
        <v>287</v>
      </c>
      <c r="C1622" s="154" t="s">
        <v>1567</v>
      </c>
      <c r="D1622" s="201" t="s">
        <v>1953</v>
      </c>
    </row>
    <row r="1623" spans="2:4">
      <c r="B1623" s="198" t="s">
        <v>783</v>
      </c>
      <c r="C1623" s="154" t="s">
        <v>1567</v>
      </c>
      <c r="D1623" s="201" t="s">
        <v>1953</v>
      </c>
    </row>
    <row r="1624" spans="2:4">
      <c r="B1624" s="198" t="s">
        <v>261</v>
      </c>
      <c r="C1624" s="154" t="s">
        <v>1567</v>
      </c>
      <c r="D1624" s="201" t="s">
        <v>1953</v>
      </c>
    </row>
    <row r="1625" spans="2:4">
      <c r="B1625" s="198" t="s">
        <v>258</v>
      </c>
      <c r="C1625" s="154" t="s">
        <v>1567</v>
      </c>
      <c r="D1625" s="201" t="s">
        <v>1953</v>
      </c>
    </row>
    <row r="1626" spans="2:4">
      <c r="B1626" s="198" t="s">
        <v>799</v>
      </c>
      <c r="C1626" s="154" t="s">
        <v>1791</v>
      </c>
      <c r="D1626" s="201" t="s">
        <v>1955</v>
      </c>
    </row>
    <row r="1627" spans="2:4">
      <c r="B1627" s="198" t="s">
        <v>166</v>
      </c>
      <c r="C1627" s="154" t="s">
        <v>1513</v>
      </c>
      <c r="D1627" s="201" t="s">
        <v>1956</v>
      </c>
    </row>
    <row r="1628" spans="2:4">
      <c r="B1628" s="198" t="s">
        <v>1399</v>
      </c>
      <c r="C1628" s="154" t="s">
        <v>1757</v>
      </c>
      <c r="D1628" s="201" t="s">
        <v>1956</v>
      </c>
    </row>
    <row r="1629" spans="2:4">
      <c r="B1629" s="198" t="s">
        <v>885</v>
      </c>
      <c r="C1629" s="154" t="s">
        <v>1732</v>
      </c>
      <c r="D1629" s="201" t="s">
        <v>1955</v>
      </c>
    </row>
    <row r="1630" spans="2:4">
      <c r="B1630" s="198" t="s">
        <v>177</v>
      </c>
      <c r="C1630" s="154" t="s">
        <v>1520</v>
      </c>
      <c r="D1630" s="201" t="s">
        <v>1955</v>
      </c>
    </row>
    <row r="1631" spans="2:4">
      <c r="B1631" s="198" t="s">
        <v>202</v>
      </c>
      <c r="C1631" s="154" t="s">
        <v>1536</v>
      </c>
      <c r="D1631" s="201" t="s">
        <v>1953</v>
      </c>
    </row>
    <row r="1632" spans="2:4">
      <c r="B1632" s="198" t="s">
        <v>2025</v>
      </c>
      <c r="C1632" s="154" t="s">
        <v>2170</v>
      </c>
      <c r="D1632" s="201" t="s">
        <v>2217</v>
      </c>
    </row>
    <row r="1633" spans="2:4">
      <c r="B1633" s="198" t="s">
        <v>501</v>
      </c>
      <c r="C1633" s="154" t="s">
        <v>1692</v>
      </c>
      <c r="D1633" s="201" t="s">
        <v>1952</v>
      </c>
    </row>
    <row r="1634" spans="2:4">
      <c r="B1634" s="198" t="s">
        <v>1202</v>
      </c>
      <c r="C1634" s="154" t="s">
        <v>1915</v>
      </c>
      <c r="D1634" s="201" t="s">
        <v>1954</v>
      </c>
    </row>
    <row r="1635" spans="2:4">
      <c r="B1635" s="198" t="s">
        <v>1982</v>
      </c>
      <c r="C1635" s="154" t="s">
        <v>2142</v>
      </c>
      <c r="D1635" s="201" t="s">
        <v>2218</v>
      </c>
    </row>
    <row r="1636" spans="2:4">
      <c r="B1636" s="198" t="s">
        <v>1984</v>
      </c>
      <c r="C1636" s="154" t="s">
        <v>2143</v>
      </c>
      <c r="D1636" s="201" t="s">
        <v>2218</v>
      </c>
    </row>
    <row r="1637" spans="2:4">
      <c r="B1637" s="198" t="s">
        <v>218</v>
      </c>
      <c r="C1637" s="154" t="s">
        <v>1544</v>
      </c>
      <c r="D1637" s="201" t="s">
        <v>1951</v>
      </c>
    </row>
    <row r="1638" spans="2:4">
      <c r="B1638" s="198" t="s">
        <v>574</v>
      </c>
      <c r="C1638" s="154" t="s">
        <v>1595</v>
      </c>
      <c r="D1638" s="201" t="s">
        <v>1956</v>
      </c>
    </row>
    <row r="1639" spans="2:4">
      <c r="B1639" s="198" t="s">
        <v>1400</v>
      </c>
      <c r="C1639" s="154" t="s">
        <v>1595</v>
      </c>
      <c r="D1639" s="201" t="s">
        <v>1956</v>
      </c>
    </row>
    <row r="1640" spans="2:4">
      <c r="B1640" s="198" t="s">
        <v>573</v>
      </c>
      <c r="C1640" s="154" t="s">
        <v>1595</v>
      </c>
      <c r="D1640" s="201" t="s">
        <v>1956</v>
      </c>
    </row>
    <row r="1641" spans="2:4">
      <c r="B1641" s="198" t="s">
        <v>1988</v>
      </c>
      <c r="C1641" s="154" t="s">
        <v>2147</v>
      </c>
      <c r="D1641" s="201" t="s">
        <v>2217</v>
      </c>
    </row>
    <row r="1642" spans="2:4">
      <c r="B1642" s="198" t="s">
        <v>408</v>
      </c>
      <c r="C1642" s="154" t="s">
        <v>1640</v>
      </c>
      <c r="D1642" s="201" t="s">
        <v>1954</v>
      </c>
    </row>
    <row r="1643" spans="2:4">
      <c r="B1643" s="198" t="s">
        <v>2577</v>
      </c>
      <c r="C1643" s="154" t="s">
        <v>2907</v>
      </c>
      <c r="D1643" s="201" t="s">
        <v>1956</v>
      </c>
    </row>
    <row r="1644" spans="2:4">
      <c r="B1644" s="198" t="s">
        <v>2558</v>
      </c>
      <c r="C1644" s="154" t="s">
        <v>2903</v>
      </c>
      <c r="D1644" s="201" t="s">
        <v>1956</v>
      </c>
    </row>
    <row r="1645" spans="2:4">
      <c r="B1645" s="198" t="s">
        <v>1110</v>
      </c>
      <c r="C1645" s="154" t="s">
        <v>1888</v>
      </c>
      <c r="D1645" s="201" t="s">
        <v>1956</v>
      </c>
    </row>
    <row r="1646" spans="2:4">
      <c r="B1646" s="198" t="s">
        <v>2789</v>
      </c>
      <c r="C1646" s="154" t="s">
        <v>2932</v>
      </c>
      <c r="D1646" s="201" t="s">
        <v>1956</v>
      </c>
    </row>
    <row r="1647" spans="2:4">
      <c r="B1647" s="198" t="s">
        <v>2572</v>
      </c>
      <c r="C1647" s="154" t="s">
        <v>2903</v>
      </c>
      <c r="D1647" s="201" t="s">
        <v>1956</v>
      </c>
    </row>
    <row r="1648" spans="2:4">
      <c r="B1648" s="198" t="s">
        <v>2591</v>
      </c>
      <c r="C1648" s="154" t="s">
        <v>1741</v>
      </c>
      <c r="D1648" s="201" t="s">
        <v>1956</v>
      </c>
    </row>
    <row r="1649" spans="2:4">
      <c r="B1649" s="198" t="s">
        <v>2595</v>
      </c>
      <c r="C1649" s="154" t="s">
        <v>2911</v>
      </c>
      <c r="D1649" s="201" t="s">
        <v>1956</v>
      </c>
    </row>
    <row r="1650" spans="2:4">
      <c r="B1650" s="198" t="s">
        <v>2859</v>
      </c>
      <c r="C1650" s="154" t="s">
        <v>1859</v>
      </c>
      <c r="D1650" s="201" t="s">
        <v>1956</v>
      </c>
    </row>
    <row r="1651" spans="2:4">
      <c r="B1651" s="198" t="s">
        <v>2648</v>
      </c>
      <c r="C1651" s="154" t="s">
        <v>2919</v>
      </c>
      <c r="D1651" s="201" t="s">
        <v>1956</v>
      </c>
    </row>
    <row r="1652" spans="2:4">
      <c r="B1652" s="198" t="s">
        <v>2681</v>
      </c>
      <c r="C1652" s="154" t="s">
        <v>3039</v>
      </c>
      <c r="D1652" s="201" t="s">
        <v>1956</v>
      </c>
    </row>
    <row r="1653" spans="2:4">
      <c r="B1653" s="198" t="s">
        <v>2860</v>
      </c>
      <c r="C1653" s="154" t="s">
        <v>2940</v>
      </c>
      <c r="D1653" s="201" t="s">
        <v>1956</v>
      </c>
    </row>
    <row r="1654" spans="2:4">
      <c r="B1654" s="198" t="s">
        <v>2570</v>
      </c>
      <c r="C1654" s="154" t="s">
        <v>2905</v>
      </c>
      <c r="D1654" s="201" t="s">
        <v>1956</v>
      </c>
    </row>
    <row r="1655" spans="2:4">
      <c r="B1655" s="198" t="s">
        <v>1200</v>
      </c>
      <c r="C1655" s="154" t="s">
        <v>1767</v>
      </c>
      <c r="D1655" s="201" t="s">
        <v>1956</v>
      </c>
    </row>
    <row r="1656" spans="2:4">
      <c r="B1656" s="198" t="s">
        <v>2867</v>
      </c>
      <c r="C1656" s="154" t="s">
        <v>1859</v>
      </c>
      <c r="D1656" s="201" t="s">
        <v>1956</v>
      </c>
    </row>
    <row r="1657" spans="2:4">
      <c r="B1657" s="198" t="s">
        <v>1417</v>
      </c>
      <c r="C1657" s="154" t="s">
        <v>1932</v>
      </c>
      <c r="D1657" s="201" t="s">
        <v>1956</v>
      </c>
    </row>
    <row r="1658" spans="2:4">
      <c r="B1658" s="198" t="s">
        <v>1109</v>
      </c>
      <c r="C1658" s="154" t="s">
        <v>1887</v>
      </c>
      <c r="D1658" s="201" t="s">
        <v>1956</v>
      </c>
    </row>
    <row r="1659" spans="2:4">
      <c r="B1659" s="198" t="s">
        <v>283</v>
      </c>
      <c r="C1659" s="154" t="s">
        <v>1581</v>
      </c>
      <c r="D1659" s="201" t="s">
        <v>1955</v>
      </c>
    </row>
    <row r="1660" spans="2:4">
      <c r="B1660" s="198" t="s">
        <v>217</v>
      </c>
      <c r="C1660" s="154" t="s">
        <v>1543</v>
      </c>
      <c r="D1660" s="201" t="s">
        <v>1955</v>
      </c>
    </row>
    <row r="1661" spans="2:4">
      <c r="B1661" s="198" t="s">
        <v>425</v>
      </c>
      <c r="C1661" s="154" t="s">
        <v>1543</v>
      </c>
      <c r="D1661" s="201" t="s">
        <v>1955</v>
      </c>
    </row>
    <row r="1662" spans="2:4">
      <c r="B1662" s="198" t="s">
        <v>284</v>
      </c>
      <c r="C1662" s="154" t="s">
        <v>1543</v>
      </c>
      <c r="D1662" s="201" t="s">
        <v>1955</v>
      </c>
    </row>
    <row r="1663" spans="2:4">
      <c r="B1663" s="198" t="s">
        <v>422</v>
      </c>
      <c r="C1663" s="154" t="s">
        <v>1648</v>
      </c>
      <c r="D1663" s="201" t="s">
        <v>1952</v>
      </c>
    </row>
    <row r="1664" spans="2:4">
      <c r="B1664" s="198" t="s">
        <v>2299</v>
      </c>
      <c r="C1664" s="154" t="s">
        <v>2315</v>
      </c>
      <c r="D1664" s="201" t="s">
        <v>1952</v>
      </c>
    </row>
    <row r="1665" spans="2:4">
      <c r="B1665" s="198" t="s">
        <v>676</v>
      </c>
      <c r="C1665" s="154" t="s">
        <v>1665</v>
      </c>
      <c r="D1665" s="201" t="s">
        <v>1951</v>
      </c>
    </row>
    <row r="1666" spans="2:4">
      <c r="B1666" s="198" t="s">
        <v>2036</v>
      </c>
      <c r="C1666" s="154" t="s">
        <v>2177</v>
      </c>
      <c r="D1666" s="201" t="s">
        <v>2217</v>
      </c>
    </row>
    <row r="1667" spans="2:4">
      <c r="B1667" s="198" t="s">
        <v>196</v>
      </c>
      <c r="C1667" s="154" t="s">
        <v>1533</v>
      </c>
      <c r="D1667" s="201" t="s">
        <v>1954</v>
      </c>
    </row>
    <row r="1668" spans="2:4">
      <c r="B1668" s="198" t="s">
        <v>164</v>
      </c>
      <c r="C1668" s="154" t="s">
        <v>1511</v>
      </c>
      <c r="D1668" s="201" t="s">
        <v>1951</v>
      </c>
    </row>
    <row r="1669" spans="2:4">
      <c r="B1669" s="198" t="s">
        <v>2112</v>
      </c>
      <c r="C1669" s="154" t="s">
        <v>2125</v>
      </c>
      <c r="D1669" s="201" t="s">
        <v>2217</v>
      </c>
    </row>
    <row r="1670" spans="2:4">
      <c r="B1670" s="198" t="s">
        <v>2093</v>
      </c>
      <c r="C1670" s="154" t="s">
        <v>2125</v>
      </c>
      <c r="D1670" s="201" t="s">
        <v>2217</v>
      </c>
    </row>
    <row r="1671" spans="2:4">
      <c r="B1671" s="198" t="s">
        <v>2098</v>
      </c>
      <c r="C1671" s="154" t="s">
        <v>2125</v>
      </c>
      <c r="D1671" s="201" t="s">
        <v>2217</v>
      </c>
    </row>
    <row r="1672" spans="2:4">
      <c r="B1672" s="198" t="s">
        <v>2097</v>
      </c>
      <c r="C1672" s="154" t="s">
        <v>2125</v>
      </c>
      <c r="D1672" s="201" t="s">
        <v>2217</v>
      </c>
    </row>
    <row r="1673" spans="2:4">
      <c r="B1673" s="198" t="s">
        <v>2084</v>
      </c>
      <c r="C1673" s="154" t="s">
        <v>2125</v>
      </c>
      <c r="D1673" s="201" t="s">
        <v>2217</v>
      </c>
    </row>
    <row r="1674" spans="2:4">
      <c r="B1674" s="198" t="s">
        <v>2085</v>
      </c>
      <c r="C1674" s="154" t="s">
        <v>2125</v>
      </c>
      <c r="D1674" s="201" t="s">
        <v>2217</v>
      </c>
    </row>
    <row r="1675" spans="2:4">
      <c r="B1675" s="198" t="s">
        <v>2109</v>
      </c>
      <c r="C1675" s="154" t="s">
        <v>2125</v>
      </c>
      <c r="D1675" s="201" t="s">
        <v>2217</v>
      </c>
    </row>
    <row r="1676" spans="2:4">
      <c r="B1676" s="198" t="s">
        <v>2089</v>
      </c>
      <c r="C1676" s="154" t="s">
        <v>2125</v>
      </c>
      <c r="D1676" s="201" t="s">
        <v>2217</v>
      </c>
    </row>
    <row r="1677" spans="2:4">
      <c r="B1677" s="198" t="s">
        <v>2105</v>
      </c>
      <c r="C1677" s="154" t="s">
        <v>2125</v>
      </c>
      <c r="D1677" s="201" t="s">
        <v>2217</v>
      </c>
    </row>
    <row r="1678" spans="2:4">
      <c r="B1678" s="198" t="s">
        <v>2116</v>
      </c>
      <c r="C1678" s="154" t="s">
        <v>2125</v>
      </c>
      <c r="D1678" s="201" t="s">
        <v>2217</v>
      </c>
    </row>
    <row r="1679" spans="2:4">
      <c r="B1679" s="198" t="s">
        <v>2111</v>
      </c>
      <c r="C1679" s="154" t="s">
        <v>2125</v>
      </c>
      <c r="D1679" s="201" t="s">
        <v>2217</v>
      </c>
    </row>
    <row r="1680" spans="2:4">
      <c r="B1680" s="198" t="s">
        <v>2108</v>
      </c>
      <c r="C1680" s="154" t="s">
        <v>2125</v>
      </c>
      <c r="D1680" s="201" t="s">
        <v>2217</v>
      </c>
    </row>
    <row r="1681" spans="2:4">
      <c r="B1681" s="198" t="s">
        <v>2113</v>
      </c>
      <c r="C1681" s="154" t="s">
        <v>2125</v>
      </c>
      <c r="D1681" s="201" t="s">
        <v>2217</v>
      </c>
    </row>
    <row r="1682" spans="2:4">
      <c r="B1682" s="198" t="s">
        <v>2359</v>
      </c>
      <c r="C1682" s="154" t="s">
        <v>2125</v>
      </c>
      <c r="D1682" s="201" t="s">
        <v>2217</v>
      </c>
    </row>
    <row r="1683" spans="2:4">
      <c r="B1683" s="198" t="s">
        <v>2114</v>
      </c>
      <c r="C1683" s="154" t="s">
        <v>2125</v>
      </c>
      <c r="D1683" s="201" t="s">
        <v>2217</v>
      </c>
    </row>
    <row r="1684" spans="2:4">
      <c r="B1684" s="198" t="s">
        <v>2067</v>
      </c>
      <c r="C1684" s="154" t="s">
        <v>2125</v>
      </c>
      <c r="D1684" s="201" t="s">
        <v>2217</v>
      </c>
    </row>
    <row r="1685" spans="2:4">
      <c r="B1685" s="198" t="s">
        <v>2075</v>
      </c>
      <c r="C1685" s="154" t="s">
        <v>2125</v>
      </c>
      <c r="D1685" s="201" t="s">
        <v>2217</v>
      </c>
    </row>
    <row r="1686" spans="2:4">
      <c r="B1686" s="198" t="s">
        <v>2103</v>
      </c>
      <c r="C1686" s="154" t="s">
        <v>2125</v>
      </c>
      <c r="D1686" s="201" t="s">
        <v>2217</v>
      </c>
    </row>
    <row r="1687" spans="2:4">
      <c r="B1687" s="198" t="s">
        <v>2117</v>
      </c>
      <c r="C1687" s="154" t="s">
        <v>2125</v>
      </c>
      <c r="D1687" s="201" t="s">
        <v>2217</v>
      </c>
    </row>
    <row r="1688" spans="2:4">
      <c r="B1688" s="198" t="s">
        <v>2110</v>
      </c>
      <c r="C1688" s="154" t="s">
        <v>2125</v>
      </c>
      <c r="D1688" s="201" t="s">
        <v>2217</v>
      </c>
    </row>
    <row r="1689" spans="2:4">
      <c r="B1689" s="198" t="s">
        <v>2102</v>
      </c>
      <c r="C1689" s="154" t="s">
        <v>2125</v>
      </c>
      <c r="D1689" s="201" t="s">
        <v>2217</v>
      </c>
    </row>
    <row r="1690" spans="2:4">
      <c r="B1690" s="198" t="s">
        <v>2115</v>
      </c>
      <c r="C1690" s="154" t="s">
        <v>2125</v>
      </c>
      <c r="D1690" s="201" t="s">
        <v>2217</v>
      </c>
    </row>
    <row r="1691" spans="2:4">
      <c r="B1691" s="198" t="s">
        <v>2094</v>
      </c>
      <c r="C1691" s="154" t="s">
        <v>2125</v>
      </c>
      <c r="D1691" s="201" t="s">
        <v>2217</v>
      </c>
    </row>
    <row r="1692" spans="2:4">
      <c r="B1692" s="198" t="s">
        <v>2070</v>
      </c>
      <c r="C1692" s="154" t="s">
        <v>2125</v>
      </c>
      <c r="D1692" s="201" t="s">
        <v>2217</v>
      </c>
    </row>
    <row r="1693" spans="2:4">
      <c r="B1693" s="198" t="s">
        <v>1975</v>
      </c>
      <c r="C1693" s="154" t="s">
        <v>2135</v>
      </c>
      <c r="D1693" s="201" t="s">
        <v>2217</v>
      </c>
    </row>
    <row r="1694" spans="2:4">
      <c r="B1694" s="198" t="s">
        <v>170</v>
      </c>
      <c r="C1694" s="154" t="s">
        <v>1516</v>
      </c>
      <c r="D1694" s="201" t="s">
        <v>1955</v>
      </c>
    </row>
    <row r="1695" spans="2:4">
      <c r="B1695" s="198" t="s">
        <v>2015</v>
      </c>
      <c r="C1695" s="154" t="s">
        <v>2162</v>
      </c>
      <c r="D1695" s="201" t="s">
        <v>2217</v>
      </c>
    </row>
    <row r="1696" spans="2:4">
      <c r="B1696" s="198" t="s">
        <v>389</v>
      </c>
      <c r="C1696" s="154" t="s">
        <v>1630</v>
      </c>
      <c r="D1696" s="201" t="s">
        <v>1952</v>
      </c>
    </row>
    <row r="1697" spans="2:4">
      <c r="B1697" s="198" t="s">
        <v>523</v>
      </c>
      <c r="C1697" s="154" t="s">
        <v>1694</v>
      </c>
      <c r="D1697" s="201" t="s">
        <v>1952</v>
      </c>
    </row>
    <row r="1698" spans="2:4">
      <c r="B1698" s="198" t="s">
        <v>367</v>
      </c>
      <c r="C1698" s="154" t="s">
        <v>1622</v>
      </c>
      <c r="D1698" s="201" t="s">
        <v>1954</v>
      </c>
    </row>
    <row r="1699" spans="2:4">
      <c r="B1699" s="198" t="s">
        <v>2248</v>
      </c>
      <c r="C1699" s="154" t="s">
        <v>2205</v>
      </c>
      <c r="D1699" s="201" t="s">
        <v>2216</v>
      </c>
    </row>
    <row r="1700" spans="2:4">
      <c r="B1700" s="198" t="s">
        <v>1985</v>
      </c>
      <c r="C1700" s="154" t="s">
        <v>2144</v>
      </c>
      <c r="D1700" s="201" t="s">
        <v>2217</v>
      </c>
    </row>
    <row r="1701" spans="2:4">
      <c r="B1701" s="198" t="s">
        <v>2017</v>
      </c>
      <c r="C1701" s="154" t="s">
        <v>2164</v>
      </c>
      <c r="D1701" s="201" t="s">
        <v>2217</v>
      </c>
    </row>
    <row r="1702" spans="2:4">
      <c r="B1702" s="198" t="s">
        <v>1410</v>
      </c>
      <c r="C1702" s="154" t="s">
        <v>149</v>
      </c>
      <c r="D1702" s="201" t="s">
        <v>1956</v>
      </c>
    </row>
    <row r="1703" spans="2:4">
      <c r="B1703" s="198" t="s">
        <v>137</v>
      </c>
      <c r="C1703" s="154" t="s">
        <v>149</v>
      </c>
      <c r="D1703" s="201" t="s">
        <v>1956</v>
      </c>
    </row>
    <row r="1704" spans="2:4">
      <c r="B1704" s="198" t="s">
        <v>248</v>
      </c>
      <c r="C1704" s="154" t="s">
        <v>149</v>
      </c>
      <c r="D1704" s="201" t="s">
        <v>1956</v>
      </c>
    </row>
    <row r="1705" spans="2:4">
      <c r="B1705" s="198" t="s">
        <v>380</v>
      </c>
      <c r="C1705" s="154" t="s">
        <v>149</v>
      </c>
      <c r="D1705" s="201" t="s">
        <v>1956</v>
      </c>
    </row>
    <row r="1706" spans="2:4">
      <c r="B1706" s="198" t="s">
        <v>507</v>
      </c>
      <c r="C1706" s="154" t="s">
        <v>149</v>
      </c>
      <c r="D1706" s="201" t="s">
        <v>1956</v>
      </c>
    </row>
    <row r="1707" spans="2:4">
      <c r="B1707" s="198" t="s">
        <v>250</v>
      </c>
      <c r="C1707" s="154" t="s">
        <v>149</v>
      </c>
      <c r="D1707" s="201" t="s">
        <v>1956</v>
      </c>
    </row>
    <row r="1708" spans="2:4">
      <c r="B1708" s="198" t="s">
        <v>1411</v>
      </c>
      <c r="C1708" s="154" t="s">
        <v>149</v>
      </c>
      <c r="D1708" s="201" t="s">
        <v>1956</v>
      </c>
    </row>
    <row r="1709" spans="2:4">
      <c r="B1709" s="198" t="s">
        <v>252</v>
      </c>
      <c r="C1709" s="154" t="s">
        <v>149</v>
      </c>
      <c r="D1709" s="201" t="s">
        <v>1956</v>
      </c>
    </row>
    <row r="1710" spans="2:4">
      <c r="B1710" s="198" t="s">
        <v>2868</v>
      </c>
      <c r="C1710" s="154" t="s">
        <v>149</v>
      </c>
      <c r="D1710" s="201" t="s">
        <v>1956</v>
      </c>
    </row>
    <row r="1711" spans="2:4">
      <c r="B1711" s="198" t="s">
        <v>2883</v>
      </c>
      <c r="C1711" s="154" t="s">
        <v>149</v>
      </c>
      <c r="D1711" s="201" t="s">
        <v>1956</v>
      </c>
    </row>
    <row r="1712" spans="2:4">
      <c r="B1712" s="198" t="s">
        <v>2351</v>
      </c>
      <c r="C1712" s="154" t="s">
        <v>149</v>
      </c>
      <c r="D1712" s="201" t="s">
        <v>1956</v>
      </c>
    </row>
    <row r="1713" spans="2:4">
      <c r="B1713" s="198" t="s">
        <v>243</v>
      </c>
      <c r="C1713" s="154" t="s">
        <v>149</v>
      </c>
      <c r="D1713" s="201" t="s">
        <v>1956</v>
      </c>
    </row>
    <row r="1714" spans="2:4">
      <c r="B1714" s="198" t="s">
        <v>1445</v>
      </c>
      <c r="C1714" s="154" t="s">
        <v>149</v>
      </c>
      <c r="D1714" s="201" t="s">
        <v>1956</v>
      </c>
    </row>
    <row r="1715" spans="2:4">
      <c r="B1715" s="198" t="s">
        <v>2532</v>
      </c>
      <c r="C1715" s="154" t="s">
        <v>149</v>
      </c>
      <c r="D1715" s="201" t="s">
        <v>1956</v>
      </c>
    </row>
    <row r="1716" spans="2:4">
      <c r="B1716" s="198" t="s">
        <v>246</v>
      </c>
      <c r="C1716" s="154" t="s">
        <v>149</v>
      </c>
      <c r="D1716" s="201" t="s">
        <v>1956</v>
      </c>
    </row>
    <row r="1717" spans="2:4">
      <c r="B1717" s="198" t="s">
        <v>138</v>
      </c>
      <c r="C1717" s="154" t="s">
        <v>149</v>
      </c>
      <c r="D1717" s="201" t="s">
        <v>1956</v>
      </c>
    </row>
    <row r="1718" spans="2:4">
      <c r="B1718" s="198" t="s">
        <v>276</v>
      </c>
      <c r="C1718" s="154" t="s">
        <v>149</v>
      </c>
      <c r="D1718" s="201" t="s">
        <v>1956</v>
      </c>
    </row>
    <row r="1719" spans="2:4">
      <c r="B1719" s="198" t="s">
        <v>186</v>
      </c>
      <c r="C1719" s="154" t="s">
        <v>149</v>
      </c>
      <c r="D1719" s="201" t="s">
        <v>1956</v>
      </c>
    </row>
    <row r="1720" spans="2:4">
      <c r="B1720" s="198" t="s">
        <v>2519</v>
      </c>
      <c r="C1720" s="154" t="s">
        <v>149</v>
      </c>
      <c r="D1720" s="201" t="s">
        <v>1956</v>
      </c>
    </row>
    <row r="1721" spans="2:4">
      <c r="B1721" s="198" t="s">
        <v>561</v>
      </c>
      <c r="C1721" s="154" t="s">
        <v>149</v>
      </c>
      <c r="D1721" s="201" t="s">
        <v>1956</v>
      </c>
    </row>
    <row r="1722" spans="2:4">
      <c r="B1722" s="198" t="s">
        <v>757</v>
      </c>
      <c r="C1722" s="154" t="s">
        <v>149</v>
      </c>
      <c r="D1722" s="201" t="s">
        <v>1956</v>
      </c>
    </row>
    <row r="1723" spans="2:4">
      <c r="B1723" s="198" t="s">
        <v>1415</v>
      </c>
      <c r="C1723" s="154" t="s">
        <v>149</v>
      </c>
      <c r="D1723" s="201" t="s">
        <v>1956</v>
      </c>
    </row>
    <row r="1724" spans="2:4">
      <c r="B1724" s="198" t="s">
        <v>1406</v>
      </c>
      <c r="C1724" s="154" t="s">
        <v>149</v>
      </c>
      <c r="D1724" s="201" t="s">
        <v>1956</v>
      </c>
    </row>
    <row r="1725" spans="2:4">
      <c r="B1725" s="198" t="s">
        <v>247</v>
      </c>
      <c r="C1725" s="154" t="s">
        <v>149</v>
      </c>
      <c r="D1725" s="201" t="s">
        <v>1956</v>
      </c>
    </row>
    <row r="1726" spans="2:4">
      <c r="B1726" s="198" t="s">
        <v>251</v>
      </c>
      <c r="C1726" s="154" t="s">
        <v>149</v>
      </c>
      <c r="D1726" s="201" t="s">
        <v>1956</v>
      </c>
    </row>
    <row r="1727" spans="2:4">
      <c r="B1727" s="198" t="s">
        <v>1459</v>
      </c>
      <c r="C1727" s="191" t="s">
        <v>149</v>
      </c>
      <c r="D1727" s="201" t="s">
        <v>1956</v>
      </c>
    </row>
    <row r="1728" spans="2:4">
      <c r="B1728" s="198" t="s">
        <v>2870</v>
      </c>
      <c r="C1728" s="154" t="s">
        <v>149</v>
      </c>
      <c r="D1728" s="201" t="s">
        <v>1956</v>
      </c>
    </row>
    <row r="1729" spans="2:4">
      <c r="B1729" s="198" t="s">
        <v>392</v>
      </c>
      <c r="C1729" s="154" t="s">
        <v>149</v>
      </c>
      <c r="D1729" s="201" t="s">
        <v>1956</v>
      </c>
    </row>
    <row r="1730" spans="2:4">
      <c r="B1730" s="198" t="s">
        <v>2537</v>
      </c>
      <c r="C1730" s="154" t="s">
        <v>149</v>
      </c>
      <c r="D1730" s="201" t="s">
        <v>1956</v>
      </c>
    </row>
    <row r="1731" spans="2:4">
      <c r="B1731" s="198" t="s">
        <v>1446</v>
      </c>
      <c r="C1731" s="154" t="s">
        <v>149</v>
      </c>
      <c r="D1731" s="201" t="s">
        <v>1956</v>
      </c>
    </row>
    <row r="1732" spans="2:4">
      <c r="B1732" s="198" t="s">
        <v>2286</v>
      </c>
      <c r="C1732" s="154" t="s">
        <v>149</v>
      </c>
      <c r="D1732" s="201" t="s">
        <v>1956</v>
      </c>
    </row>
    <row r="1733" spans="2:4">
      <c r="B1733" s="198" t="s">
        <v>259</v>
      </c>
      <c r="C1733" s="154" t="s">
        <v>149</v>
      </c>
      <c r="D1733" s="201" t="s">
        <v>1956</v>
      </c>
    </row>
    <row r="1734" spans="2:4">
      <c r="B1734" s="198" t="s">
        <v>244</v>
      </c>
      <c r="C1734" s="154" t="s">
        <v>149</v>
      </c>
      <c r="D1734" s="201" t="s">
        <v>1956</v>
      </c>
    </row>
    <row r="1735" spans="2:4">
      <c r="B1735" s="198" t="s">
        <v>2541</v>
      </c>
      <c r="C1735" s="154" t="s">
        <v>149</v>
      </c>
      <c r="D1735" s="201" t="s">
        <v>1956</v>
      </c>
    </row>
    <row r="1736" spans="2:4">
      <c r="B1736" s="198" t="s">
        <v>1407</v>
      </c>
      <c r="C1736" s="154" t="s">
        <v>149</v>
      </c>
      <c r="D1736" s="201" t="s">
        <v>1956</v>
      </c>
    </row>
    <row r="1737" spans="2:4">
      <c r="B1737" s="198" t="s">
        <v>1420</v>
      </c>
      <c r="C1737" s="154" t="s">
        <v>149</v>
      </c>
      <c r="D1737" s="201" t="s">
        <v>1956</v>
      </c>
    </row>
    <row r="1738" spans="2:4">
      <c r="B1738" s="198" t="s">
        <v>1419</v>
      </c>
      <c r="C1738" s="154" t="s">
        <v>149</v>
      </c>
      <c r="D1738" s="201" t="s">
        <v>1956</v>
      </c>
    </row>
    <row r="1739" spans="2:4">
      <c r="B1739" s="198" t="s">
        <v>1414</v>
      </c>
      <c r="C1739" s="154" t="s">
        <v>149</v>
      </c>
      <c r="D1739" s="201" t="s">
        <v>1956</v>
      </c>
    </row>
    <row r="1740" spans="2:4">
      <c r="B1740" s="198" t="s">
        <v>249</v>
      </c>
      <c r="C1740" s="154" t="s">
        <v>149</v>
      </c>
      <c r="D1740" s="201" t="s">
        <v>1956</v>
      </c>
    </row>
    <row r="1741" spans="2:4">
      <c r="B1741" s="198" t="s">
        <v>1976</v>
      </c>
      <c r="C1741" s="154" t="s">
        <v>2136</v>
      </c>
      <c r="D1741" s="201" t="s">
        <v>2218</v>
      </c>
    </row>
    <row r="1742" spans="2:4">
      <c r="B1742" s="198" t="s">
        <v>2393</v>
      </c>
      <c r="C1742" s="154" t="s">
        <v>2126</v>
      </c>
      <c r="D1742" s="201" t="s">
        <v>2218</v>
      </c>
    </row>
    <row r="1743" spans="2:4">
      <c r="B1743" s="198" t="s">
        <v>797</v>
      </c>
      <c r="C1743" s="154" t="s">
        <v>1790</v>
      </c>
      <c r="D1743" s="201" t="s">
        <v>1955</v>
      </c>
    </row>
    <row r="1744" spans="2:4">
      <c r="B1744" s="198" t="s">
        <v>245</v>
      </c>
      <c r="C1744" s="154" t="s">
        <v>1564</v>
      </c>
      <c r="D1744" s="201" t="s">
        <v>1955</v>
      </c>
    </row>
    <row r="1745" spans="2:4">
      <c r="B1745" s="198" t="s">
        <v>253</v>
      </c>
      <c r="C1745" s="154" t="s">
        <v>1565</v>
      </c>
      <c r="D1745" s="201" t="s">
        <v>1954</v>
      </c>
    </row>
    <row r="1746" spans="2:4">
      <c r="B1746" s="198" t="s">
        <v>185</v>
      </c>
      <c r="C1746" s="154" t="s">
        <v>1526</v>
      </c>
      <c r="D1746" s="201" t="s">
        <v>1956</v>
      </c>
    </row>
    <row r="1747" spans="2:4">
      <c r="B1747" s="198" t="s">
        <v>2667</v>
      </c>
      <c r="C1747" s="154" t="s">
        <v>2921</v>
      </c>
      <c r="D1747" s="201" t="s">
        <v>1952</v>
      </c>
    </row>
    <row r="1748" spans="2:4">
      <c r="B1748" s="198" t="s">
        <v>158</v>
      </c>
      <c r="C1748" s="154" t="s">
        <v>1507</v>
      </c>
      <c r="D1748" s="201" t="s">
        <v>1952</v>
      </c>
    </row>
    <row r="1749" spans="2:4">
      <c r="B1749" s="198" t="s">
        <v>616</v>
      </c>
      <c r="C1749" s="154" t="s">
        <v>1507</v>
      </c>
      <c r="D1749" s="201" t="s">
        <v>1952</v>
      </c>
    </row>
    <row r="1750" spans="2:4">
      <c r="B1750" s="198" t="s">
        <v>2957</v>
      </c>
      <c r="C1750" s="154" t="s">
        <v>1537</v>
      </c>
      <c r="D1750" s="201" t="s">
        <v>1955</v>
      </c>
    </row>
    <row r="1751" spans="2:4">
      <c r="B1751" s="198" t="s">
        <v>157</v>
      </c>
      <c r="C1751" s="154" t="s">
        <v>1506</v>
      </c>
      <c r="D1751" s="201" t="s">
        <v>1953</v>
      </c>
    </row>
    <row r="1752" spans="2:4">
      <c r="B1752" s="198" t="s">
        <v>2081</v>
      </c>
      <c r="C1752" s="154" t="s">
        <v>2187</v>
      </c>
      <c r="D1752" s="201" t="s">
        <v>2217</v>
      </c>
    </row>
    <row r="1753" spans="2:4">
      <c r="B1753" s="198" t="s">
        <v>365</v>
      </c>
      <c r="C1753" s="154" t="s">
        <v>1621</v>
      </c>
      <c r="D1753" s="201" t="s">
        <v>1951</v>
      </c>
    </row>
    <row r="1754" spans="2:4">
      <c r="B1754" s="198" t="s">
        <v>275</v>
      </c>
      <c r="C1754" s="154" t="s">
        <v>1576</v>
      </c>
      <c r="D1754" s="201" t="s">
        <v>1956</v>
      </c>
    </row>
    <row r="1755" spans="2:4">
      <c r="B1755" s="198" t="s">
        <v>390</v>
      </c>
      <c r="C1755" s="154" t="s">
        <v>1625</v>
      </c>
      <c r="D1755" s="201" t="s">
        <v>1951</v>
      </c>
    </row>
    <row r="1756" spans="2:4">
      <c r="B1756" s="198" t="s">
        <v>2091</v>
      </c>
      <c r="C1756" s="154" t="s">
        <v>2192</v>
      </c>
      <c r="D1756" s="201" t="s">
        <v>2217</v>
      </c>
    </row>
    <row r="1757" spans="2:4">
      <c r="B1757" s="198" t="s">
        <v>424</v>
      </c>
      <c r="C1757" s="154" t="s">
        <v>1650</v>
      </c>
      <c r="D1757" s="201" t="s">
        <v>1952</v>
      </c>
    </row>
    <row r="1758" spans="2:4">
      <c r="B1758" s="198" t="s">
        <v>802</v>
      </c>
      <c r="C1758" s="154" t="s">
        <v>1792</v>
      </c>
      <c r="D1758" s="201" t="s">
        <v>1955</v>
      </c>
    </row>
    <row r="1759" spans="2:4">
      <c r="B1759" s="198" t="s">
        <v>230</v>
      </c>
      <c r="C1759" s="154" t="s">
        <v>1519</v>
      </c>
      <c r="D1759" s="201" t="s">
        <v>1951</v>
      </c>
    </row>
    <row r="1760" spans="2:4">
      <c r="B1760" s="198" t="s">
        <v>175</v>
      </c>
      <c r="C1760" s="154" t="s">
        <v>1519</v>
      </c>
      <c r="D1760" s="201" t="s">
        <v>1951</v>
      </c>
    </row>
    <row r="1761" spans="2:4">
      <c r="B1761" s="198" t="s">
        <v>236</v>
      </c>
      <c r="C1761" s="154" t="s">
        <v>1538</v>
      </c>
      <c r="D1761" s="201" t="s">
        <v>1956</v>
      </c>
    </row>
    <row r="1762" spans="2:4">
      <c r="B1762" s="198" t="s">
        <v>2556</v>
      </c>
      <c r="C1762" s="154" t="s">
        <v>1541</v>
      </c>
      <c r="D1762" s="201" t="s">
        <v>1955</v>
      </c>
    </row>
    <row r="1763" spans="2:4">
      <c r="B1763" s="198" t="s">
        <v>2850</v>
      </c>
      <c r="C1763" s="154" t="s">
        <v>1541</v>
      </c>
      <c r="D1763" s="201" t="s">
        <v>1955</v>
      </c>
    </row>
    <row r="1764" spans="2:4">
      <c r="B1764" s="198" t="s">
        <v>211</v>
      </c>
      <c r="C1764" s="154" t="s">
        <v>1541</v>
      </c>
      <c r="D1764" s="201" t="s">
        <v>1955</v>
      </c>
    </row>
    <row r="1765" spans="2:4">
      <c r="B1765" s="198" t="s">
        <v>2585</v>
      </c>
      <c r="C1765" s="154" t="s">
        <v>1541</v>
      </c>
      <c r="D1765" s="201" t="s">
        <v>1955</v>
      </c>
    </row>
    <row r="1766" spans="2:4">
      <c r="B1766" s="198" t="s">
        <v>2521</v>
      </c>
      <c r="C1766" s="154" t="s">
        <v>1541</v>
      </c>
      <c r="D1766" s="201" t="s">
        <v>1955</v>
      </c>
    </row>
    <row r="1767" spans="2:4">
      <c r="B1767" s="198" t="s">
        <v>2848</v>
      </c>
      <c r="C1767" s="154" t="s">
        <v>1541</v>
      </c>
      <c r="D1767" s="201" t="s">
        <v>1955</v>
      </c>
    </row>
    <row r="1768" spans="2:4">
      <c r="B1768" s="198" t="s">
        <v>2552</v>
      </c>
      <c r="C1768" s="154" t="s">
        <v>1541</v>
      </c>
      <c r="D1768" s="201" t="s">
        <v>1955</v>
      </c>
    </row>
    <row r="1769" spans="2:4">
      <c r="B1769" s="198" t="s">
        <v>647</v>
      </c>
      <c r="C1769" s="154" t="s">
        <v>1541</v>
      </c>
      <c r="D1769" s="201" t="s">
        <v>1955</v>
      </c>
    </row>
    <row r="1770" spans="2:4">
      <c r="B1770" s="198" t="s">
        <v>358</v>
      </c>
      <c r="C1770" s="154" t="s">
        <v>1612</v>
      </c>
      <c r="D1770" s="201" t="s">
        <v>1953</v>
      </c>
    </row>
    <row r="1771" spans="2:4">
      <c r="B1771" s="198" t="s">
        <v>2016</v>
      </c>
      <c r="C1771" s="154" t="s">
        <v>2163</v>
      </c>
      <c r="D1771" s="201" t="s">
        <v>2217</v>
      </c>
    </row>
    <row r="1772" spans="2:4">
      <c r="B1772" s="198" t="s">
        <v>171</v>
      </c>
      <c r="C1772" s="154" t="s">
        <v>1517</v>
      </c>
      <c r="D1772" s="201" t="s">
        <v>1956</v>
      </c>
    </row>
    <row r="1773" spans="2:4">
      <c r="B1773" s="198" t="s">
        <v>174</v>
      </c>
      <c r="C1773" s="154" t="s">
        <v>1517</v>
      </c>
      <c r="D1773" s="201" t="s">
        <v>1956</v>
      </c>
    </row>
    <row r="1774" spans="2:4">
      <c r="B1774" s="198" t="s">
        <v>1989</v>
      </c>
      <c r="C1774" s="154" t="s">
        <v>2148</v>
      </c>
      <c r="D1774" s="201" t="s">
        <v>2218</v>
      </c>
    </row>
    <row r="1775" spans="2:4">
      <c r="B1775" s="198" t="s">
        <v>2042</v>
      </c>
      <c r="C1775" s="154" t="s">
        <v>2179</v>
      </c>
      <c r="D1775" s="201" t="s">
        <v>2217</v>
      </c>
    </row>
    <row r="1776" spans="2:4">
      <c r="B1776" s="198" t="s">
        <v>2044</v>
      </c>
      <c r="C1776" s="154" t="s">
        <v>2179</v>
      </c>
      <c r="D1776" s="201" t="s">
        <v>2217</v>
      </c>
    </row>
    <row r="1777" spans="2:4">
      <c r="B1777" s="198" t="s">
        <v>2029</v>
      </c>
      <c r="C1777" s="154" t="s">
        <v>2173</v>
      </c>
      <c r="D1777" s="201" t="s">
        <v>2217</v>
      </c>
    </row>
    <row r="1778" spans="2:4">
      <c r="B1778" s="198" t="s">
        <v>1114</v>
      </c>
      <c r="C1778" s="154" t="s">
        <v>1890</v>
      </c>
      <c r="D1778" s="201" t="s">
        <v>1953</v>
      </c>
    </row>
    <row r="1779" spans="2:4">
      <c r="B1779" s="198" t="s">
        <v>2066</v>
      </c>
      <c r="C1779" s="154" t="s">
        <v>2176</v>
      </c>
      <c r="D1779" s="201" t="s">
        <v>2217</v>
      </c>
    </row>
    <row r="1780" spans="2:4">
      <c r="B1780" s="198" t="s">
        <v>2118</v>
      </c>
      <c r="C1780" s="154" t="s">
        <v>2176</v>
      </c>
      <c r="D1780" s="201" t="s">
        <v>2217</v>
      </c>
    </row>
    <row r="1781" spans="2:4">
      <c r="B1781" s="198" t="s">
        <v>2063</v>
      </c>
      <c r="C1781" s="154" t="s">
        <v>2155</v>
      </c>
      <c r="D1781" s="201" t="s">
        <v>2218</v>
      </c>
    </row>
    <row r="1782" spans="2:4">
      <c r="B1782" s="198" t="s">
        <v>1980</v>
      </c>
      <c r="C1782" s="154" t="s">
        <v>2140</v>
      </c>
      <c r="D1782" s="201" t="s">
        <v>2217</v>
      </c>
    </row>
    <row r="1783" spans="2:4">
      <c r="B1783" s="198" t="s">
        <v>2056</v>
      </c>
      <c r="C1783" s="154" t="s">
        <v>2181</v>
      </c>
      <c r="D1783" s="201" t="s">
        <v>2217</v>
      </c>
    </row>
    <row r="1784" spans="2:4">
      <c r="B1784" s="198" t="s">
        <v>1455</v>
      </c>
      <c r="C1784" s="154" t="s">
        <v>1560</v>
      </c>
      <c r="D1784" s="201" t="s">
        <v>1953</v>
      </c>
    </row>
    <row r="1785" spans="2:4">
      <c r="B1785" s="198" t="s">
        <v>183</v>
      </c>
      <c r="C1785" s="154" t="s">
        <v>1522</v>
      </c>
      <c r="D1785" s="201" t="s">
        <v>1953</v>
      </c>
    </row>
    <row r="1786" spans="2:4">
      <c r="B1786" s="198" t="s">
        <v>2353</v>
      </c>
      <c r="C1786" s="154" t="s">
        <v>1522</v>
      </c>
      <c r="D1786" s="201" t="s">
        <v>1953</v>
      </c>
    </row>
    <row r="1787" spans="2:4">
      <c r="B1787" s="198" t="s">
        <v>2682</v>
      </c>
      <c r="C1787" s="154" t="s">
        <v>1522</v>
      </c>
      <c r="D1787" s="201" t="s">
        <v>1953</v>
      </c>
    </row>
    <row r="1788" spans="2:4">
      <c r="B1788" s="198" t="s">
        <v>2352</v>
      </c>
      <c r="C1788" s="154" t="s">
        <v>1522</v>
      </c>
      <c r="D1788" s="201" t="s">
        <v>1953</v>
      </c>
    </row>
    <row r="1789" spans="2:4">
      <c r="B1789" s="198" t="s">
        <v>2724</v>
      </c>
      <c r="C1789" s="154" t="s">
        <v>1560</v>
      </c>
      <c r="D1789" s="201" t="s">
        <v>1953</v>
      </c>
    </row>
    <row r="1790" spans="2:4">
      <c r="B1790" s="198" t="s">
        <v>1485</v>
      </c>
      <c r="C1790" s="154" t="s">
        <v>1560</v>
      </c>
      <c r="D1790" s="201" t="s">
        <v>1953</v>
      </c>
    </row>
    <row r="1791" spans="2:4">
      <c r="B1791" s="198" t="s">
        <v>2498</v>
      </c>
      <c r="C1791" s="154" t="s">
        <v>1522</v>
      </c>
      <c r="D1791" s="201" t="s">
        <v>1953</v>
      </c>
    </row>
    <row r="1792" spans="2:4">
      <c r="B1792" s="198" t="s">
        <v>348</v>
      </c>
      <c r="C1792" s="154" t="s">
        <v>1560</v>
      </c>
      <c r="D1792" s="201" t="s">
        <v>1953</v>
      </c>
    </row>
    <row r="1793" spans="2:4">
      <c r="B1793" s="198" t="s">
        <v>2714</v>
      </c>
      <c r="C1793" s="154" t="s">
        <v>1560</v>
      </c>
      <c r="D1793" s="201" t="s">
        <v>1953</v>
      </c>
    </row>
    <row r="1794" spans="2:4">
      <c r="B1794" s="198" t="s">
        <v>1424</v>
      </c>
      <c r="C1794" s="154" t="s">
        <v>1522</v>
      </c>
      <c r="D1794" s="201" t="s">
        <v>1953</v>
      </c>
    </row>
    <row r="1795" spans="2:4">
      <c r="B1795" s="198" t="s">
        <v>1453</v>
      </c>
      <c r="C1795" s="154" t="s">
        <v>1560</v>
      </c>
      <c r="D1795" s="201" t="s">
        <v>1953</v>
      </c>
    </row>
    <row r="1796" spans="2:4">
      <c r="B1796" s="198" t="s">
        <v>1457</v>
      </c>
      <c r="C1796" s="154" t="s">
        <v>1560</v>
      </c>
      <c r="D1796" s="201" t="s">
        <v>1953</v>
      </c>
    </row>
    <row r="1797" spans="2:4">
      <c r="B1797" s="198" t="s">
        <v>1408</v>
      </c>
      <c r="C1797" s="154" t="s">
        <v>1522</v>
      </c>
      <c r="D1797" s="201" t="s">
        <v>1953</v>
      </c>
    </row>
    <row r="1798" spans="2:4">
      <c r="B1798" s="198" t="s">
        <v>2536</v>
      </c>
      <c r="C1798" s="154" t="s">
        <v>1560</v>
      </c>
      <c r="D1798" s="201" t="s">
        <v>1953</v>
      </c>
    </row>
    <row r="1799" spans="2:4">
      <c r="B1799" s="198" t="s">
        <v>238</v>
      </c>
      <c r="C1799" s="154" t="s">
        <v>1560</v>
      </c>
      <c r="D1799" s="201" t="s">
        <v>1953</v>
      </c>
    </row>
    <row r="1800" spans="2:4">
      <c r="B1800" s="198" t="s">
        <v>1409</v>
      </c>
      <c r="C1800" s="154" t="s">
        <v>1522</v>
      </c>
      <c r="D1800" s="201" t="s">
        <v>1953</v>
      </c>
    </row>
    <row r="1801" spans="2:4">
      <c r="B1801" s="198" t="s">
        <v>2689</v>
      </c>
      <c r="C1801" s="154" t="s">
        <v>1522</v>
      </c>
      <c r="D1801" s="201" t="s">
        <v>1953</v>
      </c>
    </row>
    <row r="1802" spans="2:4">
      <c r="B1802" s="198" t="s">
        <v>1402</v>
      </c>
      <c r="C1802" s="154" t="s">
        <v>1522</v>
      </c>
      <c r="D1802" s="201" t="s">
        <v>1953</v>
      </c>
    </row>
    <row r="1803" spans="2:4">
      <c r="B1803" s="198" t="s">
        <v>1458</v>
      </c>
      <c r="C1803" s="154" t="s">
        <v>1560</v>
      </c>
      <c r="D1803" s="201" t="s">
        <v>1953</v>
      </c>
    </row>
    <row r="1804" spans="2:4">
      <c r="B1804" s="198" t="s">
        <v>2530</v>
      </c>
      <c r="C1804" s="154" t="s">
        <v>1560</v>
      </c>
      <c r="D1804" s="201" t="s">
        <v>1953</v>
      </c>
    </row>
    <row r="1805" spans="2:4">
      <c r="B1805" s="198" t="s">
        <v>2578</v>
      </c>
      <c r="C1805" s="154" t="s">
        <v>1560</v>
      </c>
      <c r="D1805" s="201" t="s">
        <v>1953</v>
      </c>
    </row>
    <row r="1806" spans="2:4">
      <c r="B1806" s="198" t="s">
        <v>428</v>
      </c>
      <c r="C1806" s="154" t="s">
        <v>1652</v>
      </c>
      <c r="D1806" s="201" t="s">
        <v>1952</v>
      </c>
    </row>
    <row r="1807" spans="2:4">
      <c r="B1807" s="198" t="s">
        <v>1423</v>
      </c>
      <c r="C1807" s="154" t="s">
        <v>1522</v>
      </c>
      <c r="D1807" s="201" t="s">
        <v>1953</v>
      </c>
    </row>
    <row r="1808" spans="2:4">
      <c r="B1808" s="198" t="s">
        <v>1486</v>
      </c>
      <c r="C1808" s="154" t="s">
        <v>1560</v>
      </c>
      <c r="D1808" s="201" t="s">
        <v>1953</v>
      </c>
    </row>
    <row r="1809" spans="2:4">
      <c r="B1809" s="198" t="s">
        <v>1456</v>
      </c>
      <c r="C1809" s="154" t="s">
        <v>1560</v>
      </c>
      <c r="D1809" s="201" t="s">
        <v>1953</v>
      </c>
    </row>
    <row r="1810" spans="2:4">
      <c r="B1810" s="198" t="s">
        <v>2499</v>
      </c>
      <c r="C1810" s="154" t="s">
        <v>1522</v>
      </c>
      <c r="D1810" s="201" t="s">
        <v>1953</v>
      </c>
    </row>
    <row r="1811" spans="2:4">
      <c r="B1811" s="198" t="s">
        <v>1405</v>
      </c>
      <c r="C1811" s="154" t="s">
        <v>1522</v>
      </c>
      <c r="D1811" s="201" t="s">
        <v>1953</v>
      </c>
    </row>
    <row r="1812" spans="2:4">
      <c r="B1812" s="198" t="s">
        <v>216</v>
      </c>
      <c r="C1812" s="154" t="s">
        <v>1522</v>
      </c>
      <c r="D1812" s="201" t="s">
        <v>1953</v>
      </c>
    </row>
    <row r="1813" spans="2:4">
      <c r="B1813" s="198" t="s">
        <v>2506</v>
      </c>
      <c r="C1813" s="154" t="s">
        <v>1560</v>
      </c>
      <c r="D1813" s="201" t="s">
        <v>1953</v>
      </c>
    </row>
    <row r="1814" spans="2:4">
      <c r="B1814" s="198" t="s">
        <v>2831</v>
      </c>
      <c r="C1814" s="154" t="s">
        <v>1522</v>
      </c>
      <c r="D1814" s="201" t="s">
        <v>1953</v>
      </c>
    </row>
    <row r="1815" spans="2:4">
      <c r="B1815" s="198" t="s">
        <v>179</v>
      </c>
      <c r="C1815" s="154" t="s">
        <v>1522</v>
      </c>
      <c r="D1815" s="201" t="s">
        <v>1953</v>
      </c>
    </row>
    <row r="1816" spans="2:4">
      <c r="B1816" s="198" t="s">
        <v>359</v>
      </c>
      <c r="C1816" s="154" t="s">
        <v>1727</v>
      </c>
      <c r="D1816" s="201" t="s">
        <v>1953</v>
      </c>
    </row>
    <row r="1817" spans="2:4">
      <c r="B1817" s="198" t="s">
        <v>1987</v>
      </c>
      <c r="C1817" s="154" t="s">
        <v>2146</v>
      </c>
      <c r="D1817" s="201" t="s">
        <v>2218</v>
      </c>
    </row>
    <row r="1818" spans="2:4">
      <c r="B1818" s="198" t="s">
        <v>187</v>
      </c>
      <c r="C1818" s="154" t="s">
        <v>1527</v>
      </c>
      <c r="D1818" s="201" t="s">
        <v>1955</v>
      </c>
    </row>
    <row r="1819" spans="2:4">
      <c r="B1819" s="198" t="s">
        <v>188</v>
      </c>
      <c r="C1819" s="154" t="s">
        <v>1528</v>
      </c>
      <c r="D1819" s="201" t="s">
        <v>1955</v>
      </c>
    </row>
    <row r="1820" spans="2:4">
      <c r="B1820" s="198" t="s">
        <v>721</v>
      </c>
      <c r="C1820" s="154" t="s">
        <v>1628</v>
      </c>
      <c r="D1820" s="201" t="s">
        <v>1956</v>
      </c>
    </row>
    <row r="1821" spans="2:4">
      <c r="B1821" s="198" t="s">
        <v>1201</v>
      </c>
      <c r="C1821" s="154" t="s">
        <v>1628</v>
      </c>
      <c r="D1821" s="201" t="s">
        <v>1956</v>
      </c>
    </row>
    <row r="1822" spans="2:4">
      <c r="B1822" s="198" t="s">
        <v>190</v>
      </c>
      <c r="C1822" s="154" t="s">
        <v>1531</v>
      </c>
      <c r="D1822" s="201" t="s">
        <v>1955</v>
      </c>
    </row>
    <row r="1823" spans="2:4">
      <c r="B1823" s="198" t="s">
        <v>2599</v>
      </c>
      <c r="C1823" s="154" t="s">
        <v>2913</v>
      </c>
      <c r="D1823" s="201" t="s">
        <v>1954</v>
      </c>
    </row>
    <row r="1824" spans="2:4">
      <c r="B1824" s="198" t="s">
        <v>2800</v>
      </c>
      <c r="C1824" s="154" t="s">
        <v>1691</v>
      </c>
      <c r="D1824" s="201" t="s">
        <v>1952</v>
      </c>
    </row>
    <row r="1825" spans="2:4">
      <c r="B1825" s="198" t="s">
        <v>156</v>
      </c>
      <c r="C1825" s="154" t="s">
        <v>1505</v>
      </c>
      <c r="D1825" s="201" t="s">
        <v>1952</v>
      </c>
    </row>
    <row r="1826" spans="2:4">
      <c r="B1826" s="198" t="s">
        <v>2082</v>
      </c>
      <c r="C1826" s="154" t="s">
        <v>2188</v>
      </c>
      <c r="D1826" s="201" t="s">
        <v>2217</v>
      </c>
    </row>
    <row r="1827" spans="2:4">
      <c r="B1827" s="198" t="s">
        <v>1454</v>
      </c>
      <c r="C1827" s="154" t="s">
        <v>142</v>
      </c>
      <c r="D1827" s="201" t="s">
        <v>1954</v>
      </c>
    </row>
    <row r="1828" spans="2:4">
      <c r="B1828" s="198" t="s">
        <v>1418</v>
      </c>
      <c r="C1828" s="154" t="s">
        <v>142</v>
      </c>
      <c r="D1828" s="201" t="s">
        <v>1954</v>
      </c>
    </row>
    <row r="1829" spans="2:4">
      <c r="B1829" s="198" t="s">
        <v>382</v>
      </c>
      <c r="C1829" s="154" t="s">
        <v>142</v>
      </c>
      <c r="D1829" s="201" t="s">
        <v>1954</v>
      </c>
    </row>
    <row r="1830" spans="2:4">
      <c r="B1830" s="198" t="s">
        <v>310</v>
      </c>
      <c r="C1830" s="154" t="s">
        <v>142</v>
      </c>
      <c r="D1830" s="201" t="s">
        <v>1954</v>
      </c>
    </row>
    <row r="1831" spans="2:4">
      <c r="B1831" s="198" t="s">
        <v>2851</v>
      </c>
      <c r="C1831" s="154" t="s">
        <v>142</v>
      </c>
      <c r="D1831" s="201" t="s">
        <v>1954</v>
      </c>
    </row>
    <row r="1832" spans="2:4">
      <c r="B1832" s="198" t="s">
        <v>2355</v>
      </c>
      <c r="C1832" s="154" t="s">
        <v>142</v>
      </c>
      <c r="D1832" s="201" t="s">
        <v>1954</v>
      </c>
    </row>
    <row r="1833" spans="2:4">
      <c r="B1833" s="198" t="s">
        <v>1452</v>
      </c>
      <c r="C1833" s="154" t="s">
        <v>142</v>
      </c>
      <c r="D1833" s="201" t="s">
        <v>1954</v>
      </c>
    </row>
    <row r="1834" spans="2:4">
      <c r="B1834" s="198" t="s">
        <v>260</v>
      </c>
      <c r="C1834" s="154" t="s">
        <v>142</v>
      </c>
      <c r="D1834" s="201" t="s">
        <v>1954</v>
      </c>
    </row>
    <row r="1835" spans="2:4">
      <c r="B1835" s="198" t="s">
        <v>1451</v>
      </c>
      <c r="C1835" s="154" t="s">
        <v>142</v>
      </c>
      <c r="D1835" s="201" t="s">
        <v>1954</v>
      </c>
    </row>
    <row r="1836" spans="2:4">
      <c r="B1836" s="198" t="s">
        <v>477</v>
      </c>
      <c r="C1836" s="154" t="s">
        <v>142</v>
      </c>
      <c r="D1836" s="201" t="s">
        <v>1954</v>
      </c>
    </row>
    <row r="1837" spans="2:4">
      <c r="B1837" s="198" t="s">
        <v>285</v>
      </c>
      <c r="C1837" s="154" t="s">
        <v>142</v>
      </c>
      <c r="D1837" s="201" t="s">
        <v>1954</v>
      </c>
    </row>
    <row r="1838" spans="2:4">
      <c r="B1838" s="198" t="s">
        <v>843</v>
      </c>
      <c r="C1838" s="154" t="s">
        <v>142</v>
      </c>
      <c r="D1838" s="201" t="s">
        <v>1954</v>
      </c>
    </row>
    <row r="1839" spans="2:4">
      <c r="B1839" s="198" t="s">
        <v>215</v>
      </c>
      <c r="C1839" s="154" t="s">
        <v>142</v>
      </c>
      <c r="D1839" s="201" t="s">
        <v>1954</v>
      </c>
    </row>
    <row r="1840" spans="2:4">
      <c r="B1840" s="198" t="s">
        <v>254</v>
      </c>
      <c r="C1840" s="154" t="s">
        <v>142</v>
      </c>
      <c r="D1840" s="201" t="s">
        <v>1954</v>
      </c>
    </row>
    <row r="1841" spans="2:4">
      <c r="B1841" s="198" t="s">
        <v>213</v>
      </c>
      <c r="C1841" s="154" t="s">
        <v>142</v>
      </c>
      <c r="D1841" s="201" t="s">
        <v>1954</v>
      </c>
    </row>
    <row r="1842" spans="2:4">
      <c r="B1842" s="198" t="s">
        <v>1412</v>
      </c>
      <c r="C1842" s="154" t="s">
        <v>142</v>
      </c>
      <c r="D1842" s="201" t="s">
        <v>1954</v>
      </c>
    </row>
    <row r="1843" spans="2:4">
      <c r="B1843" s="198" t="s">
        <v>165</v>
      </c>
      <c r="C1843" s="154" t="s">
        <v>1512</v>
      </c>
      <c r="D1843" s="201" t="s">
        <v>1955</v>
      </c>
    </row>
    <row r="1844" spans="2:4">
      <c r="B1844" s="198" t="s">
        <v>181</v>
      </c>
      <c r="C1844" s="154" t="s">
        <v>1523</v>
      </c>
      <c r="D1844" s="201" t="s">
        <v>1955</v>
      </c>
    </row>
    <row r="1845" spans="2:4">
      <c r="B1845" s="198" t="s">
        <v>182</v>
      </c>
      <c r="C1845" s="154" t="s">
        <v>1524</v>
      </c>
      <c r="D1845" s="201" t="s">
        <v>1955</v>
      </c>
    </row>
    <row r="1846" spans="2:4">
      <c r="B1846" s="198" t="s">
        <v>240</v>
      </c>
      <c r="C1846" s="154" t="s">
        <v>1562</v>
      </c>
      <c r="D1846" s="201" t="s">
        <v>1951</v>
      </c>
    </row>
    <row r="1847" spans="2:4">
      <c r="B1847" s="198" t="s">
        <v>286</v>
      </c>
      <c r="C1847" s="154" t="s">
        <v>1582</v>
      </c>
      <c r="D1847" s="201" t="s">
        <v>1953</v>
      </c>
    </row>
    <row r="1848" spans="2:4">
      <c r="B1848" s="198" t="s">
        <v>178</v>
      </c>
      <c r="C1848" s="154" t="s">
        <v>1521</v>
      </c>
      <c r="D1848" s="201" t="s">
        <v>1951</v>
      </c>
    </row>
    <row r="1849" spans="2:4">
      <c r="B1849" s="198" t="s">
        <v>351</v>
      </c>
      <c r="C1849" s="154" t="s">
        <v>1521</v>
      </c>
      <c r="D1849" s="201" t="s">
        <v>1951</v>
      </c>
    </row>
    <row r="1850" spans="2:4">
      <c r="B1850" s="198" t="s">
        <v>420</v>
      </c>
      <c r="C1850" s="154" t="s">
        <v>1521</v>
      </c>
      <c r="D1850" s="201" t="s">
        <v>1951</v>
      </c>
    </row>
    <row r="1851" spans="2:4">
      <c r="B1851" s="198" t="s">
        <v>255</v>
      </c>
      <c r="C1851" s="154" t="s">
        <v>1521</v>
      </c>
      <c r="D1851" s="201" t="s">
        <v>1951</v>
      </c>
    </row>
    <row r="1852" spans="2:4">
      <c r="B1852" s="198" t="s">
        <v>1199</v>
      </c>
      <c r="C1852" s="154" t="s">
        <v>1914</v>
      </c>
      <c r="D1852" s="201" t="s">
        <v>1955</v>
      </c>
    </row>
    <row r="1853" spans="2:4">
      <c r="B1853" s="198" t="s">
        <v>1118</v>
      </c>
      <c r="C1853" s="154" t="s">
        <v>1606</v>
      </c>
      <c r="D1853" s="201" t="s">
        <v>1955</v>
      </c>
    </row>
    <row r="1854" spans="2:4">
      <c r="B1854" s="198" t="s">
        <v>1196</v>
      </c>
      <c r="C1854" s="154" t="s">
        <v>1913</v>
      </c>
      <c r="D1854" s="201" t="s">
        <v>1955</v>
      </c>
    </row>
    <row r="1855" spans="2:4">
      <c r="B1855" s="198" t="s">
        <v>474</v>
      </c>
      <c r="C1855" s="154" t="s">
        <v>1679</v>
      </c>
      <c r="D1855" s="201" t="s">
        <v>1954</v>
      </c>
    </row>
    <row r="1856" spans="2:4">
      <c r="B1856" s="198" t="s">
        <v>1986</v>
      </c>
      <c r="C1856" s="154" t="s">
        <v>2145</v>
      </c>
      <c r="D1856" s="201" t="s">
        <v>2218</v>
      </c>
    </row>
    <row r="1857" spans="2:4">
      <c r="B1857" s="198" t="s">
        <v>750</v>
      </c>
      <c r="C1857" s="154" t="s">
        <v>1758</v>
      </c>
      <c r="D1857" s="201" t="s">
        <v>1951</v>
      </c>
    </row>
    <row r="1858" spans="2:4">
      <c r="B1858" s="198" t="s">
        <v>2622</v>
      </c>
      <c r="C1858" s="154" t="s">
        <v>2916</v>
      </c>
      <c r="D1858" s="201" t="s">
        <v>1951</v>
      </c>
    </row>
    <row r="1859" spans="2:4">
      <c r="B1859" s="198" t="s">
        <v>2057</v>
      </c>
      <c r="C1859" s="154" t="s">
        <v>2130</v>
      </c>
      <c r="D1859" s="201" t="s">
        <v>2217</v>
      </c>
    </row>
    <row r="1860" spans="2:4">
      <c r="B1860" s="198" t="s">
        <v>2021</v>
      </c>
      <c r="C1860" s="154" t="s">
        <v>2130</v>
      </c>
      <c r="D1860" s="201" t="s">
        <v>2217</v>
      </c>
    </row>
    <row r="1861" spans="2:4">
      <c r="B1861" s="198" t="s">
        <v>1983</v>
      </c>
      <c r="C1861" s="154" t="s">
        <v>2130</v>
      </c>
      <c r="D1861" s="201" t="s">
        <v>2217</v>
      </c>
    </row>
    <row r="1862" spans="2:4">
      <c r="B1862" s="198" t="s">
        <v>2026</v>
      </c>
      <c r="C1862" s="154" t="s">
        <v>2130</v>
      </c>
      <c r="D1862" s="201" t="s">
        <v>2217</v>
      </c>
    </row>
    <row r="1863" spans="2:4">
      <c r="B1863" s="198" t="s">
        <v>2074</v>
      </c>
      <c r="C1863" s="154" t="s">
        <v>2130</v>
      </c>
      <c r="D1863" s="201" t="s">
        <v>2217</v>
      </c>
    </row>
    <row r="1864" spans="2:4">
      <c r="B1864" s="198" t="s">
        <v>2607</v>
      </c>
      <c r="C1864" s="154" t="s">
        <v>2915</v>
      </c>
      <c r="D1864" s="201" t="s">
        <v>1952</v>
      </c>
    </row>
    <row r="1865" spans="2:4">
      <c r="B1865" s="198" t="s">
        <v>401</v>
      </c>
      <c r="C1865" s="154" t="s">
        <v>1636</v>
      </c>
      <c r="D1865" s="201" t="s">
        <v>1952</v>
      </c>
    </row>
    <row r="1866" spans="2:4">
      <c r="B1866" s="198" t="s">
        <v>442</v>
      </c>
      <c r="C1866" s="154" t="s">
        <v>1662</v>
      </c>
      <c r="D1866" s="201" t="s">
        <v>1955</v>
      </c>
    </row>
    <row r="1867" spans="2:4">
      <c r="B1867" s="198" t="s">
        <v>214</v>
      </c>
      <c r="C1867" s="154" t="s">
        <v>1542</v>
      </c>
      <c r="D1867" s="201" t="s">
        <v>1953</v>
      </c>
    </row>
    <row r="1868" spans="2:4">
      <c r="B1868" s="198" t="s">
        <v>575</v>
      </c>
      <c r="C1868" s="154" t="s">
        <v>1542</v>
      </c>
      <c r="D1868" s="201" t="s">
        <v>1953</v>
      </c>
    </row>
    <row r="1869" spans="2:4">
      <c r="B1869" s="198" t="s">
        <v>2642</v>
      </c>
      <c r="C1869" s="154" t="s">
        <v>2918</v>
      </c>
      <c r="D1869" s="201" t="s">
        <v>1952</v>
      </c>
    </row>
    <row r="1870" spans="2:4">
      <c r="B1870" s="198" t="s">
        <v>1495</v>
      </c>
      <c r="C1870" s="154" t="s">
        <v>1946</v>
      </c>
      <c r="D1870" s="201" t="s">
        <v>1952</v>
      </c>
    </row>
    <row r="1871" spans="2:4">
      <c r="B1871" s="198" t="s">
        <v>2526</v>
      </c>
      <c r="C1871" s="154" t="s">
        <v>2897</v>
      </c>
      <c r="D1871" s="201" t="s">
        <v>1952</v>
      </c>
    </row>
    <row r="1872" spans="2:4">
      <c r="B1872" s="198" t="s">
        <v>2509</v>
      </c>
      <c r="C1872" s="154" t="s">
        <v>2890</v>
      </c>
      <c r="D1872" s="201" t="s">
        <v>1952</v>
      </c>
    </row>
    <row r="1873" spans="2:4">
      <c r="B1873" s="198" t="s">
        <v>1499</v>
      </c>
      <c r="C1873" s="154" t="s">
        <v>1950</v>
      </c>
      <c r="D1873" s="201" t="s">
        <v>1952</v>
      </c>
    </row>
    <row r="1874" spans="2:4">
      <c r="B1874" s="198" t="s">
        <v>1496</v>
      </c>
      <c r="C1874" s="154" t="s">
        <v>1947</v>
      </c>
      <c r="D1874" s="201" t="s">
        <v>1952</v>
      </c>
    </row>
    <row r="1875" spans="2:4">
      <c r="B1875" s="198" t="s">
        <v>1498</v>
      </c>
      <c r="C1875" s="154" t="s">
        <v>1949</v>
      </c>
      <c r="D1875" s="201" t="s">
        <v>1952</v>
      </c>
    </row>
    <row r="1876" spans="2:4">
      <c r="B1876" s="198" t="s">
        <v>2303</v>
      </c>
      <c r="C1876" s="154" t="s">
        <v>2319</v>
      </c>
      <c r="D1876" s="201" t="s">
        <v>1952</v>
      </c>
    </row>
    <row r="1877" spans="2:4">
      <c r="B1877" s="198" t="s">
        <v>2527</v>
      </c>
      <c r="C1877" s="154" t="s">
        <v>2898</v>
      </c>
      <c r="D1877" s="201" t="s">
        <v>1952</v>
      </c>
    </row>
    <row r="1878" spans="2:4">
      <c r="B1878" s="198" t="s">
        <v>2516</v>
      </c>
      <c r="C1878" s="154" t="s">
        <v>2893</v>
      </c>
      <c r="D1878" s="201" t="s">
        <v>1952</v>
      </c>
    </row>
    <row r="1879" spans="2:4">
      <c r="B1879" s="198" t="s">
        <v>2304</v>
      </c>
      <c r="C1879" s="154" t="s">
        <v>1899</v>
      </c>
      <c r="D1879" s="201" t="s">
        <v>1952</v>
      </c>
    </row>
    <row r="1880" spans="2:4">
      <c r="B1880" s="198" t="s">
        <v>1497</v>
      </c>
      <c r="C1880" s="154" t="s">
        <v>1948</v>
      </c>
      <c r="D1880" s="201" t="s">
        <v>1952</v>
      </c>
    </row>
    <row r="1881" spans="2:4">
      <c r="B1881" s="198" t="s">
        <v>2309</v>
      </c>
      <c r="C1881" s="154" t="s">
        <v>2321</v>
      </c>
      <c r="D1881" s="201" t="s">
        <v>1952</v>
      </c>
    </row>
    <row r="1882" spans="2:4">
      <c r="B1882" s="198" t="s">
        <v>2569</v>
      </c>
      <c r="C1882" s="154" t="s">
        <v>2904</v>
      </c>
      <c r="D1882" s="201" t="s">
        <v>1952</v>
      </c>
    </row>
    <row r="1883" spans="2:4">
      <c r="B1883" s="198" t="s">
        <v>2283</v>
      </c>
      <c r="C1883" s="154" t="s">
        <v>2311</v>
      </c>
      <c r="D1883" s="201" t="s">
        <v>1952</v>
      </c>
    </row>
    <row r="1884" spans="2:4">
      <c r="B1884" s="198" t="s">
        <v>2289</v>
      </c>
      <c r="C1884" s="154" t="s">
        <v>2314</v>
      </c>
      <c r="D1884" s="201" t="s">
        <v>1952</v>
      </c>
    </row>
    <row r="1885" spans="2:4">
      <c r="B1885" s="198" t="s">
        <v>2524</v>
      </c>
      <c r="C1885" s="154" t="s">
        <v>1638</v>
      </c>
      <c r="D1885" s="201" t="s">
        <v>1952</v>
      </c>
    </row>
    <row r="1886" spans="2:4">
      <c r="B1886" s="198" t="s">
        <v>2517</v>
      </c>
      <c r="C1886" s="154" t="s">
        <v>2894</v>
      </c>
      <c r="D1886" s="201" t="s">
        <v>1952</v>
      </c>
    </row>
    <row r="1887" spans="2:4">
      <c r="B1887" s="198" t="s">
        <v>2518</v>
      </c>
      <c r="C1887" s="154" t="s">
        <v>2895</v>
      </c>
      <c r="D1887" s="201" t="s">
        <v>1952</v>
      </c>
    </row>
    <row r="1888" spans="2:4">
      <c r="B1888" s="198" t="s">
        <v>2579</v>
      </c>
      <c r="C1888" s="154" t="s">
        <v>2908</v>
      </c>
      <c r="D1888" s="201" t="s">
        <v>1952</v>
      </c>
    </row>
    <row r="1889" spans="2:4">
      <c r="B1889" s="198" t="s">
        <v>2301</v>
      </c>
      <c r="C1889" s="154" t="s">
        <v>2317</v>
      </c>
      <c r="D1889" s="201" t="s">
        <v>1952</v>
      </c>
    </row>
    <row r="1890" spans="2:4">
      <c r="B1890" s="198" t="s">
        <v>2300</v>
      </c>
      <c r="C1890" s="154" t="s">
        <v>2316</v>
      </c>
      <c r="D1890" s="201" t="s">
        <v>1952</v>
      </c>
    </row>
    <row r="1891" spans="2:4">
      <c r="B1891" s="198" t="s">
        <v>2302</v>
      </c>
      <c r="C1891" s="154" t="s">
        <v>2318</v>
      </c>
      <c r="D1891" s="201" t="s">
        <v>1952</v>
      </c>
    </row>
    <row r="1892" spans="2:4">
      <c r="B1892" s="198" t="s">
        <v>2525</v>
      </c>
      <c r="C1892" s="154" t="s">
        <v>2896</v>
      </c>
      <c r="D1892" s="201" t="s">
        <v>1952</v>
      </c>
    </row>
    <row r="1893" spans="2:4">
      <c r="B1893" s="198" t="s">
        <v>2264</v>
      </c>
      <c r="C1893" s="154" t="s">
        <v>2268</v>
      </c>
      <c r="D1893" s="201" t="s">
        <v>1952</v>
      </c>
    </row>
    <row r="1894" spans="2:4">
      <c r="B1894" s="198" t="s">
        <v>2288</v>
      </c>
      <c r="C1894" s="154" t="s">
        <v>2313</v>
      </c>
      <c r="D1894" s="201" t="s">
        <v>1952</v>
      </c>
    </row>
    <row r="1895" spans="2:4">
      <c r="B1895" s="198" t="s">
        <v>2281</v>
      </c>
      <c r="C1895" s="154" t="s">
        <v>2280</v>
      </c>
      <c r="D1895" s="201" t="s">
        <v>1952</v>
      </c>
    </row>
    <row r="1896" spans="2:4">
      <c r="B1896" s="198" t="s">
        <v>2305</v>
      </c>
      <c r="C1896" s="154" t="s">
        <v>1900</v>
      </c>
      <c r="D1896" s="201" t="s">
        <v>1952</v>
      </c>
    </row>
    <row r="1897" spans="2:4">
      <c r="B1897" s="198" t="s">
        <v>2528</v>
      </c>
      <c r="C1897" s="154" t="s">
        <v>1867</v>
      </c>
      <c r="D1897" s="201" t="s">
        <v>1952</v>
      </c>
    </row>
    <row r="1898" spans="2:4">
      <c r="B1898" s="198" t="s">
        <v>2515</v>
      </c>
      <c r="C1898" s="154" t="s">
        <v>2892</v>
      </c>
      <c r="D1898" s="201" t="s">
        <v>1952</v>
      </c>
    </row>
    <row r="1899" spans="2:4">
      <c r="B1899" s="198" t="s">
        <v>2852</v>
      </c>
      <c r="C1899" s="154" t="s">
        <v>2939</v>
      </c>
      <c r="D1899" s="201" t="s">
        <v>1952</v>
      </c>
    </row>
    <row r="1900" spans="2:4">
      <c r="B1900" s="198" t="s">
        <v>1971</v>
      </c>
      <c r="C1900" s="154" t="s">
        <v>2131</v>
      </c>
      <c r="D1900" s="201" t="s">
        <v>2217</v>
      </c>
    </row>
    <row r="1901" spans="2:4">
      <c r="B1901" s="198" t="s">
        <v>289</v>
      </c>
      <c r="C1901" s="154" t="s">
        <v>1584</v>
      </c>
      <c r="D1901" s="201" t="s">
        <v>1952</v>
      </c>
    </row>
    <row r="1902" spans="2:4">
      <c r="B1902" s="198" t="s">
        <v>201</v>
      </c>
      <c r="C1902" s="154" t="s">
        <v>1535</v>
      </c>
      <c r="D1902" s="201" t="s">
        <v>1956</v>
      </c>
    </row>
    <row r="1903" spans="2:4">
      <c r="B1903" s="198" t="s">
        <v>163</v>
      </c>
      <c r="C1903" s="154" t="s">
        <v>153</v>
      </c>
      <c r="D1903" s="201" t="s">
        <v>1951</v>
      </c>
    </row>
    <row r="1904" spans="2:4">
      <c r="B1904" s="198" t="s">
        <v>242</v>
      </c>
      <c r="C1904" s="154" t="s">
        <v>153</v>
      </c>
      <c r="D1904" s="201" t="s">
        <v>1951</v>
      </c>
    </row>
    <row r="1905" spans="2:4">
      <c r="B1905" s="198" t="s">
        <v>463</v>
      </c>
      <c r="C1905" s="154" t="s">
        <v>1673</v>
      </c>
      <c r="D1905" s="201" t="s">
        <v>1956</v>
      </c>
    </row>
    <row r="1906" spans="2:4">
      <c r="B1906" s="198" t="s">
        <v>2119</v>
      </c>
      <c r="C1906" s="154" t="s">
        <v>2154</v>
      </c>
      <c r="D1906" s="201" t="s">
        <v>2217</v>
      </c>
    </row>
    <row r="1907" spans="2:4">
      <c r="B1907" s="198" t="s">
        <v>423</v>
      </c>
      <c r="C1907" s="154" t="s">
        <v>1649</v>
      </c>
      <c r="D1907" s="201" t="s">
        <v>1954</v>
      </c>
    </row>
    <row r="1908" spans="2:4">
      <c r="B1908" s="198" t="s">
        <v>679</v>
      </c>
      <c r="C1908" s="154" t="s">
        <v>1649</v>
      </c>
      <c r="D1908" s="201" t="s">
        <v>1954</v>
      </c>
    </row>
    <row r="1909" spans="2:4">
      <c r="B1909" s="198" t="s">
        <v>1974</v>
      </c>
      <c r="C1909" s="154" t="s">
        <v>2134</v>
      </c>
      <c r="D1909" s="201" t="s">
        <v>2217</v>
      </c>
    </row>
    <row r="1910" spans="2:4">
      <c r="B1910" s="198" t="s">
        <v>2006</v>
      </c>
      <c r="C1910" s="154" t="s">
        <v>2158</v>
      </c>
      <c r="D1910" s="201" t="s">
        <v>2217</v>
      </c>
    </row>
    <row r="1911" spans="2:4">
      <c r="B1911" s="198" t="s">
        <v>2007</v>
      </c>
      <c r="C1911" s="154" t="s">
        <v>2158</v>
      </c>
      <c r="D1911" s="201" t="s">
        <v>2217</v>
      </c>
    </row>
    <row r="1912" spans="2:4">
      <c r="B1912" s="198" t="s">
        <v>343</v>
      </c>
      <c r="C1912" s="154" t="s">
        <v>151</v>
      </c>
      <c r="D1912" s="201" t="s">
        <v>1954</v>
      </c>
    </row>
    <row r="1913" spans="2:4">
      <c r="B1913" s="198" t="s">
        <v>192</v>
      </c>
      <c r="C1913" s="154" t="s">
        <v>151</v>
      </c>
      <c r="D1913" s="201" t="s">
        <v>1954</v>
      </c>
    </row>
    <row r="1914" spans="2:4">
      <c r="B1914" s="198" t="s">
        <v>159</v>
      </c>
      <c r="C1914" s="154" t="s">
        <v>151</v>
      </c>
      <c r="D1914" s="201" t="s">
        <v>1954</v>
      </c>
    </row>
    <row r="1915" spans="2:4">
      <c r="B1915" s="198" t="s">
        <v>191</v>
      </c>
      <c r="C1915" s="154" t="s">
        <v>151</v>
      </c>
      <c r="D1915" s="201" t="s">
        <v>1954</v>
      </c>
    </row>
    <row r="1916" spans="2:4">
      <c r="B1916" s="198" t="s">
        <v>176</v>
      </c>
      <c r="C1916" s="154" t="s">
        <v>151</v>
      </c>
      <c r="D1916" s="201" t="s">
        <v>1954</v>
      </c>
    </row>
    <row r="1917" spans="2:4">
      <c r="B1917" s="198" t="s">
        <v>719</v>
      </c>
      <c r="C1917" s="154" t="s">
        <v>1761</v>
      </c>
      <c r="D1917" s="201" t="s">
        <v>1953</v>
      </c>
    </row>
    <row r="1918" spans="2:4">
      <c r="B1918" s="198" t="s">
        <v>479</v>
      </c>
      <c r="C1918" s="154" t="s">
        <v>1681</v>
      </c>
      <c r="D1918" s="201" t="s">
        <v>1953</v>
      </c>
    </row>
    <row r="1919" spans="2:4">
      <c r="B1919" s="198" t="s">
        <v>2065</v>
      </c>
      <c r="C1919" s="154" t="s">
        <v>2182</v>
      </c>
      <c r="D1919" s="201" t="s">
        <v>2217</v>
      </c>
    </row>
    <row r="1920" spans="2:4">
      <c r="B1920" s="198" t="s">
        <v>262</v>
      </c>
      <c r="C1920" s="154" t="s">
        <v>150</v>
      </c>
      <c r="D1920" s="201" t="s">
        <v>1951</v>
      </c>
    </row>
    <row r="1921" spans="2:4">
      <c r="B1921" s="198" t="s">
        <v>2576</v>
      </c>
      <c r="C1921" s="154" t="s">
        <v>150</v>
      </c>
      <c r="D1921" s="201" t="s">
        <v>1951</v>
      </c>
    </row>
    <row r="1922" spans="2:4">
      <c r="B1922" s="198" t="s">
        <v>2849</v>
      </c>
      <c r="C1922" s="154" t="s">
        <v>150</v>
      </c>
      <c r="D1922" s="201" t="s">
        <v>1951</v>
      </c>
    </row>
    <row r="1923" spans="2:4">
      <c r="B1923" s="198" t="s">
        <v>1460</v>
      </c>
      <c r="C1923" s="154" t="s">
        <v>150</v>
      </c>
      <c r="D1923" s="201" t="s">
        <v>1951</v>
      </c>
    </row>
    <row r="1924" spans="2:4">
      <c r="B1924" s="198" t="s">
        <v>2857</v>
      </c>
      <c r="C1924" s="154" t="s">
        <v>150</v>
      </c>
      <c r="D1924" s="201" t="s">
        <v>1951</v>
      </c>
    </row>
    <row r="1925" spans="2:4">
      <c r="B1925" s="198" t="s">
        <v>2855</v>
      </c>
      <c r="C1925" s="154" t="s">
        <v>150</v>
      </c>
      <c r="D1925" s="201" t="s">
        <v>1951</v>
      </c>
    </row>
    <row r="1926" spans="2:4">
      <c r="B1926" s="198" t="s">
        <v>1413</v>
      </c>
      <c r="C1926" s="154" t="s">
        <v>150</v>
      </c>
      <c r="D1926" s="201" t="s">
        <v>1951</v>
      </c>
    </row>
    <row r="1927" spans="2:4">
      <c r="B1927" s="198" t="s">
        <v>1421</v>
      </c>
      <c r="C1927" s="154" t="s">
        <v>150</v>
      </c>
      <c r="D1927" s="201" t="s">
        <v>1951</v>
      </c>
    </row>
    <row r="1928" spans="2:4">
      <c r="B1928" s="198" t="s">
        <v>376</v>
      </c>
      <c r="C1928" s="154" t="s">
        <v>150</v>
      </c>
      <c r="D1928" s="201" t="s">
        <v>1951</v>
      </c>
    </row>
    <row r="1929" spans="2:4">
      <c r="B1929" s="198" t="s">
        <v>366</v>
      </c>
      <c r="C1929" s="154" t="s">
        <v>150</v>
      </c>
      <c r="D1929" s="201" t="s">
        <v>1951</v>
      </c>
    </row>
    <row r="1930" spans="2:4">
      <c r="B1930" s="198" t="s">
        <v>139</v>
      </c>
      <c r="C1930" s="154" t="s">
        <v>150</v>
      </c>
      <c r="D1930" s="201" t="s">
        <v>1951</v>
      </c>
    </row>
    <row r="1931" spans="2:4">
      <c r="B1931" s="198" t="s">
        <v>2574</v>
      </c>
      <c r="C1931" s="154" t="s">
        <v>150</v>
      </c>
      <c r="D1931" s="201" t="s">
        <v>1951</v>
      </c>
    </row>
    <row r="1932" spans="2:4">
      <c r="B1932" s="198" t="s">
        <v>1404</v>
      </c>
      <c r="C1932" s="154" t="s">
        <v>150</v>
      </c>
      <c r="D1932" s="201" t="s">
        <v>1951</v>
      </c>
    </row>
    <row r="1933" spans="2:4">
      <c r="B1933" s="198" t="s">
        <v>1116</v>
      </c>
      <c r="C1933" s="154" t="s">
        <v>150</v>
      </c>
      <c r="D1933" s="201" t="s">
        <v>1951</v>
      </c>
    </row>
    <row r="1934" spans="2:4">
      <c r="B1934" s="198" t="s">
        <v>2550</v>
      </c>
      <c r="C1934" s="154" t="s">
        <v>150</v>
      </c>
      <c r="D1934" s="201" t="s">
        <v>1951</v>
      </c>
    </row>
    <row r="1935" spans="2:4">
      <c r="B1935" s="198" t="s">
        <v>193</v>
      </c>
      <c r="C1935" s="154" t="s">
        <v>150</v>
      </c>
      <c r="D1935" s="201" t="s">
        <v>1951</v>
      </c>
    </row>
    <row r="1936" spans="2:4">
      <c r="B1936" s="198" t="s">
        <v>412</v>
      </c>
      <c r="C1936" s="154" t="s">
        <v>150</v>
      </c>
      <c r="D1936" s="201" t="s">
        <v>1951</v>
      </c>
    </row>
    <row r="1937" spans="2:4">
      <c r="B1937" s="198" t="s">
        <v>180</v>
      </c>
      <c r="C1937" s="154" t="s">
        <v>150</v>
      </c>
      <c r="D1937" s="201" t="s">
        <v>1951</v>
      </c>
    </row>
    <row r="1938" spans="2:4">
      <c r="B1938" s="198" t="s">
        <v>1450</v>
      </c>
      <c r="C1938" s="154" t="s">
        <v>150</v>
      </c>
      <c r="D1938" s="201" t="s">
        <v>1951</v>
      </c>
    </row>
    <row r="1939" spans="2:4">
      <c r="B1939" s="198" t="s">
        <v>1416</v>
      </c>
      <c r="C1939" s="154" t="s">
        <v>150</v>
      </c>
      <c r="D1939" s="201" t="s">
        <v>1951</v>
      </c>
    </row>
    <row r="1940" spans="2:4">
      <c r="B1940" s="198" t="s">
        <v>2846</v>
      </c>
      <c r="C1940" s="154" t="s">
        <v>150</v>
      </c>
      <c r="D1940" s="201" t="s">
        <v>1951</v>
      </c>
    </row>
    <row r="1941" spans="2:4">
      <c r="B1941" s="198" t="s">
        <v>155</v>
      </c>
      <c r="C1941" s="154" t="s">
        <v>150</v>
      </c>
      <c r="D1941" s="201" t="s">
        <v>1951</v>
      </c>
    </row>
    <row r="1942" spans="2:4">
      <c r="B1942" s="198" t="s">
        <v>1488</v>
      </c>
      <c r="C1942" s="154" t="s">
        <v>150</v>
      </c>
      <c r="D1942" s="201" t="s">
        <v>1951</v>
      </c>
    </row>
    <row r="1943" spans="2:4">
      <c r="B1943" s="198" t="s">
        <v>2886</v>
      </c>
      <c r="C1943" s="154" t="s">
        <v>150</v>
      </c>
      <c r="D1943" s="201" t="s">
        <v>1951</v>
      </c>
    </row>
    <row r="1944" spans="2:4">
      <c r="B1944" s="198" t="s">
        <v>2858</v>
      </c>
      <c r="C1944" s="154" t="s">
        <v>150</v>
      </c>
      <c r="D1944" s="201" t="s">
        <v>1951</v>
      </c>
    </row>
    <row r="1945" spans="2:4">
      <c r="B1945" s="198" t="s">
        <v>1198</v>
      </c>
      <c r="C1945" s="154" t="s">
        <v>150</v>
      </c>
      <c r="D1945" s="201" t="s">
        <v>1951</v>
      </c>
    </row>
    <row r="1946" spans="2:4">
      <c r="B1946" s="198" t="s">
        <v>1422</v>
      </c>
      <c r="C1946" s="154" t="s">
        <v>150</v>
      </c>
      <c r="D1946" s="201" t="s">
        <v>1951</v>
      </c>
    </row>
    <row r="1947" spans="2:4">
      <c r="B1947" s="198" t="s">
        <v>2878</v>
      </c>
      <c r="C1947" s="154" t="s">
        <v>150</v>
      </c>
      <c r="D1947" s="201" t="s">
        <v>1951</v>
      </c>
    </row>
    <row r="1948" spans="2:4">
      <c r="B1948" s="198" t="s">
        <v>2830</v>
      </c>
      <c r="C1948" s="154" t="s">
        <v>150</v>
      </c>
      <c r="D1948" s="201" t="s">
        <v>1951</v>
      </c>
    </row>
    <row r="1949" spans="2:4">
      <c r="B1949" s="198" t="s">
        <v>1401</v>
      </c>
      <c r="C1949" s="154" t="s">
        <v>150</v>
      </c>
      <c r="D1949" s="201" t="s">
        <v>1951</v>
      </c>
    </row>
    <row r="1950" spans="2:4">
      <c r="B1950" s="198" t="s">
        <v>712</v>
      </c>
      <c r="C1950" s="154" t="s">
        <v>150</v>
      </c>
      <c r="D1950" s="201" t="s">
        <v>1951</v>
      </c>
    </row>
    <row r="1951" spans="2:4">
      <c r="B1951" s="198" t="s">
        <v>2549</v>
      </c>
      <c r="C1951" s="154" t="s">
        <v>150</v>
      </c>
      <c r="D1951" s="201" t="s">
        <v>1951</v>
      </c>
    </row>
    <row r="1952" spans="2:4">
      <c r="B1952" s="198" t="s">
        <v>1492</v>
      </c>
      <c r="C1952" s="154" t="s">
        <v>150</v>
      </c>
      <c r="D1952" s="201" t="s">
        <v>1951</v>
      </c>
    </row>
    <row r="1953" spans="2:4">
      <c r="B1953" s="198" t="s">
        <v>173</v>
      </c>
      <c r="C1953" s="154" t="s">
        <v>150</v>
      </c>
      <c r="D1953" s="201" t="s">
        <v>1951</v>
      </c>
    </row>
    <row r="1954" spans="2:4">
      <c r="B1954" s="198" t="s">
        <v>1447</v>
      </c>
      <c r="C1954" s="154" t="s">
        <v>150</v>
      </c>
      <c r="D1954" s="201" t="s">
        <v>1951</v>
      </c>
    </row>
    <row r="1955" spans="2:4">
      <c r="B1955" s="198" t="s">
        <v>1403</v>
      </c>
      <c r="C1955" s="154" t="s">
        <v>150</v>
      </c>
      <c r="D1955" s="201" t="s">
        <v>1951</v>
      </c>
    </row>
    <row r="1956" spans="2:4">
      <c r="B1956" s="198" t="s">
        <v>1448</v>
      </c>
      <c r="C1956" s="154" t="s">
        <v>150</v>
      </c>
      <c r="D1956" s="201" t="s">
        <v>1951</v>
      </c>
    </row>
    <row r="1957" spans="2:4">
      <c r="B1957" s="198" t="s">
        <v>1197</v>
      </c>
      <c r="C1957" s="154" t="s">
        <v>150</v>
      </c>
      <c r="D1957" s="201" t="s">
        <v>1951</v>
      </c>
    </row>
    <row r="1958" spans="2:4">
      <c r="B1958" s="198" t="s">
        <v>370</v>
      </c>
      <c r="C1958" s="154" t="s">
        <v>150</v>
      </c>
      <c r="D1958" s="201" t="s">
        <v>1951</v>
      </c>
    </row>
    <row r="1959" spans="2:4">
      <c r="B1959" s="198" t="s">
        <v>480</v>
      </c>
      <c r="C1959" s="154" t="s">
        <v>150</v>
      </c>
      <c r="D1959" s="201" t="s">
        <v>1951</v>
      </c>
    </row>
    <row r="1960" spans="2:4">
      <c r="B1960" s="198" t="s">
        <v>1449</v>
      </c>
      <c r="C1960" s="154" t="s">
        <v>150</v>
      </c>
      <c r="D1960" s="201" t="s">
        <v>1951</v>
      </c>
    </row>
    <row r="1961" spans="2:4">
      <c r="B1961" s="198" t="s">
        <v>207</v>
      </c>
      <c r="C1961" s="154" t="s">
        <v>150</v>
      </c>
      <c r="D1961" s="201" t="s">
        <v>1951</v>
      </c>
    </row>
    <row r="1962" spans="2:4">
      <c r="B1962" s="198" t="s">
        <v>2856</v>
      </c>
      <c r="C1962" s="154" t="s">
        <v>150</v>
      </c>
      <c r="D1962" s="201" t="s">
        <v>1951</v>
      </c>
    </row>
    <row r="1963" spans="2:4">
      <c r="B1963" s="198" t="s">
        <v>2829</v>
      </c>
      <c r="C1963" s="154" t="s">
        <v>150</v>
      </c>
      <c r="D1963" s="201" t="s">
        <v>1951</v>
      </c>
    </row>
    <row r="1964" spans="2:4">
      <c r="B1964" s="198" t="s">
        <v>2885</v>
      </c>
      <c r="C1964" s="154" t="s">
        <v>150</v>
      </c>
      <c r="D1964" s="201" t="s">
        <v>1951</v>
      </c>
    </row>
    <row r="1965" spans="2:4">
      <c r="B1965" s="198" t="s">
        <v>2354</v>
      </c>
      <c r="C1965" s="154" t="s">
        <v>150</v>
      </c>
      <c r="D1965" s="201" t="s">
        <v>1951</v>
      </c>
    </row>
    <row r="1966" spans="2:4">
      <c r="B1966" s="198" t="s">
        <v>256</v>
      </c>
      <c r="C1966" s="154" t="s">
        <v>150</v>
      </c>
      <c r="D1966" s="201" t="s">
        <v>1951</v>
      </c>
    </row>
    <row r="1967" spans="2:4">
      <c r="B1967" s="198" t="s">
        <v>161</v>
      </c>
      <c r="C1967" s="154" t="s">
        <v>1509</v>
      </c>
      <c r="D1967" s="201" t="s">
        <v>1954</v>
      </c>
    </row>
    <row r="1968" spans="2:4">
      <c r="B1968" s="198" t="s">
        <v>1011</v>
      </c>
      <c r="C1968" s="154" t="s">
        <v>1862</v>
      </c>
      <c r="D1968" s="201" t="s">
        <v>1954</v>
      </c>
    </row>
    <row r="1969" spans="2:4">
      <c r="B1969" s="198" t="s">
        <v>1012</v>
      </c>
      <c r="C1969" s="154" t="s">
        <v>1863</v>
      </c>
      <c r="D1969" s="201" t="s">
        <v>1954</v>
      </c>
    </row>
    <row r="1970" spans="2:4">
      <c r="B1970" s="198" t="s">
        <v>2600</v>
      </c>
      <c r="C1970" s="154" t="s">
        <v>2914</v>
      </c>
      <c r="D1970" s="201" t="s">
        <v>1954</v>
      </c>
    </row>
    <row r="1971" spans="2:4">
      <c r="B1971" s="198" t="s">
        <v>2632</v>
      </c>
      <c r="C1971" s="154" t="s">
        <v>2917</v>
      </c>
      <c r="D1971" s="201" t="s">
        <v>1954</v>
      </c>
    </row>
    <row r="1972" spans="2:4">
      <c r="B1972" s="198" t="s">
        <v>2598</v>
      </c>
      <c r="C1972" s="154" t="s">
        <v>2912</v>
      </c>
      <c r="D1972" s="201" t="s">
        <v>1954</v>
      </c>
    </row>
    <row r="1973" spans="2:4">
      <c r="B1973" s="198" t="s">
        <v>625</v>
      </c>
      <c r="C1973" s="154" t="s">
        <v>1581</v>
      </c>
      <c r="D1973" s="201" t="s">
        <v>1955</v>
      </c>
    </row>
    <row r="1974" spans="2:4">
      <c r="B1974" s="198" t="s">
        <v>162</v>
      </c>
      <c r="C1974" s="154" t="s">
        <v>1510</v>
      </c>
      <c r="D1974" s="201" t="s">
        <v>1955</v>
      </c>
    </row>
    <row r="1975" spans="2:4">
      <c r="B1975" s="198" t="s">
        <v>360</v>
      </c>
      <c r="C1975" s="154" t="s">
        <v>1618</v>
      </c>
      <c r="D1975" s="201" t="s">
        <v>1951</v>
      </c>
    </row>
    <row r="1976" spans="2:4">
      <c r="B1976" s="198" t="s">
        <v>2120</v>
      </c>
      <c r="C1976" s="154" t="s">
        <v>2211</v>
      </c>
      <c r="D1976" s="201" t="s">
        <v>2217</v>
      </c>
    </row>
    <row r="1977" spans="2:4">
      <c r="B1977" s="198" t="s">
        <v>2121</v>
      </c>
      <c r="C1977" s="154" t="s">
        <v>2171</v>
      </c>
      <c r="D1977" s="201" t="s">
        <v>2217</v>
      </c>
    </row>
    <row r="1978" spans="2:4">
      <c r="B1978" s="198" t="s">
        <v>1993</v>
      </c>
      <c r="C1978" s="154" t="s">
        <v>2152</v>
      </c>
      <c r="D1978" s="201" t="s">
        <v>2217</v>
      </c>
    </row>
    <row r="1979" spans="2:4">
      <c r="B1979" s="198" t="s">
        <v>2696</v>
      </c>
      <c r="C1979" s="154" t="s">
        <v>2922</v>
      </c>
      <c r="D1979" s="201" t="s">
        <v>1952</v>
      </c>
    </row>
    <row r="1980" spans="2:4">
      <c r="B1980" s="198" t="s">
        <v>2652</v>
      </c>
      <c r="C1980" s="154" t="s">
        <v>2920</v>
      </c>
      <c r="D1980" s="201" t="s">
        <v>1952</v>
      </c>
    </row>
    <row r="1981" spans="2:4">
      <c r="B1981" s="198" t="s">
        <v>1119</v>
      </c>
      <c r="C1981" s="154" t="s">
        <v>1732</v>
      </c>
      <c r="D1981" s="201" t="s">
        <v>1955</v>
      </c>
    </row>
    <row r="1982" spans="2:4">
      <c r="B1982" s="198" t="s">
        <v>393</v>
      </c>
      <c r="C1982" s="154" t="s">
        <v>1632</v>
      </c>
      <c r="D1982" s="201" t="s">
        <v>1954</v>
      </c>
    </row>
    <row r="1983" spans="2:4">
      <c r="B1983" s="198" t="s">
        <v>189</v>
      </c>
      <c r="C1983" s="154" t="s">
        <v>1529</v>
      </c>
      <c r="D1983" s="201" t="s">
        <v>1955</v>
      </c>
    </row>
    <row r="1984" spans="2:4">
      <c r="B1984" s="198" t="s">
        <v>2752</v>
      </c>
      <c r="C1984" s="154" t="s">
        <v>2929</v>
      </c>
      <c r="D1984" s="201" t="s">
        <v>1952</v>
      </c>
    </row>
    <row r="1985" spans="2:4">
      <c r="B1985" s="198" t="s">
        <v>398</v>
      </c>
      <c r="C1985" s="154" t="s">
        <v>1635</v>
      </c>
      <c r="D1985" s="201" t="s">
        <v>1952</v>
      </c>
    </row>
    <row r="1986" spans="2:4">
      <c r="B1986" s="198" t="s">
        <v>427</v>
      </c>
      <c r="C1986" s="154" t="s">
        <v>1651</v>
      </c>
      <c r="D1986" s="201" t="s">
        <v>1952</v>
      </c>
    </row>
    <row r="1987" spans="2:4">
      <c r="B1987" s="198" t="s">
        <v>576</v>
      </c>
      <c r="C1987" s="154" t="s">
        <v>1715</v>
      </c>
      <c r="D1987" s="201" t="s">
        <v>1953</v>
      </c>
    </row>
    <row r="1988" spans="2:4">
      <c r="B1988" s="198" t="s">
        <v>2086</v>
      </c>
      <c r="C1988" s="154" t="s">
        <v>2189</v>
      </c>
      <c r="D1988" s="201" t="s">
        <v>2217</v>
      </c>
    </row>
    <row r="1989" spans="2:4">
      <c r="B1989" s="198" t="s">
        <v>438</v>
      </c>
      <c r="C1989" s="154" t="s">
        <v>1659</v>
      </c>
      <c r="D1989" s="201" t="s">
        <v>1951</v>
      </c>
    </row>
    <row r="1990" spans="2:4">
      <c r="B1990" s="198" t="s">
        <v>2767</v>
      </c>
      <c r="C1990" s="154" t="s">
        <v>1691</v>
      </c>
      <c r="D1990" s="201" t="s">
        <v>1952</v>
      </c>
    </row>
    <row r="1991" spans="2:4">
      <c r="B1991" s="198" t="s">
        <v>388</v>
      </c>
      <c r="C1991" s="154" t="s">
        <v>1629</v>
      </c>
      <c r="D1991" s="201" t="s">
        <v>1952</v>
      </c>
    </row>
    <row r="1992" spans="2:4">
      <c r="B1992" s="198" t="s">
        <v>484</v>
      </c>
      <c r="C1992" s="154" t="s">
        <v>1684</v>
      </c>
      <c r="D1992" s="201" t="s">
        <v>1951</v>
      </c>
    </row>
    <row r="1993" spans="2:4">
      <c r="B1993" s="198" t="s">
        <v>722</v>
      </c>
      <c r="C1993" s="154" t="s">
        <v>1762</v>
      </c>
      <c r="D1993" s="201" t="s">
        <v>1951</v>
      </c>
    </row>
    <row r="1994" spans="2:4">
      <c r="B1994" s="198" t="s">
        <v>2005</v>
      </c>
      <c r="C1994" s="154" t="s">
        <v>2157</v>
      </c>
      <c r="D1994" s="201" t="s">
        <v>2217</v>
      </c>
    </row>
    <row r="1995" spans="2:4">
      <c r="B1995" s="198" t="s">
        <v>2068</v>
      </c>
      <c r="C1995" s="154" t="s">
        <v>2183</v>
      </c>
      <c r="D1995" s="201" t="s">
        <v>2217</v>
      </c>
    </row>
    <row r="1996" spans="2:4">
      <c r="B1996" s="198" t="s">
        <v>168</v>
      </c>
      <c r="C1996" s="154" t="s">
        <v>1515</v>
      </c>
      <c r="D1996" s="201" t="s">
        <v>1951</v>
      </c>
    </row>
    <row r="1997" spans="2:4">
      <c r="B1997" s="198" t="s">
        <v>419</v>
      </c>
      <c r="C1997" s="154" t="s">
        <v>1515</v>
      </c>
      <c r="D1997" s="201" t="s">
        <v>1951</v>
      </c>
    </row>
    <row r="1998" spans="2:4">
      <c r="B1998" s="198" t="s">
        <v>437</v>
      </c>
      <c r="C1998" s="154" t="s">
        <v>1515</v>
      </c>
      <c r="D1998" s="201" t="s">
        <v>1951</v>
      </c>
    </row>
    <row r="1999" spans="2:4">
      <c r="B1999" s="198" t="s">
        <v>729</v>
      </c>
      <c r="C1999" s="154" t="s">
        <v>1769</v>
      </c>
      <c r="D1999" s="201" t="s">
        <v>1951</v>
      </c>
    </row>
    <row r="2000" spans="2:4">
      <c r="B2000" s="198" t="s">
        <v>2080</v>
      </c>
      <c r="C2000" s="154" t="s">
        <v>2186</v>
      </c>
      <c r="D2000" s="201" t="s">
        <v>2217</v>
      </c>
    </row>
    <row r="2001" spans="2:4">
      <c r="B2001" s="198" t="s">
        <v>411</v>
      </c>
      <c r="C2001" s="154" t="s">
        <v>1639</v>
      </c>
      <c r="D2001" s="201" t="s">
        <v>1956</v>
      </c>
    </row>
    <row r="2002" spans="2:4">
      <c r="B2002" s="198" t="s">
        <v>2853</v>
      </c>
      <c r="C2002" s="154" t="s">
        <v>152</v>
      </c>
      <c r="D2002" s="201" t="s">
        <v>1952</v>
      </c>
    </row>
    <row r="2003" spans="2:4">
      <c r="B2003" s="198" t="s">
        <v>2627</v>
      </c>
      <c r="C2003" s="154" t="s">
        <v>152</v>
      </c>
      <c r="D2003" s="201" t="s">
        <v>1952</v>
      </c>
    </row>
    <row r="2004" spans="2:4">
      <c r="B2004" s="198" t="s">
        <v>2854</v>
      </c>
      <c r="C2004" s="154" t="s">
        <v>152</v>
      </c>
      <c r="D2004" s="201" t="s">
        <v>1952</v>
      </c>
    </row>
    <row r="2005" spans="2:4">
      <c r="B2005" s="198" t="s">
        <v>169</v>
      </c>
      <c r="C2005" s="154" t="s">
        <v>152</v>
      </c>
      <c r="D2005" s="201" t="s">
        <v>1952</v>
      </c>
    </row>
    <row r="2006" spans="2:4">
      <c r="B2006" s="198" t="s">
        <v>485</v>
      </c>
      <c r="C2006" s="154" t="s">
        <v>152</v>
      </c>
      <c r="D2006" s="201" t="s">
        <v>1952</v>
      </c>
    </row>
    <row r="2007" spans="2:4">
      <c r="B2007" s="198" t="s">
        <v>368</v>
      </c>
      <c r="C2007" s="154" t="s">
        <v>1563</v>
      </c>
      <c r="D2007" s="201" t="s">
        <v>1953</v>
      </c>
    </row>
    <row r="2008" spans="2:4">
      <c r="B2008" s="198" t="s">
        <v>241</v>
      </c>
      <c r="C2008" s="154" t="s">
        <v>1563</v>
      </c>
      <c r="D2008" s="201" t="s">
        <v>1953</v>
      </c>
    </row>
    <row r="2009" spans="2:4">
      <c r="B2009" s="198" t="s">
        <v>2012</v>
      </c>
      <c r="C2009" s="154" t="s">
        <v>2161</v>
      </c>
      <c r="D2009" s="201" t="s">
        <v>2217</v>
      </c>
    </row>
    <row r="2010" spans="2:4">
      <c r="B2010" s="198" t="s">
        <v>167</v>
      </c>
      <c r="C2010" s="154" t="s">
        <v>1514</v>
      </c>
      <c r="D2010" s="201" t="s">
        <v>1951</v>
      </c>
    </row>
    <row r="2011" spans="2:4">
      <c r="B2011" s="198" t="s">
        <v>667</v>
      </c>
      <c r="C2011" s="154" t="s">
        <v>1748</v>
      </c>
      <c r="D2011" s="201" t="s">
        <v>1955</v>
      </c>
    </row>
    <row r="2012" spans="2:4">
      <c r="B2012" s="198" t="s">
        <v>1022</v>
      </c>
      <c r="C2012" s="154" t="s">
        <v>152</v>
      </c>
      <c r="D2012" s="201" t="s">
        <v>1952</v>
      </c>
    </row>
    <row r="2013" spans="2:4">
      <c r="B2013" s="198" t="s">
        <v>415</v>
      </c>
      <c r="C2013" s="154" t="s">
        <v>1645</v>
      </c>
      <c r="D2013" s="201" t="s">
        <v>1959</v>
      </c>
    </row>
    <row r="2014" spans="2:4">
      <c r="B2014" s="198" t="s">
        <v>698</v>
      </c>
      <c r="C2014" s="154" t="s">
        <v>1755</v>
      </c>
      <c r="D2014" s="201" t="s">
        <v>1955</v>
      </c>
    </row>
    <row r="2015" spans="2:4">
      <c r="B2015" s="198" t="s">
        <v>2641</v>
      </c>
      <c r="C2015" s="154" t="s">
        <v>2916</v>
      </c>
      <c r="D2015" s="201" t="s">
        <v>1951</v>
      </c>
    </row>
    <row r="2016" spans="2:4">
      <c r="B2016" s="198" t="s">
        <v>2602</v>
      </c>
      <c r="C2016" s="154" t="s">
        <v>1522</v>
      </c>
      <c r="D2016" s="201" t="s">
        <v>1953</v>
      </c>
    </row>
    <row r="2017" spans="2:4">
      <c r="B2017" s="198" t="s">
        <v>766</v>
      </c>
      <c r="C2017" s="154" t="s">
        <v>150</v>
      </c>
      <c r="D2017" s="201" t="s">
        <v>1951</v>
      </c>
    </row>
    <row r="2018" spans="2:4">
      <c r="B2018" s="198" t="s">
        <v>1125</v>
      </c>
      <c r="C2018" s="154" t="s">
        <v>1892</v>
      </c>
      <c r="D2018" s="201" t="s">
        <v>1956</v>
      </c>
    </row>
    <row r="2019" spans="2:4">
      <c r="B2019" s="198" t="s">
        <v>2616</v>
      </c>
      <c r="C2019" s="154" t="s">
        <v>1657</v>
      </c>
      <c r="D2019" s="201" t="s">
        <v>1956</v>
      </c>
    </row>
    <row r="2020" spans="2:4">
      <c r="B2020" s="198" t="s">
        <v>2107</v>
      </c>
      <c r="C2020" s="154" t="s">
        <v>2198</v>
      </c>
      <c r="D2020" s="201" t="s">
        <v>1959</v>
      </c>
    </row>
    <row r="2021" spans="2:4">
      <c r="B2021" s="198" t="s">
        <v>730</v>
      </c>
      <c r="C2021" s="154" t="s">
        <v>1713</v>
      </c>
      <c r="D2021" s="201" t="s">
        <v>1956</v>
      </c>
    </row>
    <row r="2022" spans="2:4">
      <c r="B2022" s="198" t="s">
        <v>1190</v>
      </c>
      <c r="C2022" s="154" t="s">
        <v>1659</v>
      </c>
      <c r="D2022" s="201" t="s">
        <v>1951</v>
      </c>
    </row>
    <row r="2023" spans="2:4">
      <c r="B2023" s="198" t="s">
        <v>1349</v>
      </c>
      <c r="C2023" s="154" t="s">
        <v>1521</v>
      </c>
      <c r="D2023" s="201" t="s">
        <v>1951</v>
      </c>
    </row>
    <row r="2024" spans="2:4">
      <c r="B2024" s="198" t="s">
        <v>617</v>
      </c>
      <c r="C2024" s="154" t="s">
        <v>152</v>
      </c>
      <c r="D2024" s="201" t="s">
        <v>1952</v>
      </c>
    </row>
    <row r="2025" spans="2:4">
      <c r="B2025" s="198" t="s">
        <v>2221</v>
      </c>
      <c r="C2025" s="154" t="s">
        <v>2122</v>
      </c>
      <c r="D2025" s="201" t="s">
        <v>2216</v>
      </c>
    </row>
    <row r="2026" spans="2:4">
      <c r="B2026" s="198" t="s">
        <v>2811</v>
      </c>
      <c r="C2026" s="154" t="s">
        <v>2934</v>
      </c>
      <c r="D2026" s="201" t="s">
        <v>1951</v>
      </c>
    </row>
    <row r="2027" spans="2:4">
      <c r="B2027" s="198" t="s">
        <v>2232</v>
      </c>
      <c r="C2027" s="154" t="s">
        <v>1518</v>
      </c>
      <c r="D2027" s="201" t="s">
        <v>1957</v>
      </c>
    </row>
    <row r="2028" spans="2:4">
      <c r="B2028" s="198" t="s">
        <v>1348</v>
      </c>
      <c r="C2028" s="154" t="s">
        <v>1511</v>
      </c>
      <c r="D2028" s="201" t="s">
        <v>1951</v>
      </c>
    </row>
    <row r="2029" spans="2:4">
      <c r="B2029" s="198" t="s">
        <v>2236</v>
      </c>
      <c r="C2029" s="154" t="s">
        <v>1518</v>
      </c>
      <c r="D2029" s="201" t="s">
        <v>1957</v>
      </c>
    </row>
    <row r="2030" spans="2:4">
      <c r="B2030" s="198" t="s">
        <v>2424</v>
      </c>
      <c r="C2030" s="154" t="s">
        <v>1511</v>
      </c>
      <c r="D2030" s="201" t="s">
        <v>1951</v>
      </c>
    </row>
    <row r="2031" spans="2:4">
      <c r="B2031" s="198" t="s">
        <v>674</v>
      </c>
      <c r="C2031" s="154" t="s">
        <v>1750</v>
      </c>
      <c r="D2031" s="201" t="s">
        <v>1954</v>
      </c>
    </row>
    <row r="2032" spans="2:4">
      <c r="B2032" s="198" t="s">
        <v>792</v>
      </c>
      <c r="C2032" s="154" t="s">
        <v>1788</v>
      </c>
      <c r="D2032" s="201" t="s">
        <v>1955</v>
      </c>
    </row>
    <row r="2033" spans="2:4">
      <c r="B2033" s="198" t="s">
        <v>312</v>
      </c>
      <c r="C2033" s="154" t="s">
        <v>1598</v>
      </c>
      <c r="D2033" s="201" t="s">
        <v>1951</v>
      </c>
    </row>
    <row r="2034" spans="2:4">
      <c r="B2034" s="198" t="s">
        <v>929</v>
      </c>
      <c r="C2034" s="154" t="s">
        <v>1834</v>
      </c>
      <c r="D2034" s="201" t="s">
        <v>1956</v>
      </c>
    </row>
    <row r="2035" spans="2:4">
      <c r="B2035" s="198" t="s">
        <v>924</v>
      </c>
      <c r="C2035" s="154" t="s">
        <v>1834</v>
      </c>
      <c r="D2035" s="201" t="s">
        <v>1956</v>
      </c>
    </row>
    <row r="2036" spans="2:4">
      <c r="B2036" s="198" t="s">
        <v>2708</v>
      </c>
      <c r="C2036" s="154" t="s">
        <v>149</v>
      </c>
      <c r="D2036" s="201" t="s">
        <v>1956</v>
      </c>
    </row>
    <row r="2037" spans="2:4">
      <c r="B2037" s="198" t="s">
        <v>2507</v>
      </c>
      <c r="C2037" s="154" t="s">
        <v>2889</v>
      </c>
      <c r="D2037" s="201" t="s">
        <v>1958</v>
      </c>
    </row>
    <row r="2038" spans="2:4">
      <c r="B2038" s="198" t="s">
        <v>1394</v>
      </c>
      <c r="C2038" s="154" t="s">
        <v>1517</v>
      </c>
      <c r="D2038" s="201" t="s">
        <v>1956</v>
      </c>
    </row>
    <row r="2039" spans="2:4">
      <c r="B2039" s="198" t="s">
        <v>2362</v>
      </c>
      <c r="C2039" s="154" t="s">
        <v>1518</v>
      </c>
      <c r="D2039" s="201" t="s">
        <v>1957</v>
      </c>
    </row>
    <row r="2040" spans="2:4">
      <c r="B2040" s="198" t="s">
        <v>2239</v>
      </c>
      <c r="C2040" s="154" t="s">
        <v>1518</v>
      </c>
      <c r="D2040" s="201" t="s">
        <v>1957</v>
      </c>
    </row>
    <row r="2041" spans="2:4">
      <c r="B2041" s="198" t="s">
        <v>414</v>
      </c>
      <c r="C2041" s="154" t="s">
        <v>1644</v>
      </c>
      <c r="D2041" s="201" t="s">
        <v>1959</v>
      </c>
    </row>
    <row r="2042" spans="2:4">
      <c r="B2042" s="198" t="s">
        <v>2233</v>
      </c>
      <c r="C2042" s="154" t="s">
        <v>1518</v>
      </c>
      <c r="D2042" s="201" t="s">
        <v>1957</v>
      </c>
    </row>
    <row r="2043" spans="2:4">
      <c r="B2043" s="198" t="s">
        <v>2240</v>
      </c>
      <c r="C2043" s="154" t="s">
        <v>1518</v>
      </c>
      <c r="D2043" s="201" t="s">
        <v>1957</v>
      </c>
    </row>
    <row r="2044" spans="2:4">
      <c r="B2044" s="198" t="s">
        <v>739</v>
      </c>
      <c r="C2044" s="154" t="s">
        <v>1515</v>
      </c>
      <c r="D2044" s="201" t="s">
        <v>1951</v>
      </c>
    </row>
    <row r="2045" spans="2:4">
      <c r="B2045" s="198" t="s">
        <v>2262</v>
      </c>
      <c r="C2045" s="154" t="s">
        <v>1518</v>
      </c>
      <c r="D2045" s="201" t="s">
        <v>1957</v>
      </c>
    </row>
    <row r="2046" spans="2:4">
      <c r="B2046" s="198" t="s">
        <v>2262</v>
      </c>
      <c r="C2046" s="154" t="s">
        <v>1515</v>
      </c>
      <c r="D2046" s="201" t="s">
        <v>1951</v>
      </c>
    </row>
    <row r="2047" spans="2:4">
      <c r="B2047" s="198" t="s">
        <v>1396</v>
      </c>
      <c r="C2047" s="154" t="s">
        <v>1931</v>
      </c>
      <c r="D2047" s="201" t="s">
        <v>1958</v>
      </c>
    </row>
    <row r="2048" spans="2:4">
      <c r="B2048" s="198" t="s">
        <v>2496</v>
      </c>
      <c r="C2048" s="154" t="s">
        <v>3040</v>
      </c>
      <c r="D2048" s="201" t="s">
        <v>1958</v>
      </c>
    </row>
    <row r="2049" spans="2:4">
      <c r="B2049" s="198" t="s">
        <v>326</v>
      </c>
      <c r="C2049" s="154" t="s">
        <v>1591</v>
      </c>
      <c r="D2049" s="201" t="s">
        <v>1951</v>
      </c>
    </row>
    <row r="2050" spans="2:4">
      <c r="B2050" s="198" t="s">
        <v>2383</v>
      </c>
      <c r="C2050" s="154" t="s">
        <v>2191</v>
      </c>
      <c r="D2050" s="201" t="s">
        <v>2216</v>
      </c>
    </row>
    <row r="2051" spans="2:4">
      <c r="B2051" s="198" t="s">
        <v>629</v>
      </c>
      <c r="C2051" s="154" t="s">
        <v>1732</v>
      </c>
      <c r="D2051" s="201" t="s">
        <v>1955</v>
      </c>
    </row>
    <row r="2052" spans="2:4">
      <c r="B2052" s="198" t="s">
        <v>1438</v>
      </c>
      <c r="C2052" s="154" t="s">
        <v>1588</v>
      </c>
      <c r="D2052" s="201" t="s">
        <v>1953</v>
      </c>
    </row>
    <row r="2053" spans="2:4">
      <c r="B2053" s="198" t="s">
        <v>612</v>
      </c>
      <c r="C2053" s="154" t="s">
        <v>2191</v>
      </c>
      <c r="D2053" s="201" t="s">
        <v>2216</v>
      </c>
    </row>
    <row r="2054" spans="2:4">
      <c r="B2054" s="198" t="s">
        <v>612</v>
      </c>
      <c r="C2054" s="154" t="s">
        <v>1726</v>
      </c>
      <c r="D2054" s="201" t="s">
        <v>1956</v>
      </c>
    </row>
    <row r="2055" spans="2:4">
      <c r="B2055" s="198" t="s">
        <v>2795</v>
      </c>
      <c r="C2055" s="154" t="s">
        <v>1629</v>
      </c>
      <c r="D2055" s="201" t="s">
        <v>1952</v>
      </c>
    </row>
    <row r="2056" spans="2:4">
      <c r="B2056" s="198" t="s">
        <v>811</v>
      </c>
      <c r="C2056" s="154" t="s">
        <v>1796</v>
      </c>
      <c r="D2056" s="201" t="s">
        <v>1954</v>
      </c>
    </row>
    <row r="2057" spans="2:4">
      <c r="B2057" s="198" t="s">
        <v>172</v>
      </c>
      <c r="C2057" s="154" t="s">
        <v>1518</v>
      </c>
      <c r="D2057" s="201" t="s">
        <v>1957</v>
      </c>
    </row>
    <row r="2058" spans="2:4">
      <c r="B2058" s="198" t="s">
        <v>1501</v>
      </c>
      <c r="C2058" s="154" t="s">
        <v>1769</v>
      </c>
      <c r="D2058" s="201" t="s">
        <v>1951</v>
      </c>
    </row>
    <row r="2059" spans="2:4">
      <c r="B2059" s="198" t="s">
        <v>835</v>
      </c>
      <c r="C2059" s="154" t="s">
        <v>1657</v>
      </c>
      <c r="D2059" s="201" t="s">
        <v>1956</v>
      </c>
    </row>
    <row r="2060" spans="2:4">
      <c r="B2060" s="198" t="s">
        <v>800</v>
      </c>
      <c r="C2060" s="154" t="s">
        <v>1753</v>
      </c>
      <c r="D2060" s="201" t="s">
        <v>1951</v>
      </c>
    </row>
    <row r="2061" spans="2:4">
      <c r="B2061" s="198" t="s">
        <v>2757</v>
      </c>
      <c r="C2061" s="154" t="s">
        <v>1522</v>
      </c>
      <c r="D2061" s="201" t="s">
        <v>1953</v>
      </c>
    </row>
    <row r="2062" spans="2:4">
      <c r="B2062" s="198" t="s">
        <v>1327</v>
      </c>
      <c r="C2062" s="154" t="s">
        <v>1639</v>
      </c>
      <c r="D2062" s="201" t="s">
        <v>1956</v>
      </c>
    </row>
    <row r="2063" spans="2:4">
      <c r="B2063" s="198" t="s">
        <v>583</v>
      </c>
      <c r="C2063" s="154" t="s">
        <v>1521</v>
      </c>
      <c r="D2063" s="201" t="s">
        <v>1951</v>
      </c>
    </row>
    <row r="2064" spans="2:4">
      <c r="B2064" s="198" t="s">
        <v>1134</v>
      </c>
      <c r="C2064" s="154" t="s">
        <v>152</v>
      </c>
      <c r="D2064" s="201" t="s">
        <v>1952</v>
      </c>
    </row>
    <row r="2065" spans="2:4">
      <c r="B2065" s="198" t="s">
        <v>2231</v>
      </c>
      <c r="C2065" s="154" t="s">
        <v>1518</v>
      </c>
      <c r="D2065" s="201" t="s">
        <v>1957</v>
      </c>
    </row>
    <row r="2066" spans="2:4">
      <c r="B2066" s="198" t="s">
        <v>2368</v>
      </c>
      <c r="C2066" s="154" t="s">
        <v>2367</v>
      </c>
      <c r="D2066" s="201" t="s">
        <v>1951</v>
      </c>
    </row>
    <row r="2067" spans="2:4">
      <c r="B2067" s="198" t="s">
        <v>1133</v>
      </c>
      <c r="C2067" s="154" t="s">
        <v>152</v>
      </c>
      <c r="D2067" s="201" t="s">
        <v>1952</v>
      </c>
    </row>
    <row r="2068" spans="2:4">
      <c r="B2068" s="198" t="s">
        <v>281</v>
      </c>
      <c r="C2068" s="154" t="s">
        <v>150</v>
      </c>
      <c r="D2068" s="201" t="s">
        <v>1951</v>
      </c>
    </row>
    <row r="2069" spans="2:4">
      <c r="B2069" s="198" t="s">
        <v>2298</v>
      </c>
      <c r="C2069" s="154" t="s">
        <v>1753</v>
      </c>
      <c r="D2069" s="201" t="s">
        <v>1951</v>
      </c>
    </row>
    <row r="2070" spans="2:4">
      <c r="B2070" s="198" t="s">
        <v>677</v>
      </c>
      <c r="C2070" s="154" t="s">
        <v>1751</v>
      </c>
      <c r="D2070" s="201" t="s">
        <v>1954</v>
      </c>
    </row>
    <row r="2071" spans="2:4">
      <c r="B2071" s="198" t="s">
        <v>877</v>
      </c>
      <c r="C2071" s="154" t="s">
        <v>1814</v>
      </c>
      <c r="D2071" s="201" t="s">
        <v>1953</v>
      </c>
    </row>
    <row r="2072" spans="2:4">
      <c r="B2072" s="198" t="s">
        <v>613</v>
      </c>
      <c r="C2072" s="154" t="s">
        <v>1711</v>
      </c>
      <c r="D2072" s="201" t="s">
        <v>1956</v>
      </c>
    </row>
    <row r="2073" spans="2:4">
      <c r="B2073" s="198" t="s">
        <v>1330</v>
      </c>
      <c r="C2073" s="154" t="s">
        <v>1925</v>
      </c>
      <c r="D2073" s="201" t="s">
        <v>1956</v>
      </c>
    </row>
    <row r="2074" spans="2:4">
      <c r="B2074" s="198" t="s">
        <v>2557</v>
      </c>
      <c r="C2074" s="154" t="s">
        <v>1515</v>
      </c>
      <c r="D2074" s="201" t="s">
        <v>1951</v>
      </c>
    </row>
    <row r="2075" spans="2:4">
      <c r="B2075" s="198" t="s">
        <v>1356</v>
      </c>
      <c r="C2075" s="154" t="s">
        <v>150</v>
      </c>
      <c r="D2075" s="201" t="s">
        <v>1951</v>
      </c>
    </row>
    <row r="2076" spans="2:4">
      <c r="B2076" s="198" t="s">
        <v>745</v>
      </c>
      <c r="C2076" s="154" t="s">
        <v>151</v>
      </c>
      <c r="D2076" s="201" t="s">
        <v>1954</v>
      </c>
    </row>
    <row r="2077" spans="2:4">
      <c r="B2077" s="198" t="s">
        <v>1179</v>
      </c>
      <c r="C2077" s="154" t="s">
        <v>1908</v>
      </c>
      <c r="D2077" s="201" t="s">
        <v>1956</v>
      </c>
    </row>
    <row r="2078" spans="2:4">
      <c r="B2078" s="198" t="s">
        <v>684</v>
      </c>
      <c r="C2078" s="154" t="s">
        <v>1544</v>
      </c>
      <c r="D2078" s="201" t="s">
        <v>1951</v>
      </c>
    </row>
    <row r="2079" spans="2:4">
      <c r="B2079" s="198" t="s">
        <v>288</v>
      </c>
      <c r="C2079" s="154" t="s">
        <v>1583</v>
      </c>
      <c r="D2079" s="201" t="s">
        <v>1952</v>
      </c>
    </row>
    <row r="2080" spans="2:4">
      <c r="B2080" s="198" t="s">
        <v>1467</v>
      </c>
      <c r="C2080" s="154" t="s">
        <v>150</v>
      </c>
      <c r="D2080" s="201" t="s">
        <v>1951</v>
      </c>
    </row>
    <row r="2081" spans="2:4">
      <c r="B2081" s="198" t="s">
        <v>598</v>
      </c>
      <c r="C2081" s="154" t="s">
        <v>149</v>
      </c>
      <c r="D2081" s="201" t="s">
        <v>1956</v>
      </c>
    </row>
    <row r="2082" spans="2:4">
      <c r="B2082" s="198" t="s">
        <v>2347</v>
      </c>
      <c r="C2082" s="154" t="s">
        <v>1519</v>
      </c>
      <c r="D2082" s="201" t="s">
        <v>1951</v>
      </c>
    </row>
    <row r="2083" spans="2:4">
      <c r="B2083" s="198" t="s">
        <v>590</v>
      </c>
      <c r="C2083" s="154" t="s">
        <v>1541</v>
      </c>
      <c r="D2083" s="201" t="s">
        <v>1955</v>
      </c>
    </row>
    <row r="2084" spans="2:4">
      <c r="B2084" s="198" t="s">
        <v>912</v>
      </c>
      <c r="C2084" s="154" t="s">
        <v>1830</v>
      </c>
      <c r="D2084" s="201" t="s">
        <v>1956</v>
      </c>
    </row>
    <row r="2085" spans="2:4">
      <c r="B2085" s="198" t="s">
        <v>1331</v>
      </c>
      <c r="C2085" s="154" t="s">
        <v>152</v>
      </c>
      <c r="D2085" s="201" t="s">
        <v>1952</v>
      </c>
    </row>
    <row r="2086" spans="2:4">
      <c r="B2086" s="198" t="s">
        <v>850</v>
      </c>
      <c r="C2086" s="154" t="s">
        <v>1559</v>
      </c>
      <c r="D2086" s="201" t="s">
        <v>1952</v>
      </c>
    </row>
    <row r="2087" spans="2:4">
      <c r="B2087" s="198" t="s">
        <v>659</v>
      </c>
      <c r="C2087" s="154" t="s">
        <v>1744</v>
      </c>
      <c r="D2087" s="201" t="s">
        <v>1954</v>
      </c>
    </row>
    <row r="2088" spans="2:4">
      <c r="B2088" s="198" t="s">
        <v>1131</v>
      </c>
      <c r="C2088" s="154" t="s">
        <v>1895</v>
      </c>
      <c r="D2088" s="201" t="s">
        <v>1956</v>
      </c>
    </row>
    <row r="2089" spans="2:4">
      <c r="B2089" s="198" t="s">
        <v>1036</v>
      </c>
      <c r="C2089" s="154" t="s">
        <v>1873</v>
      </c>
      <c r="D2089" s="201" t="s">
        <v>1953</v>
      </c>
    </row>
    <row r="2090" spans="2:4">
      <c r="B2090" s="198" t="s">
        <v>2227</v>
      </c>
      <c r="C2090" s="154" t="s">
        <v>2215</v>
      </c>
      <c r="D2090" s="201" t="s">
        <v>1959</v>
      </c>
    </row>
    <row r="2091" spans="2:4">
      <c r="B2091" s="198" t="s">
        <v>8293</v>
      </c>
      <c r="C2091" s="154" t="s">
        <v>2215</v>
      </c>
      <c r="D2091" s="201" t="s">
        <v>1959</v>
      </c>
    </row>
    <row r="2092" spans="2:4">
      <c r="B2092" s="198" t="s">
        <v>2759</v>
      </c>
      <c r="C2092" s="154" t="s">
        <v>1583</v>
      </c>
      <c r="D2092" s="201" t="s">
        <v>1952</v>
      </c>
    </row>
    <row r="2093" spans="2:4">
      <c r="B2093" s="198" t="s">
        <v>751</v>
      </c>
      <c r="C2093" s="154" t="s">
        <v>149</v>
      </c>
      <c r="D2093" s="201" t="s">
        <v>1956</v>
      </c>
    </row>
    <row r="2094" spans="2:4">
      <c r="B2094" s="198" t="s">
        <v>2764</v>
      </c>
      <c r="C2094" s="154" t="s">
        <v>3041</v>
      </c>
      <c r="D2094" s="201" t="s">
        <v>1956</v>
      </c>
    </row>
    <row r="2095" spans="2:4">
      <c r="B2095" s="198" t="s">
        <v>736</v>
      </c>
      <c r="C2095" s="154" t="s">
        <v>1773</v>
      </c>
      <c r="D2095" s="201" t="s">
        <v>1951</v>
      </c>
    </row>
    <row r="2096" spans="2:4">
      <c r="B2096" s="198" t="s">
        <v>3048</v>
      </c>
      <c r="C2096" s="154" t="s">
        <v>1931</v>
      </c>
      <c r="D2096" s="201" t="s">
        <v>1958</v>
      </c>
    </row>
    <row r="2097" spans="2:4">
      <c r="B2097" s="198" t="s">
        <v>3049</v>
      </c>
      <c r="C2097" s="154" t="s">
        <v>3042</v>
      </c>
      <c r="D2097" s="201" t="s">
        <v>1956</v>
      </c>
    </row>
    <row r="2098" spans="2:4">
      <c r="B2098" s="198" t="s">
        <v>1321</v>
      </c>
      <c r="C2098" s="154" t="s">
        <v>1595</v>
      </c>
      <c r="D2098" s="201" t="s">
        <v>1956</v>
      </c>
    </row>
    <row r="2099" spans="2:4">
      <c r="B2099" s="198" t="s">
        <v>2225</v>
      </c>
      <c r="C2099" s="154" t="s">
        <v>2213</v>
      </c>
      <c r="D2099" s="201" t="s">
        <v>1959</v>
      </c>
    </row>
    <row r="2100" spans="2:4">
      <c r="B2100" s="198" t="s">
        <v>1393</v>
      </c>
      <c r="C2100" s="154" t="s">
        <v>1631</v>
      </c>
      <c r="D2100" s="201" t="s">
        <v>1951</v>
      </c>
    </row>
    <row r="2101" spans="2:4">
      <c r="B2101" s="198" t="s">
        <v>1442</v>
      </c>
      <c r="C2101" s="154" t="s">
        <v>150</v>
      </c>
      <c r="D2101" s="201" t="s">
        <v>1951</v>
      </c>
    </row>
    <row r="2102" spans="2:4">
      <c r="B2102" s="198" t="s">
        <v>2765</v>
      </c>
      <c r="C2102" s="154" t="s">
        <v>149</v>
      </c>
      <c r="D2102" s="201" t="s">
        <v>1956</v>
      </c>
    </row>
    <row r="2103" spans="2:4">
      <c r="B2103" s="198" t="s">
        <v>2338</v>
      </c>
      <c r="C2103" s="154" t="s">
        <v>2193</v>
      </c>
      <c r="D2103" s="201" t="s">
        <v>2219</v>
      </c>
    </row>
    <row r="2104" spans="2:4">
      <c r="B2104" s="198" t="s">
        <v>2618</v>
      </c>
      <c r="C2104" s="154" t="s">
        <v>3043</v>
      </c>
      <c r="D2104" s="201" t="s">
        <v>1952</v>
      </c>
    </row>
    <row r="2105" spans="2:4">
      <c r="B2105" s="198" t="s">
        <v>2554</v>
      </c>
      <c r="C2105" s="154" t="s">
        <v>1519</v>
      </c>
      <c r="D2105" s="201" t="s">
        <v>1951</v>
      </c>
    </row>
    <row r="2106" spans="2:4">
      <c r="B2106" s="198" t="s">
        <v>584</v>
      </c>
      <c r="C2106" s="154" t="s">
        <v>1718</v>
      </c>
      <c r="D2106" s="201" t="s">
        <v>1951</v>
      </c>
    </row>
    <row r="2107" spans="2:4">
      <c r="B2107" s="198" t="s">
        <v>1062</v>
      </c>
      <c r="C2107" s="154" t="s">
        <v>142</v>
      </c>
      <c r="D2107" s="201" t="s">
        <v>1954</v>
      </c>
    </row>
    <row r="2108" spans="2:4">
      <c r="B2108" s="198" t="s">
        <v>1115</v>
      </c>
      <c r="C2108" s="154" t="s">
        <v>150</v>
      </c>
      <c r="D2108" s="201" t="s">
        <v>1951</v>
      </c>
    </row>
    <row r="2109" spans="2:4">
      <c r="B2109" s="198" t="s">
        <v>272</v>
      </c>
      <c r="C2109" s="154" t="s">
        <v>1574</v>
      </c>
      <c r="D2109" s="201" t="s">
        <v>1959</v>
      </c>
    </row>
    <row r="2110" spans="2:4">
      <c r="B2110" s="198" t="s">
        <v>796</v>
      </c>
      <c r="C2110" s="154" t="s">
        <v>149</v>
      </c>
      <c r="D2110" s="201" t="s">
        <v>1956</v>
      </c>
    </row>
    <row r="2111" spans="2:4">
      <c r="B2111" s="198" t="s">
        <v>1323</v>
      </c>
      <c r="C2111" s="154" t="s">
        <v>149</v>
      </c>
      <c r="D2111" s="201" t="s">
        <v>1956</v>
      </c>
    </row>
    <row r="2112" spans="2:4">
      <c r="B2112" s="198" t="s">
        <v>1072</v>
      </c>
      <c r="C2112" s="154" t="s">
        <v>1567</v>
      </c>
      <c r="D2112" s="201" t="s">
        <v>1953</v>
      </c>
    </row>
    <row r="2113" spans="2:4">
      <c r="B2113" s="198" t="s">
        <v>1350</v>
      </c>
      <c r="C2113" s="154" t="s">
        <v>1718</v>
      </c>
      <c r="D2113" s="201" t="s">
        <v>1951</v>
      </c>
    </row>
    <row r="2114" spans="2:4">
      <c r="B2114" s="198" t="s">
        <v>703</v>
      </c>
      <c r="C2114" s="154" t="s">
        <v>1718</v>
      </c>
      <c r="D2114" s="201" t="s">
        <v>1951</v>
      </c>
    </row>
    <row r="2115" spans="2:4">
      <c r="B2115" s="198" t="s">
        <v>740</v>
      </c>
      <c r="C2115" s="154" t="s">
        <v>150</v>
      </c>
      <c r="D2115" s="201" t="s">
        <v>1951</v>
      </c>
    </row>
    <row r="2116" spans="2:4">
      <c r="B2116" s="198" t="s">
        <v>1164</v>
      </c>
      <c r="C2116" s="154" t="s">
        <v>1559</v>
      </c>
      <c r="D2116" s="201" t="s">
        <v>1952</v>
      </c>
    </row>
    <row r="2117" spans="2:4">
      <c r="B2117" s="198" t="s">
        <v>2223</v>
      </c>
      <c r="C2117" s="154" t="s">
        <v>2212</v>
      </c>
      <c r="D2117" s="201" t="s">
        <v>2216</v>
      </c>
    </row>
    <row r="2118" spans="2:4">
      <c r="B2118" s="198" t="s">
        <v>271</v>
      </c>
      <c r="C2118" s="154" t="s">
        <v>1518</v>
      </c>
      <c r="D2118" s="201" t="s">
        <v>1957</v>
      </c>
    </row>
    <row r="2119" spans="2:4">
      <c r="B2119" s="198" t="s">
        <v>900</v>
      </c>
      <c r="C2119" s="154" t="s">
        <v>1667</v>
      </c>
      <c r="D2119" s="201" t="s">
        <v>1955</v>
      </c>
    </row>
    <row r="2120" spans="2:4">
      <c r="B2120" s="198" t="s">
        <v>2959</v>
      </c>
      <c r="C2120" s="154" t="s">
        <v>2960</v>
      </c>
      <c r="D2120" s="201" t="s">
        <v>1953</v>
      </c>
    </row>
    <row r="2121" spans="2:4">
      <c r="B2121" s="198" t="s">
        <v>660</v>
      </c>
      <c r="C2121" s="154" t="s">
        <v>1745</v>
      </c>
      <c r="D2121" s="201" t="s">
        <v>1954</v>
      </c>
    </row>
    <row r="2122" spans="2:4">
      <c r="B2122" s="198" t="s">
        <v>1130</v>
      </c>
      <c r="C2122" s="154" t="s">
        <v>1657</v>
      </c>
      <c r="D2122" s="201" t="s">
        <v>1956</v>
      </c>
    </row>
    <row r="2123" spans="2:4">
      <c r="B2123" s="198" t="s">
        <v>827</v>
      </c>
      <c r="C2123" s="154" t="s">
        <v>3044</v>
      </c>
      <c r="D2123" s="201" t="s">
        <v>1956</v>
      </c>
    </row>
    <row r="2124" spans="2:4">
      <c r="B2124" s="198" t="s">
        <v>798</v>
      </c>
      <c r="C2124" s="154" t="s">
        <v>1660</v>
      </c>
      <c r="D2124" s="201" t="s">
        <v>1951</v>
      </c>
    </row>
    <row r="2125" spans="2:4">
      <c r="B2125" s="198" t="s">
        <v>2768</v>
      </c>
      <c r="C2125" s="154" t="s">
        <v>1526</v>
      </c>
      <c r="D2125" s="201" t="s">
        <v>1956</v>
      </c>
    </row>
    <row r="2126" spans="2:4">
      <c r="B2126" s="198" t="s">
        <v>870</v>
      </c>
      <c r="C2126" s="154" t="s">
        <v>1811</v>
      </c>
      <c r="D2126" s="201" t="s">
        <v>1956</v>
      </c>
    </row>
    <row r="2127" spans="2:4">
      <c r="B2127" s="198" t="s">
        <v>1180</v>
      </c>
      <c r="C2127" s="154" t="s">
        <v>1676</v>
      </c>
      <c r="D2127" s="201" t="s">
        <v>1956</v>
      </c>
    </row>
    <row r="2128" spans="2:4">
      <c r="B2128" s="198" t="s">
        <v>1111</v>
      </c>
      <c r="C2128" s="154" t="s">
        <v>1857</v>
      </c>
      <c r="D2128" s="201" t="s">
        <v>1956</v>
      </c>
    </row>
    <row r="2129" spans="2:4">
      <c r="B2129" s="198" t="s">
        <v>2426</v>
      </c>
      <c r="C2129" s="154" t="s">
        <v>3051</v>
      </c>
      <c r="D2129" s="201" t="s">
        <v>1951</v>
      </c>
    </row>
    <row r="2130" spans="2:4">
      <c r="B2130" s="198" t="s">
        <v>2307</v>
      </c>
      <c r="C2130" s="154" t="s">
        <v>1747</v>
      </c>
      <c r="D2130" s="201" t="s">
        <v>1956</v>
      </c>
    </row>
    <row r="2131" spans="2:4">
      <c r="B2131" s="198" t="s">
        <v>2425</v>
      </c>
      <c r="C2131" s="154" t="s">
        <v>1589</v>
      </c>
      <c r="D2131" s="201" t="s">
        <v>1953</v>
      </c>
    </row>
    <row r="2132" spans="2:4">
      <c r="B2132" s="198" t="s">
        <v>2422</v>
      </c>
      <c r="C2132" s="154" t="s">
        <v>149</v>
      </c>
      <c r="D2132" s="201" t="s">
        <v>1956</v>
      </c>
    </row>
    <row r="2133" spans="2:4">
      <c r="B2133" s="198" t="s">
        <v>2961</v>
      </c>
      <c r="C2133" s="154" t="s">
        <v>2962</v>
      </c>
      <c r="D2133" s="201" t="s">
        <v>1953</v>
      </c>
    </row>
    <row r="2134" spans="2:4">
      <c r="B2134" s="198" t="s">
        <v>2828</v>
      </c>
      <c r="C2134" s="154" t="s">
        <v>1819</v>
      </c>
      <c r="D2134" s="201" t="s">
        <v>1956</v>
      </c>
    </row>
    <row r="2135" spans="2:4">
      <c r="B2135" s="198" t="s">
        <v>1026</v>
      </c>
      <c r="C2135" s="154" t="s">
        <v>142</v>
      </c>
      <c r="D2135" s="201" t="s">
        <v>1954</v>
      </c>
    </row>
    <row r="2136" spans="2:4">
      <c r="B2136" s="198" t="s">
        <v>1073</v>
      </c>
      <c r="C2136" s="154" t="s">
        <v>1852</v>
      </c>
      <c r="D2136" s="201" t="s">
        <v>1953</v>
      </c>
    </row>
    <row r="2137" spans="2:4">
      <c r="B2137" s="198" t="s">
        <v>1008</v>
      </c>
      <c r="C2137" s="154" t="s">
        <v>1664</v>
      </c>
      <c r="D2137" s="201" t="s">
        <v>1956</v>
      </c>
    </row>
    <row r="2138" spans="2:4">
      <c r="B2138" s="198" t="s">
        <v>2421</v>
      </c>
      <c r="C2138" s="154" t="s">
        <v>1576</v>
      </c>
      <c r="D2138" s="201" t="s">
        <v>1956</v>
      </c>
    </row>
    <row r="2139" spans="2:4">
      <c r="B2139" s="198" t="s">
        <v>2428</v>
      </c>
      <c r="C2139" s="154" t="s">
        <v>1769</v>
      </c>
      <c r="D2139" s="201" t="s">
        <v>1951</v>
      </c>
    </row>
    <row r="2140" spans="2:4">
      <c r="B2140" s="198" t="s">
        <v>741</v>
      </c>
      <c r="C2140" s="154" t="s">
        <v>150</v>
      </c>
      <c r="D2140" s="201" t="s">
        <v>1951</v>
      </c>
    </row>
    <row r="2141" spans="2:4">
      <c r="B2141" s="198"/>
      <c r="C2141" s="154"/>
      <c r="D2141" s="201" t="s">
        <v>1955</v>
      </c>
    </row>
    <row r="2142" spans="2:4">
      <c r="B2142" s="198" t="s">
        <v>3047</v>
      </c>
      <c r="C2142" s="154" t="s">
        <v>1595</v>
      </c>
      <c r="D2142" s="201" t="s">
        <v>1956</v>
      </c>
    </row>
    <row r="2143" spans="2:4">
      <c r="B2143" s="198" t="s">
        <v>3054</v>
      </c>
      <c r="C2143" s="154" t="s">
        <v>3053</v>
      </c>
      <c r="D2143" s="201" t="s">
        <v>2217</v>
      </c>
    </row>
    <row r="2144" spans="2:4">
      <c r="B2144" s="198" t="s">
        <v>3055</v>
      </c>
      <c r="C2144" s="154" t="s">
        <v>1641</v>
      </c>
      <c r="D2144" s="201" t="s">
        <v>1958</v>
      </c>
    </row>
    <row r="2145" spans="2:4">
      <c r="B2145" s="198" t="s">
        <v>3056</v>
      </c>
      <c r="C2145" s="154" t="s">
        <v>1641</v>
      </c>
      <c r="D2145" s="201" t="s">
        <v>1958</v>
      </c>
    </row>
    <row r="2146" spans="2:4">
      <c r="B2146" s="198" t="s">
        <v>3060</v>
      </c>
      <c r="C2146" s="154" t="s">
        <v>3062</v>
      </c>
      <c r="D2146" s="201" t="s">
        <v>1958</v>
      </c>
    </row>
    <row r="2147" spans="2:4">
      <c r="B2147" s="198" t="s">
        <v>3057</v>
      </c>
      <c r="C2147" s="154" t="s">
        <v>1627</v>
      </c>
      <c r="D2147" s="201" t="s">
        <v>1958</v>
      </c>
    </row>
    <row r="2148" spans="2:4">
      <c r="B2148" s="198" t="s">
        <v>3059</v>
      </c>
      <c r="C2148" s="154" t="s">
        <v>3064</v>
      </c>
      <c r="D2148" s="201" t="s">
        <v>1958</v>
      </c>
    </row>
    <row r="2149" spans="2:4">
      <c r="B2149" s="198" t="s">
        <v>3058</v>
      </c>
      <c r="C2149" s="154" t="s">
        <v>3063</v>
      </c>
      <c r="D2149" s="201" t="s">
        <v>1958</v>
      </c>
    </row>
    <row r="2150" spans="2:4">
      <c r="B2150" s="198" t="s">
        <v>3068</v>
      </c>
      <c r="C2150" s="154" t="s">
        <v>150</v>
      </c>
      <c r="D2150" s="201" t="s">
        <v>1951</v>
      </c>
    </row>
    <row r="2151" spans="2:4">
      <c r="B2151" s="198" t="s">
        <v>3069</v>
      </c>
      <c r="C2151" s="154" t="s">
        <v>150</v>
      </c>
      <c r="D2151" s="201" t="s">
        <v>1951</v>
      </c>
    </row>
    <row r="2152" spans="2:4">
      <c r="B2152" s="198" t="s">
        <v>3070</v>
      </c>
      <c r="C2152" s="154" t="s">
        <v>150</v>
      </c>
      <c r="D2152" s="201" t="s">
        <v>1951</v>
      </c>
    </row>
    <row r="2153" spans="2:4">
      <c r="B2153" s="198" t="s">
        <v>3071</v>
      </c>
      <c r="C2153" s="154" t="s">
        <v>150</v>
      </c>
      <c r="D2153" s="201" t="s">
        <v>1951</v>
      </c>
    </row>
    <row r="2154" spans="2:4">
      <c r="B2154" s="198" t="s">
        <v>3072</v>
      </c>
      <c r="C2154" s="154" t="s">
        <v>1657</v>
      </c>
      <c r="D2154" s="201" t="s">
        <v>1956</v>
      </c>
    </row>
    <row r="2155" spans="2:4">
      <c r="B2155" s="198" t="s">
        <v>3073</v>
      </c>
      <c r="C2155" s="154" t="s">
        <v>1595</v>
      </c>
      <c r="D2155" s="201" t="s">
        <v>1956</v>
      </c>
    </row>
    <row r="2156" spans="2:4">
      <c r="B2156" s="198" t="s">
        <v>3074</v>
      </c>
      <c r="C2156" s="154" t="s">
        <v>1560</v>
      </c>
      <c r="D2156" s="201" t="s">
        <v>1953</v>
      </c>
    </row>
    <row r="2157" spans="2:4">
      <c r="B2157" s="198" t="s">
        <v>3075</v>
      </c>
      <c r="C2157" s="154" t="s">
        <v>3076</v>
      </c>
      <c r="D2157" s="201" t="s">
        <v>1954</v>
      </c>
    </row>
    <row r="2158" spans="2:4">
      <c r="B2158" s="198" t="s">
        <v>3077</v>
      </c>
      <c r="C2158" s="154" t="s">
        <v>150</v>
      </c>
      <c r="D2158" s="201" t="s">
        <v>1951</v>
      </c>
    </row>
    <row r="2159" spans="2:4">
      <c r="B2159" s="198" t="s">
        <v>3078</v>
      </c>
      <c r="C2159" s="154" t="s">
        <v>3079</v>
      </c>
      <c r="D2159" s="201" t="s">
        <v>1953</v>
      </c>
    </row>
    <row r="2160" spans="2:4">
      <c r="B2160" s="198" t="s">
        <v>3080</v>
      </c>
      <c r="C2160" s="154" t="s">
        <v>3081</v>
      </c>
      <c r="D2160" s="201" t="s">
        <v>1957</v>
      </c>
    </row>
    <row r="2161" spans="2:4">
      <c r="B2161" s="198" t="s">
        <v>3082</v>
      </c>
      <c r="C2161" s="154" t="s">
        <v>3081</v>
      </c>
      <c r="D2161" s="201" t="s">
        <v>1957</v>
      </c>
    </row>
    <row r="2162" spans="2:4">
      <c r="B2162" s="198" t="s">
        <v>3083</v>
      </c>
      <c r="C2162" s="154" t="s">
        <v>1657</v>
      </c>
      <c r="D2162" s="201" t="s">
        <v>1956</v>
      </c>
    </row>
    <row r="2163" spans="2:4">
      <c r="B2163" s="198" t="s">
        <v>3084</v>
      </c>
      <c r="C2163" s="154" t="s">
        <v>3085</v>
      </c>
      <c r="D2163" s="201" t="s">
        <v>2220</v>
      </c>
    </row>
    <row r="2164" spans="2:4">
      <c r="B2164" s="198" t="s">
        <v>3086</v>
      </c>
      <c r="C2164" s="154" t="s">
        <v>3081</v>
      </c>
      <c r="D2164" s="201" t="s">
        <v>1957</v>
      </c>
    </row>
    <row r="2165" spans="2:4">
      <c r="B2165" s="198" t="s">
        <v>3087</v>
      </c>
      <c r="C2165" s="154" t="s">
        <v>3081</v>
      </c>
      <c r="D2165" s="201" t="s">
        <v>1957</v>
      </c>
    </row>
    <row r="2166" spans="2:4">
      <c r="B2166" s="198" t="s">
        <v>3088</v>
      </c>
      <c r="C2166" s="154" t="s">
        <v>3089</v>
      </c>
      <c r="D2166" s="201" t="s">
        <v>1956</v>
      </c>
    </row>
    <row r="2167" spans="2:4">
      <c r="B2167" s="198" t="s">
        <v>3090</v>
      </c>
      <c r="C2167" s="154" t="s">
        <v>3091</v>
      </c>
      <c r="D2167" s="201" t="s">
        <v>1960</v>
      </c>
    </row>
    <row r="2168" spans="2:4">
      <c r="B2168" s="198" t="s">
        <v>3092</v>
      </c>
      <c r="C2168" s="154" t="s">
        <v>3093</v>
      </c>
      <c r="D2168" s="201" t="s">
        <v>1951</v>
      </c>
    </row>
    <row r="2169" spans="2:4">
      <c r="B2169" s="198" t="s">
        <v>3094</v>
      </c>
      <c r="C2169" s="154" t="s">
        <v>3095</v>
      </c>
      <c r="D2169" s="201" t="s">
        <v>1956</v>
      </c>
    </row>
    <row r="2170" spans="2:4">
      <c r="B2170" s="198" t="s">
        <v>3096</v>
      </c>
      <c r="C2170" s="154" t="s">
        <v>1560</v>
      </c>
      <c r="D2170" s="201" t="s">
        <v>1953</v>
      </c>
    </row>
    <row r="2171" spans="2:4">
      <c r="B2171" s="198" t="s">
        <v>3097</v>
      </c>
      <c r="C2171" s="154" t="s">
        <v>1519</v>
      </c>
      <c r="D2171" s="201" t="s">
        <v>1951</v>
      </c>
    </row>
    <row r="2172" spans="2:4">
      <c r="B2172" s="198" t="s">
        <v>3098</v>
      </c>
      <c r="C2172" s="154" t="s">
        <v>1541</v>
      </c>
      <c r="D2172" s="201" t="s">
        <v>1955</v>
      </c>
    </row>
    <row r="2173" spans="2:4">
      <c r="B2173" s="198" t="s">
        <v>3099</v>
      </c>
      <c r="C2173" s="154" t="s">
        <v>150</v>
      </c>
      <c r="D2173" s="201" t="s">
        <v>1951</v>
      </c>
    </row>
    <row r="2174" spans="2:4">
      <c r="B2174" s="198" t="s">
        <v>3100</v>
      </c>
      <c r="C2174" s="154" t="s">
        <v>150</v>
      </c>
      <c r="D2174" s="201" t="s">
        <v>1951</v>
      </c>
    </row>
    <row r="2175" spans="2:4">
      <c r="B2175" s="198" t="s">
        <v>3101</v>
      </c>
      <c r="C2175" s="154" t="s">
        <v>1587</v>
      </c>
      <c r="D2175" s="201" t="s">
        <v>1958</v>
      </c>
    </row>
    <row r="2176" spans="2:4">
      <c r="B2176" s="198" t="s">
        <v>3102</v>
      </c>
      <c r="C2176" s="154" t="s">
        <v>1541</v>
      </c>
      <c r="D2176" s="201" t="s">
        <v>1955</v>
      </c>
    </row>
    <row r="2177" spans="2:4">
      <c r="B2177" s="198" t="s">
        <v>3103</v>
      </c>
      <c r="C2177" s="154" t="s">
        <v>1587</v>
      </c>
      <c r="D2177" s="201" t="s">
        <v>1958</v>
      </c>
    </row>
    <row r="2178" spans="2:4">
      <c r="B2178" s="198" t="s">
        <v>3104</v>
      </c>
      <c r="C2178" s="154" t="s">
        <v>150</v>
      </c>
      <c r="D2178" s="201" t="s">
        <v>1951</v>
      </c>
    </row>
    <row r="2179" spans="2:4">
      <c r="B2179" s="198" t="s">
        <v>3105</v>
      </c>
      <c r="C2179" s="154" t="s">
        <v>3106</v>
      </c>
      <c r="D2179" s="201" t="s">
        <v>1958</v>
      </c>
    </row>
    <row r="2180" spans="2:4">
      <c r="B2180" s="198" t="s">
        <v>3107</v>
      </c>
      <c r="C2180" s="154" t="s">
        <v>3108</v>
      </c>
      <c r="D2180" s="201" t="s">
        <v>1958</v>
      </c>
    </row>
    <row r="2181" spans="2:4">
      <c r="B2181" s="198" t="s">
        <v>3109</v>
      </c>
      <c r="C2181" s="154" t="s">
        <v>3110</v>
      </c>
      <c r="D2181" s="201" t="s">
        <v>1958</v>
      </c>
    </row>
    <row r="2182" spans="2:4">
      <c r="B2182" s="198" t="s">
        <v>3111</v>
      </c>
      <c r="C2182" s="154" t="s">
        <v>3112</v>
      </c>
      <c r="D2182" s="201" t="s">
        <v>1960</v>
      </c>
    </row>
    <row r="2183" spans="2:4">
      <c r="B2183" s="198" t="s">
        <v>3113</v>
      </c>
      <c r="C2183" s="154" t="s">
        <v>3114</v>
      </c>
      <c r="D2183" s="201" t="s">
        <v>1960</v>
      </c>
    </row>
    <row r="2184" spans="2:4">
      <c r="B2184" s="198" t="s">
        <v>3115</v>
      </c>
      <c r="C2184" s="154" t="s">
        <v>3116</v>
      </c>
      <c r="D2184" s="201" t="s">
        <v>1958</v>
      </c>
    </row>
    <row r="2185" spans="2:4">
      <c r="B2185" s="198" t="s">
        <v>3117</v>
      </c>
      <c r="C2185" s="154" t="s">
        <v>1587</v>
      </c>
      <c r="D2185" s="201" t="s">
        <v>1958</v>
      </c>
    </row>
    <row r="2186" spans="2:4">
      <c r="B2186" s="198" t="s">
        <v>3118</v>
      </c>
      <c r="C2186" s="154" t="s">
        <v>1727</v>
      </c>
      <c r="D2186" s="201" t="s">
        <v>1953</v>
      </c>
    </row>
    <row r="2187" spans="2:4">
      <c r="B2187" s="198" t="s">
        <v>3119</v>
      </c>
      <c r="C2187" s="154" t="s">
        <v>1560</v>
      </c>
      <c r="D2187" s="201" t="s">
        <v>1953</v>
      </c>
    </row>
    <row r="2188" spans="2:4">
      <c r="B2188" s="198" t="s">
        <v>3120</v>
      </c>
      <c r="C2188" s="154" t="s">
        <v>3121</v>
      </c>
      <c r="D2188" s="201" t="s">
        <v>1958</v>
      </c>
    </row>
    <row r="2189" spans="2:4">
      <c r="B2189" s="198" t="s">
        <v>3122</v>
      </c>
      <c r="C2189" s="154" t="s">
        <v>2903</v>
      </c>
      <c r="D2189" s="201" t="s">
        <v>1956</v>
      </c>
    </row>
    <row r="2190" spans="2:4">
      <c r="B2190" s="198" t="s">
        <v>3123</v>
      </c>
      <c r="C2190" s="154" t="s">
        <v>2911</v>
      </c>
      <c r="D2190" s="201" t="s">
        <v>1956</v>
      </c>
    </row>
    <row r="2191" spans="2:4">
      <c r="B2191" s="198" t="s">
        <v>3124</v>
      </c>
      <c r="C2191" s="154" t="s">
        <v>2334</v>
      </c>
      <c r="D2191" s="201" t="s">
        <v>1958</v>
      </c>
    </row>
    <row r="2192" spans="2:4">
      <c r="B2192" s="198" t="s">
        <v>3125</v>
      </c>
      <c r="C2192" s="154" t="s">
        <v>3126</v>
      </c>
      <c r="D2192" s="201" t="s">
        <v>1958</v>
      </c>
    </row>
    <row r="2193" spans="2:4">
      <c r="B2193" s="198" t="s">
        <v>3127</v>
      </c>
      <c r="C2193" s="154" t="s">
        <v>3128</v>
      </c>
      <c r="D2193" s="201" t="s">
        <v>1958</v>
      </c>
    </row>
    <row r="2194" spans="2:4">
      <c r="B2194" s="198" t="s">
        <v>3129</v>
      </c>
      <c r="C2194" s="154" t="s">
        <v>3130</v>
      </c>
      <c r="D2194" s="201" t="s">
        <v>1958</v>
      </c>
    </row>
    <row r="2195" spans="2:4">
      <c r="B2195" s="198" t="s">
        <v>3131</v>
      </c>
      <c r="C2195" s="154" t="s">
        <v>3132</v>
      </c>
      <c r="D2195" s="201" t="s">
        <v>1951</v>
      </c>
    </row>
    <row r="2196" spans="2:4">
      <c r="B2196" s="198" t="s">
        <v>3133</v>
      </c>
      <c r="C2196" s="154" t="s">
        <v>3134</v>
      </c>
      <c r="D2196" s="201" t="s">
        <v>1956</v>
      </c>
    </row>
    <row r="2197" spans="2:4">
      <c r="B2197" s="198" t="s">
        <v>3135</v>
      </c>
      <c r="C2197" s="154" t="s">
        <v>3136</v>
      </c>
      <c r="D2197" s="201" t="s">
        <v>1956</v>
      </c>
    </row>
    <row r="2198" spans="2:4">
      <c r="B2198" s="198" t="s">
        <v>3137</v>
      </c>
      <c r="C2198" s="154" t="s">
        <v>3138</v>
      </c>
      <c r="D2198" s="201" t="s">
        <v>1956</v>
      </c>
    </row>
    <row r="2199" spans="2:4">
      <c r="B2199" s="198" t="s">
        <v>3139</v>
      </c>
      <c r="C2199" s="154" t="s">
        <v>3140</v>
      </c>
      <c r="D2199" s="201" t="s">
        <v>1954</v>
      </c>
    </row>
    <row r="2200" spans="2:4">
      <c r="B2200" s="198" t="s">
        <v>3141</v>
      </c>
      <c r="C2200" s="154" t="s">
        <v>3142</v>
      </c>
      <c r="D2200" s="201" t="s">
        <v>1954</v>
      </c>
    </row>
    <row r="2201" spans="2:4">
      <c r="B2201" s="198" t="s">
        <v>3143</v>
      </c>
      <c r="C2201" s="154" t="s">
        <v>3144</v>
      </c>
      <c r="D2201" s="201" t="s">
        <v>1956</v>
      </c>
    </row>
    <row r="2202" spans="2:4">
      <c r="B2202" s="198" t="s">
        <v>3145</v>
      </c>
      <c r="C2202" s="154" t="s">
        <v>1587</v>
      </c>
      <c r="D2202" s="201" t="s">
        <v>1958</v>
      </c>
    </row>
    <row r="2203" spans="2:4">
      <c r="B2203" s="198" t="s">
        <v>3146</v>
      </c>
      <c r="C2203" s="154" t="s">
        <v>1587</v>
      </c>
      <c r="D2203" s="201" t="s">
        <v>1958</v>
      </c>
    </row>
    <row r="2204" spans="2:4">
      <c r="B2204" s="198" t="s">
        <v>3147</v>
      </c>
      <c r="C2204" s="154" t="s">
        <v>1587</v>
      </c>
      <c r="D2204" s="201" t="s">
        <v>1958</v>
      </c>
    </row>
    <row r="2205" spans="2:4">
      <c r="B2205" s="198" t="s">
        <v>3148</v>
      </c>
      <c r="C2205" s="154" t="s">
        <v>149</v>
      </c>
      <c r="D2205" s="201" t="s">
        <v>1956</v>
      </c>
    </row>
    <row r="2206" spans="2:4">
      <c r="B2206" s="198" t="s">
        <v>3149</v>
      </c>
      <c r="C2206" s="154" t="s">
        <v>142</v>
      </c>
      <c r="D2206" s="201" t="s">
        <v>1954</v>
      </c>
    </row>
    <row r="2207" spans="2:4">
      <c r="B2207" s="198" t="s">
        <v>3152</v>
      </c>
      <c r="C2207" s="154" t="s">
        <v>3151</v>
      </c>
      <c r="D2207" s="201" t="s">
        <v>1958</v>
      </c>
    </row>
    <row r="2208" spans="2:4">
      <c r="B2208" s="198" t="s">
        <v>3153</v>
      </c>
      <c r="C2208" s="154" t="s">
        <v>3154</v>
      </c>
      <c r="D2208" s="201" t="s">
        <v>1958</v>
      </c>
    </row>
    <row r="2209" spans="2:4">
      <c r="B2209" s="198" t="s">
        <v>3155</v>
      </c>
      <c r="C2209" s="154" t="s">
        <v>3126</v>
      </c>
      <c r="D2209" s="201" t="s">
        <v>1958</v>
      </c>
    </row>
    <row r="2210" spans="2:4">
      <c r="B2210" s="198" t="s">
        <v>3156</v>
      </c>
      <c r="C2210" s="154" t="s">
        <v>3157</v>
      </c>
      <c r="D2210" s="201" t="s">
        <v>1958</v>
      </c>
    </row>
    <row r="2211" spans="2:4">
      <c r="B2211" s="198" t="s">
        <v>3158</v>
      </c>
      <c r="C2211" s="154" t="s">
        <v>3159</v>
      </c>
      <c r="D2211" s="201" t="s">
        <v>1958</v>
      </c>
    </row>
    <row r="2212" spans="2:4">
      <c r="B2212" s="198" t="s">
        <v>3160</v>
      </c>
      <c r="C2212" s="154" t="s">
        <v>3138</v>
      </c>
      <c r="D2212" s="201" t="s">
        <v>1956</v>
      </c>
    </row>
    <row r="2213" spans="2:4">
      <c r="B2213" s="198" t="s">
        <v>3161</v>
      </c>
      <c r="C2213" s="154" t="s">
        <v>3162</v>
      </c>
      <c r="D2213" s="201" t="s">
        <v>1956</v>
      </c>
    </row>
    <row r="2214" spans="2:4">
      <c r="B2214" s="198" t="s">
        <v>3163</v>
      </c>
      <c r="C2214" s="154" t="s">
        <v>3164</v>
      </c>
      <c r="D2214" s="201" t="s">
        <v>1956</v>
      </c>
    </row>
    <row r="2215" spans="2:4">
      <c r="B2215" s="198" t="s">
        <v>3165</v>
      </c>
      <c r="C2215" s="154" t="s">
        <v>3138</v>
      </c>
      <c r="D2215" s="201" t="s">
        <v>1956</v>
      </c>
    </row>
    <row r="2216" spans="2:4">
      <c r="B2216" s="198" t="s">
        <v>3166</v>
      </c>
      <c r="C2216" s="154" t="s">
        <v>3167</v>
      </c>
      <c r="D2216" s="201" t="s">
        <v>1957</v>
      </c>
    </row>
    <row r="2217" spans="2:4">
      <c r="B2217" s="198" t="s">
        <v>3168</v>
      </c>
      <c r="C2217" s="154" t="s">
        <v>3169</v>
      </c>
      <c r="D2217" s="201" t="s">
        <v>1959</v>
      </c>
    </row>
    <row r="2218" spans="2:4">
      <c r="B2218" s="198" t="s">
        <v>3170</v>
      </c>
      <c r="C2218" s="154" t="s">
        <v>3171</v>
      </c>
      <c r="D2218" s="201" t="s">
        <v>2216</v>
      </c>
    </row>
    <row r="2219" spans="2:4">
      <c r="B2219" s="198" t="s">
        <v>3172</v>
      </c>
      <c r="C2219" s="154" t="s">
        <v>3171</v>
      </c>
      <c r="D2219" s="201" t="s">
        <v>2216</v>
      </c>
    </row>
    <row r="2220" spans="2:4">
      <c r="B2220" s="198" t="s">
        <v>3173</v>
      </c>
      <c r="C2220" s="154" t="s">
        <v>3138</v>
      </c>
      <c r="D2220" s="201" t="s">
        <v>1956</v>
      </c>
    </row>
    <row r="2221" spans="2:4">
      <c r="B2221" s="198" t="s">
        <v>3174</v>
      </c>
      <c r="C2221" s="154" t="s">
        <v>3175</v>
      </c>
      <c r="D2221" s="201" t="s">
        <v>1955</v>
      </c>
    </row>
    <row r="2222" spans="2:4">
      <c r="B2222" s="198" t="s">
        <v>3176</v>
      </c>
      <c r="C2222" s="154" t="s">
        <v>3177</v>
      </c>
      <c r="D2222" s="201" t="s">
        <v>1955</v>
      </c>
    </row>
    <row r="2223" spans="2:4">
      <c r="B2223" s="198" t="s">
        <v>3178</v>
      </c>
      <c r="C2223" s="154" t="s">
        <v>3179</v>
      </c>
      <c r="D2223" s="201" t="s">
        <v>1955</v>
      </c>
    </row>
    <row r="2224" spans="2:4">
      <c r="B2224" s="198" t="s">
        <v>3180</v>
      </c>
      <c r="C2224" s="154" t="s">
        <v>3181</v>
      </c>
      <c r="D2224" s="201" t="s">
        <v>1955</v>
      </c>
    </row>
    <row r="2225" spans="2:4">
      <c r="B2225" s="198" t="s">
        <v>3182</v>
      </c>
      <c r="C2225" s="154" t="s">
        <v>3183</v>
      </c>
      <c r="D2225" s="201" t="s">
        <v>1955</v>
      </c>
    </row>
    <row r="2226" spans="2:4">
      <c r="B2226" s="198" t="s">
        <v>3184</v>
      </c>
      <c r="C2226" s="154" t="s">
        <v>3185</v>
      </c>
      <c r="D2226" s="201" t="s">
        <v>1955</v>
      </c>
    </row>
    <row r="2227" spans="2:4">
      <c r="B2227" s="198" t="s">
        <v>3186</v>
      </c>
      <c r="C2227" s="154" t="s">
        <v>3187</v>
      </c>
      <c r="D2227" s="201" t="s">
        <v>1952</v>
      </c>
    </row>
    <row r="2228" spans="2:4">
      <c r="B2228" s="198" t="s">
        <v>3188</v>
      </c>
      <c r="C2228" s="154" t="s">
        <v>3189</v>
      </c>
      <c r="D2228" s="201" t="s">
        <v>1954</v>
      </c>
    </row>
    <row r="2229" spans="2:4">
      <c r="B2229" s="198" t="s">
        <v>3190</v>
      </c>
      <c r="C2229" s="154" t="s">
        <v>3191</v>
      </c>
      <c r="D2229" s="201" t="s">
        <v>2220</v>
      </c>
    </row>
    <row r="2230" spans="2:4">
      <c r="B2230" s="198" t="s">
        <v>3192</v>
      </c>
      <c r="C2230" s="154" t="s">
        <v>3193</v>
      </c>
      <c r="D2230" s="201" t="s">
        <v>2220</v>
      </c>
    </row>
    <row r="2231" spans="2:4">
      <c r="B2231" s="198" t="s">
        <v>3194</v>
      </c>
      <c r="C2231" s="154" t="s">
        <v>3203</v>
      </c>
      <c r="D2231" s="201" t="s">
        <v>1953</v>
      </c>
    </row>
    <row r="2232" spans="2:4">
      <c r="B2232" s="198" t="s">
        <v>3195</v>
      </c>
      <c r="C2232" s="154" t="s">
        <v>1560</v>
      </c>
      <c r="D2232" s="201" t="s">
        <v>1953</v>
      </c>
    </row>
    <row r="2233" spans="2:4">
      <c r="B2233" s="198" t="s">
        <v>3196</v>
      </c>
      <c r="C2233" s="154" t="s">
        <v>3204</v>
      </c>
      <c r="D2233" s="201" t="s">
        <v>1958</v>
      </c>
    </row>
    <row r="2234" spans="2:4">
      <c r="B2234" s="198" t="s">
        <v>3197</v>
      </c>
      <c r="C2234" s="154" t="s">
        <v>1566</v>
      </c>
      <c r="D2234" s="201" t="s">
        <v>1951</v>
      </c>
    </row>
    <row r="2235" spans="2:4">
      <c r="B2235" s="198" t="s">
        <v>3198</v>
      </c>
      <c r="C2235" s="154" t="s">
        <v>1566</v>
      </c>
      <c r="D2235" s="201" t="s">
        <v>1951</v>
      </c>
    </row>
    <row r="2236" spans="2:4">
      <c r="B2236" s="198" t="s">
        <v>3199</v>
      </c>
      <c r="C2236" s="154" t="s">
        <v>3205</v>
      </c>
      <c r="D2236" s="201" t="s">
        <v>1952</v>
      </c>
    </row>
    <row r="2237" spans="2:4">
      <c r="B2237" s="198" t="s">
        <v>3200</v>
      </c>
      <c r="C2237" s="154" t="s">
        <v>152</v>
      </c>
      <c r="D2237" s="201" t="s">
        <v>1952</v>
      </c>
    </row>
    <row r="2238" spans="2:4">
      <c r="B2238" s="198" t="s">
        <v>3201</v>
      </c>
      <c r="C2238" s="154" t="s">
        <v>152</v>
      </c>
      <c r="D2238" s="201" t="s">
        <v>1952</v>
      </c>
    </row>
    <row r="2239" spans="2:4">
      <c r="B2239" s="198" t="s">
        <v>3202</v>
      </c>
      <c r="C2239" s="154" t="s">
        <v>1565</v>
      </c>
      <c r="D2239" s="201" t="s">
        <v>1958</v>
      </c>
    </row>
    <row r="2240" spans="2:4">
      <c r="B2240" s="198" t="s">
        <v>3206</v>
      </c>
      <c r="C2240" s="154" t="s">
        <v>3213</v>
      </c>
      <c r="D2240" s="201" t="s">
        <v>1953</v>
      </c>
    </row>
    <row r="2241" spans="2:4">
      <c r="B2241" s="198" t="s">
        <v>3207</v>
      </c>
      <c r="C2241" s="154" t="s">
        <v>3212</v>
      </c>
      <c r="D2241" s="201" t="s">
        <v>2220</v>
      </c>
    </row>
    <row r="2242" spans="2:4">
      <c r="B2242" s="198" t="s">
        <v>3208</v>
      </c>
      <c r="C2242" s="154" t="s">
        <v>3211</v>
      </c>
      <c r="D2242" s="201" t="s">
        <v>1952</v>
      </c>
    </row>
    <row r="2243" spans="2:4">
      <c r="B2243" s="198" t="s">
        <v>3209</v>
      </c>
      <c r="C2243" s="154" t="s">
        <v>3154</v>
      </c>
      <c r="D2243" s="201" t="s">
        <v>1958</v>
      </c>
    </row>
    <row r="2244" spans="2:4">
      <c r="B2244" s="198" t="s">
        <v>3046</v>
      </c>
      <c r="C2244" s="154" t="s">
        <v>3210</v>
      </c>
      <c r="D2244" s="201" t="s">
        <v>1955</v>
      </c>
    </row>
    <row r="2245" spans="2:4">
      <c r="B2245" s="198" t="s">
        <v>3214</v>
      </c>
      <c r="C2245" s="154" t="s">
        <v>3215</v>
      </c>
      <c r="D2245" s="201" t="s">
        <v>1952</v>
      </c>
    </row>
    <row r="2246" spans="2:4">
      <c r="B2246" s="198" t="s">
        <v>3216</v>
      </c>
      <c r="C2246" s="154" t="s">
        <v>1644</v>
      </c>
      <c r="D2246" s="201" t="s">
        <v>1959</v>
      </c>
    </row>
    <row r="2247" spans="2:4">
      <c r="B2247" s="198" t="s">
        <v>3217</v>
      </c>
      <c r="C2247" s="190" t="s">
        <v>3239</v>
      </c>
      <c r="D2247" s="202" t="s">
        <v>2216</v>
      </c>
    </row>
    <row r="2248" spans="2:4">
      <c r="B2248" s="198" t="s">
        <v>3218</v>
      </c>
      <c r="C2248" s="190" t="s">
        <v>150</v>
      </c>
      <c r="D2248" s="202" t="s">
        <v>1951</v>
      </c>
    </row>
    <row r="2249" spans="2:4">
      <c r="B2249" s="198" t="s">
        <v>3219</v>
      </c>
      <c r="C2249" s="154" t="s">
        <v>1519</v>
      </c>
      <c r="D2249" s="202" t="s">
        <v>1951</v>
      </c>
    </row>
    <row r="2250" spans="2:4">
      <c r="B2250" s="198" t="s">
        <v>3220</v>
      </c>
      <c r="C2250" s="154" t="s">
        <v>1519</v>
      </c>
      <c r="D2250" s="201" t="s">
        <v>1951</v>
      </c>
    </row>
    <row r="2251" spans="2:4">
      <c r="B2251" s="198" t="s">
        <v>3221</v>
      </c>
      <c r="C2251" s="154" t="s">
        <v>1519</v>
      </c>
      <c r="D2251" s="201" t="s">
        <v>1951</v>
      </c>
    </row>
    <row r="2252" spans="2:4">
      <c r="B2252" s="198" t="s">
        <v>3222</v>
      </c>
      <c r="C2252" s="154" t="s">
        <v>1519</v>
      </c>
      <c r="D2252" s="201" t="s">
        <v>1951</v>
      </c>
    </row>
    <row r="2253" spans="2:4">
      <c r="B2253" s="198" t="s">
        <v>3223</v>
      </c>
      <c r="C2253" s="154" t="s">
        <v>1519</v>
      </c>
      <c r="D2253" s="201" t="s">
        <v>1951</v>
      </c>
    </row>
    <row r="2254" spans="2:4">
      <c r="B2254" s="198" t="s">
        <v>3224</v>
      </c>
      <c r="C2254" s="154" t="s">
        <v>1519</v>
      </c>
      <c r="D2254" s="201" t="s">
        <v>1951</v>
      </c>
    </row>
    <row r="2255" spans="2:4">
      <c r="B2255" s="198" t="s">
        <v>3225</v>
      </c>
      <c r="C2255" s="154" t="s">
        <v>1519</v>
      </c>
      <c r="D2255" s="201" t="s">
        <v>1951</v>
      </c>
    </row>
    <row r="2256" spans="2:4">
      <c r="B2256" s="198" t="s">
        <v>3226</v>
      </c>
      <c r="C2256" s="154" t="s">
        <v>1519</v>
      </c>
      <c r="D2256" s="201" t="s">
        <v>1951</v>
      </c>
    </row>
    <row r="2257" spans="2:4">
      <c r="B2257" s="198" t="s">
        <v>3227</v>
      </c>
      <c r="C2257" s="154" t="s">
        <v>1519</v>
      </c>
      <c r="D2257" s="201" t="s">
        <v>1951</v>
      </c>
    </row>
    <row r="2258" spans="2:4">
      <c r="B2258" s="198" t="s">
        <v>3228</v>
      </c>
      <c r="C2258" s="154" t="s">
        <v>1519</v>
      </c>
      <c r="D2258" s="201" t="s">
        <v>1951</v>
      </c>
    </row>
    <row r="2259" spans="2:4">
      <c r="B2259" s="198" t="s">
        <v>3229</v>
      </c>
      <c r="C2259" s="154" t="s">
        <v>1519</v>
      </c>
      <c r="D2259" s="201" t="s">
        <v>1951</v>
      </c>
    </row>
    <row r="2260" spans="2:4">
      <c r="B2260" s="198" t="s">
        <v>3230</v>
      </c>
      <c r="C2260" s="154" t="s">
        <v>1519</v>
      </c>
      <c r="D2260" s="201" t="s">
        <v>1951</v>
      </c>
    </row>
    <row r="2261" spans="2:4">
      <c r="B2261" s="198" t="s">
        <v>3231</v>
      </c>
      <c r="C2261" s="154" t="s">
        <v>1519</v>
      </c>
      <c r="D2261" s="201" t="s">
        <v>1951</v>
      </c>
    </row>
    <row r="2262" spans="2:4">
      <c r="B2262" s="198" t="s">
        <v>3232</v>
      </c>
      <c r="C2262" s="154" t="s">
        <v>1519</v>
      </c>
      <c r="D2262" s="201" t="s">
        <v>1951</v>
      </c>
    </row>
    <row r="2263" spans="2:4">
      <c r="B2263" s="198" t="s">
        <v>3233</v>
      </c>
      <c r="C2263" s="154" t="s">
        <v>1519</v>
      </c>
      <c r="D2263" s="201" t="s">
        <v>1951</v>
      </c>
    </row>
    <row r="2264" spans="2:4">
      <c r="B2264" s="198" t="s">
        <v>3234</v>
      </c>
      <c r="C2264" s="154" t="s">
        <v>1519</v>
      </c>
      <c r="D2264" s="201" t="s">
        <v>1951</v>
      </c>
    </row>
    <row r="2265" spans="2:4">
      <c r="B2265" s="198" t="s">
        <v>3235</v>
      </c>
      <c r="C2265" s="154" t="s">
        <v>1519</v>
      </c>
      <c r="D2265" s="201" t="s">
        <v>1951</v>
      </c>
    </row>
    <row r="2266" spans="2:4">
      <c r="B2266" s="198" t="s">
        <v>3236</v>
      </c>
      <c r="C2266" s="190" t="s">
        <v>150</v>
      </c>
      <c r="D2266" s="202" t="s">
        <v>1951</v>
      </c>
    </row>
    <row r="2267" spans="2:4">
      <c r="B2267" s="198" t="s">
        <v>3237</v>
      </c>
      <c r="C2267" s="154" t="s">
        <v>3357</v>
      </c>
      <c r="D2267" s="201" t="s">
        <v>1951</v>
      </c>
    </row>
    <row r="2268" spans="2:4">
      <c r="B2268" s="198" t="s">
        <v>3238</v>
      </c>
      <c r="C2268" s="190" t="s">
        <v>150</v>
      </c>
      <c r="D2268" s="202" t="s">
        <v>1951</v>
      </c>
    </row>
    <row r="2269" spans="2:4">
      <c r="B2269" s="198" t="s">
        <v>3240</v>
      </c>
      <c r="C2269" s="154" t="s">
        <v>149</v>
      </c>
      <c r="D2269" s="201" t="s">
        <v>1956</v>
      </c>
    </row>
    <row r="2270" spans="2:4">
      <c r="B2270" s="198" t="s">
        <v>3241</v>
      </c>
      <c r="C2270" s="154" t="s">
        <v>3242</v>
      </c>
      <c r="D2270" s="201" t="s">
        <v>1952</v>
      </c>
    </row>
    <row r="2271" spans="2:4">
      <c r="B2271" s="198" t="s">
        <v>3243</v>
      </c>
      <c r="C2271" s="154" t="s">
        <v>2914</v>
      </c>
      <c r="D2271" s="201" t="s">
        <v>1954</v>
      </c>
    </row>
    <row r="2272" spans="2:4">
      <c r="B2272" s="198" t="s">
        <v>3244</v>
      </c>
      <c r="C2272" s="154" t="s">
        <v>1576</v>
      </c>
      <c r="D2272" s="201" t="s">
        <v>1956</v>
      </c>
    </row>
    <row r="2273" spans="2:4">
      <c r="B2273" s="198" t="s">
        <v>3245</v>
      </c>
      <c r="C2273" s="154" t="s">
        <v>3250</v>
      </c>
      <c r="D2273" s="201" t="s">
        <v>1959</v>
      </c>
    </row>
    <row r="2274" spans="2:4">
      <c r="B2274" s="198" t="s">
        <v>3246</v>
      </c>
      <c r="C2274" s="154" t="s">
        <v>1837</v>
      </c>
      <c r="D2274" s="201" t="s">
        <v>2220</v>
      </c>
    </row>
    <row r="2275" spans="2:4">
      <c r="B2275" s="198" t="s">
        <v>3247</v>
      </c>
      <c r="C2275" s="154" t="s">
        <v>3251</v>
      </c>
      <c r="D2275" s="201" t="s">
        <v>2220</v>
      </c>
    </row>
    <row r="2276" spans="2:4">
      <c r="B2276" s="198" t="s">
        <v>3248</v>
      </c>
      <c r="C2276" s="154" t="s">
        <v>3252</v>
      </c>
      <c r="D2276" s="201" t="s">
        <v>2220</v>
      </c>
    </row>
    <row r="2277" spans="2:4">
      <c r="B2277" s="198" t="s">
        <v>3249</v>
      </c>
      <c r="C2277" s="154" t="s">
        <v>3253</v>
      </c>
      <c r="D2277" s="201" t="s">
        <v>2220</v>
      </c>
    </row>
    <row r="2278" spans="2:4">
      <c r="B2278" s="198" t="s">
        <v>3254</v>
      </c>
      <c r="C2278" s="154" t="s">
        <v>3255</v>
      </c>
      <c r="D2278" s="201" t="s">
        <v>1951</v>
      </c>
    </row>
    <row r="2279" spans="2:4">
      <c r="B2279" s="198" t="s">
        <v>3256</v>
      </c>
      <c r="C2279" s="154" t="s">
        <v>1593</v>
      </c>
      <c r="D2279" s="201" t="s">
        <v>1959</v>
      </c>
    </row>
    <row r="2280" spans="2:4">
      <c r="B2280" s="198" t="s">
        <v>3257</v>
      </c>
      <c r="C2280" s="154" t="s">
        <v>3303</v>
      </c>
      <c r="D2280" s="201" t="s">
        <v>1958</v>
      </c>
    </row>
    <row r="2281" spans="2:4">
      <c r="B2281" s="198" t="s">
        <v>3258</v>
      </c>
      <c r="C2281" s="154" t="s">
        <v>3138</v>
      </c>
      <c r="D2281" s="201" t="s">
        <v>1956</v>
      </c>
    </row>
    <row r="2282" spans="2:4">
      <c r="B2282" s="198" t="s">
        <v>3259</v>
      </c>
      <c r="C2282" s="154" t="s">
        <v>3269</v>
      </c>
      <c r="D2282" s="201" t="s">
        <v>1951</v>
      </c>
    </row>
    <row r="2283" spans="2:4">
      <c r="B2283" s="198" t="s">
        <v>3260</v>
      </c>
      <c r="C2283" s="154" t="s">
        <v>1595</v>
      </c>
      <c r="D2283" s="201" t="s">
        <v>1956</v>
      </c>
    </row>
    <row r="2284" spans="2:4">
      <c r="B2284" s="198" t="s">
        <v>3261</v>
      </c>
      <c r="C2284" s="154" t="s">
        <v>3110</v>
      </c>
      <c r="D2284" s="201" t="s">
        <v>1958</v>
      </c>
    </row>
    <row r="2285" spans="2:4">
      <c r="B2285" s="198" t="s">
        <v>3262</v>
      </c>
      <c r="C2285" s="154" t="s">
        <v>1511</v>
      </c>
      <c r="D2285" s="201" t="s">
        <v>1951</v>
      </c>
    </row>
    <row r="2286" spans="2:4">
      <c r="B2286" s="198" t="s">
        <v>3263</v>
      </c>
      <c r="C2286" s="154" t="s">
        <v>150</v>
      </c>
      <c r="D2286" s="201" t="s">
        <v>1951</v>
      </c>
    </row>
    <row r="2287" spans="2:4">
      <c r="B2287" s="198" t="s">
        <v>3264</v>
      </c>
      <c r="C2287" s="154" t="s">
        <v>1519</v>
      </c>
      <c r="D2287" s="201" t="s">
        <v>1951</v>
      </c>
    </row>
    <row r="2288" spans="2:4">
      <c r="B2288" s="198" t="s">
        <v>3265</v>
      </c>
      <c r="C2288" s="154" t="s">
        <v>2923</v>
      </c>
      <c r="D2288" s="201" t="s">
        <v>1951</v>
      </c>
    </row>
    <row r="2289" spans="2:4">
      <c r="B2289" s="198" t="s">
        <v>3266</v>
      </c>
      <c r="C2289" s="154" t="s">
        <v>1625</v>
      </c>
      <c r="D2289" s="201" t="s">
        <v>1951</v>
      </c>
    </row>
    <row r="2290" spans="2:4">
      <c r="B2290" s="198" t="s">
        <v>3267</v>
      </c>
      <c r="C2290" s="154" t="s">
        <v>3138</v>
      </c>
      <c r="D2290" s="201" t="s">
        <v>1956</v>
      </c>
    </row>
    <row r="2291" spans="2:4">
      <c r="B2291" s="198" t="s">
        <v>3268</v>
      </c>
      <c r="C2291" s="154" t="s">
        <v>1544</v>
      </c>
      <c r="D2291" s="201" t="s">
        <v>1951</v>
      </c>
    </row>
    <row r="2292" spans="2:4">
      <c r="B2292" s="198" t="s">
        <v>3270</v>
      </c>
      <c r="C2292" s="154" t="s">
        <v>1918</v>
      </c>
      <c r="D2292" s="201" t="s">
        <v>1958</v>
      </c>
    </row>
    <row r="2293" spans="2:4">
      <c r="B2293" s="198" t="s">
        <v>3271</v>
      </c>
      <c r="C2293" s="154" t="s">
        <v>3278</v>
      </c>
      <c r="D2293" s="201" t="s">
        <v>1955</v>
      </c>
    </row>
    <row r="2294" spans="2:4">
      <c r="B2294" s="198" t="s">
        <v>3272</v>
      </c>
      <c r="C2294" s="154" t="s">
        <v>3280</v>
      </c>
      <c r="D2294" s="201" t="s">
        <v>1951</v>
      </c>
    </row>
    <row r="2295" spans="2:4">
      <c r="B2295" s="198" t="s">
        <v>3273</v>
      </c>
      <c r="C2295" s="154" t="s">
        <v>3167</v>
      </c>
      <c r="D2295" s="201" t="s">
        <v>1957</v>
      </c>
    </row>
    <row r="2296" spans="2:4">
      <c r="B2296" s="198" t="s">
        <v>3274</v>
      </c>
      <c r="C2296" s="154" t="s">
        <v>153</v>
      </c>
      <c r="D2296" s="201" t="s">
        <v>1951</v>
      </c>
    </row>
    <row r="2297" spans="2:4">
      <c r="B2297" s="198" t="s">
        <v>3275</v>
      </c>
      <c r="C2297" s="154" t="s">
        <v>3281</v>
      </c>
      <c r="D2297" s="201" t="s">
        <v>1954</v>
      </c>
    </row>
    <row r="2298" spans="2:4">
      <c r="B2298" s="198" t="s">
        <v>3276</v>
      </c>
      <c r="C2298" s="154" t="s">
        <v>3081</v>
      </c>
      <c r="D2298" s="201" t="s">
        <v>1957</v>
      </c>
    </row>
    <row r="2299" spans="2:4">
      <c r="B2299" s="198" t="s">
        <v>3277</v>
      </c>
      <c r="C2299" s="154" t="s">
        <v>3279</v>
      </c>
      <c r="D2299" s="201" t="s">
        <v>2216</v>
      </c>
    </row>
    <row r="2300" spans="2:4">
      <c r="B2300" s="198"/>
      <c r="C2300" s="154"/>
      <c r="D2300" s="201"/>
    </row>
    <row r="2301" spans="2:4">
      <c r="B2301" s="198" t="s">
        <v>3283</v>
      </c>
      <c r="C2301" s="154" t="s">
        <v>1560</v>
      </c>
      <c r="D2301" s="201" t="s">
        <v>1953</v>
      </c>
    </row>
    <row r="2302" spans="2:4">
      <c r="B2302" s="198" t="s">
        <v>3284</v>
      </c>
      <c r="C2302" s="154" t="s">
        <v>1560</v>
      </c>
      <c r="D2302" s="201" t="s">
        <v>1953</v>
      </c>
    </row>
    <row r="2303" spans="2:4">
      <c r="B2303" s="198" t="s">
        <v>3285</v>
      </c>
      <c r="C2303" s="154" t="s">
        <v>2943</v>
      </c>
      <c r="D2303" s="201" t="s">
        <v>1956</v>
      </c>
    </row>
    <row r="2304" spans="2:4">
      <c r="B2304" s="198" t="s">
        <v>3286</v>
      </c>
      <c r="C2304" s="154" t="s">
        <v>3319</v>
      </c>
      <c r="D2304" s="201" t="s">
        <v>1952</v>
      </c>
    </row>
    <row r="2305" spans="2:4" ht="18" customHeight="1">
      <c r="B2305" s="198" t="s">
        <v>3287</v>
      </c>
      <c r="C2305" s="154"/>
      <c r="D2305" s="201"/>
    </row>
    <row r="2306" spans="2:4">
      <c r="B2306" s="198" t="s">
        <v>3288</v>
      </c>
      <c r="C2306" s="154" t="s">
        <v>3309</v>
      </c>
      <c r="D2306" s="201" t="s">
        <v>1952</v>
      </c>
    </row>
    <row r="2307" spans="2:4">
      <c r="B2307" s="198" t="s">
        <v>3289</v>
      </c>
      <c r="C2307" s="154" t="s">
        <v>3310</v>
      </c>
      <c r="D2307" s="201" t="s">
        <v>1951</v>
      </c>
    </row>
    <row r="2308" spans="2:4">
      <c r="B2308" s="198" t="s">
        <v>3290</v>
      </c>
      <c r="C2308" s="154" t="s">
        <v>3311</v>
      </c>
      <c r="D2308" s="201" t="s">
        <v>1951</v>
      </c>
    </row>
    <row r="2309" spans="2:4">
      <c r="B2309" s="198" t="s">
        <v>3291</v>
      </c>
      <c r="C2309" s="154" t="s">
        <v>3312</v>
      </c>
      <c r="D2309" s="201" t="s">
        <v>1951</v>
      </c>
    </row>
    <row r="2310" spans="2:4">
      <c r="B2310" s="198" t="s">
        <v>3292</v>
      </c>
      <c r="C2310" s="154" t="s">
        <v>3313</v>
      </c>
      <c r="D2310" s="201" t="s">
        <v>1951</v>
      </c>
    </row>
    <row r="2311" spans="2:4">
      <c r="B2311" s="198" t="s">
        <v>3293</v>
      </c>
      <c r="C2311" s="154" t="s">
        <v>3314</v>
      </c>
      <c r="D2311" s="201" t="s">
        <v>1956</v>
      </c>
    </row>
    <row r="2312" spans="2:4">
      <c r="B2312" s="198" t="s">
        <v>3294</v>
      </c>
      <c r="C2312" s="154" t="s">
        <v>1628</v>
      </c>
      <c r="D2312" s="201" t="s">
        <v>1956</v>
      </c>
    </row>
    <row r="2313" spans="2:4">
      <c r="B2313" s="198" t="s">
        <v>3150</v>
      </c>
      <c r="C2313" s="154" t="s">
        <v>3315</v>
      </c>
      <c r="D2313" s="201" t="s">
        <v>1954</v>
      </c>
    </row>
    <row r="2314" spans="2:4">
      <c r="B2314" s="198" t="s">
        <v>3295</v>
      </c>
      <c r="C2314" s="154" t="s">
        <v>3310</v>
      </c>
      <c r="D2314" s="201" t="s">
        <v>1951</v>
      </c>
    </row>
    <row r="2315" spans="2:4">
      <c r="B2315" s="198" t="s">
        <v>3296</v>
      </c>
      <c r="C2315" s="154" t="s">
        <v>1697</v>
      </c>
      <c r="D2315" s="201" t="s">
        <v>1952</v>
      </c>
    </row>
    <row r="2316" spans="2:4">
      <c r="B2316" s="198" t="s">
        <v>3297</v>
      </c>
      <c r="C2316" s="154" t="s">
        <v>3316</v>
      </c>
      <c r="D2316" s="201" t="s">
        <v>1951</v>
      </c>
    </row>
    <row r="2317" spans="2:4">
      <c r="B2317" s="198" t="s">
        <v>3298</v>
      </c>
      <c r="C2317" s="154" t="s">
        <v>3316</v>
      </c>
      <c r="D2317" s="201" t="s">
        <v>1951</v>
      </c>
    </row>
    <row r="2318" spans="2:4">
      <c r="B2318" s="198" t="s">
        <v>3299</v>
      </c>
      <c r="C2318" s="154" t="s">
        <v>7600</v>
      </c>
      <c r="D2318" s="201" t="s">
        <v>1959</v>
      </c>
    </row>
    <row r="2319" spans="2:4">
      <c r="B2319" s="198" t="s">
        <v>3300</v>
      </c>
      <c r="C2319" s="154" t="s">
        <v>3318</v>
      </c>
      <c r="D2319" s="201" t="s">
        <v>1951</v>
      </c>
    </row>
    <row r="2320" spans="2:4">
      <c r="B2320" s="198" t="s">
        <v>3301</v>
      </c>
      <c r="C2320" s="154" t="s">
        <v>1600</v>
      </c>
      <c r="D2320" s="201" t="s">
        <v>1952</v>
      </c>
    </row>
    <row r="2321" spans="2:4">
      <c r="B2321" s="198" t="s">
        <v>3302</v>
      </c>
      <c r="C2321" s="154" t="s">
        <v>1848</v>
      </c>
      <c r="D2321" s="201" t="s">
        <v>1951</v>
      </c>
    </row>
    <row r="2322" spans="2:4">
      <c r="B2322" s="198" t="s">
        <v>3304</v>
      </c>
      <c r="C2322" s="154" t="s">
        <v>1641</v>
      </c>
      <c r="D2322" s="201" t="s">
        <v>1958</v>
      </c>
    </row>
    <row r="2323" spans="2:4">
      <c r="B2323" s="198" t="s">
        <v>3305</v>
      </c>
      <c r="C2323" s="154" t="s">
        <v>1641</v>
      </c>
      <c r="D2323" s="201" t="s">
        <v>1958</v>
      </c>
    </row>
    <row r="2324" spans="2:4">
      <c r="B2324" s="198" t="s">
        <v>3306</v>
      </c>
      <c r="C2324" s="154" t="s">
        <v>3307</v>
      </c>
      <c r="D2324" s="201" t="s">
        <v>1958</v>
      </c>
    </row>
    <row r="2325" spans="2:4">
      <c r="B2325" s="198" t="s">
        <v>3308</v>
      </c>
      <c r="C2325" s="154" t="s">
        <v>149</v>
      </c>
      <c r="D2325" s="201" t="s">
        <v>1956</v>
      </c>
    </row>
    <row r="2326" spans="2:4">
      <c r="B2326" s="198" t="s">
        <v>3320</v>
      </c>
      <c r="C2326" s="94" t="s">
        <v>1541</v>
      </c>
      <c r="D2326" s="201" t="s">
        <v>1955</v>
      </c>
    </row>
    <row r="2327" spans="2:4">
      <c r="B2327" s="198" t="s">
        <v>3321</v>
      </c>
      <c r="C2327" s="94" t="s">
        <v>1532</v>
      </c>
      <c r="D2327" s="201" t="s">
        <v>1958</v>
      </c>
    </row>
    <row r="2328" spans="2:4">
      <c r="B2328" s="198" t="s">
        <v>3322</v>
      </c>
      <c r="C2328" s="94" t="s">
        <v>3331</v>
      </c>
      <c r="D2328" s="201" t="s">
        <v>1958</v>
      </c>
    </row>
    <row r="2329" spans="2:4">
      <c r="B2329" s="198" t="s">
        <v>3323</v>
      </c>
      <c r="C2329" s="94"/>
      <c r="D2329" s="201"/>
    </row>
    <row r="2330" spans="2:4">
      <c r="B2330" s="198" t="s">
        <v>3324</v>
      </c>
      <c r="C2330" s="94" t="s">
        <v>3332</v>
      </c>
      <c r="D2330" s="201" t="s">
        <v>1951</v>
      </c>
    </row>
    <row r="2331" spans="2:4">
      <c r="B2331" s="198" t="s">
        <v>3325</v>
      </c>
      <c r="C2331" s="94" t="s">
        <v>1581</v>
      </c>
      <c r="D2331" s="201" t="s">
        <v>1955</v>
      </c>
    </row>
    <row r="2332" spans="2:4">
      <c r="B2332" s="198" t="s">
        <v>3326</v>
      </c>
      <c r="C2332" s="94" t="s">
        <v>3333</v>
      </c>
      <c r="D2332" s="201" t="s">
        <v>1951</v>
      </c>
    </row>
    <row r="2333" spans="2:4">
      <c r="B2333" s="198" t="s">
        <v>3327</v>
      </c>
      <c r="C2333" s="94" t="s">
        <v>1587</v>
      </c>
      <c r="D2333" s="201" t="s">
        <v>1958</v>
      </c>
    </row>
    <row r="2334" spans="2:4">
      <c r="B2334" s="198" t="s">
        <v>3328</v>
      </c>
      <c r="C2334" s="94" t="s">
        <v>3334</v>
      </c>
      <c r="D2334" s="201" t="s">
        <v>1952</v>
      </c>
    </row>
    <row r="2335" spans="2:4">
      <c r="B2335" s="198" t="s">
        <v>3329</v>
      </c>
      <c r="C2335" s="94" t="s">
        <v>3335</v>
      </c>
      <c r="D2335" s="201" t="s">
        <v>1954</v>
      </c>
    </row>
    <row r="2336" spans="2:4">
      <c r="B2336" s="198" t="s">
        <v>3330</v>
      </c>
      <c r="C2336" s="94" t="s">
        <v>3336</v>
      </c>
      <c r="D2336" s="201" t="s">
        <v>1951</v>
      </c>
    </row>
    <row r="2337" spans="2:4">
      <c r="B2337" s="198" t="s">
        <v>3341</v>
      </c>
      <c r="C2337" s="191" t="s">
        <v>149</v>
      </c>
      <c r="D2337" s="201" t="s">
        <v>1956</v>
      </c>
    </row>
    <row r="2338" spans="2:4">
      <c r="B2338" s="198"/>
      <c r="C2338" s="154"/>
      <c r="D2338" s="201"/>
    </row>
    <row r="2339" spans="2:4">
      <c r="B2339" s="198" t="s">
        <v>3342</v>
      </c>
      <c r="C2339" s="154" t="s">
        <v>150</v>
      </c>
      <c r="D2339" s="201" t="s">
        <v>1951</v>
      </c>
    </row>
    <row r="2340" spans="2:4">
      <c r="B2340" s="198" t="s">
        <v>3343</v>
      </c>
      <c r="C2340" s="154" t="s">
        <v>3355</v>
      </c>
      <c r="D2340" s="201" t="s">
        <v>1952</v>
      </c>
    </row>
    <row r="2341" spans="2:4">
      <c r="B2341" s="198" t="s">
        <v>3344</v>
      </c>
      <c r="C2341" s="154" t="s">
        <v>1727</v>
      </c>
      <c r="D2341" s="201" t="s">
        <v>1953</v>
      </c>
    </row>
    <row r="2342" spans="2:4">
      <c r="B2342" s="198" t="s">
        <v>3345</v>
      </c>
      <c r="C2342" s="154" t="s">
        <v>149</v>
      </c>
      <c r="D2342" s="201" t="s">
        <v>1956</v>
      </c>
    </row>
    <row r="2343" spans="2:4">
      <c r="B2343" s="198" t="s">
        <v>3346</v>
      </c>
      <c r="C2343" s="154" t="s">
        <v>1541</v>
      </c>
      <c r="D2343" s="201" t="s">
        <v>1955</v>
      </c>
    </row>
    <row r="2344" spans="2:4">
      <c r="B2344" s="198" t="s">
        <v>3347</v>
      </c>
      <c r="C2344" s="154" t="s">
        <v>1541</v>
      </c>
      <c r="D2344" s="201" t="s">
        <v>1955</v>
      </c>
    </row>
    <row r="2345" spans="2:4">
      <c r="B2345" s="198" t="s">
        <v>3348</v>
      </c>
      <c r="C2345" s="154" t="s">
        <v>149</v>
      </c>
      <c r="D2345" s="201" t="s">
        <v>1956</v>
      </c>
    </row>
    <row r="2346" spans="2:4">
      <c r="B2346" s="198" t="s">
        <v>3349</v>
      </c>
      <c r="C2346" s="154" t="s">
        <v>1522</v>
      </c>
      <c r="D2346" s="201" t="s">
        <v>1953</v>
      </c>
    </row>
    <row r="2347" spans="2:4">
      <c r="B2347" s="198" t="s">
        <v>3350</v>
      </c>
      <c r="C2347" s="154" t="s">
        <v>1522</v>
      </c>
      <c r="D2347" s="201" t="s">
        <v>1953</v>
      </c>
    </row>
    <row r="2348" spans="2:4">
      <c r="B2348" s="198" t="s">
        <v>3351</v>
      </c>
      <c r="C2348" s="154" t="s">
        <v>142</v>
      </c>
      <c r="D2348" s="201" t="s">
        <v>1954</v>
      </c>
    </row>
    <row r="2349" spans="2:4">
      <c r="B2349" s="198" t="s">
        <v>3352</v>
      </c>
      <c r="C2349" s="154" t="s">
        <v>1587</v>
      </c>
      <c r="D2349" s="201" t="s">
        <v>1958</v>
      </c>
    </row>
    <row r="2350" spans="2:4">
      <c r="B2350" s="198" t="s">
        <v>2584</v>
      </c>
      <c r="C2350" s="154" t="s">
        <v>3356</v>
      </c>
      <c r="D2350" s="201" t="s">
        <v>1951</v>
      </c>
    </row>
    <row r="2351" spans="2:4">
      <c r="B2351" s="198" t="s">
        <v>3353</v>
      </c>
      <c r="C2351" s="154" t="s">
        <v>3357</v>
      </c>
      <c r="D2351" s="201" t="s">
        <v>1951</v>
      </c>
    </row>
    <row r="2352" spans="2:4">
      <c r="B2352" s="198" t="s">
        <v>3354</v>
      </c>
      <c r="C2352" s="154" t="s">
        <v>3357</v>
      </c>
      <c r="D2352" s="201" t="s">
        <v>1951</v>
      </c>
    </row>
    <row r="2353" spans="2:4">
      <c r="B2353" s="198" t="s">
        <v>3358</v>
      </c>
      <c r="C2353" s="154" t="s">
        <v>3303</v>
      </c>
      <c r="D2353" s="201" t="s">
        <v>1958</v>
      </c>
    </row>
    <row r="2354" spans="2:4">
      <c r="B2354" s="198" t="s">
        <v>3359</v>
      </c>
      <c r="C2354" s="154" t="s">
        <v>149</v>
      </c>
      <c r="D2354" s="201" t="s">
        <v>1956</v>
      </c>
    </row>
    <row r="2355" spans="2:4">
      <c r="B2355" s="198" t="s">
        <v>3360</v>
      </c>
      <c r="C2355" s="154" t="s">
        <v>142</v>
      </c>
      <c r="D2355" s="201" t="s">
        <v>1954</v>
      </c>
    </row>
    <row r="2356" spans="2:4">
      <c r="B2356" s="198" t="s">
        <v>3361</v>
      </c>
      <c r="C2356" s="154" t="s">
        <v>1541</v>
      </c>
      <c r="D2356" s="201" t="s">
        <v>1955</v>
      </c>
    </row>
    <row r="2357" spans="2:4">
      <c r="B2357" s="198" t="s">
        <v>3362</v>
      </c>
      <c r="C2357" s="154" t="s">
        <v>142</v>
      </c>
      <c r="D2357" s="201" t="s">
        <v>1954</v>
      </c>
    </row>
    <row r="2358" spans="2:4">
      <c r="B2358" s="198" t="s">
        <v>3363</v>
      </c>
      <c r="C2358" s="154" t="s">
        <v>149</v>
      </c>
      <c r="D2358" s="201" t="s">
        <v>1956</v>
      </c>
    </row>
    <row r="2359" spans="2:4">
      <c r="B2359" s="198" t="s">
        <v>3364</v>
      </c>
      <c r="C2359" s="154" t="s">
        <v>1541</v>
      </c>
      <c r="D2359" s="201" t="s">
        <v>1955</v>
      </c>
    </row>
    <row r="2360" spans="2:4">
      <c r="B2360" s="198" t="s">
        <v>3365</v>
      </c>
      <c r="C2360" s="154" t="s">
        <v>1541</v>
      </c>
      <c r="D2360" s="201" t="s">
        <v>1955</v>
      </c>
    </row>
    <row r="2361" spans="2:4">
      <c r="B2361" s="198" t="s">
        <v>3366</v>
      </c>
      <c r="C2361" s="154" t="s">
        <v>142</v>
      </c>
      <c r="D2361" s="201" t="s">
        <v>1954</v>
      </c>
    </row>
    <row r="2362" spans="2:4">
      <c r="B2362" s="198" t="s">
        <v>3367</v>
      </c>
      <c r="C2362" s="154" t="s">
        <v>150</v>
      </c>
      <c r="D2362" s="201" t="s">
        <v>1951</v>
      </c>
    </row>
    <row r="2363" spans="2:4">
      <c r="B2363" s="198" t="s">
        <v>3368</v>
      </c>
      <c r="C2363" s="154" t="s">
        <v>1519</v>
      </c>
      <c r="D2363" s="201" t="s">
        <v>1951</v>
      </c>
    </row>
    <row r="2364" spans="2:4">
      <c r="B2364" s="198" t="s">
        <v>3369</v>
      </c>
      <c r="C2364" s="154" t="s">
        <v>142</v>
      </c>
      <c r="D2364" s="201" t="s">
        <v>1954</v>
      </c>
    </row>
    <row r="2365" spans="2:4">
      <c r="B2365" s="198" t="s">
        <v>3370</v>
      </c>
      <c r="C2365" s="154" t="s">
        <v>150</v>
      </c>
      <c r="D2365" s="201" t="s">
        <v>1951</v>
      </c>
    </row>
    <row r="2366" spans="2:4">
      <c r="B2366" s="198" t="s">
        <v>3371</v>
      </c>
      <c r="C2366" s="154" t="s">
        <v>1541</v>
      </c>
      <c r="D2366" s="201" t="s">
        <v>1955</v>
      </c>
    </row>
    <row r="2367" spans="2:4">
      <c r="B2367" s="198" t="s">
        <v>3372</v>
      </c>
      <c r="C2367" s="154" t="s">
        <v>1522</v>
      </c>
      <c r="D2367" s="201" t="s">
        <v>1953</v>
      </c>
    </row>
    <row r="2368" spans="2:4">
      <c r="B2368" s="198" t="s">
        <v>3373</v>
      </c>
      <c r="C2368" s="154" t="s">
        <v>1541</v>
      </c>
      <c r="D2368" s="201" t="s">
        <v>1955</v>
      </c>
    </row>
    <row r="2369" spans="2:4">
      <c r="B2369" s="198" t="s">
        <v>3374</v>
      </c>
      <c r="C2369" s="154" t="s">
        <v>1541</v>
      </c>
      <c r="D2369" s="201" t="s">
        <v>1955</v>
      </c>
    </row>
    <row r="2370" spans="2:4">
      <c r="B2370" s="198" t="s">
        <v>3375</v>
      </c>
      <c r="C2370" s="154" t="s">
        <v>1541</v>
      </c>
      <c r="D2370" s="201" t="s">
        <v>1955</v>
      </c>
    </row>
    <row r="2371" spans="2:4">
      <c r="B2371" s="198" t="s">
        <v>3376</v>
      </c>
      <c r="C2371" s="154" t="s">
        <v>150</v>
      </c>
      <c r="D2371" s="201" t="s">
        <v>1951</v>
      </c>
    </row>
    <row r="2372" spans="2:4">
      <c r="B2372" s="198" t="s">
        <v>3377</v>
      </c>
      <c r="C2372" s="154" t="s">
        <v>150</v>
      </c>
      <c r="D2372" s="201" t="s">
        <v>1951</v>
      </c>
    </row>
    <row r="2373" spans="2:4">
      <c r="B2373" s="198" t="s">
        <v>3378</v>
      </c>
      <c r="C2373" s="154" t="s">
        <v>150</v>
      </c>
      <c r="D2373" s="201" t="s">
        <v>1951</v>
      </c>
    </row>
    <row r="2374" spans="2:4">
      <c r="B2374" s="198" t="s">
        <v>3379</v>
      </c>
      <c r="C2374" s="154" t="s">
        <v>149</v>
      </c>
      <c r="D2374" s="201" t="s">
        <v>1956</v>
      </c>
    </row>
    <row r="2375" spans="2:4">
      <c r="B2375" s="198" t="s">
        <v>3380</v>
      </c>
      <c r="C2375" s="154" t="s">
        <v>1660</v>
      </c>
      <c r="D2375" s="201" t="s">
        <v>1951</v>
      </c>
    </row>
    <row r="2376" spans="2:4">
      <c r="B2376" s="198" t="s">
        <v>3381</v>
      </c>
      <c r="C2376" s="154" t="s">
        <v>149</v>
      </c>
      <c r="D2376" s="201" t="s">
        <v>1956</v>
      </c>
    </row>
    <row r="2377" spans="2:4">
      <c r="B2377" s="198" t="s">
        <v>3379</v>
      </c>
      <c r="C2377" s="154" t="s">
        <v>149</v>
      </c>
      <c r="D2377" s="201" t="s">
        <v>1956</v>
      </c>
    </row>
    <row r="2378" spans="2:4">
      <c r="B2378" s="198" t="s">
        <v>3382</v>
      </c>
      <c r="C2378" s="154" t="s">
        <v>1587</v>
      </c>
      <c r="D2378" s="201" t="s">
        <v>1958</v>
      </c>
    </row>
    <row r="2379" spans="2:4">
      <c r="B2379" s="198" t="s">
        <v>3383</v>
      </c>
      <c r="C2379" s="154" t="s">
        <v>1532</v>
      </c>
      <c r="D2379" s="201" t="s">
        <v>1958</v>
      </c>
    </row>
    <row r="2380" spans="2:4">
      <c r="B2380" s="198" t="s">
        <v>3384</v>
      </c>
      <c r="C2380" s="154" t="s">
        <v>1587</v>
      </c>
      <c r="D2380" s="201" t="s">
        <v>1958</v>
      </c>
    </row>
    <row r="2381" spans="2:4">
      <c r="B2381" s="198" t="s">
        <v>3385</v>
      </c>
      <c r="C2381" s="154" t="s">
        <v>1532</v>
      </c>
      <c r="D2381" s="201" t="s">
        <v>1958</v>
      </c>
    </row>
    <row r="2382" spans="2:4">
      <c r="B2382" s="198" t="s">
        <v>3386</v>
      </c>
      <c r="C2382" s="154" t="s">
        <v>1587</v>
      </c>
      <c r="D2382" s="201" t="s">
        <v>1958</v>
      </c>
    </row>
    <row r="2383" spans="2:4">
      <c r="B2383" s="198" t="s">
        <v>3387</v>
      </c>
      <c r="C2383" s="154" t="s">
        <v>1587</v>
      </c>
      <c r="D2383" s="201" t="s">
        <v>1958</v>
      </c>
    </row>
    <row r="2384" spans="2:4">
      <c r="B2384" s="198" t="s">
        <v>3388</v>
      </c>
      <c r="C2384" s="154" t="s">
        <v>1587</v>
      </c>
      <c r="D2384" s="201" t="s">
        <v>1958</v>
      </c>
    </row>
    <row r="2385" spans="2:4">
      <c r="B2385" s="198" t="s">
        <v>3389</v>
      </c>
      <c r="C2385" s="154" t="s">
        <v>1587</v>
      </c>
      <c r="D2385" s="201" t="s">
        <v>1958</v>
      </c>
    </row>
    <row r="2386" spans="2:4">
      <c r="B2386" s="198" t="s">
        <v>3390</v>
      </c>
      <c r="C2386" s="154" t="s">
        <v>1587</v>
      </c>
      <c r="D2386" s="201" t="s">
        <v>1958</v>
      </c>
    </row>
    <row r="2387" spans="2:4">
      <c r="B2387" s="198" t="s">
        <v>3391</v>
      </c>
      <c r="C2387" s="154" t="s">
        <v>1587</v>
      </c>
      <c r="D2387" s="201" t="s">
        <v>1958</v>
      </c>
    </row>
    <row r="2388" spans="2:4">
      <c r="B2388" s="198" t="s">
        <v>3392</v>
      </c>
      <c r="C2388" s="154" t="s">
        <v>1587</v>
      </c>
      <c r="D2388" s="201" t="s">
        <v>1958</v>
      </c>
    </row>
    <row r="2389" spans="2:4">
      <c r="B2389" s="198" t="s">
        <v>3393</v>
      </c>
      <c r="C2389" s="154" t="s">
        <v>1587</v>
      </c>
      <c r="D2389" s="201" t="s">
        <v>1958</v>
      </c>
    </row>
    <row r="2390" spans="2:4">
      <c r="B2390" s="198" t="s">
        <v>3394</v>
      </c>
      <c r="C2390" s="154" t="s">
        <v>1543</v>
      </c>
      <c r="D2390" s="201" t="s">
        <v>1955</v>
      </c>
    </row>
    <row r="2391" spans="2:4">
      <c r="B2391" s="198" t="s">
        <v>3395</v>
      </c>
      <c r="C2391" s="154" t="s">
        <v>3303</v>
      </c>
      <c r="D2391" s="201" t="s">
        <v>1958</v>
      </c>
    </row>
    <row r="2392" spans="2:4">
      <c r="B2392" s="198" t="s">
        <v>3396</v>
      </c>
      <c r="C2392" s="154" t="s">
        <v>1536</v>
      </c>
      <c r="D2392" s="201" t="s">
        <v>1953</v>
      </c>
    </row>
    <row r="2393" spans="2:4">
      <c r="B2393" s="198" t="s">
        <v>3397</v>
      </c>
      <c r="C2393" s="154" t="s">
        <v>1532</v>
      </c>
      <c r="D2393" s="201" t="s">
        <v>1958</v>
      </c>
    </row>
    <row r="2394" spans="2:4">
      <c r="B2394" s="198" t="s">
        <v>3398</v>
      </c>
      <c r="C2394" s="154" t="s">
        <v>1532</v>
      </c>
      <c r="D2394" s="201" t="s">
        <v>1958</v>
      </c>
    </row>
    <row r="2395" spans="2:4">
      <c r="B2395" s="198" t="s">
        <v>3399</v>
      </c>
      <c r="C2395" s="154" t="s">
        <v>1587</v>
      </c>
      <c r="D2395" s="201" t="s">
        <v>1958</v>
      </c>
    </row>
    <row r="2396" spans="2:4">
      <c r="B2396" s="198" t="s">
        <v>3400</v>
      </c>
      <c r="C2396" s="154" t="s">
        <v>1522</v>
      </c>
      <c r="D2396" s="201" t="s">
        <v>1953</v>
      </c>
    </row>
    <row r="2397" spans="2:4">
      <c r="B2397" s="198" t="s">
        <v>3401</v>
      </c>
      <c r="C2397" s="154" t="s">
        <v>1522</v>
      </c>
      <c r="D2397" s="201" t="s">
        <v>1953</v>
      </c>
    </row>
    <row r="2398" spans="2:4">
      <c r="B2398" s="198" t="s">
        <v>3402</v>
      </c>
      <c r="C2398" s="154" t="s">
        <v>1587</v>
      </c>
      <c r="D2398" s="201" t="s">
        <v>1958</v>
      </c>
    </row>
    <row r="2399" spans="2:4">
      <c r="B2399" s="198" t="s">
        <v>3403</v>
      </c>
      <c r="C2399" s="154" t="s">
        <v>150</v>
      </c>
      <c r="D2399" s="201" t="s">
        <v>1951</v>
      </c>
    </row>
    <row r="2400" spans="2:4">
      <c r="B2400" s="198" t="s">
        <v>3404</v>
      </c>
      <c r="C2400" s="154" t="s">
        <v>3420</v>
      </c>
      <c r="D2400" s="201" t="s">
        <v>1958</v>
      </c>
    </row>
    <row r="2401" spans="2:4">
      <c r="B2401" s="198" t="s">
        <v>3405</v>
      </c>
      <c r="C2401" s="153" t="s">
        <v>3421</v>
      </c>
      <c r="D2401" s="201" t="s">
        <v>1958</v>
      </c>
    </row>
    <row r="2402" spans="2:4">
      <c r="B2402" s="198" t="s">
        <v>3407</v>
      </c>
      <c r="C2402" s="191" t="s">
        <v>3406</v>
      </c>
      <c r="D2402" s="201" t="s">
        <v>1954</v>
      </c>
    </row>
    <row r="2403" spans="2:4">
      <c r="B2403" s="198" t="s">
        <v>3282</v>
      </c>
      <c r="C2403" s="191" t="s">
        <v>2913</v>
      </c>
      <c r="D2403" s="201" t="s">
        <v>1954</v>
      </c>
    </row>
    <row r="2404" spans="2:4">
      <c r="B2404" s="198" t="s">
        <v>3408</v>
      </c>
      <c r="C2404" s="154" t="s">
        <v>1560</v>
      </c>
      <c r="D2404" s="201" t="s">
        <v>1953</v>
      </c>
    </row>
    <row r="2405" spans="2:4">
      <c r="B2405" s="198" t="s">
        <v>3409</v>
      </c>
      <c r="C2405" s="154" t="s">
        <v>1560</v>
      </c>
      <c r="D2405" s="201" t="s">
        <v>1953</v>
      </c>
    </row>
    <row r="2406" spans="2:4">
      <c r="B2406" s="198" t="s">
        <v>3410</v>
      </c>
      <c r="C2406" s="154" t="s">
        <v>149</v>
      </c>
      <c r="D2406" s="201" t="s">
        <v>1956</v>
      </c>
    </row>
    <row r="2407" spans="2:4">
      <c r="B2407" s="198" t="s">
        <v>3411</v>
      </c>
      <c r="C2407" s="154" t="s">
        <v>1567</v>
      </c>
      <c r="D2407" s="201" t="s">
        <v>1953</v>
      </c>
    </row>
    <row r="2408" spans="2:4">
      <c r="B2408" s="198" t="s">
        <v>3412</v>
      </c>
      <c r="C2408" s="154" t="s">
        <v>3413</v>
      </c>
      <c r="D2408" s="201" t="s">
        <v>1953</v>
      </c>
    </row>
    <row r="2409" spans="2:4">
      <c r="B2409" s="198" t="s">
        <v>3414</v>
      </c>
      <c r="C2409" s="154" t="s">
        <v>1560</v>
      </c>
      <c r="D2409" s="201" t="s">
        <v>1953</v>
      </c>
    </row>
    <row r="2410" spans="2:4">
      <c r="B2410" s="198" t="s">
        <v>3415</v>
      </c>
      <c r="C2410" s="154" t="s">
        <v>3416</v>
      </c>
      <c r="D2410" s="201" t="s">
        <v>1953</v>
      </c>
    </row>
    <row r="2411" spans="2:4">
      <c r="B2411" s="198" t="s">
        <v>3417</v>
      </c>
      <c r="C2411" s="154" t="s">
        <v>1665</v>
      </c>
      <c r="D2411" s="201" t="s">
        <v>1951</v>
      </c>
    </row>
    <row r="2412" spans="2:4">
      <c r="B2412" s="198" t="s">
        <v>3418</v>
      </c>
      <c r="C2412" s="154" t="s">
        <v>3419</v>
      </c>
      <c r="D2412" s="201" t="s">
        <v>1953</v>
      </c>
    </row>
    <row r="2413" spans="2:4">
      <c r="B2413" s="198" t="s">
        <v>3422</v>
      </c>
      <c r="C2413" s="154" t="s">
        <v>149</v>
      </c>
      <c r="D2413" s="201" t="s">
        <v>1956</v>
      </c>
    </row>
    <row r="2414" spans="2:4">
      <c r="B2414" s="198" t="s">
        <v>3423</v>
      </c>
      <c r="C2414" s="154" t="s">
        <v>3315</v>
      </c>
      <c r="D2414" s="201" t="s">
        <v>1954</v>
      </c>
    </row>
    <row r="2415" spans="2:4">
      <c r="B2415" s="198" t="s">
        <v>3424</v>
      </c>
      <c r="C2415" s="154" t="s">
        <v>3435</v>
      </c>
      <c r="D2415" s="201" t="s">
        <v>1951</v>
      </c>
    </row>
    <row r="2416" spans="2:4">
      <c r="B2416" s="198" t="s">
        <v>3425</v>
      </c>
      <c r="C2416" s="154" t="s">
        <v>3436</v>
      </c>
      <c r="D2416" s="201" t="s">
        <v>1952</v>
      </c>
    </row>
    <row r="2417" spans="2:4">
      <c r="B2417" s="198" t="s">
        <v>3426</v>
      </c>
      <c r="C2417" s="154" t="s">
        <v>3091</v>
      </c>
      <c r="D2417" s="201" t="s">
        <v>1960</v>
      </c>
    </row>
    <row r="2418" spans="2:4">
      <c r="B2418" s="198" t="s">
        <v>3427</v>
      </c>
      <c r="C2418" s="154" t="s">
        <v>3440</v>
      </c>
      <c r="D2418" s="201" t="s">
        <v>1958</v>
      </c>
    </row>
    <row r="2419" spans="2:4">
      <c r="B2419" s="198" t="s">
        <v>3428</v>
      </c>
      <c r="C2419" s="154" t="s">
        <v>3437</v>
      </c>
      <c r="D2419" s="201" t="s">
        <v>1951</v>
      </c>
    </row>
    <row r="2420" spans="2:4">
      <c r="B2420" s="198" t="s">
        <v>3429</v>
      </c>
      <c r="C2420" s="154" t="s">
        <v>3441</v>
      </c>
      <c r="D2420" s="201" t="s">
        <v>1960</v>
      </c>
    </row>
    <row r="2421" spans="2:4">
      <c r="B2421" s="198" t="s">
        <v>3430</v>
      </c>
      <c r="C2421" s="154" t="s">
        <v>3318</v>
      </c>
      <c r="D2421" s="201" t="s">
        <v>1951</v>
      </c>
    </row>
    <row r="2422" spans="2:4">
      <c r="B2422" s="198" t="s">
        <v>3431</v>
      </c>
      <c r="C2422" s="154" t="s">
        <v>3438</v>
      </c>
      <c r="D2422" s="201" t="s">
        <v>1956</v>
      </c>
    </row>
    <row r="2423" spans="2:4">
      <c r="B2423" s="198" t="s">
        <v>3432</v>
      </c>
      <c r="C2423" s="154" t="s">
        <v>3318</v>
      </c>
      <c r="D2423" s="201" t="s">
        <v>1951</v>
      </c>
    </row>
    <row r="2424" spans="2:4">
      <c r="B2424" s="198" t="s">
        <v>3433</v>
      </c>
      <c r="C2424" s="154" t="s">
        <v>3439</v>
      </c>
      <c r="D2424" s="201" t="s">
        <v>1951</v>
      </c>
    </row>
    <row r="2425" spans="2:4">
      <c r="B2425" s="198" t="s">
        <v>3434</v>
      </c>
      <c r="C2425" s="154" t="s">
        <v>3419</v>
      </c>
      <c r="D2425" s="201" t="s">
        <v>1953</v>
      </c>
    </row>
    <row r="2426" spans="2:4">
      <c r="B2426" s="198" t="s">
        <v>3442</v>
      </c>
      <c r="C2426" s="154" t="s">
        <v>150</v>
      </c>
      <c r="D2426" s="201" t="s">
        <v>1951</v>
      </c>
    </row>
    <row r="2427" spans="2:4">
      <c r="B2427" s="198" t="s">
        <v>3443</v>
      </c>
      <c r="C2427" s="154" t="s">
        <v>150</v>
      </c>
      <c r="D2427" s="201" t="s">
        <v>1951</v>
      </c>
    </row>
    <row r="2428" spans="2:4">
      <c r="B2428" s="198" t="s">
        <v>3444</v>
      </c>
      <c r="C2428" s="154" t="s">
        <v>3446</v>
      </c>
      <c r="D2428" s="201" t="s">
        <v>1955</v>
      </c>
    </row>
    <row r="2429" spans="2:4">
      <c r="B2429" s="198" t="s">
        <v>3445</v>
      </c>
      <c r="C2429" s="154" t="s">
        <v>3445</v>
      </c>
      <c r="D2429" s="201" t="s">
        <v>1956</v>
      </c>
    </row>
    <row r="2430" spans="2:4">
      <c r="B2430" s="198" t="s">
        <v>3447</v>
      </c>
      <c r="C2430" s="154" t="s">
        <v>3450</v>
      </c>
      <c r="D2430" s="201" t="s">
        <v>1959</v>
      </c>
    </row>
    <row r="2431" spans="2:4">
      <c r="B2431" s="198" t="s">
        <v>3448</v>
      </c>
      <c r="C2431" s="154" t="s">
        <v>3449</v>
      </c>
      <c r="D2431" s="201" t="s">
        <v>1951</v>
      </c>
    </row>
    <row r="2432" spans="2:4">
      <c r="B2432" s="198" t="s">
        <v>3451</v>
      </c>
      <c r="C2432" s="154" t="s">
        <v>1522</v>
      </c>
      <c r="D2432" s="201" t="s">
        <v>1953</v>
      </c>
    </row>
    <row r="2433" spans="2:4">
      <c r="B2433" s="198" t="s">
        <v>3453</v>
      </c>
      <c r="C2433" s="191" t="s">
        <v>149</v>
      </c>
      <c r="D2433" s="201" t="s">
        <v>1956</v>
      </c>
    </row>
    <row r="2434" spans="2:4">
      <c r="B2434" s="198" t="s">
        <v>3454</v>
      </c>
      <c r="C2434" s="191" t="s">
        <v>149</v>
      </c>
      <c r="D2434" s="201" t="s">
        <v>1956</v>
      </c>
    </row>
    <row r="2435" spans="2:4">
      <c r="B2435" s="198" t="s">
        <v>3455</v>
      </c>
      <c r="C2435" s="154" t="s">
        <v>1641</v>
      </c>
      <c r="D2435" s="201" t="s">
        <v>1958</v>
      </c>
    </row>
    <row r="2436" spans="2:4">
      <c r="B2436" s="198" t="s">
        <v>3456</v>
      </c>
      <c r="C2436" s="154" t="s">
        <v>3458</v>
      </c>
      <c r="D2436" s="201" t="s">
        <v>1957</v>
      </c>
    </row>
    <row r="2437" spans="2:4">
      <c r="B2437" s="198" t="s">
        <v>3457</v>
      </c>
      <c r="C2437" s="154" t="s">
        <v>2205</v>
      </c>
      <c r="D2437" s="201" t="s">
        <v>2216</v>
      </c>
    </row>
    <row r="2438" spans="2:4">
      <c r="B2438" s="198" t="s">
        <v>3459</v>
      </c>
      <c r="C2438" s="153" t="s">
        <v>3446</v>
      </c>
      <c r="D2438" s="201" t="s">
        <v>1955</v>
      </c>
    </row>
    <row r="2439" spans="2:4">
      <c r="B2439" s="198" t="s">
        <v>3460</v>
      </c>
      <c r="C2439" s="154" t="s">
        <v>3465</v>
      </c>
      <c r="D2439" s="201" t="s">
        <v>1951</v>
      </c>
    </row>
    <row r="2440" spans="2:4">
      <c r="B2440" s="198" t="s">
        <v>3461</v>
      </c>
      <c r="C2440" s="154" t="s">
        <v>3466</v>
      </c>
      <c r="D2440" s="201" t="s">
        <v>1953</v>
      </c>
    </row>
    <row r="2441" spans="2:4">
      <c r="B2441" s="198" t="s">
        <v>3462</v>
      </c>
      <c r="C2441" s="154" t="s">
        <v>3419</v>
      </c>
      <c r="D2441" s="201" t="s">
        <v>1953</v>
      </c>
    </row>
    <row r="2442" spans="2:4">
      <c r="B2442" s="198" t="s">
        <v>3463</v>
      </c>
      <c r="C2442" s="154" t="s">
        <v>3756</v>
      </c>
      <c r="D2442" s="201" t="s">
        <v>2216</v>
      </c>
    </row>
    <row r="2443" spans="2:4">
      <c r="B2443" s="198" t="s">
        <v>3464</v>
      </c>
      <c r="C2443" s="154" t="s">
        <v>3091</v>
      </c>
      <c r="D2443" s="201" t="s">
        <v>1960</v>
      </c>
    </row>
    <row r="2444" spans="2:4">
      <c r="B2444" s="198" t="s">
        <v>3468</v>
      </c>
      <c r="C2444" s="154" t="s">
        <v>149</v>
      </c>
      <c r="D2444" s="201" t="s">
        <v>1956</v>
      </c>
    </row>
    <row r="2445" spans="2:4">
      <c r="B2445" s="198" t="s">
        <v>3469</v>
      </c>
      <c r="C2445" s="154" t="s">
        <v>142</v>
      </c>
      <c r="D2445" s="201" t="s">
        <v>1954</v>
      </c>
    </row>
    <row r="2446" spans="2:4">
      <c r="B2446" s="198" t="s">
        <v>3470</v>
      </c>
      <c r="C2446" s="154" t="s">
        <v>1541</v>
      </c>
      <c r="D2446" s="201" t="s">
        <v>1955</v>
      </c>
    </row>
    <row r="2447" spans="2:4">
      <c r="B2447" s="198" t="s">
        <v>3471</v>
      </c>
      <c r="C2447" s="154" t="s">
        <v>1532</v>
      </c>
      <c r="D2447" s="201" t="s">
        <v>1958</v>
      </c>
    </row>
    <row r="2448" spans="2:4">
      <c r="B2448" s="198" t="s">
        <v>3472</v>
      </c>
      <c r="C2448" s="154" t="s">
        <v>1532</v>
      </c>
      <c r="D2448" s="201" t="s">
        <v>1958</v>
      </c>
    </row>
    <row r="2449" spans="2:4">
      <c r="B2449" s="198" t="s">
        <v>3473</v>
      </c>
      <c r="C2449" s="154" t="s">
        <v>1595</v>
      </c>
      <c r="D2449" s="201" t="s">
        <v>1956</v>
      </c>
    </row>
    <row r="2450" spans="2:4">
      <c r="B2450" s="198" t="s">
        <v>3474</v>
      </c>
      <c r="C2450" s="154" t="s">
        <v>149</v>
      </c>
      <c r="D2450" s="201" t="s">
        <v>1956</v>
      </c>
    </row>
    <row r="2451" spans="2:4">
      <c r="B2451" s="198" t="s">
        <v>3475</v>
      </c>
      <c r="C2451" s="154" t="s">
        <v>1587</v>
      </c>
      <c r="D2451" s="201" t="s">
        <v>1958</v>
      </c>
    </row>
    <row r="2452" spans="2:4">
      <c r="B2452" s="198" t="s">
        <v>3476</v>
      </c>
      <c r="C2452" s="191" t="s">
        <v>1532</v>
      </c>
      <c r="D2452" s="201" t="s">
        <v>1958</v>
      </c>
    </row>
    <row r="2453" spans="2:4">
      <c r="B2453" s="198" t="s">
        <v>3477</v>
      </c>
      <c r="C2453" s="154" t="s">
        <v>1587</v>
      </c>
      <c r="D2453" s="201" t="s">
        <v>1958</v>
      </c>
    </row>
    <row r="2454" spans="2:4">
      <c r="B2454" s="198" t="s">
        <v>3478</v>
      </c>
      <c r="C2454" s="154" t="s">
        <v>1587</v>
      </c>
      <c r="D2454" s="201" t="s">
        <v>1958</v>
      </c>
    </row>
    <row r="2455" spans="2:4">
      <c r="B2455" s="198" t="s">
        <v>3479</v>
      </c>
      <c r="C2455" s="154" t="s">
        <v>3081</v>
      </c>
      <c r="D2455" s="201" t="s">
        <v>1957</v>
      </c>
    </row>
    <row r="2456" spans="2:4">
      <c r="B2456" s="198" t="s">
        <v>3480</v>
      </c>
      <c r="C2456" s="154" t="s">
        <v>3483</v>
      </c>
      <c r="D2456" s="201" t="s">
        <v>1956</v>
      </c>
    </row>
    <row r="2457" spans="2:4">
      <c r="B2457" s="198" t="s">
        <v>3481</v>
      </c>
      <c r="C2457" s="154" t="s">
        <v>3484</v>
      </c>
      <c r="D2457" s="201" t="s">
        <v>1954</v>
      </c>
    </row>
    <row r="2458" spans="2:4">
      <c r="B2458" s="198" t="s">
        <v>3482</v>
      </c>
      <c r="C2458" s="154" t="s">
        <v>3485</v>
      </c>
      <c r="D2458" s="201" t="s">
        <v>1951</v>
      </c>
    </row>
    <row r="2459" spans="2:4">
      <c r="B2459" s="198" t="s">
        <v>3486</v>
      </c>
      <c r="C2459" s="154" t="s">
        <v>3450</v>
      </c>
      <c r="D2459" s="201" t="s">
        <v>1959</v>
      </c>
    </row>
    <row r="2460" spans="2:4">
      <c r="B2460" s="198" t="s">
        <v>3487</v>
      </c>
      <c r="C2460" s="154" t="s">
        <v>1615</v>
      </c>
      <c r="D2460" s="201" t="s">
        <v>1955</v>
      </c>
    </row>
    <row r="2461" spans="2:4">
      <c r="B2461" s="198" t="s">
        <v>3488</v>
      </c>
      <c r="C2461" s="154" t="s">
        <v>1806</v>
      </c>
      <c r="D2461" s="201" t="s">
        <v>1954</v>
      </c>
    </row>
    <row r="2462" spans="2:4">
      <c r="B2462" s="198" t="s">
        <v>3489</v>
      </c>
      <c r="C2462" s="154" t="s">
        <v>1587</v>
      </c>
      <c r="D2462" s="201" t="s">
        <v>1958</v>
      </c>
    </row>
    <row r="2463" spans="2:4">
      <c r="B2463" s="198" t="s">
        <v>3490</v>
      </c>
      <c r="C2463" s="154" t="s">
        <v>1587</v>
      </c>
      <c r="D2463" s="201" t="s">
        <v>1958</v>
      </c>
    </row>
    <row r="2464" spans="2:4">
      <c r="B2464" s="198" t="s">
        <v>3491</v>
      </c>
      <c r="C2464" s="154" t="s">
        <v>1587</v>
      </c>
      <c r="D2464" s="201" t="s">
        <v>1958</v>
      </c>
    </row>
    <row r="2465" spans="2:4">
      <c r="B2465" s="198" t="s">
        <v>3492</v>
      </c>
      <c r="C2465" s="154" t="s">
        <v>1587</v>
      </c>
      <c r="D2465" s="201" t="s">
        <v>1958</v>
      </c>
    </row>
    <row r="2466" spans="2:4">
      <c r="B2466" s="198" t="s">
        <v>3493</v>
      </c>
      <c r="C2466" s="154" t="s">
        <v>1522</v>
      </c>
      <c r="D2466" s="201" t="s">
        <v>1953</v>
      </c>
    </row>
    <row r="2467" spans="2:4">
      <c r="B2467" s="198" t="s">
        <v>3494</v>
      </c>
      <c r="C2467" s="154" t="s">
        <v>1522</v>
      </c>
      <c r="D2467" s="201" t="s">
        <v>1953</v>
      </c>
    </row>
    <row r="2468" spans="2:4">
      <c r="B2468" s="198" t="s">
        <v>3495</v>
      </c>
      <c r="C2468" s="154" t="s">
        <v>149</v>
      </c>
      <c r="D2468" s="201" t="s">
        <v>1956</v>
      </c>
    </row>
    <row r="2469" spans="2:4">
      <c r="B2469" s="198" t="s">
        <v>3496</v>
      </c>
      <c r="C2469" s="154" t="s">
        <v>1532</v>
      </c>
      <c r="D2469" s="201" t="s">
        <v>1958</v>
      </c>
    </row>
    <row r="2470" spans="2:4">
      <c r="B2470" s="198" t="s">
        <v>3497</v>
      </c>
      <c r="C2470" s="154" t="s">
        <v>1517</v>
      </c>
      <c r="D2470" s="201" t="s">
        <v>1956</v>
      </c>
    </row>
    <row r="2471" spans="2:4">
      <c r="B2471" s="198" t="s">
        <v>3498</v>
      </c>
      <c r="C2471" s="154" t="s">
        <v>1587</v>
      </c>
      <c r="D2471" s="201" t="s">
        <v>1958</v>
      </c>
    </row>
    <row r="2472" spans="2:4">
      <c r="B2472" s="198" t="s">
        <v>3499</v>
      </c>
      <c r="C2472" s="154" t="s">
        <v>1587</v>
      </c>
      <c r="D2472" s="201" t="s">
        <v>1958</v>
      </c>
    </row>
    <row r="2473" spans="2:4">
      <c r="B2473" s="198" t="s">
        <v>3500</v>
      </c>
      <c r="C2473" s="154" t="s">
        <v>1532</v>
      </c>
      <c r="D2473" s="201" t="s">
        <v>1958</v>
      </c>
    </row>
    <row r="2474" spans="2:4">
      <c r="B2474" s="198" t="s">
        <v>3501</v>
      </c>
      <c r="C2474" s="154" t="s">
        <v>1587</v>
      </c>
      <c r="D2474" s="201" t="s">
        <v>1958</v>
      </c>
    </row>
    <row r="2475" spans="2:4">
      <c r="B2475" s="198" t="s">
        <v>3502</v>
      </c>
      <c r="C2475" s="154" t="s">
        <v>1587</v>
      </c>
      <c r="D2475" s="201" t="s">
        <v>1958</v>
      </c>
    </row>
    <row r="2476" spans="2:4">
      <c r="B2476" s="198" t="s">
        <v>3503</v>
      </c>
      <c r="C2476" s="154" t="s">
        <v>3539</v>
      </c>
      <c r="D2476" s="201" t="s">
        <v>1956</v>
      </c>
    </row>
    <row r="2477" spans="2:4">
      <c r="B2477" s="198" t="s">
        <v>3504</v>
      </c>
      <c r="C2477" s="154" t="s">
        <v>3311</v>
      </c>
      <c r="D2477" s="201" t="s">
        <v>1951</v>
      </c>
    </row>
    <row r="2478" spans="2:4">
      <c r="B2478" s="198" t="s">
        <v>3505</v>
      </c>
      <c r="C2478" s="154" t="s">
        <v>3543</v>
      </c>
      <c r="D2478" s="201" t="s">
        <v>1959</v>
      </c>
    </row>
    <row r="2479" spans="2:4">
      <c r="B2479" s="198" t="s">
        <v>3506</v>
      </c>
      <c r="C2479" s="154" t="s">
        <v>1587</v>
      </c>
      <c r="D2479" s="201" t="s">
        <v>1958</v>
      </c>
    </row>
    <row r="2480" spans="2:4">
      <c r="B2480" s="198" t="s">
        <v>3507</v>
      </c>
      <c r="C2480" s="154" t="s">
        <v>150</v>
      </c>
      <c r="D2480" s="201" t="s">
        <v>1951</v>
      </c>
    </row>
    <row r="2481" spans="2:4">
      <c r="B2481" s="198" t="s">
        <v>3508</v>
      </c>
      <c r="C2481" s="154" t="s">
        <v>150</v>
      </c>
      <c r="D2481" s="201" t="s">
        <v>1951</v>
      </c>
    </row>
    <row r="2482" spans="2:4">
      <c r="B2482" s="198" t="s">
        <v>3509</v>
      </c>
      <c r="C2482" s="154" t="s">
        <v>150</v>
      </c>
      <c r="D2482" s="201" t="s">
        <v>1951</v>
      </c>
    </row>
    <row r="2483" spans="2:4">
      <c r="B2483" s="198" t="s">
        <v>3510</v>
      </c>
      <c r="C2483" s="154" t="s">
        <v>3446</v>
      </c>
      <c r="D2483" s="201" t="s">
        <v>1955</v>
      </c>
    </row>
    <row r="2484" spans="2:4">
      <c r="B2484" s="198" t="s">
        <v>3511</v>
      </c>
      <c r="C2484" s="154" t="s">
        <v>3081</v>
      </c>
      <c r="D2484" s="201" t="s">
        <v>1957</v>
      </c>
    </row>
    <row r="2485" spans="2:4">
      <c r="B2485" s="198" t="s">
        <v>3512</v>
      </c>
      <c r="C2485" s="154" t="s">
        <v>3544</v>
      </c>
      <c r="D2485" s="201" t="s">
        <v>1958</v>
      </c>
    </row>
    <row r="2486" spans="2:4">
      <c r="B2486" s="198" t="s">
        <v>3513</v>
      </c>
      <c r="C2486" s="154" t="s">
        <v>3544</v>
      </c>
      <c r="D2486" s="201" t="s">
        <v>1958</v>
      </c>
    </row>
    <row r="2487" spans="2:4">
      <c r="B2487" s="198" t="s">
        <v>3514</v>
      </c>
      <c r="C2487" s="154" t="s">
        <v>3540</v>
      </c>
      <c r="D2487" s="201"/>
    </row>
    <row r="2488" spans="2:4">
      <c r="B2488" s="198" t="s">
        <v>3515</v>
      </c>
      <c r="C2488" s="154" t="s">
        <v>3138</v>
      </c>
      <c r="D2488" s="201" t="s">
        <v>1956</v>
      </c>
    </row>
    <row r="2489" spans="2:4">
      <c r="B2489" s="198" t="s">
        <v>3516</v>
      </c>
      <c r="C2489" s="154" t="s">
        <v>1519</v>
      </c>
      <c r="D2489" s="201" t="s">
        <v>1951</v>
      </c>
    </row>
    <row r="2490" spans="2:4">
      <c r="B2490" s="198" t="s">
        <v>3517</v>
      </c>
      <c r="C2490" s="154" t="s">
        <v>142</v>
      </c>
      <c r="D2490" s="201" t="s">
        <v>1954</v>
      </c>
    </row>
    <row r="2491" spans="2:4">
      <c r="B2491" s="198" t="s">
        <v>3518</v>
      </c>
      <c r="C2491" s="154" t="s">
        <v>142</v>
      </c>
      <c r="D2491" s="201" t="s">
        <v>1954</v>
      </c>
    </row>
    <row r="2492" spans="2:4">
      <c r="B2492" s="198" t="s">
        <v>3519</v>
      </c>
      <c r="C2492" s="154" t="s">
        <v>142</v>
      </c>
      <c r="D2492" s="201" t="s">
        <v>1954</v>
      </c>
    </row>
    <row r="2493" spans="2:4">
      <c r="B2493" s="198" t="s">
        <v>3520</v>
      </c>
      <c r="C2493" s="154" t="s">
        <v>150</v>
      </c>
      <c r="D2493" s="201" t="s">
        <v>1951</v>
      </c>
    </row>
    <row r="2494" spans="2:4">
      <c r="B2494" s="198" t="s">
        <v>3521</v>
      </c>
      <c r="C2494" s="154" t="s">
        <v>149</v>
      </c>
      <c r="D2494" s="201" t="s">
        <v>1956</v>
      </c>
    </row>
    <row r="2495" spans="2:4">
      <c r="B2495" s="198" t="s">
        <v>3522</v>
      </c>
      <c r="C2495" s="154" t="s">
        <v>149</v>
      </c>
      <c r="D2495" s="201" t="s">
        <v>1956</v>
      </c>
    </row>
    <row r="2496" spans="2:4">
      <c r="B2496" s="198" t="s">
        <v>3523</v>
      </c>
      <c r="C2496" s="154" t="s">
        <v>149</v>
      </c>
      <c r="D2496" s="201" t="s">
        <v>1956</v>
      </c>
    </row>
    <row r="2497" spans="2:4">
      <c r="B2497" s="198" t="s">
        <v>3524</v>
      </c>
      <c r="C2497" s="154" t="s">
        <v>1532</v>
      </c>
      <c r="D2497" s="201" t="s">
        <v>1958</v>
      </c>
    </row>
    <row r="2498" spans="2:4">
      <c r="B2498" s="198" t="s">
        <v>3525</v>
      </c>
      <c r="C2498" s="154" t="s">
        <v>149</v>
      </c>
      <c r="D2498" s="201" t="s">
        <v>1956</v>
      </c>
    </row>
    <row r="2499" spans="2:4">
      <c r="B2499" s="198" t="s">
        <v>3545</v>
      </c>
      <c r="C2499" s="154" t="s">
        <v>3081</v>
      </c>
      <c r="D2499" s="201" t="s">
        <v>1957</v>
      </c>
    </row>
    <row r="2500" spans="2:4">
      <c r="B2500" s="198" t="s">
        <v>3546</v>
      </c>
      <c r="C2500" s="154" t="s">
        <v>3547</v>
      </c>
      <c r="D2500" s="201" t="s">
        <v>2220</v>
      </c>
    </row>
    <row r="2501" spans="2:4">
      <c r="B2501" s="198" t="s">
        <v>3526</v>
      </c>
      <c r="C2501" s="154" t="s">
        <v>1532</v>
      </c>
      <c r="D2501" s="201" t="s">
        <v>1958</v>
      </c>
    </row>
    <row r="2502" spans="2:4">
      <c r="B2502" s="198" t="s">
        <v>3527</v>
      </c>
      <c r="C2502" s="154" t="s">
        <v>1587</v>
      </c>
      <c r="D2502" s="201" t="s">
        <v>1958</v>
      </c>
    </row>
    <row r="2503" spans="2:4">
      <c r="B2503" s="198" t="s">
        <v>3528</v>
      </c>
      <c r="C2503" s="154" t="s">
        <v>1590</v>
      </c>
      <c r="D2503" s="201" t="s">
        <v>1958</v>
      </c>
    </row>
    <row r="2504" spans="2:4">
      <c r="B2504" s="198" t="s">
        <v>3529</v>
      </c>
      <c r="C2504" s="154" t="s">
        <v>1532</v>
      </c>
      <c r="D2504" s="201" t="s">
        <v>1958</v>
      </c>
    </row>
    <row r="2505" spans="2:4">
      <c r="B2505" s="198" t="s">
        <v>3530</v>
      </c>
      <c r="C2505" s="154" t="s">
        <v>1587</v>
      </c>
      <c r="D2505" s="201" t="s">
        <v>1958</v>
      </c>
    </row>
    <row r="2506" spans="2:4">
      <c r="B2506" s="198" t="s">
        <v>3531</v>
      </c>
      <c r="C2506" s="154" t="s">
        <v>1587</v>
      </c>
      <c r="D2506" s="201" t="s">
        <v>1958</v>
      </c>
    </row>
    <row r="2507" spans="2:4">
      <c r="B2507" s="198" t="s">
        <v>3532</v>
      </c>
      <c r="C2507" s="154" t="s">
        <v>1587</v>
      </c>
      <c r="D2507" s="201" t="s">
        <v>1958</v>
      </c>
    </row>
    <row r="2508" spans="2:4" ht="15" customHeight="1">
      <c r="B2508" s="198" t="s">
        <v>3533</v>
      </c>
      <c r="C2508" s="154" t="s">
        <v>150</v>
      </c>
      <c r="D2508" s="201" t="s">
        <v>1951</v>
      </c>
    </row>
    <row r="2509" spans="2:4" ht="15" customHeight="1">
      <c r="B2509" s="198" t="s">
        <v>3534</v>
      </c>
      <c r="C2509" s="154" t="s">
        <v>1532</v>
      </c>
      <c r="D2509" s="201" t="s">
        <v>1958</v>
      </c>
    </row>
    <row r="2510" spans="2:4" ht="15" customHeight="1">
      <c r="B2510" s="198" t="s">
        <v>3535</v>
      </c>
      <c r="C2510" s="154" t="s">
        <v>1698</v>
      </c>
      <c r="D2510" s="201" t="s">
        <v>1954</v>
      </c>
    </row>
    <row r="2511" spans="2:4" ht="15" customHeight="1">
      <c r="B2511" s="198" t="s">
        <v>3536</v>
      </c>
      <c r="C2511" s="154" t="s">
        <v>3541</v>
      </c>
      <c r="D2511" s="201" t="s">
        <v>1954</v>
      </c>
    </row>
    <row r="2512" spans="2:4" ht="15" customHeight="1">
      <c r="B2512" s="198" t="s">
        <v>3548</v>
      </c>
      <c r="C2512" s="154" t="s">
        <v>1641</v>
      </c>
      <c r="D2512" s="201" t="s">
        <v>1958</v>
      </c>
    </row>
    <row r="2513" spans="2:4" ht="15" customHeight="1">
      <c r="B2513" s="198" t="s">
        <v>3549</v>
      </c>
      <c r="C2513" s="154" t="s">
        <v>3204</v>
      </c>
      <c r="D2513" s="201" t="s">
        <v>1958</v>
      </c>
    </row>
    <row r="2514" spans="2:4" ht="15" customHeight="1">
      <c r="B2514" s="198" t="s">
        <v>3550</v>
      </c>
      <c r="C2514" s="154" t="s">
        <v>3204</v>
      </c>
      <c r="D2514" s="201" t="s">
        <v>1958</v>
      </c>
    </row>
    <row r="2515" spans="2:4" ht="15" customHeight="1">
      <c r="B2515" s="198" t="s">
        <v>3551</v>
      </c>
      <c r="C2515" s="154" t="s">
        <v>1522</v>
      </c>
      <c r="D2515" s="201" t="s">
        <v>1953</v>
      </c>
    </row>
    <row r="2516" spans="2:4" ht="15" customHeight="1">
      <c r="B2516" s="198" t="s">
        <v>3552</v>
      </c>
      <c r="C2516" s="154" t="s">
        <v>1587</v>
      </c>
      <c r="D2516" s="201" t="s">
        <v>1958</v>
      </c>
    </row>
    <row r="2517" spans="2:4" ht="15" customHeight="1">
      <c r="B2517" s="198" t="s">
        <v>3553</v>
      </c>
      <c r="C2517" s="154" t="s">
        <v>1522</v>
      </c>
      <c r="D2517" s="201" t="s">
        <v>1953</v>
      </c>
    </row>
    <row r="2518" spans="2:4" ht="15" customHeight="1">
      <c r="B2518" s="198" t="s">
        <v>3554</v>
      </c>
      <c r="C2518" s="154" t="s">
        <v>1587</v>
      </c>
      <c r="D2518" s="201" t="s">
        <v>1958</v>
      </c>
    </row>
    <row r="2519" spans="2:4" ht="15" customHeight="1">
      <c r="B2519" s="198" t="s">
        <v>3555</v>
      </c>
      <c r="C2519" s="154" t="s">
        <v>150</v>
      </c>
      <c r="D2519" s="201" t="s">
        <v>1951</v>
      </c>
    </row>
    <row r="2520" spans="2:4" ht="15" customHeight="1">
      <c r="B2520" s="198" t="s">
        <v>3556</v>
      </c>
      <c r="C2520" s="154" t="s">
        <v>150</v>
      </c>
      <c r="D2520" s="201" t="s">
        <v>1951</v>
      </c>
    </row>
    <row r="2521" spans="2:4" ht="15" customHeight="1">
      <c r="B2521" s="198" t="s">
        <v>3557</v>
      </c>
      <c r="C2521" s="154" t="s">
        <v>150</v>
      </c>
      <c r="D2521" s="201" t="s">
        <v>1951</v>
      </c>
    </row>
    <row r="2522" spans="2:4" ht="15" customHeight="1">
      <c r="B2522" s="198" t="s">
        <v>3558</v>
      </c>
      <c r="C2522" s="154" t="s">
        <v>1587</v>
      </c>
      <c r="D2522" s="201" t="s">
        <v>1958</v>
      </c>
    </row>
    <row r="2523" spans="2:4" ht="15" customHeight="1">
      <c r="B2523" s="198" t="s">
        <v>3559</v>
      </c>
      <c r="C2523" s="154" t="s">
        <v>1522</v>
      </c>
      <c r="D2523" s="201" t="s">
        <v>1953</v>
      </c>
    </row>
    <row r="2524" spans="2:4" ht="15" customHeight="1">
      <c r="B2524" s="198" t="s">
        <v>3560</v>
      </c>
      <c r="C2524" s="154" t="s">
        <v>1522</v>
      </c>
      <c r="D2524" s="201" t="s">
        <v>1953</v>
      </c>
    </row>
    <row r="2525" spans="2:4" ht="15" customHeight="1">
      <c r="B2525" s="198" t="s">
        <v>3561</v>
      </c>
      <c r="C2525" s="154" t="s">
        <v>150</v>
      </c>
      <c r="D2525" s="201" t="s">
        <v>1951</v>
      </c>
    </row>
    <row r="2526" spans="2:4" ht="15" customHeight="1">
      <c r="B2526" s="198" t="s">
        <v>3562</v>
      </c>
      <c r="C2526" s="154" t="s">
        <v>1587</v>
      </c>
      <c r="D2526" s="201" t="s">
        <v>1958</v>
      </c>
    </row>
    <row r="2527" spans="2:4" ht="15" customHeight="1">
      <c r="B2527" s="198" t="s">
        <v>3563</v>
      </c>
      <c r="C2527" s="154" t="s">
        <v>153</v>
      </c>
      <c r="D2527" s="201" t="s">
        <v>1951</v>
      </c>
    </row>
    <row r="2528" spans="2:4" ht="15" customHeight="1">
      <c r="B2528" s="198" t="s">
        <v>3564</v>
      </c>
      <c r="C2528" s="154" t="s">
        <v>3547</v>
      </c>
      <c r="D2528" s="201" t="s">
        <v>2220</v>
      </c>
    </row>
    <row r="2529" spans="2:4" ht="15" customHeight="1">
      <c r="B2529" s="198" t="s">
        <v>3565</v>
      </c>
      <c r="C2529" s="154" t="s">
        <v>3566</v>
      </c>
      <c r="D2529" s="201" t="s">
        <v>1954</v>
      </c>
    </row>
    <row r="2530" spans="2:4" ht="15" customHeight="1">
      <c r="B2530" s="198" t="s">
        <v>3537</v>
      </c>
      <c r="C2530" s="154" t="s">
        <v>3542</v>
      </c>
      <c r="D2530" s="201" t="s">
        <v>1956</v>
      </c>
    </row>
    <row r="2531" spans="2:4" ht="15" customHeight="1">
      <c r="B2531" s="198"/>
      <c r="C2531" s="154"/>
      <c r="D2531" s="201"/>
    </row>
    <row r="2532" spans="2:4" ht="15" customHeight="1">
      <c r="B2532" s="198" t="s">
        <v>3567</v>
      </c>
      <c r="C2532" s="154" t="s">
        <v>1587</v>
      </c>
      <c r="D2532" s="201" t="s">
        <v>1958</v>
      </c>
    </row>
    <row r="2533" spans="2:4" ht="15" customHeight="1">
      <c r="B2533" s="198" t="s">
        <v>3568</v>
      </c>
      <c r="C2533" s="154" t="s">
        <v>149</v>
      </c>
      <c r="D2533" s="201" t="s">
        <v>1956</v>
      </c>
    </row>
    <row r="2534" spans="2:4" ht="15" customHeight="1">
      <c r="B2534" s="198" t="s">
        <v>3569</v>
      </c>
      <c r="C2534" s="154" t="s">
        <v>150</v>
      </c>
      <c r="D2534" s="201" t="s">
        <v>1951</v>
      </c>
    </row>
    <row r="2535" spans="2:4" ht="15" customHeight="1">
      <c r="B2535" s="198" t="s">
        <v>3570</v>
      </c>
      <c r="C2535" s="154" t="s">
        <v>1920</v>
      </c>
      <c r="D2535" s="201" t="s">
        <v>1953</v>
      </c>
    </row>
    <row r="2536" spans="2:4" ht="15" customHeight="1">
      <c r="B2536" s="198" t="s">
        <v>3571</v>
      </c>
      <c r="C2536" s="154" t="s">
        <v>1587</v>
      </c>
      <c r="D2536" s="201" t="s">
        <v>1958</v>
      </c>
    </row>
    <row r="2537" spans="2:4" ht="15" customHeight="1">
      <c r="B2537" s="198" t="s">
        <v>3572</v>
      </c>
      <c r="C2537" s="154" t="s">
        <v>150</v>
      </c>
      <c r="D2537" s="201" t="s">
        <v>1951</v>
      </c>
    </row>
    <row r="2538" spans="2:4" ht="15" customHeight="1">
      <c r="B2538" s="198" t="s">
        <v>3574</v>
      </c>
      <c r="C2538" s="154" t="s">
        <v>3483</v>
      </c>
      <c r="D2538" s="201" t="s">
        <v>1956</v>
      </c>
    </row>
    <row r="2539" spans="2:4" ht="15" customHeight="1">
      <c r="B2539" s="198" t="s">
        <v>3575</v>
      </c>
      <c r="C2539" s="154" t="s">
        <v>3593</v>
      </c>
      <c r="D2539" s="201" t="s">
        <v>1952</v>
      </c>
    </row>
    <row r="2540" spans="2:4" ht="15" customHeight="1">
      <c r="B2540" s="198" t="s">
        <v>3576</v>
      </c>
      <c r="C2540" s="154" t="s">
        <v>2941</v>
      </c>
      <c r="D2540" s="201" t="s">
        <v>1958</v>
      </c>
    </row>
    <row r="2541" spans="2:4" ht="15" customHeight="1">
      <c r="B2541" s="198" t="s">
        <v>3577</v>
      </c>
      <c r="C2541" s="154" t="s">
        <v>3446</v>
      </c>
      <c r="D2541" s="201" t="s">
        <v>1955</v>
      </c>
    </row>
    <row r="2542" spans="2:4" ht="15" customHeight="1">
      <c r="B2542" s="198" t="s">
        <v>3578</v>
      </c>
      <c r="C2542" s="154" t="s">
        <v>3594</v>
      </c>
      <c r="D2542" s="201" t="s">
        <v>1954</v>
      </c>
    </row>
    <row r="2543" spans="2:4" ht="15" customHeight="1">
      <c r="B2543" s="198" t="s">
        <v>3579</v>
      </c>
      <c r="C2543" s="154" t="s">
        <v>3595</v>
      </c>
      <c r="D2543" s="201" t="s">
        <v>1951</v>
      </c>
    </row>
    <row r="2544" spans="2:4" ht="15" customHeight="1">
      <c r="B2544" s="198" t="s">
        <v>3580</v>
      </c>
      <c r="C2544" s="154" t="s">
        <v>3596</v>
      </c>
      <c r="D2544" s="201" t="s">
        <v>1951</v>
      </c>
    </row>
    <row r="2545" spans="2:4" ht="15" customHeight="1">
      <c r="B2545" s="198" t="s">
        <v>3581</v>
      </c>
      <c r="C2545" s="154" t="s">
        <v>3597</v>
      </c>
      <c r="D2545" s="201" t="s">
        <v>1951</v>
      </c>
    </row>
    <row r="2546" spans="2:4" ht="15" customHeight="1">
      <c r="B2546" s="198" t="s">
        <v>3582</v>
      </c>
      <c r="C2546" s="154" t="s">
        <v>3598</v>
      </c>
      <c r="D2546" s="201" t="s">
        <v>1951</v>
      </c>
    </row>
    <row r="2547" spans="2:4" ht="15" customHeight="1">
      <c r="B2547" s="198" t="s">
        <v>3583</v>
      </c>
      <c r="C2547" s="154" t="s">
        <v>3465</v>
      </c>
      <c r="D2547" s="201" t="s">
        <v>1951</v>
      </c>
    </row>
    <row r="2548" spans="2:4" ht="15" customHeight="1">
      <c r="B2548" s="198" t="s">
        <v>3584</v>
      </c>
      <c r="C2548" s="154" t="s">
        <v>3313</v>
      </c>
      <c r="D2548" s="201" t="s">
        <v>1951</v>
      </c>
    </row>
    <row r="2549" spans="2:4" ht="15" customHeight="1">
      <c r="B2549" s="198" t="s">
        <v>3585</v>
      </c>
      <c r="C2549" s="154" t="s">
        <v>3419</v>
      </c>
      <c r="D2549" s="201" t="s">
        <v>1953</v>
      </c>
    </row>
    <row r="2550" spans="2:4" ht="15" customHeight="1">
      <c r="B2550" s="198" t="s">
        <v>3586</v>
      </c>
      <c r="C2550" s="154" t="s">
        <v>3446</v>
      </c>
      <c r="D2550" s="201" t="s">
        <v>1955</v>
      </c>
    </row>
    <row r="2551" spans="2:4" ht="15" customHeight="1">
      <c r="B2551" s="198" t="s">
        <v>3587</v>
      </c>
      <c r="C2551" s="154" t="s">
        <v>3419</v>
      </c>
      <c r="D2551" s="201" t="s">
        <v>1953</v>
      </c>
    </row>
    <row r="2552" spans="2:4" ht="15" customHeight="1">
      <c r="B2552" s="198" t="s">
        <v>3588</v>
      </c>
      <c r="C2552" s="154" t="s">
        <v>3419</v>
      </c>
      <c r="D2552" s="201" t="s">
        <v>1953</v>
      </c>
    </row>
    <row r="2553" spans="2:4" ht="15" customHeight="1">
      <c r="B2553" s="198" t="s">
        <v>3589</v>
      </c>
      <c r="C2553" s="154" t="s">
        <v>1522</v>
      </c>
      <c r="D2553" s="201" t="s">
        <v>1953</v>
      </c>
    </row>
    <row r="2554" spans="2:4" ht="15" customHeight="1">
      <c r="B2554" s="198"/>
      <c r="C2554" s="154"/>
      <c r="D2554" s="201"/>
    </row>
    <row r="2555" spans="2:4" ht="15" customHeight="1">
      <c r="B2555" s="198" t="s">
        <v>3591</v>
      </c>
      <c r="C2555" s="154" t="s">
        <v>3600</v>
      </c>
      <c r="D2555" s="201" t="s">
        <v>1951</v>
      </c>
    </row>
    <row r="2556" spans="2:4" ht="15" customHeight="1">
      <c r="B2556" s="198" t="s">
        <v>3592</v>
      </c>
      <c r="C2556" s="154" t="s">
        <v>3599</v>
      </c>
      <c r="D2556" s="201" t="s">
        <v>1956</v>
      </c>
    </row>
    <row r="2557" spans="2:4" ht="15" customHeight="1">
      <c r="B2557" s="198" t="s">
        <v>3601</v>
      </c>
      <c r="C2557" s="154" t="s">
        <v>3436</v>
      </c>
      <c r="D2557" s="201" t="s">
        <v>1952</v>
      </c>
    </row>
    <row r="2558" spans="2:4" ht="15" customHeight="1">
      <c r="B2558" s="198" t="s">
        <v>3602</v>
      </c>
      <c r="C2558" s="154" t="s">
        <v>3081</v>
      </c>
      <c r="D2558" s="201" t="s">
        <v>1957</v>
      </c>
    </row>
    <row r="2559" spans="2:4" ht="15" customHeight="1">
      <c r="B2559" s="198" t="s">
        <v>3603</v>
      </c>
      <c r="C2559" s="154" t="s">
        <v>3604</v>
      </c>
      <c r="D2559" s="201" t="s">
        <v>1953</v>
      </c>
    </row>
    <row r="2560" spans="2:4" ht="15" customHeight="1">
      <c r="B2560" s="198" t="s">
        <v>3605</v>
      </c>
      <c r="C2560" s="154" t="s">
        <v>150</v>
      </c>
      <c r="D2560" s="201" t="s">
        <v>1951</v>
      </c>
    </row>
    <row r="2561" spans="2:4" ht="15" customHeight="1">
      <c r="B2561" s="198" t="s">
        <v>3606</v>
      </c>
      <c r="C2561" s="154" t="s">
        <v>150</v>
      </c>
      <c r="D2561" s="201" t="s">
        <v>1951</v>
      </c>
    </row>
    <row r="2562" spans="2:4" ht="15" customHeight="1">
      <c r="B2562" s="198" t="s">
        <v>3607</v>
      </c>
      <c r="C2562" s="154" t="s">
        <v>3081</v>
      </c>
      <c r="D2562" s="201" t="s">
        <v>1957</v>
      </c>
    </row>
    <row r="2563" spans="2:4" ht="15" customHeight="1">
      <c r="B2563" s="198" t="s">
        <v>3608</v>
      </c>
      <c r="C2563" s="154" t="s">
        <v>3081</v>
      </c>
      <c r="D2563" s="201" t="s">
        <v>1957</v>
      </c>
    </row>
    <row r="2564" spans="2:4" ht="15" customHeight="1">
      <c r="B2564" s="198" t="s">
        <v>3609</v>
      </c>
      <c r="C2564" s="154" t="s">
        <v>3081</v>
      </c>
      <c r="D2564" s="201" t="s">
        <v>1957</v>
      </c>
    </row>
    <row r="2565" spans="2:4" ht="15" customHeight="1">
      <c r="B2565" s="198" t="s">
        <v>3610</v>
      </c>
      <c r="C2565" s="154" t="s">
        <v>1513</v>
      </c>
      <c r="D2565" s="201" t="s">
        <v>1956</v>
      </c>
    </row>
    <row r="2566" spans="2:4" ht="15" customHeight="1">
      <c r="B2566" s="198" t="s">
        <v>3612</v>
      </c>
      <c r="C2566" s="154" t="s">
        <v>1641</v>
      </c>
      <c r="D2566" s="201" t="s">
        <v>1958</v>
      </c>
    </row>
    <row r="2567" spans="2:4" ht="15" customHeight="1">
      <c r="B2567" s="198" t="s">
        <v>3611</v>
      </c>
      <c r="C2567" s="154" t="s">
        <v>1641</v>
      </c>
      <c r="D2567" s="201" t="s">
        <v>1958</v>
      </c>
    </row>
    <row r="2568" spans="2:4" ht="15" customHeight="1">
      <c r="B2568" s="198" t="s">
        <v>3613</v>
      </c>
      <c r="C2568" s="154" t="s">
        <v>1641</v>
      </c>
      <c r="D2568" s="201" t="s">
        <v>1958</v>
      </c>
    </row>
    <row r="2569" spans="2:4" ht="15" customHeight="1">
      <c r="B2569" s="198" t="s">
        <v>3614</v>
      </c>
      <c r="C2569" s="154" t="s">
        <v>1590</v>
      </c>
      <c r="D2569" s="201" t="s">
        <v>1958</v>
      </c>
    </row>
    <row r="2570" spans="2:4" ht="15" customHeight="1">
      <c r="B2570" s="198" t="s">
        <v>3615</v>
      </c>
      <c r="C2570" s="154" t="s">
        <v>1587</v>
      </c>
      <c r="D2570" s="201" t="s">
        <v>1958</v>
      </c>
    </row>
    <row r="2571" spans="2:4" ht="15" customHeight="1">
      <c r="B2571" s="198" t="s">
        <v>3616</v>
      </c>
      <c r="C2571" s="154" t="s">
        <v>1641</v>
      </c>
      <c r="D2571" s="201" t="s">
        <v>1958</v>
      </c>
    </row>
    <row r="2572" spans="2:4" ht="15" customHeight="1">
      <c r="B2572" s="198" t="s">
        <v>3617</v>
      </c>
      <c r="C2572" s="154" t="s">
        <v>1587</v>
      </c>
      <c r="D2572" s="201" t="s">
        <v>1958</v>
      </c>
    </row>
    <row r="2573" spans="2:4" ht="15" customHeight="1">
      <c r="B2573" s="198" t="s">
        <v>3618</v>
      </c>
      <c r="C2573" s="154" t="s">
        <v>1587</v>
      </c>
      <c r="D2573" s="201" t="s">
        <v>1958</v>
      </c>
    </row>
    <row r="2574" spans="2:4" ht="15" customHeight="1">
      <c r="B2574" s="198" t="s">
        <v>3619</v>
      </c>
      <c r="C2574" s="154" t="s">
        <v>1587</v>
      </c>
      <c r="D2574" s="201" t="s">
        <v>1958</v>
      </c>
    </row>
    <row r="2575" spans="2:4" ht="15" customHeight="1">
      <c r="B2575" s="198" t="s">
        <v>3620</v>
      </c>
      <c r="C2575" s="154" t="s">
        <v>1587</v>
      </c>
      <c r="D2575" s="201" t="s">
        <v>1958</v>
      </c>
    </row>
    <row r="2576" spans="2:4" ht="15" customHeight="1">
      <c r="B2576" s="198" t="s">
        <v>3621</v>
      </c>
      <c r="C2576" s="154" t="s">
        <v>1587</v>
      </c>
      <c r="D2576" s="201" t="s">
        <v>1958</v>
      </c>
    </row>
    <row r="2577" spans="2:4" ht="15" customHeight="1">
      <c r="B2577" s="198" t="s">
        <v>3622</v>
      </c>
      <c r="C2577" s="154" t="s">
        <v>1587</v>
      </c>
      <c r="D2577" s="201" t="s">
        <v>1958</v>
      </c>
    </row>
    <row r="2578" spans="2:4" ht="15" customHeight="1">
      <c r="B2578" s="198" t="s">
        <v>3623</v>
      </c>
      <c r="C2578" s="154" t="s">
        <v>1587</v>
      </c>
      <c r="D2578" s="201" t="s">
        <v>1958</v>
      </c>
    </row>
    <row r="2579" spans="2:4" ht="15" customHeight="1">
      <c r="B2579" s="198" t="s">
        <v>3624</v>
      </c>
      <c r="C2579" s="154" t="s">
        <v>3658</v>
      </c>
      <c r="D2579" s="201" t="s">
        <v>1955</v>
      </c>
    </row>
    <row r="2580" spans="2:4" ht="15" customHeight="1">
      <c r="B2580" s="198" t="s">
        <v>3625</v>
      </c>
      <c r="C2580" s="154" t="s">
        <v>3659</v>
      </c>
      <c r="D2580" s="201" t="s">
        <v>1954</v>
      </c>
    </row>
    <row r="2581" spans="2:4" ht="15" customHeight="1">
      <c r="B2581" s="198" t="s">
        <v>3626</v>
      </c>
      <c r="C2581" s="154" t="s">
        <v>3660</v>
      </c>
      <c r="D2581" s="201" t="s">
        <v>1954</v>
      </c>
    </row>
    <row r="2582" spans="2:4" ht="15" customHeight="1">
      <c r="B2582" s="198" t="s">
        <v>3627</v>
      </c>
      <c r="C2582" s="154" t="s">
        <v>3446</v>
      </c>
      <c r="D2582" s="201" t="s">
        <v>1955</v>
      </c>
    </row>
    <row r="2583" spans="2:4" ht="15" customHeight="1">
      <c r="B2583" s="198" t="s">
        <v>3628</v>
      </c>
      <c r="C2583" s="154" t="s">
        <v>3446</v>
      </c>
      <c r="D2583" s="201" t="s">
        <v>1955</v>
      </c>
    </row>
    <row r="2584" spans="2:4" ht="15" customHeight="1">
      <c r="B2584" s="198" t="s">
        <v>3629</v>
      </c>
      <c r="C2584" s="154" t="s">
        <v>3446</v>
      </c>
      <c r="D2584" s="201" t="s">
        <v>1955</v>
      </c>
    </row>
    <row r="2585" spans="2:4" ht="15" customHeight="1">
      <c r="B2585" s="198" t="s">
        <v>3630</v>
      </c>
      <c r="C2585" s="154" t="s">
        <v>3661</v>
      </c>
      <c r="D2585" s="201" t="s">
        <v>1955</v>
      </c>
    </row>
    <row r="2586" spans="2:4" ht="15" customHeight="1">
      <c r="B2586" s="198" t="s">
        <v>3631</v>
      </c>
      <c r="C2586" s="154" t="s">
        <v>3315</v>
      </c>
      <c r="D2586" s="201" t="s">
        <v>1954</v>
      </c>
    </row>
    <row r="2587" spans="2:4" ht="15" customHeight="1">
      <c r="B2587" s="198" t="s">
        <v>3632</v>
      </c>
      <c r="C2587" s="154" t="s">
        <v>3446</v>
      </c>
      <c r="D2587" s="201" t="s">
        <v>1955</v>
      </c>
    </row>
    <row r="2588" spans="2:4" ht="15" customHeight="1">
      <c r="B2588" s="198" t="s">
        <v>3633</v>
      </c>
      <c r="C2588" s="154" t="s">
        <v>1522</v>
      </c>
      <c r="D2588" s="201" t="s">
        <v>1953</v>
      </c>
    </row>
    <row r="2589" spans="2:4" ht="15" customHeight="1">
      <c r="B2589" s="198" t="s">
        <v>3634</v>
      </c>
      <c r="C2589" s="154" t="s">
        <v>1522</v>
      </c>
      <c r="D2589" s="201" t="s">
        <v>1953</v>
      </c>
    </row>
    <row r="2590" spans="2:4" ht="15" customHeight="1">
      <c r="B2590" s="198" t="s">
        <v>3635</v>
      </c>
      <c r="C2590" s="154" t="s">
        <v>1522</v>
      </c>
      <c r="D2590" s="201" t="s">
        <v>1953</v>
      </c>
    </row>
    <row r="2591" spans="2:4" ht="15" customHeight="1">
      <c r="B2591" s="198" t="s">
        <v>3636</v>
      </c>
      <c r="C2591" s="154" t="s">
        <v>1522</v>
      </c>
      <c r="D2591" s="201" t="s">
        <v>1953</v>
      </c>
    </row>
    <row r="2592" spans="2:4" ht="15" customHeight="1">
      <c r="B2592" s="198" t="s">
        <v>3637</v>
      </c>
      <c r="C2592" s="154" t="s">
        <v>1522</v>
      </c>
      <c r="D2592" s="201" t="s">
        <v>1953</v>
      </c>
    </row>
    <row r="2593" spans="2:4" ht="15" customHeight="1">
      <c r="B2593" s="198" t="s">
        <v>3638</v>
      </c>
      <c r="C2593" s="154" t="s">
        <v>1644</v>
      </c>
      <c r="D2593" s="201" t="s">
        <v>1959</v>
      </c>
    </row>
    <row r="2594" spans="2:4" ht="15" customHeight="1">
      <c r="B2594" s="198" t="s">
        <v>3639</v>
      </c>
      <c r="C2594" s="154" t="s">
        <v>1852</v>
      </c>
      <c r="D2594" s="201" t="s">
        <v>1953</v>
      </c>
    </row>
    <row r="2595" spans="2:4" ht="15" customHeight="1">
      <c r="B2595" s="198" t="s">
        <v>3640</v>
      </c>
      <c r="C2595" s="154" t="s">
        <v>1641</v>
      </c>
      <c r="D2595" s="201" t="s">
        <v>1958</v>
      </c>
    </row>
    <row r="2596" spans="2:4" ht="15" customHeight="1">
      <c r="B2596" s="198" t="s">
        <v>3641</v>
      </c>
      <c r="C2596" s="154" t="s">
        <v>3419</v>
      </c>
      <c r="D2596" s="201" t="s">
        <v>1953</v>
      </c>
    </row>
    <row r="2597" spans="2:4" ht="15" customHeight="1">
      <c r="B2597" s="198" t="s">
        <v>3642</v>
      </c>
      <c r="C2597" s="154" t="s">
        <v>149</v>
      </c>
      <c r="D2597" s="201" t="s">
        <v>1956</v>
      </c>
    </row>
    <row r="2598" spans="2:4" ht="15" customHeight="1">
      <c r="B2598" s="198" t="s">
        <v>3643</v>
      </c>
      <c r="C2598" s="154" t="s">
        <v>3662</v>
      </c>
      <c r="D2598" s="201" t="s">
        <v>1953</v>
      </c>
    </row>
    <row r="2599" spans="2:4" ht="15" customHeight="1">
      <c r="B2599" s="198" t="s">
        <v>3644</v>
      </c>
      <c r="C2599" s="154" t="s">
        <v>3663</v>
      </c>
      <c r="D2599" s="201" t="s">
        <v>1956</v>
      </c>
    </row>
    <row r="2600" spans="2:4" ht="15" customHeight="1">
      <c r="B2600" s="198" t="s">
        <v>3645</v>
      </c>
      <c r="C2600" s="154" t="s">
        <v>142</v>
      </c>
      <c r="D2600" s="201" t="s">
        <v>1954</v>
      </c>
    </row>
    <row r="2601" spans="2:4" ht="15" customHeight="1">
      <c r="B2601" s="198" t="s">
        <v>3646</v>
      </c>
      <c r="C2601" s="154" t="s">
        <v>142</v>
      </c>
      <c r="D2601" s="201" t="s">
        <v>1954</v>
      </c>
    </row>
    <row r="2602" spans="2:4" ht="15" customHeight="1">
      <c r="B2602" s="198" t="s">
        <v>3647</v>
      </c>
      <c r="C2602" s="154" t="s">
        <v>1587</v>
      </c>
      <c r="D2602" s="201" t="s">
        <v>1958</v>
      </c>
    </row>
    <row r="2603" spans="2:4" ht="15" customHeight="1">
      <c r="B2603" s="198" t="s">
        <v>3648</v>
      </c>
      <c r="C2603" s="154" t="s">
        <v>150</v>
      </c>
      <c r="D2603" s="201" t="s">
        <v>1951</v>
      </c>
    </row>
    <row r="2604" spans="2:4" ht="15" customHeight="1">
      <c r="B2604" s="198" t="s">
        <v>3649</v>
      </c>
      <c r="C2604" s="154" t="s">
        <v>142</v>
      </c>
      <c r="D2604" s="201" t="s">
        <v>1954</v>
      </c>
    </row>
    <row r="2605" spans="2:4" ht="15" customHeight="1">
      <c r="B2605" s="198" t="s">
        <v>3650</v>
      </c>
      <c r="C2605" s="154" t="s">
        <v>142</v>
      </c>
      <c r="D2605" s="201" t="s">
        <v>1954</v>
      </c>
    </row>
    <row r="2606" spans="2:4" ht="15" customHeight="1">
      <c r="B2606" s="198" t="s">
        <v>3651</v>
      </c>
      <c r="C2606" s="154" t="s">
        <v>3664</v>
      </c>
      <c r="D2606" s="201" t="s">
        <v>1952</v>
      </c>
    </row>
    <row r="2607" spans="2:4" ht="15" customHeight="1">
      <c r="B2607" s="198" t="s">
        <v>3652</v>
      </c>
      <c r="C2607" s="154" t="s">
        <v>3665</v>
      </c>
      <c r="D2607" s="201" t="s">
        <v>1956</v>
      </c>
    </row>
    <row r="2608" spans="2:4" ht="15" customHeight="1">
      <c r="B2608" s="198" t="s">
        <v>3653</v>
      </c>
      <c r="C2608" s="154" t="s">
        <v>3467</v>
      </c>
      <c r="D2608" s="201" t="s">
        <v>1951</v>
      </c>
    </row>
    <row r="2609" spans="2:4" ht="15" customHeight="1">
      <c r="B2609" s="198" t="s">
        <v>3656</v>
      </c>
      <c r="C2609" s="154" t="s">
        <v>3419</v>
      </c>
      <c r="D2609" s="201" t="s">
        <v>1953</v>
      </c>
    </row>
    <row r="2610" spans="2:4" ht="15" customHeight="1">
      <c r="B2610" s="198" t="s">
        <v>3657</v>
      </c>
      <c r="C2610" s="154" t="s">
        <v>3667</v>
      </c>
      <c r="D2610" s="201" t="s">
        <v>1958</v>
      </c>
    </row>
    <row r="2611" spans="2:4" ht="15" customHeight="1">
      <c r="B2611" s="198" t="s">
        <v>3654</v>
      </c>
      <c r="C2611" s="154" t="s">
        <v>3313</v>
      </c>
      <c r="D2611" s="201" t="s">
        <v>1951</v>
      </c>
    </row>
    <row r="2612" spans="2:4" ht="15" customHeight="1">
      <c r="B2612" s="198" t="s">
        <v>3655</v>
      </c>
      <c r="C2612" s="154" t="s">
        <v>3666</v>
      </c>
      <c r="D2612" s="201" t="s">
        <v>1956</v>
      </c>
    </row>
    <row r="2613" spans="2:4" ht="15" customHeight="1">
      <c r="B2613" s="198" t="s">
        <v>3668</v>
      </c>
      <c r="C2613" s="154" t="s">
        <v>3081</v>
      </c>
      <c r="D2613" s="201" t="s">
        <v>1957</v>
      </c>
    </row>
    <row r="2614" spans="2:4" ht="15" customHeight="1">
      <c r="B2614" s="198" t="s">
        <v>3669</v>
      </c>
      <c r="C2614" s="154" t="s">
        <v>3081</v>
      </c>
      <c r="D2614" s="201" t="s">
        <v>1957</v>
      </c>
    </row>
    <row r="2615" spans="2:4" ht="15" customHeight="1">
      <c r="B2615" s="198" t="s">
        <v>3670</v>
      </c>
      <c r="C2615" s="154" t="s">
        <v>3081</v>
      </c>
      <c r="D2615" s="201" t="s">
        <v>1957</v>
      </c>
    </row>
    <row r="2616" spans="2:4" ht="15" customHeight="1">
      <c r="B2616" s="198" t="s">
        <v>3671</v>
      </c>
      <c r="C2616" s="154" t="s">
        <v>1891</v>
      </c>
      <c r="D2616" s="201" t="s">
        <v>1956</v>
      </c>
    </row>
    <row r="2617" spans="2:4" ht="15" customHeight="1">
      <c r="B2617" s="198" t="s">
        <v>3672</v>
      </c>
      <c r="C2617" s="154" t="s">
        <v>1641</v>
      </c>
      <c r="D2617" s="201" t="s">
        <v>1958</v>
      </c>
    </row>
    <row r="2618" spans="2:4" ht="15" customHeight="1">
      <c r="B2618" s="198" t="s">
        <v>3673</v>
      </c>
      <c r="C2618" s="154" t="s">
        <v>1587</v>
      </c>
      <c r="D2618" s="201" t="s">
        <v>1958</v>
      </c>
    </row>
    <row r="2619" spans="2:4" ht="15" customHeight="1">
      <c r="B2619" s="198" t="s">
        <v>3674</v>
      </c>
      <c r="C2619" s="154" t="s">
        <v>1587</v>
      </c>
      <c r="D2619" s="201" t="s">
        <v>1958</v>
      </c>
    </row>
    <row r="2620" spans="2:4" ht="15" customHeight="1">
      <c r="B2620" s="198" t="s">
        <v>3675</v>
      </c>
      <c r="C2620" s="154" t="s">
        <v>1587</v>
      </c>
      <c r="D2620" s="201" t="s">
        <v>1958</v>
      </c>
    </row>
    <row r="2621" spans="2:4" ht="15" customHeight="1">
      <c r="B2621" s="198" t="s">
        <v>3676</v>
      </c>
      <c r="C2621" s="154" t="s">
        <v>1587</v>
      </c>
      <c r="D2621" s="201" t="s">
        <v>1958</v>
      </c>
    </row>
    <row r="2622" spans="2:4" ht="15" customHeight="1">
      <c r="B2622" s="198" t="s">
        <v>3677</v>
      </c>
      <c r="C2622" s="154" t="s">
        <v>1587</v>
      </c>
      <c r="D2622" s="201" t="s">
        <v>1958</v>
      </c>
    </row>
    <row r="2623" spans="2:4" ht="15" customHeight="1">
      <c r="B2623" s="198" t="s">
        <v>3678</v>
      </c>
      <c r="C2623" s="154" t="s">
        <v>1587</v>
      </c>
      <c r="D2623" s="201" t="s">
        <v>1958</v>
      </c>
    </row>
    <row r="2624" spans="2:4" ht="15" customHeight="1">
      <c r="B2624" s="198" t="s">
        <v>3679</v>
      </c>
      <c r="C2624" s="154" t="s">
        <v>149</v>
      </c>
      <c r="D2624" s="201" t="s">
        <v>1956</v>
      </c>
    </row>
    <row r="2625" spans="2:4" ht="15" customHeight="1">
      <c r="B2625" s="198" t="s">
        <v>3680</v>
      </c>
      <c r="C2625" s="154" t="s">
        <v>1641</v>
      </c>
      <c r="D2625" s="201" t="s">
        <v>1958</v>
      </c>
    </row>
    <row r="2626" spans="2:4" ht="15" customHeight="1">
      <c r="B2626" s="198" t="s">
        <v>3681</v>
      </c>
      <c r="C2626" s="154" t="s">
        <v>1587</v>
      </c>
      <c r="D2626" s="201" t="s">
        <v>1958</v>
      </c>
    </row>
    <row r="2627" spans="2:4" ht="15" customHeight="1">
      <c r="B2627" s="198" t="s">
        <v>3682</v>
      </c>
      <c r="C2627" s="154" t="s">
        <v>1641</v>
      </c>
      <c r="D2627" s="201" t="s">
        <v>1958</v>
      </c>
    </row>
    <row r="2628" spans="2:4" ht="15" customHeight="1">
      <c r="B2628" s="198" t="s">
        <v>3683</v>
      </c>
      <c r="C2628" s="154" t="s">
        <v>150</v>
      </c>
      <c r="D2628" s="201" t="s">
        <v>1951</v>
      </c>
    </row>
    <row r="2629" spans="2:4" ht="15" customHeight="1">
      <c r="B2629" s="198" t="s">
        <v>3684</v>
      </c>
      <c r="C2629" s="154" t="s">
        <v>2932</v>
      </c>
      <c r="D2629" s="201" t="s">
        <v>1956</v>
      </c>
    </row>
    <row r="2630" spans="2:4" ht="15" customHeight="1">
      <c r="B2630" s="198" t="s">
        <v>3685</v>
      </c>
      <c r="C2630" s="154" t="s">
        <v>1587</v>
      </c>
      <c r="D2630" s="201" t="s">
        <v>1958</v>
      </c>
    </row>
    <row r="2631" spans="2:4" ht="15" customHeight="1">
      <c r="B2631" s="198" t="s">
        <v>3686</v>
      </c>
      <c r="C2631" s="154" t="s">
        <v>1587</v>
      </c>
      <c r="D2631" s="201" t="s">
        <v>1958</v>
      </c>
    </row>
    <row r="2632" spans="2:4" ht="15" customHeight="1">
      <c r="B2632" s="198" t="s">
        <v>3687</v>
      </c>
      <c r="C2632" s="154" t="s">
        <v>1641</v>
      </c>
      <c r="D2632" s="201" t="s">
        <v>1958</v>
      </c>
    </row>
    <row r="2633" spans="2:4" ht="15" customHeight="1">
      <c r="B2633" s="198" t="s">
        <v>3688</v>
      </c>
      <c r="C2633" s="154" t="s">
        <v>1557</v>
      </c>
      <c r="D2633" s="201" t="s">
        <v>1958</v>
      </c>
    </row>
    <row r="2634" spans="2:4" ht="15" customHeight="1">
      <c r="B2634" s="198" t="s">
        <v>3689</v>
      </c>
      <c r="C2634" s="154" t="s">
        <v>150</v>
      </c>
      <c r="D2634" s="201" t="s">
        <v>1951</v>
      </c>
    </row>
    <row r="2635" spans="2:4" ht="15" customHeight="1">
      <c r="B2635" s="198" t="s">
        <v>3690</v>
      </c>
      <c r="C2635" s="154" t="s">
        <v>142</v>
      </c>
      <c r="D2635" s="201" t="s">
        <v>1954</v>
      </c>
    </row>
    <row r="2636" spans="2:4" ht="15" customHeight="1">
      <c r="B2636" s="198" t="s">
        <v>3691</v>
      </c>
      <c r="C2636" s="154" t="s">
        <v>1631</v>
      </c>
      <c r="D2636" s="201" t="s">
        <v>1951</v>
      </c>
    </row>
    <row r="2637" spans="2:4" ht="15" customHeight="1">
      <c r="B2637" s="198" t="s">
        <v>3692</v>
      </c>
      <c r="C2637" s="154" t="s">
        <v>1511</v>
      </c>
      <c r="D2637" s="201" t="s">
        <v>1951</v>
      </c>
    </row>
    <row r="2638" spans="2:4" ht="15" customHeight="1">
      <c r="B2638" s="198" t="s">
        <v>3693</v>
      </c>
      <c r="C2638" s="154" t="s">
        <v>150</v>
      </c>
      <c r="D2638" s="201" t="s">
        <v>1951</v>
      </c>
    </row>
    <row r="2639" spans="2:4" ht="15" customHeight="1">
      <c r="B2639" s="198" t="s">
        <v>3694</v>
      </c>
      <c r="C2639" s="154" t="s">
        <v>1631</v>
      </c>
      <c r="D2639" s="201" t="s">
        <v>1951</v>
      </c>
    </row>
    <row r="2640" spans="2:4" ht="15" customHeight="1">
      <c r="B2640" s="198" t="s">
        <v>3695</v>
      </c>
      <c r="C2640" s="154" t="s">
        <v>1631</v>
      </c>
      <c r="D2640" s="201" t="s">
        <v>1951</v>
      </c>
    </row>
    <row r="2641" spans="2:4" ht="15" customHeight="1">
      <c r="B2641" s="198" t="s">
        <v>3696</v>
      </c>
      <c r="C2641" s="154" t="s">
        <v>1631</v>
      </c>
      <c r="D2641" s="201" t="s">
        <v>1951</v>
      </c>
    </row>
    <row r="2642" spans="2:4" ht="15" customHeight="1">
      <c r="B2642" s="198" t="s">
        <v>3697</v>
      </c>
      <c r="C2642" s="154" t="s">
        <v>149</v>
      </c>
      <c r="D2642" s="201" t="s">
        <v>1956</v>
      </c>
    </row>
    <row r="2643" spans="2:4" ht="15" customHeight="1">
      <c r="B2643" s="198" t="s">
        <v>3698</v>
      </c>
      <c r="C2643" s="154" t="s">
        <v>1627</v>
      </c>
      <c r="D2643" s="201" t="s">
        <v>1958</v>
      </c>
    </row>
    <row r="2644" spans="2:4" ht="15" customHeight="1">
      <c r="B2644" s="198" t="s">
        <v>3699</v>
      </c>
      <c r="C2644" s="154" t="s">
        <v>149</v>
      </c>
      <c r="D2644" s="201" t="s">
        <v>1956</v>
      </c>
    </row>
    <row r="2645" spans="2:4" ht="15" customHeight="1">
      <c r="B2645" s="198" t="s">
        <v>3700</v>
      </c>
      <c r="C2645" s="154" t="s">
        <v>149</v>
      </c>
      <c r="D2645" s="201" t="s">
        <v>1956</v>
      </c>
    </row>
    <row r="2646" spans="2:4" ht="15" customHeight="1">
      <c r="B2646" s="198" t="s">
        <v>3701</v>
      </c>
      <c r="C2646" s="154" t="s">
        <v>3720</v>
      </c>
      <c r="D2646" s="201" t="s">
        <v>1955</v>
      </c>
    </row>
    <row r="2647" spans="2:4" ht="15" customHeight="1">
      <c r="B2647" s="198" t="s">
        <v>3702</v>
      </c>
      <c r="C2647" s="154" t="s">
        <v>1641</v>
      </c>
      <c r="D2647" s="201" t="s">
        <v>1958</v>
      </c>
    </row>
    <row r="2648" spans="2:4" ht="15" customHeight="1">
      <c r="B2648" s="198" t="s">
        <v>3703</v>
      </c>
      <c r="C2648" s="154" t="s">
        <v>142</v>
      </c>
      <c r="D2648" s="201" t="s">
        <v>1954</v>
      </c>
    </row>
    <row r="2649" spans="2:4" ht="15" customHeight="1">
      <c r="B2649" s="198" t="s">
        <v>3704</v>
      </c>
      <c r="C2649" s="154" t="s">
        <v>1519</v>
      </c>
      <c r="D2649" s="201" t="s">
        <v>1951</v>
      </c>
    </row>
    <row r="2650" spans="2:4" ht="15" customHeight="1">
      <c r="B2650" s="198" t="s">
        <v>3705</v>
      </c>
      <c r="C2650" s="154" t="s">
        <v>149</v>
      </c>
      <c r="D2650" s="201" t="s">
        <v>1956</v>
      </c>
    </row>
    <row r="2651" spans="2:4" ht="15" customHeight="1">
      <c r="B2651" s="198" t="s">
        <v>3706</v>
      </c>
      <c r="C2651" s="154" t="s">
        <v>1557</v>
      </c>
      <c r="D2651" s="201" t="s">
        <v>1958</v>
      </c>
    </row>
    <row r="2652" spans="2:4" ht="15" customHeight="1">
      <c r="B2652" s="198" t="s">
        <v>3707</v>
      </c>
      <c r="C2652" s="154" t="s">
        <v>149</v>
      </c>
      <c r="D2652" s="201" t="s">
        <v>1956</v>
      </c>
    </row>
    <row r="2653" spans="2:4" ht="15" customHeight="1">
      <c r="B2653" s="198" t="s">
        <v>3708</v>
      </c>
      <c r="C2653" s="154" t="s">
        <v>149</v>
      </c>
      <c r="D2653" s="201" t="s">
        <v>1956</v>
      </c>
    </row>
    <row r="2654" spans="2:4" ht="15" customHeight="1">
      <c r="B2654" s="198" t="s">
        <v>3709</v>
      </c>
      <c r="C2654" s="154" t="s">
        <v>142</v>
      </c>
      <c r="D2654" s="201" t="s">
        <v>1954</v>
      </c>
    </row>
    <row r="2655" spans="2:4" ht="15" customHeight="1">
      <c r="B2655" s="198" t="s">
        <v>3710</v>
      </c>
      <c r="C2655" s="154" t="s">
        <v>1519</v>
      </c>
      <c r="D2655" s="201" t="s">
        <v>1951</v>
      </c>
    </row>
    <row r="2656" spans="2:4" ht="15" customHeight="1">
      <c r="B2656" s="198" t="s">
        <v>3711</v>
      </c>
      <c r="C2656" s="154" t="s">
        <v>142</v>
      </c>
      <c r="D2656" s="201" t="s">
        <v>1954</v>
      </c>
    </row>
    <row r="2657" spans="2:4" ht="15" customHeight="1">
      <c r="B2657" s="198" t="s">
        <v>3712</v>
      </c>
      <c r="C2657" s="154" t="s">
        <v>1587</v>
      </c>
      <c r="D2657" s="201" t="s">
        <v>1958</v>
      </c>
    </row>
    <row r="2658" spans="2:4" ht="15" customHeight="1">
      <c r="B2658" s="198" t="s">
        <v>3713</v>
      </c>
      <c r="C2658" s="154" t="s">
        <v>1587</v>
      </c>
      <c r="D2658" s="201" t="s">
        <v>1958</v>
      </c>
    </row>
    <row r="2659" spans="2:4" ht="15" customHeight="1">
      <c r="B2659" s="198" t="s">
        <v>3714</v>
      </c>
      <c r="C2659" s="154" t="s">
        <v>3008</v>
      </c>
      <c r="D2659" s="201" t="s">
        <v>1955</v>
      </c>
    </row>
    <row r="2660" spans="2:4" ht="15" customHeight="1">
      <c r="B2660" s="198" t="s">
        <v>3715</v>
      </c>
      <c r="C2660" s="154" t="s">
        <v>1519</v>
      </c>
      <c r="D2660" s="201" t="s">
        <v>1951</v>
      </c>
    </row>
    <row r="2661" spans="2:4" ht="15" customHeight="1">
      <c r="B2661" s="198" t="s">
        <v>3716</v>
      </c>
      <c r="C2661" s="154" t="s">
        <v>1557</v>
      </c>
      <c r="D2661" s="201" t="s">
        <v>1958</v>
      </c>
    </row>
    <row r="2662" spans="2:4" ht="15" customHeight="1">
      <c r="B2662" s="198" t="s">
        <v>3717</v>
      </c>
      <c r="C2662" s="154" t="s">
        <v>142</v>
      </c>
      <c r="D2662" s="201" t="s">
        <v>1954</v>
      </c>
    </row>
    <row r="2663" spans="2:4" ht="15" customHeight="1">
      <c r="B2663" s="198" t="s">
        <v>3718</v>
      </c>
      <c r="C2663" s="154" t="s">
        <v>142</v>
      </c>
      <c r="D2663" s="201" t="s">
        <v>1954</v>
      </c>
    </row>
    <row r="2664" spans="2:4" ht="15" customHeight="1">
      <c r="B2664" s="198" t="s">
        <v>3719</v>
      </c>
      <c r="C2664" s="154" t="s">
        <v>3721</v>
      </c>
      <c r="D2664" s="201" t="s">
        <v>1951</v>
      </c>
    </row>
    <row r="2665" spans="2:4" ht="15" customHeight="1">
      <c r="B2665" s="198" t="s">
        <v>3722</v>
      </c>
      <c r="C2665" s="154" t="s">
        <v>3724</v>
      </c>
      <c r="D2665" s="201" t="s">
        <v>1951</v>
      </c>
    </row>
    <row r="2666" spans="2:4" ht="15" customHeight="1">
      <c r="B2666" s="198" t="s">
        <v>3723</v>
      </c>
      <c r="C2666" s="154" t="s">
        <v>3725</v>
      </c>
      <c r="D2666" s="201" t="s">
        <v>1951</v>
      </c>
    </row>
    <row r="2667" spans="2:4" ht="15" customHeight="1">
      <c r="B2667" s="198" t="s">
        <v>3726</v>
      </c>
      <c r="C2667" s="154" t="s">
        <v>3138</v>
      </c>
      <c r="D2667" s="201" t="s">
        <v>1956</v>
      </c>
    </row>
    <row r="2668" spans="2:4" ht="15" customHeight="1">
      <c r="B2668" s="198" t="s">
        <v>3727</v>
      </c>
      <c r="C2668" s="154" t="s">
        <v>3313</v>
      </c>
      <c r="D2668" s="201" t="s">
        <v>1951</v>
      </c>
    </row>
    <row r="2669" spans="2:4" ht="15" customHeight="1">
      <c r="B2669" s="198" t="s">
        <v>3728</v>
      </c>
      <c r="C2669" s="154" t="s">
        <v>1541</v>
      </c>
      <c r="D2669" s="201" t="s">
        <v>1955</v>
      </c>
    </row>
    <row r="2670" spans="2:4" ht="15" customHeight="1">
      <c r="B2670" s="198" t="s">
        <v>3729</v>
      </c>
      <c r="C2670" s="154" t="s">
        <v>3739</v>
      </c>
      <c r="D2670" s="201" t="s">
        <v>1954</v>
      </c>
    </row>
    <row r="2671" spans="2:4" ht="15" customHeight="1">
      <c r="B2671" s="198" t="s">
        <v>3730</v>
      </c>
      <c r="C2671" s="154" t="s">
        <v>1581</v>
      </c>
      <c r="D2671" s="201" t="s">
        <v>1955</v>
      </c>
    </row>
    <row r="2672" spans="2:4" ht="15" customHeight="1">
      <c r="B2672" s="198" t="s">
        <v>3731</v>
      </c>
      <c r="C2672" s="154" t="s">
        <v>3740</v>
      </c>
      <c r="D2672" s="201" t="s">
        <v>1955</v>
      </c>
    </row>
    <row r="2673" spans="2:4" ht="15" customHeight="1">
      <c r="B2673" s="198" t="s">
        <v>3732</v>
      </c>
      <c r="C2673" s="154" t="s">
        <v>1655</v>
      </c>
      <c r="D2673" s="201" t="s">
        <v>1954</v>
      </c>
    </row>
    <row r="2674" spans="2:4" ht="15" customHeight="1">
      <c r="B2674" s="198" t="s">
        <v>3733</v>
      </c>
      <c r="C2674" s="154" t="s">
        <v>3741</v>
      </c>
      <c r="D2674" s="201" t="s">
        <v>1955</v>
      </c>
    </row>
    <row r="2675" spans="2:4" ht="15" customHeight="1">
      <c r="B2675" s="198" t="s">
        <v>3734</v>
      </c>
      <c r="C2675" s="154" t="s">
        <v>3446</v>
      </c>
      <c r="D2675" s="201" t="s">
        <v>1955</v>
      </c>
    </row>
    <row r="2676" spans="2:4" ht="15" customHeight="1">
      <c r="B2676" s="198" t="s">
        <v>3735</v>
      </c>
      <c r="C2676" s="154" t="s">
        <v>3446</v>
      </c>
      <c r="D2676" s="201" t="s">
        <v>1955</v>
      </c>
    </row>
    <row r="2677" spans="2:4" ht="15" customHeight="1">
      <c r="B2677" s="198" t="s">
        <v>3736</v>
      </c>
      <c r="C2677" s="154" t="s">
        <v>3419</v>
      </c>
      <c r="D2677" s="201" t="s">
        <v>1953</v>
      </c>
    </row>
    <row r="2678" spans="2:4" ht="15" customHeight="1">
      <c r="B2678" s="198" t="s">
        <v>3737</v>
      </c>
      <c r="C2678" s="154" t="s">
        <v>3419</v>
      </c>
      <c r="D2678" s="201" t="s">
        <v>1953</v>
      </c>
    </row>
    <row r="2679" spans="2:4" ht="15" customHeight="1">
      <c r="B2679" s="198" t="s">
        <v>3738</v>
      </c>
      <c r="C2679" s="154" t="s">
        <v>1820</v>
      </c>
      <c r="D2679" s="201" t="s">
        <v>1953</v>
      </c>
    </row>
    <row r="2680" spans="2:4" ht="15" customHeight="1">
      <c r="B2680" s="198" t="s">
        <v>3742</v>
      </c>
      <c r="C2680" s="154" t="s">
        <v>1541</v>
      </c>
      <c r="D2680" s="201" t="s">
        <v>1955</v>
      </c>
    </row>
    <row r="2681" spans="2:4" ht="15" customHeight="1">
      <c r="B2681" s="198" t="s">
        <v>3743</v>
      </c>
      <c r="C2681" s="154" t="s">
        <v>150</v>
      </c>
      <c r="D2681" s="201" t="s">
        <v>1951</v>
      </c>
    </row>
    <row r="2682" spans="2:4" ht="15" customHeight="1">
      <c r="B2682" s="198" t="s">
        <v>3744</v>
      </c>
      <c r="C2682" s="154" t="s">
        <v>150</v>
      </c>
      <c r="D2682" s="201" t="s">
        <v>1951</v>
      </c>
    </row>
    <row r="2683" spans="2:4" ht="15" customHeight="1">
      <c r="B2683" s="198" t="s">
        <v>3745</v>
      </c>
      <c r="C2683" s="154" t="s">
        <v>1918</v>
      </c>
      <c r="D2683" s="201" t="s">
        <v>1958</v>
      </c>
    </row>
    <row r="2684" spans="2:4" ht="15" customHeight="1">
      <c r="B2684" s="198" t="s">
        <v>3746</v>
      </c>
      <c r="C2684" s="154" t="s">
        <v>149</v>
      </c>
      <c r="D2684" s="201" t="s">
        <v>1956</v>
      </c>
    </row>
    <row r="2685" spans="2:4" ht="15" customHeight="1">
      <c r="B2685" s="198" t="s">
        <v>3747</v>
      </c>
      <c r="C2685" s="154" t="s">
        <v>3749</v>
      </c>
      <c r="D2685" s="201" t="s">
        <v>1954</v>
      </c>
    </row>
    <row r="2686" spans="2:4" ht="15" customHeight="1">
      <c r="B2686" s="198" t="s">
        <v>3748</v>
      </c>
      <c r="C2686" s="154" t="s">
        <v>149</v>
      </c>
      <c r="D2686" s="201" t="s">
        <v>1956</v>
      </c>
    </row>
    <row r="2687" spans="2:4" ht="15" customHeight="1">
      <c r="B2687" s="198" t="s">
        <v>3750</v>
      </c>
      <c r="C2687" s="154" t="s">
        <v>1699</v>
      </c>
      <c r="D2687" s="201" t="s">
        <v>1956</v>
      </c>
    </row>
    <row r="2688" spans="2:4" ht="15" customHeight="1">
      <c r="B2688" s="198" t="s">
        <v>3751</v>
      </c>
      <c r="C2688" s="154" t="s">
        <v>1690</v>
      </c>
      <c r="D2688" s="201" t="s">
        <v>1953</v>
      </c>
    </row>
    <row r="2689" spans="2:4" ht="15" customHeight="1">
      <c r="B2689" s="198" t="s">
        <v>3752</v>
      </c>
      <c r="C2689" s="154" t="s">
        <v>3547</v>
      </c>
      <c r="D2689" s="201" t="s">
        <v>2220</v>
      </c>
    </row>
    <row r="2690" spans="2:4" ht="15" customHeight="1">
      <c r="B2690" s="198" t="s">
        <v>3753</v>
      </c>
      <c r="C2690" s="154" t="s">
        <v>3756</v>
      </c>
      <c r="D2690" s="201" t="s">
        <v>2216</v>
      </c>
    </row>
    <row r="2691" spans="2:4" ht="15" customHeight="1">
      <c r="B2691" s="198" t="s">
        <v>3754</v>
      </c>
      <c r="C2691" s="154" t="s">
        <v>3081</v>
      </c>
      <c r="D2691" s="201" t="s">
        <v>1957</v>
      </c>
    </row>
    <row r="2692" spans="2:4" ht="15" customHeight="1">
      <c r="B2692" s="198" t="s">
        <v>3755</v>
      </c>
      <c r="C2692" s="154" t="s">
        <v>1644</v>
      </c>
      <c r="D2692" s="201" t="s">
        <v>1959</v>
      </c>
    </row>
    <row r="2693" spans="2:4" ht="15" customHeight="1">
      <c r="B2693" s="198" t="s">
        <v>3757</v>
      </c>
      <c r="C2693" s="154" t="s">
        <v>3419</v>
      </c>
      <c r="D2693" s="201" t="s">
        <v>1953</v>
      </c>
    </row>
    <row r="2694" spans="2:4" ht="15" customHeight="1">
      <c r="B2694" s="198" t="s">
        <v>3758</v>
      </c>
      <c r="C2694" s="154" t="s">
        <v>3765</v>
      </c>
      <c r="D2694" s="201" t="s">
        <v>1960</v>
      </c>
    </row>
    <row r="2695" spans="2:4" ht="15" customHeight="1">
      <c r="B2695" s="198" t="s">
        <v>3759</v>
      </c>
      <c r="C2695" s="154" t="s">
        <v>3315</v>
      </c>
      <c r="D2695" s="201" t="s">
        <v>1954</v>
      </c>
    </row>
    <row r="2696" spans="2:4" ht="15" customHeight="1">
      <c r="B2696" s="198" t="s">
        <v>3760</v>
      </c>
      <c r="C2696" s="154" t="s">
        <v>3766</v>
      </c>
      <c r="D2696" s="201" t="s">
        <v>2220</v>
      </c>
    </row>
    <row r="2697" spans="2:4" ht="15" customHeight="1">
      <c r="B2697" s="198" t="s">
        <v>3761</v>
      </c>
      <c r="C2697" s="154" t="s">
        <v>3767</v>
      </c>
      <c r="D2697" s="201" t="s">
        <v>1952</v>
      </c>
    </row>
    <row r="2698" spans="2:4" ht="15" customHeight="1">
      <c r="B2698" s="198" t="s">
        <v>3762</v>
      </c>
      <c r="C2698" s="154" t="s">
        <v>3764</v>
      </c>
      <c r="D2698" s="201" t="s">
        <v>1952</v>
      </c>
    </row>
    <row r="2699" spans="2:4" ht="15" customHeight="1">
      <c r="B2699" s="198" t="s">
        <v>3763</v>
      </c>
      <c r="C2699" s="154" t="s">
        <v>3768</v>
      </c>
      <c r="D2699" s="201" t="s">
        <v>2220</v>
      </c>
    </row>
    <row r="2700" spans="2:4" ht="15" customHeight="1">
      <c r="B2700" s="198" t="s">
        <v>3769</v>
      </c>
      <c r="C2700" s="154" t="s">
        <v>1641</v>
      </c>
      <c r="D2700" s="201" t="s">
        <v>1958</v>
      </c>
    </row>
    <row r="2701" spans="2:4" ht="15" customHeight="1">
      <c r="B2701" s="198" t="s">
        <v>3770</v>
      </c>
      <c r="C2701" s="154" t="s">
        <v>1641</v>
      </c>
      <c r="D2701" s="201" t="s">
        <v>1958</v>
      </c>
    </row>
    <row r="2702" spans="2:4" ht="15" customHeight="1">
      <c r="B2702" s="198" t="s">
        <v>3771</v>
      </c>
      <c r="C2702" s="154" t="s">
        <v>1587</v>
      </c>
      <c r="D2702" s="201" t="s">
        <v>1958</v>
      </c>
    </row>
    <row r="2703" spans="2:4" ht="15" customHeight="1">
      <c r="B2703" s="198" t="s">
        <v>3772</v>
      </c>
      <c r="C2703" s="154" t="s">
        <v>1587</v>
      </c>
      <c r="D2703" s="201" t="s">
        <v>1958</v>
      </c>
    </row>
    <row r="2704" spans="2:4" ht="15" customHeight="1">
      <c r="B2704" s="198" t="s">
        <v>3773</v>
      </c>
      <c r="C2704" s="154" t="s">
        <v>1519</v>
      </c>
      <c r="D2704" s="201" t="s">
        <v>1951</v>
      </c>
    </row>
    <row r="2705" spans="2:4" ht="15" customHeight="1">
      <c r="B2705" s="198" t="s">
        <v>3774</v>
      </c>
      <c r="C2705" s="154" t="s">
        <v>1641</v>
      </c>
      <c r="D2705" s="201" t="s">
        <v>1958</v>
      </c>
    </row>
    <row r="2706" spans="2:4" ht="15" customHeight="1">
      <c r="B2706" s="198" t="s">
        <v>3775</v>
      </c>
      <c r="C2706" s="154" t="s">
        <v>3810</v>
      </c>
      <c r="D2706" s="201" t="s">
        <v>3825</v>
      </c>
    </row>
    <row r="2707" spans="2:4" ht="15" customHeight="1">
      <c r="B2707" s="198" t="s">
        <v>3776</v>
      </c>
      <c r="C2707" s="154" t="s">
        <v>3465</v>
      </c>
      <c r="D2707" s="201" t="s">
        <v>1951</v>
      </c>
    </row>
    <row r="2708" spans="2:4" ht="15" customHeight="1">
      <c r="B2708" s="198" t="s">
        <v>3777</v>
      </c>
      <c r="C2708" s="154" t="s">
        <v>3419</v>
      </c>
      <c r="D2708" s="201" t="s">
        <v>1953</v>
      </c>
    </row>
    <row r="2709" spans="2:4" ht="15" customHeight="1">
      <c r="B2709" s="198" t="s">
        <v>3778</v>
      </c>
      <c r="C2709" s="154" t="s">
        <v>1511</v>
      </c>
      <c r="D2709" s="201" t="s">
        <v>1951</v>
      </c>
    </row>
    <row r="2710" spans="2:4" ht="15" customHeight="1">
      <c r="B2710" s="198" t="s">
        <v>3779</v>
      </c>
      <c r="C2710" s="154" t="s">
        <v>1641</v>
      </c>
      <c r="D2710" s="201" t="s">
        <v>1958</v>
      </c>
    </row>
    <row r="2711" spans="2:4" ht="15" customHeight="1">
      <c r="B2711" s="198" t="s">
        <v>3780</v>
      </c>
      <c r="C2711" s="154" t="s">
        <v>3811</v>
      </c>
      <c r="D2711" s="201" t="s">
        <v>1958</v>
      </c>
    </row>
    <row r="2712" spans="2:4" ht="15" customHeight="1">
      <c r="B2712" s="198" t="s">
        <v>3781</v>
      </c>
      <c r="C2712" s="154" t="s">
        <v>3303</v>
      </c>
      <c r="D2712" s="201" t="s">
        <v>1958</v>
      </c>
    </row>
    <row r="2713" spans="2:4" ht="15" customHeight="1">
      <c r="B2713" s="198" t="s">
        <v>3782</v>
      </c>
      <c r="C2713" s="154" t="s">
        <v>3812</v>
      </c>
      <c r="D2713" s="201" t="s">
        <v>1958</v>
      </c>
    </row>
    <row r="2714" spans="2:4" ht="15" customHeight="1">
      <c r="B2714" s="198" t="s">
        <v>3783</v>
      </c>
      <c r="C2714" s="154" t="s">
        <v>3813</v>
      </c>
      <c r="D2714" s="201" t="s">
        <v>1958</v>
      </c>
    </row>
    <row r="2715" spans="2:4" ht="15" customHeight="1">
      <c r="B2715" s="198" t="s">
        <v>3784</v>
      </c>
      <c r="C2715" s="154" t="s">
        <v>3814</v>
      </c>
      <c r="D2715" s="201" t="s">
        <v>1958</v>
      </c>
    </row>
    <row r="2716" spans="2:4" ht="15" customHeight="1">
      <c r="B2716" s="198" t="s">
        <v>3785</v>
      </c>
      <c r="C2716" s="154" t="s">
        <v>1532</v>
      </c>
      <c r="D2716" s="201" t="s">
        <v>1958</v>
      </c>
    </row>
    <row r="2717" spans="2:4" ht="15" customHeight="1">
      <c r="B2717" s="198" t="s">
        <v>3786</v>
      </c>
      <c r="C2717" s="154" t="s">
        <v>3815</v>
      </c>
      <c r="D2717" s="201" t="s">
        <v>1958</v>
      </c>
    </row>
    <row r="2718" spans="2:4" ht="15" customHeight="1">
      <c r="B2718" s="198" t="s">
        <v>3787</v>
      </c>
      <c r="C2718" s="154" t="s">
        <v>3816</v>
      </c>
      <c r="D2718" s="201" t="s">
        <v>1958</v>
      </c>
    </row>
    <row r="2719" spans="2:4" ht="15" customHeight="1">
      <c r="B2719" s="198" t="s">
        <v>3788</v>
      </c>
      <c r="C2719" s="154" t="s">
        <v>1511</v>
      </c>
      <c r="D2719" s="201" t="s">
        <v>1951</v>
      </c>
    </row>
    <row r="2720" spans="2:4" ht="15" customHeight="1">
      <c r="B2720" s="198" t="s">
        <v>3789</v>
      </c>
      <c r="C2720" s="154" t="s">
        <v>3817</v>
      </c>
      <c r="D2720" s="201" t="s">
        <v>1958</v>
      </c>
    </row>
    <row r="2721" spans="2:4" ht="15" customHeight="1">
      <c r="B2721" s="198" t="s">
        <v>3790</v>
      </c>
      <c r="C2721" s="154" t="s">
        <v>3812</v>
      </c>
      <c r="D2721" s="201" t="s">
        <v>1958</v>
      </c>
    </row>
    <row r="2722" spans="2:4" ht="15" customHeight="1">
      <c r="B2722" s="198" t="s">
        <v>3791</v>
      </c>
      <c r="C2722" s="154" t="s">
        <v>3818</v>
      </c>
      <c r="D2722" s="201" t="s">
        <v>1958</v>
      </c>
    </row>
    <row r="2723" spans="2:4" ht="15" customHeight="1">
      <c r="B2723" s="198" t="s">
        <v>3792</v>
      </c>
      <c r="C2723" s="154" t="s">
        <v>3819</v>
      </c>
      <c r="D2723" s="201" t="s">
        <v>1955</v>
      </c>
    </row>
    <row r="2724" spans="2:4" ht="15" customHeight="1">
      <c r="B2724" s="198" t="s">
        <v>3793</v>
      </c>
      <c r="C2724" s="154" t="s">
        <v>149</v>
      </c>
      <c r="D2724" s="201" t="s">
        <v>1956</v>
      </c>
    </row>
    <row r="2725" spans="2:4" ht="15" customHeight="1">
      <c r="B2725" s="198" t="s">
        <v>3794</v>
      </c>
      <c r="C2725" s="154" t="s">
        <v>3814</v>
      </c>
      <c r="D2725" s="201" t="s">
        <v>1958</v>
      </c>
    </row>
    <row r="2726" spans="2:4" ht="15" customHeight="1">
      <c r="B2726" s="198" t="s">
        <v>3795</v>
      </c>
      <c r="C2726" s="154" t="s">
        <v>1654</v>
      </c>
      <c r="D2726" s="201" t="s">
        <v>1954</v>
      </c>
    </row>
    <row r="2727" spans="2:4" ht="15" customHeight="1">
      <c r="B2727" s="198" t="s">
        <v>3796</v>
      </c>
      <c r="C2727" s="154" t="s">
        <v>1564</v>
      </c>
      <c r="D2727" s="201" t="s">
        <v>1955</v>
      </c>
    </row>
    <row r="2728" spans="2:4" ht="15" customHeight="1">
      <c r="B2728" s="198" t="s">
        <v>3797</v>
      </c>
      <c r="C2728" s="154" t="s">
        <v>1587</v>
      </c>
      <c r="D2728" s="201" t="s">
        <v>1958</v>
      </c>
    </row>
    <row r="2729" spans="2:4" ht="15" customHeight="1">
      <c r="B2729" s="198" t="s">
        <v>3798</v>
      </c>
      <c r="C2729" s="154" t="s">
        <v>1522</v>
      </c>
      <c r="D2729" s="201" t="s">
        <v>1953</v>
      </c>
    </row>
    <row r="2730" spans="2:4" ht="15" customHeight="1">
      <c r="B2730" s="198" t="s">
        <v>3799</v>
      </c>
      <c r="C2730" s="154" t="s">
        <v>149</v>
      </c>
      <c r="D2730" s="201" t="s">
        <v>1956</v>
      </c>
    </row>
    <row r="2731" spans="2:4" ht="15" customHeight="1">
      <c r="B2731" s="198" t="s">
        <v>3800</v>
      </c>
      <c r="C2731" s="154" t="s">
        <v>1522</v>
      </c>
      <c r="D2731" s="201" t="s">
        <v>1953</v>
      </c>
    </row>
    <row r="2732" spans="2:4" ht="15" customHeight="1">
      <c r="B2732" s="198" t="s">
        <v>3801</v>
      </c>
      <c r="C2732" s="154" t="s">
        <v>3820</v>
      </c>
      <c r="D2732" s="201" t="s">
        <v>1958</v>
      </c>
    </row>
    <row r="2733" spans="2:4" ht="15" customHeight="1">
      <c r="B2733" s="198" t="s">
        <v>3802</v>
      </c>
      <c r="C2733" s="154" t="s">
        <v>3821</v>
      </c>
      <c r="D2733" s="201" t="s">
        <v>1958</v>
      </c>
    </row>
    <row r="2734" spans="2:4" ht="15" customHeight="1">
      <c r="B2734" s="198" t="s">
        <v>3803</v>
      </c>
      <c r="C2734" s="154" t="s">
        <v>1567</v>
      </c>
      <c r="D2734" s="201" t="s">
        <v>1953</v>
      </c>
    </row>
    <row r="2735" spans="2:4" ht="15" customHeight="1">
      <c r="B2735" s="198" t="s">
        <v>3804</v>
      </c>
      <c r="C2735" s="154" t="s">
        <v>1693</v>
      </c>
      <c r="D2735" s="201" t="s">
        <v>1955</v>
      </c>
    </row>
    <row r="2736" spans="2:4" ht="15" customHeight="1">
      <c r="B2736" s="198" t="s">
        <v>3805</v>
      </c>
      <c r="C2736" s="154" t="s">
        <v>3822</v>
      </c>
      <c r="D2736" s="201" t="s">
        <v>2274</v>
      </c>
    </row>
    <row r="2737" spans="2:4" ht="15" customHeight="1">
      <c r="B2737" s="198" t="s">
        <v>3806</v>
      </c>
      <c r="C2737" s="154" t="s">
        <v>3465</v>
      </c>
      <c r="D2737" s="201" t="s">
        <v>1951</v>
      </c>
    </row>
    <row r="2738" spans="2:4" ht="15" customHeight="1">
      <c r="B2738" s="198" t="s">
        <v>3807</v>
      </c>
      <c r="C2738" s="154" t="s">
        <v>3823</v>
      </c>
      <c r="D2738" s="201" t="s">
        <v>1955</v>
      </c>
    </row>
    <row r="2739" spans="2:4" ht="15" customHeight="1">
      <c r="B2739" s="198" t="s">
        <v>3808</v>
      </c>
      <c r="C2739" s="154" t="s">
        <v>1805</v>
      </c>
      <c r="D2739" s="201" t="s">
        <v>1956</v>
      </c>
    </row>
    <row r="2740" spans="2:4" ht="15" customHeight="1">
      <c r="B2740" s="198" t="s">
        <v>3809</v>
      </c>
      <c r="C2740" s="154" t="s">
        <v>3824</v>
      </c>
      <c r="D2740" s="201" t="s">
        <v>1954</v>
      </c>
    </row>
    <row r="2741" spans="2:4" ht="15" customHeight="1">
      <c r="B2741" s="198" t="s">
        <v>3826</v>
      </c>
      <c r="C2741" s="154" t="s">
        <v>149</v>
      </c>
      <c r="D2741" s="201" t="s">
        <v>1956</v>
      </c>
    </row>
    <row r="2742" spans="2:4" ht="15" customHeight="1">
      <c r="B2742" s="198" t="s">
        <v>3827</v>
      </c>
      <c r="C2742" s="154" t="s">
        <v>149</v>
      </c>
      <c r="D2742" s="201" t="s">
        <v>1956</v>
      </c>
    </row>
    <row r="2743" spans="2:4" ht="15" customHeight="1">
      <c r="B2743" s="198" t="s">
        <v>3828</v>
      </c>
      <c r="C2743" s="154" t="s">
        <v>149</v>
      </c>
      <c r="D2743" s="201" t="s">
        <v>1956</v>
      </c>
    </row>
    <row r="2744" spans="2:4" ht="15" customHeight="1">
      <c r="B2744" s="198" t="s">
        <v>3829</v>
      </c>
      <c r="C2744" s="154" t="s">
        <v>3081</v>
      </c>
      <c r="D2744" s="201" t="s">
        <v>1957</v>
      </c>
    </row>
    <row r="2745" spans="2:4" ht="15" customHeight="1">
      <c r="B2745" s="198" t="s">
        <v>3830</v>
      </c>
      <c r="C2745" s="154" t="s">
        <v>3081</v>
      </c>
      <c r="D2745" s="201" t="s">
        <v>1957</v>
      </c>
    </row>
    <row r="2746" spans="2:4" ht="15" customHeight="1">
      <c r="B2746" s="198" t="s">
        <v>3831</v>
      </c>
      <c r="C2746" s="154" t="s">
        <v>1560</v>
      </c>
      <c r="D2746" s="201" t="s">
        <v>1953</v>
      </c>
    </row>
    <row r="2747" spans="2:4" ht="15" customHeight="1">
      <c r="B2747" s="198" t="s">
        <v>3832</v>
      </c>
      <c r="C2747" s="154" t="s">
        <v>1560</v>
      </c>
      <c r="D2747" s="201" t="s">
        <v>1953</v>
      </c>
    </row>
    <row r="2748" spans="2:4" ht="15" customHeight="1">
      <c r="B2748" s="198" t="s">
        <v>3833</v>
      </c>
      <c r="C2748" s="154" t="s">
        <v>3854</v>
      </c>
      <c r="D2748" s="201" t="s">
        <v>1955</v>
      </c>
    </row>
    <row r="2749" spans="2:4" ht="15" customHeight="1">
      <c r="B2749" s="198" t="s">
        <v>3834</v>
      </c>
      <c r="C2749" s="154" t="s">
        <v>1560</v>
      </c>
      <c r="D2749" s="201" t="s">
        <v>1953</v>
      </c>
    </row>
    <row r="2750" spans="2:4" ht="15" customHeight="1">
      <c r="B2750" s="198" t="s">
        <v>3835</v>
      </c>
      <c r="C2750" s="154" t="s">
        <v>1541</v>
      </c>
      <c r="D2750" s="201" t="s">
        <v>1955</v>
      </c>
    </row>
    <row r="2751" spans="2:4" ht="15" customHeight="1">
      <c r="B2751" s="198" t="s">
        <v>3836</v>
      </c>
      <c r="C2751" s="154" t="s">
        <v>1560</v>
      </c>
      <c r="D2751" s="201" t="s">
        <v>1953</v>
      </c>
    </row>
    <row r="2752" spans="2:4" ht="15" customHeight="1">
      <c r="B2752" s="198" t="s">
        <v>3837</v>
      </c>
      <c r="C2752" s="154" t="s">
        <v>1560</v>
      </c>
      <c r="D2752" s="201" t="s">
        <v>1953</v>
      </c>
    </row>
    <row r="2753" spans="2:4" ht="15" customHeight="1">
      <c r="B2753" s="198" t="s">
        <v>3838</v>
      </c>
      <c r="C2753" s="154" t="s">
        <v>3854</v>
      </c>
      <c r="D2753" s="201" t="s">
        <v>1955</v>
      </c>
    </row>
    <row r="2754" spans="2:4" ht="15" customHeight="1">
      <c r="B2754" s="198" t="s">
        <v>3839</v>
      </c>
      <c r="C2754" s="154" t="s">
        <v>3854</v>
      </c>
      <c r="D2754" s="201" t="s">
        <v>1955</v>
      </c>
    </row>
    <row r="2755" spans="2:4" ht="15" customHeight="1">
      <c r="B2755" s="198" t="s">
        <v>3840</v>
      </c>
      <c r="C2755" s="154" t="s">
        <v>3854</v>
      </c>
      <c r="D2755" s="201" t="s">
        <v>1955</v>
      </c>
    </row>
    <row r="2756" spans="2:4" ht="15" customHeight="1">
      <c r="B2756" s="198" t="s">
        <v>3841</v>
      </c>
      <c r="C2756" s="154" t="s">
        <v>142</v>
      </c>
      <c r="D2756" s="201" t="s">
        <v>1954</v>
      </c>
    </row>
    <row r="2757" spans="2:4" ht="15" customHeight="1">
      <c r="B2757" s="198" t="s">
        <v>3842</v>
      </c>
      <c r="C2757" s="154" t="s">
        <v>1511</v>
      </c>
      <c r="D2757" s="201" t="s">
        <v>1951</v>
      </c>
    </row>
    <row r="2758" spans="2:4" ht="15" customHeight="1">
      <c r="B2758" s="198" t="s">
        <v>3845</v>
      </c>
      <c r="C2758" s="154" t="s">
        <v>1511</v>
      </c>
      <c r="D2758" s="201" t="s">
        <v>1951</v>
      </c>
    </row>
    <row r="2759" spans="2:4" ht="15" customHeight="1">
      <c r="B2759" s="198" t="s">
        <v>3846</v>
      </c>
      <c r="C2759" s="154" t="s">
        <v>1511</v>
      </c>
      <c r="D2759" s="201" t="s">
        <v>1951</v>
      </c>
    </row>
    <row r="2760" spans="2:4" ht="15" customHeight="1">
      <c r="B2760" s="198" t="s">
        <v>3850</v>
      </c>
      <c r="C2760" s="154" t="s">
        <v>1511</v>
      </c>
      <c r="D2760" s="201" t="s">
        <v>1951</v>
      </c>
    </row>
    <row r="2761" spans="2:4" ht="15" customHeight="1">
      <c r="B2761" s="198" t="s">
        <v>3851</v>
      </c>
      <c r="C2761" s="154" t="s">
        <v>149</v>
      </c>
      <c r="D2761" s="201" t="s">
        <v>1956</v>
      </c>
    </row>
    <row r="2762" spans="2:4" ht="15" customHeight="1">
      <c r="B2762" s="198" t="s">
        <v>3852</v>
      </c>
      <c r="C2762" s="154" t="s">
        <v>149</v>
      </c>
      <c r="D2762" s="201" t="s">
        <v>1956</v>
      </c>
    </row>
    <row r="2763" spans="2:4" ht="15" customHeight="1">
      <c r="B2763" s="198" t="s">
        <v>3843</v>
      </c>
      <c r="C2763" s="154" t="s">
        <v>149</v>
      </c>
      <c r="D2763" s="201" t="s">
        <v>1956</v>
      </c>
    </row>
    <row r="2764" spans="2:4" ht="15" customHeight="1">
      <c r="B2764" s="198" t="s">
        <v>3844</v>
      </c>
      <c r="C2764" s="154" t="s">
        <v>149</v>
      </c>
      <c r="D2764" s="201" t="s">
        <v>1956</v>
      </c>
    </row>
    <row r="2765" spans="2:4" ht="15" customHeight="1">
      <c r="B2765" s="198" t="s">
        <v>3847</v>
      </c>
      <c r="C2765" s="154" t="s">
        <v>149</v>
      </c>
      <c r="D2765" s="201" t="s">
        <v>1956</v>
      </c>
    </row>
    <row r="2766" spans="2:4" ht="15" customHeight="1">
      <c r="B2766" s="198" t="s">
        <v>3848</v>
      </c>
      <c r="C2766" s="154" t="s">
        <v>149</v>
      </c>
      <c r="D2766" s="201" t="s">
        <v>1956</v>
      </c>
    </row>
    <row r="2767" spans="2:4" ht="15" customHeight="1">
      <c r="B2767" s="198" t="s">
        <v>3849</v>
      </c>
      <c r="C2767" s="154" t="s">
        <v>149</v>
      </c>
      <c r="D2767" s="201" t="s">
        <v>1956</v>
      </c>
    </row>
    <row r="2768" spans="2:4" ht="15" customHeight="1">
      <c r="B2768" s="198" t="s">
        <v>3853</v>
      </c>
      <c r="C2768" s="154" t="s">
        <v>149</v>
      </c>
      <c r="D2768" s="201" t="s">
        <v>1956</v>
      </c>
    </row>
    <row r="2769" spans="2:4" ht="15" customHeight="1">
      <c r="B2769" s="198" t="s">
        <v>3855</v>
      </c>
      <c r="C2769" s="154" t="s">
        <v>3167</v>
      </c>
      <c r="D2769" s="201" t="s">
        <v>1957</v>
      </c>
    </row>
    <row r="2770" spans="2:4" ht="15" customHeight="1">
      <c r="B2770" s="198" t="s">
        <v>3856</v>
      </c>
      <c r="C2770" s="154" t="s">
        <v>3315</v>
      </c>
      <c r="D2770" s="201" t="s">
        <v>1954</v>
      </c>
    </row>
    <row r="2771" spans="2:4" ht="15" customHeight="1">
      <c r="B2771" s="198" t="s">
        <v>3857</v>
      </c>
      <c r="C2771" s="154" t="s">
        <v>3419</v>
      </c>
      <c r="D2771" s="201" t="s">
        <v>1953</v>
      </c>
    </row>
    <row r="2772" spans="2:4" ht="15" customHeight="1">
      <c r="B2772" s="198" t="s">
        <v>3858</v>
      </c>
      <c r="C2772" s="154" t="s">
        <v>3008</v>
      </c>
      <c r="D2772" s="201" t="s">
        <v>1955</v>
      </c>
    </row>
    <row r="2773" spans="2:4" ht="15" customHeight="1">
      <c r="B2773" s="198" t="s">
        <v>3859</v>
      </c>
      <c r="C2773" s="154" t="s">
        <v>1587</v>
      </c>
      <c r="D2773" s="201" t="s">
        <v>1958</v>
      </c>
    </row>
    <row r="2774" spans="2:4" ht="15" customHeight="1">
      <c r="B2774" s="198" t="s">
        <v>3860</v>
      </c>
      <c r="C2774" s="154" t="s">
        <v>2930</v>
      </c>
      <c r="D2774" s="201" t="s">
        <v>1956</v>
      </c>
    </row>
    <row r="2775" spans="2:4" ht="15" customHeight="1">
      <c r="B2775" s="198" t="s">
        <v>3861</v>
      </c>
      <c r="C2775" s="154" t="s">
        <v>1534</v>
      </c>
      <c r="D2775" s="201" t="s">
        <v>1959</v>
      </c>
    </row>
    <row r="2776" spans="2:4" ht="15" customHeight="1">
      <c r="B2776" s="198" t="s">
        <v>3862</v>
      </c>
      <c r="C2776" s="154" t="s">
        <v>3869</v>
      </c>
      <c r="D2776" s="201" t="s">
        <v>1956</v>
      </c>
    </row>
    <row r="2777" spans="2:4" ht="15" customHeight="1">
      <c r="B2777" s="198" t="s">
        <v>3863</v>
      </c>
      <c r="C2777" s="154" t="s">
        <v>3870</v>
      </c>
      <c r="D2777" s="201" t="s">
        <v>1953</v>
      </c>
    </row>
    <row r="2778" spans="2:4" ht="15" customHeight="1">
      <c r="B2778" s="198" t="s">
        <v>3864</v>
      </c>
      <c r="C2778" s="154" t="s">
        <v>2212</v>
      </c>
      <c r="D2778" s="201" t="s">
        <v>2216</v>
      </c>
    </row>
    <row r="2779" spans="2:4" ht="15" customHeight="1">
      <c r="B2779" s="198" t="s">
        <v>3865</v>
      </c>
      <c r="C2779" s="154" t="s">
        <v>3871</v>
      </c>
      <c r="D2779" s="201" t="s">
        <v>1956</v>
      </c>
    </row>
    <row r="2780" spans="2:4" ht="15" customHeight="1">
      <c r="B2780" s="198" t="s">
        <v>3866</v>
      </c>
      <c r="C2780" s="154" t="s">
        <v>3547</v>
      </c>
      <c r="D2780" s="201" t="s">
        <v>2220</v>
      </c>
    </row>
    <row r="2781" spans="2:4" ht="15" customHeight="1">
      <c r="B2781" s="198" t="s">
        <v>3867</v>
      </c>
      <c r="C2781" s="154" t="s">
        <v>3872</v>
      </c>
      <c r="D2781" s="201" t="s">
        <v>1959</v>
      </c>
    </row>
    <row r="2782" spans="2:4" ht="15" customHeight="1">
      <c r="B2782" s="198" t="s">
        <v>3868</v>
      </c>
      <c r="C2782" s="154" t="s">
        <v>1709</v>
      </c>
      <c r="D2782" s="201" t="s">
        <v>1959</v>
      </c>
    </row>
    <row r="2783" spans="2:4" ht="15" customHeight="1">
      <c r="B2783" s="198" t="s">
        <v>3873</v>
      </c>
      <c r="C2783" s="154" t="s">
        <v>1560</v>
      </c>
      <c r="D2783" s="201" t="s">
        <v>1953</v>
      </c>
    </row>
    <row r="2784" spans="2:4" ht="15" customHeight="1">
      <c r="B2784" s="198" t="s">
        <v>3874</v>
      </c>
      <c r="C2784" s="154" t="s">
        <v>1560</v>
      </c>
      <c r="D2784" s="201" t="s">
        <v>1953</v>
      </c>
    </row>
    <row r="2785" spans="2:4" ht="15" customHeight="1">
      <c r="B2785" s="198" t="s">
        <v>3875</v>
      </c>
      <c r="C2785" s="154" t="s">
        <v>3315</v>
      </c>
      <c r="D2785" s="201" t="s">
        <v>1954</v>
      </c>
    </row>
    <row r="2786" spans="2:4" ht="15" customHeight="1">
      <c r="B2786" s="198" t="s">
        <v>3876</v>
      </c>
      <c r="C2786" s="154" t="s">
        <v>3878</v>
      </c>
      <c r="D2786" s="201" t="s">
        <v>1958</v>
      </c>
    </row>
    <row r="2787" spans="2:4" ht="15" customHeight="1">
      <c r="B2787" s="198" t="s">
        <v>3877</v>
      </c>
      <c r="C2787" s="154" t="s">
        <v>3315</v>
      </c>
      <c r="D2787" s="201" t="s">
        <v>1954</v>
      </c>
    </row>
    <row r="2788" spans="2:4" ht="15" customHeight="1">
      <c r="B2788" s="198" t="s">
        <v>3882</v>
      </c>
      <c r="C2788" s="154" t="s">
        <v>1799</v>
      </c>
      <c r="D2788" s="201" t="s">
        <v>1954</v>
      </c>
    </row>
    <row r="2789" spans="2:4" ht="15" customHeight="1">
      <c r="B2789" s="198" t="s">
        <v>3880</v>
      </c>
      <c r="C2789" s="154" t="s">
        <v>3884</v>
      </c>
      <c r="D2789" s="201" t="s">
        <v>1959</v>
      </c>
    </row>
    <row r="2790" spans="2:4" ht="15" customHeight="1">
      <c r="B2790" s="198" t="s">
        <v>3881</v>
      </c>
      <c r="C2790" s="154" t="s">
        <v>3885</v>
      </c>
      <c r="D2790" s="201" t="s">
        <v>2216</v>
      </c>
    </row>
    <row r="2791" spans="2:4" ht="15" customHeight="1">
      <c r="B2791" s="198" t="s">
        <v>3879</v>
      </c>
      <c r="C2791" s="154" t="s">
        <v>3886</v>
      </c>
      <c r="D2791" s="201" t="s">
        <v>1959</v>
      </c>
    </row>
    <row r="2792" spans="2:4" ht="15" customHeight="1">
      <c r="B2792" s="198" t="s">
        <v>3883</v>
      </c>
      <c r="C2792" s="154" t="s">
        <v>1521</v>
      </c>
      <c r="D2792" s="201" t="s">
        <v>1951</v>
      </c>
    </row>
    <row r="2793" spans="2:4" ht="15" customHeight="1">
      <c r="B2793" s="198" t="s">
        <v>3887</v>
      </c>
      <c r="C2793" s="154" t="s">
        <v>3081</v>
      </c>
      <c r="D2793" s="201" t="s">
        <v>1957</v>
      </c>
    </row>
    <row r="2794" spans="2:4" ht="15" customHeight="1">
      <c r="B2794" s="198" t="s">
        <v>3888</v>
      </c>
      <c r="C2794" s="154" t="s">
        <v>1641</v>
      </c>
      <c r="D2794" s="201" t="s">
        <v>1958</v>
      </c>
    </row>
    <row r="2795" spans="2:4" ht="15" customHeight="1">
      <c r="B2795" s="198" t="s">
        <v>3889</v>
      </c>
      <c r="C2795" s="154" t="s">
        <v>1558</v>
      </c>
      <c r="D2795" s="201" t="s">
        <v>1958</v>
      </c>
    </row>
    <row r="2796" spans="2:4" ht="15" customHeight="1">
      <c r="B2796" s="198" t="s">
        <v>3890</v>
      </c>
      <c r="C2796" s="154" t="s">
        <v>1656</v>
      </c>
      <c r="D2796" s="201" t="s">
        <v>1958</v>
      </c>
    </row>
    <row r="2797" spans="2:4" ht="15" customHeight="1">
      <c r="B2797" s="198" t="s">
        <v>3891</v>
      </c>
      <c r="C2797" s="154" t="s">
        <v>1587</v>
      </c>
      <c r="D2797" s="201" t="s">
        <v>1958</v>
      </c>
    </row>
    <row r="2798" spans="2:4" ht="15" customHeight="1">
      <c r="B2798" s="198" t="s">
        <v>3892</v>
      </c>
      <c r="C2798" s="154" t="s">
        <v>1641</v>
      </c>
      <c r="D2798" s="201" t="s">
        <v>1958</v>
      </c>
    </row>
    <row r="2799" spans="2:4" ht="15" customHeight="1">
      <c r="B2799" s="198" t="s">
        <v>3893</v>
      </c>
      <c r="C2799" s="154" t="s">
        <v>149</v>
      </c>
      <c r="D2799" s="201" t="s">
        <v>1956</v>
      </c>
    </row>
    <row r="2800" spans="2:4" ht="15" customHeight="1">
      <c r="B2800" s="198" t="s">
        <v>3894</v>
      </c>
      <c r="C2800" s="154" t="s">
        <v>1641</v>
      </c>
      <c r="D2800" s="201" t="s">
        <v>1958</v>
      </c>
    </row>
    <row r="2801" spans="2:4" ht="15" customHeight="1">
      <c r="B2801" s="198" t="s">
        <v>3895</v>
      </c>
      <c r="C2801" s="154" t="s">
        <v>1641</v>
      </c>
      <c r="D2801" s="201" t="s">
        <v>1958</v>
      </c>
    </row>
    <row r="2802" spans="2:4" ht="15" customHeight="1">
      <c r="B2802" s="198" t="s">
        <v>3896</v>
      </c>
      <c r="C2802" s="154" t="s">
        <v>1641</v>
      </c>
      <c r="D2802" s="201" t="s">
        <v>1958</v>
      </c>
    </row>
    <row r="2803" spans="2:4" ht="15" customHeight="1">
      <c r="B2803" s="198" t="s">
        <v>3897</v>
      </c>
      <c r="C2803" s="154" t="s">
        <v>150</v>
      </c>
      <c r="D2803" s="201" t="s">
        <v>1951</v>
      </c>
    </row>
    <row r="2804" spans="2:4" ht="15" customHeight="1">
      <c r="B2804" s="198" t="s">
        <v>3898</v>
      </c>
      <c r="C2804" s="154" t="s">
        <v>150</v>
      </c>
      <c r="D2804" s="201" t="s">
        <v>1951</v>
      </c>
    </row>
    <row r="2805" spans="2:4" ht="15" customHeight="1">
      <c r="B2805" s="198" t="s">
        <v>3899</v>
      </c>
      <c r="C2805" s="154" t="s">
        <v>150</v>
      </c>
      <c r="D2805" s="201" t="s">
        <v>1951</v>
      </c>
    </row>
    <row r="2806" spans="2:4" ht="15" customHeight="1">
      <c r="B2806" s="198" t="s">
        <v>3900</v>
      </c>
      <c r="C2806" s="154" t="s">
        <v>1541</v>
      </c>
      <c r="D2806" s="201" t="s">
        <v>1955</v>
      </c>
    </row>
    <row r="2807" spans="2:4" ht="15" customHeight="1">
      <c r="B2807" s="198" t="s">
        <v>3901</v>
      </c>
      <c r="C2807" s="154" t="s">
        <v>150</v>
      </c>
      <c r="D2807" s="201" t="s">
        <v>1951</v>
      </c>
    </row>
    <row r="2808" spans="2:4" ht="15" customHeight="1">
      <c r="B2808" s="198" t="s">
        <v>3902</v>
      </c>
      <c r="C2808" s="154" t="s">
        <v>1631</v>
      </c>
      <c r="D2808" s="201" t="s">
        <v>1951</v>
      </c>
    </row>
    <row r="2809" spans="2:4" ht="15" customHeight="1">
      <c r="B2809" s="198" t="s">
        <v>3903</v>
      </c>
      <c r="C2809" s="154" t="s">
        <v>3925</v>
      </c>
      <c r="D2809" s="201" t="s">
        <v>1958</v>
      </c>
    </row>
    <row r="2810" spans="2:4" ht="15" customHeight="1">
      <c r="B2810" s="198" t="s">
        <v>3904</v>
      </c>
      <c r="C2810" s="154" t="s">
        <v>1558</v>
      </c>
      <c r="D2810" s="201" t="s">
        <v>1958</v>
      </c>
    </row>
    <row r="2811" spans="2:4" ht="15" customHeight="1">
      <c r="B2811" s="198" t="s">
        <v>3905</v>
      </c>
      <c r="C2811" s="154" t="s">
        <v>3926</v>
      </c>
      <c r="D2811" s="201" t="s">
        <v>1958</v>
      </c>
    </row>
    <row r="2812" spans="2:4" ht="15" customHeight="1">
      <c r="B2812" s="198" t="s">
        <v>3906</v>
      </c>
      <c r="C2812" s="154" t="s">
        <v>3927</v>
      </c>
      <c r="D2812" s="201" t="s">
        <v>1958</v>
      </c>
    </row>
    <row r="2813" spans="2:4" ht="15" customHeight="1">
      <c r="B2813" s="198" t="s">
        <v>3907</v>
      </c>
      <c r="C2813" s="154" t="s">
        <v>1587</v>
      </c>
      <c r="D2813" s="201" t="s">
        <v>1958</v>
      </c>
    </row>
    <row r="2814" spans="2:4" ht="15" customHeight="1">
      <c r="B2814" s="198" t="s">
        <v>3908</v>
      </c>
      <c r="C2814" s="154" t="s">
        <v>3928</v>
      </c>
      <c r="D2814" s="201" t="s">
        <v>1958</v>
      </c>
    </row>
    <row r="2815" spans="2:4" ht="15" customHeight="1">
      <c r="B2815" s="198" t="s">
        <v>3909</v>
      </c>
      <c r="C2815" s="154" t="s">
        <v>3929</v>
      </c>
      <c r="D2815" s="201" t="s">
        <v>1958</v>
      </c>
    </row>
    <row r="2816" spans="2:4" ht="15" customHeight="1">
      <c r="B2816" s="198" t="s">
        <v>3910</v>
      </c>
      <c r="C2816" s="154" t="s">
        <v>1558</v>
      </c>
      <c r="D2816" s="201" t="s">
        <v>1958</v>
      </c>
    </row>
    <row r="2817" spans="2:4" ht="15" customHeight="1">
      <c r="B2817" s="198" t="s">
        <v>3911</v>
      </c>
      <c r="C2817" s="154" t="s">
        <v>3926</v>
      </c>
      <c r="D2817" s="201" t="s">
        <v>1958</v>
      </c>
    </row>
    <row r="2818" spans="2:4" ht="15" customHeight="1">
      <c r="B2818" s="198" t="s">
        <v>3912</v>
      </c>
      <c r="C2818" s="154" t="s">
        <v>1918</v>
      </c>
      <c r="D2818" s="201" t="s">
        <v>1958</v>
      </c>
    </row>
    <row r="2819" spans="2:4" ht="15" customHeight="1">
      <c r="B2819" s="198" t="s">
        <v>3913</v>
      </c>
      <c r="C2819" s="154" t="s">
        <v>1522</v>
      </c>
      <c r="D2819" s="201" t="s">
        <v>1953</v>
      </c>
    </row>
    <row r="2820" spans="2:4" ht="15" customHeight="1">
      <c r="B2820" s="198" t="s">
        <v>3914</v>
      </c>
      <c r="C2820" s="154" t="s">
        <v>1771</v>
      </c>
      <c r="D2820" s="201" t="s">
        <v>1953</v>
      </c>
    </row>
    <row r="2821" spans="2:4" ht="15" customHeight="1">
      <c r="B2821" s="198" t="s">
        <v>3915</v>
      </c>
      <c r="C2821" s="154" t="s">
        <v>3930</v>
      </c>
      <c r="D2821" s="201" t="s">
        <v>1958</v>
      </c>
    </row>
    <row r="2822" spans="2:4" ht="15" customHeight="1">
      <c r="B2822" s="198" t="s">
        <v>3916</v>
      </c>
      <c r="C2822" s="154" t="s">
        <v>1813</v>
      </c>
      <c r="D2822" s="201" t="s">
        <v>1953</v>
      </c>
    </row>
    <row r="2823" spans="2:4" ht="15" customHeight="1">
      <c r="B2823" s="198" t="s">
        <v>3917</v>
      </c>
      <c r="C2823" s="154" t="s">
        <v>3303</v>
      </c>
      <c r="D2823" s="201" t="s">
        <v>1958</v>
      </c>
    </row>
    <row r="2824" spans="2:4" ht="15" customHeight="1">
      <c r="B2824" s="198" t="s">
        <v>3918</v>
      </c>
      <c r="C2824" s="154" t="s">
        <v>3931</v>
      </c>
      <c r="D2824" s="201" t="s">
        <v>1953</v>
      </c>
    </row>
    <row r="2825" spans="2:4" ht="15" customHeight="1">
      <c r="B2825" s="198" t="s">
        <v>3919</v>
      </c>
      <c r="C2825" s="154" t="s">
        <v>1558</v>
      </c>
      <c r="D2825" s="201" t="s">
        <v>1958</v>
      </c>
    </row>
    <row r="2826" spans="2:4" ht="15" customHeight="1">
      <c r="B2826" s="198" t="s">
        <v>3920</v>
      </c>
      <c r="C2826" s="154" t="s">
        <v>150</v>
      </c>
      <c r="D2826" s="201" t="s">
        <v>1951</v>
      </c>
    </row>
    <row r="2827" spans="2:4" ht="15" customHeight="1">
      <c r="B2827" s="198" t="s">
        <v>3921</v>
      </c>
      <c r="C2827" s="154" t="s">
        <v>3813</v>
      </c>
      <c r="D2827" s="201" t="s">
        <v>1958</v>
      </c>
    </row>
    <row r="2828" spans="2:4" ht="15" customHeight="1">
      <c r="B2828" s="198" t="s">
        <v>3922</v>
      </c>
      <c r="C2828" s="154" t="s">
        <v>3926</v>
      </c>
      <c r="D2828" s="201" t="s">
        <v>1958</v>
      </c>
    </row>
    <row r="2829" spans="2:4" ht="15" customHeight="1">
      <c r="B2829" s="198" t="s">
        <v>3923</v>
      </c>
      <c r="C2829" s="154" t="s">
        <v>1587</v>
      </c>
      <c r="D2829" s="201" t="s">
        <v>1958</v>
      </c>
    </row>
    <row r="2830" spans="2:4" ht="15" customHeight="1">
      <c r="B2830" s="198" t="s">
        <v>3924</v>
      </c>
      <c r="C2830" s="154" t="s">
        <v>153</v>
      </c>
      <c r="D2830" s="201" t="s">
        <v>1951</v>
      </c>
    </row>
    <row r="2831" spans="2:4" ht="15" customHeight="1">
      <c r="B2831" s="198" t="s">
        <v>3932</v>
      </c>
      <c r="C2831" s="154" t="s">
        <v>1567</v>
      </c>
      <c r="D2831" s="201" t="s">
        <v>1953</v>
      </c>
    </row>
    <row r="2832" spans="2:4" ht="15" customHeight="1">
      <c r="B2832" s="198" t="s">
        <v>3933</v>
      </c>
      <c r="C2832" s="154" t="s">
        <v>2191</v>
      </c>
      <c r="D2832" s="201" t="s">
        <v>2216</v>
      </c>
    </row>
    <row r="2833" spans="2:4" ht="15" customHeight="1">
      <c r="B2833" s="198" t="s">
        <v>3934</v>
      </c>
      <c r="C2833" s="154" t="s">
        <v>3279</v>
      </c>
      <c r="D2833" s="201" t="s">
        <v>2216</v>
      </c>
    </row>
    <row r="2834" spans="2:4" ht="15" customHeight="1">
      <c r="B2834" s="198" t="s">
        <v>3935</v>
      </c>
      <c r="C2834" s="154" t="s">
        <v>3938</v>
      </c>
      <c r="D2834" s="201" t="s">
        <v>1954</v>
      </c>
    </row>
    <row r="2835" spans="2:4" ht="15" customHeight="1">
      <c r="B2835" s="198" t="s">
        <v>3936</v>
      </c>
      <c r="C2835" s="154" t="s">
        <v>2207</v>
      </c>
      <c r="D2835" s="201" t="s">
        <v>2216</v>
      </c>
    </row>
    <row r="2836" spans="2:4" ht="15" customHeight="1">
      <c r="B2836" s="198" t="s">
        <v>3937</v>
      </c>
      <c r="C2836" s="154" t="s">
        <v>1534</v>
      </c>
      <c r="D2836" s="201" t="s">
        <v>1959</v>
      </c>
    </row>
    <row r="2837" spans="2:4" ht="15" customHeight="1">
      <c r="B2837" s="198" t="s">
        <v>3939</v>
      </c>
      <c r="C2837" s="154"/>
      <c r="D2837" s="201"/>
    </row>
    <row r="2838" spans="2:4" ht="15" customHeight="1">
      <c r="B2838" s="198" t="s">
        <v>3940</v>
      </c>
      <c r="C2838" s="154" t="s">
        <v>3419</v>
      </c>
      <c r="D2838" s="201" t="s">
        <v>1953</v>
      </c>
    </row>
    <row r="2839" spans="2:4" ht="15" customHeight="1">
      <c r="B2839" s="198" t="s">
        <v>3941</v>
      </c>
      <c r="C2839" s="154" t="s">
        <v>3313</v>
      </c>
      <c r="D2839" s="201" t="s">
        <v>1951</v>
      </c>
    </row>
    <row r="2840" spans="2:4" ht="15" customHeight="1">
      <c r="B2840" s="198" t="s">
        <v>3942</v>
      </c>
      <c r="C2840" s="154" t="s">
        <v>3961</v>
      </c>
      <c r="D2840" s="201" t="s">
        <v>1955</v>
      </c>
    </row>
    <row r="2841" spans="2:4" ht="15" customHeight="1">
      <c r="B2841" s="198" t="s">
        <v>3943</v>
      </c>
      <c r="C2841" s="154" t="s">
        <v>3465</v>
      </c>
      <c r="D2841" s="201" t="s">
        <v>1951</v>
      </c>
    </row>
    <row r="2842" spans="2:4" ht="15" customHeight="1">
      <c r="B2842" s="198" t="s">
        <v>3944</v>
      </c>
      <c r="C2842" s="154" t="s">
        <v>3313</v>
      </c>
      <c r="D2842" s="201" t="s">
        <v>1951</v>
      </c>
    </row>
    <row r="2843" spans="2:4" ht="15" customHeight="1">
      <c r="B2843" s="198" t="s">
        <v>3945</v>
      </c>
      <c r="C2843" s="154" t="s">
        <v>3962</v>
      </c>
      <c r="D2843" s="201" t="s">
        <v>1951</v>
      </c>
    </row>
    <row r="2844" spans="2:4" ht="15" customHeight="1">
      <c r="B2844" s="198" t="s">
        <v>3946</v>
      </c>
      <c r="C2844" s="154" t="s">
        <v>3483</v>
      </c>
      <c r="D2844" s="201" t="s">
        <v>1956</v>
      </c>
    </row>
    <row r="2845" spans="2:4" ht="15" customHeight="1">
      <c r="B2845" s="198" t="s">
        <v>3947</v>
      </c>
      <c r="C2845" s="154" t="s">
        <v>3963</v>
      </c>
      <c r="D2845" s="201" t="s">
        <v>1953</v>
      </c>
    </row>
    <row r="2846" spans="2:4" ht="15" customHeight="1">
      <c r="B2846" s="198" t="s">
        <v>3948</v>
      </c>
      <c r="C2846" s="154" t="s">
        <v>3964</v>
      </c>
      <c r="D2846" s="201" t="s">
        <v>1954</v>
      </c>
    </row>
    <row r="2847" spans="2:4" ht="15" customHeight="1">
      <c r="B2847" s="198" t="s">
        <v>3949</v>
      </c>
      <c r="C2847" s="154" t="s">
        <v>3963</v>
      </c>
      <c r="D2847" s="201" t="s">
        <v>1953</v>
      </c>
    </row>
    <row r="2848" spans="2:4" ht="15" customHeight="1">
      <c r="B2848" s="198" t="s">
        <v>3950</v>
      </c>
      <c r="C2848" s="154" t="s">
        <v>3315</v>
      </c>
      <c r="D2848" s="201" t="s">
        <v>1954</v>
      </c>
    </row>
    <row r="2849" spans="2:4" ht="15" customHeight="1">
      <c r="B2849" s="198" t="s">
        <v>3951</v>
      </c>
      <c r="C2849" s="154" t="s">
        <v>3465</v>
      </c>
      <c r="D2849" s="201" t="s">
        <v>1951</v>
      </c>
    </row>
    <row r="2850" spans="2:4" ht="15" customHeight="1">
      <c r="B2850" s="198" t="s">
        <v>3952</v>
      </c>
      <c r="C2850" s="154" t="s">
        <v>3419</v>
      </c>
      <c r="D2850" s="201" t="s">
        <v>1953</v>
      </c>
    </row>
    <row r="2851" spans="2:4" ht="15" customHeight="1">
      <c r="B2851" s="198" t="s">
        <v>3953</v>
      </c>
      <c r="C2851" s="154" t="s">
        <v>3138</v>
      </c>
      <c r="D2851" s="201" t="s">
        <v>1956</v>
      </c>
    </row>
    <row r="2852" spans="2:4" ht="15" customHeight="1">
      <c r="B2852" s="198" t="s">
        <v>3954</v>
      </c>
      <c r="C2852" s="154" t="s">
        <v>3965</v>
      </c>
      <c r="D2852" s="201" t="s">
        <v>1951</v>
      </c>
    </row>
    <row r="2853" spans="2:4" ht="15" customHeight="1">
      <c r="B2853" s="198" t="s">
        <v>3955</v>
      </c>
      <c r="C2853" s="154" t="s">
        <v>3966</v>
      </c>
      <c r="D2853" s="201" t="s">
        <v>1954</v>
      </c>
    </row>
    <row r="2854" spans="2:4" ht="15" customHeight="1">
      <c r="B2854" s="198" t="s">
        <v>3956</v>
      </c>
      <c r="C2854" s="154" t="s">
        <v>3315</v>
      </c>
      <c r="D2854" s="201" t="s">
        <v>1954</v>
      </c>
    </row>
    <row r="2855" spans="2:4" ht="15" customHeight="1">
      <c r="B2855" s="198" t="s">
        <v>3957</v>
      </c>
      <c r="C2855" s="154" t="s">
        <v>3967</v>
      </c>
      <c r="D2855" s="201" t="s">
        <v>1953</v>
      </c>
    </row>
    <row r="2856" spans="2:4" ht="15" customHeight="1">
      <c r="B2856" s="198" t="s">
        <v>3958</v>
      </c>
      <c r="C2856" s="154" t="s">
        <v>3968</v>
      </c>
      <c r="D2856" s="201" t="s">
        <v>1953</v>
      </c>
    </row>
    <row r="2857" spans="2:4" ht="15" customHeight="1">
      <c r="B2857" s="198" t="s">
        <v>3959</v>
      </c>
      <c r="C2857" s="154" t="s">
        <v>3969</v>
      </c>
      <c r="D2857" s="201" t="s">
        <v>1954</v>
      </c>
    </row>
    <row r="2858" spans="2:4" ht="15" customHeight="1">
      <c r="B2858" s="199" t="s">
        <v>3960</v>
      </c>
      <c r="C2858" s="194" t="s">
        <v>3419</v>
      </c>
      <c r="D2858" s="203" t="s">
        <v>1953</v>
      </c>
    </row>
    <row r="2859" spans="2:4" ht="15" customHeight="1">
      <c r="B2859" s="198" t="s">
        <v>3970</v>
      </c>
      <c r="C2859" s="154" t="s">
        <v>1560</v>
      </c>
      <c r="D2859" s="201" t="s">
        <v>1953</v>
      </c>
    </row>
    <row r="2860" spans="2:4" ht="15" customHeight="1">
      <c r="B2860" s="198" t="s">
        <v>3971</v>
      </c>
      <c r="C2860" s="154" t="s">
        <v>1560</v>
      </c>
      <c r="D2860" s="201" t="s">
        <v>1953</v>
      </c>
    </row>
    <row r="2861" spans="2:4" ht="15" customHeight="1">
      <c r="B2861" s="198" t="s">
        <v>3972</v>
      </c>
      <c r="C2861" s="154" t="s">
        <v>1560</v>
      </c>
      <c r="D2861" s="201" t="s">
        <v>1953</v>
      </c>
    </row>
    <row r="2862" spans="2:4" ht="15" customHeight="1">
      <c r="B2862" s="198" t="s">
        <v>3973</v>
      </c>
      <c r="C2862" s="154" t="s">
        <v>3854</v>
      </c>
      <c r="D2862" s="201" t="s">
        <v>1955</v>
      </c>
    </row>
    <row r="2863" spans="2:4" ht="15" customHeight="1">
      <c r="B2863" s="198" t="s">
        <v>3974</v>
      </c>
      <c r="C2863" s="154" t="s">
        <v>3854</v>
      </c>
      <c r="D2863" s="201" t="s">
        <v>1955</v>
      </c>
    </row>
    <row r="2864" spans="2:4" ht="15" customHeight="1">
      <c r="B2864" s="198" t="s">
        <v>3975</v>
      </c>
      <c r="C2864" s="154" t="s">
        <v>1625</v>
      </c>
      <c r="D2864" s="201" t="s">
        <v>1951</v>
      </c>
    </row>
    <row r="2865" spans="2:4" ht="15" customHeight="1">
      <c r="B2865" s="198" t="s">
        <v>3976</v>
      </c>
      <c r="C2865" s="154" t="s">
        <v>149</v>
      </c>
      <c r="D2865" s="201" t="s">
        <v>1956</v>
      </c>
    </row>
    <row r="2866" spans="2:4" ht="15" customHeight="1">
      <c r="B2866" s="198" t="s">
        <v>3977</v>
      </c>
      <c r="C2866" s="154" t="s">
        <v>1544</v>
      </c>
      <c r="D2866" s="201" t="s">
        <v>1951</v>
      </c>
    </row>
    <row r="2867" spans="2:4" ht="15" customHeight="1">
      <c r="B2867" s="198" t="s">
        <v>3978</v>
      </c>
      <c r="C2867" s="154" t="s">
        <v>1544</v>
      </c>
      <c r="D2867" s="201" t="s">
        <v>1951</v>
      </c>
    </row>
    <row r="2868" spans="2:4" ht="15" customHeight="1">
      <c r="B2868" s="198" t="s">
        <v>3979</v>
      </c>
      <c r="C2868" s="154" t="s">
        <v>1544</v>
      </c>
      <c r="D2868" s="201" t="s">
        <v>1951</v>
      </c>
    </row>
    <row r="2869" spans="2:4" ht="15" customHeight="1">
      <c r="B2869" s="198" t="s">
        <v>3980</v>
      </c>
      <c r="C2869" s="154" t="s">
        <v>149</v>
      </c>
      <c r="D2869" s="201" t="s">
        <v>1956</v>
      </c>
    </row>
    <row r="2870" spans="2:4" ht="15" customHeight="1">
      <c r="B2870" s="198" t="s">
        <v>3981</v>
      </c>
      <c r="C2870" s="154" t="s">
        <v>149</v>
      </c>
      <c r="D2870" s="201" t="s">
        <v>1956</v>
      </c>
    </row>
    <row r="2871" spans="2:4" ht="15" customHeight="1">
      <c r="B2871" s="198" t="s">
        <v>3982</v>
      </c>
      <c r="C2871" s="154" t="s">
        <v>1625</v>
      </c>
      <c r="D2871" s="201" t="s">
        <v>1951</v>
      </c>
    </row>
    <row r="2872" spans="2:4" ht="15" customHeight="1">
      <c r="B2872" s="198" t="s">
        <v>3983</v>
      </c>
      <c r="C2872" s="154" t="s">
        <v>153</v>
      </c>
      <c r="D2872" s="201" t="s">
        <v>1951</v>
      </c>
    </row>
    <row r="2873" spans="2:4" ht="15" customHeight="1">
      <c r="B2873" s="198" t="s">
        <v>3984</v>
      </c>
      <c r="C2873" s="154" t="s">
        <v>153</v>
      </c>
      <c r="D2873" s="201" t="s">
        <v>1951</v>
      </c>
    </row>
    <row r="2874" spans="2:4" ht="15" customHeight="1">
      <c r="B2874" s="198" t="s">
        <v>3985</v>
      </c>
      <c r="C2874" s="154" t="s">
        <v>153</v>
      </c>
      <c r="D2874" s="201" t="s">
        <v>1951</v>
      </c>
    </row>
    <row r="2875" spans="2:4" ht="15" customHeight="1">
      <c r="B2875" s="198" t="s">
        <v>3986</v>
      </c>
      <c r="C2875" s="154" t="s">
        <v>153</v>
      </c>
      <c r="D2875" s="201" t="s">
        <v>1951</v>
      </c>
    </row>
    <row r="2876" spans="2:4" ht="15" customHeight="1">
      <c r="B2876" s="198" t="s">
        <v>3987</v>
      </c>
      <c r="C2876" s="154" t="s">
        <v>150</v>
      </c>
      <c r="D2876" s="201" t="s">
        <v>1951</v>
      </c>
    </row>
    <row r="2877" spans="2:4" ht="15" customHeight="1">
      <c r="B2877" s="198" t="s">
        <v>3988</v>
      </c>
      <c r="C2877" s="154" t="s">
        <v>150</v>
      </c>
      <c r="D2877" s="201" t="s">
        <v>1951</v>
      </c>
    </row>
    <row r="2878" spans="2:4" ht="15" customHeight="1">
      <c r="B2878" s="198" t="s">
        <v>3989</v>
      </c>
      <c r="C2878" s="154" t="s">
        <v>153</v>
      </c>
      <c r="D2878" s="201" t="s">
        <v>1951</v>
      </c>
    </row>
    <row r="2879" spans="2:4" ht="15" customHeight="1">
      <c r="B2879" s="198" t="s">
        <v>3990</v>
      </c>
      <c r="C2879" s="154" t="s">
        <v>149</v>
      </c>
      <c r="D2879" s="201" t="s">
        <v>1956</v>
      </c>
    </row>
    <row r="2880" spans="2:4" ht="15" customHeight="1">
      <c r="B2880" s="198" t="s">
        <v>3991</v>
      </c>
      <c r="C2880" s="154" t="s">
        <v>149</v>
      </c>
      <c r="D2880" s="201" t="s">
        <v>1956</v>
      </c>
    </row>
    <row r="2881" spans="2:4" ht="15" customHeight="1">
      <c r="B2881" s="198" t="s">
        <v>3992</v>
      </c>
      <c r="C2881" s="154" t="s">
        <v>4014</v>
      </c>
      <c r="D2881" s="201" t="s">
        <v>1954</v>
      </c>
    </row>
    <row r="2882" spans="2:4" ht="15" customHeight="1">
      <c r="B2882" s="198" t="s">
        <v>3993</v>
      </c>
      <c r="C2882" s="154" t="s">
        <v>149</v>
      </c>
      <c r="D2882" s="201" t="s">
        <v>1956</v>
      </c>
    </row>
    <row r="2883" spans="2:4" ht="15" customHeight="1">
      <c r="B2883" s="198" t="s">
        <v>3994</v>
      </c>
      <c r="C2883" s="154" t="s">
        <v>149</v>
      </c>
      <c r="D2883" s="201" t="s">
        <v>1956</v>
      </c>
    </row>
    <row r="2884" spans="2:4" ht="15" customHeight="1">
      <c r="B2884" s="198" t="s">
        <v>3995</v>
      </c>
      <c r="C2884" s="154" t="s">
        <v>1595</v>
      </c>
      <c r="D2884" s="201" t="s">
        <v>1956</v>
      </c>
    </row>
    <row r="2885" spans="2:4" ht="15" customHeight="1">
      <c r="B2885" s="198" t="s">
        <v>3996</v>
      </c>
      <c r="C2885" s="154" t="s">
        <v>149</v>
      </c>
      <c r="D2885" s="201" t="s">
        <v>1956</v>
      </c>
    </row>
    <row r="2886" spans="2:4" ht="15" customHeight="1">
      <c r="B2886" s="198" t="s">
        <v>3997</v>
      </c>
      <c r="C2886" s="154" t="s">
        <v>149</v>
      </c>
      <c r="D2886" s="201" t="s">
        <v>1956</v>
      </c>
    </row>
    <row r="2887" spans="2:4" ht="15" customHeight="1">
      <c r="B2887" s="198" t="s">
        <v>3998</v>
      </c>
      <c r="C2887" s="154" t="s">
        <v>150</v>
      </c>
      <c r="D2887" s="201" t="s">
        <v>1951</v>
      </c>
    </row>
    <row r="2888" spans="2:4" ht="15" customHeight="1">
      <c r="B2888" s="198" t="s">
        <v>3999</v>
      </c>
      <c r="C2888" s="154" t="s">
        <v>149</v>
      </c>
      <c r="D2888" s="201" t="s">
        <v>1956</v>
      </c>
    </row>
    <row r="2889" spans="2:4" ht="15" customHeight="1">
      <c r="B2889" s="198" t="s">
        <v>4000</v>
      </c>
      <c r="C2889" s="154" t="s">
        <v>150</v>
      </c>
      <c r="D2889" s="201" t="s">
        <v>1951</v>
      </c>
    </row>
    <row r="2890" spans="2:4" ht="15" customHeight="1">
      <c r="B2890" s="198" t="s">
        <v>4001</v>
      </c>
      <c r="C2890" s="154" t="s">
        <v>149</v>
      </c>
      <c r="D2890" s="201" t="s">
        <v>1956</v>
      </c>
    </row>
    <row r="2891" spans="2:4" ht="15" customHeight="1">
      <c r="B2891" s="198" t="s">
        <v>4002</v>
      </c>
      <c r="C2891" s="154" t="s">
        <v>149</v>
      </c>
      <c r="D2891" s="201" t="s">
        <v>1956</v>
      </c>
    </row>
    <row r="2892" spans="2:4" ht="15" customHeight="1">
      <c r="B2892" s="198" t="s">
        <v>4003</v>
      </c>
      <c r="C2892" s="154" t="s">
        <v>149</v>
      </c>
      <c r="D2892" s="201" t="s">
        <v>1956</v>
      </c>
    </row>
    <row r="2893" spans="2:4" ht="15" customHeight="1">
      <c r="B2893" s="198" t="s">
        <v>4004</v>
      </c>
      <c r="C2893" s="154" t="s">
        <v>1581</v>
      </c>
      <c r="D2893" s="201" t="s">
        <v>1955</v>
      </c>
    </row>
    <row r="2894" spans="2:4" ht="15" customHeight="1">
      <c r="B2894" s="198" t="s">
        <v>4005</v>
      </c>
      <c r="C2894" s="154" t="s">
        <v>1581</v>
      </c>
      <c r="D2894" s="201" t="s">
        <v>1955</v>
      </c>
    </row>
    <row r="2895" spans="2:4" ht="15" customHeight="1">
      <c r="B2895" s="198" t="s">
        <v>4006</v>
      </c>
      <c r="C2895" s="154" t="s">
        <v>149</v>
      </c>
      <c r="D2895" s="201" t="s">
        <v>1956</v>
      </c>
    </row>
    <row r="2896" spans="2:4" ht="15" customHeight="1">
      <c r="B2896" s="198" t="s">
        <v>4007</v>
      </c>
      <c r="C2896" s="154" t="s">
        <v>149</v>
      </c>
      <c r="D2896" s="201" t="s">
        <v>1956</v>
      </c>
    </row>
    <row r="2897" spans="2:4" ht="15" customHeight="1">
      <c r="B2897" s="198" t="s">
        <v>4008</v>
      </c>
      <c r="C2897" s="154" t="s">
        <v>1625</v>
      </c>
      <c r="D2897" s="201" t="s">
        <v>1951</v>
      </c>
    </row>
    <row r="2898" spans="2:4" ht="15" customHeight="1">
      <c r="B2898" s="198" t="s">
        <v>4009</v>
      </c>
      <c r="C2898" s="154" t="s">
        <v>1625</v>
      </c>
      <c r="D2898" s="201" t="s">
        <v>1951</v>
      </c>
    </row>
    <row r="2899" spans="2:4" ht="15" customHeight="1">
      <c r="B2899" s="198" t="s">
        <v>4013</v>
      </c>
      <c r="C2899" s="154" t="s">
        <v>1915</v>
      </c>
      <c r="D2899" s="201" t="s">
        <v>1954</v>
      </c>
    </row>
    <row r="2900" spans="2:4" ht="15" customHeight="1">
      <c r="B2900" s="198" t="s">
        <v>4010</v>
      </c>
      <c r="C2900" s="154" t="s">
        <v>149</v>
      </c>
      <c r="D2900" s="201" t="s">
        <v>1956</v>
      </c>
    </row>
    <row r="2901" spans="2:4" ht="15" customHeight="1">
      <c r="B2901" s="198" t="s">
        <v>4011</v>
      </c>
      <c r="C2901" s="154" t="s">
        <v>149</v>
      </c>
      <c r="D2901" s="201" t="s">
        <v>1956</v>
      </c>
    </row>
    <row r="2902" spans="2:4" ht="15" customHeight="1">
      <c r="B2902" s="198" t="s">
        <v>4012</v>
      </c>
      <c r="C2902" s="154" t="s">
        <v>1595</v>
      </c>
      <c r="D2902" s="201" t="s">
        <v>1956</v>
      </c>
    </row>
    <row r="2903" spans="2:4" ht="15" customHeight="1">
      <c r="B2903" s="198" t="s">
        <v>4015</v>
      </c>
      <c r="C2903" s="154" t="s">
        <v>1534</v>
      </c>
      <c r="D2903" s="201" t="s">
        <v>1959</v>
      </c>
    </row>
    <row r="2904" spans="2:4" ht="15" customHeight="1">
      <c r="B2904" s="198" t="s">
        <v>4016</v>
      </c>
      <c r="C2904" s="154" t="s">
        <v>4019</v>
      </c>
      <c r="D2904" s="201" t="s">
        <v>2216</v>
      </c>
    </row>
    <row r="2905" spans="2:4" ht="15" customHeight="1">
      <c r="B2905" s="198" t="s">
        <v>4017</v>
      </c>
      <c r="C2905" s="154" t="s">
        <v>149</v>
      </c>
      <c r="D2905" s="201" t="s">
        <v>1956</v>
      </c>
    </row>
    <row r="2906" spans="2:4" ht="15" customHeight="1">
      <c r="B2906" s="198" t="s">
        <v>4018</v>
      </c>
      <c r="C2906" s="154" t="s">
        <v>1518</v>
      </c>
      <c r="D2906" s="201" t="s">
        <v>1957</v>
      </c>
    </row>
    <row r="2907" spans="2:4" ht="15" customHeight="1">
      <c r="B2907" s="198" t="s">
        <v>4020</v>
      </c>
      <c r="C2907" s="154" t="s">
        <v>1660</v>
      </c>
      <c r="D2907" s="201" t="s">
        <v>1951</v>
      </c>
    </row>
    <row r="2908" spans="2:4" ht="15" customHeight="1">
      <c r="B2908" s="198" t="s">
        <v>4021</v>
      </c>
      <c r="C2908" s="154" t="s">
        <v>3465</v>
      </c>
      <c r="D2908" s="201" t="s">
        <v>1951</v>
      </c>
    </row>
    <row r="2909" spans="2:4" ht="15" customHeight="1">
      <c r="B2909" s="198" t="s">
        <v>4022</v>
      </c>
      <c r="C2909" s="154" t="s">
        <v>4023</v>
      </c>
      <c r="D2909" s="201" t="s">
        <v>1954</v>
      </c>
    </row>
    <row r="2910" spans="2:4" ht="15" customHeight="1">
      <c r="B2910" s="198" t="s">
        <v>4024</v>
      </c>
      <c r="C2910" s="154" t="s">
        <v>150</v>
      </c>
      <c r="D2910" s="201" t="s">
        <v>1951</v>
      </c>
    </row>
    <row r="2911" spans="2:4" ht="15" customHeight="1">
      <c r="B2911" s="198" t="s">
        <v>4025</v>
      </c>
      <c r="C2911" s="154" t="s">
        <v>149</v>
      </c>
      <c r="D2911" s="201" t="s">
        <v>1956</v>
      </c>
    </row>
    <row r="2912" spans="2:4" ht="15" customHeight="1">
      <c r="B2912" s="198" t="s">
        <v>4026</v>
      </c>
      <c r="C2912" s="154" t="s">
        <v>149</v>
      </c>
      <c r="D2912" s="201" t="s">
        <v>1956</v>
      </c>
    </row>
    <row r="2913" spans="2:4" ht="15" customHeight="1">
      <c r="B2913" s="198" t="s">
        <v>4027</v>
      </c>
      <c r="C2913" s="154" t="s">
        <v>4033</v>
      </c>
      <c r="D2913" s="201" t="s">
        <v>1958</v>
      </c>
    </row>
    <row r="2914" spans="2:4" ht="15" customHeight="1">
      <c r="B2914" s="198" t="s">
        <v>4028</v>
      </c>
      <c r="C2914" s="154" t="s">
        <v>142</v>
      </c>
      <c r="D2914" s="201" t="s">
        <v>1954</v>
      </c>
    </row>
    <row r="2915" spans="2:4" ht="15" customHeight="1">
      <c r="B2915" s="198" t="s">
        <v>4029</v>
      </c>
      <c r="C2915" s="154" t="s">
        <v>1522</v>
      </c>
      <c r="D2915" s="201" t="s">
        <v>1953</v>
      </c>
    </row>
    <row r="2916" spans="2:4" ht="15" customHeight="1">
      <c r="B2916" s="198" t="s">
        <v>4030</v>
      </c>
      <c r="C2916" s="154" t="s">
        <v>1581</v>
      </c>
      <c r="D2916" s="201" t="s">
        <v>1955</v>
      </c>
    </row>
    <row r="2917" spans="2:4" ht="15" customHeight="1">
      <c r="B2917" s="198" t="s">
        <v>4031</v>
      </c>
      <c r="C2917" s="154" t="s">
        <v>4034</v>
      </c>
      <c r="D2917" s="201" t="s">
        <v>1956</v>
      </c>
    </row>
    <row r="2918" spans="2:4" ht="15" customHeight="1">
      <c r="B2918" s="198" t="s">
        <v>4032</v>
      </c>
      <c r="C2918" s="154" t="s">
        <v>1567</v>
      </c>
      <c r="D2918" s="201" t="s">
        <v>1953</v>
      </c>
    </row>
    <row r="2919" spans="2:4" ht="15" customHeight="1">
      <c r="B2919" s="198" t="s">
        <v>4035</v>
      </c>
      <c r="C2919" s="154" t="s">
        <v>3081</v>
      </c>
      <c r="D2919" s="201" t="s">
        <v>1957</v>
      </c>
    </row>
    <row r="2920" spans="2:4" ht="15" customHeight="1">
      <c r="B2920" s="198" t="s">
        <v>4036</v>
      </c>
      <c r="C2920" s="154" t="s">
        <v>3081</v>
      </c>
      <c r="D2920" s="201" t="s">
        <v>1957</v>
      </c>
    </row>
    <row r="2921" spans="2:4" ht="15" customHeight="1">
      <c r="B2921" s="198" t="s">
        <v>4037</v>
      </c>
      <c r="C2921" s="154" t="s">
        <v>3081</v>
      </c>
      <c r="D2921" s="201" t="s">
        <v>1957</v>
      </c>
    </row>
    <row r="2922" spans="2:4">
      <c r="B2922" s="198" t="s">
        <v>4038</v>
      </c>
      <c r="C2922" s="154" t="s">
        <v>3081</v>
      </c>
      <c r="D2922" s="201" t="s">
        <v>1957</v>
      </c>
    </row>
    <row r="2923" spans="2:4">
      <c r="B2923" s="198" t="s">
        <v>4039</v>
      </c>
      <c r="C2923" s="154" t="s">
        <v>3081</v>
      </c>
      <c r="D2923" s="201" t="s">
        <v>1957</v>
      </c>
    </row>
    <row r="2924" spans="2:4">
      <c r="B2924" s="198" t="s">
        <v>4040</v>
      </c>
      <c r="C2924" s="154" t="s">
        <v>4042</v>
      </c>
      <c r="D2924" s="201" t="s">
        <v>2220</v>
      </c>
    </row>
    <row r="2925" spans="2:4">
      <c r="B2925" s="198" t="s">
        <v>4041</v>
      </c>
      <c r="C2925" s="154" t="s">
        <v>3081</v>
      </c>
      <c r="D2925" s="201" t="s">
        <v>1957</v>
      </c>
    </row>
    <row r="2926" spans="2:4">
      <c r="B2926" s="198" t="s">
        <v>4043</v>
      </c>
      <c r="C2926" s="154" t="s">
        <v>4044</v>
      </c>
      <c r="D2926" s="201" t="s">
        <v>2216</v>
      </c>
    </row>
    <row r="2927" spans="2:4">
      <c r="B2927" s="198" t="s">
        <v>4045</v>
      </c>
      <c r="C2927" s="154" t="s">
        <v>1641</v>
      </c>
      <c r="D2927" s="201" t="s">
        <v>1958</v>
      </c>
    </row>
    <row r="2928" spans="2:4">
      <c r="B2928" s="198" t="s">
        <v>4046</v>
      </c>
      <c r="C2928" s="154" t="s">
        <v>4051</v>
      </c>
      <c r="D2928" s="201" t="s">
        <v>1954</v>
      </c>
    </row>
    <row r="2929" spans="2:4">
      <c r="B2929" s="198" t="s">
        <v>4047</v>
      </c>
      <c r="C2929" s="154" t="s">
        <v>1522</v>
      </c>
      <c r="D2929" s="201" t="s">
        <v>1953</v>
      </c>
    </row>
    <row r="2930" spans="2:4">
      <c r="B2930" s="198" t="s">
        <v>4048</v>
      </c>
      <c r="C2930" s="154" t="s">
        <v>1839</v>
      </c>
      <c r="D2930" s="201" t="s">
        <v>1955</v>
      </c>
    </row>
    <row r="2931" spans="2:4">
      <c r="B2931" s="198" t="s">
        <v>4049</v>
      </c>
      <c r="C2931" s="154" t="s">
        <v>1726</v>
      </c>
      <c r="D2931" s="201" t="s">
        <v>1956</v>
      </c>
    </row>
    <row r="2932" spans="2:4">
      <c r="B2932" s="199" t="s">
        <v>4050</v>
      </c>
      <c r="C2932" s="194" t="s">
        <v>4052</v>
      </c>
      <c r="D2932" s="203" t="s">
        <v>1951</v>
      </c>
    </row>
    <row r="2933" spans="2:4">
      <c r="B2933" s="198" t="s">
        <v>4054</v>
      </c>
      <c r="C2933" s="154" t="s">
        <v>4073</v>
      </c>
      <c r="D2933" s="201" t="s">
        <v>1958</v>
      </c>
    </row>
    <row r="2934" spans="2:4">
      <c r="B2934" s="198" t="s">
        <v>4055</v>
      </c>
      <c r="C2934" s="154" t="s">
        <v>149</v>
      </c>
      <c r="D2934" s="201" t="s">
        <v>1956</v>
      </c>
    </row>
    <row r="2935" spans="2:4">
      <c r="B2935" s="198" t="s">
        <v>4056</v>
      </c>
      <c r="C2935" s="154" t="s">
        <v>1770</v>
      </c>
      <c r="D2935" s="201" t="s">
        <v>1956</v>
      </c>
    </row>
    <row r="2936" spans="2:4">
      <c r="B2936" s="198" t="s">
        <v>4057</v>
      </c>
      <c r="C2936" s="154" t="s">
        <v>149</v>
      </c>
      <c r="D2936" s="201" t="s">
        <v>1956</v>
      </c>
    </row>
    <row r="2937" spans="2:4">
      <c r="B2937" s="198" t="s">
        <v>4058</v>
      </c>
      <c r="C2937" s="154" t="s">
        <v>3483</v>
      </c>
      <c r="D2937" s="201" t="s">
        <v>1956</v>
      </c>
    </row>
    <row r="2938" spans="2:4">
      <c r="B2938" s="198" t="s">
        <v>4059</v>
      </c>
      <c r="C2938" s="154" t="s">
        <v>3465</v>
      </c>
      <c r="D2938" s="201" t="s">
        <v>1951</v>
      </c>
    </row>
    <row r="2939" spans="2:4">
      <c r="B2939" s="198" t="s">
        <v>4060</v>
      </c>
      <c r="C2939" s="154" t="s">
        <v>4074</v>
      </c>
      <c r="D2939" s="201" t="s">
        <v>1956</v>
      </c>
    </row>
    <row r="2940" spans="2:4">
      <c r="B2940" s="198" t="s">
        <v>4061</v>
      </c>
      <c r="C2940" s="154" t="s">
        <v>3416</v>
      </c>
      <c r="D2940" s="201" t="s">
        <v>1953</v>
      </c>
    </row>
    <row r="2941" spans="2:4">
      <c r="B2941" s="198" t="s">
        <v>4062</v>
      </c>
      <c r="C2941" s="154" t="s">
        <v>1813</v>
      </c>
      <c r="D2941" s="201" t="s">
        <v>1953</v>
      </c>
    </row>
    <row r="2942" spans="2:4">
      <c r="B2942" s="198" t="s">
        <v>4063</v>
      </c>
      <c r="C2942" s="154" t="s">
        <v>4075</v>
      </c>
      <c r="D2942" s="201" t="s">
        <v>1956</v>
      </c>
    </row>
    <row r="2943" spans="2:4">
      <c r="B2943" s="198" t="s">
        <v>4064</v>
      </c>
      <c r="C2943" s="154" t="s">
        <v>3439</v>
      </c>
      <c r="D2943" s="201" t="s">
        <v>1951</v>
      </c>
    </row>
    <row r="2944" spans="2:4">
      <c r="B2944" s="198" t="s">
        <v>4065</v>
      </c>
      <c r="C2944" s="154" t="s">
        <v>1581</v>
      </c>
      <c r="D2944" s="201" t="s">
        <v>1955</v>
      </c>
    </row>
    <row r="2945" spans="2:4">
      <c r="B2945" s="198" t="s">
        <v>4066</v>
      </c>
      <c r="C2945" s="154" t="s">
        <v>4076</v>
      </c>
      <c r="D2945" s="201" t="s">
        <v>1956</v>
      </c>
    </row>
    <row r="2946" spans="2:4">
      <c r="B2946" s="198" t="s">
        <v>4067</v>
      </c>
      <c r="C2946" s="154" t="s">
        <v>3467</v>
      </c>
      <c r="D2946" s="201" t="s">
        <v>1951</v>
      </c>
    </row>
    <row r="2947" spans="2:4">
      <c r="B2947" s="198" t="s">
        <v>4068</v>
      </c>
      <c r="C2947" s="154" t="s">
        <v>1853</v>
      </c>
      <c r="D2947" s="201" t="s">
        <v>1951</v>
      </c>
    </row>
    <row r="2948" spans="2:4">
      <c r="B2948" s="198" t="s">
        <v>4069</v>
      </c>
      <c r="C2948" s="154" t="s">
        <v>2916</v>
      </c>
      <c r="D2948" s="201" t="s">
        <v>1951</v>
      </c>
    </row>
    <row r="2949" spans="2:4">
      <c r="B2949" s="198" t="s">
        <v>4070</v>
      </c>
      <c r="C2949" s="154" t="s">
        <v>142</v>
      </c>
      <c r="D2949" s="201" t="s">
        <v>1954</v>
      </c>
    </row>
    <row r="2950" spans="2:4">
      <c r="B2950" s="198" t="s">
        <v>4071</v>
      </c>
      <c r="C2950" s="154" t="s">
        <v>4077</v>
      </c>
      <c r="D2950" s="201" t="s">
        <v>1956</v>
      </c>
    </row>
    <row r="2951" spans="2:4">
      <c r="B2951" s="198" t="s">
        <v>4072</v>
      </c>
      <c r="C2951" s="154" t="s">
        <v>3339</v>
      </c>
      <c r="D2951" s="201" t="s">
        <v>1951</v>
      </c>
    </row>
    <row r="2952" spans="2:4">
      <c r="B2952" s="198" t="s">
        <v>4078</v>
      </c>
      <c r="C2952" s="154" t="s">
        <v>149</v>
      </c>
      <c r="D2952" s="201" t="s">
        <v>1956</v>
      </c>
    </row>
    <row r="2953" spans="2:4">
      <c r="B2953" s="198" t="s">
        <v>4079</v>
      </c>
      <c r="C2953" s="154" t="s">
        <v>4082</v>
      </c>
      <c r="D2953" s="201" t="s">
        <v>2217</v>
      </c>
    </row>
    <row r="2954" spans="2:4">
      <c r="B2954" s="198" t="s">
        <v>4080</v>
      </c>
      <c r="C2954" s="154" t="s">
        <v>4082</v>
      </c>
      <c r="D2954" s="201" t="s">
        <v>2217</v>
      </c>
    </row>
    <row r="2955" spans="2:4">
      <c r="B2955" s="198" t="s">
        <v>4081</v>
      </c>
      <c r="C2955" s="154" t="s">
        <v>4083</v>
      </c>
      <c r="D2955" s="201" t="s">
        <v>2217</v>
      </c>
    </row>
    <row r="2956" spans="2:4">
      <c r="B2956" s="200" t="s">
        <v>4084</v>
      </c>
      <c r="C2956" s="195" t="s">
        <v>4085</v>
      </c>
      <c r="D2956" s="204" t="s">
        <v>1958</v>
      </c>
    </row>
    <row r="2957" spans="2:4">
      <c r="B2957" s="198" t="s">
        <v>4086</v>
      </c>
      <c r="C2957" s="154" t="s">
        <v>1558</v>
      </c>
      <c r="D2957" s="201" t="s">
        <v>1958</v>
      </c>
    </row>
    <row r="2958" spans="2:4">
      <c r="B2958" s="198" t="s">
        <v>4087</v>
      </c>
      <c r="C2958" s="154" t="s">
        <v>1532</v>
      </c>
      <c r="D2958" s="201" t="s">
        <v>1958</v>
      </c>
    </row>
    <row r="2959" spans="2:4">
      <c r="B2959" s="198" t="s">
        <v>4088</v>
      </c>
      <c r="C2959" s="154" t="s">
        <v>4104</v>
      </c>
      <c r="D2959" s="201" t="s">
        <v>1958</v>
      </c>
    </row>
    <row r="2960" spans="2:4">
      <c r="B2960" s="198" t="s">
        <v>4089</v>
      </c>
      <c r="C2960" s="154" t="s">
        <v>1551</v>
      </c>
      <c r="D2960" s="201" t="s">
        <v>1958</v>
      </c>
    </row>
    <row r="2961" spans="2:4">
      <c r="B2961" s="198" t="s">
        <v>4090</v>
      </c>
      <c r="C2961" s="154" t="s">
        <v>4105</v>
      </c>
      <c r="D2961" s="201" t="s">
        <v>1958</v>
      </c>
    </row>
    <row r="2962" spans="2:4">
      <c r="B2962" s="198" t="s">
        <v>4091</v>
      </c>
      <c r="C2962" s="154" t="s">
        <v>1623</v>
      </c>
      <c r="D2962" s="201" t="s">
        <v>1958</v>
      </c>
    </row>
    <row r="2963" spans="2:4">
      <c r="B2963" s="198" t="s">
        <v>4092</v>
      </c>
      <c r="C2963" s="154" t="s">
        <v>1551</v>
      </c>
      <c r="D2963" s="201" t="s">
        <v>1958</v>
      </c>
    </row>
    <row r="2964" spans="2:4">
      <c r="B2964" s="198" t="s">
        <v>4093</v>
      </c>
      <c r="C2964" s="154" t="s">
        <v>1623</v>
      </c>
      <c r="D2964" s="201" t="s">
        <v>1958</v>
      </c>
    </row>
    <row r="2965" spans="2:4">
      <c r="B2965" s="198" t="s">
        <v>4094</v>
      </c>
      <c r="C2965" s="154" t="s">
        <v>4106</v>
      </c>
      <c r="D2965" s="201" t="s">
        <v>1958</v>
      </c>
    </row>
    <row r="2966" spans="2:4">
      <c r="B2966" s="198" t="s">
        <v>4095</v>
      </c>
      <c r="C2966" s="154" t="s">
        <v>4106</v>
      </c>
      <c r="D2966" s="201" t="s">
        <v>1958</v>
      </c>
    </row>
    <row r="2967" spans="2:4">
      <c r="B2967" s="198" t="s">
        <v>4096</v>
      </c>
      <c r="C2967" s="154" t="s">
        <v>1551</v>
      </c>
      <c r="D2967" s="201" t="s">
        <v>1958</v>
      </c>
    </row>
    <row r="2968" spans="2:4">
      <c r="B2968" s="198" t="s">
        <v>4097</v>
      </c>
      <c r="C2968" s="154" t="s">
        <v>4107</v>
      </c>
      <c r="D2968" s="201" t="s">
        <v>1958</v>
      </c>
    </row>
    <row r="2969" spans="2:4">
      <c r="B2969" s="198" t="s">
        <v>4098</v>
      </c>
      <c r="C2969" s="154" t="s">
        <v>1550</v>
      </c>
      <c r="D2969" s="201" t="s">
        <v>1958</v>
      </c>
    </row>
    <row r="2970" spans="2:4">
      <c r="B2970" s="198" t="s">
        <v>4099</v>
      </c>
      <c r="C2970" s="154" t="s">
        <v>1549</v>
      </c>
      <c r="D2970" s="201" t="s">
        <v>1958</v>
      </c>
    </row>
    <row r="2971" spans="2:4">
      <c r="B2971" s="198" t="s">
        <v>4100</v>
      </c>
      <c r="C2971" s="154" t="s">
        <v>1623</v>
      </c>
      <c r="D2971" s="201" t="s">
        <v>1958</v>
      </c>
    </row>
    <row r="2972" spans="2:4">
      <c r="B2972" s="198" t="s">
        <v>4101</v>
      </c>
      <c r="C2972" s="154" t="s">
        <v>3081</v>
      </c>
      <c r="D2972" s="201" t="s">
        <v>1957</v>
      </c>
    </row>
    <row r="2973" spans="2:4">
      <c r="B2973" s="198" t="s">
        <v>4102</v>
      </c>
      <c r="C2973" s="154" t="s">
        <v>3081</v>
      </c>
      <c r="D2973" s="201" t="s">
        <v>1957</v>
      </c>
    </row>
    <row r="2974" spans="2:4">
      <c r="B2974" s="198" t="s">
        <v>4103</v>
      </c>
      <c r="C2974" s="154" t="s">
        <v>1587</v>
      </c>
      <c r="D2974" s="201" t="s">
        <v>1958</v>
      </c>
    </row>
    <row r="2975" spans="2:4">
      <c r="B2975" s="198" t="s">
        <v>4108</v>
      </c>
      <c r="C2975" s="154" t="s">
        <v>4112</v>
      </c>
      <c r="D2975" s="201" t="s">
        <v>1958</v>
      </c>
    </row>
    <row r="2976" spans="2:4">
      <c r="B2976" s="198" t="s">
        <v>4109</v>
      </c>
      <c r="C2976" s="154" t="s">
        <v>3050</v>
      </c>
      <c r="D2976" s="201" t="s">
        <v>1953</v>
      </c>
    </row>
    <row r="2977" spans="2:4">
      <c r="B2977" s="198" t="s">
        <v>4110</v>
      </c>
      <c r="C2977" s="154" t="s">
        <v>1587</v>
      </c>
      <c r="D2977" s="201" t="s">
        <v>1958</v>
      </c>
    </row>
    <row r="2978" spans="2:4">
      <c r="B2978" s="198" t="s">
        <v>4111</v>
      </c>
      <c r="C2978" s="154" t="s">
        <v>3050</v>
      </c>
      <c r="D2978" s="201" t="s">
        <v>1953</v>
      </c>
    </row>
    <row r="2979" spans="2:4">
      <c r="B2979" s="198" t="s">
        <v>4113</v>
      </c>
      <c r="C2979" s="154" t="s">
        <v>4131</v>
      </c>
      <c r="D2979" s="201" t="s">
        <v>1956</v>
      </c>
    </row>
    <row r="2980" spans="2:4">
      <c r="B2980" s="198" t="s">
        <v>4114</v>
      </c>
      <c r="C2980" s="154" t="s">
        <v>142</v>
      </c>
      <c r="D2980" s="201" t="s">
        <v>1954</v>
      </c>
    </row>
    <row r="2981" spans="2:4">
      <c r="B2981" s="198" t="s">
        <v>4115</v>
      </c>
      <c r="C2981" s="154" t="s">
        <v>1727</v>
      </c>
      <c r="D2981" s="201" t="s">
        <v>1953</v>
      </c>
    </row>
    <row r="2982" spans="2:4">
      <c r="B2982" s="198" t="s">
        <v>4116</v>
      </c>
      <c r="C2982" s="154" t="s">
        <v>149</v>
      </c>
      <c r="D2982" s="201" t="s">
        <v>1956</v>
      </c>
    </row>
    <row r="2983" spans="2:4">
      <c r="B2983" s="198" t="s">
        <v>4117</v>
      </c>
      <c r="C2983" s="154" t="s">
        <v>149</v>
      </c>
      <c r="D2983" s="201" t="s">
        <v>1956</v>
      </c>
    </row>
    <row r="2984" spans="2:4">
      <c r="B2984" s="198" t="s">
        <v>4118</v>
      </c>
      <c r="C2984" s="154" t="s">
        <v>149</v>
      </c>
      <c r="D2984" s="201" t="s">
        <v>1956</v>
      </c>
    </row>
    <row r="2985" spans="2:4">
      <c r="B2985" s="198" t="s">
        <v>4119</v>
      </c>
      <c r="C2985" s="154" t="s">
        <v>149</v>
      </c>
      <c r="D2985" s="201" t="s">
        <v>1956</v>
      </c>
    </row>
    <row r="2986" spans="2:4">
      <c r="B2986" s="198" t="s">
        <v>4120</v>
      </c>
      <c r="C2986" s="154" t="s">
        <v>149</v>
      </c>
      <c r="D2986" s="201" t="s">
        <v>1956</v>
      </c>
    </row>
    <row r="2987" spans="2:4">
      <c r="B2987" s="198" t="s">
        <v>4121</v>
      </c>
      <c r="C2987" s="154" t="s">
        <v>149</v>
      </c>
      <c r="D2987" s="201" t="s">
        <v>1956</v>
      </c>
    </row>
    <row r="2988" spans="2:4">
      <c r="B2988" s="198" t="s">
        <v>4122</v>
      </c>
      <c r="C2988" s="154" t="s">
        <v>149</v>
      </c>
      <c r="D2988" s="201" t="s">
        <v>1956</v>
      </c>
    </row>
    <row r="2989" spans="2:4">
      <c r="B2989" s="198" t="s">
        <v>4123</v>
      </c>
      <c r="C2989" s="154" t="s">
        <v>149</v>
      </c>
      <c r="D2989" s="201" t="s">
        <v>1956</v>
      </c>
    </row>
    <row r="2990" spans="2:4">
      <c r="B2990" s="198" t="s">
        <v>4124</v>
      </c>
      <c r="C2990" s="154" t="s">
        <v>149</v>
      </c>
      <c r="D2990" s="201" t="s">
        <v>1956</v>
      </c>
    </row>
    <row r="2991" spans="2:4">
      <c r="B2991" s="198" t="s">
        <v>4125</v>
      </c>
      <c r="C2991" s="154" t="s">
        <v>149</v>
      </c>
      <c r="D2991" s="201" t="s">
        <v>1956</v>
      </c>
    </row>
    <row r="2992" spans="2:4">
      <c r="B2992" s="198" t="s">
        <v>4126</v>
      </c>
      <c r="C2992" s="154" t="s">
        <v>149</v>
      </c>
      <c r="D2992" s="201" t="s">
        <v>1956</v>
      </c>
    </row>
    <row r="2993" spans="2:4">
      <c r="B2993" s="198" t="s">
        <v>4127</v>
      </c>
      <c r="C2993" s="154" t="s">
        <v>149</v>
      </c>
      <c r="D2993" s="201" t="s">
        <v>1956</v>
      </c>
    </row>
    <row r="2994" spans="2:4">
      <c r="B2994" s="198" t="s">
        <v>4128</v>
      </c>
      <c r="C2994" s="154" t="s">
        <v>149</v>
      </c>
      <c r="D2994" s="201" t="s">
        <v>1956</v>
      </c>
    </row>
    <row r="2995" spans="2:4">
      <c r="B2995" s="198" t="s">
        <v>4129</v>
      </c>
      <c r="C2995" s="154" t="s">
        <v>149</v>
      </c>
      <c r="D2995" s="201" t="s">
        <v>1956</v>
      </c>
    </row>
    <row r="2996" spans="2:4">
      <c r="B2996" s="198" t="s">
        <v>4130</v>
      </c>
      <c r="C2996" s="154" t="s">
        <v>149</v>
      </c>
      <c r="D2996" s="201" t="s">
        <v>1956</v>
      </c>
    </row>
    <row r="2997" spans="2:4">
      <c r="B2997" s="198" t="s">
        <v>4132</v>
      </c>
      <c r="C2997" s="154" t="s">
        <v>3313</v>
      </c>
      <c r="D2997" s="201" t="s">
        <v>1951</v>
      </c>
    </row>
    <row r="2998" spans="2:4">
      <c r="B2998" s="198" t="s">
        <v>4133</v>
      </c>
      <c r="C2998" s="154" t="s">
        <v>3419</v>
      </c>
      <c r="D2998" s="201" t="s">
        <v>1953</v>
      </c>
    </row>
    <row r="2999" spans="2:4">
      <c r="B2999" s="198" t="s">
        <v>4134</v>
      </c>
      <c r="C2999" s="154" t="s">
        <v>1517</v>
      </c>
      <c r="D2999" s="201" t="s">
        <v>1956</v>
      </c>
    </row>
    <row r="3000" spans="2:4">
      <c r="B3000" s="198" t="s">
        <v>4135</v>
      </c>
      <c r="C3000" s="154" t="s">
        <v>3465</v>
      </c>
      <c r="D3000" s="201" t="s">
        <v>1951</v>
      </c>
    </row>
    <row r="3001" spans="2:4">
      <c r="B3001" s="198" t="s">
        <v>4136</v>
      </c>
      <c r="C3001" s="154" t="s">
        <v>4145</v>
      </c>
      <c r="D3001" s="201" t="s">
        <v>1954</v>
      </c>
    </row>
    <row r="3002" spans="2:4">
      <c r="B3002" s="198" t="s">
        <v>4137</v>
      </c>
      <c r="C3002" s="154" t="s">
        <v>3081</v>
      </c>
      <c r="D3002" s="201" t="s">
        <v>1957</v>
      </c>
    </row>
    <row r="3003" spans="2:4">
      <c r="B3003" s="198" t="s">
        <v>4138</v>
      </c>
      <c r="C3003" s="154" t="s">
        <v>3138</v>
      </c>
      <c r="D3003" s="201" t="s">
        <v>1956</v>
      </c>
    </row>
    <row r="3004" spans="2:4">
      <c r="B3004" s="198"/>
      <c r="C3004" s="154"/>
      <c r="D3004" s="201"/>
    </row>
    <row r="3005" spans="2:4">
      <c r="B3005" s="198" t="s">
        <v>4140</v>
      </c>
      <c r="C3005" s="154" t="s">
        <v>3446</v>
      </c>
      <c r="D3005" s="201" t="s">
        <v>1955</v>
      </c>
    </row>
    <row r="3006" spans="2:4">
      <c r="B3006" s="198" t="s">
        <v>4141</v>
      </c>
      <c r="C3006" s="154" t="s">
        <v>1732</v>
      </c>
      <c r="D3006" s="201" t="s">
        <v>1955</v>
      </c>
    </row>
    <row r="3007" spans="2:4">
      <c r="B3007" s="198" t="s">
        <v>4142</v>
      </c>
      <c r="C3007" s="154" t="s">
        <v>3465</v>
      </c>
      <c r="D3007" s="201" t="s">
        <v>1951</v>
      </c>
    </row>
    <row r="3008" spans="2:4">
      <c r="B3008" s="198" t="s">
        <v>4143</v>
      </c>
      <c r="C3008" s="154" t="s">
        <v>3138</v>
      </c>
      <c r="D3008" s="201" t="s">
        <v>1956</v>
      </c>
    </row>
    <row r="3009" spans="2:4">
      <c r="B3009" s="198" t="s">
        <v>4144</v>
      </c>
      <c r="C3009" s="154" t="s">
        <v>1619</v>
      </c>
      <c r="D3009" s="201" t="s">
        <v>1959</v>
      </c>
    </row>
    <row r="3010" spans="2:4">
      <c r="B3010" s="198" t="s">
        <v>4146</v>
      </c>
      <c r="C3010" s="154" t="s">
        <v>4151</v>
      </c>
      <c r="D3010" s="201" t="s">
        <v>1951</v>
      </c>
    </row>
    <row r="3011" spans="2:4">
      <c r="B3011" s="198" t="s">
        <v>4147</v>
      </c>
      <c r="C3011" s="154" t="s">
        <v>1595</v>
      </c>
      <c r="D3011" s="201" t="s">
        <v>1956</v>
      </c>
    </row>
    <row r="3012" spans="2:4">
      <c r="B3012" s="198" t="s">
        <v>4148</v>
      </c>
      <c r="C3012" s="154" t="s">
        <v>1522</v>
      </c>
      <c r="D3012" s="201" t="s">
        <v>1953</v>
      </c>
    </row>
    <row r="3013" spans="2:4">
      <c r="B3013" s="198" t="s">
        <v>4149</v>
      </c>
      <c r="C3013" s="154" t="s">
        <v>4152</v>
      </c>
      <c r="D3013" s="201" t="s">
        <v>1958</v>
      </c>
    </row>
    <row r="3014" spans="2:4">
      <c r="B3014" s="198" t="s">
        <v>4150</v>
      </c>
      <c r="C3014" s="154" t="s">
        <v>1718</v>
      </c>
      <c r="D3014" s="201" t="s">
        <v>1951</v>
      </c>
    </row>
    <row r="3015" spans="2:4">
      <c r="B3015" s="198" t="s">
        <v>4153</v>
      </c>
      <c r="C3015" s="154" t="s">
        <v>4155</v>
      </c>
      <c r="D3015" s="201" t="s">
        <v>2220</v>
      </c>
    </row>
    <row r="3016" spans="2:4">
      <c r="B3016" s="198" t="s">
        <v>4154</v>
      </c>
      <c r="C3016" s="154" t="s">
        <v>3081</v>
      </c>
      <c r="D3016" s="201" t="s">
        <v>1957</v>
      </c>
    </row>
    <row r="3017" spans="2:4">
      <c r="B3017" s="198" t="s">
        <v>4156</v>
      </c>
      <c r="C3017" s="154" t="s">
        <v>4052</v>
      </c>
      <c r="D3017" s="201" t="s">
        <v>1951</v>
      </c>
    </row>
    <row r="3018" spans="2:4">
      <c r="B3018" s="198" t="s">
        <v>4157</v>
      </c>
      <c r="C3018" s="154" t="s">
        <v>4162</v>
      </c>
      <c r="D3018" s="201" t="s">
        <v>1956</v>
      </c>
    </row>
    <row r="3019" spans="2:4">
      <c r="B3019" s="198" t="s">
        <v>4158</v>
      </c>
      <c r="C3019" s="154" t="s">
        <v>1769</v>
      </c>
      <c r="D3019" s="201" t="s">
        <v>1951</v>
      </c>
    </row>
    <row r="3020" spans="2:4">
      <c r="B3020" s="198" t="s">
        <v>4159</v>
      </c>
      <c r="C3020" s="154" t="s">
        <v>4163</v>
      </c>
      <c r="D3020" s="201" t="s">
        <v>1955</v>
      </c>
    </row>
    <row r="3021" spans="2:4">
      <c r="B3021" s="198" t="s">
        <v>4160</v>
      </c>
      <c r="C3021" s="154" t="s">
        <v>3034</v>
      </c>
      <c r="D3021" s="201" t="s">
        <v>1954</v>
      </c>
    </row>
    <row r="3022" spans="2:4">
      <c r="B3022" s="198" t="s">
        <v>4161</v>
      </c>
      <c r="C3022" s="154" t="s">
        <v>4164</v>
      </c>
      <c r="D3022" s="201" t="s">
        <v>1958</v>
      </c>
    </row>
    <row r="3023" spans="2:4">
      <c r="B3023" s="198" t="s">
        <v>4165</v>
      </c>
      <c r="C3023" s="154" t="s">
        <v>3854</v>
      </c>
      <c r="D3023" s="201" t="s">
        <v>1955</v>
      </c>
    </row>
    <row r="3024" spans="2:4">
      <c r="B3024" s="198" t="s">
        <v>4166</v>
      </c>
      <c r="C3024" s="154" t="s">
        <v>150</v>
      </c>
      <c r="D3024" s="201" t="s">
        <v>1951</v>
      </c>
    </row>
    <row r="3025" spans="2:4">
      <c r="B3025" s="198" t="s">
        <v>4167</v>
      </c>
      <c r="C3025" s="154" t="s">
        <v>150</v>
      </c>
      <c r="D3025" s="201" t="s">
        <v>1951</v>
      </c>
    </row>
    <row r="3026" spans="2:4">
      <c r="B3026" s="198" t="s">
        <v>4168</v>
      </c>
      <c r="C3026" s="154" t="s">
        <v>4170</v>
      </c>
      <c r="D3026" s="201" t="s">
        <v>1958</v>
      </c>
    </row>
    <row r="3027" spans="2:4">
      <c r="B3027" s="198" t="s">
        <v>4169</v>
      </c>
      <c r="C3027" s="154" t="s">
        <v>4077</v>
      </c>
      <c r="D3027" s="201" t="s">
        <v>1956</v>
      </c>
    </row>
    <row r="3028" spans="2:4">
      <c r="B3028" s="198" t="s">
        <v>4171</v>
      </c>
      <c r="C3028" s="154" t="s">
        <v>149</v>
      </c>
      <c r="D3028" s="201" t="s">
        <v>1956</v>
      </c>
    </row>
    <row r="3029" spans="2:4">
      <c r="B3029" s="198" t="s">
        <v>4172</v>
      </c>
      <c r="C3029" s="154" t="s">
        <v>1764</v>
      </c>
      <c r="D3029" s="201" t="s">
        <v>1951</v>
      </c>
    </row>
    <row r="3030" spans="2:4">
      <c r="B3030" s="198" t="s">
        <v>4173</v>
      </c>
      <c r="C3030" s="154" t="s">
        <v>4174</v>
      </c>
      <c r="D3030" s="201" t="s">
        <v>1953</v>
      </c>
    </row>
    <row r="3031" spans="2:4">
      <c r="B3031" s="198" t="s">
        <v>4175</v>
      </c>
      <c r="C3031" s="154" t="s">
        <v>3081</v>
      </c>
      <c r="D3031" s="201" t="s">
        <v>1957</v>
      </c>
    </row>
    <row r="3032" spans="2:4">
      <c r="B3032" s="198" t="s">
        <v>4176</v>
      </c>
      <c r="C3032" s="154" t="s">
        <v>3081</v>
      </c>
      <c r="D3032" s="201" t="s">
        <v>1957</v>
      </c>
    </row>
    <row r="3033" spans="2:4">
      <c r="B3033" s="198" t="s">
        <v>4177</v>
      </c>
      <c r="C3033" s="154" t="s">
        <v>3446</v>
      </c>
      <c r="D3033" s="201" t="s">
        <v>1955</v>
      </c>
    </row>
    <row r="3034" spans="2:4">
      <c r="B3034" s="198" t="s">
        <v>4178</v>
      </c>
      <c r="C3034" s="154" t="s">
        <v>4179</v>
      </c>
      <c r="D3034" s="201" t="s">
        <v>1956</v>
      </c>
    </row>
    <row r="3035" spans="2:4">
      <c r="B3035" s="198" t="s">
        <v>4182</v>
      </c>
      <c r="C3035" s="154" t="s">
        <v>4186</v>
      </c>
      <c r="D3035" s="201" t="s">
        <v>1956</v>
      </c>
    </row>
    <row r="3036" spans="2:4">
      <c r="B3036" s="198" t="s">
        <v>4183</v>
      </c>
      <c r="C3036" s="154" t="s">
        <v>3336</v>
      </c>
      <c r="D3036" s="201" t="s">
        <v>1951</v>
      </c>
    </row>
    <row r="3037" spans="2:4">
      <c r="B3037" s="198" t="s">
        <v>4185</v>
      </c>
      <c r="C3037" s="154" t="s">
        <v>4187</v>
      </c>
      <c r="D3037" s="201" t="s">
        <v>1955</v>
      </c>
    </row>
    <row r="3038" spans="2:4">
      <c r="B3038" s="198" t="s">
        <v>4180</v>
      </c>
      <c r="C3038" s="154" t="s">
        <v>1726</v>
      </c>
      <c r="D3038" s="201" t="s">
        <v>1956</v>
      </c>
    </row>
    <row r="3039" spans="2:4">
      <c r="B3039" s="198" t="s">
        <v>4181</v>
      </c>
      <c r="C3039" s="154" t="s">
        <v>4188</v>
      </c>
      <c r="D3039" s="201" t="s">
        <v>1956</v>
      </c>
    </row>
    <row r="3040" spans="2:4">
      <c r="B3040" s="200" t="s">
        <v>4184</v>
      </c>
      <c r="C3040" s="195" t="s">
        <v>3336</v>
      </c>
      <c r="D3040" s="204" t="s">
        <v>1951</v>
      </c>
    </row>
    <row r="3041" spans="2:4">
      <c r="B3041" s="198" t="s">
        <v>4189</v>
      </c>
      <c r="C3041" s="154" t="s">
        <v>1522</v>
      </c>
      <c r="D3041" s="201" t="s">
        <v>1953</v>
      </c>
    </row>
    <row r="3042" spans="2:4">
      <c r="B3042" s="198" t="s">
        <v>4190</v>
      </c>
      <c r="C3042" s="154" t="s">
        <v>4209</v>
      </c>
      <c r="D3042" s="201" t="s">
        <v>1956</v>
      </c>
    </row>
    <row r="3043" spans="2:4">
      <c r="B3043" s="198" t="s">
        <v>4191</v>
      </c>
      <c r="C3043" s="154" t="s">
        <v>1716</v>
      </c>
      <c r="D3043" s="201" t="s">
        <v>1956</v>
      </c>
    </row>
    <row r="3044" spans="2:4">
      <c r="B3044" s="198" t="s">
        <v>4192</v>
      </c>
      <c r="C3044" s="154" t="s">
        <v>4217</v>
      </c>
      <c r="D3044" s="201" t="s">
        <v>1959</v>
      </c>
    </row>
    <row r="3045" spans="2:4">
      <c r="B3045" s="198" t="s">
        <v>4193</v>
      </c>
      <c r="C3045" s="154" t="s">
        <v>142</v>
      </c>
      <c r="D3045" s="201" t="s">
        <v>1954</v>
      </c>
    </row>
    <row r="3046" spans="2:4">
      <c r="B3046" s="198" t="s">
        <v>4194</v>
      </c>
      <c r="C3046" s="154" t="s">
        <v>1693</v>
      </c>
      <c r="D3046" s="201" t="s">
        <v>1955</v>
      </c>
    </row>
    <row r="3047" spans="2:4">
      <c r="B3047" s="198" t="s">
        <v>4195</v>
      </c>
      <c r="C3047" s="154" t="s">
        <v>4210</v>
      </c>
      <c r="D3047" s="201" t="s">
        <v>1954</v>
      </c>
    </row>
    <row r="3048" spans="2:4">
      <c r="B3048" s="198" t="s">
        <v>4196</v>
      </c>
      <c r="C3048" s="154" t="s">
        <v>3081</v>
      </c>
      <c r="D3048" s="201" t="s">
        <v>1957</v>
      </c>
    </row>
    <row r="3049" spans="2:4">
      <c r="B3049" s="198" t="s">
        <v>4197</v>
      </c>
      <c r="C3049" s="154" t="s">
        <v>150</v>
      </c>
      <c r="D3049" s="201" t="s">
        <v>1951</v>
      </c>
    </row>
    <row r="3050" spans="2:4">
      <c r="B3050" s="198" t="s">
        <v>4198</v>
      </c>
      <c r="C3050" s="154" t="s">
        <v>1615</v>
      </c>
      <c r="D3050" s="201" t="s">
        <v>1958</v>
      </c>
    </row>
    <row r="3051" spans="2:4">
      <c r="B3051" s="198" t="s">
        <v>4199</v>
      </c>
      <c r="C3051" s="153" t="s">
        <v>4213</v>
      </c>
      <c r="D3051" s="201" t="s">
        <v>1959</v>
      </c>
    </row>
    <row r="3052" spans="2:4">
      <c r="B3052" s="198" t="s">
        <v>4200</v>
      </c>
      <c r="C3052" s="154" t="s">
        <v>149</v>
      </c>
      <c r="D3052" s="201" t="s">
        <v>1956</v>
      </c>
    </row>
    <row r="3053" spans="2:4">
      <c r="B3053" s="198" t="s">
        <v>4201</v>
      </c>
      <c r="C3053" s="154" t="s">
        <v>4212</v>
      </c>
      <c r="D3053" s="201" t="s">
        <v>1951</v>
      </c>
    </row>
    <row r="3054" spans="2:4">
      <c r="B3054" s="198" t="s">
        <v>4202</v>
      </c>
      <c r="C3054" s="154" t="s">
        <v>1644</v>
      </c>
      <c r="D3054" s="201" t="s">
        <v>1959</v>
      </c>
    </row>
    <row r="3055" spans="2:4">
      <c r="B3055" s="198" t="s">
        <v>4203</v>
      </c>
      <c r="C3055" s="154" t="s">
        <v>4214</v>
      </c>
      <c r="D3055" s="201" t="s">
        <v>1959</v>
      </c>
    </row>
    <row r="3056" spans="2:4">
      <c r="B3056" s="198" t="s">
        <v>4204</v>
      </c>
      <c r="C3056" s="154" t="s">
        <v>3081</v>
      </c>
      <c r="D3056" s="201" t="s">
        <v>1957</v>
      </c>
    </row>
    <row r="3057" spans="2:4">
      <c r="B3057" s="198" t="s">
        <v>4205</v>
      </c>
      <c r="C3057" s="154" t="s">
        <v>3053</v>
      </c>
      <c r="D3057" s="201" t="s">
        <v>2217</v>
      </c>
    </row>
    <row r="3058" spans="2:4">
      <c r="B3058" s="198" t="s">
        <v>4206</v>
      </c>
      <c r="C3058" s="154" t="s">
        <v>4215</v>
      </c>
      <c r="D3058" s="201" t="s">
        <v>2217</v>
      </c>
    </row>
    <row r="3059" spans="2:4">
      <c r="B3059" s="198" t="s">
        <v>4207</v>
      </c>
      <c r="C3059" s="154" t="s">
        <v>2365</v>
      </c>
      <c r="D3059" s="201" t="s">
        <v>2217</v>
      </c>
    </row>
    <row r="3060" spans="2:4">
      <c r="B3060" s="198" t="s">
        <v>4208</v>
      </c>
      <c r="C3060" s="154" t="s">
        <v>4216</v>
      </c>
      <c r="D3060" s="201" t="s">
        <v>2217</v>
      </c>
    </row>
    <row r="3061" spans="2:4">
      <c r="B3061" s="198" t="s">
        <v>4218</v>
      </c>
      <c r="C3061" s="154" t="s">
        <v>4224</v>
      </c>
      <c r="D3061" s="201" t="s">
        <v>1953</v>
      </c>
    </row>
    <row r="3062" spans="2:4">
      <c r="B3062" s="198" t="s">
        <v>4219</v>
      </c>
      <c r="C3062" s="154" t="s">
        <v>4233</v>
      </c>
      <c r="D3062" s="201" t="s">
        <v>2216</v>
      </c>
    </row>
    <row r="3063" spans="2:4">
      <c r="B3063" s="198" t="s">
        <v>4220</v>
      </c>
      <c r="C3063" s="154" t="s">
        <v>4225</v>
      </c>
      <c r="D3063" s="201" t="s">
        <v>1956</v>
      </c>
    </row>
    <row r="3064" spans="2:4">
      <c r="B3064" s="198" t="s">
        <v>4221</v>
      </c>
      <c r="C3064" s="154" t="s">
        <v>4226</v>
      </c>
      <c r="D3064" s="201" t="s">
        <v>1954</v>
      </c>
    </row>
    <row r="3065" spans="2:4">
      <c r="B3065" s="198" t="s">
        <v>4222</v>
      </c>
      <c r="C3065" s="154" t="s">
        <v>4227</v>
      </c>
      <c r="D3065" s="201" t="s">
        <v>1954</v>
      </c>
    </row>
    <row r="3066" spans="2:4">
      <c r="B3066" s="198" t="s">
        <v>4223</v>
      </c>
      <c r="C3066" s="154" t="s">
        <v>4228</v>
      </c>
      <c r="D3066" s="201" t="s">
        <v>1953</v>
      </c>
    </row>
    <row r="3067" spans="2:4">
      <c r="B3067" s="198" t="s">
        <v>4229</v>
      </c>
      <c r="C3067" s="154" t="s">
        <v>4231</v>
      </c>
      <c r="D3067" s="201" t="s">
        <v>1955</v>
      </c>
    </row>
    <row r="3068" spans="2:4">
      <c r="B3068" s="198" t="s">
        <v>4230</v>
      </c>
      <c r="C3068" s="154" t="s">
        <v>4232</v>
      </c>
      <c r="D3068" s="201" t="s">
        <v>1953</v>
      </c>
    </row>
    <row r="3069" spans="2:4">
      <c r="B3069" s="198" t="s">
        <v>4234</v>
      </c>
      <c r="C3069" s="154" t="s">
        <v>1565</v>
      </c>
      <c r="D3069" s="201" t="s">
        <v>1958</v>
      </c>
    </row>
    <row r="3070" spans="2:4">
      <c r="B3070" s="198" t="s">
        <v>4235</v>
      </c>
      <c r="C3070" s="154" t="s">
        <v>1590</v>
      </c>
      <c r="D3070" s="201" t="s">
        <v>1958</v>
      </c>
    </row>
    <row r="3071" spans="2:4">
      <c r="B3071" s="198" t="s">
        <v>4236</v>
      </c>
      <c r="C3071" s="154" t="s">
        <v>150</v>
      </c>
      <c r="D3071" s="201" t="s">
        <v>1951</v>
      </c>
    </row>
    <row r="3072" spans="2:4">
      <c r="B3072" s="198" t="s">
        <v>4237</v>
      </c>
      <c r="C3072" s="154" t="s">
        <v>4262</v>
      </c>
      <c r="D3072" s="201" t="s">
        <v>1956</v>
      </c>
    </row>
    <row r="3073" spans="2:4">
      <c r="B3073" s="198" t="s">
        <v>4238</v>
      </c>
      <c r="C3073" s="154" t="s">
        <v>4263</v>
      </c>
      <c r="D3073" s="201" t="s">
        <v>1956</v>
      </c>
    </row>
    <row r="3074" spans="2:4">
      <c r="B3074" s="198" t="s">
        <v>4239</v>
      </c>
      <c r="C3074" s="154" t="s">
        <v>1549</v>
      </c>
      <c r="D3074" s="201" t="s">
        <v>1958</v>
      </c>
    </row>
    <row r="3075" spans="2:4">
      <c r="B3075" s="198" t="s">
        <v>4240</v>
      </c>
      <c r="C3075" s="154" t="s">
        <v>1824</v>
      </c>
      <c r="D3075" s="201" t="s">
        <v>1951</v>
      </c>
    </row>
    <row r="3076" spans="2:4">
      <c r="B3076" s="198" t="s">
        <v>4241</v>
      </c>
      <c r="C3076" s="154" t="s">
        <v>1805</v>
      </c>
      <c r="D3076" s="201" t="s">
        <v>1956</v>
      </c>
    </row>
    <row r="3077" spans="2:4">
      <c r="B3077" s="198" t="s">
        <v>4242</v>
      </c>
      <c r="C3077" s="154" t="s">
        <v>3854</v>
      </c>
      <c r="D3077" s="201" t="s">
        <v>1955</v>
      </c>
    </row>
    <row r="3078" spans="2:4">
      <c r="B3078" s="198" t="s">
        <v>4243</v>
      </c>
      <c r="C3078" s="154" t="s">
        <v>149</v>
      </c>
      <c r="D3078" s="201" t="s">
        <v>1956</v>
      </c>
    </row>
    <row r="3079" spans="2:4">
      <c r="B3079" s="198" t="s">
        <v>4244</v>
      </c>
      <c r="C3079" s="154" t="s">
        <v>149</v>
      </c>
      <c r="D3079" s="201" t="s">
        <v>1956</v>
      </c>
    </row>
    <row r="3080" spans="2:4">
      <c r="B3080" s="198" t="s">
        <v>4245</v>
      </c>
      <c r="C3080" s="154" t="s">
        <v>1595</v>
      </c>
      <c r="D3080" s="201" t="s">
        <v>1956</v>
      </c>
    </row>
    <row r="3081" spans="2:4">
      <c r="B3081" s="198" t="s">
        <v>4246</v>
      </c>
      <c r="C3081" s="154" t="s">
        <v>1560</v>
      </c>
      <c r="D3081" s="201" t="s">
        <v>1953</v>
      </c>
    </row>
    <row r="3082" spans="2:4">
      <c r="B3082" s="198" t="s">
        <v>4247</v>
      </c>
      <c r="C3082" s="154" t="s">
        <v>149</v>
      </c>
      <c r="D3082" s="201" t="s">
        <v>1956</v>
      </c>
    </row>
    <row r="3083" spans="2:4">
      <c r="B3083" s="198" t="s">
        <v>4248</v>
      </c>
      <c r="C3083" s="154" t="s">
        <v>149</v>
      </c>
      <c r="D3083" s="201" t="s">
        <v>1956</v>
      </c>
    </row>
    <row r="3084" spans="2:4">
      <c r="B3084" s="198" t="s">
        <v>4249</v>
      </c>
      <c r="C3084" s="154" t="s">
        <v>149</v>
      </c>
      <c r="D3084" s="201" t="s">
        <v>1956</v>
      </c>
    </row>
    <row r="3085" spans="2:4">
      <c r="B3085" s="198" t="s">
        <v>4250</v>
      </c>
      <c r="C3085" s="154" t="s">
        <v>149</v>
      </c>
      <c r="D3085" s="201" t="s">
        <v>1956</v>
      </c>
    </row>
    <row r="3086" spans="2:4">
      <c r="B3086" s="198" t="s">
        <v>4251</v>
      </c>
      <c r="C3086" s="154" t="s">
        <v>1595</v>
      </c>
      <c r="D3086" s="201" t="s">
        <v>1956</v>
      </c>
    </row>
    <row r="3087" spans="2:4">
      <c r="B3087" s="198" t="s">
        <v>4252</v>
      </c>
      <c r="C3087" s="154" t="s">
        <v>149</v>
      </c>
      <c r="D3087" s="201" t="s">
        <v>1956</v>
      </c>
    </row>
    <row r="3088" spans="2:4">
      <c r="B3088" s="198" t="s">
        <v>4253</v>
      </c>
      <c r="C3088" s="154" t="s">
        <v>149</v>
      </c>
      <c r="D3088" s="201" t="s">
        <v>1956</v>
      </c>
    </row>
    <row r="3089" spans="2:4">
      <c r="B3089" s="198" t="s">
        <v>4254</v>
      </c>
      <c r="C3089" s="154" t="s">
        <v>149</v>
      </c>
      <c r="D3089" s="201" t="s">
        <v>1956</v>
      </c>
    </row>
    <row r="3090" spans="2:4">
      <c r="B3090" s="198" t="s">
        <v>4255</v>
      </c>
      <c r="C3090" s="154" t="s">
        <v>1595</v>
      </c>
      <c r="D3090" s="201" t="s">
        <v>1956</v>
      </c>
    </row>
    <row r="3091" spans="2:4">
      <c r="B3091" s="198" t="s">
        <v>4256</v>
      </c>
      <c r="C3091" s="154" t="s">
        <v>149</v>
      </c>
      <c r="D3091" s="201" t="s">
        <v>1956</v>
      </c>
    </row>
    <row r="3092" spans="2:4">
      <c r="B3092" s="198" t="s">
        <v>4257</v>
      </c>
      <c r="C3092" s="154" t="s">
        <v>149</v>
      </c>
      <c r="D3092" s="201" t="s">
        <v>1956</v>
      </c>
    </row>
    <row r="3093" spans="2:4">
      <c r="B3093" s="198" t="s">
        <v>4258</v>
      </c>
      <c r="C3093" s="154" t="s">
        <v>149</v>
      </c>
      <c r="D3093" s="201" t="s">
        <v>1956</v>
      </c>
    </row>
    <row r="3094" spans="2:4">
      <c r="B3094" s="198" t="s">
        <v>4259</v>
      </c>
      <c r="C3094" s="154" t="s">
        <v>149</v>
      </c>
      <c r="D3094" s="201" t="s">
        <v>1956</v>
      </c>
    </row>
    <row r="3095" spans="2:4">
      <c r="B3095" s="198" t="s">
        <v>4260</v>
      </c>
      <c r="C3095" s="154" t="s">
        <v>149</v>
      </c>
      <c r="D3095" s="201" t="s">
        <v>1956</v>
      </c>
    </row>
    <row r="3096" spans="2:4">
      <c r="B3096" s="198" t="s">
        <v>4261</v>
      </c>
      <c r="C3096" s="154" t="s">
        <v>1544</v>
      </c>
      <c r="D3096" s="201" t="s">
        <v>1951</v>
      </c>
    </row>
    <row r="3097" spans="2:4">
      <c r="B3097" s="198" t="s">
        <v>4264</v>
      </c>
      <c r="C3097" s="154" t="s">
        <v>3081</v>
      </c>
      <c r="D3097" s="201" t="s">
        <v>1957</v>
      </c>
    </row>
    <row r="3098" spans="2:4">
      <c r="B3098" s="198" t="s">
        <v>4265</v>
      </c>
      <c r="C3098" s="154" t="s">
        <v>3081</v>
      </c>
      <c r="D3098" s="201" t="s">
        <v>1957</v>
      </c>
    </row>
    <row r="3099" spans="2:4">
      <c r="B3099" s="198" t="s">
        <v>4266</v>
      </c>
      <c r="C3099" s="154" t="s">
        <v>3081</v>
      </c>
      <c r="D3099" s="201" t="s">
        <v>1957</v>
      </c>
    </row>
    <row r="3100" spans="2:4">
      <c r="B3100" s="198" t="s">
        <v>4267</v>
      </c>
      <c r="C3100" s="154" t="s">
        <v>3081</v>
      </c>
      <c r="D3100" s="201" t="s">
        <v>1957</v>
      </c>
    </row>
    <row r="3101" spans="2:4">
      <c r="B3101" s="198" t="s">
        <v>4268</v>
      </c>
      <c r="C3101" s="154" t="s">
        <v>3081</v>
      </c>
      <c r="D3101" s="201" t="s">
        <v>1957</v>
      </c>
    </row>
    <row r="3102" spans="2:4">
      <c r="B3102" s="198" t="s">
        <v>4269</v>
      </c>
      <c r="C3102" s="154" t="s">
        <v>3081</v>
      </c>
      <c r="D3102" s="201" t="s">
        <v>1957</v>
      </c>
    </row>
    <row r="3103" spans="2:4">
      <c r="B3103" s="198" t="s">
        <v>4270</v>
      </c>
      <c r="C3103" s="154" t="s">
        <v>3081</v>
      </c>
      <c r="D3103" s="201" t="s">
        <v>1957</v>
      </c>
    </row>
    <row r="3104" spans="2:4">
      <c r="B3104" s="198" t="s">
        <v>4271</v>
      </c>
      <c r="C3104" s="154" t="s">
        <v>3081</v>
      </c>
      <c r="D3104" s="201" t="s">
        <v>1957</v>
      </c>
    </row>
    <row r="3105" spans="2:4">
      <c r="B3105" s="198" t="s">
        <v>4272</v>
      </c>
      <c r="C3105" s="191" t="s">
        <v>1565</v>
      </c>
      <c r="D3105" s="201" t="s">
        <v>1958</v>
      </c>
    </row>
    <row r="3106" spans="2:4">
      <c r="B3106" s="198" t="s">
        <v>4273</v>
      </c>
      <c r="C3106" s="154" t="s">
        <v>1688</v>
      </c>
      <c r="D3106" s="201" t="s">
        <v>1959</v>
      </c>
    </row>
    <row r="3107" spans="2:4">
      <c r="B3107" s="198" t="s">
        <v>4274</v>
      </c>
      <c r="C3107" s="154" t="s">
        <v>4279</v>
      </c>
      <c r="D3107" s="201" t="s">
        <v>1958</v>
      </c>
    </row>
    <row r="3108" spans="2:4">
      <c r="B3108" s="198" t="s">
        <v>4275</v>
      </c>
      <c r="C3108" s="154" t="s">
        <v>4280</v>
      </c>
      <c r="D3108" s="201" t="s">
        <v>2216</v>
      </c>
    </row>
    <row r="3109" spans="2:4">
      <c r="B3109" s="198" t="s">
        <v>4276</v>
      </c>
      <c r="C3109" s="154" t="s">
        <v>4281</v>
      </c>
      <c r="D3109" s="201" t="s">
        <v>2216</v>
      </c>
    </row>
    <row r="3110" spans="2:4">
      <c r="B3110" s="198" t="s">
        <v>4277</v>
      </c>
      <c r="C3110" s="154" t="s">
        <v>1610</v>
      </c>
      <c r="D3110" s="201" t="s">
        <v>1959</v>
      </c>
    </row>
    <row r="3111" spans="2:4">
      <c r="B3111" s="198" t="s">
        <v>4278</v>
      </c>
      <c r="C3111" s="154" t="s">
        <v>3465</v>
      </c>
      <c r="D3111" s="201" t="s">
        <v>1951</v>
      </c>
    </row>
    <row r="3112" spans="2:4">
      <c r="B3112" s="198" t="s">
        <v>4295</v>
      </c>
      <c r="C3112" s="154" t="s">
        <v>1587</v>
      </c>
      <c r="D3112" s="201" t="s">
        <v>1958</v>
      </c>
    </row>
    <row r="3113" spans="2:4">
      <c r="B3113" s="198" t="s">
        <v>4283</v>
      </c>
      <c r="C3113" s="154" t="s">
        <v>2945</v>
      </c>
      <c r="D3113" s="201" t="s">
        <v>1958</v>
      </c>
    </row>
    <row r="3114" spans="2:4">
      <c r="B3114" s="198" t="s">
        <v>4284</v>
      </c>
      <c r="C3114" s="154" t="s">
        <v>4051</v>
      </c>
      <c r="D3114" s="201" t="s">
        <v>1954</v>
      </c>
    </row>
    <row r="3115" spans="2:4">
      <c r="B3115" s="198" t="s">
        <v>4294</v>
      </c>
      <c r="C3115" s="154" t="s">
        <v>4301</v>
      </c>
      <c r="D3115" s="201" t="s">
        <v>1958</v>
      </c>
    </row>
    <row r="3116" spans="2:4">
      <c r="B3116" s="198" t="s">
        <v>4286</v>
      </c>
      <c r="C3116" s="154" t="s">
        <v>4297</v>
      </c>
      <c r="D3116" s="201" t="s">
        <v>1951</v>
      </c>
    </row>
    <row r="3117" spans="2:4">
      <c r="B3117" s="198" t="s">
        <v>4287</v>
      </c>
      <c r="C3117" s="154" t="s">
        <v>1866</v>
      </c>
      <c r="D3117" s="201" t="s">
        <v>1956</v>
      </c>
    </row>
    <row r="3118" spans="2:4">
      <c r="B3118" s="198" t="s">
        <v>4288</v>
      </c>
      <c r="C3118" s="154" t="s">
        <v>1726</v>
      </c>
      <c r="D3118" s="201" t="s">
        <v>1956</v>
      </c>
    </row>
    <row r="3119" spans="2:4">
      <c r="B3119" s="198" t="s">
        <v>4289</v>
      </c>
      <c r="C3119" s="154" t="s">
        <v>4298</v>
      </c>
      <c r="D3119" s="201" t="s">
        <v>1955</v>
      </c>
    </row>
    <row r="3120" spans="2:4">
      <c r="B3120" s="198" t="s">
        <v>4293</v>
      </c>
      <c r="C3120" s="154" t="s">
        <v>1926</v>
      </c>
      <c r="D3120" s="201" t="s">
        <v>1955</v>
      </c>
    </row>
    <row r="3121" spans="2:4">
      <c r="B3121" s="198" t="s">
        <v>4291</v>
      </c>
      <c r="C3121" s="154" t="s">
        <v>4299</v>
      </c>
      <c r="D3121" s="201" t="s">
        <v>1953</v>
      </c>
    </row>
    <row r="3122" spans="2:4">
      <c r="B3122" s="198" t="s">
        <v>4292</v>
      </c>
      <c r="C3122" s="154" t="s">
        <v>4300</v>
      </c>
      <c r="D3122" s="201" t="s">
        <v>1955</v>
      </c>
    </row>
    <row r="3123" spans="2:4">
      <c r="B3123" s="198" t="s">
        <v>4282</v>
      </c>
      <c r="C3123" s="154" t="s">
        <v>3081</v>
      </c>
      <c r="D3123" s="201" t="s">
        <v>1957</v>
      </c>
    </row>
    <row r="3124" spans="2:4">
      <c r="B3124" s="198" t="s">
        <v>4285</v>
      </c>
      <c r="C3124" s="154" t="s">
        <v>4302</v>
      </c>
      <c r="D3124" s="201" t="s">
        <v>1959</v>
      </c>
    </row>
    <row r="3125" spans="2:4">
      <c r="B3125" s="198" t="s">
        <v>4290</v>
      </c>
      <c r="C3125" s="154" t="s">
        <v>1610</v>
      </c>
      <c r="D3125" s="201" t="s">
        <v>1959</v>
      </c>
    </row>
    <row r="3126" spans="2:4">
      <c r="B3126" s="198" t="s">
        <v>4296</v>
      </c>
      <c r="C3126" s="154" t="s">
        <v>4303</v>
      </c>
      <c r="D3126" s="201" t="s">
        <v>2216</v>
      </c>
    </row>
    <row r="3127" spans="2:4">
      <c r="B3127" s="198" t="s">
        <v>4304</v>
      </c>
      <c r="C3127" s="154" t="s">
        <v>3081</v>
      </c>
      <c r="D3127" s="201" t="s">
        <v>1957</v>
      </c>
    </row>
    <row r="3128" spans="2:4">
      <c r="B3128" s="198" t="s">
        <v>4305</v>
      </c>
      <c r="C3128" s="154" t="s">
        <v>149</v>
      </c>
      <c r="D3128" s="201" t="s">
        <v>1956</v>
      </c>
    </row>
    <row r="3129" spans="2:4">
      <c r="B3129" s="198" t="s">
        <v>4306</v>
      </c>
      <c r="C3129" s="154" t="s">
        <v>149</v>
      </c>
      <c r="D3129" s="201" t="s">
        <v>1956</v>
      </c>
    </row>
    <row r="3130" spans="2:4">
      <c r="B3130" s="198" t="s">
        <v>4307</v>
      </c>
      <c r="C3130" s="154" t="s">
        <v>149</v>
      </c>
      <c r="D3130" s="201" t="s">
        <v>1956</v>
      </c>
    </row>
    <row r="3131" spans="2:4">
      <c r="B3131" s="198" t="s">
        <v>4308</v>
      </c>
      <c r="C3131" s="154" t="s">
        <v>3598</v>
      </c>
      <c r="D3131" s="201" t="s">
        <v>1951</v>
      </c>
    </row>
    <row r="3132" spans="2:4">
      <c r="B3132" s="198" t="s">
        <v>4309</v>
      </c>
      <c r="C3132" s="154" t="s">
        <v>149</v>
      </c>
      <c r="D3132" s="201" t="s">
        <v>1956</v>
      </c>
    </row>
    <row r="3133" spans="2:4">
      <c r="B3133" s="198" t="s">
        <v>4310</v>
      </c>
      <c r="C3133" s="154" t="s">
        <v>150</v>
      </c>
      <c r="D3133" s="201" t="s">
        <v>1951</v>
      </c>
    </row>
    <row r="3134" spans="2:4">
      <c r="B3134" s="198" t="s">
        <v>4311</v>
      </c>
      <c r="C3134" s="154" t="s">
        <v>150</v>
      </c>
      <c r="D3134" s="201" t="s">
        <v>1951</v>
      </c>
    </row>
    <row r="3135" spans="2:4">
      <c r="B3135" s="198" t="s">
        <v>4312</v>
      </c>
      <c r="C3135" s="154" t="s">
        <v>150</v>
      </c>
      <c r="D3135" s="201" t="s">
        <v>1951</v>
      </c>
    </row>
    <row r="3136" spans="2:4">
      <c r="B3136" s="198" t="s">
        <v>4313</v>
      </c>
      <c r="C3136" s="154" t="s">
        <v>150</v>
      </c>
      <c r="D3136" s="201" t="s">
        <v>1951</v>
      </c>
    </row>
    <row r="3137" spans="2:4">
      <c r="B3137" s="198" t="s">
        <v>4314</v>
      </c>
      <c r="C3137" s="154" t="s">
        <v>150</v>
      </c>
      <c r="D3137" s="201" t="s">
        <v>1951</v>
      </c>
    </row>
    <row r="3138" spans="2:4">
      <c r="B3138" s="198" t="s">
        <v>4315</v>
      </c>
      <c r="C3138" s="154" t="s">
        <v>150</v>
      </c>
      <c r="D3138" s="201" t="s">
        <v>1951</v>
      </c>
    </row>
    <row r="3139" spans="2:4">
      <c r="B3139" s="198" t="s">
        <v>4316</v>
      </c>
      <c r="C3139" s="154" t="s">
        <v>142</v>
      </c>
      <c r="D3139" s="201" t="s">
        <v>1954</v>
      </c>
    </row>
    <row r="3140" spans="2:4">
      <c r="B3140" s="198" t="s">
        <v>4317</v>
      </c>
      <c r="C3140" s="154" t="s">
        <v>150</v>
      </c>
      <c r="D3140" s="201" t="s">
        <v>1951</v>
      </c>
    </row>
    <row r="3141" spans="2:4">
      <c r="B3141" s="198" t="s">
        <v>4318</v>
      </c>
      <c r="C3141" s="154" t="s">
        <v>149</v>
      </c>
      <c r="D3141" s="201" t="s">
        <v>1956</v>
      </c>
    </row>
    <row r="3142" spans="2:4">
      <c r="B3142" s="198" t="s">
        <v>4319</v>
      </c>
      <c r="C3142" s="154" t="s">
        <v>150</v>
      </c>
      <c r="D3142" s="201" t="s">
        <v>1951</v>
      </c>
    </row>
    <row r="3143" spans="2:4">
      <c r="B3143" s="198" t="s">
        <v>4320</v>
      </c>
      <c r="C3143" s="154" t="s">
        <v>149</v>
      </c>
      <c r="D3143" s="201" t="s">
        <v>1956</v>
      </c>
    </row>
    <row r="3144" spans="2:4">
      <c r="B3144" s="198" t="s">
        <v>4321</v>
      </c>
      <c r="C3144" s="154" t="s">
        <v>142</v>
      </c>
      <c r="D3144" s="201" t="s">
        <v>1954</v>
      </c>
    </row>
    <row r="3145" spans="2:4">
      <c r="B3145" s="198" t="s">
        <v>4322</v>
      </c>
      <c r="C3145" s="154" t="s">
        <v>150</v>
      </c>
      <c r="D3145" s="201" t="s">
        <v>1951</v>
      </c>
    </row>
    <row r="3146" spans="2:4">
      <c r="B3146" s="198" t="s">
        <v>4323</v>
      </c>
      <c r="C3146" s="154" t="s">
        <v>149</v>
      </c>
      <c r="D3146" s="201" t="s">
        <v>1956</v>
      </c>
    </row>
    <row r="3147" spans="2:4">
      <c r="B3147" s="198" t="s">
        <v>4324</v>
      </c>
      <c r="C3147" s="154" t="s">
        <v>150</v>
      </c>
      <c r="D3147" s="201" t="s">
        <v>1951</v>
      </c>
    </row>
    <row r="3148" spans="2:4">
      <c r="B3148" s="198" t="s">
        <v>4325</v>
      </c>
      <c r="C3148" s="154" t="s">
        <v>3965</v>
      </c>
      <c r="D3148" s="201" t="s">
        <v>1951</v>
      </c>
    </row>
    <row r="3149" spans="2:4">
      <c r="B3149" s="198" t="s">
        <v>4326</v>
      </c>
      <c r="C3149" s="154" t="s">
        <v>4330</v>
      </c>
      <c r="D3149" s="201" t="s">
        <v>1956</v>
      </c>
    </row>
    <row r="3150" spans="2:4">
      <c r="B3150" s="198" t="s">
        <v>4327</v>
      </c>
      <c r="C3150" s="154" t="s">
        <v>4331</v>
      </c>
      <c r="D3150" s="201" t="s">
        <v>1951</v>
      </c>
    </row>
    <row r="3151" spans="2:4">
      <c r="B3151" s="198" t="s">
        <v>4328</v>
      </c>
      <c r="C3151" s="154" t="s">
        <v>3313</v>
      </c>
      <c r="D3151" s="201" t="s">
        <v>1951</v>
      </c>
    </row>
    <row r="3152" spans="2:4">
      <c r="B3152" s="198" t="s">
        <v>4329</v>
      </c>
      <c r="C3152" s="154" t="s">
        <v>3419</v>
      </c>
      <c r="D3152" s="201" t="s">
        <v>1953</v>
      </c>
    </row>
    <row r="3153" spans="2:4">
      <c r="B3153" s="198" t="s">
        <v>4332</v>
      </c>
      <c r="C3153" s="154" t="s">
        <v>150</v>
      </c>
      <c r="D3153" s="201" t="s">
        <v>1951</v>
      </c>
    </row>
    <row r="3154" spans="2:4">
      <c r="B3154" s="198" t="s">
        <v>4333</v>
      </c>
      <c r="C3154" s="154" t="s">
        <v>150</v>
      </c>
      <c r="D3154" s="201" t="s">
        <v>1951</v>
      </c>
    </row>
    <row r="3155" spans="2:4">
      <c r="B3155" s="198" t="s">
        <v>4334</v>
      </c>
      <c r="C3155" s="154" t="s">
        <v>1595</v>
      </c>
      <c r="D3155" s="201" t="s">
        <v>1956</v>
      </c>
    </row>
    <row r="3156" spans="2:4">
      <c r="B3156" s="198" t="s">
        <v>4335</v>
      </c>
      <c r="C3156" s="154" t="s">
        <v>1676</v>
      </c>
      <c r="D3156" s="201" t="s">
        <v>1956</v>
      </c>
    </row>
    <row r="3157" spans="2:4">
      <c r="B3157" s="198" t="s">
        <v>4336</v>
      </c>
      <c r="C3157" s="154" t="s">
        <v>4339</v>
      </c>
      <c r="D3157" s="201" t="s">
        <v>1955</v>
      </c>
    </row>
    <row r="3158" spans="2:4">
      <c r="B3158" s="198" t="s">
        <v>4337</v>
      </c>
      <c r="C3158" s="154" t="s">
        <v>4302</v>
      </c>
      <c r="D3158" s="201" t="s">
        <v>1959</v>
      </c>
    </row>
    <row r="3159" spans="2:4">
      <c r="B3159" s="198" t="s">
        <v>4338</v>
      </c>
      <c r="C3159" s="154" t="s">
        <v>1581</v>
      </c>
      <c r="D3159" s="201" t="s">
        <v>1955</v>
      </c>
    </row>
    <row r="3160" spans="2:4">
      <c r="B3160" s="198" t="s">
        <v>4340</v>
      </c>
      <c r="C3160" s="154" t="s">
        <v>1641</v>
      </c>
      <c r="D3160" s="201" t="s">
        <v>1958</v>
      </c>
    </row>
    <row r="3161" spans="2:4">
      <c r="B3161" s="198" t="s">
        <v>4341</v>
      </c>
      <c r="C3161" s="154" t="s">
        <v>3303</v>
      </c>
      <c r="D3161" s="201" t="s">
        <v>1958</v>
      </c>
    </row>
    <row r="3162" spans="2:4">
      <c r="B3162" s="198" t="s">
        <v>4342</v>
      </c>
      <c r="C3162" s="154" t="s">
        <v>1590</v>
      </c>
      <c r="D3162" s="201" t="s">
        <v>1958</v>
      </c>
    </row>
    <row r="3163" spans="2:4">
      <c r="B3163" s="198" t="s">
        <v>4343</v>
      </c>
      <c r="C3163" s="154" t="s">
        <v>1671</v>
      </c>
      <c r="D3163" s="201" t="s">
        <v>1958</v>
      </c>
    </row>
    <row r="3164" spans="2:4">
      <c r="B3164" s="198" t="s">
        <v>4344</v>
      </c>
      <c r="C3164" s="154" t="s">
        <v>3021</v>
      </c>
      <c r="D3164" s="201" t="s">
        <v>1955</v>
      </c>
    </row>
    <row r="3165" spans="2:4">
      <c r="B3165" s="198" t="s">
        <v>4345</v>
      </c>
      <c r="C3165" s="154" t="s">
        <v>4347</v>
      </c>
      <c r="D3165" s="201" t="s">
        <v>1956</v>
      </c>
    </row>
    <row r="3166" spans="2:4">
      <c r="B3166" s="198" t="s">
        <v>4346</v>
      </c>
      <c r="C3166" s="154" t="s">
        <v>1587</v>
      </c>
      <c r="D3166" s="201" t="s">
        <v>1958</v>
      </c>
    </row>
    <row r="3167" spans="2:4">
      <c r="B3167" s="198" t="s">
        <v>4348</v>
      </c>
      <c r="C3167" s="154" t="s">
        <v>2912</v>
      </c>
      <c r="D3167" s="201" t="s">
        <v>1954</v>
      </c>
    </row>
    <row r="3168" spans="2:4">
      <c r="B3168" s="198" t="s">
        <v>4349</v>
      </c>
      <c r="C3168" s="154" t="s">
        <v>1522</v>
      </c>
      <c r="D3168" s="201" t="s">
        <v>1953</v>
      </c>
    </row>
    <row r="3169" spans="2:4">
      <c r="B3169" s="198" t="s">
        <v>4350</v>
      </c>
      <c r="C3169" s="154" t="s">
        <v>3465</v>
      </c>
      <c r="D3169" s="201" t="s">
        <v>1951</v>
      </c>
    </row>
    <row r="3170" spans="2:4">
      <c r="B3170" s="198" t="s">
        <v>4351</v>
      </c>
      <c r="C3170" s="154" t="s">
        <v>4363</v>
      </c>
      <c r="D3170" s="201" t="s">
        <v>1956</v>
      </c>
    </row>
    <row r="3171" spans="2:4">
      <c r="B3171" s="198" t="s">
        <v>4352</v>
      </c>
      <c r="C3171" s="154" t="s">
        <v>3315</v>
      </c>
      <c r="D3171" s="201" t="s">
        <v>1954</v>
      </c>
    </row>
    <row r="3172" spans="2:4">
      <c r="B3172" s="198" t="s">
        <v>4353</v>
      </c>
      <c r="C3172" s="154" t="s">
        <v>3134</v>
      </c>
      <c r="D3172" s="201" t="s">
        <v>1956</v>
      </c>
    </row>
    <row r="3173" spans="2:4">
      <c r="B3173" s="198" t="s">
        <v>4354</v>
      </c>
      <c r="C3173" s="154" t="s">
        <v>4364</v>
      </c>
      <c r="D3173" s="201" t="s">
        <v>1956</v>
      </c>
    </row>
    <row r="3174" spans="2:4">
      <c r="B3174" s="198" t="s">
        <v>4355</v>
      </c>
      <c r="C3174" s="154" t="s">
        <v>1594</v>
      </c>
      <c r="D3174" s="201" t="s">
        <v>1955</v>
      </c>
    </row>
    <row r="3175" spans="2:4">
      <c r="B3175" s="198" t="s">
        <v>4356</v>
      </c>
      <c r="C3175" s="154" t="s">
        <v>1587</v>
      </c>
      <c r="D3175" s="201" t="s">
        <v>1958</v>
      </c>
    </row>
    <row r="3176" spans="2:4">
      <c r="B3176" s="198" t="s">
        <v>4357</v>
      </c>
      <c r="C3176" s="154" t="s">
        <v>1587</v>
      </c>
      <c r="D3176" s="201" t="s">
        <v>1958</v>
      </c>
    </row>
    <row r="3177" spans="2:4">
      <c r="B3177" s="198" t="s">
        <v>4359</v>
      </c>
      <c r="C3177" s="154" t="s">
        <v>4365</v>
      </c>
      <c r="D3177" s="201" t="s">
        <v>1951</v>
      </c>
    </row>
    <row r="3178" spans="2:4">
      <c r="B3178" s="198" t="s">
        <v>4360</v>
      </c>
      <c r="C3178" s="154" t="s">
        <v>3138</v>
      </c>
      <c r="D3178" s="201" t="s">
        <v>1956</v>
      </c>
    </row>
    <row r="3179" spans="2:4">
      <c r="B3179" s="198" t="s">
        <v>4358</v>
      </c>
      <c r="C3179" s="154" t="s">
        <v>142</v>
      </c>
      <c r="D3179" s="201" t="s">
        <v>1954</v>
      </c>
    </row>
    <row r="3180" spans="2:4">
      <c r="B3180" s="198" t="s">
        <v>4361</v>
      </c>
      <c r="C3180" s="154" t="s">
        <v>4366</v>
      </c>
      <c r="D3180" s="201" t="s">
        <v>1956</v>
      </c>
    </row>
    <row r="3181" spans="2:4">
      <c r="B3181" s="198" t="s">
        <v>4362</v>
      </c>
      <c r="C3181" s="154" t="s">
        <v>4367</v>
      </c>
      <c r="D3181" s="201" t="s">
        <v>1956</v>
      </c>
    </row>
    <row r="3182" spans="2:4">
      <c r="B3182" s="198" t="s">
        <v>4368</v>
      </c>
      <c r="C3182" s="154" t="s">
        <v>1590</v>
      </c>
      <c r="D3182" s="201" t="s">
        <v>1958</v>
      </c>
    </row>
    <row r="3183" spans="2:4">
      <c r="B3183" s="198" t="s">
        <v>4369</v>
      </c>
      <c r="C3183" s="154" t="s">
        <v>1532</v>
      </c>
      <c r="D3183" s="201" t="s">
        <v>1958</v>
      </c>
    </row>
    <row r="3184" spans="2:4">
      <c r="B3184" s="198" t="s">
        <v>4370</v>
      </c>
      <c r="C3184" s="154" t="s">
        <v>1887</v>
      </c>
      <c r="D3184" s="201" t="s">
        <v>1956</v>
      </c>
    </row>
    <row r="3185" spans="2:4">
      <c r="B3185" s="198" t="s">
        <v>4373</v>
      </c>
      <c r="C3185" s="154" t="s">
        <v>4381</v>
      </c>
      <c r="D3185" s="201" t="s">
        <v>1956</v>
      </c>
    </row>
    <row r="3186" spans="2:4">
      <c r="B3186" s="198" t="s">
        <v>4377</v>
      </c>
      <c r="C3186" s="154" t="s">
        <v>1665</v>
      </c>
      <c r="D3186" s="201" t="s">
        <v>1951</v>
      </c>
    </row>
    <row r="3187" spans="2:4">
      <c r="B3187" s="198" t="s">
        <v>4378</v>
      </c>
      <c r="C3187" s="154" t="s">
        <v>4382</v>
      </c>
      <c r="D3187" s="201" t="s">
        <v>1955</v>
      </c>
    </row>
    <row r="3188" spans="2:4">
      <c r="B3188" s="198" t="s">
        <v>4379</v>
      </c>
      <c r="C3188" s="154" t="s">
        <v>1665</v>
      </c>
      <c r="D3188" s="201" t="s">
        <v>1951</v>
      </c>
    </row>
    <row r="3189" spans="2:4">
      <c r="B3189" s="198" t="s">
        <v>4375</v>
      </c>
      <c r="C3189" s="154" t="s">
        <v>3313</v>
      </c>
      <c r="D3189" s="201" t="s">
        <v>1951</v>
      </c>
    </row>
    <row r="3190" spans="2:4">
      <c r="B3190" s="198" t="s">
        <v>4376</v>
      </c>
      <c r="C3190" s="154" t="s">
        <v>3081</v>
      </c>
      <c r="D3190" s="201" t="s">
        <v>1957</v>
      </c>
    </row>
    <row r="3191" spans="2:4">
      <c r="B3191" s="198" t="s">
        <v>4371</v>
      </c>
      <c r="C3191" s="154" t="s">
        <v>3081</v>
      </c>
      <c r="D3191" s="201" t="s">
        <v>1957</v>
      </c>
    </row>
    <row r="3192" spans="2:4">
      <c r="B3192" s="198" t="s">
        <v>4383</v>
      </c>
      <c r="C3192" s="154" t="s">
        <v>4385</v>
      </c>
      <c r="D3192" s="201" t="s">
        <v>1951</v>
      </c>
    </row>
    <row r="3193" spans="2:4">
      <c r="B3193" s="198" t="s">
        <v>4384</v>
      </c>
      <c r="C3193" s="154" t="s">
        <v>4385</v>
      </c>
      <c r="D3193" s="201" t="s">
        <v>1951</v>
      </c>
    </row>
    <row r="3194" spans="2:4">
      <c r="B3194" s="198" t="s">
        <v>4374</v>
      </c>
      <c r="C3194" s="154" t="s">
        <v>150</v>
      </c>
      <c r="D3194" s="201" t="s">
        <v>1951</v>
      </c>
    </row>
    <row r="3195" spans="2:4">
      <c r="B3195" s="198" t="s">
        <v>4372</v>
      </c>
      <c r="C3195" s="154" t="s">
        <v>4386</v>
      </c>
      <c r="D3195" s="201" t="s">
        <v>2216</v>
      </c>
    </row>
    <row r="3196" spans="2:4">
      <c r="B3196" s="198" t="s">
        <v>4380</v>
      </c>
      <c r="C3196" s="154" t="s">
        <v>1581</v>
      </c>
      <c r="D3196" s="201" t="s">
        <v>1955</v>
      </c>
    </row>
    <row r="3197" spans="2:4">
      <c r="B3197" s="198" t="s">
        <v>4387</v>
      </c>
      <c r="C3197" s="154" t="s">
        <v>1587</v>
      </c>
      <c r="D3197" s="201" t="s">
        <v>1958</v>
      </c>
    </row>
    <row r="3198" spans="2:4">
      <c r="B3198" s="198" t="s">
        <v>4388</v>
      </c>
      <c r="C3198" s="154" t="s">
        <v>150</v>
      </c>
      <c r="D3198" s="201" t="s">
        <v>1951</v>
      </c>
    </row>
    <row r="3199" spans="2:4">
      <c r="B3199" s="198" t="s">
        <v>4389</v>
      </c>
      <c r="C3199" s="154" t="s">
        <v>150</v>
      </c>
      <c r="D3199" s="201" t="s">
        <v>1951</v>
      </c>
    </row>
    <row r="3200" spans="2:4">
      <c r="B3200" s="198" t="s">
        <v>4390</v>
      </c>
      <c r="C3200" s="154" t="s">
        <v>1720</v>
      </c>
      <c r="D3200" s="201" t="s">
        <v>1956</v>
      </c>
    </row>
    <row r="3201" spans="2:4">
      <c r="B3201" s="198" t="s">
        <v>4391</v>
      </c>
      <c r="C3201" s="154" t="s">
        <v>4399</v>
      </c>
      <c r="D3201" s="201" t="s">
        <v>1955</v>
      </c>
    </row>
    <row r="3202" spans="2:4">
      <c r="B3202" s="198" t="s">
        <v>4392</v>
      </c>
      <c r="C3202" s="154" t="s">
        <v>1877</v>
      </c>
      <c r="D3202" s="201" t="s">
        <v>1954</v>
      </c>
    </row>
    <row r="3203" spans="2:4">
      <c r="B3203" s="198" t="s">
        <v>4393</v>
      </c>
      <c r="C3203" s="154" t="s">
        <v>4400</v>
      </c>
      <c r="D3203" s="201" t="s">
        <v>1954</v>
      </c>
    </row>
    <row r="3204" spans="2:4">
      <c r="B3204" s="198" t="s">
        <v>4394</v>
      </c>
      <c r="C3204" s="154" t="s">
        <v>1521</v>
      </c>
      <c r="D3204" s="201" t="s">
        <v>1951</v>
      </c>
    </row>
    <row r="3205" spans="2:4">
      <c r="B3205" s="198" t="s">
        <v>4395</v>
      </c>
      <c r="C3205" s="154" t="s">
        <v>1566</v>
      </c>
      <c r="D3205" s="201" t="s">
        <v>1951</v>
      </c>
    </row>
    <row r="3206" spans="2:4">
      <c r="B3206" s="198" t="s">
        <v>4396</v>
      </c>
      <c r="C3206" s="154" t="s">
        <v>3081</v>
      </c>
      <c r="D3206" s="201" t="s">
        <v>1957</v>
      </c>
    </row>
    <row r="3207" spans="2:4">
      <c r="B3207" s="198" t="s">
        <v>4397</v>
      </c>
      <c r="C3207" s="154" t="s">
        <v>3756</v>
      </c>
      <c r="D3207" s="201" t="s">
        <v>2216</v>
      </c>
    </row>
    <row r="3208" spans="2:4">
      <c r="B3208" s="198" t="s">
        <v>4398</v>
      </c>
      <c r="C3208" s="154" t="s">
        <v>3081</v>
      </c>
      <c r="D3208" s="201" t="s">
        <v>1957</v>
      </c>
    </row>
    <row r="3209" spans="2:4">
      <c r="B3209" s="198" t="s">
        <v>4401</v>
      </c>
      <c r="C3209" s="154" t="s">
        <v>142</v>
      </c>
      <c r="D3209" s="201" t="s">
        <v>1954</v>
      </c>
    </row>
    <row r="3210" spans="2:4">
      <c r="B3210" s="198" t="s">
        <v>4402</v>
      </c>
      <c r="C3210" s="154" t="s">
        <v>150</v>
      </c>
      <c r="D3210" s="201" t="s">
        <v>1951</v>
      </c>
    </row>
    <row r="3211" spans="2:4">
      <c r="B3211" s="198" t="s">
        <v>4403</v>
      </c>
      <c r="C3211" s="154" t="s">
        <v>1587</v>
      </c>
      <c r="D3211" s="201" t="s">
        <v>1958</v>
      </c>
    </row>
    <row r="3212" spans="2:4">
      <c r="B3212" s="198" t="s">
        <v>4404</v>
      </c>
      <c r="C3212" s="154" t="s">
        <v>1587</v>
      </c>
      <c r="D3212" s="201" t="s">
        <v>1958</v>
      </c>
    </row>
    <row r="3213" spans="2:4">
      <c r="B3213" s="198" t="s">
        <v>4405</v>
      </c>
      <c r="C3213" s="154" t="s">
        <v>4406</v>
      </c>
      <c r="D3213" s="201" t="s">
        <v>1958</v>
      </c>
    </row>
    <row r="3214" spans="2:4">
      <c r="B3214" s="198" t="s">
        <v>4407</v>
      </c>
      <c r="C3214" s="154" t="s">
        <v>1831</v>
      </c>
      <c r="D3214" s="201" t="s">
        <v>1956</v>
      </c>
    </row>
    <row r="3215" spans="2:4">
      <c r="B3215" s="198" t="s">
        <v>4408</v>
      </c>
      <c r="C3215" s="154" t="s">
        <v>1511</v>
      </c>
      <c r="D3215" s="201" t="s">
        <v>1951</v>
      </c>
    </row>
    <row r="3216" spans="2:4">
      <c r="B3216" s="198" t="s">
        <v>4409</v>
      </c>
      <c r="C3216" s="154" t="s">
        <v>3467</v>
      </c>
      <c r="D3216" s="201" t="s">
        <v>1951</v>
      </c>
    </row>
    <row r="3217" spans="2:4">
      <c r="B3217" s="198" t="s">
        <v>4410</v>
      </c>
      <c r="C3217" s="154" t="s">
        <v>3604</v>
      </c>
      <c r="D3217" s="201" t="s">
        <v>1953</v>
      </c>
    </row>
    <row r="3218" spans="2:4">
      <c r="B3218" s="198" t="s">
        <v>4411</v>
      </c>
      <c r="C3218" s="154" t="s">
        <v>4420</v>
      </c>
      <c r="D3218" s="201" t="s">
        <v>1954</v>
      </c>
    </row>
    <row r="3219" spans="2:4">
      <c r="B3219" s="198" t="s">
        <v>4412</v>
      </c>
      <c r="C3219" s="154" t="s">
        <v>4421</v>
      </c>
      <c r="D3219" s="201" t="s">
        <v>1953</v>
      </c>
    </row>
    <row r="3220" spans="2:4">
      <c r="B3220" s="198" t="s">
        <v>4413</v>
      </c>
      <c r="C3220" s="154" t="s">
        <v>3315</v>
      </c>
      <c r="D3220" s="201" t="s">
        <v>1954</v>
      </c>
    </row>
    <row r="3221" spans="2:4">
      <c r="B3221" s="198" t="s">
        <v>4414</v>
      </c>
      <c r="C3221" s="154" t="s">
        <v>3138</v>
      </c>
      <c r="D3221" s="201" t="s">
        <v>1956</v>
      </c>
    </row>
    <row r="3222" spans="2:4">
      <c r="B3222" s="198" t="s">
        <v>4415</v>
      </c>
      <c r="C3222" s="154" t="s">
        <v>3315</v>
      </c>
      <c r="D3222" s="201" t="s">
        <v>1954</v>
      </c>
    </row>
    <row r="3223" spans="2:4">
      <c r="B3223" s="198" t="s">
        <v>4416</v>
      </c>
      <c r="C3223" s="154" t="s">
        <v>1865</v>
      </c>
      <c r="D3223" s="201" t="s">
        <v>1955</v>
      </c>
    </row>
    <row r="3224" spans="2:4">
      <c r="B3224" s="198" t="s">
        <v>4417</v>
      </c>
      <c r="C3224" s="154" t="s">
        <v>3315</v>
      </c>
      <c r="D3224" s="201" t="s">
        <v>1954</v>
      </c>
    </row>
    <row r="3225" spans="2:4">
      <c r="B3225" s="198" t="s">
        <v>4418</v>
      </c>
      <c r="C3225" s="154" t="s">
        <v>149</v>
      </c>
      <c r="D3225" s="201" t="s">
        <v>1956</v>
      </c>
    </row>
    <row r="3226" spans="2:4">
      <c r="B3226" s="198" t="s">
        <v>4419</v>
      </c>
      <c r="C3226" s="154" t="s">
        <v>3598</v>
      </c>
      <c r="D3226" s="201" t="s">
        <v>1951</v>
      </c>
    </row>
    <row r="3227" spans="2:4">
      <c r="B3227" s="198" t="s">
        <v>4422</v>
      </c>
      <c r="C3227" s="154" t="s">
        <v>1628</v>
      </c>
      <c r="D3227" s="201" t="s">
        <v>1956</v>
      </c>
    </row>
    <row r="3228" spans="2:4">
      <c r="B3228" s="198" t="s">
        <v>4423</v>
      </c>
      <c r="C3228" s="154" t="s">
        <v>1628</v>
      </c>
      <c r="D3228" s="201" t="s">
        <v>1956</v>
      </c>
    </row>
    <row r="3229" spans="2:4">
      <c r="B3229" s="198" t="s">
        <v>4424</v>
      </c>
      <c r="C3229" s="154" t="s">
        <v>1581</v>
      </c>
      <c r="D3229" s="201" t="s">
        <v>1955</v>
      </c>
    </row>
    <row r="3230" spans="2:4">
      <c r="B3230" s="198" t="s">
        <v>4425</v>
      </c>
      <c r="C3230" s="154" t="s">
        <v>3081</v>
      </c>
      <c r="D3230" s="201" t="s">
        <v>1957</v>
      </c>
    </row>
    <row r="3231" spans="2:4">
      <c r="B3231" s="198" t="s">
        <v>4426</v>
      </c>
      <c r="C3231" s="154" t="s">
        <v>3081</v>
      </c>
      <c r="D3231" s="201" t="s">
        <v>1957</v>
      </c>
    </row>
    <row r="3232" spans="2:4">
      <c r="B3232" s="198" t="s">
        <v>4427</v>
      </c>
      <c r="C3232" s="154" t="s">
        <v>4430</v>
      </c>
      <c r="D3232" s="201" t="s">
        <v>1956</v>
      </c>
    </row>
    <row r="3233" spans="2:4">
      <c r="B3233" s="198" t="s">
        <v>4428</v>
      </c>
      <c r="C3233" s="154" t="s">
        <v>4431</v>
      </c>
      <c r="D3233" s="201" t="s">
        <v>1959</v>
      </c>
    </row>
    <row r="3234" spans="2:4">
      <c r="B3234" s="198" t="s">
        <v>4429</v>
      </c>
      <c r="C3234" s="154" t="s">
        <v>2208</v>
      </c>
      <c r="D3234" s="201" t="s">
        <v>2216</v>
      </c>
    </row>
    <row r="3235" spans="2:4">
      <c r="B3235" s="198" t="s">
        <v>4432</v>
      </c>
      <c r="C3235" s="154" t="s">
        <v>4433</v>
      </c>
      <c r="D3235" s="201" t="s">
        <v>2216</v>
      </c>
    </row>
    <row r="3236" spans="2:4">
      <c r="B3236" s="198" t="s">
        <v>4434</v>
      </c>
      <c r="C3236" s="154" t="s">
        <v>1891</v>
      </c>
      <c r="D3236" s="201" t="s">
        <v>1956</v>
      </c>
    </row>
    <row r="3237" spans="2:4">
      <c r="B3237" s="198" t="s">
        <v>4435</v>
      </c>
      <c r="C3237" s="154" t="s">
        <v>3108</v>
      </c>
      <c r="D3237" s="201" t="s">
        <v>1958</v>
      </c>
    </row>
    <row r="3238" spans="2:4">
      <c r="B3238" s="198" t="s">
        <v>4436</v>
      </c>
      <c r="C3238" s="154" t="s">
        <v>4450</v>
      </c>
      <c r="D3238" s="201" t="s">
        <v>1953</v>
      </c>
    </row>
    <row r="3239" spans="2:4">
      <c r="B3239" s="198" t="s">
        <v>4437</v>
      </c>
      <c r="C3239" s="154" t="s">
        <v>1781</v>
      </c>
      <c r="D3239" s="201" t="s">
        <v>1951</v>
      </c>
    </row>
    <row r="3240" spans="2:4">
      <c r="B3240" s="198" t="s">
        <v>4438</v>
      </c>
      <c r="C3240" s="154" t="s">
        <v>1587</v>
      </c>
      <c r="D3240" s="201" t="s">
        <v>1958</v>
      </c>
    </row>
    <row r="3241" spans="2:4">
      <c r="B3241" s="198" t="s">
        <v>4439</v>
      </c>
      <c r="C3241" s="154" t="s">
        <v>1595</v>
      </c>
      <c r="D3241" s="201" t="s">
        <v>1956</v>
      </c>
    </row>
    <row r="3242" spans="2:4">
      <c r="B3242" s="198" t="s">
        <v>4440</v>
      </c>
      <c r="C3242" s="154" t="s">
        <v>1541</v>
      </c>
      <c r="D3242" s="201" t="s">
        <v>1955</v>
      </c>
    </row>
    <row r="3243" spans="2:4">
      <c r="B3243" s="198" t="s">
        <v>4441</v>
      </c>
      <c r="C3243" s="154" t="s">
        <v>3962</v>
      </c>
      <c r="D3243" s="201" t="s">
        <v>1951</v>
      </c>
    </row>
    <row r="3244" spans="2:4">
      <c r="B3244" s="198" t="s">
        <v>4442</v>
      </c>
      <c r="C3244" s="154" t="s">
        <v>1647</v>
      </c>
      <c r="D3244" s="201" t="s">
        <v>1956</v>
      </c>
    </row>
    <row r="3245" spans="2:4">
      <c r="B3245" s="198" t="s">
        <v>4443</v>
      </c>
      <c r="C3245" s="154" t="s">
        <v>1595</v>
      </c>
      <c r="D3245" s="201" t="s">
        <v>1956</v>
      </c>
    </row>
    <row r="3246" spans="2:4">
      <c r="B3246" s="198" t="s">
        <v>4444</v>
      </c>
      <c r="C3246" s="154" t="s">
        <v>4451</v>
      </c>
      <c r="D3246" s="201" t="s">
        <v>1951</v>
      </c>
    </row>
    <row r="3247" spans="2:4">
      <c r="B3247" s="198" t="s">
        <v>4445</v>
      </c>
      <c r="C3247" s="154" t="s">
        <v>1784</v>
      </c>
      <c r="D3247" s="201" t="s">
        <v>1951</v>
      </c>
    </row>
    <row r="3248" spans="2:4">
      <c r="B3248" s="198" t="s">
        <v>4446</v>
      </c>
      <c r="C3248" s="154" t="s">
        <v>1587</v>
      </c>
      <c r="D3248" s="201" t="s">
        <v>1958</v>
      </c>
    </row>
    <row r="3249" spans="2:4">
      <c r="B3249" s="198" t="s">
        <v>4447</v>
      </c>
      <c r="C3249" s="154" t="s">
        <v>1718</v>
      </c>
      <c r="D3249" s="201" t="s">
        <v>1951</v>
      </c>
    </row>
    <row r="3250" spans="2:4">
      <c r="B3250" s="198" t="s">
        <v>4448</v>
      </c>
      <c r="C3250" s="154" t="s">
        <v>1623</v>
      </c>
      <c r="D3250" s="201" t="s">
        <v>1958</v>
      </c>
    </row>
    <row r="3251" spans="2:4">
      <c r="B3251" s="198" t="s">
        <v>4449</v>
      </c>
      <c r="C3251" s="154" t="s">
        <v>1511</v>
      </c>
      <c r="D3251" s="201" t="s">
        <v>1951</v>
      </c>
    </row>
    <row r="3252" spans="2:4">
      <c r="B3252" s="198" t="s">
        <v>4452</v>
      </c>
      <c r="C3252" s="154" t="s">
        <v>3886</v>
      </c>
      <c r="D3252" s="201" t="s">
        <v>1959</v>
      </c>
    </row>
    <row r="3253" spans="2:4">
      <c r="B3253" s="198" t="s">
        <v>4453</v>
      </c>
      <c r="C3253" s="154" t="s">
        <v>3547</v>
      </c>
      <c r="D3253" s="201" t="s">
        <v>2220</v>
      </c>
    </row>
    <row r="3254" spans="2:4">
      <c r="B3254" s="198" t="s">
        <v>4454</v>
      </c>
      <c r="C3254" s="154" t="s">
        <v>4458</v>
      </c>
      <c r="D3254" s="201" t="s">
        <v>2220</v>
      </c>
    </row>
    <row r="3255" spans="2:4">
      <c r="B3255" s="198" t="s">
        <v>4455</v>
      </c>
      <c r="C3255" s="154" t="s">
        <v>4459</v>
      </c>
      <c r="D3255" s="201" t="s">
        <v>1959</v>
      </c>
    </row>
    <row r="3256" spans="2:4">
      <c r="B3256" s="198" t="s">
        <v>4456</v>
      </c>
      <c r="C3256" s="154" t="s">
        <v>4457</v>
      </c>
      <c r="D3256" s="201" t="s">
        <v>1959</v>
      </c>
    </row>
    <row r="3257" spans="2:4">
      <c r="B3257" s="198" t="s">
        <v>4460</v>
      </c>
      <c r="C3257" s="154" t="s">
        <v>4461</v>
      </c>
      <c r="D3257" s="201" t="s">
        <v>1958</v>
      </c>
    </row>
    <row r="3258" spans="2:4">
      <c r="B3258" s="198" t="s">
        <v>4462</v>
      </c>
      <c r="C3258" s="154" t="s">
        <v>1759</v>
      </c>
      <c r="D3258" s="201" t="s">
        <v>1956</v>
      </c>
    </row>
    <row r="3259" spans="2:4">
      <c r="B3259" s="198" t="s">
        <v>4463</v>
      </c>
      <c r="C3259" s="154" t="s">
        <v>4483</v>
      </c>
      <c r="D3259" s="201" t="s">
        <v>1953</v>
      </c>
    </row>
    <row r="3260" spans="2:4">
      <c r="B3260" s="198" t="s">
        <v>4464</v>
      </c>
      <c r="C3260" s="154" t="s">
        <v>1587</v>
      </c>
      <c r="D3260" s="201" t="s">
        <v>1958</v>
      </c>
    </row>
    <row r="3261" spans="2:4">
      <c r="B3261" s="198" t="s">
        <v>4465</v>
      </c>
      <c r="C3261" s="154" t="s">
        <v>142</v>
      </c>
      <c r="D3261" s="201" t="s">
        <v>1954</v>
      </c>
    </row>
    <row r="3262" spans="2:4">
      <c r="B3262" s="198" t="s">
        <v>4466</v>
      </c>
      <c r="C3262" s="154" t="s">
        <v>3315</v>
      </c>
      <c r="D3262" s="201" t="s">
        <v>1954</v>
      </c>
    </row>
    <row r="3263" spans="2:4">
      <c r="B3263" s="198" t="s">
        <v>4467</v>
      </c>
      <c r="C3263" s="154" t="s">
        <v>3315</v>
      </c>
      <c r="D3263" s="201" t="s">
        <v>1954</v>
      </c>
    </row>
    <row r="3264" spans="2:4">
      <c r="B3264" s="198" t="s">
        <v>4468</v>
      </c>
      <c r="C3264" s="154" t="s">
        <v>1587</v>
      </c>
      <c r="D3264" s="201" t="s">
        <v>1958</v>
      </c>
    </row>
    <row r="3265" spans="2:4">
      <c r="B3265" s="198" t="s">
        <v>4469</v>
      </c>
      <c r="C3265" s="154" t="s">
        <v>1587</v>
      </c>
      <c r="D3265" s="201" t="s">
        <v>1958</v>
      </c>
    </row>
    <row r="3266" spans="2:4">
      <c r="B3266" s="198" t="s">
        <v>4470</v>
      </c>
      <c r="C3266" s="154" t="s">
        <v>1781</v>
      </c>
      <c r="D3266" s="201" t="s">
        <v>1951</v>
      </c>
    </row>
    <row r="3267" spans="2:4">
      <c r="B3267" s="198" t="s">
        <v>4471</v>
      </c>
      <c r="C3267" s="154" t="s">
        <v>1738</v>
      </c>
      <c r="D3267" s="201" t="s">
        <v>1956</v>
      </c>
    </row>
    <row r="3268" spans="2:4">
      <c r="B3268" s="198" t="s">
        <v>4472</v>
      </c>
      <c r="C3268" s="154" t="s">
        <v>4484</v>
      </c>
      <c r="D3268" s="201" t="s">
        <v>1953</v>
      </c>
    </row>
    <row r="3269" spans="2:4">
      <c r="B3269" s="198" t="s">
        <v>4473</v>
      </c>
      <c r="C3269" s="154" t="s">
        <v>3315</v>
      </c>
      <c r="D3269" s="201" t="s">
        <v>1954</v>
      </c>
    </row>
    <row r="3270" spans="2:4">
      <c r="B3270" s="198" t="s">
        <v>4474</v>
      </c>
      <c r="C3270" s="154" t="s">
        <v>3419</v>
      </c>
      <c r="D3270" s="201" t="s">
        <v>1953</v>
      </c>
    </row>
    <row r="3271" spans="2:4">
      <c r="B3271" s="198" t="s">
        <v>4475</v>
      </c>
      <c r="C3271" s="154" t="s">
        <v>4485</v>
      </c>
      <c r="D3271" s="201" t="s">
        <v>1959</v>
      </c>
    </row>
    <row r="3272" spans="2:4">
      <c r="B3272" s="198" t="s">
        <v>4476</v>
      </c>
      <c r="C3272" s="154" t="s">
        <v>3446</v>
      </c>
      <c r="D3272" s="201" t="s">
        <v>1955</v>
      </c>
    </row>
    <row r="3273" spans="2:4">
      <c r="B3273" s="198" t="s">
        <v>4477</v>
      </c>
      <c r="C3273" s="154" t="s">
        <v>4486</v>
      </c>
      <c r="D3273" s="201" t="s">
        <v>1959</v>
      </c>
    </row>
    <row r="3274" spans="2:4">
      <c r="B3274" s="198" t="s">
        <v>4478</v>
      </c>
      <c r="C3274" s="154" t="s">
        <v>1657</v>
      </c>
      <c r="D3274" s="201" t="s">
        <v>1956</v>
      </c>
    </row>
    <row r="3275" spans="2:4">
      <c r="B3275" s="198" t="s">
        <v>4479</v>
      </c>
      <c r="C3275" s="154" t="s">
        <v>4487</v>
      </c>
      <c r="D3275" s="201" t="s">
        <v>1951</v>
      </c>
    </row>
    <row r="3276" spans="2:4">
      <c r="B3276" s="198" t="s">
        <v>4480</v>
      </c>
      <c r="C3276" s="154" t="s">
        <v>3315</v>
      </c>
      <c r="D3276" s="201" t="s">
        <v>1954</v>
      </c>
    </row>
    <row r="3277" spans="2:4">
      <c r="B3277" s="198" t="s">
        <v>4481</v>
      </c>
      <c r="C3277" s="154" t="s">
        <v>4488</v>
      </c>
      <c r="D3277" s="201" t="s">
        <v>1952</v>
      </c>
    </row>
    <row r="3278" spans="2:4">
      <c r="B3278" s="198" t="s">
        <v>4482</v>
      </c>
      <c r="C3278" s="154" t="s">
        <v>3416</v>
      </c>
      <c r="D3278" s="201" t="s">
        <v>1953</v>
      </c>
    </row>
    <row r="3279" spans="2:4">
      <c r="B3279" s="198" t="s">
        <v>4489</v>
      </c>
      <c r="C3279" s="154" t="s">
        <v>4492</v>
      </c>
      <c r="D3279" s="201" t="s">
        <v>1955</v>
      </c>
    </row>
    <row r="3280" spans="2:4">
      <c r="B3280" s="198" t="s">
        <v>4490</v>
      </c>
      <c r="C3280" s="154" t="s">
        <v>1587</v>
      </c>
      <c r="D3280" s="201" t="s">
        <v>1958</v>
      </c>
    </row>
    <row r="3281" spans="2:4">
      <c r="B3281" s="198" t="s">
        <v>4491</v>
      </c>
      <c r="C3281" s="154" t="s">
        <v>1560</v>
      </c>
      <c r="D3281" s="201" t="s">
        <v>1953</v>
      </c>
    </row>
    <row r="3282" spans="2:4">
      <c r="B3282" s="198" t="s">
        <v>4493</v>
      </c>
      <c r="C3282" s="154" t="s">
        <v>3756</v>
      </c>
      <c r="D3282" s="201" t="s">
        <v>2216</v>
      </c>
    </row>
    <row r="3283" spans="2:4">
      <c r="B3283" s="198" t="s">
        <v>4494</v>
      </c>
      <c r="C3283" s="154" t="s">
        <v>2207</v>
      </c>
      <c r="D3283" s="201" t="s">
        <v>2216</v>
      </c>
    </row>
    <row r="3284" spans="2:4">
      <c r="B3284" s="198" t="s">
        <v>4495</v>
      </c>
      <c r="C3284" s="154" t="s">
        <v>149</v>
      </c>
      <c r="D3284" s="201" t="s">
        <v>1956</v>
      </c>
    </row>
    <row r="3285" spans="2:4">
      <c r="B3285" s="198" t="s">
        <v>4496</v>
      </c>
      <c r="C3285" s="154" t="s">
        <v>4508</v>
      </c>
      <c r="D3285" s="201" t="s">
        <v>1951</v>
      </c>
    </row>
    <row r="3286" spans="2:4">
      <c r="B3286" s="198" t="s">
        <v>4497</v>
      </c>
      <c r="C3286" s="154" t="s">
        <v>4509</v>
      </c>
      <c r="D3286" s="201" t="s">
        <v>1956</v>
      </c>
    </row>
    <row r="3287" spans="2:4">
      <c r="B3287" s="198" t="s">
        <v>4498</v>
      </c>
      <c r="C3287" s="154" t="s">
        <v>1587</v>
      </c>
      <c r="D3287" s="201" t="s">
        <v>1958</v>
      </c>
    </row>
    <row r="3288" spans="2:4">
      <c r="B3288" s="198" t="s">
        <v>4499</v>
      </c>
      <c r="C3288" s="154" t="s">
        <v>149</v>
      </c>
      <c r="D3288" s="201" t="s">
        <v>1956</v>
      </c>
    </row>
    <row r="3289" spans="2:4">
      <c r="B3289" s="198" t="s">
        <v>4500</v>
      </c>
      <c r="C3289" s="154" t="s">
        <v>1825</v>
      </c>
      <c r="D3289" s="201" t="s">
        <v>1951</v>
      </c>
    </row>
    <row r="3290" spans="2:4">
      <c r="B3290" s="198" t="s">
        <v>4501</v>
      </c>
      <c r="C3290" s="154" t="s">
        <v>1532</v>
      </c>
      <c r="D3290" s="201" t="s">
        <v>1958</v>
      </c>
    </row>
    <row r="3291" spans="2:4">
      <c r="B3291" s="198" t="s">
        <v>4502</v>
      </c>
      <c r="C3291" s="154" t="s">
        <v>1633</v>
      </c>
      <c r="D3291" s="201" t="s">
        <v>1951</v>
      </c>
    </row>
    <row r="3292" spans="2:4">
      <c r="B3292" s="198" t="s">
        <v>4503</v>
      </c>
      <c r="C3292" s="154" t="s">
        <v>1647</v>
      </c>
      <c r="D3292" s="201" t="s">
        <v>1956</v>
      </c>
    </row>
    <row r="3293" spans="2:4">
      <c r="B3293" s="198" t="s">
        <v>4504</v>
      </c>
      <c r="C3293" s="154" t="s">
        <v>3279</v>
      </c>
      <c r="D3293" s="201" t="s">
        <v>2216</v>
      </c>
    </row>
    <row r="3294" spans="2:4">
      <c r="B3294" s="198" t="s">
        <v>4505</v>
      </c>
      <c r="C3294" s="154" t="s">
        <v>151</v>
      </c>
      <c r="D3294" s="201" t="s">
        <v>1954</v>
      </c>
    </row>
    <row r="3295" spans="2:4">
      <c r="B3295" s="198" t="s">
        <v>4506</v>
      </c>
      <c r="C3295" s="154" t="s">
        <v>1544</v>
      </c>
      <c r="D3295" s="201" t="s">
        <v>1951</v>
      </c>
    </row>
    <row r="3296" spans="2:4">
      <c r="B3296" s="198" t="s">
        <v>4507</v>
      </c>
      <c r="C3296" s="154" t="s">
        <v>1595</v>
      </c>
      <c r="D3296" s="201" t="s">
        <v>1956</v>
      </c>
    </row>
    <row r="3297" spans="2:4">
      <c r="B3297" s="198" t="s">
        <v>4510</v>
      </c>
      <c r="C3297" s="154" t="s">
        <v>1532</v>
      </c>
      <c r="D3297" s="201" t="s">
        <v>1958</v>
      </c>
    </row>
    <row r="3298" spans="2:4">
      <c r="B3298" s="198" t="s">
        <v>4511</v>
      </c>
      <c r="C3298" s="154" t="s">
        <v>4586</v>
      </c>
      <c r="D3298" s="201" t="s">
        <v>1960</v>
      </c>
    </row>
    <row r="3299" spans="2:4">
      <c r="B3299" s="198" t="s">
        <v>4512</v>
      </c>
      <c r="C3299" s="154" t="s">
        <v>1519</v>
      </c>
      <c r="D3299" s="201" t="s">
        <v>1951</v>
      </c>
    </row>
    <row r="3300" spans="2:4">
      <c r="B3300" s="198" t="s">
        <v>4513</v>
      </c>
      <c r="C3300" s="154" t="s">
        <v>4535</v>
      </c>
      <c r="D3300" s="201" t="s">
        <v>1958</v>
      </c>
    </row>
    <row r="3301" spans="2:4">
      <c r="B3301" s="198" t="s">
        <v>4514</v>
      </c>
      <c r="C3301" s="154" t="s">
        <v>4536</v>
      </c>
      <c r="D3301" s="201" t="s">
        <v>1958</v>
      </c>
    </row>
    <row r="3302" spans="2:4">
      <c r="B3302" s="198" t="s">
        <v>4515</v>
      </c>
      <c r="C3302" s="154" t="s">
        <v>1848</v>
      </c>
      <c r="D3302" s="201" t="s">
        <v>1951</v>
      </c>
    </row>
    <row r="3303" spans="2:4">
      <c r="B3303" s="198" t="s">
        <v>4516</v>
      </c>
      <c r="C3303" s="154" t="s">
        <v>1631</v>
      </c>
      <c r="D3303" s="201" t="s">
        <v>1951</v>
      </c>
    </row>
    <row r="3304" spans="2:4">
      <c r="B3304" s="198" t="s">
        <v>4517</v>
      </c>
      <c r="C3304" s="154" t="s">
        <v>4537</v>
      </c>
      <c r="D3304" s="201" t="s">
        <v>1951</v>
      </c>
    </row>
    <row r="3305" spans="2:4">
      <c r="B3305" s="198" t="s">
        <v>4518</v>
      </c>
      <c r="C3305" s="154" t="s">
        <v>4538</v>
      </c>
      <c r="D3305" s="201" t="s">
        <v>1953</v>
      </c>
    </row>
    <row r="3306" spans="2:4">
      <c r="B3306" s="198" t="s">
        <v>4519</v>
      </c>
      <c r="C3306" s="154" t="s">
        <v>1522</v>
      </c>
      <c r="D3306" s="201" t="s">
        <v>1953</v>
      </c>
    </row>
    <row r="3307" spans="2:4">
      <c r="B3307" s="198" t="s">
        <v>4520</v>
      </c>
      <c r="C3307" s="154" t="s">
        <v>1687</v>
      </c>
      <c r="D3307" s="201" t="s">
        <v>1951</v>
      </c>
    </row>
    <row r="3308" spans="2:4">
      <c r="B3308" s="198" t="s">
        <v>4521</v>
      </c>
      <c r="C3308" s="154" t="s">
        <v>1516</v>
      </c>
      <c r="D3308" s="201" t="s">
        <v>1955</v>
      </c>
    </row>
    <row r="3309" spans="2:4">
      <c r="B3309" s="198" t="s">
        <v>4522</v>
      </c>
      <c r="C3309" s="154" t="s">
        <v>4539</v>
      </c>
      <c r="D3309" s="201" t="s">
        <v>1951</v>
      </c>
    </row>
    <row r="3310" spans="2:4">
      <c r="B3310" s="198" t="s">
        <v>4523</v>
      </c>
      <c r="C3310" s="154" t="s">
        <v>1541</v>
      </c>
      <c r="D3310" s="201" t="s">
        <v>1955</v>
      </c>
    </row>
    <row r="3311" spans="2:4">
      <c r="B3311" s="198" t="s">
        <v>4524</v>
      </c>
      <c r="C3311" s="154" t="s">
        <v>1587</v>
      </c>
      <c r="D3311" s="201" t="s">
        <v>1958</v>
      </c>
    </row>
    <row r="3312" spans="2:4">
      <c r="B3312" s="198" t="s">
        <v>4525</v>
      </c>
      <c r="C3312" s="154" t="s">
        <v>1578</v>
      </c>
      <c r="D3312" s="201" t="s">
        <v>1958</v>
      </c>
    </row>
    <row r="3313" spans="2:4">
      <c r="B3313" s="198" t="s">
        <v>4526</v>
      </c>
      <c r="C3313" s="154" t="s">
        <v>4540</v>
      </c>
      <c r="D3313" s="201" t="s">
        <v>1958</v>
      </c>
    </row>
    <row r="3314" spans="2:4">
      <c r="B3314" s="198" t="s">
        <v>4527</v>
      </c>
      <c r="C3314" s="154" t="s">
        <v>4541</v>
      </c>
      <c r="D3314" s="201" t="s">
        <v>1956</v>
      </c>
    </row>
    <row r="3315" spans="2:4">
      <c r="B3315" s="198" t="s">
        <v>4528</v>
      </c>
      <c r="C3315" s="154" t="s">
        <v>1532</v>
      </c>
      <c r="D3315" s="201" t="s">
        <v>1958</v>
      </c>
    </row>
    <row r="3316" spans="2:4">
      <c r="B3316" s="198" t="s">
        <v>4529</v>
      </c>
      <c r="C3316" s="154" t="s">
        <v>1732</v>
      </c>
      <c r="D3316" s="201" t="s">
        <v>1955</v>
      </c>
    </row>
    <row r="3317" spans="2:4">
      <c r="B3317" s="198" t="s">
        <v>4530</v>
      </c>
      <c r="C3317" s="154" t="s">
        <v>1522</v>
      </c>
      <c r="D3317" s="201" t="s">
        <v>1953</v>
      </c>
    </row>
    <row r="3318" spans="2:4">
      <c r="B3318" s="198" t="s">
        <v>4531</v>
      </c>
      <c r="C3318" s="154" t="s">
        <v>4587</v>
      </c>
      <c r="D3318" s="201" t="s">
        <v>1951</v>
      </c>
    </row>
    <row r="3319" spans="2:4">
      <c r="B3319" s="198" t="s">
        <v>4532</v>
      </c>
      <c r="C3319" s="154" t="s">
        <v>1532</v>
      </c>
      <c r="D3319" s="201" t="s">
        <v>1958</v>
      </c>
    </row>
    <row r="3320" spans="2:4">
      <c r="B3320" s="198" t="s">
        <v>4533</v>
      </c>
      <c r="C3320" s="154" t="s">
        <v>1587</v>
      </c>
      <c r="D3320" s="201" t="s">
        <v>1958</v>
      </c>
    </row>
    <row r="3321" spans="2:4">
      <c r="B3321" s="198" t="s">
        <v>4534</v>
      </c>
      <c r="C3321" s="154" t="s">
        <v>1589</v>
      </c>
      <c r="D3321" s="201" t="s">
        <v>1953</v>
      </c>
    </row>
    <row r="3322" spans="2:4">
      <c r="B3322" s="198" t="s">
        <v>4542</v>
      </c>
      <c r="C3322" s="154" t="s">
        <v>149</v>
      </c>
      <c r="D3322" s="201" t="s">
        <v>1956</v>
      </c>
    </row>
    <row r="3323" spans="2:4">
      <c r="B3323" s="198" t="s">
        <v>4549</v>
      </c>
      <c r="C3323" s="154" t="s">
        <v>1612</v>
      </c>
      <c r="D3323" s="201" t="s">
        <v>1953</v>
      </c>
    </row>
    <row r="3324" spans="2:4">
      <c r="B3324" s="198" t="s">
        <v>4550</v>
      </c>
      <c r="C3324" s="154" t="s">
        <v>1915</v>
      </c>
      <c r="D3324" s="201" t="s">
        <v>1954</v>
      </c>
    </row>
    <row r="3325" spans="2:4">
      <c r="B3325" s="198" t="s">
        <v>4552</v>
      </c>
      <c r="C3325" s="154" t="s">
        <v>3357</v>
      </c>
      <c r="D3325" s="201" t="s">
        <v>1951</v>
      </c>
    </row>
    <row r="3326" spans="2:4">
      <c r="B3326" s="198" t="s">
        <v>4546</v>
      </c>
      <c r="C3326" s="154" t="s">
        <v>1665</v>
      </c>
      <c r="D3326" s="201" t="s">
        <v>1951</v>
      </c>
    </row>
    <row r="3327" spans="2:4">
      <c r="B3327" s="198" t="s">
        <v>4543</v>
      </c>
      <c r="C3327" s="154" t="s">
        <v>3081</v>
      </c>
      <c r="D3327" s="201" t="s">
        <v>1957</v>
      </c>
    </row>
    <row r="3328" spans="2:4">
      <c r="B3328" s="198" t="s">
        <v>4544</v>
      </c>
      <c r="C3328" s="154" t="s">
        <v>1541</v>
      </c>
      <c r="D3328" s="201" t="s">
        <v>1955</v>
      </c>
    </row>
    <row r="3329" spans="2:4">
      <c r="B3329" s="198" t="s">
        <v>4545</v>
      </c>
      <c r="C3329" s="154" t="s">
        <v>3081</v>
      </c>
      <c r="D3329" s="201" t="s">
        <v>1957</v>
      </c>
    </row>
    <row r="3330" spans="2:4">
      <c r="B3330" s="198" t="s">
        <v>4547</v>
      </c>
      <c r="C3330" s="154" t="s">
        <v>4554</v>
      </c>
      <c r="D3330" s="201" t="s">
        <v>1956</v>
      </c>
    </row>
    <row r="3331" spans="2:4">
      <c r="B3331" s="198" t="s">
        <v>4548</v>
      </c>
      <c r="C3331" s="154" t="s">
        <v>3547</v>
      </c>
      <c r="D3331" s="201" t="s">
        <v>2220</v>
      </c>
    </row>
    <row r="3332" spans="2:4">
      <c r="B3332" s="198" t="s">
        <v>4551</v>
      </c>
      <c r="C3332" s="154" t="s">
        <v>3279</v>
      </c>
      <c r="D3332" s="201" t="s">
        <v>2216</v>
      </c>
    </row>
    <row r="3333" spans="2:4">
      <c r="B3333" s="198" t="s">
        <v>4553</v>
      </c>
      <c r="C3333" s="154" t="s">
        <v>4585</v>
      </c>
      <c r="D3333" s="201" t="s">
        <v>2216</v>
      </c>
    </row>
    <row r="3334" spans="2:4">
      <c r="B3334" s="198" t="s">
        <v>4555</v>
      </c>
      <c r="C3334" s="154" t="s">
        <v>3081</v>
      </c>
      <c r="D3334" s="201" t="s">
        <v>1957</v>
      </c>
    </row>
    <row r="3335" spans="2:4">
      <c r="B3335" s="198" t="s">
        <v>4556</v>
      </c>
      <c r="C3335" s="154" t="s">
        <v>150</v>
      </c>
      <c r="D3335" s="201" t="s">
        <v>1951</v>
      </c>
    </row>
    <row r="3336" spans="2:4">
      <c r="B3336" s="198" t="s">
        <v>4557</v>
      </c>
      <c r="C3336" s="154" t="s">
        <v>150</v>
      </c>
      <c r="D3336" s="201" t="s">
        <v>1951</v>
      </c>
    </row>
    <row r="3337" spans="2:4">
      <c r="B3337" s="198" t="s">
        <v>4558</v>
      </c>
      <c r="C3337" s="154" t="s">
        <v>1541</v>
      </c>
      <c r="D3337" s="201" t="s">
        <v>1955</v>
      </c>
    </row>
    <row r="3338" spans="2:4">
      <c r="B3338" s="198" t="s">
        <v>4559</v>
      </c>
      <c r="C3338" s="154" t="s">
        <v>3315</v>
      </c>
      <c r="D3338" s="201" t="s">
        <v>1954</v>
      </c>
    </row>
    <row r="3339" spans="2:4">
      <c r="B3339" s="198" t="s">
        <v>4560</v>
      </c>
      <c r="C3339" s="154" t="s">
        <v>142</v>
      </c>
      <c r="D3339" s="201" t="s">
        <v>1954</v>
      </c>
    </row>
    <row r="3340" spans="2:4">
      <c r="B3340" s="198" t="s">
        <v>4561</v>
      </c>
      <c r="C3340" s="154" t="s">
        <v>1541</v>
      </c>
      <c r="D3340" s="201" t="s">
        <v>1955</v>
      </c>
    </row>
    <row r="3341" spans="2:4">
      <c r="B3341" s="198" t="s">
        <v>4562</v>
      </c>
      <c r="C3341" s="154" t="s">
        <v>1541</v>
      </c>
      <c r="D3341" s="201" t="s">
        <v>1955</v>
      </c>
    </row>
    <row r="3342" spans="2:4">
      <c r="B3342" s="198" t="s">
        <v>4563</v>
      </c>
      <c r="C3342" s="154" t="s">
        <v>150</v>
      </c>
      <c r="D3342" s="201" t="s">
        <v>1951</v>
      </c>
    </row>
    <row r="3343" spans="2:4">
      <c r="B3343" s="198" t="s">
        <v>4564</v>
      </c>
      <c r="C3343" s="154" t="s">
        <v>3138</v>
      </c>
      <c r="D3343" s="201" t="s">
        <v>1956</v>
      </c>
    </row>
    <row r="3344" spans="2:4">
      <c r="B3344" s="198" t="s">
        <v>4565</v>
      </c>
      <c r="C3344" s="154" t="s">
        <v>3465</v>
      </c>
      <c r="D3344" s="201" t="s">
        <v>1951</v>
      </c>
    </row>
    <row r="3345" spans="2:4">
      <c r="B3345" s="198" t="s">
        <v>4566</v>
      </c>
      <c r="C3345" s="154" t="s">
        <v>3419</v>
      </c>
      <c r="D3345" s="201" t="s">
        <v>1953</v>
      </c>
    </row>
    <row r="3346" spans="2:4">
      <c r="B3346" s="198" t="s">
        <v>4567</v>
      </c>
      <c r="C3346" s="154" t="s">
        <v>3465</v>
      </c>
      <c r="D3346" s="201" t="s">
        <v>1951</v>
      </c>
    </row>
    <row r="3347" spans="2:4">
      <c r="B3347" s="198" t="s">
        <v>4568</v>
      </c>
      <c r="C3347" s="154" t="s">
        <v>1519</v>
      </c>
      <c r="D3347" s="201" t="s">
        <v>1951</v>
      </c>
    </row>
    <row r="3348" spans="2:4">
      <c r="B3348" s="198" t="s">
        <v>4569</v>
      </c>
      <c r="C3348" s="154" t="s">
        <v>1519</v>
      </c>
      <c r="D3348" s="201" t="s">
        <v>1951</v>
      </c>
    </row>
    <row r="3349" spans="2:4">
      <c r="B3349" s="198" t="s">
        <v>4570</v>
      </c>
      <c r="C3349" s="154" t="s">
        <v>3465</v>
      </c>
      <c r="D3349" s="201" t="s">
        <v>1951</v>
      </c>
    </row>
    <row r="3350" spans="2:4">
      <c r="B3350" s="198" t="s">
        <v>4571</v>
      </c>
      <c r="C3350" s="154" t="s">
        <v>3465</v>
      </c>
      <c r="D3350" s="201" t="s">
        <v>1951</v>
      </c>
    </row>
    <row r="3351" spans="2:4">
      <c r="B3351" s="198" t="s">
        <v>4572</v>
      </c>
      <c r="C3351" s="154" t="s">
        <v>3446</v>
      </c>
      <c r="D3351" s="201" t="s">
        <v>1955</v>
      </c>
    </row>
    <row r="3352" spans="2:4">
      <c r="B3352" s="198" t="s">
        <v>4573</v>
      </c>
      <c r="C3352" s="154" t="s">
        <v>4582</v>
      </c>
      <c r="D3352" s="201" t="s">
        <v>1951</v>
      </c>
    </row>
    <row r="3353" spans="2:4">
      <c r="B3353" s="198" t="s">
        <v>4574</v>
      </c>
      <c r="C3353" s="154" t="s">
        <v>3446</v>
      </c>
      <c r="D3353" s="201" t="s">
        <v>1955</v>
      </c>
    </row>
    <row r="3354" spans="2:4">
      <c r="B3354" s="198" t="s">
        <v>4575</v>
      </c>
      <c r="C3354" s="154" t="s">
        <v>3446</v>
      </c>
      <c r="D3354" s="201" t="s">
        <v>1955</v>
      </c>
    </row>
    <row r="3355" spans="2:4">
      <c r="B3355" s="198" t="s">
        <v>4576</v>
      </c>
      <c r="C3355" s="154" t="s">
        <v>4583</v>
      </c>
      <c r="D3355" s="201" t="s">
        <v>1954</v>
      </c>
    </row>
    <row r="3356" spans="2:4">
      <c r="B3356" s="198" t="s">
        <v>4577</v>
      </c>
      <c r="C3356" s="154" t="s">
        <v>3419</v>
      </c>
      <c r="D3356" s="201" t="s">
        <v>1953</v>
      </c>
    </row>
    <row r="3357" spans="2:4">
      <c r="B3357" s="198" t="s">
        <v>4578</v>
      </c>
      <c r="C3357" s="154" t="s">
        <v>150</v>
      </c>
      <c r="D3357" s="201" t="s">
        <v>1951</v>
      </c>
    </row>
    <row r="3358" spans="2:4">
      <c r="B3358" s="198" t="s">
        <v>4579</v>
      </c>
      <c r="C3358" s="154" t="s">
        <v>150</v>
      </c>
      <c r="D3358" s="201" t="s">
        <v>1951</v>
      </c>
    </row>
    <row r="3359" spans="2:4">
      <c r="B3359" s="198" t="s">
        <v>4580</v>
      </c>
      <c r="C3359" s="154" t="s">
        <v>1655</v>
      </c>
      <c r="D3359" s="201" t="s">
        <v>1954</v>
      </c>
    </row>
    <row r="3360" spans="2:4">
      <c r="B3360" s="198" t="s">
        <v>4581</v>
      </c>
      <c r="C3360" s="154" t="s">
        <v>4584</v>
      </c>
      <c r="D3360" s="201" t="s">
        <v>1952</v>
      </c>
    </row>
    <row r="3361" spans="2:4">
      <c r="B3361" s="198" t="s">
        <v>4588</v>
      </c>
      <c r="C3361" s="154" t="s">
        <v>1587</v>
      </c>
      <c r="D3361" s="201" t="s">
        <v>1958</v>
      </c>
    </row>
    <row r="3362" spans="2:4">
      <c r="B3362" s="198" t="s">
        <v>4589</v>
      </c>
      <c r="C3362" s="154" t="s">
        <v>153</v>
      </c>
      <c r="D3362" s="201" t="s">
        <v>1951</v>
      </c>
    </row>
    <row r="3363" spans="2:4">
      <c r="B3363" s="198" t="s">
        <v>4598</v>
      </c>
      <c r="C3363" s="154" t="s">
        <v>3724</v>
      </c>
      <c r="D3363" s="201" t="s">
        <v>1951</v>
      </c>
    </row>
    <row r="3364" spans="2:4">
      <c r="B3364" s="198" t="s">
        <v>4591</v>
      </c>
      <c r="C3364" s="154" t="s">
        <v>4599</v>
      </c>
      <c r="D3364" s="201" t="s">
        <v>1951</v>
      </c>
    </row>
    <row r="3365" spans="2:4">
      <c r="B3365" s="198" t="s">
        <v>4592</v>
      </c>
      <c r="C3365" s="154" t="s">
        <v>1587</v>
      </c>
      <c r="D3365" s="201" t="s">
        <v>1958</v>
      </c>
    </row>
    <row r="3366" spans="2:4">
      <c r="B3366" s="198" t="s">
        <v>4593</v>
      </c>
      <c r="C3366" s="154" t="s">
        <v>1625</v>
      </c>
      <c r="D3366" s="201" t="s">
        <v>1951</v>
      </c>
    </row>
    <row r="3367" spans="2:4">
      <c r="B3367" s="198" t="s">
        <v>4597</v>
      </c>
      <c r="C3367" s="154" t="s">
        <v>153</v>
      </c>
      <c r="D3367" s="201" t="s">
        <v>1951</v>
      </c>
    </row>
    <row r="3368" spans="2:4">
      <c r="B3368" s="198" t="s">
        <v>4595</v>
      </c>
      <c r="C3368" s="154" t="s">
        <v>149</v>
      </c>
      <c r="D3368" s="201" t="s">
        <v>1956</v>
      </c>
    </row>
    <row r="3369" spans="2:4">
      <c r="B3369" s="198" t="s">
        <v>4590</v>
      </c>
      <c r="C3369" s="154" t="s">
        <v>4601</v>
      </c>
      <c r="D3369" s="201" t="s">
        <v>2216</v>
      </c>
    </row>
    <row r="3370" spans="2:4">
      <c r="B3370" s="198" t="s">
        <v>4594</v>
      </c>
      <c r="C3370" s="154" t="s">
        <v>3547</v>
      </c>
      <c r="D3370" s="201" t="s">
        <v>2220</v>
      </c>
    </row>
    <row r="3371" spans="2:4">
      <c r="B3371" s="198" t="s">
        <v>4596</v>
      </c>
      <c r="C3371" s="154" t="s">
        <v>3081</v>
      </c>
      <c r="D3371" s="201" t="s">
        <v>1957</v>
      </c>
    </row>
    <row r="3372" spans="2:4">
      <c r="B3372" s="198" t="s">
        <v>4600</v>
      </c>
      <c r="C3372" s="154" t="s">
        <v>7239</v>
      </c>
      <c r="D3372" s="201" t="s">
        <v>5662</v>
      </c>
    </row>
    <row r="3373" spans="2:4">
      <c r="B3373" s="198" t="s">
        <v>4602</v>
      </c>
      <c r="C3373" s="154" t="s">
        <v>7239</v>
      </c>
      <c r="D3373" s="201" t="s">
        <v>5662</v>
      </c>
    </row>
    <row r="3374" spans="2:4">
      <c r="B3374" s="198" t="s">
        <v>4603</v>
      </c>
      <c r="C3374" s="154" t="s">
        <v>1587</v>
      </c>
      <c r="D3374" s="201" t="s">
        <v>1958</v>
      </c>
    </row>
    <row r="3375" spans="2:4">
      <c r="B3375" s="198" t="s">
        <v>4604</v>
      </c>
      <c r="C3375" s="154" t="s">
        <v>151</v>
      </c>
      <c r="D3375" s="201" t="s">
        <v>1954</v>
      </c>
    </row>
    <row r="3376" spans="2:4">
      <c r="B3376" s="198" t="s">
        <v>4605</v>
      </c>
      <c r="C3376" s="154" t="s">
        <v>1558</v>
      </c>
      <c r="D3376" s="201" t="s">
        <v>1958</v>
      </c>
    </row>
    <row r="3377" spans="2:4">
      <c r="B3377" s="198" t="s">
        <v>4606</v>
      </c>
      <c r="C3377" s="154" t="s">
        <v>1944</v>
      </c>
      <c r="D3377" s="201" t="s">
        <v>1958</v>
      </c>
    </row>
    <row r="3378" spans="2:4">
      <c r="B3378" s="198" t="s">
        <v>4607</v>
      </c>
      <c r="C3378" s="154" t="s">
        <v>1699</v>
      </c>
      <c r="D3378" s="201" t="s">
        <v>1956</v>
      </c>
    </row>
    <row r="3379" spans="2:4">
      <c r="B3379" s="198" t="s">
        <v>4608</v>
      </c>
      <c r="C3379" s="154" t="s">
        <v>1521</v>
      </c>
      <c r="D3379" s="201" t="s">
        <v>1951</v>
      </c>
    </row>
    <row r="3380" spans="2:4">
      <c r="B3380" s="198" t="s">
        <v>4609</v>
      </c>
      <c r="C3380" s="154" t="s">
        <v>151</v>
      </c>
      <c r="D3380" s="201" t="s">
        <v>1954</v>
      </c>
    </row>
    <row r="3381" spans="2:4">
      <c r="B3381" s="198" t="s">
        <v>4610</v>
      </c>
      <c r="C3381" s="154" t="s">
        <v>1541</v>
      </c>
      <c r="D3381" s="201" t="s">
        <v>1955</v>
      </c>
    </row>
    <row r="3382" spans="2:4">
      <c r="B3382" s="198" t="s">
        <v>4611</v>
      </c>
      <c r="C3382" s="154" t="s">
        <v>4612</v>
      </c>
      <c r="D3382" s="201" t="s">
        <v>1958</v>
      </c>
    </row>
    <row r="3383" spans="2:4">
      <c r="B3383" s="198" t="s">
        <v>4613</v>
      </c>
      <c r="C3383" s="154" t="s">
        <v>1522</v>
      </c>
      <c r="D3383" s="201" t="s">
        <v>1953</v>
      </c>
    </row>
    <row r="3384" spans="2:4">
      <c r="B3384" s="198" t="s">
        <v>4614</v>
      </c>
      <c r="C3384" s="154" t="s">
        <v>1522</v>
      </c>
      <c r="D3384" s="201" t="s">
        <v>1953</v>
      </c>
    </row>
    <row r="3385" spans="2:4">
      <c r="B3385" s="198" t="s">
        <v>4615</v>
      </c>
      <c r="C3385" s="154" t="s">
        <v>151</v>
      </c>
      <c r="D3385" s="201" t="s">
        <v>1954</v>
      </c>
    </row>
    <row r="3386" spans="2:4">
      <c r="B3386" s="198" t="s">
        <v>4616</v>
      </c>
      <c r="C3386" s="154" t="s">
        <v>4624</v>
      </c>
      <c r="D3386" s="201" t="s">
        <v>1954</v>
      </c>
    </row>
    <row r="3387" spans="2:4">
      <c r="B3387" s="198" t="s">
        <v>4620</v>
      </c>
      <c r="C3387" s="154" t="s">
        <v>152</v>
      </c>
      <c r="D3387" s="201" t="s">
        <v>1952</v>
      </c>
    </row>
    <row r="3388" spans="2:4">
      <c r="B3388" s="198" t="s">
        <v>4618</v>
      </c>
      <c r="C3388" s="154" t="s">
        <v>150</v>
      </c>
      <c r="D3388" s="201" t="s">
        <v>1951</v>
      </c>
    </row>
    <row r="3389" spans="2:4">
      <c r="B3389" s="198" t="s">
        <v>4619</v>
      </c>
      <c r="C3389" s="154" t="s">
        <v>142</v>
      </c>
      <c r="D3389" s="201" t="s">
        <v>1954</v>
      </c>
    </row>
    <row r="3390" spans="2:4">
      <c r="B3390" s="198" t="s">
        <v>4617</v>
      </c>
      <c r="C3390" s="154" t="s">
        <v>4625</v>
      </c>
      <c r="D3390" s="201" t="s">
        <v>2220</v>
      </c>
    </row>
    <row r="3391" spans="2:4">
      <c r="B3391" s="198" t="s">
        <v>4621</v>
      </c>
      <c r="C3391" s="154" t="s">
        <v>149</v>
      </c>
      <c r="D3391" s="201" t="s">
        <v>1956</v>
      </c>
    </row>
    <row r="3392" spans="2:4">
      <c r="B3392" s="198" t="s">
        <v>4622</v>
      </c>
      <c r="C3392" s="154" t="s">
        <v>1581</v>
      </c>
      <c r="D3392" s="201" t="s">
        <v>1955</v>
      </c>
    </row>
    <row r="3393" spans="2:4">
      <c r="B3393" s="198" t="s">
        <v>4623</v>
      </c>
      <c r="C3393" s="154" t="s">
        <v>4626</v>
      </c>
      <c r="D3393" s="201" t="s">
        <v>2216</v>
      </c>
    </row>
    <row r="3394" spans="2:4">
      <c r="B3394" s="198" t="s">
        <v>4627</v>
      </c>
      <c r="C3394" s="154" t="s">
        <v>1587</v>
      </c>
      <c r="D3394" s="201" t="s">
        <v>1958</v>
      </c>
    </row>
    <row r="3395" spans="2:4">
      <c r="B3395" s="198" t="s">
        <v>4628</v>
      </c>
      <c r="C3395" s="154" t="s">
        <v>151</v>
      </c>
      <c r="D3395" s="201" t="s">
        <v>1954</v>
      </c>
    </row>
    <row r="3396" spans="2:4">
      <c r="B3396" s="198" t="s">
        <v>4629</v>
      </c>
      <c r="C3396" s="154" t="s">
        <v>1595</v>
      </c>
      <c r="D3396" s="201" t="s">
        <v>1956</v>
      </c>
    </row>
    <row r="3397" spans="2:4">
      <c r="B3397" s="198" t="s">
        <v>4630</v>
      </c>
      <c r="C3397" s="154" t="s">
        <v>4630</v>
      </c>
      <c r="D3397" s="201" t="s">
        <v>1958</v>
      </c>
    </row>
    <row r="3398" spans="2:4">
      <c r="B3398" s="198" t="s">
        <v>4631</v>
      </c>
      <c r="C3398" s="153" t="s">
        <v>1566</v>
      </c>
      <c r="D3398" s="201" t="s">
        <v>1951</v>
      </c>
    </row>
    <row r="3399" spans="2:4">
      <c r="B3399" s="198" t="s">
        <v>4632</v>
      </c>
      <c r="C3399" s="154" t="s">
        <v>1595</v>
      </c>
      <c r="D3399" s="201" t="s">
        <v>1956</v>
      </c>
    </row>
    <row r="3400" spans="2:4">
      <c r="B3400" s="198" t="s">
        <v>4633</v>
      </c>
      <c r="C3400" s="154" t="s">
        <v>149</v>
      </c>
      <c r="D3400" s="201" t="s">
        <v>1956</v>
      </c>
    </row>
    <row r="3401" spans="2:4">
      <c r="B3401" s="198" t="s">
        <v>4634</v>
      </c>
      <c r="C3401" s="154" t="s">
        <v>3081</v>
      </c>
      <c r="D3401" s="201" t="s">
        <v>1957</v>
      </c>
    </row>
    <row r="3402" spans="2:4">
      <c r="B3402" s="198" t="s">
        <v>4635</v>
      </c>
      <c r="C3402" s="154" t="s">
        <v>1749</v>
      </c>
      <c r="D3402" s="201" t="s">
        <v>1956</v>
      </c>
    </row>
    <row r="3403" spans="2:4">
      <c r="B3403" s="198" t="s">
        <v>4636</v>
      </c>
      <c r="C3403" s="154" t="s">
        <v>4077</v>
      </c>
      <c r="D3403" s="201" t="s">
        <v>1956</v>
      </c>
    </row>
    <row r="3404" spans="2:4">
      <c r="B3404" s="198" t="s">
        <v>4637</v>
      </c>
      <c r="C3404" s="154" t="s">
        <v>1576</v>
      </c>
      <c r="D3404" s="201" t="s">
        <v>1956</v>
      </c>
    </row>
    <row r="3405" spans="2:4">
      <c r="B3405" s="198" t="s">
        <v>4638</v>
      </c>
      <c r="C3405" s="154" t="s">
        <v>1587</v>
      </c>
      <c r="D3405" s="201" t="s">
        <v>1958</v>
      </c>
    </row>
    <row r="3406" spans="2:4">
      <c r="B3406" s="198" t="s">
        <v>4657</v>
      </c>
      <c r="C3406" s="154" t="s">
        <v>4658</v>
      </c>
      <c r="D3406" s="201" t="s">
        <v>1951</v>
      </c>
    </row>
    <row r="3407" spans="2:4">
      <c r="B3407" s="198" t="s">
        <v>4640</v>
      </c>
      <c r="C3407" s="154" t="s">
        <v>1587</v>
      </c>
      <c r="D3407" s="201" t="s">
        <v>1958</v>
      </c>
    </row>
    <row r="3408" spans="2:4">
      <c r="B3408" s="198" t="s">
        <v>4641</v>
      </c>
      <c r="C3408" s="154" t="s">
        <v>1925</v>
      </c>
      <c r="D3408" s="201" t="s">
        <v>1956</v>
      </c>
    </row>
    <row r="3409" spans="2:4">
      <c r="B3409" s="198" t="s">
        <v>4655</v>
      </c>
      <c r="C3409" s="154" t="s">
        <v>3313</v>
      </c>
      <c r="D3409" s="201" t="s">
        <v>1951</v>
      </c>
    </row>
    <row r="3410" spans="2:4">
      <c r="B3410" s="198" t="s">
        <v>4643</v>
      </c>
      <c r="C3410" s="154" t="s">
        <v>1558</v>
      </c>
      <c r="D3410" s="201" t="s">
        <v>1958</v>
      </c>
    </row>
    <row r="3411" spans="2:4">
      <c r="B3411" s="198" t="s">
        <v>4644</v>
      </c>
      <c r="C3411" s="154" t="s">
        <v>1543</v>
      </c>
      <c r="D3411" s="201" t="s">
        <v>1955</v>
      </c>
    </row>
    <row r="3412" spans="2:4">
      <c r="B3412" s="198" t="s">
        <v>4645</v>
      </c>
      <c r="C3412" s="154" t="s">
        <v>1541</v>
      </c>
      <c r="D3412" s="201" t="s">
        <v>1955</v>
      </c>
    </row>
    <row r="3413" spans="2:4">
      <c r="B3413" s="198" t="s">
        <v>4646</v>
      </c>
      <c r="C3413" s="154" t="s">
        <v>1558</v>
      </c>
      <c r="D3413" s="201" t="s">
        <v>1958</v>
      </c>
    </row>
    <row r="3414" spans="2:4">
      <c r="B3414" s="198" t="s">
        <v>4647</v>
      </c>
      <c r="C3414" s="154" t="s">
        <v>2933</v>
      </c>
      <c r="D3414" s="201" t="s">
        <v>1958</v>
      </c>
    </row>
    <row r="3415" spans="2:4">
      <c r="B3415" s="198" t="s">
        <v>4648</v>
      </c>
      <c r="C3415" s="154" t="s">
        <v>1541</v>
      </c>
      <c r="D3415" s="201" t="s">
        <v>1955</v>
      </c>
    </row>
    <row r="3416" spans="2:4">
      <c r="B3416" s="198" t="s">
        <v>4649</v>
      </c>
      <c r="C3416" s="154" t="s">
        <v>3315</v>
      </c>
      <c r="D3416" s="201" t="s">
        <v>1954</v>
      </c>
    </row>
    <row r="3417" spans="2:4">
      <c r="B3417" s="198" t="s">
        <v>4650</v>
      </c>
      <c r="C3417" s="154" t="s">
        <v>1587</v>
      </c>
      <c r="D3417" s="201" t="s">
        <v>1958</v>
      </c>
    </row>
    <row r="3418" spans="2:4">
      <c r="B3418" s="198" t="s">
        <v>4651</v>
      </c>
      <c r="C3418" s="154" t="s">
        <v>3436</v>
      </c>
      <c r="D3418" s="201" t="s">
        <v>1952</v>
      </c>
    </row>
    <row r="3419" spans="2:4">
      <c r="B3419" s="198" t="s">
        <v>4652</v>
      </c>
      <c r="C3419" s="154" t="s">
        <v>1641</v>
      </c>
      <c r="D3419" s="201" t="s">
        <v>1958</v>
      </c>
    </row>
    <row r="3420" spans="2:4">
      <c r="B3420" s="198" t="s">
        <v>4653</v>
      </c>
      <c r="C3420" s="154" t="s">
        <v>3315</v>
      </c>
      <c r="D3420" s="201" t="s">
        <v>1954</v>
      </c>
    </row>
    <row r="3421" spans="2:4">
      <c r="B3421" s="198" t="s">
        <v>4654</v>
      </c>
      <c r="C3421" s="154" t="s">
        <v>3313</v>
      </c>
      <c r="D3421" s="201" t="s">
        <v>1951</v>
      </c>
    </row>
    <row r="3422" spans="2:4">
      <c r="B3422" s="198" t="s">
        <v>4639</v>
      </c>
      <c r="C3422" s="154" t="s">
        <v>3749</v>
      </c>
      <c r="D3422" s="201" t="s">
        <v>1954</v>
      </c>
    </row>
    <row r="3423" spans="2:4">
      <c r="B3423" s="198" t="s">
        <v>4642</v>
      </c>
      <c r="C3423" s="154" t="s">
        <v>149</v>
      </c>
      <c r="D3423" s="201" t="s">
        <v>1956</v>
      </c>
    </row>
    <row r="3424" spans="2:4">
      <c r="B3424" s="198" t="s">
        <v>4656</v>
      </c>
      <c r="C3424" s="154" t="s">
        <v>1581</v>
      </c>
      <c r="D3424" s="201" t="s">
        <v>1955</v>
      </c>
    </row>
    <row r="3425" spans="2:4">
      <c r="B3425" s="198" t="s">
        <v>4659</v>
      </c>
      <c r="C3425" s="154" t="s">
        <v>149</v>
      </c>
      <c r="D3425" s="201" t="s">
        <v>1956</v>
      </c>
    </row>
    <row r="3426" spans="2:4">
      <c r="B3426" s="198" t="s">
        <v>4660</v>
      </c>
      <c r="C3426" s="154" t="s">
        <v>3854</v>
      </c>
      <c r="D3426" s="201" t="s">
        <v>1955</v>
      </c>
    </row>
    <row r="3427" spans="2:4">
      <c r="B3427" s="198" t="s">
        <v>4661</v>
      </c>
      <c r="C3427" s="154" t="s">
        <v>1581</v>
      </c>
      <c r="D3427" s="201" t="s">
        <v>1955</v>
      </c>
    </row>
    <row r="3428" spans="2:4">
      <c r="B3428" s="198" t="s">
        <v>4662</v>
      </c>
      <c r="C3428" s="154" t="s">
        <v>4670</v>
      </c>
      <c r="D3428" s="201" t="s">
        <v>1953</v>
      </c>
    </row>
    <row r="3429" spans="2:4">
      <c r="B3429" s="198" t="s">
        <v>4663</v>
      </c>
      <c r="C3429" s="154" t="s">
        <v>142</v>
      </c>
      <c r="D3429" s="201" t="s">
        <v>1954</v>
      </c>
    </row>
    <row r="3430" spans="2:4">
      <c r="B3430" s="198" t="s">
        <v>4665</v>
      </c>
      <c r="C3430" s="154" t="s">
        <v>1532</v>
      </c>
      <c r="D3430" s="201" t="s">
        <v>1958</v>
      </c>
    </row>
    <row r="3431" spans="2:4">
      <c r="B3431" s="198" t="s">
        <v>4669</v>
      </c>
      <c r="C3431" s="154" t="s">
        <v>4671</v>
      </c>
      <c r="D3431" s="201" t="s">
        <v>1956</v>
      </c>
    </row>
    <row r="3432" spans="2:4">
      <c r="B3432" s="198" t="s">
        <v>4664</v>
      </c>
      <c r="C3432" s="154" t="s">
        <v>1625</v>
      </c>
      <c r="D3432" s="201" t="s">
        <v>1951</v>
      </c>
    </row>
    <row r="3433" spans="2:4">
      <c r="B3433" s="198" t="s">
        <v>4666</v>
      </c>
      <c r="C3433" s="154" t="s">
        <v>4672</v>
      </c>
      <c r="D3433" s="201" t="s">
        <v>2216</v>
      </c>
    </row>
    <row r="3434" spans="2:4">
      <c r="B3434" s="198" t="s">
        <v>4667</v>
      </c>
      <c r="C3434" s="154" t="s">
        <v>4673</v>
      </c>
      <c r="D3434" s="201" t="s">
        <v>4684</v>
      </c>
    </row>
    <row r="3435" spans="2:4">
      <c r="B3435" s="198" t="s">
        <v>4668</v>
      </c>
      <c r="C3435" s="154" t="s">
        <v>4673</v>
      </c>
      <c r="D3435" s="201" t="s">
        <v>4684</v>
      </c>
    </row>
    <row r="3436" spans="2:4">
      <c r="B3436" s="198" t="s">
        <v>4677</v>
      </c>
      <c r="C3436" s="154" t="s">
        <v>4682</v>
      </c>
      <c r="D3436" s="201" t="s">
        <v>1956</v>
      </c>
    </row>
    <row r="3437" spans="2:4">
      <c r="B3437" s="198" t="s">
        <v>4678</v>
      </c>
      <c r="C3437" s="154" t="s">
        <v>142</v>
      </c>
      <c r="D3437" s="201" t="s">
        <v>1954</v>
      </c>
    </row>
    <row r="3438" spans="2:4">
      <c r="B3438" s="198" t="s">
        <v>4679</v>
      </c>
      <c r="C3438" s="154" t="s">
        <v>3315</v>
      </c>
      <c r="D3438" s="201" t="s">
        <v>1954</v>
      </c>
    </row>
    <row r="3439" spans="2:4">
      <c r="B3439" s="198" t="s">
        <v>4680</v>
      </c>
      <c r="C3439" s="154" t="s">
        <v>4023</v>
      </c>
      <c r="D3439" s="201" t="s">
        <v>1953</v>
      </c>
    </row>
    <row r="3440" spans="2:4">
      <c r="B3440" s="198" t="s">
        <v>4681</v>
      </c>
      <c r="C3440" s="154" t="s">
        <v>149</v>
      </c>
      <c r="D3440" s="201" t="s">
        <v>1956</v>
      </c>
    </row>
    <row r="3441" spans="2:4">
      <c r="B3441" s="198" t="s">
        <v>4674</v>
      </c>
      <c r="C3441" s="154" t="s">
        <v>3756</v>
      </c>
      <c r="D3441" s="201" t="s">
        <v>2216</v>
      </c>
    </row>
    <row r="3442" spans="2:4">
      <c r="B3442" s="198" t="s">
        <v>4675</v>
      </c>
      <c r="C3442" s="154" t="s">
        <v>3547</v>
      </c>
      <c r="D3442" s="201" t="s">
        <v>2220</v>
      </c>
    </row>
    <row r="3443" spans="2:4">
      <c r="B3443" s="198" t="s">
        <v>4676</v>
      </c>
      <c r="C3443" s="154" t="s">
        <v>4683</v>
      </c>
      <c r="D3443" s="201" t="s">
        <v>4684</v>
      </c>
    </row>
    <row r="3444" spans="2:4">
      <c r="B3444" s="198" t="s">
        <v>4686</v>
      </c>
      <c r="C3444" s="154" t="s">
        <v>152</v>
      </c>
      <c r="D3444" s="201" t="s">
        <v>1952</v>
      </c>
    </row>
    <row r="3445" spans="2:4">
      <c r="B3445" s="198" t="s">
        <v>4687</v>
      </c>
      <c r="C3445" s="154" t="s">
        <v>1644</v>
      </c>
      <c r="D3445" s="201" t="s">
        <v>1959</v>
      </c>
    </row>
    <row r="3446" spans="2:4">
      <c r="B3446" s="198" t="s">
        <v>4688</v>
      </c>
      <c r="C3446" s="154" t="s">
        <v>4694</v>
      </c>
      <c r="D3446" s="201" t="s">
        <v>1955</v>
      </c>
    </row>
    <row r="3447" spans="2:4">
      <c r="B3447" s="198" t="s">
        <v>4689</v>
      </c>
      <c r="C3447" s="154" t="s">
        <v>4303</v>
      </c>
      <c r="D3447" s="201" t="s">
        <v>2216</v>
      </c>
    </row>
    <row r="3448" spans="2:4">
      <c r="B3448" s="198" t="s">
        <v>4690</v>
      </c>
      <c r="C3448" s="154" t="s">
        <v>3419</v>
      </c>
      <c r="D3448" s="201" t="s">
        <v>1953</v>
      </c>
    </row>
    <row r="3449" spans="2:4">
      <c r="B3449" s="198" t="s">
        <v>4691</v>
      </c>
      <c r="C3449" s="154" t="s">
        <v>4695</v>
      </c>
      <c r="D3449" s="201" t="s">
        <v>1956</v>
      </c>
    </row>
    <row r="3450" spans="2:4">
      <c r="B3450" s="198" t="s">
        <v>4692</v>
      </c>
      <c r="C3450" s="154" t="s">
        <v>3419</v>
      </c>
      <c r="D3450" s="201" t="s">
        <v>1953</v>
      </c>
    </row>
    <row r="3451" spans="2:4">
      <c r="B3451" s="198" t="s">
        <v>4693</v>
      </c>
      <c r="C3451" s="154" t="s">
        <v>3962</v>
      </c>
      <c r="D3451" s="201" t="s">
        <v>1951</v>
      </c>
    </row>
    <row r="3452" spans="2:4">
      <c r="B3452" s="198" t="s">
        <v>4696</v>
      </c>
      <c r="C3452" s="154" t="s">
        <v>149</v>
      </c>
      <c r="D3452" s="201" t="s">
        <v>1956</v>
      </c>
    </row>
    <row r="3453" spans="2:4">
      <c r="B3453" s="198" t="s">
        <v>4697</v>
      </c>
      <c r="C3453" s="154" t="s">
        <v>1587</v>
      </c>
      <c r="D3453" s="201" t="s">
        <v>1958</v>
      </c>
    </row>
    <row r="3454" spans="2:4">
      <c r="B3454" s="198" t="s">
        <v>4698</v>
      </c>
      <c r="C3454" s="154" t="s">
        <v>4706</v>
      </c>
      <c r="D3454" s="201" t="s">
        <v>1958</v>
      </c>
    </row>
    <row r="3455" spans="2:4">
      <c r="B3455" s="198" t="s">
        <v>4699</v>
      </c>
      <c r="C3455" s="154" t="s">
        <v>1551</v>
      </c>
      <c r="D3455" s="201" t="s">
        <v>1958</v>
      </c>
    </row>
    <row r="3456" spans="2:4">
      <c r="B3456" s="198" t="s">
        <v>4700</v>
      </c>
      <c r="C3456" s="154" t="s">
        <v>1551</v>
      </c>
      <c r="D3456" s="201" t="s">
        <v>1958</v>
      </c>
    </row>
    <row r="3457" spans="2:4">
      <c r="B3457" s="198" t="s">
        <v>4701</v>
      </c>
      <c r="C3457" s="154" t="s">
        <v>1543</v>
      </c>
      <c r="D3457" s="201" t="s">
        <v>1955</v>
      </c>
    </row>
    <row r="3458" spans="2:4">
      <c r="B3458" s="198" t="s">
        <v>4702</v>
      </c>
      <c r="C3458" s="154" t="s">
        <v>150</v>
      </c>
      <c r="D3458" s="201" t="s">
        <v>1951</v>
      </c>
    </row>
    <row r="3459" spans="2:4">
      <c r="B3459" s="198" t="s">
        <v>4703</v>
      </c>
      <c r="C3459" s="154" t="s">
        <v>3854</v>
      </c>
      <c r="D3459" s="201" t="s">
        <v>1955</v>
      </c>
    </row>
    <row r="3460" spans="2:4">
      <c r="B3460" s="198" t="s">
        <v>4704</v>
      </c>
      <c r="C3460" s="154" t="s">
        <v>3315</v>
      </c>
      <c r="D3460" s="201" t="s">
        <v>1954</v>
      </c>
    </row>
    <row r="3461" spans="2:4">
      <c r="B3461" s="198" t="s">
        <v>4705</v>
      </c>
      <c r="C3461" s="154" t="s">
        <v>1551</v>
      </c>
      <c r="D3461" s="201" t="s">
        <v>1958</v>
      </c>
    </row>
    <row r="3462" spans="2:4">
      <c r="B3462" s="198" t="s">
        <v>4707</v>
      </c>
      <c r="C3462" s="154" t="s">
        <v>149</v>
      </c>
      <c r="D3462" s="201" t="s">
        <v>1956</v>
      </c>
    </row>
    <row r="3463" spans="2:4">
      <c r="B3463" s="198" t="s">
        <v>4708</v>
      </c>
      <c r="C3463" s="154" t="s">
        <v>3854</v>
      </c>
      <c r="D3463" s="201" t="s">
        <v>1955</v>
      </c>
    </row>
    <row r="3464" spans="2:4">
      <c r="B3464" s="198" t="s">
        <v>4709</v>
      </c>
      <c r="C3464" s="154" t="s">
        <v>1560</v>
      </c>
      <c r="D3464" s="201" t="s">
        <v>1953</v>
      </c>
    </row>
    <row r="3465" spans="2:4">
      <c r="B3465" s="198" t="s">
        <v>4710</v>
      </c>
      <c r="C3465" s="154" t="s">
        <v>151</v>
      </c>
      <c r="D3465" s="201" t="s">
        <v>1954</v>
      </c>
    </row>
    <row r="3466" spans="2:4">
      <c r="B3466" s="198" t="s">
        <v>4711</v>
      </c>
      <c r="C3466" s="154" t="s">
        <v>1560</v>
      </c>
      <c r="D3466" s="201" t="s">
        <v>1953</v>
      </c>
    </row>
    <row r="3467" spans="2:4">
      <c r="B3467" s="198" t="s">
        <v>4729</v>
      </c>
      <c r="C3467" s="154" t="s">
        <v>3279</v>
      </c>
      <c r="D3467" s="201" t="s">
        <v>2216</v>
      </c>
    </row>
    <row r="3468" spans="2:4">
      <c r="B3468" s="198" t="s">
        <v>4713</v>
      </c>
      <c r="C3468" s="154" t="s">
        <v>1560</v>
      </c>
      <c r="D3468" s="201" t="s">
        <v>1953</v>
      </c>
    </row>
    <row r="3469" spans="2:4">
      <c r="B3469" s="198" t="s">
        <v>4714</v>
      </c>
      <c r="C3469" s="154" t="s">
        <v>1508</v>
      </c>
      <c r="D3469" s="201" t="s">
        <v>1951</v>
      </c>
    </row>
    <row r="3470" spans="2:4">
      <c r="B3470" s="198" t="s">
        <v>4725</v>
      </c>
      <c r="C3470" s="154" t="s">
        <v>149</v>
      </c>
      <c r="D3470" s="201" t="s">
        <v>1956</v>
      </c>
    </row>
    <row r="3471" spans="2:4">
      <c r="B3471" s="198" t="s">
        <v>4716</v>
      </c>
      <c r="C3471" s="154" t="s">
        <v>149</v>
      </c>
      <c r="D3471" s="201" t="s">
        <v>1956</v>
      </c>
    </row>
    <row r="3472" spans="2:4">
      <c r="B3472" s="198" t="s">
        <v>4712</v>
      </c>
      <c r="C3472" s="154" t="s">
        <v>1560</v>
      </c>
      <c r="D3472" s="201" t="s">
        <v>1953</v>
      </c>
    </row>
    <row r="3473" spans="2:4">
      <c r="B3473" s="198" t="s">
        <v>4715</v>
      </c>
      <c r="C3473" s="154" t="s">
        <v>149</v>
      </c>
      <c r="D3473" s="201" t="s">
        <v>1956</v>
      </c>
    </row>
    <row r="3474" spans="2:4">
      <c r="B3474" s="198" t="s">
        <v>4717</v>
      </c>
      <c r="C3474" s="154" t="s">
        <v>149</v>
      </c>
      <c r="D3474" s="201" t="s">
        <v>1956</v>
      </c>
    </row>
    <row r="3475" spans="2:4">
      <c r="B3475" s="198" t="s">
        <v>4718</v>
      </c>
      <c r="C3475" s="154" t="s">
        <v>149</v>
      </c>
      <c r="D3475" s="201" t="s">
        <v>1956</v>
      </c>
    </row>
    <row r="3476" spans="2:4">
      <c r="B3476" s="198" t="s">
        <v>4719</v>
      </c>
      <c r="C3476" s="154" t="s">
        <v>149</v>
      </c>
      <c r="D3476" s="201" t="s">
        <v>1956</v>
      </c>
    </row>
    <row r="3477" spans="2:4">
      <c r="B3477" s="198" t="s">
        <v>4720</v>
      </c>
      <c r="C3477" s="154" t="s">
        <v>149</v>
      </c>
      <c r="D3477" s="201" t="s">
        <v>1956</v>
      </c>
    </row>
    <row r="3478" spans="2:4">
      <c r="B3478" s="198" t="s">
        <v>4721</v>
      </c>
      <c r="C3478" s="154" t="s">
        <v>149</v>
      </c>
      <c r="D3478" s="201" t="s">
        <v>1956</v>
      </c>
    </row>
    <row r="3479" spans="2:4">
      <c r="B3479" s="198" t="s">
        <v>4722</v>
      </c>
      <c r="C3479" s="154" t="s">
        <v>149</v>
      </c>
      <c r="D3479" s="201" t="s">
        <v>1956</v>
      </c>
    </row>
    <row r="3480" spans="2:4">
      <c r="B3480" s="198" t="s">
        <v>4723</v>
      </c>
      <c r="C3480" s="154" t="s">
        <v>149</v>
      </c>
      <c r="D3480" s="201" t="s">
        <v>1956</v>
      </c>
    </row>
    <row r="3481" spans="2:4">
      <c r="B3481" s="198" t="s">
        <v>4724</v>
      </c>
      <c r="C3481" s="154" t="s">
        <v>149</v>
      </c>
      <c r="D3481" s="201" t="s">
        <v>1956</v>
      </c>
    </row>
    <row r="3482" spans="2:4">
      <c r="B3482" s="198" t="s">
        <v>4726</v>
      </c>
      <c r="C3482" s="154" t="s">
        <v>149</v>
      </c>
      <c r="D3482" s="201" t="s">
        <v>1956</v>
      </c>
    </row>
    <row r="3483" spans="2:4">
      <c r="B3483" s="198" t="s">
        <v>4727</v>
      </c>
      <c r="C3483" s="154" t="s">
        <v>149</v>
      </c>
      <c r="D3483" s="201" t="s">
        <v>1956</v>
      </c>
    </row>
    <row r="3484" spans="2:4">
      <c r="B3484" s="198" t="s">
        <v>4728</v>
      </c>
      <c r="C3484" s="154" t="s">
        <v>149</v>
      </c>
      <c r="D3484" s="201" t="s">
        <v>1956</v>
      </c>
    </row>
    <row r="3485" spans="2:4">
      <c r="B3485" s="198" t="s">
        <v>4730</v>
      </c>
      <c r="C3485" s="154" t="s">
        <v>150</v>
      </c>
      <c r="D3485" s="201" t="s">
        <v>1951</v>
      </c>
    </row>
    <row r="3486" spans="2:4">
      <c r="B3486" s="198" t="s">
        <v>4731</v>
      </c>
      <c r="C3486" s="154" t="s">
        <v>1549</v>
      </c>
      <c r="D3486" s="201" t="s">
        <v>1958</v>
      </c>
    </row>
    <row r="3487" spans="2:4">
      <c r="B3487" s="198" t="s">
        <v>4732</v>
      </c>
      <c r="C3487" s="154" t="s">
        <v>150</v>
      </c>
      <c r="D3487" s="201" t="s">
        <v>1951</v>
      </c>
    </row>
    <row r="3488" spans="2:4">
      <c r="B3488" s="198" t="s">
        <v>4733</v>
      </c>
      <c r="C3488" s="154" t="s">
        <v>149</v>
      </c>
      <c r="D3488" s="201" t="s">
        <v>1956</v>
      </c>
    </row>
    <row r="3489" spans="2:4">
      <c r="B3489" s="198" t="s">
        <v>4734</v>
      </c>
      <c r="C3489" s="154" t="s">
        <v>150</v>
      </c>
      <c r="D3489" s="201" t="s">
        <v>1951</v>
      </c>
    </row>
    <row r="3490" spans="2:4">
      <c r="B3490" s="198" t="s">
        <v>4735</v>
      </c>
      <c r="C3490" s="154" t="s">
        <v>150</v>
      </c>
      <c r="D3490" s="201" t="s">
        <v>1951</v>
      </c>
    </row>
    <row r="3491" spans="2:4">
      <c r="B3491" s="198" t="s">
        <v>4736</v>
      </c>
      <c r="C3491" s="154" t="s">
        <v>150</v>
      </c>
      <c r="D3491" s="201" t="s">
        <v>1951</v>
      </c>
    </row>
    <row r="3492" spans="2:4">
      <c r="B3492" s="198" t="s">
        <v>4737</v>
      </c>
      <c r="C3492" s="154" t="s">
        <v>150</v>
      </c>
      <c r="D3492" s="201" t="s">
        <v>1951</v>
      </c>
    </row>
    <row r="3493" spans="2:4">
      <c r="B3493" s="198" t="s">
        <v>4738</v>
      </c>
      <c r="C3493" s="154" t="s">
        <v>1543</v>
      </c>
      <c r="D3493" s="201" t="s">
        <v>1955</v>
      </c>
    </row>
    <row r="3494" spans="2:4">
      <c r="B3494" s="198" t="s">
        <v>4739</v>
      </c>
      <c r="C3494" s="154" t="s">
        <v>4749</v>
      </c>
      <c r="D3494" s="201" t="s">
        <v>1958</v>
      </c>
    </row>
    <row r="3495" spans="2:4">
      <c r="B3495" s="198" t="s">
        <v>4740</v>
      </c>
      <c r="C3495" s="154" t="s">
        <v>1577</v>
      </c>
      <c r="D3495" s="201" t="s">
        <v>1951</v>
      </c>
    </row>
    <row r="3496" spans="2:4">
      <c r="B3496" s="198" t="s">
        <v>4741</v>
      </c>
      <c r="C3496" s="154" t="s">
        <v>150</v>
      </c>
      <c r="D3496" s="201" t="s">
        <v>1951</v>
      </c>
    </row>
    <row r="3497" spans="2:4">
      <c r="B3497" s="198" t="s">
        <v>4742</v>
      </c>
      <c r="C3497" s="154" t="s">
        <v>1543</v>
      </c>
      <c r="D3497" s="201" t="s">
        <v>1955</v>
      </c>
    </row>
    <row r="3498" spans="2:4">
      <c r="B3498" s="198" t="s">
        <v>4743</v>
      </c>
      <c r="C3498" s="154" t="s">
        <v>4750</v>
      </c>
      <c r="D3498" s="201" t="s">
        <v>2220</v>
      </c>
    </row>
    <row r="3499" spans="2:4">
      <c r="B3499" s="198" t="s">
        <v>4744</v>
      </c>
      <c r="C3499" s="154" t="s">
        <v>1641</v>
      </c>
      <c r="D3499" s="201" t="s">
        <v>1958</v>
      </c>
    </row>
    <row r="3500" spans="2:4">
      <c r="B3500" s="198" t="s">
        <v>4745</v>
      </c>
      <c r="C3500" s="154" t="s">
        <v>1729</v>
      </c>
      <c r="D3500" s="201" t="s">
        <v>1958</v>
      </c>
    </row>
    <row r="3501" spans="2:4">
      <c r="B3501" s="198" t="s">
        <v>4746</v>
      </c>
      <c r="C3501" s="154" t="s">
        <v>1541</v>
      </c>
      <c r="D3501" s="201" t="s">
        <v>1955</v>
      </c>
    </row>
    <row r="3502" spans="2:4">
      <c r="B3502" s="198" t="s">
        <v>4747</v>
      </c>
      <c r="C3502" s="154" t="s">
        <v>1541</v>
      </c>
      <c r="D3502" s="201" t="s">
        <v>1955</v>
      </c>
    </row>
    <row r="3503" spans="2:4">
      <c r="B3503" s="198" t="s">
        <v>4748</v>
      </c>
      <c r="C3503" s="154" t="s">
        <v>149</v>
      </c>
      <c r="D3503" s="201" t="s">
        <v>1956</v>
      </c>
    </row>
    <row r="3504" spans="2:4">
      <c r="B3504" s="198" t="s">
        <v>4751</v>
      </c>
      <c r="C3504" s="154" t="s">
        <v>1631</v>
      </c>
      <c r="D3504" s="201" t="s">
        <v>1951</v>
      </c>
    </row>
    <row r="3505" spans="2:4">
      <c r="B3505" s="198" t="s">
        <v>4752</v>
      </c>
      <c r="C3505" s="154" t="s">
        <v>150</v>
      </c>
      <c r="D3505" s="201" t="s">
        <v>1951</v>
      </c>
    </row>
    <row r="3506" spans="2:4">
      <c r="B3506" s="198" t="s">
        <v>4753</v>
      </c>
      <c r="C3506" s="154" t="s">
        <v>150</v>
      </c>
      <c r="D3506" s="201" t="s">
        <v>1951</v>
      </c>
    </row>
    <row r="3507" spans="2:4">
      <c r="B3507" s="198" t="s">
        <v>4754</v>
      </c>
      <c r="C3507" s="154" t="s">
        <v>150</v>
      </c>
      <c r="D3507" s="201" t="s">
        <v>1951</v>
      </c>
    </row>
    <row r="3508" spans="2:4">
      <c r="B3508" s="198" t="s">
        <v>4755</v>
      </c>
      <c r="C3508" s="154" t="s">
        <v>4756</v>
      </c>
      <c r="D3508" s="201" t="s">
        <v>1952</v>
      </c>
    </row>
    <row r="3509" spans="2:4">
      <c r="B3509" s="198" t="s">
        <v>4757</v>
      </c>
      <c r="C3509" s="154" t="s">
        <v>1644</v>
      </c>
      <c r="D3509" s="201" t="s">
        <v>1959</v>
      </c>
    </row>
    <row r="3510" spans="2:4">
      <c r="B3510" s="198" t="s">
        <v>4758</v>
      </c>
      <c r="C3510" s="154" t="s">
        <v>1644</v>
      </c>
      <c r="D3510" s="201" t="s">
        <v>1959</v>
      </c>
    </row>
    <row r="3511" spans="2:4">
      <c r="B3511" s="198" t="s">
        <v>4759</v>
      </c>
      <c r="C3511" s="154" t="s">
        <v>1644</v>
      </c>
      <c r="D3511" s="201" t="s">
        <v>1959</v>
      </c>
    </row>
    <row r="3512" spans="2:4">
      <c r="B3512" s="198" t="s">
        <v>4760</v>
      </c>
      <c r="C3512" s="154" t="s">
        <v>1587</v>
      </c>
      <c r="D3512" s="201" t="s">
        <v>1958</v>
      </c>
    </row>
    <row r="3513" spans="2:4">
      <c r="B3513" s="198" t="s">
        <v>4761</v>
      </c>
      <c r="C3513" s="154" t="s">
        <v>1587</v>
      </c>
      <c r="D3513" s="201" t="s">
        <v>1958</v>
      </c>
    </row>
    <row r="3514" spans="2:4">
      <c r="B3514" s="198" t="s">
        <v>4762</v>
      </c>
      <c r="C3514" s="154" t="s">
        <v>142</v>
      </c>
      <c r="D3514" s="201" t="s">
        <v>1954</v>
      </c>
    </row>
    <row r="3515" spans="2:4">
      <c r="B3515" s="198" t="s">
        <v>4763</v>
      </c>
      <c r="C3515" s="154" t="s">
        <v>149</v>
      </c>
      <c r="D3515" s="201" t="s">
        <v>1956</v>
      </c>
    </row>
    <row r="3516" spans="2:4">
      <c r="B3516" s="198" t="s">
        <v>4764</v>
      </c>
      <c r="C3516" s="154" t="s">
        <v>149</v>
      </c>
      <c r="D3516" s="201" t="s">
        <v>1956</v>
      </c>
    </row>
    <row r="3517" spans="2:4">
      <c r="B3517" s="198" t="s">
        <v>4765</v>
      </c>
      <c r="C3517" s="154" t="s">
        <v>1625</v>
      </c>
      <c r="D3517" s="201" t="s">
        <v>1951</v>
      </c>
    </row>
    <row r="3518" spans="2:4">
      <c r="B3518" s="198" t="s">
        <v>4766</v>
      </c>
      <c r="C3518" s="154" t="s">
        <v>1587</v>
      </c>
      <c r="D3518" s="201" t="s">
        <v>1958</v>
      </c>
    </row>
    <row r="3519" spans="2:4">
      <c r="B3519" s="198" t="s">
        <v>4767</v>
      </c>
      <c r="C3519" s="154" t="s">
        <v>4768</v>
      </c>
      <c r="D3519" s="201" t="s">
        <v>1958</v>
      </c>
    </row>
    <row r="3520" spans="2:4">
      <c r="B3520" s="198" t="s">
        <v>4769</v>
      </c>
      <c r="C3520" s="154" t="s">
        <v>4770</v>
      </c>
      <c r="D3520" s="201" t="s">
        <v>1958</v>
      </c>
    </row>
    <row r="3521" spans="2:4">
      <c r="B3521" s="198" t="s">
        <v>4771</v>
      </c>
      <c r="C3521" s="154" t="s">
        <v>1558</v>
      </c>
      <c r="D3521" s="201" t="s">
        <v>1958</v>
      </c>
    </row>
    <row r="3522" spans="2:4">
      <c r="B3522" s="198" t="s">
        <v>4772</v>
      </c>
      <c r="C3522" s="154" t="s">
        <v>1558</v>
      </c>
      <c r="D3522" s="201" t="s">
        <v>1958</v>
      </c>
    </row>
    <row r="3523" spans="2:4">
      <c r="B3523" s="198"/>
      <c r="C3523" s="154"/>
      <c r="D3523" s="201" t="s">
        <v>1951</v>
      </c>
    </row>
    <row r="3524" spans="2:4">
      <c r="B3524" s="198"/>
      <c r="C3524" s="154"/>
      <c r="D3524" s="201" t="s">
        <v>1951</v>
      </c>
    </row>
    <row r="3525" spans="2:4">
      <c r="B3525" s="198" t="s">
        <v>4774</v>
      </c>
      <c r="C3525" s="154" t="s">
        <v>1532</v>
      </c>
      <c r="D3525" s="201" t="s">
        <v>1958</v>
      </c>
    </row>
    <row r="3526" spans="2:4">
      <c r="B3526" s="198" t="s">
        <v>4775</v>
      </c>
      <c r="C3526" s="154" t="s">
        <v>4776</v>
      </c>
      <c r="D3526" s="201" t="s">
        <v>1958</v>
      </c>
    </row>
    <row r="3527" spans="2:4">
      <c r="B3527" s="198" t="s">
        <v>4777</v>
      </c>
      <c r="C3527" s="154" t="s">
        <v>1565</v>
      </c>
      <c r="D3527" s="201" t="s">
        <v>1958</v>
      </c>
    </row>
    <row r="3528" spans="2:4">
      <c r="B3528" s="198" t="s">
        <v>4778</v>
      </c>
      <c r="C3528" s="154" t="s">
        <v>1558</v>
      </c>
      <c r="D3528" s="201" t="s">
        <v>1958</v>
      </c>
    </row>
    <row r="3529" spans="2:4">
      <c r="B3529" s="198" t="s">
        <v>4779</v>
      </c>
      <c r="C3529" s="154" t="s">
        <v>1565</v>
      </c>
      <c r="D3529" s="201" t="s">
        <v>1958</v>
      </c>
    </row>
    <row r="3530" spans="2:4">
      <c r="B3530" s="198" t="s">
        <v>4780</v>
      </c>
      <c r="C3530" s="154" t="s">
        <v>1623</v>
      </c>
      <c r="D3530" s="201" t="s">
        <v>1958</v>
      </c>
    </row>
    <row r="3531" spans="2:4">
      <c r="B3531" s="198" t="s">
        <v>4781</v>
      </c>
      <c r="C3531" s="154" t="s">
        <v>1587</v>
      </c>
      <c r="D3531" s="201" t="s">
        <v>1958</v>
      </c>
    </row>
    <row r="3532" spans="2:4">
      <c r="B3532" s="198" t="s">
        <v>4782</v>
      </c>
      <c r="C3532" s="154" t="s">
        <v>1532</v>
      </c>
      <c r="D3532" s="201" t="s">
        <v>1958</v>
      </c>
    </row>
    <row r="3533" spans="2:4">
      <c r="B3533" s="198" t="s">
        <v>4783</v>
      </c>
      <c r="C3533" s="154" t="s">
        <v>4784</v>
      </c>
      <c r="D3533" s="201" t="s">
        <v>1958</v>
      </c>
    </row>
    <row r="3534" spans="2:4">
      <c r="B3534" s="198" t="s">
        <v>4785</v>
      </c>
      <c r="C3534" s="154" t="s">
        <v>4786</v>
      </c>
      <c r="D3534" s="201" t="s">
        <v>1958</v>
      </c>
    </row>
    <row r="3535" spans="2:4">
      <c r="B3535" s="198" t="s">
        <v>4787</v>
      </c>
      <c r="C3535" s="154" t="s">
        <v>4107</v>
      </c>
      <c r="D3535" s="201" t="s">
        <v>1958</v>
      </c>
    </row>
    <row r="3536" spans="2:4">
      <c r="B3536" s="198" t="s">
        <v>4788</v>
      </c>
      <c r="C3536" s="154" t="s">
        <v>4789</v>
      </c>
      <c r="D3536" s="201" t="s">
        <v>1958</v>
      </c>
    </row>
    <row r="3537" spans="2:4">
      <c r="B3537" s="198" t="s">
        <v>4790</v>
      </c>
      <c r="C3537" s="154" t="s">
        <v>4773</v>
      </c>
      <c r="D3537" s="201" t="s">
        <v>1951</v>
      </c>
    </row>
    <row r="3538" spans="2:4">
      <c r="B3538" s="198" t="s">
        <v>4791</v>
      </c>
      <c r="C3538" s="154" t="s">
        <v>4773</v>
      </c>
      <c r="D3538" s="201" t="s">
        <v>1951</v>
      </c>
    </row>
    <row r="3539" spans="2:4">
      <c r="B3539" s="198" t="s">
        <v>4792</v>
      </c>
      <c r="C3539" s="154" t="s">
        <v>4793</v>
      </c>
      <c r="D3539" s="201" t="s">
        <v>1951</v>
      </c>
    </row>
    <row r="3540" spans="2:4">
      <c r="B3540" s="208" t="s">
        <v>4794</v>
      </c>
      <c r="C3540" s="209" t="s">
        <v>4776</v>
      </c>
      <c r="D3540" s="210" t="s">
        <v>1958</v>
      </c>
    </row>
    <row r="3541" spans="2:4">
      <c r="B3541" s="198"/>
      <c r="C3541" s="154"/>
      <c r="D3541" s="201"/>
    </row>
    <row r="3542" spans="2:4">
      <c r="B3542" s="198" t="s">
        <v>4795</v>
      </c>
      <c r="C3542" s="154" t="s">
        <v>4786</v>
      </c>
      <c r="D3542" s="201" t="s">
        <v>1958</v>
      </c>
    </row>
    <row r="3543" spans="2:4">
      <c r="B3543" s="198" t="s">
        <v>4796</v>
      </c>
      <c r="C3543" s="154" t="s">
        <v>4773</v>
      </c>
      <c r="D3543" s="201" t="s">
        <v>1951</v>
      </c>
    </row>
    <row r="3544" spans="2:4">
      <c r="B3544" s="200" t="s">
        <v>4797</v>
      </c>
      <c r="C3544" s="195" t="s">
        <v>4773</v>
      </c>
      <c r="D3544" s="204" t="s">
        <v>1951</v>
      </c>
    </row>
    <row r="3545" spans="2:4">
      <c r="B3545" s="198" t="s">
        <v>4798</v>
      </c>
      <c r="C3545" s="154" t="s">
        <v>1521</v>
      </c>
      <c r="D3545" s="201" t="s">
        <v>1951</v>
      </c>
    </row>
    <row r="3546" spans="2:4">
      <c r="B3546" s="198" t="s">
        <v>4799</v>
      </c>
      <c r="C3546" s="154" t="s">
        <v>4809</v>
      </c>
      <c r="D3546" s="201" t="s">
        <v>1958</v>
      </c>
    </row>
    <row r="3547" spans="2:4">
      <c r="B3547" s="198" t="s">
        <v>4800</v>
      </c>
      <c r="C3547" s="154"/>
      <c r="D3547" s="201"/>
    </row>
    <row r="3548" spans="2:4">
      <c r="B3548" s="198" t="s">
        <v>4801</v>
      </c>
      <c r="C3548" s="154" t="s">
        <v>150</v>
      </c>
      <c r="D3548" s="201" t="s">
        <v>1951</v>
      </c>
    </row>
    <row r="3549" spans="2:4">
      <c r="B3549" s="198" t="s">
        <v>4802</v>
      </c>
      <c r="C3549" s="154" t="s">
        <v>150</v>
      </c>
      <c r="D3549" s="201" t="s">
        <v>1951</v>
      </c>
    </row>
    <row r="3550" spans="2:4">
      <c r="B3550" s="198" t="s">
        <v>4803</v>
      </c>
      <c r="C3550" s="154" t="s">
        <v>4810</v>
      </c>
      <c r="D3550" s="201" t="s">
        <v>1956</v>
      </c>
    </row>
    <row r="3551" spans="2:4">
      <c r="B3551" s="198" t="s">
        <v>4804</v>
      </c>
      <c r="C3551" s="154" t="s">
        <v>4811</v>
      </c>
      <c r="D3551" s="201" t="s">
        <v>1956</v>
      </c>
    </row>
    <row r="3552" spans="2:4">
      <c r="B3552" s="198" t="s">
        <v>4805</v>
      </c>
      <c r="C3552" s="154" t="s">
        <v>151</v>
      </c>
      <c r="D3552" s="201" t="s">
        <v>1954</v>
      </c>
    </row>
    <row r="3553" spans="2:4">
      <c r="B3553" s="198" t="s">
        <v>4806</v>
      </c>
      <c r="C3553" s="154" t="s">
        <v>1560</v>
      </c>
      <c r="D3553" s="201" t="s">
        <v>1953</v>
      </c>
    </row>
    <row r="3554" spans="2:4">
      <c r="B3554" s="198" t="s">
        <v>4807</v>
      </c>
      <c r="C3554" s="154" t="s">
        <v>142</v>
      </c>
      <c r="D3554" s="201" t="s">
        <v>1954</v>
      </c>
    </row>
    <row r="3555" spans="2:4">
      <c r="B3555" s="198" t="s">
        <v>4812</v>
      </c>
      <c r="C3555" s="154" t="s">
        <v>4816</v>
      </c>
      <c r="D3555" s="201" t="s">
        <v>1954</v>
      </c>
    </row>
    <row r="3556" spans="2:4">
      <c r="B3556" s="198" t="s">
        <v>4813</v>
      </c>
      <c r="C3556" s="154" t="s">
        <v>4817</v>
      </c>
      <c r="D3556" s="201" t="s">
        <v>1955</v>
      </c>
    </row>
    <row r="3557" spans="2:4">
      <c r="B3557" s="198" t="s">
        <v>4814</v>
      </c>
      <c r="C3557" s="154" t="s">
        <v>4818</v>
      </c>
      <c r="D3557" s="201" t="s">
        <v>1954</v>
      </c>
    </row>
    <row r="3558" spans="2:4">
      <c r="B3558" s="198" t="s">
        <v>4815</v>
      </c>
      <c r="C3558" s="154" t="s">
        <v>1656</v>
      </c>
      <c r="D3558" s="201" t="s">
        <v>1958</v>
      </c>
    </row>
    <row r="3559" spans="2:4">
      <c r="B3559" s="198" t="s">
        <v>4819</v>
      </c>
      <c r="C3559" s="154" t="s">
        <v>1551</v>
      </c>
      <c r="D3559" s="201" t="s">
        <v>1958</v>
      </c>
    </row>
    <row r="3560" spans="2:4">
      <c r="B3560" s="198" t="s">
        <v>4820</v>
      </c>
      <c r="C3560" s="154" t="s">
        <v>142</v>
      </c>
      <c r="D3560" s="201" t="s">
        <v>1954</v>
      </c>
    </row>
    <row r="3561" spans="2:4">
      <c r="B3561" s="198" t="s">
        <v>4821</v>
      </c>
      <c r="C3561" s="154" t="s">
        <v>150</v>
      </c>
      <c r="D3561" s="201" t="s">
        <v>1951</v>
      </c>
    </row>
    <row r="3562" spans="2:4">
      <c r="B3562" s="198" t="s">
        <v>4822</v>
      </c>
      <c r="C3562" s="154" t="s">
        <v>142</v>
      </c>
      <c r="D3562" s="201" t="s">
        <v>1954</v>
      </c>
    </row>
    <row r="3563" spans="2:4">
      <c r="B3563" s="198" t="s">
        <v>4823</v>
      </c>
      <c r="C3563" s="154" t="s">
        <v>4826</v>
      </c>
      <c r="D3563" s="201" t="s">
        <v>1956</v>
      </c>
    </row>
    <row r="3564" spans="2:4">
      <c r="B3564" s="198" t="s">
        <v>4824</v>
      </c>
      <c r="C3564" s="154" t="s">
        <v>1522</v>
      </c>
      <c r="D3564" s="201" t="s">
        <v>1953</v>
      </c>
    </row>
    <row r="3565" spans="2:4">
      <c r="B3565" s="198" t="s">
        <v>4825</v>
      </c>
      <c r="C3565" s="154" t="s">
        <v>1521</v>
      </c>
      <c r="D3565" s="201" t="s">
        <v>1951</v>
      </c>
    </row>
    <row r="3566" spans="2:4">
      <c r="B3566" s="198" t="s">
        <v>4827</v>
      </c>
      <c r="C3566" s="154" t="s">
        <v>4831</v>
      </c>
      <c r="D3566" s="201" t="s">
        <v>1958</v>
      </c>
    </row>
    <row r="3567" spans="2:4">
      <c r="B3567" s="198" t="s">
        <v>4828</v>
      </c>
      <c r="C3567" s="154" t="s">
        <v>4832</v>
      </c>
      <c r="D3567" s="201" t="s">
        <v>1956</v>
      </c>
    </row>
    <row r="3568" spans="2:4">
      <c r="B3568" s="198" t="s">
        <v>4829</v>
      </c>
      <c r="C3568" s="154" t="s">
        <v>4833</v>
      </c>
      <c r="D3568" s="201" t="s">
        <v>1951</v>
      </c>
    </row>
    <row r="3569" spans="2:4">
      <c r="B3569" s="198" t="s">
        <v>4830</v>
      </c>
      <c r="C3569" s="154" t="s">
        <v>4831</v>
      </c>
      <c r="D3569" s="201" t="s">
        <v>1958</v>
      </c>
    </row>
    <row r="3570" spans="2:4">
      <c r="B3570" s="198" t="s">
        <v>4834</v>
      </c>
      <c r="C3570" s="154" t="s">
        <v>1560</v>
      </c>
      <c r="D3570" s="201" t="s">
        <v>1953</v>
      </c>
    </row>
    <row r="3571" spans="2:4">
      <c r="B3571" s="198" t="s">
        <v>4835</v>
      </c>
      <c r="C3571" s="154" t="s">
        <v>142</v>
      </c>
      <c r="D3571" s="201" t="s">
        <v>1954</v>
      </c>
    </row>
    <row r="3572" spans="2:4">
      <c r="B3572" s="198" t="s">
        <v>4836</v>
      </c>
      <c r="C3572" s="154" t="s">
        <v>1560</v>
      </c>
      <c r="D3572" s="201" t="s">
        <v>1953</v>
      </c>
    </row>
    <row r="3573" spans="2:4">
      <c r="B3573" s="198" t="s">
        <v>4837</v>
      </c>
      <c r="C3573" s="154" t="s">
        <v>1560</v>
      </c>
      <c r="D3573" s="201" t="s">
        <v>1953</v>
      </c>
    </row>
    <row r="3574" spans="2:4">
      <c r="B3574" s="198" t="s">
        <v>4838</v>
      </c>
      <c r="C3574" s="154" t="s">
        <v>1560</v>
      </c>
      <c r="D3574" s="201" t="s">
        <v>1953</v>
      </c>
    </row>
    <row r="3575" spans="2:4">
      <c r="B3575" s="198" t="s">
        <v>4839</v>
      </c>
      <c r="C3575" s="154" t="s">
        <v>1560</v>
      </c>
      <c r="D3575" s="201" t="s">
        <v>1953</v>
      </c>
    </row>
    <row r="3576" spans="2:4">
      <c r="B3576" s="198" t="s">
        <v>4840</v>
      </c>
      <c r="C3576" s="154" t="s">
        <v>3303</v>
      </c>
      <c r="D3576" s="201" t="s">
        <v>1958</v>
      </c>
    </row>
    <row r="3577" spans="2:4">
      <c r="B3577" s="198" t="s">
        <v>4841</v>
      </c>
      <c r="C3577" s="154" t="s">
        <v>1587</v>
      </c>
      <c r="D3577" s="201" t="s">
        <v>1958</v>
      </c>
    </row>
    <row r="3578" spans="2:4">
      <c r="B3578" s="198" t="s">
        <v>4842</v>
      </c>
      <c r="C3578" s="154" t="s">
        <v>1918</v>
      </c>
      <c r="D3578" s="201" t="s">
        <v>1958</v>
      </c>
    </row>
    <row r="3579" spans="2:4">
      <c r="B3579" s="198" t="s">
        <v>4843</v>
      </c>
      <c r="C3579" s="154" t="s">
        <v>151</v>
      </c>
      <c r="D3579" s="201" t="s">
        <v>1954</v>
      </c>
    </row>
    <row r="3580" spans="2:4">
      <c r="B3580" s="198" t="s">
        <v>4844</v>
      </c>
      <c r="C3580" s="154" t="s">
        <v>1562</v>
      </c>
      <c r="D3580" s="201" t="s">
        <v>1951</v>
      </c>
    </row>
    <row r="3581" spans="2:4">
      <c r="B3581" s="198" t="s">
        <v>4845</v>
      </c>
      <c r="C3581" s="154" t="s">
        <v>4538</v>
      </c>
      <c r="D3581" s="201" t="s">
        <v>1953</v>
      </c>
    </row>
    <row r="3582" spans="2:4">
      <c r="B3582" s="198" t="s">
        <v>4846</v>
      </c>
      <c r="C3582" s="154" t="s">
        <v>1590</v>
      </c>
      <c r="D3582" s="201" t="s">
        <v>1958</v>
      </c>
    </row>
    <row r="3583" spans="2:4">
      <c r="B3583" s="198" t="s">
        <v>4847</v>
      </c>
      <c r="C3583" s="154" t="s">
        <v>1839</v>
      </c>
      <c r="D3583" s="201" t="s">
        <v>1955</v>
      </c>
    </row>
    <row r="3584" spans="2:4">
      <c r="B3584" s="198" t="s">
        <v>4848</v>
      </c>
      <c r="C3584" s="154" t="s">
        <v>4849</v>
      </c>
      <c r="D3584" s="201" t="s">
        <v>1951</v>
      </c>
    </row>
    <row r="3585" spans="2:4">
      <c r="B3585" s="198" t="s">
        <v>4855</v>
      </c>
      <c r="C3585" s="154" t="s">
        <v>149</v>
      </c>
      <c r="D3585" s="201" t="s">
        <v>1956</v>
      </c>
    </row>
    <row r="3586" spans="2:4">
      <c r="B3586" s="198" t="s">
        <v>4851</v>
      </c>
      <c r="C3586" s="154" t="s">
        <v>4859</v>
      </c>
      <c r="D3586" s="201" t="s">
        <v>1956</v>
      </c>
    </row>
    <row r="3587" spans="2:4">
      <c r="B3587" s="198" t="s">
        <v>4850</v>
      </c>
      <c r="C3587" s="154" t="s">
        <v>4861</v>
      </c>
      <c r="D3587" s="201" t="s">
        <v>4684</v>
      </c>
    </row>
    <row r="3588" spans="2:4">
      <c r="B3588" s="198" t="s">
        <v>4854</v>
      </c>
      <c r="C3588" s="154" t="s">
        <v>149</v>
      </c>
      <c r="D3588" s="201" t="s">
        <v>1956</v>
      </c>
    </row>
    <row r="3589" spans="2:4">
      <c r="B3589" s="198" t="s">
        <v>4856</v>
      </c>
      <c r="C3589" s="154" t="s">
        <v>4862</v>
      </c>
      <c r="D3589" s="201" t="s">
        <v>1953</v>
      </c>
    </row>
    <row r="3590" spans="2:4">
      <c r="B3590" s="198" t="s">
        <v>4853</v>
      </c>
      <c r="C3590" s="154" t="s">
        <v>4861</v>
      </c>
      <c r="D3590" s="201" t="s">
        <v>4684</v>
      </c>
    </row>
    <row r="3591" spans="2:4">
      <c r="B3591" s="198" t="s">
        <v>4852</v>
      </c>
      <c r="C3591" s="154" t="s">
        <v>4861</v>
      </c>
      <c r="D3591" s="201" t="s">
        <v>4684</v>
      </c>
    </row>
    <row r="3592" spans="2:4">
      <c r="B3592" s="198" t="s">
        <v>4857</v>
      </c>
      <c r="C3592" s="154" t="s">
        <v>4860</v>
      </c>
      <c r="D3592" s="201" t="s">
        <v>1956</v>
      </c>
    </row>
    <row r="3593" spans="2:4">
      <c r="B3593" s="198" t="s">
        <v>4858</v>
      </c>
      <c r="C3593" s="154" t="s">
        <v>1797</v>
      </c>
      <c r="D3593" s="201" t="s">
        <v>1951</v>
      </c>
    </row>
    <row r="3594" spans="2:4">
      <c r="B3594" s="198" t="s">
        <v>4863</v>
      </c>
      <c r="C3594" s="154" t="s">
        <v>1541</v>
      </c>
      <c r="D3594" s="201" t="s">
        <v>1955</v>
      </c>
    </row>
    <row r="3595" spans="2:4">
      <c r="B3595" s="198" t="s">
        <v>4864</v>
      </c>
      <c r="C3595" s="154" t="s">
        <v>1541</v>
      </c>
      <c r="D3595" s="201" t="s">
        <v>1955</v>
      </c>
    </row>
    <row r="3596" spans="2:4">
      <c r="B3596" s="198" t="s">
        <v>4865</v>
      </c>
      <c r="C3596" s="154" t="s">
        <v>150</v>
      </c>
      <c r="D3596" s="201" t="s">
        <v>1951</v>
      </c>
    </row>
    <row r="3597" spans="2:4">
      <c r="B3597" s="198" t="s">
        <v>4866</v>
      </c>
      <c r="C3597" s="154" t="s">
        <v>150</v>
      </c>
      <c r="D3597" s="201" t="s">
        <v>1951</v>
      </c>
    </row>
    <row r="3598" spans="2:4">
      <c r="B3598" s="198" t="s">
        <v>4867</v>
      </c>
      <c r="C3598" s="154" t="s">
        <v>4884</v>
      </c>
      <c r="D3598" s="201" t="s">
        <v>1955</v>
      </c>
    </row>
    <row r="3599" spans="2:4">
      <c r="B3599" s="198"/>
      <c r="C3599" s="154"/>
      <c r="D3599" s="201"/>
    </row>
    <row r="3600" spans="2:4">
      <c r="B3600" s="198" t="s">
        <v>4869</v>
      </c>
      <c r="C3600" s="154" t="s">
        <v>3598</v>
      </c>
      <c r="D3600" s="201" t="s">
        <v>1951</v>
      </c>
    </row>
    <row r="3601" spans="2:4">
      <c r="B3601" s="198"/>
      <c r="C3601" s="154"/>
      <c r="D3601" s="201"/>
    </row>
    <row r="3602" spans="2:4">
      <c r="B3602" s="198"/>
      <c r="C3602" s="154"/>
      <c r="D3602" s="201"/>
    </row>
    <row r="3603" spans="2:4">
      <c r="B3603" s="198" t="s">
        <v>4872</v>
      </c>
      <c r="C3603" s="154" t="s">
        <v>149</v>
      </c>
      <c r="D3603" s="201" t="s">
        <v>1956</v>
      </c>
    </row>
    <row r="3604" spans="2:4">
      <c r="B3604" s="198" t="s">
        <v>4873</v>
      </c>
      <c r="C3604" s="154" t="s">
        <v>3741</v>
      </c>
      <c r="D3604" s="201" t="s">
        <v>1955</v>
      </c>
    </row>
    <row r="3605" spans="2:4">
      <c r="B3605" s="198" t="s">
        <v>4874</v>
      </c>
      <c r="C3605" s="154" t="s">
        <v>4885</v>
      </c>
      <c r="D3605" s="201" t="s">
        <v>1955</v>
      </c>
    </row>
    <row r="3606" spans="2:4">
      <c r="B3606" s="198" t="s">
        <v>4875</v>
      </c>
      <c r="C3606" s="154" t="s">
        <v>4886</v>
      </c>
      <c r="D3606" s="201" t="s">
        <v>1955</v>
      </c>
    </row>
    <row r="3607" spans="2:4">
      <c r="B3607" s="198" t="s">
        <v>4876</v>
      </c>
      <c r="C3607" s="154" t="s">
        <v>4887</v>
      </c>
      <c r="D3607" s="201" t="s">
        <v>1951</v>
      </c>
    </row>
    <row r="3608" spans="2:4">
      <c r="B3608" s="198" t="s">
        <v>4877</v>
      </c>
      <c r="C3608" s="154" t="s">
        <v>4887</v>
      </c>
      <c r="D3608" s="201" t="s">
        <v>1951</v>
      </c>
    </row>
    <row r="3609" spans="2:4">
      <c r="B3609" s="198" t="s">
        <v>4878</v>
      </c>
      <c r="C3609" s="154" t="s">
        <v>4888</v>
      </c>
      <c r="D3609" s="201" t="s">
        <v>1954</v>
      </c>
    </row>
    <row r="3610" spans="2:4">
      <c r="B3610" s="198" t="s">
        <v>4879</v>
      </c>
      <c r="C3610" s="154" t="s">
        <v>1541</v>
      </c>
      <c r="D3610" s="201" t="s">
        <v>1955</v>
      </c>
    </row>
    <row r="3611" spans="2:4">
      <c r="B3611" s="198" t="s">
        <v>4880</v>
      </c>
      <c r="C3611" s="154" t="s">
        <v>151</v>
      </c>
      <c r="D3611" s="201" t="s">
        <v>1954</v>
      </c>
    </row>
    <row r="3612" spans="2:4">
      <c r="B3612" s="198" t="s">
        <v>4881</v>
      </c>
      <c r="C3612" s="154" t="s">
        <v>3315</v>
      </c>
      <c r="D3612" s="201" t="s">
        <v>1954</v>
      </c>
    </row>
    <row r="3613" spans="2:4">
      <c r="B3613" s="198" t="s">
        <v>4882</v>
      </c>
      <c r="C3613" s="154" t="s">
        <v>3310</v>
      </c>
      <c r="D3613" s="201" t="s">
        <v>1951</v>
      </c>
    </row>
    <row r="3614" spans="2:4">
      <c r="B3614" s="198" t="s">
        <v>4883</v>
      </c>
      <c r="C3614" s="154" t="s">
        <v>3436</v>
      </c>
      <c r="D3614" s="201" t="s">
        <v>1952</v>
      </c>
    </row>
    <row r="3615" spans="2:4">
      <c r="B3615" s="198" t="s">
        <v>4868</v>
      </c>
      <c r="C3615" s="154" t="s">
        <v>4898</v>
      </c>
      <c r="D3615" s="201" t="s">
        <v>1955</v>
      </c>
    </row>
    <row r="3616" spans="2:4">
      <c r="B3616" s="198" t="s">
        <v>4870</v>
      </c>
      <c r="C3616" s="154" t="s">
        <v>1625</v>
      </c>
      <c r="D3616" s="201" t="s">
        <v>1951</v>
      </c>
    </row>
    <row r="3617" spans="2:4">
      <c r="B3617" s="198" t="s">
        <v>4871</v>
      </c>
      <c r="C3617" s="154" t="s">
        <v>1625</v>
      </c>
      <c r="D3617" s="201" t="s">
        <v>1951</v>
      </c>
    </row>
    <row r="3618" spans="2:4">
      <c r="B3618" s="198" t="s">
        <v>4889</v>
      </c>
      <c r="C3618" s="154" t="s">
        <v>3436</v>
      </c>
      <c r="D3618" s="201" t="s">
        <v>1952</v>
      </c>
    </row>
    <row r="3619" spans="2:4">
      <c r="B3619" s="198" t="s">
        <v>4890</v>
      </c>
      <c r="C3619" s="154" t="s">
        <v>3436</v>
      </c>
      <c r="D3619" s="201" t="s">
        <v>1952</v>
      </c>
    </row>
    <row r="3620" spans="2:4">
      <c r="B3620" s="198" t="s">
        <v>4891</v>
      </c>
      <c r="C3620" s="154" t="s">
        <v>3315</v>
      </c>
      <c r="D3620" s="201" t="s">
        <v>1954</v>
      </c>
    </row>
    <row r="3621" spans="2:4">
      <c r="B3621" s="198" t="s">
        <v>4892</v>
      </c>
      <c r="C3621" s="154" t="s">
        <v>3138</v>
      </c>
      <c r="D3621" s="201" t="s">
        <v>1956</v>
      </c>
    </row>
    <row r="3622" spans="2:4">
      <c r="B3622" s="198" t="s">
        <v>4893</v>
      </c>
      <c r="C3622" s="154" t="s">
        <v>3138</v>
      </c>
      <c r="D3622" s="201" t="s">
        <v>1956</v>
      </c>
    </row>
    <row r="3623" spans="2:4">
      <c r="B3623" s="198" t="s">
        <v>4894</v>
      </c>
      <c r="C3623" s="154" t="s">
        <v>149</v>
      </c>
      <c r="D3623" s="201" t="s">
        <v>1956</v>
      </c>
    </row>
    <row r="3624" spans="2:4">
      <c r="B3624" s="198" t="s">
        <v>4895</v>
      </c>
      <c r="C3624" s="154" t="s">
        <v>3465</v>
      </c>
      <c r="D3624" s="201" t="s">
        <v>1951</v>
      </c>
    </row>
    <row r="3625" spans="2:4">
      <c r="B3625" s="198" t="s">
        <v>4896</v>
      </c>
      <c r="C3625" s="154" t="s">
        <v>4897</v>
      </c>
      <c r="D3625" s="201" t="s">
        <v>1952</v>
      </c>
    </row>
    <row r="3626" spans="2:4">
      <c r="B3626" s="198" t="s">
        <v>4899</v>
      </c>
      <c r="C3626" s="154" t="s">
        <v>1842</v>
      </c>
      <c r="D3626" s="201" t="s">
        <v>1955</v>
      </c>
    </row>
    <row r="3627" spans="2:4">
      <c r="B3627" s="198" t="s">
        <v>4900</v>
      </c>
      <c r="C3627" s="154" t="s">
        <v>1896</v>
      </c>
      <c r="D3627" s="201" t="s">
        <v>1956</v>
      </c>
    </row>
    <row r="3628" spans="2:4">
      <c r="B3628" s="198" t="s">
        <v>4901</v>
      </c>
      <c r="C3628" s="154" t="s">
        <v>1587</v>
      </c>
      <c r="D3628" s="201" t="s">
        <v>1958</v>
      </c>
    </row>
    <row r="3629" spans="2:4">
      <c r="B3629" s="198" t="s">
        <v>4902</v>
      </c>
      <c r="C3629" s="154" t="s">
        <v>4916</v>
      </c>
      <c r="D3629" s="201" t="s">
        <v>1956</v>
      </c>
    </row>
    <row r="3630" spans="2:4">
      <c r="B3630" s="198" t="s">
        <v>4903</v>
      </c>
      <c r="C3630" s="154" t="s">
        <v>4917</v>
      </c>
      <c r="D3630" s="201" t="s">
        <v>1956</v>
      </c>
    </row>
    <row r="3631" spans="2:4">
      <c r="B3631" s="198" t="s">
        <v>4912</v>
      </c>
      <c r="C3631" s="154" t="s">
        <v>4920</v>
      </c>
      <c r="D3631" s="201" t="s">
        <v>1954</v>
      </c>
    </row>
    <row r="3632" spans="2:4">
      <c r="B3632" s="198" t="s">
        <v>4906</v>
      </c>
      <c r="C3632" s="154" t="s">
        <v>4918</v>
      </c>
      <c r="D3632" s="201" t="s">
        <v>1955</v>
      </c>
    </row>
    <row r="3633" spans="2:4">
      <c r="B3633" s="198" t="s">
        <v>4907</v>
      </c>
      <c r="C3633" s="154" t="s">
        <v>1722</v>
      </c>
      <c r="D3633" s="201" t="s">
        <v>1956</v>
      </c>
    </row>
    <row r="3634" spans="2:4">
      <c r="B3634" s="198" t="s">
        <v>4908</v>
      </c>
      <c r="C3634" s="154" t="s">
        <v>4919</v>
      </c>
      <c r="D3634" s="201" t="s">
        <v>1954</v>
      </c>
    </row>
    <row r="3635" spans="2:4">
      <c r="B3635" s="198" t="s">
        <v>4905</v>
      </c>
      <c r="C3635" s="154" t="s">
        <v>4921</v>
      </c>
      <c r="D3635" s="201" t="s">
        <v>1959</v>
      </c>
    </row>
    <row r="3636" spans="2:4">
      <c r="B3636" s="198" t="s">
        <v>4909</v>
      </c>
      <c r="C3636" s="154" t="s">
        <v>4922</v>
      </c>
      <c r="D3636" s="201" t="s">
        <v>1959</v>
      </c>
    </row>
    <row r="3637" spans="2:4">
      <c r="B3637" s="198" t="s">
        <v>4910</v>
      </c>
      <c r="C3637" s="154" t="s">
        <v>4923</v>
      </c>
      <c r="D3637" s="201" t="s">
        <v>1959</v>
      </c>
    </row>
    <row r="3638" spans="2:4">
      <c r="B3638" s="198" t="s">
        <v>4904</v>
      </c>
      <c r="C3638" s="154" t="s">
        <v>4924</v>
      </c>
      <c r="D3638" s="201" t="s">
        <v>2216</v>
      </c>
    </row>
    <row r="3639" spans="2:4">
      <c r="B3639" s="198" t="s">
        <v>4911</v>
      </c>
      <c r="C3639" s="154" t="s">
        <v>4925</v>
      </c>
      <c r="D3639" s="201" t="s">
        <v>2216</v>
      </c>
    </row>
    <row r="3640" spans="2:4">
      <c r="B3640" s="198" t="s">
        <v>4913</v>
      </c>
      <c r="C3640" s="154" t="s">
        <v>4926</v>
      </c>
      <c r="D3640" s="201" t="s">
        <v>1957</v>
      </c>
    </row>
    <row r="3641" spans="2:4">
      <c r="B3641" s="198" t="s">
        <v>4914</v>
      </c>
      <c r="C3641" s="154" t="s">
        <v>4921</v>
      </c>
      <c r="D3641" s="201" t="s">
        <v>1959</v>
      </c>
    </row>
    <row r="3642" spans="2:4">
      <c r="B3642" s="198" t="s">
        <v>4915</v>
      </c>
      <c r="C3642" s="154" t="s">
        <v>4927</v>
      </c>
      <c r="D3642" s="201" t="s">
        <v>2216</v>
      </c>
    </row>
    <row r="3643" spans="2:4">
      <c r="B3643" s="198" t="s">
        <v>4928</v>
      </c>
      <c r="C3643" s="154" t="s">
        <v>150</v>
      </c>
      <c r="D3643" s="201" t="s">
        <v>1951</v>
      </c>
    </row>
    <row r="3644" spans="2:4">
      <c r="B3644" s="198" t="s">
        <v>4929</v>
      </c>
      <c r="C3644" s="154" t="s">
        <v>149</v>
      </c>
      <c r="D3644" s="201" t="s">
        <v>1956</v>
      </c>
    </row>
    <row r="3645" spans="2:4">
      <c r="B3645" s="198" t="s">
        <v>4930</v>
      </c>
      <c r="C3645" s="154" t="s">
        <v>4941</v>
      </c>
      <c r="D3645" s="201" t="s">
        <v>1956</v>
      </c>
    </row>
    <row r="3646" spans="2:4">
      <c r="B3646" s="198" t="s">
        <v>4931</v>
      </c>
      <c r="C3646" s="154" t="s">
        <v>1664</v>
      </c>
      <c r="D3646" s="201" t="s">
        <v>1956</v>
      </c>
    </row>
    <row r="3647" spans="2:4">
      <c r="B3647" s="198" t="s">
        <v>4932</v>
      </c>
      <c r="C3647" s="154" t="s">
        <v>3095</v>
      </c>
      <c r="D3647" s="201" t="s">
        <v>1956</v>
      </c>
    </row>
    <row r="3648" spans="2:4">
      <c r="B3648" s="198" t="s">
        <v>4933</v>
      </c>
      <c r="C3648" s="154" t="s">
        <v>4942</v>
      </c>
      <c r="D3648" s="201" t="s">
        <v>1956</v>
      </c>
    </row>
    <row r="3649" spans="2:4">
      <c r="B3649" s="198" t="s">
        <v>4934</v>
      </c>
      <c r="C3649" s="154" t="s">
        <v>1522</v>
      </c>
      <c r="D3649" s="201" t="s">
        <v>1953</v>
      </c>
    </row>
    <row r="3650" spans="2:4">
      <c r="B3650" s="198" t="s">
        <v>4935</v>
      </c>
      <c r="C3650" s="154" t="s">
        <v>1517</v>
      </c>
      <c r="D3650" s="201" t="s">
        <v>1956</v>
      </c>
    </row>
    <row r="3651" spans="2:4">
      <c r="B3651" s="198" t="s">
        <v>4936</v>
      </c>
      <c r="C3651" s="154" t="s">
        <v>1625</v>
      </c>
      <c r="D3651" s="201" t="s">
        <v>1951</v>
      </c>
    </row>
    <row r="3652" spans="2:4">
      <c r="B3652" s="198" t="s">
        <v>4937</v>
      </c>
      <c r="C3652" s="154" t="s">
        <v>3465</v>
      </c>
      <c r="D3652" s="201" t="s">
        <v>1951</v>
      </c>
    </row>
    <row r="3653" spans="2:4">
      <c r="B3653" s="198" t="s">
        <v>4938</v>
      </c>
      <c r="C3653" s="154" t="s">
        <v>1625</v>
      </c>
      <c r="D3653" s="201" t="s">
        <v>1951</v>
      </c>
    </row>
    <row r="3654" spans="2:4">
      <c r="B3654" s="198" t="s">
        <v>4939</v>
      </c>
      <c r="C3654" s="154" t="s">
        <v>3449</v>
      </c>
      <c r="D3654" s="201" t="s">
        <v>1951</v>
      </c>
    </row>
    <row r="3655" spans="2:4">
      <c r="B3655" s="198" t="s">
        <v>4940</v>
      </c>
      <c r="C3655" s="154" t="s">
        <v>1522</v>
      </c>
      <c r="D3655" s="201" t="s">
        <v>1953</v>
      </c>
    </row>
    <row r="3656" spans="2:4">
      <c r="B3656" s="198" t="s">
        <v>4943</v>
      </c>
      <c r="C3656" s="154" t="s">
        <v>1718</v>
      </c>
      <c r="D3656" s="201" t="s">
        <v>1951</v>
      </c>
    </row>
    <row r="3657" spans="2:4">
      <c r="B3657" s="198" t="s">
        <v>4944</v>
      </c>
      <c r="C3657" s="154" t="s">
        <v>4949</v>
      </c>
      <c r="D3657" s="201" t="s">
        <v>1956</v>
      </c>
    </row>
    <row r="3658" spans="2:4">
      <c r="B3658" s="198" t="s">
        <v>4945</v>
      </c>
      <c r="C3658" s="154" t="s">
        <v>4887</v>
      </c>
      <c r="D3658" s="201" t="s">
        <v>1951</v>
      </c>
    </row>
    <row r="3659" spans="2:4">
      <c r="B3659" s="198" t="s">
        <v>4946</v>
      </c>
      <c r="C3659" s="154" t="s">
        <v>4950</v>
      </c>
      <c r="D3659" s="201" t="s">
        <v>1951</v>
      </c>
    </row>
    <row r="3660" spans="2:4">
      <c r="B3660" s="198" t="s">
        <v>4947</v>
      </c>
      <c r="C3660" s="154" t="s">
        <v>1527</v>
      </c>
      <c r="D3660" s="201" t="s">
        <v>1956</v>
      </c>
    </row>
    <row r="3661" spans="2:4">
      <c r="B3661" s="198" t="s">
        <v>4948</v>
      </c>
      <c r="C3661" s="154" t="s">
        <v>3279</v>
      </c>
      <c r="D3661" s="201" t="s">
        <v>2216</v>
      </c>
    </row>
    <row r="3662" spans="2:4">
      <c r="B3662" s="198" t="s">
        <v>4951</v>
      </c>
      <c r="C3662" s="154" t="s">
        <v>5002</v>
      </c>
      <c r="D3662" s="201" t="s">
        <v>1951</v>
      </c>
    </row>
    <row r="3663" spans="2:4">
      <c r="B3663" s="198" t="s">
        <v>4952</v>
      </c>
      <c r="C3663" s="154" t="s">
        <v>5007</v>
      </c>
      <c r="D3663" s="201" t="s">
        <v>1951</v>
      </c>
    </row>
    <row r="3664" spans="2:4">
      <c r="B3664" s="198" t="s">
        <v>4953</v>
      </c>
      <c r="C3664" s="154" t="s">
        <v>1519</v>
      </c>
      <c r="D3664" s="201" t="s">
        <v>1951</v>
      </c>
    </row>
    <row r="3665" spans="2:4">
      <c r="B3665" s="198" t="s">
        <v>4954</v>
      </c>
      <c r="C3665" s="154" t="s">
        <v>3467</v>
      </c>
      <c r="D3665" s="201" t="s">
        <v>1955</v>
      </c>
    </row>
    <row r="3666" spans="2:4">
      <c r="B3666" s="198" t="s">
        <v>4955</v>
      </c>
      <c r="C3666" s="154" t="s">
        <v>3436</v>
      </c>
      <c r="D3666" s="201" t="s">
        <v>1952</v>
      </c>
    </row>
    <row r="3667" spans="2:4">
      <c r="B3667" s="198" t="s">
        <v>4956</v>
      </c>
      <c r="C3667" s="154" t="s">
        <v>3962</v>
      </c>
      <c r="D3667" s="201" t="s">
        <v>1951</v>
      </c>
    </row>
    <row r="3668" spans="2:4">
      <c r="B3668" s="198" t="s">
        <v>4957</v>
      </c>
      <c r="C3668" s="154" t="s">
        <v>3436</v>
      </c>
      <c r="D3668" s="201" t="s">
        <v>1952</v>
      </c>
    </row>
    <row r="3669" spans="2:4">
      <c r="B3669" s="198" t="s">
        <v>4958</v>
      </c>
      <c r="C3669" s="154" t="s">
        <v>3436</v>
      </c>
      <c r="D3669" s="201" t="s">
        <v>1952</v>
      </c>
    </row>
    <row r="3670" spans="2:4">
      <c r="B3670" s="198" t="s">
        <v>4959</v>
      </c>
      <c r="C3670" s="154" t="s">
        <v>149</v>
      </c>
      <c r="D3670" s="201" t="s">
        <v>1956</v>
      </c>
    </row>
    <row r="3671" spans="2:4">
      <c r="B3671" s="198" t="s">
        <v>4960</v>
      </c>
      <c r="C3671" s="154" t="s">
        <v>152</v>
      </c>
      <c r="D3671" s="201" t="s">
        <v>1952</v>
      </c>
    </row>
    <row r="3672" spans="2:4">
      <c r="B3672" s="198" t="s">
        <v>4961</v>
      </c>
      <c r="C3672" s="154" t="s">
        <v>152</v>
      </c>
      <c r="D3672" s="201" t="s">
        <v>1952</v>
      </c>
    </row>
    <row r="3673" spans="2:4">
      <c r="B3673" s="198" t="s">
        <v>4962</v>
      </c>
      <c r="C3673" s="154" t="s">
        <v>3436</v>
      </c>
      <c r="D3673" s="201" t="s">
        <v>1952</v>
      </c>
    </row>
    <row r="3674" spans="2:4">
      <c r="B3674" s="198" t="s">
        <v>4963</v>
      </c>
      <c r="C3674" s="154" t="s">
        <v>3436</v>
      </c>
      <c r="D3674" s="201" t="s">
        <v>1952</v>
      </c>
    </row>
    <row r="3675" spans="2:4">
      <c r="B3675" s="198" t="s">
        <v>4964</v>
      </c>
      <c r="C3675" s="154" t="s">
        <v>3436</v>
      </c>
      <c r="D3675" s="201" t="s">
        <v>1952</v>
      </c>
    </row>
    <row r="3676" spans="2:4">
      <c r="B3676" s="198" t="s">
        <v>4965</v>
      </c>
      <c r="C3676" s="154" t="s">
        <v>3436</v>
      </c>
      <c r="D3676" s="201" t="s">
        <v>1952</v>
      </c>
    </row>
    <row r="3677" spans="2:4">
      <c r="B3677" s="198" t="s">
        <v>4966</v>
      </c>
      <c r="C3677" s="154" t="s">
        <v>3436</v>
      </c>
      <c r="D3677" s="201" t="s">
        <v>1952</v>
      </c>
    </row>
    <row r="3678" spans="2:4">
      <c r="B3678" s="198" t="s">
        <v>4967</v>
      </c>
      <c r="C3678" s="154" t="s">
        <v>3436</v>
      </c>
      <c r="D3678" s="201" t="s">
        <v>1952</v>
      </c>
    </row>
    <row r="3679" spans="2:4">
      <c r="B3679" s="198" t="s">
        <v>4968</v>
      </c>
      <c r="C3679" s="154" t="s">
        <v>1581</v>
      </c>
      <c r="D3679" s="201" t="s">
        <v>1955</v>
      </c>
    </row>
    <row r="3680" spans="2:4">
      <c r="B3680" s="198" t="s">
        <v>4969</v>
      </c>
      <c r="C3680" s="154" t="s">
        <v>3436</v>
      </c>
      <c r="D3680" s="201" t="s">
        <v>1952</v>
      </c>
    </row>
    <row r="3681" spans="2:4">
      <c r="B3681" s="198" t="s">
        <v>4970</v>
      </c>
      <c r="C3681" s="154" t="s">
        <v>3436</v>
      </c>
      <c r="D3681" s="201" t="s">
        <v>1952</v>
      </c>
    </row>
    <row r="3682" spans="2:4">
      <c r="B3682" s="198" t="s">
        <v>4971</v>
      </c>
      <c r="C3682" s="154" t="s">
        <v>3436</v>
      </c>
      <c r="D3682" s="201" t="s">
        <v>1952</v>
      </c>
    </row>
    <row r="3683" spans="2:4">
      <c r="B3683" s="198" t="s">
        <v>4972</v>
      </c>
      <c r="C3683" s="154" t="s">
        <v>3465</v>
      </c>
      <c r="D3683" s="201" t="s">
        <v>1951</v>
      </c>
    </row>
    <row r="3684" spans="2:4">
      <c r="B3684" s="198" t="s">
        <v>4973</v>
      </c>
      <c r="C3684" s="154" t="s">
        <v>3465</v>
      </c>
      <c r="D3684" s="201" t="s">
        <v>1951</v>
      </c>
    </row>
    <row r="3685" spans="2:4">
      <c r="B3685" s="198" t="s">
        <v>4974</v>
      </c>
      <c r="C3685" s="154" t="s">
        <v>3465</v>
      </c>
      <c r="D3685" s="201" t="s">
        <v>1951</v>
      </c>
    </row>
    <row r="3686" spans="2:4">
      <c r="B3686" s="198" t="s">
        <v>4975</v>
      </c>
      <c r="C3686" s="154" t="s">
        <v>3465</v>
      </c>
      <c r="D3686" s="201" t="s">
        <v>1951</v>
      </c>
    </row>
    <row r="3687" spans="2:4">
      <c r="B3687" s="198" t="s">
        <v>4976</v>
      </c>
      <c r="C3687" s="154" t="s">
        <v>149</v>
      </c>
      <c r="D3687" s="201" t="s">
        <v>1956</v>
      </c>
    </row>
    <row r="3688" spans="2:4">
      <c r="B3688" s="198" t="s">
        <v>4977</v>
      </c>
      <c r="C3688" s="154" t="s">
        <v>153</v>
      </c>
      <c r="D3688" s="201" t="s">
        <v>1951</v>
      </c>
    </row>
    <row r="3689" spans="2:4">
      <c r="B3689" s="198" t="s">
        <v>4978</v>
      </c>
      <c r="C3689" s="154" t="s">
        <v>1511</v>
      </c>
      <c r="D3689" s="201" t="s">
        <v>1951</v>
      </c>
    </row>
    <row r="3690" spans="2:4">
      <c r="B3690" s="198" t="s">
        <v>4979</v>
      </c>
      <c r="C3690" s="154" t="s">
        <v>3315</v>
      </c>
      <c r="D3690" s="201" t="s">
        <v>1954</v>
      </c>
    </row>
    <row r="3691" spans="2:4">
      <c r="B3691" s="198" t="s">
        <v>4980</v>
      </c>
      <c r="C3691" s="154" t="s">
        <v>3465</v>
      </c>
      <c r="D3691" s="201" t="s">
        <v>1951</v>
      </c>
    </row>
    <row r="3692" spans="2:4">
      <c r="B3692" s="198" t="s">
        <v>4981</v>
      </c>
      <c r="C3692" s="154" t="s">
        <v>3138</v>
      </c>
      <c r="D3692" s="201" t="s">
        <v>1956</v>
      </c>
    </row>
    <row r="3693" spans="2:4">
      <c r="B3693" s="198" t="s">
        <v>4982</v>
      </c>
      <c r="C3693" s="154" t="s">
        <v>3315</v>
      </c>
      <c r="D3693" s="201" t="s">
        <v>1954</v>
      </c>
    </row>
    <row r="3694" spans="2:4">
      <c r="B3694" s="198" t="s">
        <v>4983</v>
      </c>
      <c r="C3694" s="154" t="s">
        <v>3315</v>
      </c>
      <c r="D3694" s="201" t="s">
        <v>1954</v>
      </c>
    </row>
    <row r="3695" spans="2:4">
      <c r="B3695" s="198" t="s">
        <v>4984</v>
      </c>
      <c r="C3695" s="154" t="s">
        <v>149</v>
      </c>
      <c r="D3695" s="201" t="s">
        <v>1956</v>
      </c>
    </row>
    <row r="3696" spans="2:4">
      <c r="B3696" s="198" t="s">
        <v>4985</v>
      </c>
      <c r="C3696" s="154" t="s">
        <v>3436</v>
      </c>
      <c r="D3696" s="201" t="s">
        <v>1952</v>
      </c>
    </row>
    <row r="3697" spans="2:4">
      <c r="B3697" s="198" t="s">
        <v>4986</v>
      </c>
      <c r="C3697" s="154" t="s">
        <v>3446</v>
      </c>
      <c r="D3697" s="201" t="s">
        <v>1955</v>
      </c>
    </row>
    <row r="3698" spans="2:4">
      <c r="B3698" s="198" t="s">
        <v>4987</v>
      </c>
      <c r="C3698" s="154" t="s">
        <v>3138</v>
      </c>
      <c r="D3698" s="201" t="s">
        <v>1956</v>
      </c>
    </row>
    <row r="3699" spans="2:4">
      <c r="B3699" s="198" t="s">
        <v>4988</v>
      </c>
      <c r="C3699" s="154" t="s">
        <v>3465</v>
      </c>
      <c r="D3699" s="201" t="s">
        <v>1951</v>
      </c>
    </row>
    <row r="3700" spans="2:4">
      <c r="B3700" s="198" t="s">
        <v>4989</v>
      </c>
      <c r="C3700" s="154" t="s">
        <v>3138</v>
      </c>
      <c r="D3700" s="201" t="s">
        <v>1956</v>
      </c>
    </row>
    <row r="3701" spans="2:4">
      <c r="B3701" s="198" t="s">
        <v>4990</v>
      </c>
      <c r="C3701" s="154" t="s">
        <v>3465</v>
      </c>
      <c r="D3701" s="201" t="s">
        <v>1951</v>
      </c>
    </row>
    <row r="3702" spans="2:4">
      <c r="B3702" s="198" t="s">
        <v>4991</v>
      </c>
      <c r="C3702" s="154" t="s">
        <v>3465</v>
      </c>
      <c r="D3702" s="201" t="s">
        <v>1951</v>
      </c>
    </row>
    <row r="3703" spans="2:4">
      <c r="B3703" s="198" t="s">
        <v>4992</v>
      </c>
      <c r="C3703" s="154" t="s">
        <v>3436</v>
      </c>
      <c r="D3703" s="201" t="s">
        <v>1952</v>
      </c>
    </row>
    <row r="3704" spans="2:4">
      <c r="B3704" s="198" t="s">
        <v>4993</v>
      </c>
      <c r="C3704" s="154" t="s">
        <v>3465</v>
      </c>
      <c r="D3704" s="201" t="s">
        <v>1951</v>
      </c>
    </row>
    <row r="3705" spans="2:4">
      <c r="B3705" s="198" t="s">
        <v>4994</v>
      </c>
      <c r="C3705" s="154" t="s">
        <v>3962</v>
      </c>
      <c r="D3705" s="201" t="s">
        <v>1951</v>
      </c>
    </row>
    <row r="3706" spans="2:4">
      <c r="B3706" s="198" t="s">
        <v>4995</v>
      </c>
      <c r="C3706" s="154" t="s">
        <v>5003</v>
      </c>
      <c r="D3706" s="201" t="s">
        <v>1952</v>
      </c>
    </row>
    <row r="3707" spans="2:4">
      <c r="B3707" s="198" t="s">
        <v>4996</v>
      </c>
      <c r="C3707" s="154" t="s">
        <v>5008</v>
      </c>
      <c r="D3707" s="201" t="s">
        <v>1952</v>
      </c>
    </row>
    <row r="3708" spans="2:4">
      <c r="B3708" s="198" t="s">
        <v>4997</v>
      </c>
      <c r="C3708" s="154" t="s">
        <v>5004</v>
      </c>
      <c r="D3708" s="201" t="s">
        <v>1952</v>
      </c>
    </row>
    <row r="3709" spans="2:4">
      <c r="B3709" s="198" t="s">
        <v>4998</v>
      </c>
      <c r="C3709" s="154" t="s">
        <v>5009</v>
      </c>
      <c r="D3709" s="201" t="s">
        <v>1952</v>
      </c>
    </row>
    <row r="3710" spans="2:4">
      <c r="B3710" s="198" t="s">
        <v>4999</v>
      </c>
      <c r="C3710" s="154" t="s">
        <v>5005</v>
      </c>
      <c r="D3710" s="201" t="s">
        <v>1952</v>
      </c>
    </row>
    <row r="3711" spans="2:4">
      <c r="B3711" s="198" t="s">
        <v>5000</v>
      </c>
      <c r="C3711" s="154" t="s">
        <v>5009</v>
      </c>
      <c r="D3711" s="201" t="s">
        <v>1952</v>
      </c>
    </row>
    <row r="3712" spans="2:4">
      <c r="B3712" s="198" t="s">
        <v>5001</v>
      </c>
      <c r="C3712" s="154" t="s">
        <v>5006</v>
      </c>
      <c r="D3712" s="201" t="s">
        <v>1951</v>
      </c>
    </row>
    <row r="3713" spans="2:4">
      <c r="B3713" s="198" t="s">
        <v>5010</v>
      </c>
      <c r="C3713" s="154" t="s">
        <v>1595</v>
      </c>
      <c r="D3713" s="201" t="s">
        <v>1956</v>
      </c>
    </row>
    <row r="3714" spans="2:4">
      <c r="B3714" s="198" t="s">
        <v>5011</v>
      </c>
      <c r="C3714" s="154" t="s">
        <v>149</v>
      </c>
      <c r="D3714" s="201" t="s">
        <v>1956</v>
      </c>
    </row>
    <row r="3715" spans="2:4">
      <c r="B3715" s="198" t="s">
        <v>5012</v>
      </c>
      <c r="C3715" s="154" t="s">
        <v>149</v>
      </c>
      <c r="D3715" s="201" t="s">
        <v>1956</v>
      </c>
    </row>
    <row r="3716" spans="2:4">
      <c r="B3716" s="198" t="s">
        <v>5013</v>
      </c>
      <c r="C3716" s="154" t="s">
        <v>149</v>
      </c>
      <c r="D3716" s="201" t="s">
        <v>1956</v>
      </c>
    </row>
    <row r="3717" spans="2:4">
      <c r="B3717" s="198" t="s">
        <v>5014</v>
      </c>
      <c r="C3717" s="154" t="s">
        <v>3446</v>
      </c>
      <c r="D3717" s="201" t="s">
        <v>1955</v>
      </c>
    </row>
    <row r="3718" spans="2:4">
      <c r="B3718" s="198" t="s">
        <v>5016</v>
      </c>
      <c r="C3718" s="154" t="s">
        <v>3436</v>
      </c>
      <c r="D3718" s="201" t="s">
        <v>1952</v>
      </c>
    </row>
    <row r="3719" spans="2:4">
      <c r="B3719" s="198" t="s">
        <v>5017</v>
      </c>
      <c r="C3719" s="154" t="s">
        <v>3436</v>
      </c>
      <c r="D3719" s="201" t="s">
        <v>1952</v>
      </c>
    </row>
    <row r="3720" spans="2:4">
      <c r="B3720" s="198" t="s">
        <v>5018</v>
      </c>
      <c r="C3720" s="154" t="s">
        <v>3138</v>
      </c>
      <c r="D3720" s="201" t="s">
        <v>1956</v>
      </c>
    </row>
    <row r="3721" spans="2:4">
      <c r="B3721" s="198" t="s">
        <v>5019</v>
      </c>
      <c r="C3721" s="154" t="s">
        <v>3436</v>
      </c>
      <c r="D3721" s="201"/>
    </row>
    <row r="3722" spans="2:4">
      <c r="B3722" s="198" t="s">
        <v>5020</v>
      </c>
      <c r="C3722" s="154" t="s">
        <v>3315</v>
      </c>
      <c r="D3722" s="201" t="s">
        <v>1954</v>
      </c>
    </row>
    <row r="3723" spans="2:4">
      <c r="B3723" s="198" t="s">
        <v>5021</v>
      </c>
      <c r="C3723" s="154" t="s">
        <v>1519</v>
      </c>
      <c r="D3723" s="201" t="s">
        <v>1951</v>
      </c>
    </row>
    <row r="3724" spans="2:4">
      <c r="B3724" s="198" t="s">
        <v>5022</v>
      </c>
      <c r="C3724" s="154" t="s">
        <v>3315</v>
      </c>
      <c r="D3724" s="201" t="s">
        <v>1954</v>
      </c>
    </row>
    <row r="3725" spans="2:4">
      <c r="B3725" s="198" t="s">
        <v>5023</v>
      </c>
      <c r="C3725" s="154" t="s">
        <v>1576</v>
      </c>
      <c r="D3725" s="201" t="s">
        <v>1956</v>
      </c>
    </row>
    <row r="3726" spans="2:4">
      <c r="B3726" s="198" t="s">
        <v>5024</v>
      </c>
      <c r="C3726" s="154" t="s">
        <v>1896</v>
      </c>
      <c r="D3726" s="201" t="s">
        <v>1956</v>
      </c>
    </row>
    <row r="3727" spans="2:4">
      <c r="B3727" s="198" t="s">
        <v>5025</v>
      </c>
      <c r="C3727" s="154" t="s">
        <v>149</v>
      </c>
      <c r="D3727" s="201" t="s">
        <v>1956</v>
      </c>
    </row>
    <row r="3728" spans="2:4">
      <c r="B3728" s="198" t="s">
        <v>5026</v>
      </c>
      <c r="C3728" s="154" t="s">
        <v>1876</v>
      </c>
      <c r="D3728" s="201" t="s">
        <v>1956</v>
      </c>
    </row>
    <row r="3729" spans="2:4">
      <c r="B3729" s="198" t="s">
        <v>5027</v>
      </c>
      <c r="C3729" s="154" t="s">
        <v>149</v>
      </c>
      <c r="D3729" s="201" t="s">
        <v>1956</v>
      </c>
    </row>
    <row r="3730" spans="2:4">
      <c r="B3730" s="198" t="s">
        <v>5028</v>
      </c>
      <c r="C3730" s="154" t="s">
        <v>1587</v>
      </c>
      <c r="D3730" s="201" t="s">
        <v>1958</v>
      </c>
    </row>
    <row r="3731" spans="2:4">
      <c r="B3731" s="198" t="s">
        <v>5029</v>
      </c>
      <c r="C3731" s="154" t="s">
        <v>5030</v>
      </c>
      <c r="D3731" s="201" t="s">
        <v>1958</v>
      </c>
    </row>
    <row r="3732" spans="2:4">
      <c r="B3732" s="198" t="s">
        <v>5031</v>
      </c>
      <c r="C3732" s="154" t="s">
        <v>150</v>
      </c>
      <c r="D3732" s="201" t="s">
        <v>1951</v>
      </c>
    </row>
    <row r="3733" spans="2:4">
      <c r="B3733" s="198" t="s">
        <v>5032</v>
      </c>
      <c r="C3733" s="154" t="s">
        <v>5038</v>
      </c>
      <c r="D3733" s="201" t="s">
        <v>1959</v>
      </c>
    </row>
    <row r="3734" spans="2:4">
      <c r="B3734" s="198" t="s">
        <v>5033</v>
      </c>
      <c r="C3734" s="154" t="s">
        <v>5039</v>
      </c>
      <c r="D3734" s="201" t="s">
        <v>1959</v>
      </c>
    </row>
    <row r="3735" spans="2:4">
      <c r="B3735" s="198" t="s">
        <v>5034</v>
      </c>
      <c r="C3735" s="154" t="s">
        <v>5040</v>
      </c>
      <c r="D3735" s="201" t="s">
        <v>2220</v>
      </c>
    </row>
    <row r="3736" spans="2:4">
      <c r="B3736" s="198" t="s">
        <v>5035</v>
      </c>
      <c r="C3736" s="154" t="s">
        <v>2191</v>
      </c>
      <c r="D3736" s="201" t="s">
        <v>2216</v>
      </c>
    </row>
    <row r="3737" spans="2:4">
      <c r="B3737" s="198" t="s">
        <v>5036</v>
      </c>
      <c r="C3737" s="154" t="s">
        <v>5041</v>
      </c>
      <c r="D3737" s="201" t="s">
        <v>2220</v>
      </c>
    </row>
    <row r="3738" spans="2:4">
      <c r="B3738" s="198" t="s">
        <v>5037</v>
      </c>
      <c r="C3738" s="154" t="s">
        <v>5042</v>
      </c>
      <c r="D3738" s="201" t="s">
        <v>2220</v>
      </c>
    </row>
    <row r="3739" spans="2:4">
      <c r="B3739" s="198" t="s">
        <v>5015</v>
      </c>
      <c r="C3739" s="154" t="s">
        <v>1647</v>
      </c>
      <c r="D3739" s="201" t="s">
        <v>1956</v>
      </c>
    </row>
    <row r="3740" spans="2:4">
      <c r="B3740" s="198" t="s">
        <v>5043</v>
      </c>
      <c r="C3740" s="154" t="s">
        <v>150</v>
      </c>
      <c r="D3740" s="201" t="s">
        <v>1951</v>
      </c>
    </row>
    <row r="3741" spans="2:4">
      <c r="B3741" s="198" t="s">
        <v>5044</v>
      </c>
      <c r="C3741" s="154" t="s">
        <v>3436</v>
      </c>
      <c r="D3741" s="201" t="s">
        <v>1952</v>
      </c>
    </row>
    <row r="3742" spans="2:4">
      <c r="B3742" s="198" t="s">
        <v>5045</v>
      </c>
      <c r="C3742" s="154" t="s">
        <v>3446</v>
      </c>
      <c r="D3742" s="201" t="s">
        <v>1955</v>
      </c>
    </row>
    <row r="3743" spans="2:4">
      <c r="B3743" s="198" t="s">
        <v>5046</v>
      </c>
      <c r="C3743" s="154" t="s">
        <v>3446</v>
      </c>
      <c r="D3743" s="201" t="s">
        <v>1955</v>
      </c>
    </row>
    <row r="3744" spans="2:4">
      <c r="B3744" s="198" t="s">
        <v>5047</v>
      </c>
      <c r="C3744" s="154" t="s">
        <v>150</v>
      </c>
      <c r="D3744" s="201" t="s">
        <v>1951</v>
      </c>
    </row>
    <row r="3745" spans="2:4">
      <c r="B3745" s="198" t="s">
        <v>5048</v>
      </c>
      <c r="C3745" s="154" t="s">
        <v>3436</v>
      </c>
      <c r="D3745" s="201" t="s">
        <v>1952</v>
      </c>
    </row>
    <row r="3746" spans="2:4">
      <c r="B3746" s="198" t="s">
        <v>5049</v>
      </c>
      <c r="C3746" s="154" t="s">
        <v>3465</v>
      </c>
      <c r="D3746" s="201" t="s">
        <v>1951</v>
      </c>
    </row>
    <row r="3747" spans="2:4">
      <c r="B3747" s="198" t="s">
        <v>5051</v>
      </c>
      <c r="C3747" s="154" t="s">
        <v>149</v>
      </c>
      <c r="D3747" s="201" t="s">
        <v>1956</v>
      </c>
    </row>
    <row r="3748" spans="2:4">
      <c r="B3748" s="198" t="s">
        <v>5052</v>
      </c>
      <c r="C3748" s="154" t="s">
        <v>3138</v>
      </c>
      <c r="D3748" s="201" t="s">
        <v>1956</v>
      </c>
    </row>
    <row r="3749" spans="2:4">
      <c r="B3749" s="198" t="s">
        <v>5053</v>
      </c>
      <c r="C3749" s="154" t="s">
        <v>149</v>
      </c>
      <c r="D3749" s="201" t="s">
        <v>1956</v>
      </c>
    </row>
    <row r="3750" spans="2:4">
      <c r="B3750" s="198" t="s">
        <v>5054</v>
      </c>
      <c r="C3750" s="154" t="s">
        <v>149</v>
      </c>
      <c r="D3750" s="201" t="s">
        <v>1956</v>
      </c>
    </row>
    <row r="3751" spans="2:4">
      <c r="B3751" s="198" t="s">
        <v>5069</v>
      </c>
      <c r="C3751" s="154" t="s">
        <v>1519</v>
      </c>
      <c r="D3751" s="201" t="s">
        <v>1951</v>
      </c>
    </row>
    <row r="3752" spans="2:4">
      <c r="B3752" s="198" t="s">
        <v>5055</v>
      </c>
      <c r="C3752" s="154" t="s">
        <v>5065</v>
      </c>
      <c r="D3752" s="201" t="s">
        <v>1956</v>
      </c>
    </row>
    <row r="3753" spans="2:4">
      <c r="B3753" s="198" t="s">
        <v>5056</v>
      </c>
      <c r="C3753" s="154" t="s">
        <v>1511</v>
      </c>
      <c r="D3753" s="201" t="s">
        <v>1951</v>
      </c>
    </row>
    <row r="3754" spans="2:4">
      <c r="B3754" s="198" t="s">
        <v>5057</v>
      </c>
      <c r="C3754" s="154" t="s">
        <v>3725</v>
      </c>
      <c r="D3754" s="201" t="s">
        <v>1951</v>
      </c>
    </row>
    <row r="3755" spans="2:4">
      <c r="B3755" s="198" t="s">
        <v>5058</v>
      </c>
      <c r="C3755" s="154" t="s">
        <v>5066</v>
      </c>
      <c r="D3755" s="201" t="s">
        <v>1955</v>
      </c>
    </row>
    <row r="3756" spans="2:4">
      <c r="B3756" s="198" t="s">
        <v>5059</v>
      </c>
      <c r="C3756" s="154" t="s">
        <v>2983</v>
      </c>
      <c r="D3756" s="201" t="s">
        <v>1951</v>
      </c>
    </row>
    <row r="3757" spans="2:4">
      <c r="B3757" s="198" t="s">
        <v>5060</v>
      </c>
      <c r="C3757" s="154" t="s">
        <v>1557</v>
      </c>
      <c r="D3757" s="201" t="s">
        <v>1958</v>
      </c>
    </row>
    <row r="3758" spans="2:4">
      <c r="B3758" s="198" t="s">
        <v>5061</v>
      </c>
      <c r="C3758" s="154" t="s">
        <v>5067</v>
      </c>
      <c r="D3758" s="201" t="s">
        <v>1953</v>
      </c>
    </row>
    <row r="3759" spans="2:4">
      <c r="B3759" s="198" t="s">
        <v>5062</v>
      </c>
      <c r="C3759" s="154" t="s">
        <v>1830</v>
      </c>
      <c r="D3759" s="201" t="s">
        <v>1956</v>
      </c>
    </row>
    <row r="3760" spans="2:4">
      <c r="B3760" s="198" t="s">
        <v>5063</v>
      </c>
      <c r="C3760" s="154" t="s">
        <v>1850</v>
      </c>
      <c r="D3760" s="201" t="s">
        <v>1951</v>
      </c>
    </row>
    <row r="3761" spans="2:4">
      <c r="B3761" s="198" t="s">
        <v>5064</v>
      </c>
      <c r="C3761" s="154" t="s">
        <v>5068</v>
      </c>
      <c r="D3761" s="201" t="s">
        <v>1958</v>
      </c>
    </row>
    <row r="3762" spans="2:4">
      <c r="B3762" s="198" t="s">
        <v>5050</v>
      </c>
      <c r="C3762" s="154" t="s">
        <v>3167</v>
      </c>
      <c r="D3762" s="201" t="s">
        <v>1957</v>
      </c>
    </row>
    <row r="3763" spans="2:4">
      <c r="B3763" s="198" t="s">
        <v>5071</v>
      </c>
      <c r="C3763" s="154" t="s">
        <v>1673</v>
      </c>
      <c r="D3763" s="201" t="s">
        <v>1956</v>
      </c>
    </row>
    <row r="3764" spans="2:4">
      <c r="B3764" s="198" t="s">
        <v>5072</v>
      </c>
      <c r="C3764" s="154" t="s">
        <v>150</v>
      </c>
      <c r="D3764" s="201" t="s">
        <v>1951</v>
      </c>
    </row>
    <row r="3765" spans="2:4">
      <c r="B3765" s="198" t="s">
        <v>5073</v>
      </c>
      <c r="C3765" s="154" t="s">
        <v>153</v>
      </c>
      <c r="D3765" s="201" t="s">
        <v>1951</v>
      </c>
    </row>
    <row r="3766" spans="2:4">
      <c r="B3766" s="198" t="s">
        <v>5074</v>
      </c>
      <c r="C3766" s="154" t="s">
        <v>5076</v>
      </c>
      <c r="D3766" s="201" t="s">
        <v>1958</v>
      </c>
    </row>
    <row r="3767" spans="2:4">
      <c r="B3767" s="198" t="s">
        <v>5075</v>
      </c>
      <c r="C3767" s="154" t="s">
        <v>5077</v>
      </c>
      <c r="D3767" s="201" t="s">
        <v>1958</v>
      </c>
    </row>
    <row r="3768" spans="2:4">
      <c r="B3768" s="198" t="s">
        <v>5070</v>
      </c>
      <c r="C3768" s="154" t="s">
        <v>1521</v>
      </c>
      <c r="D3768" s="201" t="s">
        <v>1951</v>
      </c>
    </row>
    <row r="3769" spans="2:4">
      <c r="B3769" s="198" t="s">
        <v>5078</v>
      </c>
      <c r="C3769" s="154" t="s">
        <v>2923</v>
      </c>
      <c r="D3769" s="201" t="s">
        <v>1951</v>
      </c>
    </row>
    <row r="3770" spans="2:4">
      <c r="B3770" s="198" t="s">
        <v>5082</v>
      </c>
      <c r="C3770" s="154" t="s">
        <v>5088</v>
      </c>
      <c r="D3770" s="201" t="s">
        <v>2220</v>
      </c>
    </row>
    <row r="3771" spans="2:4">
      <c r="B3771" s="198" t="s">
        <v>5083</v>
      </c>
      <c r="C3771" s="154" t="s">
        <v>3756</v>
      </c>
      <c r="D3771" s="201" t="s">
        <v>2216</v>
      </c>
    </row>
    <row r="3772" spans="2:4">
      <c r="B3772" s="198" t="s">
        <v>5084</v>
      </c>
      <c r="C3772" s="154" t="s">
        <v>149</v>
      </c>
      <c r="D3772" s="201" t="s">
        <v>1956</v>
      </c>
    </row>
    <row r="3773" spans="2:4">
      <c r="B3773" s="198" t="s">
        <v>5085</v>
      </c>
      <c r="C3773" s="154" t="s">
        <v>5087</v>
      </c>
      <c r="D3773" s="201" t="s">
        <v>1953</v>
      </c>
    </row>
    <row r="3774" spans="2:4">
      <c r="B3774" s="198" t="s">
        <v>5086</v>
      </c>
      <c r="C3774" s="154" t="s">
        <v>1834</v>
      </c>
      <c r="D3774" s="201" t="s">
        <v>1956</v>
      </c>
    </row>
    <row r="3775" spans="2:4">
      <c r="B3775" s="198" t="s">
        <v>5089</v>
      </c>
      <c r="C3775" s="154" t="s">
        <v>2926</v>
      </c>
      <c r="D3775" s="201" t="s">
        <v>1951</v>
      </c>
    </row>
    <row r="3776" spans="2:4">
      <c r="B3776" s="198" t="s">
        <v>5090</v>
      </c>
      <c r="C3776" s="154" t="s">
        <v>150</v>
      </c>
      <c r="D3776" s="201" t="s">
        <v>1951</v>
      </c>
    </row>
    <row r="3777" spans="2:4">
      <c r="B3777" s="198" t="s">
        <v>5091</v>
      </c>
      <c r="C3777" s="154" t="s">
        <v>1908</v>
      </c>
      <c r="D3777" s="201" t="s">
        <v>1956</v>
      </c>
    </row>
    <row r="3778" spans="2:4">
      <c r="B3778" s="198" t="s">
        <v>5092</v>
      </c>
      <c r="C3778" s="154" t="s">
        <v>5145</v>
      </c>
      <c r="D3778" s="201" t="s">
        <v>1956</v>
      </c>
    </row>
    <row r="3779" spans="2:4">
      <c r="B3779" s="198" t="s">
        <v>5093</v>
      </c>
      <c r="C3779" s="154" t="s">
        <v>1595</v>
      </c>
      <c r="D3779" s="201" t="s">
        <v>1956</v>
      </c>
    </row>
    <row r="3780" spans="2:4">
      <c r="B3780" s="198" t="s">
        <v>5094</v>
      </c>
      <c r="C3780" s="154" t="s">
        <v>5146</v>
      </c>
      <c r="D3780" s="201" t="s">
        <v>1951</v>
      </c>
    </row>
    <row r="3781" spans="2:4">
      <c r="B3781" s="198" t="s">
        <v>5095</v>
      </c>
      <c r="C3781" s="154" t="e">
        <v>#N/A</v>
      </c>
      <c r="D3781" s="201" t="e">
        <v>#N/A</v>
      </c>
    </row>
    <row r="3782" spans="2:4">
      <c r="B3782" s="198" t="s">
        <v>5096</v>
      </c>
      <c r="C3782" s="154" t="e">
        <v>#N/A</v>
      </c>
      <c r="D3782" s="201" t="e">
        <v>#N/A</v>
      </c>
    </row>
    <row r="3783" spans="2:4">
      <c r="B3783" s="198"/>
      <c r="C3783" s="154"/>
      <c r="D3783" s="201"/>
    </row>
    <row r="3784" spans="2:4">
      <c r="B3784" s="198" t="s">
        <v>5098</v>
      </c>
      <c r="C3784" s="154" t="e">
        <v>#N/A</v>
      </c>
      <c r="D3784" s="201" t="e">
        <v>#N/A</v>
      </c>
    </row>
    <row r="3785" spans="2:4">
      <c r="B3785" s="198" t="s">
        <v>5099</v>
      </c>
      <c r="C3785" s="154" t="s">
        <v>5147</v>
      </c>
      <c r="D3785" s="201" t="s">
        <v>1956</v>
      </c>
    </row>
    <row r="3786" spans="2:4">
      <c r="B3786" s="198" t="s">
        <v>5100</v>
      </c>
      <c r="C3786" s="154" t="e">
        <v>#N/A</v>
      </c>
      <c r="D3786" s="201" t="e">
        <v>#N/A</v>
      </c>
    </row>
    <row r="3787" spans="2:4">
      <c r="B3787" s="198" t="s">
        <v>5101</v>
      </c>
      <c r="C3787" s="154" t="e">
        <v>#N/A</v>
      </c>
      <c r="D3787" s="201" t="e">
        <v>#N/A</v>
      </c>
    </row>
    <row r="3788" spans="2:4">
      <c r="B3788" s="198" t="s">
        <v>5102</v>
      </c>
      <c r="C3788" s="154" t="e">
        <v>#N/A</v>
      </c>
      <c r="D3788" s="201" t="e">
        <v>#N/A</v>
      </c>
    </row>
    <row r="3789" spans="2:4">
      <c r="B3789" s="198" t="s">
        <v>5103</v>
      </c>
      <c r="C3789" s="154" t="e">
        <v>#N/A</v>
      </c>
      <c r="D3789" s="201" t="e">
        <v>#N/A</v>
      </c>
    </row>
    <row r="3790" spans="2:4">
      <c r="B3790" s="198" t="s">
        <v>5104</v>
      </c>
      <c r="C3790" s="154" t="e">
        <v>#N/A</v>
      </c>
      <c r="D3790" s="201" t="e">
        <v>#N/A</v>
      </c>
    </row>
    <row r="3791" spans="2:4">
      <c r="B3791" s="198" t="s">
        <v>5105</v>
      </c>
      <c r="C3791" s="154" t="s">
        <v>3854</v>
      </c>
      <c r="D3791" s="201" t="s">
        <v>1955</v>
      </c>
    </row>
    <row r="3792" spans="2:4">
      <c r="B3792" s="198" t="s">
        <v>5106</v>
      </c>
      <c r="C3792" s="154" t="s">
        <v>5148</v>
      </c>
      <c r="D3792" s="201" t="s">
        <v>1951</v>
      </c>
    </row>
    <row r="3793" spans="2:4">
      <c r="B3793" s="198" t="s">
        <v>5107</v>
      </c>
      <c r="C3793" s="154" t="s">
        <v>3081</v>
      </c>
      <c r="D3793" s="201" t="s">
        <v>1957</v>
      </c>
    </row>
    <row r="3794" spans="2:4">
      <c r="B3794" s="198" t="s">
        <v>5108</v>
      </c>
      <c r="C3794" s="154" t="s">
        <v>1660</v>
      </c>
      <c r="D3794" s="201" t="s">
        <v>1951</v>
      </c>
    </row>
    <row r="3795" spans="2:4">
      <c r="B3795" s="198" t="s">
        <v>5109</v>
      </c>
      <c r="C3795" s="154" t="e">
        <v>#N/A</v>
      </c>
      <c r="D3795" s="201" t="e">
        <v>#N/A</v>
      </c>
    </row>
    <row r="3796" spans="2:4">
      <c r="B3796" s="198" t="s">
        <v>5110</v>
      </c>
      <c r="C3796" s="154" t="s">
        <v>3138</v>
      </c>
      <c r="D3796" s="201" t="s">
        <v>1956</v>
      </c>
    </row>
    <row r="3797" spans="2:4">
      <c r="B3797" s="198" t="s">
        <v>5111</v>
      </c>
      <c r="C3797" s="154" t="s">
        <v>3419</v>
      </c>
      <c r="D3797" s="201" t="s">
        <v>1953</v>
      </c>
    </row>
    <row r="3798" spans="2:4">
      <c r="B3798" s="198" t="s">
        <v>5112</v>
      </c>
      <c r="C3798" s="154" t="e">
        <v>#N/A</v>
      </c>
      <c r="D3798" s="201" t="e">
        <v>#N/A</v>
      </c>
    </row>
    <row r="3799" spans="2:4">
      <c r="B3799" s="198" t="s">
        <v>5113</v>
      </c>
      <c r="C3799" s="154" t="e">
        <v>#N/A</v>
      </c>
      <c r="D3799" s="201" t="e">
        <v>#N/A</v>
      </c>
    </row>
    <row r="3800" spans="2:4">
      <c r="B3800" s="198" t="s">
        <v>5114</v>
      </c>
      <c r="C3800" s="154" t="e">
        <v>#N/A</v>
      </c>
      <c r="D3800" s="201" t="e">
        <v>#N/A</v>
      </c>
    </row>
    <row r="3801" spans="2:4">
      <c r="B3801" s="198" t="s">
        <v>5115</v>
      </c>
      <c r="C3801" s="154" t="s">
        <v>3000</v>
      </c>
      <c r="D3801" s="201" t="s">
        <v>1956</v>
      </c>
    </row>
    <row r="3802" spans="2:4">
      <c r="B3802" s="198" t="s">
        <v>5116</v>
      </c>
      <c r="C3802" s="154" t="e">
        <v>#N/A</v>
      </c>
      <c r="D3802" s="201" t="e">
        <v>#N/A</v>
      </c>
    </row>
    <row r="3803" spans="2:4">
      <c r="B3803" s="198" t="s">
        <v>5117</v>
      </c>
      <c r="C3803" s="154" t="s">
        <v>142</v>
      </c>
      <c r="D3803" s="201" t="s">
        <v>1954</v>
      </c>
    </row>
    <row r="3804" spans="2:4">
      <c r="B3804" s="198" t="s">
        <v>5118</v>
      </c>
      <c r="C3804" s="154" t="s">
        <v>5149</v>
      </c>
      <c r="D3804" s="201" t="s">
        <v>1951</v>
      </c>
    </row>
    <row r="3805" spans="2:4">
      <c r="B3805" s="198"/>
      <c r="C3805" s="154"/>
      <c r="D3805" s="201"/>
    </row>
    <row r="3806" spans="2:4">
      <c r="B3806" s="198" t="s">
        <v>5119</v>
      </c>
      <c r="C3806" s="154" t="s">
        <v>5150</v>
      </c>
      <c r="D3806" s="201" t="s">
        <v>1956</v>
      </c>
    </row>
    <row r="3807" spans="2:4">
      <c r="B3807" s="198" t="s">
        <v>5120</v>
      </c>
      <c r="C3807" s="154" t="s">
        <v>5151</v>
      </c>
      <c r="D3807" s="201" t="s">
        <v>1956</v>
      </c>
    </row>
    <row r="3808" spans="2:4">
      <c r="B3808" s="198" t="s">
        <v>5121</v>
      </c>
      <c r="C3808" s="154" t="s">
        <v>5152</v>
      </c>
      <c r="D3808" s="201" t="s">
        <v>1951</v>
      </c>
    </row>
    <row r="3809" spans="2:4">
      <c r="B3809" s="198" t="s">
        <v>5122</v>
      </c>
      <c r="C3809" s="154" t="s">
        <v>1844</v>
      </c>
      <c r="D3809" s="201" t="s">
        <v>1955</v>
      </c>
    </row>
    <row r="3810" spans="2:4">
      <c r="B3810" s="198" t="s">
        <v>5123</v>
      </c>
      <c r="C3810" s="154" t="s">
        <v>3598</v>
      </c>
      <c r="D3810" s="201" t="s">
        <v>1951</v>
      </c>
    </row>
    <row r="3811" spans="2:4">
      <c r="B3811" s="198" t="s">
        <v>5124</v>
      </c>
      <c r="C3811" s="154" t="e">
        <v>#N/A</v>
      </c>
      <c r="D3811" s="201" t="e">
        <v>#N/A</v>
      </c>
    </row>
    <row r="3812" spans="2:4">
      <c r="B3812" s="198" t="s">
        <v>5125</v>
      </c>
      <c r="C3812" s="154" t="s">
        <v>1644</v>
      </c>
      <c r="D3812" s="201" t="s">
        <v>1959</v>
      </c>
    </row>
    <row r="3813" spans="2:4">
      <c r="B3813" s="198" t="s">
        <v>5126</v>
      </c>
      <c r="C3813" s="154" t="e">
        <v>#N/A</v>
      </c>
      <c r="D3813" s="201" t="e">
        <v>#N/A</v>
      </c>
    </row>
    <row r="3814" spans="2:4">
      <c r="B3814" s="198" t="s">
        <v>5127</v>
      </c>
      <c r="C3814" s="154" t="s">
        <v>5153</v>
      </c>
      <c r="D3814" s="201" t="s">
        <v>1956</v>
      </c>
    </row>
    <row r="3815" spans="2:4">
      <c r="B3815" s="198" t="s">
        <v>5128</v>
      </c>
      <c r="C3815" s="154" t="s">
        <v>3598</v>
      </c>
      <c r="D3815" s="201" t="s">
        <v>1951</v>
      </c>
    </row>
    <row r="3816" spans="2:4">
      <c r="B3816" s="198"/>
      <c r="C3816" s="154"/>
      <c r="D3816" s="201"/>
    </row>
    <row r="3817" spans="2:4">
      <c r="B3817" s="198" t="s">
        <v>5129</v>
      </c>
      <c r="C3817" s="154" t="e">
        <v>#N/A</v>
      </c>
      <c r="D3817" s="201" t="e">
        <v>#N/A</v>
      </c>
    </row>
    <row r="3818" spans="2:4">
      <c r="B3818" s="198" t="s">
        <v>5130</v>
      </c>
      <c r="C3818" s="154" t="e">
        <v>#N/A</v>
      </c>
      <c r="D3818" s="201" t="e">
        <v>#N/A</v>
      </c>
    </row>
    <row r="3819" spans="2:4">
      <c r="B3819" s="198"/>
      <c r="C3819" s="154"/>
      <c r="D3819" s="201"/>
    </row>
    <row r="3820" spans="2:4">
      <c r="B3820" s="198" t="s">
        <v>5132</v>
      </c>
      <c r="C3820" s="154" t="e">
        <v>#N/A</v>
      </c>
      <c r="D3820" s="201" t="e">
        <v>#N/A</v>
      </c>
    </row>
    <row r="3821" spans="2:4">
      <c r="B3821" s="198" t="s">
        <v>5133</v>
      </c>
      <c r="C3821" s="154" t="e">
        <v>#N/A</v>
      </c>
      <c r="D3821" s="201" t="e">
        <v>#N/A</v>
      </c>
    </row>
    <row r="3822" spans="2:4">
      <c r="B3822" s="198" t="s">
        <v>5134</v>
      </c>
      <c r="C3822" s="154" t="s">
        <v>5154</v>
      </c>
      <c r="D3822" s="201" t="s">
        <v>1954</v>
      </c>
    </row>
    <row r="3823" spans="2:4">
      <c r="B3823" s="198" t="s">
        <v>5135</v>
      </c>
      <c r="C3823" s="154" t="s">
        <v>3315</v>
      </c>
      <c r="D3823" s="201" t="s">
        <v>1954</v>
      </c>
    </row>
    <row r="3824" spans="2:4">
      <c r="B3824" s="198"/>
      <c r="C3824" s="154"/>
      <c r="D3824" s="201"/>
    </row>
    <row r="3825" spans="2:4">
      <c r="B3825" s="198" t="s">
        <v>5136</v>
      </c>
      <c r="C3825" s="154" t="e">
        <v>#N/A</v>
      </c>
      <c r="D3825" s="201" t="e">
        <v>#N/A</v>
      </c>
    </row>
    <row r="3826" spans="2:4">
      <c r="B3826" s="198" t="s">
        <v>5137</v>
      </c>
      <c r="C3826" s="154" t="s">
        <v>1736</v>
      </c>
      <c r="D3826" s="201" t="s">
        <v>1953</v>
      </c>
    </row>
    <row r="3827" spans="2:4">
      <c r="B3827" s="198" t="s">
        <v>5138</v>
      </c>
      <c r="C3827" s="154" t="e">
        <v>#N/A</v>
      </c>
      <c r="D3827" s="201" t="e">
        <v>#N/A</v>
      </c>
    </row>
    <row r="3828" spans="2:4">
      <c r="B3828" s="198" t="s">
        <v>5139</v>
      </c>
      <c r="C3828" s="154" t="s">
        <v>1627</v>
      </c>
      <c r="D3828" s="201" t="s">
        <v>1958</v>
      </c>
    </row>
    <row r="3829" spans="2:4">
      <c r="B3829" s="198" t="s">
        <v>5140</v>
      </c>
      <c r="C3829" s="154" t="s">
        <v>149</v>
      </c>
      <c r="D3829" s="201" t="s">
        <v>1956</v>
      </c>
    </row>
    <row r="3830" spans="2:4">
      <c r="B3830" s="198" t="s">
        <v>5141</v>
      </c>
      <c r="C3830" s="154" t="s">
        <v>5155</v>
      </c>
      <c r="D3830" s="201" t="s">
        <v>1958</v>
      </c>
    </row>
    <row r="3831" spans="2:4">
      <c r="B3831" s="198" t="s">
        <v>5142</v>
      </c>
      <c r="C3831" s="154" t="s">
        <v>5156</v>
      </c>
      <c r="D3831" s="201" t="s">
        <v>1956</v>
      </c>
    </row>
    <row r="3832" spans="2:4">
      <c r="B3832" s="198" t="s">
        <v>5143</v>
      </c>
      <c r="C3832" s="154" t="s">
        <v>1602</v>
      </c>
      <c r="D3832" s="201" t="s">
        <v>1951</v>
      </c>
    </row>
    <row r="3833" spans="2:4">
      <c r="B3833" s="198" t="s">
        <v>5144</v>
      </c>
      <c r="C3833" s="154" t="s">
        <v>1532</v>
      </c>
      <c r="D3833" s="201" t="s">
        <v>1958</v>
      </c>
    </row>
    <row r="3834" spans="2:4">
      <c r="B3834" s="198" t="s">
        <v>5176</v>
      </c>
      <c r="C3834" s="154" t="s">
        <v>5192</v>
      </c>
      <c r="D3834" s="201" t="s">
        <v>1954</v>
      </c>
    </row>
    <row r="3835" spans="2:4">
      <c r="B3835" s="198" t="s">
        <v>5177</v>
      </c>
      <c r="C3835" s="154" t="s">
        <v>150</v>
      </c>
      <c r="D3835" s="201" t="s">
        <v>1951</v>
      </c>
    </row>
    <row r="3836" spans="2:4">
      <c r="B3836" s="198"/>
      <c r="C3836" s="154"/>
      <c r="D3836" s="201"/>
    </row>
    <row r="3837" spans="2:4">
      <c r="B3837" s="198" t="s">
        <v>5179</v>
      </c>
      <c r="C3837" s="154" t="e">
        <v>#N/A</v>
      </c>
      <c r="D3837" s="201" t="e">
        <v>#N/A</v>
      </c>
    </row>
    <row r="3838" spans="2:4">
      <c r="B3838" s="198" t="s">
        <v>5180</v>
      </c>
      <c r="C3838" s="154" t="s">
        <v>1786</v>
      </c>
      <c r="D3838" s="201" t="s">
        <v>1951</v>
      </c>
    </row>
    <row r="3839" spans="2:4">
      <c r="B3839" s="198" t="s">
        <v>5181</v>
      </c>
      <c r="C3839" s="154" t="s">
        <v>1517</v>
      </c>
      <c r="D3839" s="201" t="s">
        <v>1956</v>
      </c>
    </row>
    <row r="3840" spans="2:4">
      <c r="B3840" s="198" t="s">
        <v>5182</v>
      </c>
      <c r="C3840" s="154" t="e">
        <v>#N/A</v>
      </c>
      <c r="D3840" s="201" t="e">
        <v>#N/A</v>
      </c>
    </row>
    <row r="3841" spans="2:4">
      <c r="B3841" s="198" t="s">
        <v>5183</v>
      </c>
      <c r="C3841" s="154" t="s">
        <v>1682</v>
      </c>
      <c r="D3841" s="201" t="s">
        <v>1951</v>
      </c>
    </row>
    <row r="3842" spans="2:4">
      <c r="B3842" s="198" t="s">
        <v>5184</v>
      </c>
      <c r="C3842" s="154" t="s">
        <v>5193</v>
      </c>
      <c r="D3842" s="201" t="s">
        <v>1955</v>
      </c>
    </row>
    <row r="3843" spans="2:4">
      <c r="B3843" s="198" t="s">
        <v>5185</v>
      </c>
      <c r="C3843" s="154" t="s">
        <v>5194</v>
      </c>
      <c r="D3843" s="201" t="s">
        <v>1953</v>
      </c>
    </row>
    <row r="3844" spans="2:4">
      <c r="B3844" s="198"/>
      <c r="C3844" s="154"/>
      <c r="D3844" s="201"/>
    </row>
    <row r="3845" spans="2:4">
      <c r="B3845" s="198"/>
      <c r="C3845" s="154"/>
      <c r="D3845" s="201"/>
    </row>
    <row r="3846" spans="2:4">
      <c r="B3846" s="198" t="s">
        <v>5188</v>
      </c>
      <c r="C3846" s="154" t="s">
        <v>1910</v>
      </c>
      <c r="D3846" s="201" t="s">
        <v>1956</v>
      </c>
    </row>
    <row r="3847" spans="2:4">
      <c r="B3847" s="198" t="s">
        <v>5189</v>
      </c>
      <c r="C3847" s="154" t="s">
        <v>5195</v>
      </c>
      <c r="D3847" s="201" t="s">
        <v>1956</v>
      </c>
    </row>
    <row r="3848" spans="2:4">
      <c r="B3848" s="198"/>
      <c r="C3848" s="154"/>
      <c r="D3848" s="201"/>
    </row>
    <row r="3849" spans="2:4">
      <c r="B3849" s="198" t="s">
        <v>5191</v>
      </c>
      <c r="C3849" s="154" t="s">
        <v>142</v>
      </c>
      <c r="D3849" s="201" t="s">
        <v>1954</v>
      </c>
    </row>
    <row r="3850" spans="2:4">
      <c r="B3850" s="198" t="s">
        <v>5196</v>
      </c>
      <c r="C3850" s="154" t="s">
        <v>3167</v>
      </c>
      <c r="D3850" s="201" t="s">
        <v>1957</v>
      </c>
    </row>
    <row r="3851" spans="2:4">
      <c r="B3851" s="198" t="s">
        <v>5197</v>
      </c>
      <c r="C3851" s="154" t="s">
        <v>3547</v>
      </c>
      <c r="D3851" s="201" t="s">
        <v>2220</v>
      </c>
    </row>
    <row r="3852" spans="2:4">
      <c r="B3852" s="198" t="s">
        <v>5198</v>
      </c>
      <c r="C3852" s="154" t="s">
        <v>3167</v>
      </c>
      <c r="D3852" s="201" t="s">
        <v>1957</v>
      </c>
    </row>
    <row r="3853" spans="2:4">
      <c r="B3853" s="198" t="s">
        <v>5199</v>
      </c>
      <c r="C3853" s="154" t="s">
        <v>3167</v>
      </c>
      <c r="D3853" s="201" t="s">
        <v>1957</v>
      </c>
    </row>
    <row r="3854" spans="2:4">
      <c r="B3854" s="198" t="s">
        <v>5200</v>
      </c>
      <c r="C3854" s="154" t="s">
        <v>3167</v>
      </c>
      <c r="D3854" s="201" t="s">
        <v>1957</v>
      </c>
    </row>
    <row r="3855" spans="2:4">
      <c r="B3855" s="198" t="s">
        <v>5201</v>
      </c>
      <c r="C3855" s="154" t="s">
        <v>3465</v>
      </c>
      <c r="D3855" s="201" t="s">
        <v>1951</v>
      </c>
    </row>
    <row r="3856" spans="2:4">
      <c r="B3856" s="198" t="s">
        <v>5202</v>
      </c>
      <c r="C3856" s="154" t="s">
        <v>3167</v>
      </c>
      <c r="D3856" s="201" t="s">
        <v>1957</v>
      </c>
    </row>
    <row r="3857" spans="2:4">
      <c r="B3857" s="198" t="s">
        <v>5203</v>
      </c>
      <c r="C3857" s="154" t="s">
        <v>3167</v>
      </c>
      <c r="D3857" s="201" t="s">
        <v>1957</v>
      </c>
    </row>
    <row r="3858" spans="2:4">
      <c r="B3858" s="198" t="s">
        <v>5204</v>
      </c>
      <c r="C3858" s="154" t="s">
        <v>5221</v>
      </c>
      <c r="D3858" s="201" t="s">
        <v>1951</v>
      </c>
    </row>
    <row r="3859" spans="2:4">
      <c r="B3859" s="198" t="s">
        <v>5205</v>
      </c>
      <c r="C3859" s="154" t="s">
        <v>5225</v>
      </c>
      <c r="D3859" s="201" t="s">
        <v>1959</v>
      </c>
    </row>
    <row r="3860" spans="2:4">
      <c r="B3860" s="198" t="s">
        <v>5206</v>
      </c>
      <c r="C3860" s="154" t="s">
        <v>5226</v>
      </c>
      <c r="D3860" s="201" t="s">
        <v>2220</v>
      </c>
    </row>
    <row r="3861" spans="2:4">
      <c r="B3861" s="198" t="s">
        <v>5207</v>
      </c>
      <c r="C3861" s="154" t="s">
        <v>5222</v>
      </c>
      <c r="D3861" s="201" t="s">
        <v>1951</v>
      </c>
    </row>
    <row r="3862" spans="2:4">
      <c r="B3862" s="198" t="s">
        <v>5208</v>
      </c>
      <c r="C3862" s="154" t="s">
        <v>1581</v>
      </c>
      <c r="D3862" s="201" t="s">
        <v>1955</v>
      </c>
    </row>
    <row r="3863" spans="2:4">
      <c r="B3863" s="198" t="s">
        <v>5209</v>
      </c>
      <c r="C3863" s="154" t="s">
        <v>5227</v>
      </c>
      <c r="D3863" s="201" t="s">
        <v>1959</v>
      </c>
    </row>
    <row r="3864" spans="2:4">
      <c r="B3864" s="198" t="s">
        <v>5210</v>
      </c>
      <c r="C3864" s="154" t="s">
        <v>3871</v>
      </c>
      <c r="D3864" s="201" t="s">
        <v>1956</v>
      </c>
    </row>
    <row r="3865" spans="2:4">
      <c r="B3865" s="198" t="s">
        <v>5211</v>
      </c>
      <c r="C3865" s="154" t="s">
        <v>5228</v>
      </c>
      <c r="D3865" s="201" t="s">
        <v>2220</v>
      </c>
    </row>
    <row r="3866" spans="2:4">
      <c r="B3866" s="198" t="s">
        <v>5212</v>
      </c>
      <c r="C3866" s="154" t="s">
        <v>5229</v>
      </c>
      <c r="D3866" s="201" t="s">
        <v>2220</v>
      </c>
    </row>
    <row r="3867" spans="2:4">
      <c r="B3867" s="198"/>
      <c r="C3867" s="154"/>
      <c r="D3867" s="201"/>
    </row>
    <row r="3868" spans="2:4">
      <c r="B3868" s="198" t="s">
        <v>5214</v>
      </c>
      <c r="C3868" s="154" t="s">
        <v>5230</v>
      </c>
      <c r="D3868" s="201" t="s">
        <v>1959</v>
      </c>
    </row>
    <row r="3869" spans="2:4">
      <c r="B3869" s="198" t="s">
        <v>5215</v>
      </c>
      <c r="C3869" s="154" t="s">
        <v>5231</v>
      </c>
      <c r="D3869" s="201" t="s">
        <v>2220</v>
      </c>
    </row>
    <row r="3870" spans="2:4">
      <c r="B3870" s="198" t="s">
        <v>5216</v>
      </c>
      <c r="C3870" s="154" t="s">
        <v>5230</v>
      </c>
      <c r="D3870" s="201" t="s">
        <v>1959</v>
      </c>
    </row>
    <row r="3871" spans="2:4">
      <c r="B3871" s="198" t="s">
        <v>5217</v>
      </c>
      <c r="C3871" s="154" t="s">
        <v>5223</v>
      </c>
      <c r="D3871" s="201" t="s">
        <v>1955</v>
      </c>
    </row>
    <row r="3872" spans="2:4">
      <c r="B3872" s="198" t="s">
        <v>5218</v>
      </c>
      <c r="C3872" s="154" t="s">
        <v>5224</v>
      </c>
      <c r="D3872" s="201" t="s">
        <v>1953</v>
      </c>
    </row>
    <row r="3873" spans="2:4">
      <c r="B3873" s="198" t="s">
        <v>5219</v>
      </c>
      <c r="C3873" s="154" t="s">
        <v>5232</v>
      </c>
      <c r="D3873" s="201" t="s">
        <v>1959</v>
      </c>
    </row>
    <row r="3874" spans="2:4">
      <c r="B3874" s="198" t="s">
        <v>5220</v>
      </c>
      <c r="C3874" s="154" t="s">
        <v>3547</v>
      </c>
      <c r="D3874" s="201" t="s">
        <v>2220</v>
      </c>
    </row>
    <row r="3875" spans="2:4">
      <c r="B3875" s="198" t="s">
        <v>5233</v>
      </c>
      <c r="C3875" s="154" t="s">
        <v>5234</v>
      </c>
      <c r="D3875" s="201" t="s">
        <v>1954</v>
      </c>
    </row>
    <row r="3876" spans="2:4">
      <c r="B3876" s="198" t="s">
        <v>5235</v>
      </c>
      <c r="C3876" s="154" t="s">
        <v>5239</v>
      </c>
      <c r="D3876" s="201" t="s">
        <v>1956</v>
      </c>
    </row>
    <row r="3877" spans="2:4">
      <c r="B3877" s="198" t="s">
        <v>5236</v>
      </c>
      <c r="C3877" s="154" t="s">
        <v>142</v>
      </c>
      <c r="D3877" s="201" t="s">
        <v>1954</v>
      </c>
    </row>
    <row r="3878" spans="2:4">
      <c r="B3878" s="198" t="s">
        <v>5237</v>
      </c>
      <c r="C3878" s="154" t="s">
        <v>5240</v>
      </c>
      <c r="D3878" s="201" t="s">
        <v>1956</v>
      </c>
    </row>
    <row r="3879" spans="2:4">
      <c r="B3879" s="198" t="s">
        <v>5238</v>
      </c>
      <c r="C3879" s="154" t="s">
        <v>3598</v>
      </c>
      <c r="D3879" s="201" t="s">
        <v>1951</v>
      </c>
    </row>
    <row r="3880" spans="2:4">
      <c r="B3880" s="198" t="s">
        <v>5241</v>
      </c>
      <c r="C3880" s="154" t="s">
        <v>3419</v>
      </c>
      <c r="D3880" s="201" t="s">
        <v>1953</v>
      </c>
    </row>
    <row r="3881" spans="2:4">
      <c r="B3881" s="198" t="s">
        <v>5242</v>
      </c>
      <c r="C3881" s="154" t="s">
        <v>1517</v>
      </c>
      <c r="D3881" s="201" t="s">
        <v>1956</v>
      </c>
    </row>
    <row r="3882" spans="2:4">
      <c r="B3882" s="198" t="s">
        <v>5243</v>
      </c>
      <c r="C3882" s="154" t="s">
        <v>3065</v>
      </c>
      <c r="D3882" s="201" t="s">
        <v>1958</v>
      </c>
    </row>
    <row r="3883" spans="2:4">
      <c r="B3883" s="198" t="s">
        <v>5244</v>
      </c>
      <c r="C3883" s="154" t="s">
        <v>1549</v>
      </c>
      <c r="D3883" s="201" t="s">
        <v>1958</v>
      </c>
    </row>
    <row r="3884" spans="2:4">
      <c r="B3884" s="198" t="s">
        <v>5245</v>
      </c>
      <c r="C3884" s="154"/>
      <c r="D3884" s="201"/>
    </row>
    <row r="3885" spans="2:4">
      <c r="B3885" s="198" t="s">
        <v>5246</v>
      </c>
      <c r="C3885" s="154"/>
      <c r="D3885" s="201"/>
    </row>
    <row r="3886" spans="2:4">
      <c r="B3886" s="198" t="s">
        <v>5247</v>
      </c>
      <c r="C3886" s="154"/>
      <c r="D3886" s="201"/>
    </row>
    <row r="3887" spans="2:4">
      <c r="B3887" s="198"/>
      <c r="C3887" s="154"/>
      <c r="D3887" s="201"/>
    </row>
    <row r="3888" spans="2:4">
      <c r="B3888" s="198" t="s">
        <v>5249</v>
      </c>
      <c r="C3888" s="154"/>
      <c r="D3888" s="201"/>
    </row>
    <row r="3889" spans="2:4">
      <c r="B3889" s="198" t="s">
        <v>5250</v>
      </c>
      <c r="C3889" s="154"/>
      <c r="D3889" s="201"/>
    </row>
    <row r="3890" spans="2:4">
      <c r="B3890" s="198" t="s">
        <v>5251</v>
      </c>
      <c r="C3890" s="154"/>
      <c r="D3890" s="201"/>
    </row>
    <row r="3891" spans="2:4">
      <c r="B3891" s="198" t="s">
        <v>5252</v>
      </c>
      <c r="C3891" s="154"/>
      <c r="D3891" s="201"/>
    </row>
    <row r="3892" spans="2:4">
      <c r="B3892" s="198" t="s">
        <v>5253</v>
      </c>
      <c r="C3892" s="154"/>
      <c r="D3892" s="201"/>
    </row>
    <row r="3893" spans="2:4">
      <c r="B3893" s="198" t="s">
        <v>5254</v>
      </c>
      <c r="C3893" s="154"/>
      <c r="D3893" s="201"/>
    </row>
    <row r="3894" spans="2:4">
      <c r="B3894" s="198"/>
      <c r="C3894" s="154"/>
      <c r="D3894" s="201"/>
    </row>
    <row r="3895" spans="2:4">
      <c r="B3895" s="198" t="s">
        <v>5256</v>
      </c>
      <c r="C3895" s="154"/>
      <c r="D3895" s="201"/>
    </row>
    <row r="3896" spans="2:4">
      <c r="B3896" s="198" t="s">
        <v>5257</v>
      </c>
      <c r="C3896" s="154"/>
      <c r="D3896" s="201"/>
    </row>
    <row r="3897" spans="2:4">
      <c r="B3897" s="198" t="s">
        <v>5258</v>
      </c>
      <c r="C3897" s="154"/>
      <c r="D3897" s="201"/>
    </row>
    <row r="3898" spans="2:4">
      <c r="B3898" s="198"/>
      <c r="C3898" s="154"/>
      <c r="D3898" s="201"/>
    </row>
    <row r="3899" spans="2:4">
      <c r="B3899" s="198" t="s">
        <v>5260</v>
      </c>
      <c r="C3899" s="154"/>
      <c r="D3899" s="201"/>
    </row>
    <row r="3900" spans="2:4">
      <c r="B3900" s="198" t="s">
        <v>5261</v>
      </c>
      <c r="C3900" s="154"/>
      <c r="D3900" s="201"/>
    </row>
    <row r="3901" spans="2:4">
      <c r="B3901" s="198" t="s">
        <v>5262</v>
      </c>
      <c r="C3901" s="154"/>
      <c r="D3901" s="201"/>
    </row>
    <row r="3902" spans="2:4">
      <c r="B3902" s="198" t="s">
        <v>5263</v>
      </c>
      <c r="C3902" s="154"/>
      <c r="D3902" s="201"/>
    </row>
    <row r="3903" spans="2:4">
      <c r="B3903" s="198"/>
      <c r="C3903" s="154"/>
      <c r="D3903" s="201"/>
    </row>
    <row r="3904" spans="2:4">
      <c r="B3904" s="198" t="s">
        <v>5265</v>
      </c>
      <c r="C3904" s="154"/>
      <c r="D3904" s="201"/>
    </row>
    <row r="3905" spans="2:4">
      <c r="B3905" s="198" t="s">
        <v>5266</v>
      </c>
      <c r="C3905" s="154"/>
      <c r="D3905" s="201"/>
    </row>
    <row r="3906" spans="2:4">
      <c r="B3906" s="198"/>
      <c r="C3906" s="154"/>
      <c r="D3906" s="201"/>
    </row>
    <row r="3907" spans="2:4">
      <c r="B3907" s="198" t="s">
        <v>5268</v>
      </c>
      <c r="C3907" s="154" t="s">
        <v>1517</v>
      </c>
      <c r="D3907" s="201" t="s">
        <v>1956</v>
      </c>
    </row>
    <row r="3908" spans="2:4">
      <c r="B3908" s="198"/>
      <c r="C3908" s="154"/>
      <c r="D3908" s="201"/>
    </row>
    <row r="3909" spans="2:4">
      <c r="B3909" s="198" t="s">
        <v>5270</v>
      </c>
      <c r="C3909" s="154" t="s">
        <v>1653</v>
      </c>
      <c r="D3909" s="201" t="s">
        <v>1958</v>
      </c>
    </row>
    <row r="3910" spans="2:4">
      <c r="B3910" s="198" t="s">
        <v>5271</v>
      </c>
      <c r="C3910" s="154" t="s">
        <v>5273</v>
      </c>
      <c r="D3910" s="201" t="s">
        <v>1958</v>
      </c>
    </row>
    <row r="3911" spans="2:4">
      <c r="B3911" s="198" t="s">
        <v>5272</v>
      </c>
      <c r="C3911" s="154" t="s">
        <v>5274</v>
      </c>
      <c r="D3911" s="201" t="s">
        <v>1958</v>
      </c>
    </row>
    <row r="3912" spans="2:4">
      <c r="B3912" s="198" t="s">
        <v>5275</v>
      </c>
      <c r="C3912" s="154" t="s">
        <v>5279</v>
      </c>
      <c r="D3912" s="201" t="s">
        <v>1958</v>
      </c>
    </row>
    <row r="3913" spans="2:4">
      <c r="B3913" s="198" t="s">
        <v>5276</v>
      </c>
      <c r="C3913" s="154" t="s">
        <v>5280</v>
      </c>
      <c r="D3913" s="201" t="s">
        <v>1956</v>
      </c>
    </row>
    <row r="3914" spans="2:4">
      <c r="B3914" s="198" t="s">
        <v>5277</v>
      </c>
      <c r="C3914" s="154" t="s">
        <v>2933</v>
      </c>
      <c r="D3914" s="201" t="s">
        <v>1958</v>
      </c>
    </row>
    <row r="3915" spans="2:4">
      <c r="B3915" s="198" t="s">
        <v>5278</v>
      </c>
      <c r="C3915" s="154" t="s">
        <v>5281</v>
      </c>
      <c r="D3915" s="201" t="s">
        <v>1958</v>
      </c>
    </row>
    <row r="3916" spans="2:4">
      <c r="B3916" s="198" t="s">
        <v>5282</v>
      </c>
      <c r="C3916" s="154" t="s">
        <v>150</v>
      </c>
      <c r="D3916" s="201" t="s">
        <v>1951</v>
      </c>
    </row>
    <row r="3917" spans="2:4">
      <c r="B3917" s="122" t="s">
        <v>5283</v>
      </c>
      <c r="C3917" s="154" t="s">
        <v>3315</v>
      </c>
      <c r="D3917" s="201" t="s">
        <v>1954</v>
      </c>
    </row>
    <row r="3918" spans="2:4">
      <c r="B3918" s="198" t="s">
        <v>5284</v>
      </c>
      <c r="C3918" s="154" t="s">
        <v>5306</v>
      </c>
      <c r="D3918" s="201" t="s">
        <v>1955</v>
      </c>
    </row>
    <row r="3919" spans="2:4">
      <c r="B3919" s="198" t="s">
        <v>5285</v>
      </c>
      <c r="C3919" s="154" t="s">
        <v>3315</v>
      </c>
      <c r="D3919" s="201" t="s">
        <v>1954</v>
      </c>
    </row>
    <row r="3920" spans="2:4">
      <c r="B3920" s="198" t="s">
        <v>5286</v>
      </c>
      <c r="C3920" s="154" t="s">
        <v>3315</v>
      </c>
      <c r="D3920" s="201" t="s">
        <v>1954</v>
      </c>
    </row>
    <row r="3921" spans="2:4">
      <c r="B3921" s="198" t="s">
        <v>5287</v>
      </c>
      <c r="C3921" s="154" t="s">
        <v>152</v>
      </c>
      <c r="D3921" s="201" t="s">
        <v>1952</v>
      </c>
    </row>
    <row r="3922" spans="2:4">
      <c r="B3922" s="198" t="s">
        <v>5288</v>
      </c>
      <c r="C3922" s="154" t="s">
        <v>5307</v>
      </c>
      <c r="D3922" s="201" t="s">
        <v>1958</v>
      </c>
    </row>
    <row r="3923" spans="2:4">
      <c r="B3923" s="198" t="s">
        <v>5289</v>
      </c>
      <c r="C3923" s="154" t="s">
        <v>5302</v>
      </c>
      <c r="D3923" s="201" t="s">
        <v>1956</v>
      </c>
    </row>
    <row r="3924" spans="2:4">
      <c r="B3924" s="198" t="s">
        <v>5290</v>
      </c>
      <c r="C3924" s="154" t="s">
        <v>5307</v>
      </c>
      <c r="D3924" s="201" t="s">
        <v>1958</v>
      </c>
    </row>
    <row r="3925" spans="2:4">
      <c r="B3925" s="198" t="s">
        <v>5291</v>
      </c>
      <c r="C3925" s="154" t="s">
        <v>5308</v>
      </c>
      <c r="D3925" s="201" t="s">
        <v>1958</v>
      </c>
    </row>
    <row r="3926" spans="2:4">
      <c r="B3926" s="198" t="s">
        <v>5292</v>
      </c>
      <c r="C3926" s="154" t="s">
        <v>5303</v>
      </c>
      <c r="D3926" s="201" t="s">
        <v>1955</v>
      </c>
    </row>
    <row r="3927" spans="2:4">
      <c r="B3927" s="198" t="s">
        <v>5293</v>
      </c>
      <c r="C3927" s="154" t="s">
        <v>3598</v>
      </c>
      <c r="D3927" s="201" t="s">
        <v>1951</v>
      </c>
    </row>
    <row r="3928" spans="2:4">
      <c r="B3928" s="198" t="s">
        <v>5294</v>
      </c>
      <c r="C3928" s="154" t="s">
        <v>5304</v>
      </c>
      <c r="D3928" s="201" t="s">
        <v>1951</v>
      </c>
    </row>
    <row r="3929" spans="2:4">
      <c r="B3929" s="198" t="s">
        <v>5295</v>
      </c>
      <c r="C3929" s="154" t="s">
        <v>5221</v>
      </c>
      <c r="D3929" s="201" t="s">
        <v>1951</v>
      </c>
    </row>
    <row r="3930" spans="2:4">
      <c r="B3930" s="198" t="s">
        <v>5296</v>
      </c>
      <c r="C3930" s="154" t="s">
        <v>5305</v>
      </c>
      <c r="D3930" s="201" t="s">
        <v>1956</v>
      </c>
    </row>
    <row r="3931" spans="2:4">
      <c r="B3931" s="198" t="s">
        <v>5297</v>
      </c>
      <c r="C3931" s="154" t="s">
        <v>152</v>
      </c>
      <c r="D3931" s="201" t="s">
        <v>1952</v>
      </c>
    </row>
    <row r="3932" spans="2:4">
      <c r="B3932" s="198" t="s">
        <v>5298</v>
      </c>
      <c r="C3932" s="154" t="s">
        <v>1639</v>
      </c>
      <c r="D3932" s="201" t="s">
        <v>1956</v>
      </c>
    </row>
    <row r="3933" spans="2:4">
      <c r="B3933" s="198" t="s">
        <v>5299</v>
      </c>
      <c r="C3933" s="154" t="s">
        <v>1850</v>
      </c>
      <c r="D3933" s="201" t="s">
        <v>1951</v>
      </c>
    </row>
    <row r="3934" spans="2:4">
      <c r="B3934" s="198" t="s">
        <v>5300</v>
      </c>
      <c r="C3934" s="154" t="s">
        <v>3419</v>
      </c>
      <c r="D3934" s="201" t="s">
        <v>1953</v>
      </c>
    </row>
    <row r="3935" spans="2:4">
      <c r="B3935" s="198" t="s">
        <v>5301</v>
      </c>
      <c r="C3935" s="154" t="s">
        <v>3167</v>
      </c>
      <c r="D3935" s="201" t="s">
        <v>1957</v>
      </c>
    </row>
    <row r="3936" spans="2:4">
      <c r="B3936" s="198" t="s">
        <v>5309</v>
      </c>
      <c r="C3936" s="154" t="s">
        <v>1644</v>
      </c>
      <c r="D3936" s="201" t="s">
        <v>1959</v>
      </c>
    </row>
    <row r="3937" spans="2:4">
      <c r="B3937" s="198" t="s">
        <v>5310</v>
      </c>
      <c r="C3937" s="154" t="s">
        <v>150</v>
      </c>
      <c r="D3937" s="201" t="s">
        <v>1951</v>
      </c>
    </row>
    <row r="3938" spans="2:4">
      <c r="B3938" s="198" t="s">
        <v>5311</v>
      </c>
      <c r="C3938" s="154" t="s">
        <v>1517</v>
      </c>
      <c r="D3938" s="201" t="s">
        <v>1956</v>
      </c>
    </row>
    <row r="3939" spans="2:4">
      <c r="B3939" s="198" t="s">
        <v>5312</v>
      </c>
      <c r="C3939" s="154" t="s">
        <v>3081</v>
      </c>
      <c r="D3939" s="201" t="s">
        <v>1957</v>
      </c>
    </row>
    <row r="3940" spans="2:4">
      <c r="B3940" s="198" t="s">
        <v>5313</v>
      </c>
      <c r="C3940" s="154" t="s">
        <v>1532</v>
      </c>
      <c r="D3940" s="201" t="s">
        <v>1958</v>
      </c>
    </row>
    <row r="3941" spans="2:4">
      <c r="B3941" s="198" t="s">
        <v>5314</v>
      </c>
      <c r="C3941" s="154" t="s">
        <v>1623</v>
      </c>
      <c r="D3941" s="201" t="s">
        <v>1958</v>
      </c>
    </row>
    <row r="3942" spans="2:4">
      <c r="B3942" s="198" t="s">
        <v>5315</v>
      </c>
      <c r="C3942" s="154" t="s">
        <v>1565</v>
      </c>
      <c r="D3942" s="201" t="s">
        <v>1958</v>
      </c>
    </row>
    <row r="3943" spans="2:4">
      <c r="B3943" s="198" t="s">
        <v>5316</v>
      </c>
      <c r="C3943" s="154" t="s">
        <v>3449</v>
      </c>
      <c r="D3943" s="201" t="s">
        <v>1959</v>
      </c>
    </row>
    <row r="3944" spans="2:4">
      <c r="B3944" s="198" t="s">
        <v>5317</v>
      </c>
      <c r="C3944" s="154" t="s">
        <v>1712</v>
      </c>
      <c r="D3944" s="201" t="s">
        <v>1956</v>
      </c>
    </row>
    <row r="3945" spans="2:4">
      <c r="B3945" s="198" t="s">
        <v>5318</v>
      </c>
      <c r="C3945" s="154" t="s">
        <v>1516</v>
      </c>
      <c r="D3945" s="201" t="s">
        <v>1955</v>
      </c>
    </row>
    <row r="3946" spans="2:4">
      <c r="B3946" s="198" t="s">
        <v>5319</v>
      </c>
      <c r="C3946" s="154" t="s">
        <v>1782</v>
      </c>
      <c r="D3946" s="201" t="s">
        <v>1956</v>
      </c>
    </row>
    <row r="3947" spans="2:4">
      <c r="B3947" s="198" t="s">
        <v>5320</v>
      </c>
      <c r="C3947" s="154" t="s">
        <v>3138</v>
      </c>
      <c r="D3947" s="201" t="s">
        <v>1956</v>
      </c>
    </row>
    <row r="3948" spans="2:4">
      <c r="B3948" s="198" t="s">
        <v>5321</v>
      </c>
      <c r="C3948" s="154" t="s">
        <v>1625</v>
      </c>
      <c r="D3948" s="201" t="s">
        <v>1951</v>
      </c>
    </row>
    <row r="3949" spans="2:4">
      <c r="B3949" s="198" t="s">
        <v>5322</v>
      </c>
      <c r="C3949" s="154" t="s">
        <v>1625</v>
      </c>
      <c r="D3949" s="201" t="s">
        <v>1951</v>
      </c>
    </row>
    <row r="3950" spans="2:4">
      <c r="B3950" s="198" t="s">
        <v>5323</v>
      </c>
      <c r="C3950" s="154" t="s">
        <v>3854</v>
      </c>
      <c r="D3950" s="201" t="s">
        <v>1955</v>
      </c>
    </row>
    <row r="3951" spans="2:4">
      <c r="B3951" s="198" t="s">
        <v>5324</v>
      </c>
      <c r="C3951" s="154" t="s">
        <v>1595</v>
      </c>
      <c r="D3951" s="201" t="s">
        <v>1956</v>
      </c>
    </row>
    <row r="3952" spans="2:4">
      <c r="B3952" s="198" t="s">
        <v>5325</v>
      </c>
      <c r="C3952" s="154" t="s">
        <v>1521</v>
      </c>
      <c r="D3952" s="201" t="s">
        <v>1951</v>
      </c>
    </row>
    <row r="3953" spans="2:4">
      <c r="B3953" s="198" t="s">
        <v>5326</v>
      </c>
      <c r="C3953" s="154" t="s">
        <v>5327</v>
      </c>
      <c r="D3953" s="201" t="s">
        <v>1958</v>
      </c>
    </row>
    <row r="3954" spans="2:4">
      <c r="B3954" s="198" t="s">
        <v>5328</v>
      </c>
      <c r="C3954" s="154" t="s">
        <v>5350</v>
      </c>
      <c r="D3954" s="201" t="s">
        <v>1954</v>
      </c>
    </row>
    <row r="3955" spans="2:4">
      <c r="B3955" s="198" t="s">
        <v>5329</v>
      </c>
      <c r="C3955" s="154" t="s">
        <v>3315</v>
      </c>
      <c r="D3955" s="201" t="s">
        <v>1954</v>
      </c>
    </row>
    <row r="3956" spans="2:4">
      <c r="B3956" s="198" t="s">
        <v>5330</v>
      </c>
      <c r="C3956" s="154" t="s">
        <v>1707</v>
      </c>
      <c r="D3956" s="201" t="s">
        <v>1958</v>
      </c>
    </row>
    <row r="3957" spans="2:4">
      <c r="B3957" s="198" t="s">
        <v>5331</v>
      </c>
      <c r="C3957" s="154" t="s">
        <v>5351</v>
      </c>
      <c r="D3957" s="201" t="s">
        <v>1958</v>
      </c>
    </row>
    <row r="3958" spans="2:4">
      <c r="B3958" s="198" t="s">
        <v>5332</v>
      </c>
      <c r="C3958" s="154" t="s">
        <v>5352</v>
      </c>
      <c r="D3958" s="201" t="s">
        <v>1958</v>
      </c>
    </row>
    <row r="3959" spans="2:4">
      <c r="B3959" s="198" t="s">
        <v>5333</v>
      </c>
      <c r="C3959" s="154" t="s">
        <v>5308</v>
      </c>
      <c r="D3959" s="201" t="s">
        <v>1958</v>
      </c>
    </row>
    <row r="3960" spans="2:4">
      <c r="B3960" s="198" t="s">
        <v>5334</v>
      </c>
      <c r="C3960" s="154" t="s">
        <v>2926</v>
      </c>
      <c r="D3960" s="201" t="s">
        <v>1951</v>
      </c>
    </row>
    <row r="3961" spans="2:4">
      <c r="B3961" s="198" t="s">
        <v>5335</v>
      </c>
      <c r="C3961" s="154" t="s">
        <v>5353</v>
      </c>
      <c r="D3961" s="201" t="s">
        <v>2216</v>
      </c>
    </row>
    <row r="3962" spans="2:4">
      <c r="B3962" s="198" t="s">
        <v>5336</v>
      </c>
      <c r="C3962" s="154" t="s">
        <v>5041</v>
      </c>
      <c r="D3962" s="201" t="s">
        <v>2220</v>
      </c>
    </row>
    <row r="3963" spans="2:4">
      <c r="B3963" s="198" t="s">
        <v>5337</v>
      </c>
      <c r="C3963" s="154" t="s">
        <v>5354</v>
      </c>
      <c r="D3963" s="201" t="s">
        <v>2220</v>
      </c>
    </row>
    <row r="3964" spans="2:4">
      <c r="B3964" s="198" t="s">
        <v>5338</v>
      </c>
      <c r="C3964" s="154" t="s">
        <v>4535</v>
      </c>
      <c r="D3964" s="201" t="s">
        <v>1958</v>
      </c>
    </row>
    <row r="3965" spans="2:4">
      <c r="B3965" s="198" t="s">
        <v>5339</v>
      </c>
      <c r="C3965" s="154" t="s">
        <v>1924</v>
      </c>
      <c r="D3965" s="201" t="s">
        <v>1951</v>
      </c>
    </row>
    <row r="3966" spans="2:4">
      <c r="B3966" s="198" t="s">
        <v>5340</v>
      </c>
      <c r="C3966" s="154" t="s">
        <v>4537</v>
      </c>
      <c r="D3966" s="201" t="s">
        <v>1951</v>
      </c>
    </row>
    <row r="3967" spans="2:4">
      <c r="B3967" s="198" t="s">
        <v>5341</v>
      </c>
      <c r="C3967" s="154" t="s">
        <v>1738</v>
      </c>
      <c r="D3967" s="201" t="s">
        <v>1956</v>
      </c>
    </row>
    <row r="3968" spans="2:4">
      <c r="B3968" s="198" t="s">
        <v>5342</v>
      </c>
      <c r="C3968" s="154" t="s">
        <v>4104</v>
      </c>
      <c r="D3968" s="201" t="s">
        <v>1958</v>
      </c>
    </row>
    <row r="3969" spans="2:4">
      <c r="B3969" s="198" t="s">
        <v>5343</v>
      </c>
      <c r="C3969" s="154" t="s">
        <v>1779</v>
      </c>
      <c r="D3969" s="201" t="s">
        <v>1955</v>
      </c>
    </row>
    <row r="3970" spans="2:4">
      <c r="B3970" s="198" t="s">
        <v>5344</v>
      </c>
      <c r="C3970" s="154" t="s">
        <v>5355</v>
      </c>
      <c r="D3970" s="201" t="s">
        <v>1952</v>
      </c>
    </row>
    <row r="3971" spans="2:4">
      <c r="B3971" s="198" t="s">
        <v>5345</v>
      </c>
      <c r="C3971" s="154" t="s">
        <v>3815</v>
      </c>
      <c r="D3971" s="201" t="s">
        <v>1958</v>
      </c>
    </row>
    <row r="3972" spans="2:4">
      <c r="B3972" s="198" t="s">
        <v>5346</v>
      </c>
      <c r="C3972" s="154" t="s">
        <v>1667</v>
      </c>
      <c r="D3972" s="201" t="s">
        <v>1955</v>
      </c>
    </row>
    <row r="3973" spans="2:4">
      <c r="B3973" s="198" t="s">
        <v>5347</v>
      </c>
      <c r="C3973" s="154" t="s">
        <v>1701</v>
      </c>
      <c r="D3973" s="201" t="s">
        <v>1952</v>
      </c>
    </row>
    <row r="3974" spans="2:4">
      <c r="B3974" s="198" t="s">
        <v>5348</v>
      </c>
      <c r="C3974" s="154" t="s">
        <v>152</v>
      </c>
      <c r="D3974" s="201" t="s">
        <v>1952</v>
      </c>
    </row>
    <row r="3975" spans="2:4">
      <c r="B3975" s="198" t="s">
        <v>5349</v>
      </c>
      <c r="C3975" s="154" t="s">
        <v>5356</v>
      </c>
      <c r="D3975" s="201" t="s">
        <v>1952</v>
      </c>
    </row>
    <row r="3976" spans="2:4">
      <c r="B3976" s="198" t="s">
        <v>5357</v>
      </c>
      <c r="C3976" s="154" t="s">
        <v>3357</v>
      </c>
      <c r="D3976" s="201" t="s">
        <v>1951</v>
      </c>
    </row>
    <row r="3977" spans="2:4">
      <c r="B3977" s="198" t="s">
        <v>5358</v>
      </c>
      <c r="C3977" s="154" t="s">
        <v>3854</v>
      </c>
      <c r="D3977" s="201" t="s">
        <v>1955</v>
      </c>
    </row>
    <row r="3978" spans="2:4">
      <c r="B3978" s="198" t="s">
        <v>5359</v>
      </c>
      <c r="C3978" s="154" t="s">
        <v>1732</v>
      </c>
      <c r="D3978" s="201" t="s">
        <v>1955</v>
      </c>
    </row>
    <row r="3979" spans="2:4">
      <c r="B3979" s="198" t="s">
        <v>5360</v>
      </c>
      <c r="C3979" s="154" t="s">
        <v>5399</v>
      </c>
      <c r="D3979" s="201" t="s">
        <v>1956</v>
      </c>
    </row>
    <row r="3980" spans="2:4">
      <c r="B3980" s="198" t="s">
        <v>5361</v>
      </c>
      <c r="C3980" s="201" t="s">
        <v>1910</v>
      </c>
      <c r="D3980" s="201" t="s">
        <v>1956</v>
      </c>
    </row>
    <row r="3981" spans="2:4">
      <c r="B3981" s="198" t="s">
        <v>5362</v>
      </c>
      <c r="C3981" s="154" t="s">
        <v>1797</v>
      </c>
      <c r="D3981" s="201" t="s">
        <v>1951</v>
      </c>
    </row>
    <row r="3982" spans="2:4">
      <c r="B3982" s="198" t="s">
        <v>5363</v>
      </c>
      <c r="C3982" s="154" t="s">
        <v>5400</v>
      </c>
      <c r="D3982" s="201" t="s">
        <v>1953</v>
      </c>
    </row>
    <row r="3983" spans="2:4">
      <c r="B3983" s="198" t="s">
        <v>5364</v>
      </c>
      <c r="C3983" s="154" t="s">
        <v>142</v>
      </c>
      <c r="D3983" s="201" t="s">
        <v>1954</v>
      </c>
    </row>
    <row r="3984" spans="2:4">
      <c r="B3984" s="198" t="s">
        <v>5365</v>
      </c>
      <c r="C3984" s="154" t="s">
        <v>142</v>
      </c>
      <c r="D3984" s="201" t="s">
        <v>1954</v>
      </c>
    </row>
    <row r="3985" spans="2:4">
      <c r="B3985" s="198" t="s">
        <v>5366</v>
      </c>
      <c r="C3985" s="154" t="s">
        <v>150</v>
      </c>
      <c r="D3985" s="201" t="s">
        <v>1951</v>
      </c>
    </row>
    <row r="3986" spans="2:4">
      <c r="B3986" s="198" t="s">
        <v>5367</v>
      </c>
      <c r="C3986" s="154" t="s">
        <v>142</v>
      </c>
      <c r="D3986" s="201" t="s">
        <v>1954</v>
      </c>
    </row>
    <row r="3987" spans="2:4">
      <c r="B3987" s="198" t="s">
        <v>5368</v>
      </c>
      <c r="C3987" s="154" t="s">
        <v>142</v>
      </c>
      <c r="D3987" s="201" t="s">
        <v>1954</v>
      </c>
    </row>
    <row r="3988" spans="2:4">
      <c r="B3988" s="198" t="s">
        <v>5369</v>
      </c>
      <c r="C3988" s="154" t="s">
        <v>1587</v>
      </c>
      <c r="D3988" s="201" t="s">
        <v>1958</v>
      </c>
    </row>
    <row r="3989" spans="2:4">
      <c r="B3989" s="198" t="s">
        <v>5370</v>
      </c>
      <c r="C3989" s="154" t="s">
        <v>150</v>
      </c>
      <c r="D3989" s="201" t="s">
        <v>1951</v>
      </c>
    </row>
    <row r="3990" spans="2:4">
      <c r="B3990" s="198" t="s">
        <v>5371</v>
      </c>
      <c r="C3990" s="154" t="s">
        <v>1587</v>
      </c>
      <c r="D3990" s="201" t="s">
        <v>1958</v>
      </c>
    </row>
    <row r="3991" spans="2:4">
      <c r="B3991" s="198" t="s">
        <v>5372</v>
      </c>
      <c r="C3991" s="154" t="s">
        <v>1587</v>
      </c>
      <c r="D3991" s="201" t="s">
        <v>1958</v>
      </c>
    </row>
    <row r="3992" spans="2:4">
      <c r="B3992" s="198" t="s">
        <v>5373</v>
      </c>
      <c r="C3992" s="154" t="s">
        <v>142</v>
      </c>
      <c r="D3992" s="201" t="s">
        <v>1954</v>
      </c>
    </row>
    <row r="3993" spans="2:4">
      <c r="B3993" s="198" t="s">
        <v>5374</v>
      </c>
      <c r="C3993" s="154" t="s">
        <v>150</v>
      </c>
      <c r="D3993" s="201" t="s">
        <v>1951</v>
      </c>
    </row>
    <row r="3994" spans="2:4">
      <c r="B3994" s="198" t="s">
        <v>5375</v>
      </c>
      <c r="C3994" s="154" t="s">
        <v>142</v>
      </c>
      <c r="D3994" s="201" t="s">
        <v>1954</v>
      </c>
    </row>
    <row r="3995" spans="2:4">
      <c r="B3995" s="198" t="s">
        <v>5376</v>
      </c>
      <c r="C3995" s="154" t="s">
        <v>150</v>
      </c>
      <c r="D3995" s="201" t="s">
        <v>1951</v>
      </c>
    </row>
    <row r="3996" spans="2:4">
      <c r="B3996" s="198" t="s">
        <v>5377</v>
      </c>
      <c r="C3996" s="154" t="s">
        <v>150</v>
      </c>
      <c r="D3996" s="201" t="s">
        <v>1951</v>
      </c>
    </row>
    <row r="3997" spans="2:4">
      <c r="B3997" s="198" t="s">
        <v>5378</v>
      </c>
      <c r="C3997" s="154" t="s">
        <v>142</v>
      </c>
      <c r="D3997" s="201" t="s">
        <v>1954</v>
      </c>
    </row>
    <row r="3998" spans="2:4">
      <c r="B3998" s="198" t="s">
        <v>5379</v>
      </c>
      <c r="C3998" s="154" t="s">
        <v>150</v>
      </c>
      <c r="D3998" s="201" t="s">
        <v>1951</v>
      </c>
    </row>
    <row r="3999" spans="2:4">
      <c r="B3999" s="198" t="s">
        <v>5380</v>
      </c>
      <c r="C3999" s="154" t="s">
        <v>142</v>
      </c>
      <c r="D3999" s="201" t="s">
        <v>1954</v>
      </c>
    </row>
    <row r="4000" spans="2:4">
      <c r="B4000" s="198" t="s">
        <v>5381</v>
      </c>
      <c r="C4000" s="154" t="s">
        <v>149</v>
      </c>
      <c r="D4000" s="201" t="s">
        <v>1956</v>
      </c>
    </row>
    <row r="4001" spans="2:4">
      <c r="B4001" s="198" t="s">
        <v>5382</v>
      </c>
      <c r="C4001" s="154" t="s">
        <v>1587</v>
      </c>
      <c r="D4001" s="201" t="s">
        <v>1958</v>
      </c>
    </row>
    <row r="4002" spans="2:4">
      <c r="B4002" s="198" t="s">
        <v>5383</v>
      </c>
      <c r="C4002" s="154" t="s">
        <v>150</v>
      </c>
      <c r="D4002" s="201" t="s">
        <v>1951</v>
      </c>
    </row>
    <row r="4003" spans="2:4">
      <c r="B4003" s="198" t="s">
        <v>5384</v>
      </c>
      <c r="C4003" s="154" t="s">
        <v>142</v>
      </c>
      <c r="D4003" s="201" t="s">
        <v>1954</v>
      </c>
    </row>
    <row r="4004" spans="2:4">
      <c r="B4004" s="198" t="s">
        <v>5385</v>
      </c>
      <c r="C4004" s="154" t="s">
        <v>1587</v>
      </c>
      <c r="D4004" s="201" t="s">
        <v>1958</v>
      </c>
    </row>
    <row r="4005" spans="2:4">
      <c r="B4005" s="198" t="s">
        <v>5386</v>
      </c>
      <c r="C4005" s="154" t="s">
        <v>1587</v>
      </c>
      <c r="D4005" s="201" t="s">
        <v>1958</v>
      </c>
    </row>
    <row r="4006" spans="2:4">
      <c r="B4006" s="198" t="s">
        <v>5387</v>
      </c>
      <c r="C4006" s="154" t="s">
        <v>150</v>
      </c>
      <c r="D4006" s="201" t="s">
        <v>1951</v>
      </c>
    </row>
    <row r="4007" spans="2:4">
      <c r="B4007" s="198" t="s">
        <v>5388</v>
      </c>
      <c r="C4007" s="154" t="s">
        <v>149</v>
      </c>
      <c r="D4007" s="201" t="s">
        <v>1956</v>
      </c>
    </row>
    <row r="4008" spans="2:4">
      <c r="B4008" s="198" t="s">
        <v>5389</v>
      </c>
      <c r="C4008" s="154" t="s">
        <v>150</v>
      </c>
      <c r="D4008" s="201" t="s">
        <v>1951</v>
      </c>
    </row>
    <row r="4009" spans="2:4">
      <c r="B4009" s="198" t="s">
        <v>5390</v>
      </c>
      <c r="C4009" s="154" t="s">
        <v>1587</v>
      </c>
      <c r="D4009" s="201" t="s">
        <v>1958</v>
      </c>
    </row>
    <row r="4010" spans="2:4">
      <c r="B4010" s="198" t="s">
        <v>5391</v>
      </c>
      <c r="C4010" s="154" t="s">
        <v>1587</v>
      </c>
      <c r="D4010" s="201" t="s">
        <v>1958</v>
      </c>
    </row>
    <row r="4011" spans="2:4">
      <c r="B4011" s="198" t="s">
        <v>5392</v>
      </c>
      <c r="C4011" s="154" t="s">
        <v>1587</v>
      </c>
      <c r="D4011" s="201" t="s">
        <v>1958</v>
      </c>
    </row>
    <row r="4012" spans="2:4">
      <c r="B4012" s="198" t="s">
        <v>5393</v>
      </c>
      <c r="C4012" s="154" t="s">
        <v>149</v>
      </c>
      <c r="D4012" s="201" t="s">
        <v>1956</v>
      </c>
    </row>
    <row r="4013" spans="2:4">
      <c r="B4013" s="198" t="s">
        <v>5394</v>
      </c>
      <c r="C4013" s="154" t="s">
        <v>142</v>
      </c>
      <c r="D4013" s="201" t="s">
        <v>1954</v>
      </c>
    </row>
    <row r="4014" spans="2:4">
      <c r="B4014" s="198" t="s">
        <v>5395</v>
      </c>
      <c r="C4014" s="154" t="s">
        <v>1587</v>
      </c>
      <c r="D4014" s="201" t="s">
        <v>1958</v>
      </c>
    </row>
    <row r="4015" spans="2:4">
      <c r="B4015" s="198" t="s">
        <v>5396</v>
      </c>
      <c r="C4015" s="154" t="s">
        <v>149</v>
      </c>
      <c r="D4015" s="201" t="s">
        <v>1956</v>
      </c>
    </row>
    <row r="4016" spans="2:4">
      <c r="B4016" s="198" t="s">
        <v>5397</v>
      </c>
      <c r="C4016" s="154" t="s">
        <v>1587</v>
      </c>
      <c r="D4016" s="201" t="s">
        <v>1958</v>
      </c>
    </row>
    <row r="4017" spans="2:4">
      <c r="B4017" s="198" t="s">
        <v>5398</v>
      </c>
      <c r="C4017" s="154" t="s">
        <v>150</v>
      </c>
      <c r="D4017" s="201" t="s">
        <v>1951</v>
      </c>
    </row>
    <row r="4018" spans="2:4">
      <c r="B4018" s="198" t="s">
        <v>5401</v>
      </c>
      <c r="C4018" s="154" t="s">
        <v>5403</v>
      </c>
      <c r="D4018" s="201" t="s">
        <v>2216</v>
      </c>
    </row>
    <row r="4019" spans="2:4">
      <c r="B4019" s="198" t="s">
        <v>5402</v>
      </c>
      <c r="C4019" s="154" t="s">
        <v>1609</v>
      </c>
      <c r="D4019" s="201" t="s">
        <v>1951</v>
      </c>
    </row>
    <row r="4020" spans="2:4">
      <c r="B4020" s="198" t="s">
        <v>5405</v>
      </c>
      <c r="C4020" s="154" t="s">
        <v>5422</v>
      </c>
      <c r="D4020" s="201" t="s">
        <v>1955</v>
      </c>
    </row>
    <row r="4021" spans="2:4">
      <c r="B4021" s="198" t="s">
        <v>5406</v>
      </c>
      <c r="C4021" s="154" t="s">
        <v>142</v>
      </c>
      <c r="D4021" s="201" t="s">
        <v>1954</v>
      </c>
    </row>
    <row r="4022" spans="2:4">
      <c r="B4022" s="198" t="s">
        <v>5408</v>
      </c>
      <c r="C4022" s="154" t="s">
        <v>1819</v>
      </c>
      <c r="D4022" s="201" t="s">
        <v>1956</v>
      </c>
    </row>
    <row r="4023" spans="2:4">
      <c r="B4023" s="198" t="s">
        <v>5407</v>
      </c>
      <c r="C4023" s="154" t="s">
        <v>2940</v>
      </c>
      <c r="D4023" s="201" t="s">
        <v>1956</v>
      </c>
    </row>
    <row r="4024" spans="2:4">
      <c r="B4024" s="198" t="s">
        <v>5409</v>
      </c>
      <c r="C4024" s="154" t="s">
        <v>1749</v>
      </c>
      <c r="D4024" s="201" t="s">
        <v>1956</v>
      </c>
    </row>
    <row r="4025" spans="2:4">
      <c r="B4025" s="198" t="s">
        <v>5411</v>
      </c>
      <c r="C4025" s="154" t="s">
        <v>1587</v>
      </c>
      <c r="D4025" s="201" t="s">
        <v>1958</v>
      </c>
    </row>
    <row r="4026" spans="2:4">
      <c r="B4026" s="198" t="s">
        <v>5412</v>
      </c>
      <c r="C4026" s="154" t="s">
        <v>5421</v>
      </c>
      <c r="D4026" s="201" t="s">
        <v>1952</v>
      </c>
    </row>
    <row r="4027" spans="2:4">
      <c r="B4027" s="198" t="s">
        <v>5413</v>
      </c>
      <c r="C4027" s="154" t="s">
        <v>5423</v>
      </c>
      <c r="D4027" s="201" t="s">
        <v>1956</v>
      </c>
    </row>
    <row r="4028" spans="2:4">
      <c r="B4028" s="198" t="s">
        <v>5414</v>
      </c>
      <c r="C4028" s="154" t="s">
        <v>5424</v>
      </c>
      <c r="D4028" s="201" t="s">
        <v>1952</v>
      </c>
    </row>
    <row r="4029" spans="2:4">
      <c r="B4029" s="198" t="s">
        <v>5415</v>
      </c>
      <c r="C4029" s="154" t="s">
        <v>5425</v>
      </c>
      <c r="D4029" s="201" t="s">
        <v>1956</v>
      </c>
    </row>
    <row r="4030" spans="2:4">
      <c r="B4030" s="198" t="s">
        <v>5416</v>
      </c>
      <c r="C4030" s="154" t="s">
        <v>5426</v>
      </c>
      <c r="D4030" s="201" t="s">
        <v>1956</v>
      </c>
    </row>
    <row r="4031" spans="2:4">
      <c r="B4031" s="198" t="s">
        <v>5417</v>
      </c>
      <c r="C4031" s="154" t="s">
        <v>1765</v>
      </c>
      <c r="D4031" s="201" t="s">
        <v>1956</v>
      </c>
    </row>
    <row r="4032" spans="2:4">
      <c r="B4032" s="198" t="s">
        <v>5418</v>
      </c>
      <c r="C4032" s="154" t="s">
        <v>5427</v>
      </c>
      <c r="D4032" s="201" t="s">
        <v>1956</v>
      </c>
    </row>
    <row r="4033" spans="2:4">
      <c r="B4033" s="198" t="s">
        <v>5419</v>
      </c>
      <c r="C4033" s="154" t="s">
        <v>1527</v>
      </c>
      <c r="D4033" s="201" t="s">
        <v>1956</v>
      </c>
    </row>
    <row r="4034" spans="2:4">
      <c r="B4034" s="198" t="s">
        <v>5420</v>
      </c>
      <c r="C4034" s="154" t="s">
        <v>1587</v>
      </c>
      <c r="D4034" s="201" t="s">
        <v>1958</v>
      </c>
    </row>
    <row r="4035" spans="2:4">
      <c r="B4035" s="198" t="s">
        <v>5404</v>
      </c>
      <c r="C4035" s="154" t="s">
        <v>150</v>
      </c>
      <c r="D4035" s="201" t="s">
        <v>1951</v>
      </c>
    </row>
    <row r="4036" spans="2:4">
      <c r="B4036" s="198" t="s">
        <v>5410</v>
      </c>
      <c r="C4036" s="154" t="s">
        <v>149</v>
      </c>
      <c r="D4036" s="201" t="s">
        <v>1956</v>
      </c>
    </row>
    <row r="4037" spans="2:4">
      <c r="B4037" s="198" t="s">
        <v>5428</v>
      </c>
      <c r="C4037" s="154" t="s">
        <v>3547</v>
      </c>
      <c r="D4037" s="201" t="s">
        <v>2220</v>
      </c>
    </row>
    <row r="4038" spans="2:4">
      <c r="B4038" s="198" t="s">
        <v>5429</v>
      </c>
      <c r="C4038" s="154" t="s">
        <v>5430</v>
      </c>
      <c r="D4038" s="201" t="s">
        <v>1956</v>
      </c>
    </row>
    <row r="4039" spans="2:4">
      <c r="B4039" s="198"/>
      <c r="C4039" s="154"/>
      <c r="D4039" s="201"/>
    </row>
    <row r="4040" spans="2:4">
      <c r="B4040" s="198"/>
      <c r="C4040" s="154"/>
      <c r="D4040" s="201"/>
    </row>
    <row r="4041" spans="2:4">
      <c r="B4041" s="198" t="s">
        <v>5433</v>
      </c>
      <c r="C4041" s="154" t="s">
        <v>3081</v>
      </c>
      <c r="D4041" s="201" t="s">
        <v>1957</v>
      </c>
    </row>
    <row r="4042" spans="2:4">
      <c r="B4042" s="198" t="s">
        <v>5431</v>
      </c>
      <c r="C4042" s="154" t="s">
        <v>5440</v>
      </c>
      <c r="D4042" s="201" t="s">
        <v>1956</v>
      </c>
    </row>
    <row r="4043" spans="2:4">
      <c r="B4043" s="198" t="s">
        <v>5434</v>
      </c>
      <c r="C4043" s="154" t="s">
        <v>5442</v>
      </c>
      <c r="D4043" s="201" t="s">
        <v>1959</v>
      </c>
    </row>
    <row r="4044" spans="2:4">
      <c r="B4044" s="198" t="s">
        <v>5435</v>
      </c>
      <c r="C4044" s="154" t="s">
        <v>1644</v>
      </c>
      <c r="D4044" s="201" t="s">
        <v>1959</v>
      </c>
    </row>
    <row r="4045" spans="2:4">
      <c r="B4045" s="198" t="s">
        <v>5436</v>
      </c>
      <c r="C4045" s="154" t="s">
        <v>5443</v>
      </c>
      <c r="D4045" s="201" t="s">
        <v>2216</v>
      </c>
    </row>
    <row r="4046" spans="2:4">
      <c r="B4046" s="198" t="s">
        <v>5437</v>
      </c>
      <c r="C4046" s="154" t="s">
        <v>5441</v>
      </c>
      <c r="D4046" s="201" t="s">
        <v>1956</v>
      </c>
    </row>
    <row r="4047" spans="2:4">
      <c r="B4047" s="198" t="s">
        <v>5438</v>
      </c>
      <c r="C4047" s="154" t="s">
        <v>3081</v>
      </c>
      <c r="D4047" s="201" t="s">
        <v>1957</v>
      </c>
    </row>
    <row r="4048" spans="2:4">
      <c r="B4048" s="198" t="s">
        <v>5439</v>
      </c>
      <c r="C4048" s="154" t="s">
        <v>3962</v>
      </c>
      <c r="D4048" s="201" t="s">
        <v>1951</v>
      </c>
    </row>
    <row r="4049" spans="2:4">
      <c r="B4049" s="198" t="s">
        <v>5444</v>
      </c>
      <c r="C4049" s="154" t="s">
        <v>1560</v>
      </c>
      <c r="D4049" s="201" t="s">
        <v>1953</v>
      </c>
    </row>
    <row r="4050" spans="2:4">
      <c r="B4050" s="198" t="s">
        <v>5445</v>
      </c>
      <c r="C4050" s="154" t="s">
        <v>3081</v>
      </c>
      <c r="D4050" s="201" t="s">
        <v>1957</v>
      </c>
    </row>
    <row r="4051" spans="2:4">
      <c r="B4051" s="198" t="s">
        <v>5446</v>
      </c>
      <c r="C4051" s="154" t="s">
        <v>152</v>
      </c>
      <c r="D4051" s="201" t="s">
        <v>1952</v>
      </c>
    </row>
    <row r="4052" spans="2:4">
      <c r="B4052" s="198" t="s">
        <v>5447</v>
      </c>
      <c r="C4052" s="154" t="s">
        <v>1517</v>
      </c>
      <c r="D4052" s="201" t="s">
        <v>1956</v>
      </c>
    </row>
    <row r="4053" spans="2:4">
      <c r="B4053" s="198" t="s">
        <v>5448</v>
      </c>
      <c r="C4053" s="154" t="s">
        <v>149</v>
      </c>
      <c r="D4053" s="201" t="s">
        <v>1956</v>
      </c>
    </row>
    <row r="4054" spans="2:4">
      <c r="B4054" s="198" t="s">
        <v>5449</v>
      </c>
      <c r="C4054" s="154" t="s">
        <v>1868</v>
      </c>
      <c r="D4054" s="201" t="s">
        <v>1952</v>
      </c>
    </row>
    <row r="4055" spans="2:4">
      <c r="B4055" s="198" t="s">
        <v>5450</v>
      </c>
      <c r="C4055" s="154" t="s">
        <v>5467</v>
      </c>
      <c r="D4055" s="201" t="s">
        <v>1952</v>
      </c>
    </row>
    <row r="4056" spans="2:4">
      <c r="B4056" s="198" t="s">
        <v>5451</v>
      </c>
      <c r="C4056" s="154" t="s">
        <v>5468</v>
      </c>
      <c r="D4056" s="201" t="s">
        <v>1952</v>
      </c>
    </row>
    <row r="4057" spans="2:4">
      <c r="B4057" s="198" t="s">
        <v>5452</v>
      </c>
      <c r="C4057" s="154" t="s">
        <v>5469</v>
      </c>
      <c r="D4057" s="201" t="s">
        <v>1952</v>
      </c>
    </row>
    <row r="4058" spans="2:4">
      <c r="B4058" s="198" t="s">
        <v>5453</v>
      </c>
      <c r="C4058" s="154" t="s">
        <v>5470</v>
      </c>
      <c r="D4058" s="201" t="s">
        <v>1952</v>
      </c>
    </row>
    <row r="4059" spans="2:4">
      <c r="B4059" s="198" t="s">
        <v>5454</v>
      </c>
      <c r="C4059" s="154" t="s">
        <v>5471</v>
      </c>
      <c r="D4059" s="201" t="s">
        <v>1952</v>
      </c>
    </row>
    <row r="4060" spans="2:4">
      <c r="B4060" s="198" t="s">
        <v>5455</v>
      </c>
      <c r="C4060" s="154" t="s">
        <v>5472</v>
      </c>
      <c r="D4060" s="201" t="s">
        <v>1952</v>
      </c>
    </row>
    <row r="4061" spans="2:4">
      <c r="B4061" s="198" t="s">
        <v>5456</v>
      </c>
      <c r="C4061" s="154" t="s">
        <v>5473</v>
      </c>
      <c r="D4061" s="201" t="s">
        <v>1952</v>
      </c>
    </row>
    <row r="4062" spans="2:4">
      <c r="B4062" s="198" t="s">
        <v>5457</v>
      </c>
      <c r="C4062" s="154" t="s">
        <v>5474</v>
      </c>
      <c r="D4062" s="201" t="s">
        <v>1952</v>
      </c>
    </row>
    <row r="4063" spans="2:4">
      <c r="B4063" s="198" t="s">
        <v>5458</v>
      </c>
      <c r="C4063" s="154" t="s">
        <v>5475</v>
      </c>
      <c r="D4063" s="201" t="s">
        <v>1952</v>
      </c>
    </row>
    <row r="4064" spans="2:4">
      <c r="B4064" s="198" t="s">
        <v>5459</v>
      </c>
      <c r="C4064" s="154" t="s">
        <v>1587</v>
      </c>
      <c r="D4064" s="201" t="s">
        <v>1958</v>
      </c>
    </row>
    <row r="4065" spans="2:4">
      <c r="B4065" s="198" t="s">
        <v>5460</v>
      </c>
      <c r="C4065" s="154" t="s">
        <v>1508</v>
      </c>
      <c r="D4065" s="201" t="s">
        <v>1951</v>
      </c>
    </row>
    <row r="4066" spans="2:4">
      <c r="B4066" s="198" t="s">
        <v>5461</v>
      </c>
      <c r="C4066" s="154" t="s">
        <v>1676</v>
      </c>
      <c r="D4066" s="201" t="s">
        <v>1956</v>
      </c>
    </row>
    <row r="4067" spans="2:4">
      <c r="B4067" s="198" t="s">
        <v>5466</v>
      </c>
      <c r="C4067" s="154" t="s">
        <v>3465</v>
      </c>
      <c r="D4067" s="201" t="s">
        <v>1951</v>
      </c>
    </row>
    <row r="4068" spans="2:4">
      <c r="B4068" s="198" t="s">
        <v>5463</v>
      </c>
      <c r="C4068" s="154" t="s">
        <v>5476</v>
      </c>
      <c r="D4068" s="201" t="s">
        <v>1955</v>
      </c>
    </row>
    <row r="4069" spans="2:4">
      <c r="B4069" s="198" t="s">
        <v>5462</v>
      </c>
      <c r="C4069" s="154" t="s">
        <v>5477</v>
      </c>
      <c r="D4069" s="201" t="s">
        <v>1956</v>
      </c>
    </row>
    <row r="4070" spans="2:4">
      <c r="B4070" s="198" t="s">
        <v>5464</v>
      </c>
      <c r="C4070" s="154" t="s">
        <v>3081</v>
      </c>
      <c r="D4070" s="201" t="s">
        <v>1957</v>
      </c>
    </row>
    <row r="4071" spans="2:4">
      <c r="B4071" s="198" t="s">
        <v>5465</v>
      </c>
      <c r="C4071" s="154" t="s">
        <v>3081</v>
      </c>
      <c r="D4071" s="201" t="s">
        <v>1957</v>
      </c>
    </row>
    <row r="4072" spans="2:4">
      <c r="B4072" s="198" t="s">
        <v>5478</v>
      </c>
      <c r="C4072" s="154" t="s">
        <v>3081</v>
      </c>
      <c r="D4072" s="201" t="s">
        <v>1957</v>
      </c>
    </row>
    <row r="4073" spans="2:4">
      <c r="B4073" s="198" t="s">
        <v>5479</v>
      </c>
      <c r="C4073" s="154" t="s">
        <v>1532</v>
      </c>
      <c r="D4073" s="201" t="s">
        <v>1958</v>
      </c>
    </row>
    <row r="4074" spans="2:4">
      <c r="B4074" s="198" t="s">
        <v>5480</v>
      </c>
      <c r="C4074" s="154" t="s">
        <v>150</v>
      </c>
      <c r="D4074" s="201" t="s">
        <v>1951</v>
      </c>
    </row>
    <row r="4075" spans="2:4">
      <c r="B4075" s="198" t="s">
        <v>5481</v>
      </c>
      <c r="C4075" s="154" t="s">
        <v>149</v>
      </c>
      <c r="D4075" s="201" t="s">
        <v>1956</v>
      </c>
    </row>
    <row r="4076" spans="2:4">
      <c r="B4076" s="198" t="s">
        <v>5482</v>
      </c>
      <c r="C4076" s="154" t="s">
        <v>1717</v>
      </c>
      <c r="D4076" s="201" t="s">
        <v>1956</v>
      </c>
    </row>
    <row r="4077" spans="2:4">
      <c r="B4077" s="198" t="s">
        <v>5483</v>
      </c>
      <c r="C4077" s="154" t="s">
        <v>5484</v>
      </c>
      <c r="D4077" s="201" t="s">
        <v>1955</v>
      </c>
    </row>
    <row r="4078" spans="2:4">
      <c r="B4078" s="198" t="s">
        <v>5485</v>
      </c>
      <c r="C4078" s="154" t="s">
        <v>142</v>
      </c>
      <c r="D4078" s="201" t="s">
        <v>1954</v>
      </c>
    </row>
    <row r="4079" spans="2:4">
      <c r="B4079" s="198" t="s">
        <v>5486</v>
      </c>
      <c r="C4079" s="154" t="s">
        <v>150</v>
      </c>
      <c r="D4079" s="201" t="s">
        <v>1951</v>
      </c>
    </row>
    <row r="4080" spans="2:4">
      <c r="B4080" s="198" t="s">
        <v>5487</v>
      </c>
      <c r="C4080" s="154" t="s">
        <v>150</v>
      </c>
      <c r="D4080" s="201" t="s">
        <v>1951</v>
      </c>
    </row>
    <row r="4081" spans="2:4">
      <c r="B4081" s="198" t="s">
        <v>5488</v>
      </c>
      <c r="C4081" s="154" t="s">
        <v>142</v>
      </c>
      <c r="D4081" s="201" t="s">
        <v>1954</v>
      </c>
    </row>
    <row r="4082" spans="2:4">
      <c r="B4082" s="198" t="s">
        <v>5489</v>
      </c>
      <c r="C4082" s="154" t="s">
        <v>142</v>
      </c>
      <c r="D4082" s="201" t="s">
        <v>1954</v>
      </c>
    </row>
    <row r="4083" spans="2:4">
      <c r="B4083" s="198" t="s">
        <v>5490</v>
      </c>
      <c r="C4083" s="154" t="s">
        <v>152</v>
      </c>
      <c r="D4083" s="201" t="s">
        <v>1952</v>
      </c>
    </row>
    <row r="4084" spans="2:4">
      <c r="B4084" s="198" t="s">
        <v>5491</v>
      </c>
      <c r="C4084" s="154" t="s">
        <v>142</v>
      </c>
      <c r="D4084" s="201" t="s">
        <v>1954</v>
      </c>
    </row>
    <row r="4085" spans="2:4">
      <c r="B4085" s="198" t="s">
        <v>5492</v>
      </c>
      <c r="C4085" s="154" t="s">
        <v>150</v>
      </c>
      <c r="D4085" s="201" t="s">
        <v>1951</v>
      </c>
    </row>
    <row r="4086" spans="2:4">
      <c r="B4086" s="198" t="s">
        <v>5493</v>
      </c>
      <c r="C4086" s="154" t="s">
        <v>150</v>
      </c>
      <c r="D4086" s="201" t="s">
        <v>1951</v>
      </c>
    </row>
    <row r="4087" spans="2:4">
      <c r="B4087" s="198" t="s">
        <v>5494</v>
      </c>
      <c r="C4087" s="154" t="s">
        <v>150</v>
      </c>
      <c r="D4087" s="201" t="s">
        <v>1951</v>
      </c>
    </row>
    <row r="4088" spans="2:4">
      <c r="B4088" s="198" t="s">
        <v>5495</v>
      </c>
      <c r="C4088" s="154" t="s">
        <v>1522</v>
      </c>
      <c r="D4088" s="201" t="s">
        <v>1953</v>
      </c>
    </row>
    <row r="4089" spans="2:4">
      <c r="B4089" s="198" t="s">
        <v>5496</v>
      </c>
      <c r="C4089" s="154" t="s">
        <v>1587</v>
      </c>
      <c r="D4089" s="201" t="s">
        <v>1958</v>
      </c>
    </row>
    <row r="4090" spans="2:4">
      <c r="B4090" s="198" t="s">
        <v>5497</v>
      </c>
      <c r="C4090" s="154" t="s">
        <v>149</v>
      </c>
      <c r="D4090" s="201" t="s">
        <v>1956</v>
      </c>
    </row>
    <row r="4091" spans="2:4">
      <c r="B4091" s="198" t="s">
        <v>5498</v>
      </c>
      <c r="C4091" s="154" t="s">
        <v>1522</v>
      </c>
      <c r="D4091" s="201" t="s">
        <v>1953</v>
      </c>
    </row>
    <row r="4092" spans="2:4">
      <c r="B4092" s="198" t="s">
        <v>5499</v>
      </c>
      <c r="C4092" s="154" t="s">
        <v>1522</v>
      </c>
      <c r="D4092" s="201" t="s">
        <v>1953</v>
      </c>
    </row>
    <row r="4093" spans="2:4">
      <c r="B4093" s="198" t="s">
        <v>5500</v>
      </c>
      <c r="C4093" s="154" t="s">
        <v>1522</v>
      </c>
      <c r="D4093" s="201" t="s">
        <v>1953</v>
      </c>
    </row>
    <row r="4094" spans="2:4">
      <c r="B4094" s="198" t="s">
        <v>5501</v>
      </c>
      <c r="C4094" s="154" t="s">
        <v>1522</v>
      </c>
      <c r="D4094" s="201" t="s">
        <v>1953</v>
      </c>
    </row>
    <row r="4095" spans="2:4">
      <c r="B4095" s="198" t="s">
        <v>5502</v>
      </c>
      <c r="C4095" s="154" t="s">
        <v>1587</v>
      </c>
      <c r="D4095" s="201" t="s">
        <v>1958</v>
      </c>
    </row>
    <row r="4096" spans="2:4">
      <c r="B4096" s="198" t="s">
        <v>5503</v>
      </c>
      <c r="C4096" s="154" t="s">
        <v>1511</v>
      </c>
      <c r="D4096" s="201" t="s">
        <v>1951</v>
      </c>
    </row>
    <row r="4097" spans="2:4">
      <c r="B4097" s="198" t="s">
        <v>5504</v>
      </c>
      <c r="C4097" s="154" t="s">
        <v>1587</v>
      </c>
      <c r="D4097" s="201" t="s">
        <v>1958</v>
      </c>
    </row>
    <row r="4098" spans="2:4">
      <c r="B4098" s="198" t="s">
        <v>5505</v>
      </c>
      <c r="C4098" s="154" t="s">
        <v>150</v>
      </c>
      <c r="D4098" s="201" t="s">
        <v>1951</v>
      </c>
    </row>
    <row r="4099" spans="2:4">
      <c r="B4099" s="198" t="s">
        <v>5506</v>
      </c>
      <c r="C4099" s="154" t="s">
        <v>1615</v>
      </c>
      <c r="D4099" s="201" t="s">
        <v>1955</v>
      </c>
    </row>
    <row r="4100" spans="2:4">
      <c r="B4100" s="198" t="s">
        <v>5507</v>
      </c>
      <c r="C4100" s="154" t="s">
        <v>152</v>
      </c>
      <c r="D4100" s="201" t="s">
        <v>1952</v>
      </c>
    </row>
    <row r="4101" spans="2:4">
      <c r="B4101" s="198" t="s">
        <v>5508</v>
      </c>
      <c r="C4101" s="154" t="s">
        <v>152</v>
      </c>
      <c r="D4101" s="201" t="s">
        <v>1952</v>
      </c>
    </row>
    <row r="4102" spans="2:4">
      <c r="B4102" s="198" t="s">
        <v>5509</v>
      </c>
      <c r="C4102" s="154" t="s">
        <v>152</v>
      </c>
      <c r="D4102" s="201" t="s">
        <v>1952</v>
      </c>
    </row>
    <row r="4103" spans="2:4">
      <c r="B4103" s="198" t="s">
        <v>5510</v>
      </c>
      <c r="C4103" s="154" t="s">
        <v>3446</v>
      </c>
      <c r="D4103" s="201" t="s">
        <v>1955</v>
      </c>
    </row>
    <row r="4104" spans="2:4">
      <c r="B4104" s="198" t="s">
        <v>5511</v>
      </c>
      <c r="C4104" s="154" t="s">
        <v>3419</v>
      </c>
      <c r="D4104" s="201" t="s">
        <v>1953</v>
      </c>
    </row>
    <row r="4105" spans="2:4">
      <c r="B4105" s="198" t="s">
        <v>5512</v>
      </c>
      <c r="C4105" s="154" t="s">
        <v>1517</v>
      </c>
      <c r="D4105" s="201" t="s">
        <v>1956</v>
      </c>
    </row>
    <row r="4106" spans="2:4">
      <c r="B4106" s="198" t="s">
        <v>5513</v>
      </c>
      <c r="C4106" s="154" t="s">
        <v>149</v>
      </c>
      <c r="D4106" s="201" t="s">
        <v>1956</v>
      </c>
    </row>
    <row r="4107" spans="2:4">
      <c r="B4107" s="198" t="s">
        <v>5514</v>
      </c>
      <c r="C4107" s="154" t="s">
        <v>149</v>
      </c>
      <c r="D4107" s="201" t="s">
        <v>1956</v>
      </c>
    </row>
    <row r="4108" spans="2:4">
      <c r="B4108" s="198" t="s">
        <v>5515</v>
      </c>
      <c r="C4108" s="154" t="s">
        <v>3598</v>
      </c>
      <c r="D4108" s="201" t="s">
        <v>1951</v>
      </c>
    </row>
    <row r="4109" spans="2:4">
      <c r="B4109" s="198" t="s">
        <v>5516</v>
      </c>
      <c r="C4109" s="154" t="s">
        <v>5538</v>
      </c>
      <c r="D4109" s="201" t="s">
        <v>1955</v>
      </c>
    </row>
    <row r="4110" spans="2:4">
      <c r="B4110" s="198" t="s">
        <v>5517</v>
      </c>
      <c r="C4110" s="154" t="s">
        <v>5539</v>
      </c>
      <c r="D4110" s="201" t="s">
        <v>1956</v>
      </c>
    </row>
    <row r="4111" spans="2:4">
      <c r="B4111" s="198" t="s">
        <v>5518</v>
      </c>
      <c r="C4111" s="154" t="s">
        <v>5540</v>
      </c>
      <c r="D4111" s="201" t="s">
        <v>1951</v>
      </c>
    </row>
    <row r="4112" spans="2:4">
      <c r="B4112" s="198" t="s">
        <v>5519</v>
      </c>
      <c r="C4112" s="154" t="s">
        <v>5541</v>
      </c>
      <c r="D4112" s="201" t="s">
        <v>1956</v>
      </c>
    </row>
    <row r="4113" spans="2:4">
      <c r="B4113" s="198" t="s">
        <v>5190</v>
      </c>
      <c r="C4113" s="154" t="s">
        <v>1517</v>
      </c>
      <c r="D4113" s="201" t="s">
        <v>1956</v>
      </c>
    </row>
    <row r="4114" spans="2:4">
      <c r="B4114" s="198" t="s">
        <v>5520</v>
      </c>
      <c r="C4114" s="154" t="s">
        <v>4826</v>
      </c>
      <c r="D4114" s="201" t="s">
        <v>1956</v>
      </c>
    </row>
    <row r="4115" spans="2:4">
      <c r="B4115" s="198" t="s">
        <v>5187</v>
      </c>
      <c r="C4115" s="154" t="s">
        <v>1735</v>
      </c>
      <c r="D4115" s="201" t="s">
        <v>1953</v>
      </c>
    </row>
    <row r="4116" spans="2:4">
      <c r="B4116" s="198" t="s">
        <v>5521</v>
      </c>
      <c r="C4116" s="154" t="s">
        <v>3598</v>
      </c>
      <c r="D4116" s="201" t="s">
        <v>1951</v>
      </c>
    </row>
    <row r="4117" spans="2:4">
      <c r="B4117" s="198" t="s">
        <v>5522</v>
      </c>
      <c r="C4117" s="154" t="s">
        <v>149</v>
      </c>
      <c r="D4117" s="201" t="s">
        <v>1956</v>
      </c>
    </row>
    <row r="4118" spans="2:4">
      <c r="B4118" s="198" t="s">
        <v>5523</v>
      </c>
      <c r="C4118" s="154" t="s">
        <v>1860</v>
      </c>
      <c r="D4118" s="201" t="s">
        <v>1956</v>
      </c>
    </row>
    <row r="4119" spans="2:4">
      <c r="B4119" s="198" t="s">
        <v>5524</v>
      </c>
      <c r="C4119" s="154" t="s">
        <v>4227</v>
      </c>
      <c r="D4119" s="201" t="s">
        <v>1954</v>
      </c>
    </row>
    <row r="4120" spans="2:4">
      <c r="B4120" s="198" t="s">
        <v>5525</v>
      </c>
      <c r="C4120" s="154" t="s">
        <v>5542</v>
      </c>
      <c r="D4120" s="201" t="s">
        <v>1953</v>
      </c>
    </row>
    <row r="4121" spans="2:4">
      <c r="B4121" s="198" t="s">
        <v>5526</v>
      </c>
      <c r="C4121" s="154" t="s">
        <v>5543</v>
      </c>
      <c r="D4121" s="201" t="s">
        <v>1951</v>
      </c>
    </row>
    <row r="4122" spans="2:4">
      <c r="B4122" s="198" t="s">
        <v>5527</v>
      </c>
      <c r="C4122" s="154" t="s">
        <v>5544</v>
      </c>
      <c r="D4122" s="201" t="s">
        <v>1952</v>
      </c>
    </row>
    <row r="4123" spans="2:4">
      <c r="B4123" s="198" t="s">
        <v>5528</v>
      </c>
      <c r="C4123" s="154" t="s">
        <v>5545</v>
      </c>
      <c r="D4123" s="201" t="s">
        <v>1952</v>
      </c>
    </row>
    <row r="4124" spans="2:4">
      <c r="B4124" s="198" t="s">
        <v>5529</v>
      </c>
      <c r="C4124" s="154" t="s">
        <v>5546</v>
      </c>
      <c r="D4124" s="201" t="s">
        <v>1952</v>
      </c>
    </row>
    <row r="4125" spans="2:4">
      <c r="B4125" s="198" t="s">
        <v>5530</v>
      </c>
      <c r="C4125" s="154" t="s">
        <v>5547</v>
      </c>
      <c r="D4125" s="201" t="s">
        <v>1952</v>
      </c>
    </row>
    <row r="4126" spans="2:4">
      <c r="B4126" s="198" t="s">
        <v>5531</v>
      </c>
      <c r="C4126" s="154" t="s">
        <v>3317</v>
      </c>
      <c r="D4126" s="201" t="s">
        <v>1953</v>
      </c>
    </row>
    <row r="4127" spans="2:4">
      <c r="B4127" s="198" t="s">
        <v>5186</v>
      </c>
      <c r="C4127" s="154" t="s">
        <v>149</v>
      </c>
      <c r="D4127" s="201" t="s">
        <v>1956</v>
      </c>
    </row>
    <row r="4128" spans="2:4">
      <c r="B4128" s="198" t="s">
        <v>5532</v>
      </c>
      <c r="C4128" s="154" t="s">
        <v>1655</v>
      </c>
      <c r="D4128" s="201" t="s">
        <v>1954</v>
      </c>
    </row>
    <row r="4129" spans="2:4">
      <c r="B4129" s="198" t="s">
        <v>5533</v>
      </c>
      <c r="C4129" s="154" t="s">
        <v>149</v>
      </c>
      <c r="D4129" s="201" t="s">
        <v>1956</v>
      </c>
    </row>
    <row r="4130" spans="2:4">
      <c r="B4130" s="198" t="s">
        <v>5534</v>
      </c>
      <c r="C4130" s="154" t="s">
        <v>3931</v>
      </c>
      <c r="D4130" s="201" t="s">
        <v>1953</v>
      </c>
    </row>
    <row r="4131" spans="2:4">
      <c r="B4131" s="198" t="s">
        <v>5535</v>
      </c>
      <c r="C4131" s="154" t="s">
        <v>3465</v>
      </c>
      <c r="D4131" s="201" t="s">
        <v>1951</v>
      </c>
    </row>
    <row r="4132" spans="2:4">
      <c r="B4132" s="198" t="s">
        <v>5536</v>
      </c>
      <c r="C4132" s="154" t="s">
        <v>1522</v>
      </c>
      <c r="D4132" s="201" t="s">
        <v>1953</v>
      </c>
    </row>
    <row r="4133" spans="2:4">
      <c r="B4133" s="198" t="s">
        <v>5537</v>
      </c>
      <c r="C4133" s="154" t="s">
        <v>150</v>
      </c>
      <c r="D4133" s="201" t="s">
        <v>1951</v>
      </c>
    </row>
    <row r="4134" spans="2:4">
      <c r="B4134" s="198" t="s">
        <v>5269</v>
      </c>
      <c r="C4134" s="154" t="s">
        <v>3931</v>
      </c>
      <c r="D4134" s="201" t="s">
        <v>1951</v>
      </c>
    </row>
    <row r="4135" spans="2:4">
      <c r="B4135" s="198" t="s">
        <v>5548</v>
      </c>
      <c r="C4135" s="154" t="s">
        <v>3446</v>
      </c>
      <c r="D4135" s="201" t="s">
        <v>1955</v>
      </c>
    </row>
    <row r="4136" spans="2:4">
      <c r="B4136" s="198" t="s">
        <v>5549</v>
      </c>
      <c r="C4136" s="154" t="s">
        <v>1782</v>
      </c>
      <c r="D4136" s="201" t="s">
        <v>1956</v>
      </c>
    </row>
    <row r="4137" spans="2:4">
      <c r="B4137" s="198" t="s">
        <v>5550</v>
      </c>
      <c r="C4137" s="154" t="s">
        <v>5551</v>
      </c>
      <c r="D4137" s="201" t="s">
        <v>1954</v>
      </c>
    </row>
    <row r="4138" spans="2:4">
      <c r="B4138" s="198" t="s">
        <v>5552</v>
      </c>
      <c r="C4138" s="154" t="s">
        <v>3436</v>
      </c>
      <c r="D4138" s="201" t="s">
        <v>1952</v>
      </c>
    </row>
    <row r="4139" spans="2:4">
      <c r="B4139" s="198" t="s">
        <v>5553</v>
      </c>
      <c r="C4139" s="154" t="s">
        <v>5555</v>
      </c>
      <c r="D4139" s="201" t="s">
        <v>1955</v>
      </c>
    </row>
    <row r="4140" spans="2:4">
      <c r="B4140" s="198" t="s">
        <v>5554</v>
      </c>
      <c r="C4140" s="154" t="s">
        <v>5556</v>
      </c>
      <c r="D4140" s="201" t="s">
        <v>1955</v>
      </c>
    </row>
    <row r="4141" spans="2:4">
      <c r="B4141" s="198" t="s">
        <v>5557</v>
      </c>
      <c r="C4141" s="154" t="s">
        <v>1826</v>
      </c>
      <c r="D4141" s="201" t="s">
        <v>1956</v>
      </c>
    </row>
    <row r="4142" spans="2:4">
      <c r="B4142" s="198" t="s">
        <v>5558</v>
      </c>
      <c r="C4142" s="154" t="s">
        <v>149</v>
      </c>
      <c r="D4142" s="201" t="s">
        <v>1956</v>
      </c>
    </row>
    <row r="4143" spans="2:4">
      <c r="B4143" s="198" t="s">
        <v>5559</v>
      </c>
      <c r="C4143" s="154" t="s">
        <v>3050</v>
      </c>
      <c r="D4143" s="201" t="s">
        <v>1953</v>
      </c>
    </row>
    <row r="4144" spans="2:4">
      <c r="B4144" s="198" t="s">
        <v>5560</v>
      </c>
      <c r="C4144" s="154" t="s">
        <v>1536</v>
      </c>
      <c r="D4144" s="201" t="s">
        <v>1953</v>
      </c>
    </row>
    <row r="4145" spans="2:4">
      <c r="B4145" s="198" t="s">
        <v>5561</v>
      </c>
      <c r="C4145" s="154" t="s">
        <v>5585</v>
      </c>
      <c r="D4145" s="201" t="s">
        <v>1958</v>
      </c>
    </row>
    <row r="4146" spans="2:4">
      <c r="B4146" s="198" t="s">
        <v>5562</v>
      </c>
      <c r="C4146" s="154" t="s">
        <v>1631</v>
      </c>
      <c r="D4146" s="201" t="s">
        <v>1951</v>
      </c>
    </row>
    <row r="4147" spans="2:4">
      <c r="B4147" s="198" t="s">
        <v>5563</v>
      </c>
      <c r="C4147" s="154" t="s">
        <v>1814</v>
      </c>
      <c r="D4147" s="201" t="s">
        <v>1953</v>
      </c>
    </row>
    <row r="4148" spans="2:4">
      <c r="B4148" s="198" t="s">
        <v>5564</v>
      </c>
      <c r="C4148" s="154" t="s">
        <v>150</v>
      </c>
      <c r="D4148" s="201" t="s">
        <v>1951</v>
      </c>
    </row>
    <row r="4149" spans="2:4">
      <c r="B4149" s="198" t="s">
        <v>5565</v>
      </c>
      <c r="C4149" s="154" t="s">
        <v>1522</v>
      </c>
      <c r="D4149" s="201" t="s">
        <v>1953</v>
      </c>
    </row>
    <row r="4150" spans="2:4">
      <c r="B4150" s="198" t="s">
        <v>5566</v>
      </c>
      <c r="C4150" s="154" t="s">
        <v>1522</v>
      </c>
      <c r="D4150" s="201" t="s">
        <v>1953</v>
      </c>
    </row>
    <row r="4151" spans="2:4">
      <c r="B4151" s="198" t="s">
        <v>5567</v>
      </c>
      <c r="C4151" s="154" t="s">
        <v>1522</v>
      </c>
      <c r="D4151" s="201" t="s">
        <v>1953</v>
      </c>
    </row>
    <row r="4152" spans="2:4">
      <c r="B4152" s="198" t="s">
        <v>5568</v>
      </c>
      <c r="C4152" s="154" t="s">
        <v>1784</v>
      </c>
      <c r="D4152" s="201" t="s">
        <v>1951</v>
      </c>
    </row>
    <row r="4153" spans="2:4">
      <c r="B4153" s="198" t="s">
        <v>5569</v>
      </c>
      <c r="C4153" s="154" t="s">
        <v>1631</v>
      </c>
      <c r="D4153" s="201" t="s">
        <v>1951</v>
      </c>
    </row>
    <row r="4154" spans="2:4">
      <c r="B4154" s="198" t="s">
        <v>5570</v>
      </c>
      <c r="C4154" s="154" t="s">
        <v>5586</v>
      </c>
      <c r="D4154" s="201" t="s">
        <v>1958</v>
      </c>
    </row>
    <row r="4155" spans="2:4">
      <c r="B4155" s="198" t="s">
        <v>5571</v>
      </c>
      <c r="C4155" s="154" t="s">
        <v>5587</v>
      </c>
      <c r="D4155" s="201" t="s">
        <v>1958</v>
      </c>
    </row>
    <row r="4156" spans="2:4">
      <c r="B4156" s="198" t="s">
        <v>5572</v>
      </c>
      <c r="C4156" s="154" t="s">
        <v>4538</v>
      </c>
      <c r="D4156" s="201" t="s">
        <v>1953</v>
      </c>
    </row>
    <row r="4157" spans="2:4">
      <c r="B4157" s="198" t="s">
        <v>5573</v>
      </c>
      <c r="C4157" s="154" t="s">
        <v>4232</v>
      </c>
      <c r="D4157" s="201" t="s">
        <v>1953</v>
      </c>
    </row>
    <row r="4158" spans="2:4">
      <c r="B4158" s="198" t="s">
        <v>5574</v>
      </c>
      <c r="C4158" s="154" t="s">
        <v>5588</v>
      </c>
      <c r="D4158" s="201" t="s">
        <v>1953</v>
      </c>
    </row>
    <row r="4159" spans="2:4">
      <c r="B4159" s="198" t="s">
        <v>5575</v>
      </c>
      <c r="C4159" s="154" t="s">
        <v>1587</v>
      </c>
      <c r="D4159" s="201" t="s">
        <v>1958</v>
      </c>
    </row>
    <row r="4160" spans="2:4">
      <c r="B4160" s="198" t="s">
        <v>5576</v>
      </c>
      <c r="C4160" s="154" t="s">
        <v>1587</v>
      </c>
      <c r="D4160" s="201" t="s">
        <v>1958</v>
      </c>
    </row>
    <row r="4161" spans="2:4">
      <c r="B4161" s="198" t="s">
        <v>5577</v>
      </c>
      <c r="C4161" s="154" t="s">
        <v>152</v>
      </c>
      <c r="D4161" s="201" t="s">
        <v>1952</v>
      </c>
    </row>
    <row r="4162" spans="2:4">
      <c r="B4162" s="198" t="s">
        <v>5578</v>
      </c>
      <c r="C4162" s="154" t="s">
        <v>152</v>
      </c>
      <c r="D4162" s="201" t="s">
        <v>1952</v>
      </c>
    </row>
    <row r="4163" spans="2:4">
      <c r="B4163" s="198" t="s">
        <v>5579</v>
      </c>
      <c r="C4163" s="154" t="s">
        <v>152</v>
      </c>
      <c r="D4163" s="201" t="s">
        <v>1952</v>
      </c>
    </row>
    <row r="4164" spans="2:4">
      <c r="B4164" s="198" t="s">
        <v>5580</v>
      </c>
      <c r="C4164" s="154" t="s">
        <v>152</v>
      </c>
      <c r="D4164" s="201" t="s">
        <v>1952</v>
      </c>
    </row>
    <row r="4165" spans="2:4">
      <c r="B4165" s="198" t="s">
        <v>5581</v>
      </c>
      <c r="C4165" s="154" t="s">
        <v>152</v>
      </c>
      <c r="D4165" s="201" t="s">
        <v>1952</v>
      </c>
    </row>
    <row r="4166" spans="2:4">
      <c r="B4166" s="198" t="s">
        <v>5582</v>
      </c>
      <c r="C4166" s="154" t="s">
        <v>149</v>
      </c>
      <c r="D4166" s="201" t="s">
        <v>1956</v>
      </c>
    </row>
    <row r="4167" spans="2:4">
      <c r="B4167" s="198" t="s">
        <v>5583</v>
      </c>
      <c r="C4167" s="154" t="s">
        <v>149</v>
      </c>
      <c r="D4167" s="201" t="s">
        <v>1956</v>
      </c>
    </row>
    <row r="4168" spans="2:4">
      <c r="B4168" s="198" t="s">
        <v>5584</v>
      </c>
      <c r="C4168" s="154" t="s">
        <v>5589</v>
      </c>
      <c r="D4168" s="201" t="s">
        <v>1954</v>
      </c>
    </row>
    <row r="4169" spans="2:4">
      <c r="B4169" s="198" t="s">
        <v>5590</v>
      </c>
      <c r="C4169" s="154" t="s">
        <v>3854</v>
      </c>
      <c r="D4169" s="201" t="s">
        <v>1955</v>
      </c>
    </row>
    <row r="4170" spans="2:4">
      <c r="B4170" s="198" t="s">
        <v>5597</v>
      </c>
      <c r="C4170" s="154" t="s">
        <v>149</v>
      </c>
      <c r="D4170" s="201" t="s">
        <v>1956</v>
      </c>
    </row>
    <row r="4171" spans="2:4">
      <c r="B4171" s="198" t="s">
        <v>5598</v>
      </c>
      <c r="C4171" s="154" t="s">
        <v>152</v>
      </c>
      <c r="D4171" s="201" t="s">
        <v>1952</v>
      </c>
    </row>
    <row r="4172" spans="2:4">
      <c r="B4172" s="198" t="s">
        <v>5599</v>
      </c>
      <c r="C4172" s="154" t="s">
        <v>152</v>
      </c>
      <c r="D4172" s="201" t="s">
        <v>1952</v>
      </c>
    </row>
    <row r="4173" spans="2:4">
      <c r="B4173" s="198" t="s">
        <v>5600</v>
      </c>
      <c r="C4173" s="154" t="s">
        <v>5602</v>
      </c>
      <c r="D4173" s="201" t="s">
        <v>1951</v>
      </c>
    </row>
    <row r="4174" spans="2:4">
      <c r="B4174" s="198"/>
      <c r="C4174" s="154"/>
      <c r="D4174" s="201"/>
    </row>
    <row r="4175" spans="2:4">
      <c r="B4175" s="198" t="s">
        <v>5592</v>
      </c>
      <c r="C4175" s="154" t="s">
        <v>1589</v>
      </c>
      <c r="D4175" s="201" t="s">
        <v>1953</v>
      </c>
    </row>
    <row r="4176" spans="2:4">
      <c r="B4176" s="198" t="s">
        <v>5593</v>
      </c>
      <c r="C4176" s="154" t="s">
        <v>1589</v>
      </c>
      <c r="D4176" s="201" t="s">
        <v>1953</v>
      </c>
    </row>
    <row r="4177" spans="2:4">
      <c r="B4177" s="198" t="s">
        <v>5594</v>
      </c>
      <c r="C4177" s="154" t="s">
        <v>1754</v>
      </c>
      <c r="D4177" s="201" t="s">
        <v>1956</v>
      </c>
    </row>
    <row r="4178" spans="2:4">
      <c r="B4178" s="198" t="s">
        <v>5595</v>
      </c>
      <c r="C4178" s="154" t="s">
        <v>2992</v>
      </c>
      <c r="D4178" s="201" t="s">
        <v>1953</v>
      </c>
    </row>
    <row r="4179" spans="2:4">
      <c r="B4179" s="198" t="s">
        <v>5596</v>
      </c>
      <c r="C4179" s="154" t="s">
        <v>1522</v>
      </c>
      <c r="D4179" s="201" t="s">
        <v>1953</v>
      </c>
    </row>
    <row r="4180" spans="2:4">
      <c r="B4180" s="198" t="s">
        <v>5601</v>
      </c>
      <c r="C4180" s="154" t="s">
        <v>1732</v>
      </c>
      <c r="D4180" s="201" t="s">
        <v>1955</v>
      </c>
    </row>
    <row r="4181" spans="2:4">
      <c r="B4181" s="198" t="s">
        <v>5603</v>
      </c>
      <c r="C4181" s="154" t="s">
        <v>1522</v>
      </c>
      <c r="D4181" s="201" t="s">
        <v>1953</v>
      </c>
    </row>
    <row r="4182" spans="2:4">
      <c r="B4182" s="198" t="s">
        <v>5604</v>
      </c>
      <c r="C4182" s="154" t="s">
        <v>3436</v>
      </c>
      <c r="D4182" s="201" t="s">
        <v>1952</v>
      </c>
    </row>
    <row r="4183" spans="2:4">
      <c r="B4183" s="198" t="s">
        <v>5605</v>
      </c>
      <c r="C4183" s="154" t="s">
        <v>1534</v>
      </c>
      <c r="D4183" s="201" t="s">
        <v>1959</v>
      </c>
    </row>
    <row r="4184" spans="2:4">
      <c r="B4184" s="198" t="s">
        <v>5606</v>
      </c>
      <c r="C4184" s="154" t="s">
        <v>5614</v>
      </c>
      <c r="D4184" s="201" t="s">
        <v>2274</v>
      </c>
    </row>
    <row r="4185" spans="2:4">
      <c r="B4185" s="198" t="s">
        <v>5607</v>
      </c>
      <c r="C4185" s="154" t="s">
        <v>5615</v>
      </c>
      <c r="D4185" s="201" t="s">
        <v>1959</v>
      </c>
    </row>
    <row r="4186" spans="2:4">
      <c r="B4186" s="198" t="s">
        <v>5608</v>
      </c>
      <c r="C4186" s="154" t="s">
        <v>5612</v>
      </c>
      <c r="D4186" s="201" t="s">
        <v>1951</v>
      </c>
    </row>
    <row r="4187" spans="2:4">
      <c r="B4187" s="198" t="s">
        <v>5609</v>
      </c>
      <c r="C4187" s="154" t="s">
        <v>3465</v>
      </c>
      <c r="D4187" s="201" t="s">
        <v>1951</v>
      </c>
    </row>
    <row r="4188" spans="2:4">
      <c r="B4188" s="198" t="s">
        <v>5610</v>
      </c>
      <c r="C4188" s="154" t="s">
        <v>1534</v>
      </c>
      <c r="D4188" s="201" t="s">
        <v>1959</v>
      </c>
    </row>
    <row r="4189" spans="2:4">
      <c r="B4189" s="198" t="s">
        <v>5611</v>
      </c>
      <c r="C4189" s="154" t="s">
        <v>5613</v>
      </c>
      <c r="D4189" s="201" t="s">
        <v>1951</v>
      </c>
    </row>
    <row r="4190" spans="2:4">
      <c r="B4190" s="198" t="s">
        <v>5616</v>
      </c>
      <c r="C4190" s="154" t="s">
        <v>1609</v>
      </c>
      <c r="D4190" s="201" t="s">
        <v>1951</v>
      </c>
    </row>
    <row r="4191" spans="2:4">
      <c r="B4191" s="198" t="s">
        <v>5617</v>
      </c>
      <c r="C4191" s="154" t="s">
        <v>1587</v>
      </c>
      <c r="D4191" s="201" t="s">
        <v>1958</v>
      </c>
    </row>
    <row r="4192" spans="2:4">
      <c r="B4192" s="122" t="s">
        <v>5618</v>
      </c>
      <c r="C4192" s="153" t="s">
        <v>1581</v>
      </c>
      <c r="D4192" s="201" t="s">
        <v>1955</v>
      </c>
    </row>
    <row r="4193" spans="2:4">
      <c r="B4193" s="198" t="s">
        <v>5619</v>
      </c>
      <c r="C4193" s="154" t="s">
        <v>1760</v>
      </c>
      <c r="D4193" s="201" t="s">
        <v>1956</v>
      </c>
    </row>
    <row r="4194" spans="2:4">
      <c r="B4194" s="198" t="s">
        <v>5620</v>
      </c>
      <c r="C4194" s="154" t="s">
        <v>150</v>
      </c>
      <c r="D4194" s="201" t="s">
        <v>1951</v>
      </c>
    </row>
    <row r="4195" spans="2:4">
      <c r="B4195" s="198" t="s">
        <v>5621</v>
      </c>
      <c r="C4195" s="154" t="s">
        <v>142</v>
      </c>
      <c r="D4195" s="201" t="s">
        <v>1954</v>
      </c>
    </row>
    <row r="4196" spans="2:4">
      <c r="B4196" s="198" t="s">
        <v>5622</v>
      </c>
      <c r="C4196" s="154" t="s">
        <v>149</v>
      </c>
      <c r="D4196" s="201" t="s">
        <v>1956</v>
      </c>
    </row>
    <row r="4197" spans="2:4">
      <c r="B4197" s="198" t="s">
        <v>5623</v>
      </c>
      <c r="C4197" s="154" t="s">
        <v>149</v>
      </c>
      <c r="D4197" s="201" t="s">
        <v>1956</v>
      </c>
    </row>
    <row r="4198" spans="2:4">
      <c r="B4198" s="198" t="s">
        <v>5624</v>
      </c>
      <c r="C4198" s="154" t="s">
        <v>150</v>
      </c>
      <c r="D4198" s="201" t="s">
        <v>1951</v>
      </c>
    </row>
    <row r="4199" spans="2:4">
      <c r="B4199" s="198" t="s">
        <v>5625</v>
      </c>
      <c r="C4199" s="154" t="s">
        <v>3854</v>
      </c>
      <c r="D4199" s="201" t="s">
        <v>1955</v>
      </c>
    </row>
    <row r="4200" spans="2:4">
      <c r="B4200" s="198" t="s">
        <v>5626</v>
      </c>
      <c r="C4200" s="154" t="s">
        <v>1560</v>
      </c>
      <c r="D4200" s="201" t="s">
        <v>1953</v>
      </c>
    </row>
    <row r="4201" spans="2:4">
      <c r="B4201" s="198" t="s">
        <v>5627</v>
      </c>
      <c r="C4201" s="154" t="s">
        <v>152</v>
      </c>
      <c r="D4201" s="201" t="s">
        <v>1952</v>
      </c>
    </row>
    <row r="4202" spans="2:4">
      <c r="B4202" s="198" t="s">
        <v>5628</v>
      </c>
      <c r="C4202" s="154" t="s">
        <v>149</v>
      </c>
      <c r="D4202" s="201" t="s">
        <v>1956</v>
      </c>
    </row>
    <row r="4203" spans="2:4">
      <c r="B4203" s="198" t="s">
        <v>5629</v>
      </c>
      <c r="C4203" s="154" t="s">
        <v>142</v>
      </c>
      <c r="D4203" s="201" t="s">
        <v>1954</v>
      </c>
    </row>
    <row r="4204" spans="2:4">
      <c r="B4204" s="198" t="s">
        <v>5630</v>
      </c>
      <c r="C4204" s="154" t="s">
        <v>1699</v>
      </c>
      <c r="D4204" s="201" t="s">
        <v>1956</v>
      </c>
    </row>
    <row r="4205" spans="2:4">
      <c r="B4205" s="198" t="s">
        <v>5631</v>
      </c>
      <c r="C4205" s="154" t="s">
        <v>8140</v>
      </c>
      <c r="D4205" s="201" t="s">
        <v>5662</v>
      </c>
    </row>
    <row r="4206" spans="2:4">
      <c r="B4206" s="198" t="s">
        <v>5632</v>
      </c>
      <c r="C4206" s="154" t="s">
        <v>3854</v>
      </c>
      <c r="D4206" s="201" t="s">
        <v>1955</v>
      </c>
    </row>
    <row r="4207" spans="2:4">
      <c r="B4207" s="198" t="s">
        <v>5633</v>
      </c>
      <c r="C4207" s="154" t="s">
        <v>1560</v>
      </c>
      <c r="D4207" s="201" t="s">
        <v>1953</v>
      </c>
    </row>
    <row r="4208" spans="2:4">
      <c r="B4208" s="198" t="s">
        <v>5634</v>
      </c>
      <c r="C4208" s="154" t="s">
        <v>1516</v>
      </c>
      <c r="D4208" s="201" t="s">
        <v>1955</v>
      </c>
    </row>
    <row r="4209" spans="2:4">
      <c r="B4209" s="198" t="s">
        <v>5635</v>
      </c>
      <c r="C4209" s="154" t="s">
        <v>1864</v>
      </c>
      <c r="D4209" s="201" t="s">
        <v>1956</v>
      </c>
    </row>
    <row r="4210" spans="2:4">
      <c r="B4210" s="198" t="s">
        <v>5636</v>
      </c>
      <c r="C4210" s="154" t="s">
        <v>142</v>
      </c>
      <c r="D4210" s="201" t="s">
        <v>1954</v>
      </c>
    </row>
    <row r="4211" spans="2:4">
      <c r="B4211" s="198" t="s">
        <v>5637</v>
      </c>
      <c r="C4211" s="154" t="s">
        <v>150</v>
      </c>
      <c r="D4211" s="201" t="s">
        <v>1951</v>
      </c>
    </row>
    <row r="4212" spans="2:4">
      <c r="B4212" s="198" t="s">
        <v>5638</v>
      </c>
      <c r="C4212" s="154" t="s">
        <v>1560</v>
      </c>
      <c r="D4212" s="201" t="s">
        <v>1953</v>
      </c>
    </row>
    <row r="4213" spans="2:4">
      <c r="B4213" s="198" t="s">
        <v>5659</v>
      </c>
      <c r="C4213" s="154" t="s">
        <v>3547</v>
      </c>
      <c r="D4213" s="201" t="s">
        <v>2220</v>
      </c>
    </row>
    <row r="4214" spans="2:4">
      <c r="B4214" s="198" t="s">
        <v>5660</v>
      </c>
      <c r="C4214" s="154" t="s">
        <v>5661</v>
      </c>
      <c r="D4214" s="201" t="s">
        <v>5662</v>
      </c>
    </row>
    <row r="4215" spans="2:4">
      <c r="B4215" s="198"/>
      <c r="C4215" s="154"/>
      <c r="D4215" s="201"/>
    </row>
    <row r="4216" spans="2:4">
      <c r="B4216" s="198" t="s">
        <v>5650</v>
      </c>
      <c r="C4216" s="154" t="s">
        <v>1522</v>
      </c>
      <c r="D4216" s="201" t="s">
        <v>1953</v>
      </c>
    </row>
    <row r="4217" spans="2:4">
      <c r="B4217" s="198"/>
      <c r="C4217" s="154"/>
      <c r="D4217" s="201"/>
    </row>
    <row r="4218" spans="2:4">
      <c r="B4218" s="198" t="s">
        <v>5642</v>
      </c>
      <c r="C4218" s="154" t="s">
        <v>5656</v>
      </c>
      <c r="D4218" s="201" t="s">
        <v>1951</v>
      </c>
    </row>
    <row r="4219" spans="2:4">
      <c r="B4219" s="198" t="s">
        <v>5651</v>
      </c>
      <c r="C4219" s="154" t="s">
        <v>5657</v>
      </c>
      <c r="D4219" s="201" t="s">
        <v>1955</v>
      </c>
    </row>
    <row r="4220" spans="2:4">
      <c r="B4220" s="198"/>
      <c r="C4220" s="154"/>
      <c r="D4220" s="201"/>
    </row>
    <row r="4221" spans="2:4">
      <c r="B4221" s="198" t="s">
        <v>5652</v>
      </c>
      <c r="C4221" s="154" t="s">
        <v>5658</v>
      </c>
      <c r="D4221" s="201" t="s">
        <v>1956</v>
      </c>
    </row>
    <row r="4222" spans="2:4">
      <c r="B4222" s="198" t="s">
        <v>5653</v>
      </c>
      <c r="C4222" s="154" t="s">
        <v>149</v>
      </c>
      <c r="D4222" s="201" t="s">
        <v>1956</v>
      </c>
    </row>
    <row r="4223" spans="2:4">
      <c r="B4223" s="198" t="s">
        <v>5649</v>
      </c>
      <c r="C4223" s="154" t="s">
        <v>4151</v>
      </c>
      <c r="D4223" s="201" t="s">
        <v>1951</v>
      </c>
    </row>
    <row r="4224" spans="2:4">
      <c r="B4224" s="198" t="s">
        <v>5654</v>
      </c>
      <c r="C4224" s="154" t="s">
        <v>149</v>
      </c>
      <c r="D4224" s="201" t="s">
        <v>1956</v>
      </c>
    </row>
    <row r="4225" spans="2:4">
      <c r="B4225" s="198" t="s">
        <v>5655</v>
      </c>
      <c r="C4225" s="154" t="s">
        <v>149</v>
      </c>
      <c r="D4225" s="201" t="s">
        <v>1956</v>
      </c>
    </row>
    <row r="4226" spans="2:4">
      <c r="B4226" s="198" t="s">
        <v>5663</v>
      </c>
      <c r="C4226" s="154" t="s">
        <v>5665</v>
      </c>
      <c r="D4226" s="201" t="s">
        <v>2220</v>
      </c>
    </row>
    <row r="4227" spans="2:4">
      <c r="B4227" s="198" t="s">
        <v>5664</v>
      </c>
      <c r="C4227" s="154" t="s">
        <v>5666</v>
      </c>
      <c r="D4227" s="201" t="s">
        <v>2220</v>
      </c>
    </row>
    <row r="4228" spans="2:4">
      <c r="B4228" s="198"/>
      <c r="C4228" s="154"/>
      <c r="D4228" s="201"/>
    </row>
    <row r="4229" spans="2:4">
      <c r="B4229" s="198" t="s">
        <v>5639</v>
      </c>
      <c r="C4229" s="154" t="s">
        <v>1532</v>
      </c>
      <c r="D4229" s="201" t="s">
        <v>1958</v>
      </c>
    </row>
    <row r="4230" spans="2:4">
      <c r="B4230" s="198" t="s">
        <v>5640</v>
      </c>
      <c r="C4230" s="154"/>
      <c r="D4230" s="201"/>
    </row>
    <row r="4231" spans="2:4">
      <c r="B4231" s="198" t="s">
        <v>5641</v>
      </c>
      <c r="C4231" s="154"/>
      <c r="D4231" s="201"/>
    </row>
    <row r="4232" spans="2:4">
      <c r="B4232" s="198" t="s">
        <v>5667</v>
      </c>
      <c r="C4232" s="154" t="s">
        <v>1587</v>
      </c>
      <c r="D4232" s="201" t="s">
        <v>1958</v>
      </c>
    </row>
    <row r="4233" spans="2:4">
      <c r="B4233" s="198" t="s">
        <v>5668</v>
      </c>
      <c r="C4233" s="154" t="s">
        <v>1718</v>
      </c>
      <c r="D4233" s="201" t="s">
        <v>1951</v>
      </c>
    </row>
    <row r="4234" spans="2:4">
      <c r="B4234" s="198" t="s">
        <v>5669</v>
      </c>
      <c r="C4234" s="154" t="s">
        <v>1660</v>
      </c>
      <c r="D4234" s="201" t="s">
        <v>1951</v>
      </c>
    </row>
    <row r="4235" spans="2:4">
      <c r="B4235" s="198" t="s">
        <v>5670</v>
      </c>
      <c r="C4235" s="154" t="s">
        <v>1848</v>
      </c>
      <c r="D4235" s="201" t="s">
        <v>1951</v>
      </c>
    </row>
    <row r="4236" spans="2:4">
      <c r="B4236" s="198" t="s">
        <v>5671</v>
      </c>
      <c r="C4236" s="154" t="s">
        <v>1587</v>
      </c>
      <c r="D4236" s="201" t="s">
        <v>1958</v>
      </c>
    </row>
    <row r="4237" spans="2:4">
      <c r="B4237" s="198" t="s">
        <v>5672</v>
      </c>
      <c r="C4237" s="154" t="s">
        <v>5676</v>
      </c>
      <c r="D4237" s="201" t="s">
        <v>1951</v>
      </c>
    </row>
    <row r="4238" spans="2:4">
      <c r="B4238" s="198" t="s">
        <v>5673</v>
      </c>
      <c r="C4238" s="154" t="s">
        <v>152</v>
      </c>
      <c r="D4238" s="201" t="s">
        <v>1952</v>
      </c>
    </row>
    <row r="4239" spans="2:4">
      <c r="B4239" s="198" t="s">
        <v>5674</v>
      </c>
      <c r="C4239" s="154" t="s">
        <v>142</v>
      </c>
      <c r="D4239" s="201" t="s">
        <v>1954</v>
      </c>
    </row>
    <row r="4240" spans="2:4">
      <c r="B4240" s="198" t="s">
        <v>5675</v>
      </c>
      <c r="C4240" s="154" t="s">
        <v>150</v>
      </c>
      <c r="D4240" s="201" t="s">
        <v>1951</v>
      </c>
    </row>
    <row r="4241" spans="2:4">
      <c r="B4241" s="198" t="s">
        <v>5677</v>
      </c>
      <c r="C4241" s="154" t="s">
        <v>5687</v>
      </c>
      <c r="D4241" s="201" t="s">
        <v>1958</v>
      </c>
    </row>
    <row r="4242" spans="2:4">
      <c r="B4242" s="198" t="s">
        <v>5678</v>
      </c>
      <c r="C4242" s="154" t="s">
        <v>5685</v>
      </c>
      <c r="D4242" s="201" t="s">
        <v>1952</v>
      </c>
    </row>
    <row r="4243" spans="2:4">
      <c r="B4243" s="198" t="s">
        <v>5679</v>
      </c>
      <c r="C4243" s="154" t="s">
        <v>3315</v>
      </c>
      <c r="D4243" s="201" t="s">
        <v>1954</v>
      </c>
    </row>
    <row r="4244" spans="2:4">
      <c r="B4244" s="198" t="s">
        <v>5680</v>
      </c>
      <c r="C4244" s="154" t="s">
        <v>5686</v>
      </c>
      <c r="D4244" s="201" t="s">
        <v>1956</v>
      </c>
    </row>
    <row r="4245" spans="2:4">
      <c r="B4245" s="198" t="s">
        <v>5681</v>
      </c>
      <c r="C4245" s="154" t="s">
        <v>3465</v>
      </c>
      <c r="D4245" s="201" t="s">
        <v>1951</v>
      </c>
    </row>
    <row r="4246" spans="2:4">
      <c r="B4246" s="198" t="s">
        <v>5682</v>
      </c>
      <c r="C4246" s="154" t="s">
        <v>3419</v>
      </c>
      <c r="D4246" s="201" t="s">
        <v>1953</v>
      </c>
    </row>
    <row r="4247" spans="2:4">
      <c r="B4247" s="198" t="s">
        <v>5683</v>
      </c>
      <c r="C4247" s="154" t="s">
        <v>3419</v>
      </c>
      <c r="D4247" s="201" t="s">
        <v>1953</v>
      </c>
    </row>
    <row r="4248" spans="2:4">
      <c r="B4248" s="198"/>
      <c r="C4248" s="154"/>
      <c r="D4248" s="201"/>
    </row>
    <row r="4249" spans="2:4">
      <c r="B4249" s="198" t="s">
        <v>5689</v>
      </c>
      <c r="C4249" s="154" t="s">
        <v>3138</v>
      </c>
      <c r="D4249" s="201" t="s">
        <v>1956</v>
      </c>
    </row>
    <row r="4250" spans="2:4">
      <c r="B4250" s="198" t="s">
        <v>5692</v>
      </c>
      <c r="C4250" s="154" t="s">
        <v>3965</v>
      </c>
      <c r="D4250" s="201" t="s">
        <v>1951</v>
      </c>
    </row>
    <row r="4251" spans="2:4">
      <c r="B4251" s="198" t="s">
        <v>5694</v>
      </c>
      <c r="C4251" s="154" t="s">
        <v>149</v>
      </c>
      <c r="D4251" s="201" t="s">
        <v>1956</v>
      </c>
    </row>
    <row r="4252" spans="2:4">
      <c r="B4252" s="198" t="s">
        <v>5696</v>
      </c>
      <c r="C4252" s="154" t="s">
        <v>5699</v>
      </c>
      <c r="D4252" s="201" t="s">
        <v>1956</v>
      </c>
    </row>
    <row r="4253" spans="2:4">
      <c r="B4253" s="198" t="s">
        <v>5697</v>
      </c>
      <c r="C4253" s="154" t="s">
        <v>3315</v>
      </c>
      <c r="D4253" s="201" t="s">
        <v>1954</v>
      </c>
    </row>
    <row r="4254" spans="2:4">
      <c r="B4254" s="198" t="s">
        <v>5698</v>
      </c>
      <c r="C4254" s="154" t="s">
        <v>1541</v>
      </c>
      <c r="D4254" s="201" t="s">
        <v>1955</v>
      </c>
    </row>
    <row r="4255" spans="2:4">
      <c r="B4255" s="198" t="s">
        <v>5688</v>
      </c>
      <c r="C4255" s="154" t="s">
        <v>3081</v>
      </c>
      <c r="D4255" s="201" t="s">
        <v>1957</v>
      </c>
    </row>
    <row r="4256" spans="2:4">
      <c r="B4256" s="198" t="s">
        <v>5690</v>
      </c>
      <c r="C4256" s="154" t="s">
        <v>5700</v>
      </c>
      <c r="D4256" s="201" t="s">
        <v>1959</v>
      </c>
    </row>
    <row r="4257" spans="2:4">
      <c r="B4257" s="198" t="s">
        <v>5691</v>
      </c>
      <c r="C4257" s="154" t="s">
        <v>5701</v>
      </c>
      <c r="D4257" s="201" t="s">
        <v>2220</v>
      </c>
    </row>
    <row r="4258" spans="2:4">
      <c r="B4258" s="198" t="s">
        <v>5643</v>
      </c>
      <c r="C4258" s="154" t="s">
        <v>1644</v>
      </c>
      <c r="D4258" s="201" t="s">
        <v>1959</v>
      </c>
    </row>
    <row r="4259" spans="2:4">
      <c r="B4259" s="198" t="s">
        <v>5644</v>
      </c>
      <c r="C4259" s="154" t="s">
        <v>3081</v>
      </c>
      <c r="D4259" s="201" t="s">
        <v>1957</v>
      </c>
    </row>
    <row r="4260" spans="2:4">
      <c r="B4260" s="198" t="s">
        <v>5693</v>
      </c>
      <c r="C4260" s="154" t="s">
        <v>5702</v>
      </c>
      <c r="D4260" s="201" t="s">
        <v>2216</v>
      </c>
    </row>
    <row r="4261" spans="2:4">
      <c r="B4261" s="198" t="s">
        <v>5707</v>
      </c>
      <c r="C4261" s="154" t="s">
        <v>5709</v>
      </c>
      <c r="D4261" s="201" t="s">
        <v>1955</v>
      </c>
    </row>
    <row r="4262" spans="2:4">
      <c r="B4262" s="198" t="s">
        <v>5695</v>
      </c>
      <c r="C4262" s="154" t="s">
        <v>3081</v>
      </c>
      <c r="D4262" s="201" t="s">
        <v>1957</v>
      </c>
    </row>
    <row r="4263" spans="2:4">
      <c r="B4263" s="198" t="s">
        <v>5703</v>
      </c>
      <c r="C4263" s="154" t="s">
        <v>150</v>
      </c>
      <c r="D4263" s="201" t="s">
        <v>1951</v>
      </c>
    </row>
    <row r="4264" spans="2:4">
      <c r="B4264" s="198" t="s">
        <v>5706</v>
      </c>
      <c r="C4264" s="154" t="s">
        <v>3315</v>
      </c>
      <c r="D4264" s="201" t="s">
        <v>1954</v>
      </c>
    </row>
    <row r="4265" spans="2:4">
      <c r="B4265" s="198" t="s">
        <v>5705</v>
      </c>
      <c r="C4265" s="154" t="s">
        <v>3467</v>
      </c>
      <c r="D4265" s="201" t="s">
        <v>1951</v>
      </c>
    </row>
    <row r="4266" spans="2:4">
      <c r="B4266" s="198" t="s">
        <v>5704</v>
      </c>
      <c r="C4266" s="154" t="s">
        <v>3036</v>
      </c>
      <c r="D4266" s="201" t="s">
        <v>1951</v>
      </c>
    </row>
    <row r="4267" spans="2:4">
      <c r="B4267" s="198" t="s">
        <v>5708</v>
      </c>
      <c r="C4267" s="154" t="s">
        <v>150</v>
      </c>
      <c r="D4267" s="201" t="s">
        <v>1951</v>
      </c>
    </row>
    <row r="4268" spans="2:4">
      <c r="B4268" s="198" t="s">
        <v>5710</v>
      </c>
      <c r="C4268" s="154" t="s">
        <v>5712</v>
      </c>
      <c r="D4268" s="201" t="s">
        <v>5662</v>
      </c>
    </row>
    <row r="4269" spans="2:4">
      <c r="B4269" s="198" t="s">
        <v>5711</v>
      </c>
      <c r="C4269" s="154" t="s">
        <v>5713</v>
      </c>
      <c r="D4269" s="201" t="s">
        <v>5662</v>
      </c>
    </row>
    <row r="4270" spans="2:4">
      <c r="B4270" s="198" t="s">
        <v>5714</v>
      </c>
      <c r="C4270" s="154" t="s">
        <v>149</v>
      </c>
      <c r="D4270" s="201" t="s">
        <v>1956</v>
      </c>
    </row>
    <row r="4271" spans="2:4">
      <c r="B4271" s="198" t="s">
        <v>5721</v>
      </c>
      <c r="C4271" s="154" t="s">
        <v>3962</v>
      </c>
      <c r="D4271" s="201" t="s">
        <v>1951</v>
      </c>
    </row>
    <row r="4272" spans="2:4">
      <c r="B4272" s="198" t="s">
        <v>5718</v>
      </c>
      <c r="C4272" s="154" t="s">
        <v>1641</v>
      </c>
      <c r="D4272" s="201" t="s">
        <v>1958</v>
      </c>
    </row>
    <row r="4273" spans="2:4">
      <c r="B4273" s="198" t="s">
        <v>5719</v>
      </c>
      <c r="C4273" s="154" t="s">
        <v>149</v>
      </c>
      <c r="D4273" s="201" t="s">
        <v>1956</v>
      </c>
    </row>
    <row r="4274" spans="2:4">
      <c r="B4274" s="198" t="s">
        <v>5716</v>
      </c>
      <c r="C4274" s="154" t="s">
        <v>1567</v>
      </c>
      <c r="D4274" s="201" t="s">
        <v>1953</v>
      </c>
    </row>
    <row r="4275" spans="2:4">
      <c r="B4275" s="198" t="s">
        <v>5717</v>
      </c>
      <c r="C4275" s="154" t="s">
        <v>150</v>
      </c>
      <c r="D4275" s="201" t="s">
        <v>1951</v>
      </c>
    </row>
    <row r="4276" spans="2:4">
      <c r="B4276" s="198" t="s">
        <v>5715</v>
      </c>
      <c r="C4276" s="154" t="s">
        <v>5702</v>
      </c>
      <c r="D4276" s="201" t="s">
        <v>2216</v>
      </c>
    </row>
    <row r="4277" spans="2:4">
      <c r="B4277" s="198" t="s">
        <v>5720</v>
      </c>
      <c r="C4277" s="154" t="s">
        <v>3081</v>
      </c>
      <c r="D4277" s="201" t="s">
        <v>1957</v>
      </c>
    </row>
    <row r="4278" spans="2:4">
      <c r="B4278" s="198" t="s">
        <v>5722</v>
      </c>
      <c r="C4278" s="154" t="s">
        <v>5661</v>
      </c>
      <c r="D4278" s="201" t="s">
        <v>5662</v>
      </c>
    </row>
    <row r="4279" spans="2:4">
      <c r="B4279" s="198" t="s">
        <v>5723</v>
      </c>
      <c r="C4279" s="154" t="s">
        <v>5725</v>
      </c>
      <c r="D4279" s="201" t="s">
        <v>2216</v>
      </c>
    </row>
    <row r="4280" spans="2:4">
      <c r="B4280" s="198" t="s">
        <v>5724</v>
      </c>
      <c r="C4280" s="154" t="s">
        <v>1625</v>
      </c>
      <c r="D4280" s="201" t="s">
        <v>1951</v>
      </c>
    </row>
    <row r="4281" spans="2:4">
      <c r="B4281" s="198" t="s">
        <v>5726</v>
      </c>
      <c r="C4281" s="154" t="s">
        <v>3931</v>
      </c>
      <c r="D4281" s="201" t="s">
        <v>1953</v>
      </c>
    </row>
    <row r="4282" spans="2:4">
      <c r="B4282" s="198" t="s">
        <v>5727</v>
      </c>
      <c r="C4282" s="154" t="s">
        <v>5729</v>
      </c>
      <c r="D4282" s="201" t="s">
        <v>1953</v>
      </c>
    </row>
    <row r="4283" spans="2:4">
      <c r="B4283" s="198" t="s">
        <v>5728</v>
      </c>
      <c r="C4283" s="154" t="s">
        <v>3446</v>
      </c>
      <c r="D4283" s="201" t="s">
        <v>1955</v>
      </c>
    </row>
    <row r="4284" spans="2:4">
      <c r="B4284" s="198" t="s">
        <v>5732</v>
      </c>
      <c r="C4284" s="154" t="s">
        <v>150</v>
      </c>
      <c r="D4284" s="201" t="s">
        <v>1951</v>
      </c>
    </row>
    <row r="4285" spans="2:4">
      <c r="B4285" s="198" t="s">
        <v>5733</v>
      </c>
      <c r="C4285" s="154" t="s">
        <v>3279</v>
      </c>
      <c r="D4285" s="201" t="s">
        <v>2216</v>
      </c>
    </row>
    <row r="4286" spans="2:4">
      <c r="B4286" s="198" t="s">
        <v>5734</v>
      </c>
      <c r="C4286" s="154" t="s">
        <v>150</v>
      </c>
      <c r="D4286" s="201" t="s">
        <v>1951</v>
      </c>
    </row>
    <row r="4287" spans="2:4">
      <c r="B4287" s="198" t="s">
        <v>5748</v>
      </c>
      <c r="C4287" s="154" t="s">
        <v>150</v>
      </c>
      <c r="D4287" s="201" t="s">
        <v>1951</v>
      </c>
    </row>
    <row r="4288" spans="2:4">
      <c r="B4288" s="198" t="s">
        <v>5749</v>
      </c>
      <c r="C4288" s="154" t="s">
        <v>150</v>
      </c>
      <c r="D4288" s="201" t="s">
        <v>1951</v>
      </c>
    </row>
    <row r="4289" spans="2:4">
      <c r="B4289" s="198" t="s">
        <v>5739</v>
      </c>
      <c r="C4289" s="154" t="s">
        <v>1513</v>
      </c>
      <c r="D4289" s="201" t="s">
        <v>1956</v>
      </c>
    </row>
    <row r="4290" spans="2:4">
      <c r="B4290" s="198" t="s">
        <v>5740</v>
      </c>
      <c r="C4290" s="154" t="s">
        <v>5751</v>
      </c>
      <c r="D4290" s="201" t="s">
        <v>1956</v>
      </c>
    </row>
    <row r="4291" spans="2:4">
      <c r="B4291" s="198" t="s">
        <v>5741</v>
      </c>
      <c r="C4291" s="154" t="s">
        <v>1739</v>
      </c>
      <c r="D4291" s="201" t="s">
        <v>1956</v>
      </c>
    </row>
    <row r="4292" spans="2:4">
      <c r="B4292" s="198" t="s">
        <v>5742</v>
      </c>
      <c r="C4292" s="154" t="s">
        <v>5752</v>
      </c>
      <c r="D4292" s="201" t="s">
        <v>1956</v>
      </c>
    </row>
    <row r="4293" spans="2:4">
      <c r="B4293" s="198" t="s">
        <v>5743</v>
      </c>
      <c r="C4293" s="154" t="s">
        <v>5752</v>
      </c>
      <c r="D4293" s="201" t="s">
        <v>1956</v>
      </c>
    </row>
    <row r="4294" spans="2:4">
      <c r="B4294" s="198" t="s">
        <v>5736</v>
      </c>
      <c r="C4294" s="154" t="s">
        <v>150</v>
      </c>
      <c r="D4294" s="201" t="s">
        <v>1951</v>
      </c>
    </row>
    <row r="4295" spans="2:4">
      <c r="B4295" s="198" t="s">
        <v>5737</v>
      </c>
      <c r="C4295" s="154" t="s">
        <v>5750</v>
      </c>
      <c r="D4295" s="201" t="s">
        <v>1952</v>
      </c>
    </row>
    <row r="4296" spans="2:4">
      <c r="B4296" s="198" t="s">
        <v>5738</v>
      </c>
      <c r="C4296" s="154" t="s">
        <v>5750</v>
      </c>
      <c r="D4296" s="201" t="s">
        <v>1952</v>
      </c>
    </row>
    <row r="4297" spans="2:4">
      <c r="B4297" s="198" t="s">
        <v>5730</v>
      </c>
      <c r="C4297" s="154" t="s">
        <v>5763</v>
      </c>
      <c r="D4297" s="201" t="s">
        <v>2216</v>
      </c>
    </row>
    <row r="4298" spans="2:4">
      <c r="B4298" s="198" t="s">
        <v>5731</v>
      </c>
      <c r="C4298" s="154" t="s">
        <v>3081</v>
      </c>
      <c r="D4298" s="201" t="s">
        <v>1957</v>
      </c>
    </row>
    <row r="4299" spans="2:4">
      <c r="B4299" s="198" t="s">
        <v>5645</v>
      </c>
      <c r="C4299" s="154" t="s">
        <v>5763</v>
      </c>
      <c r="D4299" s="201" t="s">
        <v>2216</v>
      </c>
    </row>
    <row r="4300" spans="2:4">
      <c r="B4300" s="198" t="s">
        <v>5646</v>
      </c>
      <c r="C4300" s="154" t="s">
        <v>3081</v>
      </c>
      <c r="D4300" s="201" t="s">
        <v>1957</v>
      </c>
    </row>
    <row r="4301" spans="2:4">
      <c r="B4301" s="198" t="s">
        <v>5647</v>
      </c>
      <c r="C4301" s="154" t="s">
        <v>5764</v>
      </c>
      <c r="D4301" s="201" t="s">
        <v>1959</v>
      </c>
    </row>
    <row r="4302" spans="2:4">
      <c r="B4302" s="198" t="s">
        <v>5648</v>
      </c>
      <c r="C4302" s="154" t="s">
        <v>5665</v>
      </c>
      <c r="D4302" s="201" t="s">
        <v>2220</v>
      </c>
    </row>
    <row r="4303" spans="2:4">
      <c r="B4303" s="198" t="s">
        <v>5735</v>
      </c>
      <c r="C4303" s="154" t="s">
        <v>3081</v>
      </c>
      <c r="D4303" s="201" t="s">
        <v>1957</v>
      </c>
    </row>
    <row r="4304" spans="2:4">
      <c r="B4304" s="198" t="s">
        <v>5753</v>
      </c>
      <c r="C4304" s="154" t="s">
        <v>1664</v>
      </c>
      <c r="D4304" s="201" t="s">
        <v>1956</v>
      </c>
    </row>
    <row r="4305" spans="2:4">
      <c r="B4305" s="198" t="s">
        <v>5744</v>
      </c>
      <c r="C4305" s="154" t="s">
        <v>5713</v>
      </c>
      <c r="D4305" s="201" t="s">
        <v>5662</v>
      </c>
    </row>
    <row r="4306" spans="2:4">
      <c r="B4306" s="198" t="s">
        <v>5745</v>
      </c>
      <c r="C4306" s="154" t="s">
        <v>1644</v>
      </c>
      <c r="D4306" s="201" t="s">
        <v>1959</v>
      </c>
    </row>
    <row r="4307" spans="2:4">
      <c r="B4307" s="198" t="s">
        <v>5746</v>
      </c>
      <c r="C4307" s="154" t="s">
        <v>5765</v>
      </c>
      <c r="D4307" s="201" t="s">
        <v>5662</v>
      </c>
    </row>
    <row r="4308" spans="2:4">
      <c r="B4308" s="198" t="s">
        <v>5747</v>
      </c>
      <c r="C4308" s="154" t="s">
        <v>150</v>
      </c>
      <c r="D4308" s="201" t="s">
        <v>1951</v>
      </c>
    </row>
    <row r="4309" spans="2:4">
      <c r="B4309" s="198" t="s">
        <v>5754</v>
      </c>
      <c r="C4309" s="154" t="s">
        <v>5725</v>
      </c>
      <c r="D4309" s="201" t="s">
        <v>2216</v>
      </c>
    </row>
    <row r="4310" spans="2:4">
      <c r="B4310" s="198" t="s">
        <v>5755</v>
      </c>
      <c r="C4310" s="154" t="s">
        <v>150</v>
      </c>
      <c r="D4310" s="201" t="s">
        <v>1951</v>
      </c>
    </row>
    <row r="4311" spans="2:4">
      <c r="B4311" s="198" t="s">
        <v>5756</v>
      </c>
      <c r="C4311" s="154" t="s">
        <v>151</v>
      </c>
      <c r="D4311" s="201" t="s">
        <v>1954</v>
      </c>
    </row>
    <row r="4312" spans="2:4">
      <c r="B4312" s="198" t="s">
        <v>5757</v>
      </c>
      <c r="C4312" s="154" t="s">
        <v>1657</v>
      </c>
      <c r="D4312" s="201" t="s">
        <v>1956</v>
      </c>
    </row>
    <row r="4313" spans="2:4">
      <c r="B4313" s="198" t="s">
        <v>5758</v>
      </c>
      <c r="C4313" s="154" t="s">
        <v>1718</v>
      </c>
      <c r="D4313" s="201" t="s">
        <v>1951</v>
      </c>
    </row>
    <row r="4314" spans="2:4">
      <c r="B4314" s="198" t="s">
        <v>5759</v>
      </c>
      <c r="C4314" s="154" t="s">
        <v>1560</v>
      </c>
      <c r="D4314" s="201" t="s">
        <v>1953</v>
      </c>
    </row>
    <row r="4315" spans="2:4">
      <c r="B4315" s="198" t="s">
        <v>5760</v>
      </c>
      <c r="C4315" s="154" t="s">
        <v>1541</v>
      </c>
      <c r="D4315" s="201" t="s">
        <v>1955</v>
      </c>
    </row>
    <row r="4316" spans="2:4">
      <c r="B4316" s="198" t="s">
        <v>5761</v>
      </c>
      <c r="C4316" s="154" t="s">
        <v>1519</v>
      </c>
      <c r="D4316" s="201" t="s">
        <v>1951</v>
      </c>
    </row>
    <row r="4317" spans="2:4">
      <c r="B4317" s="198" t="s">
        <v>5762</v>
      </c>
      <c r="C4317" s="154" t="s">
        <v>149</v>
      </c>
      <c r="D4317" s="201" t="s">
        <v>1956</v>
      </c>
    </row>
    <row r="4318" spans="2:4">
      <c r="B4318" s="198" t="s">
        <v>5766</v>
      </c>
      <c r="C4318" s="154" t="s">
        <v>5775</v>
      </c>
      <c r="D4318" s="201" t="s">
        <v>2216</v>
      </c>
    </row>
    <row r="4319" spans="2:4">
      <c r="B4319" s="198" t="s">
        <v>5767</v>
      </c>
      <c r="C4319" s="154" t="s">
        <v>5775</v>
      </c>
      <c r="D4319" s="201" t="s">
        <v>2216</v>
      </c>
    </row>
    <row r="4320" spans="2:4">
      <c r="B4320" s="198" t="s">
        <v>5768</v>
      </c>
      <c r="C4320" s="154" t="s">
        <v>5776</v>
      </c>
      <c r="D4320" s="201" t="s">
        <v>2216</v>
      </c>
    </row>
    <row r="4321" spans="2:4">
      <c r="B4321" s="198" t="s">
        <v>5769</v>
      </c>
      <c r="C4321" s="154" t="s">
        <v>5777</v>
      </c>
      <c r="D4321" s="201" t="s">
        <v>1952</v>
      </c>
    </row>
    <row r="4322" spans="2:4">
      <c r="B4322" s="198" t="s">
        <v>5770</v>
      </c>
      <c r="C4322" s="154" t="s">
        <v>5778</v>
      </c>
      <c r="D4322" s="201" t="s">
        <v>1953</v>
      </c>
    </row>
    <row r="4323" spans="2:4">
      <c r="B4323" s="198" t="s">
        <v>5771</v>
      </c>
      <c r="C4323" s="154" t="s">
        <v>3213</v>
      </c>
      <c r="D4323" s="201" t="s">
        <v>1953</v>
      </c>
    </row>
    <row r="4324" spans="2:4">
      <c r="B4324" s="198" t="s">
        <v>5772</v>
      </c>
      <c r="C4324" s="154" t="s">
        <v>3315</v>
      </c>
      <c r="D4324" s="201" t="s">
        <v>1954</v>
      </c>
    </row>
    <row r="4325" spans="2:4">
      <c r="B4325" s="198" t="s">
        <v>5773</v>
      </c>
      <c r="C4325" s="154" t="s">
        <v>5779</v>
      </c>
      <c r="D4325" s="201" t="s">
        <v>1956</v>
      </c>
    </row>
    <row r="4326" spans="2:4">
      <c r="B4326" s="198" t="s">
        <v>5782</v>
      </c>
      <c r="C4326" s="154" t="s">
        <v>5780</v>
      </c>
      <c r="D4326" s="201" t="s">
        <v>2216</v>
      </c>
    </row>
    <row r="4327" spans="2:4">
      <c r="B4327" s="198" t="s">
        <v>5774</v>
      </c>
      <c r="C4327" s="154" t="s">
        <v>5781</v>
      </c>
      <c r="D4327" s="201" t="s">
        <v>1956</v>
      </c>
    </row>
    <row r="4328" spans="2:4">
      <c r="B4328" s="198" t="s">
        <v>5783</v>
      </c>
      <c r="C4328" s="154" t="s">
        <v>1655</v>
      </c>
      <c r="D4328" s="201" t="s">
        <v>1954</v>
      </c>
    </row>
    <row r="4329" spans="2:4">
      <c r="B4329" s="198" t="s">
        <v>5784</v>
      </c>
      <c r="C4329" s="154" t="s">
        <v>1718</v>
      </c>
      <c r="D4329" s="201" t="s">
        <v>1951</v>
      </c>
    </row>
    <row r="4330" spans="2:4">
      <c r="B4330" s="198" t="s">
        <v>5789</v>
      </c>
      <c r="C4330" s="154" t="s">
        <v>4826</v>
      </c>
      <c r="D4330" s="201" t="s">
        <v>1956</v>
      </c>
    </row>
    <row r="4331" spans="2:4">
      <c r="B4331" s="198" t="s">
        <v>5786</v>
      </c>
      <c r="C4331" s="154" t="s">
        <v>150</v>
      </c>
      <c r="D4331" s="201" t="s">
        <v>1951</v>
      </c>
    </row>
    <row r="4332" spans="2:4">
      <c r="B4332" s="198" t="s">
        <v>5787</v>
      </c>
      <c r="C4332" s="154" t="s">
        <v>1699</v>
      </c>
      <c r="D4332" s="201" t="s">
        <v>1956</v>
      </c>
    </row>
    <row r="4333" spans="2:4">
      <c r="B4333" s="198" t="s">
        <v>5785</v>
      </c>
      <c r="C4333" s="154" t="s">
        <v>3465</v>
      </c>
      <c r="D4333" s="201" t="s">
        <v>5803</v>
      </c>
    </row>
    <row r="4334" spans="2:4">
      <c r="B4334" s="198" t="s">
        <v>5788</v>
      </c>
      <c r="C4334" s="154" t="s">
        <v>3081</v>
      </c>
      <c r="D4334" s="201" t="s">
        <v>1957</v>
      </c>
    </row>
    <row r="4335" spans="2:4">
      <c r="B4335" s="198" t="s">
        <v>5790</v>
      </c>
      <c r="C4335" s="154" t="s">
        <v>5804</v>
      </c>
      <c r="D4335" s="201" t="s">
        <v>1956</v>
      </c>
    </row>
    <row r="4336" spans="2:4">
      <c r="B4336" s="198" t="s">
        <v>5791</v>
      </c>
      <c r="C4336" s="154" t="s">
        <v>3175</v>
      </c>
      <c r="D4336" s="201" t="s">
        <v>1955</v>
      </c>
    </row>
    <row r="4337" spans="2:4">
      <c r="B4337" s="198" t="s">
        <v>5792</v>
      </c>
      <c r="C4337" s="154" t="s">
        <v>5798</v>
      </c>
      <c r="D4337" s="201" t="s">
        <v>5662</v>
      </c>
    </row>
    <row r="4338" spans="2:4">
      <c r="B4338" s="198" t="s">
        <v>5793</v>
      </c>
      <c r="C4338" s="154" t="s">
        <v>5799</v>
      </c>
      <c r="D4338" s="201" t="s">
        <v>1959</v>
      </c>
    </row>
    <row r="4339" spans="2:4">
      <c r="B4339" s="198" t="s">
        <v>5794</v>
      </c>
      <c r="C4339" s="154" t="s">
        <v>5798</v>
      </c>
      <c r="D4339" s="201" t="s">
        <v>5662</v>
      </c>
    </row>
    <row r="4340" spans="2:4">
      <c r="B4340" s="198" t="s">
        <v>5795</v>
      </c>
      <c r="C4340" s="154" t="s">
        <v>5800</v>
      </c>
      <c r="D4340" s="201" t="s">
        <v>5662</v>
      </c>
    </row>
    <row r="4341" spans="2:4">
      <c r="B4341" s="198" t="s">
        <v>5796</v>
      </c>
      <c r="C4341" s="154" t="s">
        <v>5801</v>
      </c>
      <c r="D4341" s="201" t="s">
        <v>5662</v>
      </c>
    </row>
    <row r="4342" spans="2:4">
      <c r="B4342" s="198" t="s">
        <v>5797</v>
      </c>
      <c r="C4342" s="154" t="s">
        <v>5802</v>
      </c>
      <c r="D4342" s="201" t="s">
        <v>5662</v>
      </c>
    </row>
    <row r="4343" spans="2:4">
      <c r="B4343" s="198" t="s">
        <v>5805</v>
      </c>
      <c r="C4343" s="154" t="s">
        <v>3081</v>
      </c>
      <c r="D4343" s="201" t="s">
        <v>1957</v>
      </c>
    </row>
    <row r="4344" spans="2:4">
      <c r="B4344" s="198" t="s">
        <v>5806</v>
      </c>
      <c r="C4344" s="154" t="s">
        <v>5813</v>
      </c>
      <c r="D4344" s="201" t="s">
        <v>2216</v>
      </c>
    </row>
    <row r="4345" spans="2:4">
      <c r="B4345" s="198" t="s">
        <v>5807</v>
      </c>
      <c r="C4345" s="154" t="s">
        <v>5814</v>
      </c>
      <c r="D4345" s="201" t="s">
        <v>1959</v>
      </c>
    </row>
    <row r="4346" spans="2:4">
      <c r="B4346" s="198" t="s">
        <v>5808</v>
      </c>
      <c r="C4346" s="154" t="s">
        <v>5815</v>
      </c>
      <c r="D4346" s="201" t="s">
        <v>2216</v>
      </c>
    </row>
    <row r="4347" spans="2:4">
      <c r="B4347" s="198" t="s">
        <v>5809</v>
      </c>
      <c r="C4347" s="154" t="s">
        <v>5799</v>
      </c>
      <c r="D4347" s="201" t="s">
        <v>1959</v>
      </c>
    </row>
    <row r="4348" spans="2:4">
      <c r="B4348" s="198" t="s">
        <v>5810</v>
      </c>
      <c r="C4348" s="154" t="s">
        <v>5816</v>
      </c>
      <c r="D4348" s="201" t="s">
        <v>2216</v>
      </c>
    </row>
    <row r="4349" spans="2:4">
      <c r="B4349" s="198" t="s">
        <v>5811</v>
      </c>
      <c r="C4349" s="154" t="s">
        <v>3081</v>
      </c>
      <c r="D4349" s="201" t="s">
        <v>1957</v>
      </c>
    </row>
    <row r="4350" spans="2:4">
      <c r="B4350" s="198" t="s">
        <v>5812</v>
      </c>
      <c r="C4350" s="154" t="s">
        <v>3081</v>
      </c>
      <c r="D4350" s="201" t="s">
        <v>1957</v>
      </c>
    </row>
    <row r="4351" spans="2:4">
      <c r="B4351" s="198" t="s">
        <v>5817</v>
      </c>
      <c r="C4351" s="154" t="s">
        <v>5821</v>
      </c>
      <c r="D4351" s="201" t="s">
        <v>2216</v>
      </c>
    </row>
    <row r="4352" spans="2:4">
      <c r="B4352" s="198" t="s">
        <v>5820</v>
      </c>
      <c r="C4352" s="154" t="s">
        <v>5822</v>
      </c>
      <c r="D4352" s="201" t="s">
        <v>2220</v>
      </c>
    </row>
    <row r="4353" spans="2:4">
      <c r="B4353" s="198" t="s">
        <v>5819</v>
      </c>
      <c r="C4353" s="154" t="s">
        <v>5801</v>
      </c>
      <c r="D4353" s="201" t="s">
        <v>5662</v>
      </c>
    </row>
    <row r="4354" spans="2:4">
      <c r="B4354" s="198" t="s">
        <v>5818</v>
      </c>
      <c r="C4354" s="154" t="s">
        <v>4921</v>
      </c>
      <c r="D4354" s="201" t="s">
        <v>1959</v>
      </c>
    </row>
    <row r="4355" spans="2:4">
      <c r="B4355" s="198" t="s">
        <v>5823</v>
      </c>
      <c r="C4355" s="154" t="s">
        <v>1581</v>
      </c>
      <c r="D4355" s="201" t="s">
        <v>1955</v>
      </c>
    </row>
    <row r="4356" spans="2:4">
      <c r="B4356" s="198" t="s">
        <v>5824</v>
      </c>
      <c r="C4356" s="154" t="s">
        <v>1541</v>
      </c>
      <c r="D4356" s="201" t="s">
        <v>1955</v>
      </c>
    </row>
    <row r="4357" spans="2:4">
      <c r="B4357" s="198" t="s">
        <v>5825</v>
      </c>
      <c r="C4357" s="154" t="s">
        <v>1519</v>
      </c>
      <c r="D4357" s="201" t="s">
        <v>1951</v>
      </c>
    </row>
    <row r="4358" spans="2:4">
      <c r="B4358" s="198" t="s">
        <v>5826</v>
      </c>
      <c r="C4358" s="154" t="s">
        <v>1522</v>
      </c>
      <c r="D4358" s="201" t="s">
        <v>1953</v>
      </c>
    </row>
    <row r="4359" spans="2:4">
      <c r="B4359" s="198" t="s">
        <v>5827</v>
      </c>
      <c r="C4359" s="154" t="s">
        <v>1541</v>
      </c>
      <c r="D4359" s="201" t="s">
        <v>1955</v>
      </c>
    </row>
    <row r="4360" spans="2:4">
      <c r="B4360" s="198" t="s">
        <v>5828</v>
      </c>
      <c r="C4360" s="154" t="s">
        <v>142</v>
      </c>
      <c r="D4360" s="201" t="s">
        <v>1954</v>
      </c>
    </row>
    <row r="4361" spans="2:4">
      <c r="B4361" s="198" t="s">
        <v>5829</v>
      </c>
      <c r="C4361" s="154" t="s">
        <v>1587</v>
      </c>
      <c r="D4361" s="201" t="s">
        <v>1958</v>
      </c>
    </row>
    <row r="4362" spans="2:4">
      <c r="B4362" s="198" t="s">
        <v>5830</v>
      </c>
      <c r="C4362" s="154" t="s">
        <v>1541</v>
      </c>
      <c r="D4362" s="201" t="s">
        <v>1955</v>
      </c>
    </row>
    <row r="4363" spans="2:4">
      <c r="B4363" s="198" t="s">
        <v>5831</v>
      </c>
      <c r="C4363" s="154" t="s">
        <v>5832</v>
      </c>
      <c r="D4363" s="201" t="s">
        <v>1952</v>
      </c>
    </row>
    <row r="4364" spans="2:4">
      <c r="B4364" s="198" t="s">
        <v>5833</v>
      </c>
      <c r="C4364" s="154" t="s">
        <v>1587</v>
      </c>
      <c r="D4364" s="201" t="s">
        <v>1958</v>
      </c>
    </row>
    <row r="4365" spans="2:4">
      <c r="B4365" s="198" t="s">
        <v>5834</v>
      </c>
      <c r="C4365" s="154" t="s">
        <v>5421</v>
      </c>
      <c r="D4365" s="201" t="s">
        <v>1952</v>
      </c>
    </row>
    <row r="4366" spans="2:4">
      <c r="B4366" s="198" t="s">
        <v>5835</v>
      </c>
      <c r="C4366" s="154" t="s">
        <v>1513</v>
      </c>
      <c r="D4366" s="201" t="s">
        <v>1956</v>
      </c>
    </row>
    <row r="4367" spans="2:4">
      <c r="B4367" s="198" t="s">
        <v>5836</v>
      </c>
      <c r="C4367" s="154" t="s">
        <v>150</v>
      </c>
      <c r="D4367" s="201" t="s">
        <v>1951</v>
      </c>
    </row>
    <row r="4368" spans="2:4">
      <c r="B4368" s="198" t="s">
        <v>5837</v>
      </c>
      <c r="C4368" s="154" t="s">
        <v>142</v>
      </c>
      <c r="D4368" s="201" t="s">
        <v>1954</v>
      </c>
    </row>
    <row r="4369" spans="2:4">
      <c r="B4369" s="198" t="s">
        <v>5838</v>
      </c>
      <c r="C4369" s="154" t="s">
        <v>1639</v>
      </c>
      <c r="D4369" s="201" t="s">
        <v>1956</v>
      </c>
    </row>
    <row r="4370" spans="2:4">
      <c r="B4370" s="198" t="s">
        <v>5839</v>
      </c>
      <c r="C4370" s="154" t="s">
        <v>1664</v>
      </c>
      <c r="D4370" s="201" t="s">
        <v>1956</v>
      </c>
    </row>
    <row r="4371" spans="2:4">
      <c r="B4371" s="198" t="s">
        <v>5840</v>
      </c>
      <c r="C4371" s="154" t="s">
        <v>1639</v>
      </c>
      <c r="D4371" s="201" t="s">
        <v>1956</v>
      </c>
    </row>
    <row r="4372" spans="2:4">
      <c r="B4372" s="198" t="s">
        <v>5841</v>
      </c>
      <c r="C4372" s="154" t="s">
        <v>1513</v>
      </c>
      <c r="D4372" s="201" t="s">
        <v>1956</v>
      </c>
    </row>
    <row r="4373" spans="2:4">
      <c r="B4373" s="198" t="s">
        <v>5842</v>
      </c>
      <c r="C4373" s="154" t="s">
        <v>1739</v>
      </c>
      <c r="D4373" s="201" t="s">
        <v>1956</v>
      </c>
    </row>
    <row r="4374" spans="2:4">
      <c r="B4374" s="198" t="s">
        <v>5843</v>
      </c>
      <c r="C4374" s="154" t="s">
        <v>5421</v>
      </c>
      <c r="D4374" s="201" t="s">
        <v>1952</v>
      </c>
    </row>
    <row r="4375" spans="2:4">
      <c r="B4375" s="198" t="s">
        <v>5844</v>
      </c>
      <c r="C4375" s="154" t="s">
        <v>150</v>
      </c>
      <c r="D4375" s="201" t="s">
        <v>1951</v>
      </c>
    </row>
    <row r="4376" spans="2:4">
      <c r="B4376" s="198" t="s">
        <v>5845</v>
      </c>
      <c r="C4376" s="154" t="s">
        <v>142</v>
      </c>
      <c r="D4376" s="201" t="s">
        <v>1954</v>
      </c>
    </row>
    <row r="4377" spans="2:4">
      <c r="B4377" s="198" t="s">
        <v>5846</v>
      </c>
      <c r="C4377" s="154" t="s">
        <v>142</v>
      </c>
      <c r="D4377" s="201" t="s">
        <v>1954</v>
      </c>
    </row>
    <row r="4378" spans="2:4">
      <c r="B4378" s="198" t="s">
        <v>5847</v>
      </c>
      <c r="C4378" s="154" t="s">
        <v>3081</v>
      </c>
      <c r="D4378" s="201" t="s">
        <v>1957</v>
      </c>
    </row>
    <row r="4379" spans="2:4">
      <c r="B4379" s="198" t="s">
        <v>5848</v>
      </c>
      <c r="C4379" s="154" t="s">
        <v>3081</v>
      </c>
      <c r="D4379" s="201" t="s">
        <v>1957</v>
      </c>
    </row>
    <row r="4380" spans="2:4">
      <c r="B4380" s="198" t="s">
        <v>5849</v>
      </c>
      <c r="C4380" s="154" t="s">
        <v>1784</v>
      </c>
      <c r="D4380" s="201" t="s">
        <v>1951</v>
      </c>
    </row>
    <row r="4381" spans="2:4">
      <c r="B4381" s="198" t="s">
        <v>5850</v>
      </c>
      <c r="C4381" s="154" t="s">
        <v>1559</v>
      </c>
      <c r="D4381" s="201" t="s">
        <v>1952</v>
      </c>
    </row>
    <row r="4382" spans="2:4">
      <c r="B4382" s="198" t="s">
        <v>5851</v>
      </c>
      <c r="C4382" s="154" t="s">
        <v>1641</v>
      </c>
      <c r="D4382" s="201" t="s">
        <v>1958</v>
      </c>
    </row>
    <row r="4383" spans="2:4">
      <c r="B4383" s="198" t="s">
        <v>5852</v>
      </c>
      <c r="C4383" s="154" t="s">
        <v>1587</v>
      </c>
      <c r="D4383" s="201" t="s">
        <v>1958</v>
      </c>
    </row>
    <row r="4384" spans="2:4">
      <c r="B4384" s="198" t="s">
        <v>5853</v>
      </c>
      <c r="C4384" s="154" t="s">
        <v>3926</v>
      </c>
      <c r="D4384" s="201" t="s">
        <v>1958</v>
      </c>
    </row>
    <row r="4385" spans="2:4">
      <c r="B4385" s="198" t="s">
        <v>5854</v>
      </c>
      <c r="C4385" s="154" t="s">
        <v>1623</v>
      </c>
      <c r="D4385" s="201" t="s">
        <v>1958</v>
      </c>
    </row>
    <row r="4386" spans="2:4">
      <c r="B4386" s="198" t="s">
        <v>5855</v>
      </c>
      <c r="C4386" s="154" t="s">
        <v>5857</v>
      </c>
      <c r="D4386" s="201" t="s">
        <v>1958</v>
      </c>
    </row>
    <row r="4387" spans="2:4">
      <c r="B4387" s="198" t="s">
        <v>5856</v>
      </c>
      <c r="C4387" s="154" t="s">
        <v>1511</v>
      </c>
      <c r="D4387" s="201" t="s">
        <v>1951</v>
      </c>
    </row>
    <row r="4388" spans="2:4">
      <c r="B4388" s="198" t="s">
        <v>5858</v>
      </c>
      <c r="C4388" s="154" t="s">
        <v>3171</v>
      </c>
      <c r="D4388" s="201" t="s">
        <v>2216</v>
      </c>
    </row>
    <row r="4389" spans="2:4">
      <c r="B4389" s="198" t="s">
        <v>5861</v>
      </c>
      <c r="C4389" s="154" t="s">
        <v>5822</v>
      </c>
      <c r="D4389" s="201" t="s">
        <v>2220</v>
      </c>
    </row>
    <row r="4390" spans="2:4">
      <c r="B4390" s="198" t="s">
        <v>5862</v>
      </c>
      <c r="C4390" s="154" t="s">
        <v>5822</v>
      </c>
      <c r="D4390" s="201" t="s">
        <v>2220</v>
      </c>
    </row>
    <row r="4391" spans="2:4">
      <c r="B4391" s="198" t="s">
        <v>5863</v>
      </c>
      <c r="C4391" s="154" t="s">
        <v>3171</v>
      </c>
      <c r="D4391" s="201" t="s">
        <v>2216</v>
      </c>
    </row>
    <row r="4392" spans="2:4">
      <c r="B4392" s="198" t="s">
        <v>5864</v>
      </c>
      <c r="C4392" s="154" t="s">
        <v>3081</v>
      </c>
      <c r="D4392" s="201" t="s">
        <v>1957</v>
      </c>
    </row>
    <row r="4393" spans="2:4">
      <c r="B4393" s="198" t="s">
        <v>5865</v>
      </c>
      <c r="C4393" s="154" t="s">
        <v>4921</v>
      </c>
      <c r="D4393" s="201" t="s">
        <v>1959</v>
      </c>
    </row>
    <row r="4394" spans="2:4">
      <c r="B4394" s="198" t="s">
        <v>5866</v>
      </c>
      <c r="C4394" s="154" t="s">
        <v>5881</v>
      </c>
      <c r="D4394" s="201" t="s">
        <v>1959</v>
      </c>
    </row>
    <row r="4395" spans="2:4">
      <c r="B4395" s="198" t="s">
        <v>5867</v>
      </c>
      <c r="C4395" s="154" t="s">
        <v>5882</v>
      </c>
      <c r="D4395" s="201" t="s">
        <v>1959</v>
      </c>
    </row>
    <row r="4396" spans="2:4">
      <c r="B4396" s="198" t="s">
        <v>5868</v>
      </c>
      <c r="C4396" s="154" t="s">
        <v>5881</v>
      </c>
      <c r="D4396" s="201" t="s">
        <v>1959</v>
      </c>
    </row>
    <row r="4397" spans="2:4">
      <c r="B4397" s="198" t="s">
        <v>5869</v>
      </c>
      <c r="C4397" s="154" t="s">
        <v>5881</v>
      </c>
      <c r="D4397" s="201" t="s">
        <v>1959</v>
      </c>
    </row>
    <row r="4398" spans="2:4">
      <c r="B4398" s="198" t="s">
        <v>5870</v>
      </c>
      <c r="C4398" s="154" t="s">
        <v>3081</v>
      </c>
      <c r="D4398" s="201" t="s">
        <v>1957</v>
      </c>
    </row>
    <row r="4399" spans="2:4">
      <c r="B4399" s="198" t="s">
        <v>5859</v>
      </c>
      <c r="C4399" s="154" t="s">
        <v>5822</v>
      </c>
      <c r="D4399" s="201" t="s">
        <v>2220</v>
      </c>
    </row>
    <row r="4400" spans="2:4">
      <c r="B4400" s="198" t="s">
        <v>5872</v>
      </c>
      <c r="C4400" s="154" t="s">
        <v>3081</v>
      </c>
      <c r="D4400" s="201" t="s">
        <v>1957</v>
      </c>
    </row>
    <row r="4401" spans="2:4">
      <c r="B4401" s="198" t="s">
        <v>5874</v>
      </c>
      <c r="C4401" s="154" t="s">
        <v>4921</v>
      </c>
      <c r="D4401" s="201" t="s">
        <v>1959</v>
      </c>
    </row>
    <row r="4402" spans="2:4">
      <c r="B4402" s="198" t="s">
        <v>5875</v>
      </c>
      <c r="C4402" s="154" t="s">
        <v>3171</v>
      </c>
      <c r="D4402" s="201" t="s">
        <v>2216</v>
      </c>
    </row>
    <row r="4403" spans="2:4">
      <c r="B4403" s="198" t="s">
        <v>5876</v>
      </c>
      <c r="C4403" s="154" t="s">
        <v>3547</v>
      </c>
      <c r="D4403" s="201" t="s">
        <v>2220</v>
      </c>
    </row>
    <row r="4404" spans="2:4">
      <c r="B4404" s="198" t="s">
        <v>5873</v>
      </c>
      <c r="C4404" s="154" t="s">
        <v>4921</v>
      </c>
      <c r="D4404" s="201" t="s">
        <v>1959</v>
      </c>
    </row>
    <row r="4405" spans="2:4">
      <c r="B4405" s="198" t="s">
        <v>5871</v>
      </c>
      <c r="C4405" s="154" t="s">
        <v>3081</v>
      </c>
      <c r="D4405" s="201" t="s">
        <v>1957</v>
      </c>
    </row>
    <row r="4406" spans="2:4">
      <c r="B4406" s="198" t="s">
        <v>5860</v>
      </c>
      <c r="C4406" s="154" t="s">
        <v>4921</v>
      </c>
      <c r="D4406" s="201" t="s">
        <v>1959</v>
      </c>
    </row>
    <row r="4407" spans="2:4">
      <c r="B4407" s="198" t="s">
        <v>5877</v>
      </c>
      <c r="C4407" s="154" t="s">
        <v>4921</v>
      </c>
      <c r="D4407" s="201" t="s">
        <v>1959</v>
      </c>
    </row>
    <row r="4408" spans="2:4">
      <c r="B4408" s="198" t="s">
        <v>5878</v>
      </c>
      <c r="C4408" s="154" t="s">
        <v>5883</v>
      </c>
      <c r="D4408" s="201" t="s">
        <v>2216</v>
      </c>
    </row>
    <row r="4409" spans="2:4">
      <c r="B4409" s="198" t="s">
        <v>5879</v>
      </c>
      <c r="C4409" s="154" t="s">
        <v>5884</v>
      </c>
      <c r="D4409" s="201" t="s">
        <v>1959</v>
      </c>
    </row>
    <row r="4410" spans="2:4">
      <c r="B4410" s="198" t="s">
        <v>5880</v>
      </c>
      <c r="C4410" s="154" t="s">
        <v>5885</v>
      </c>
      <c r="D4410" s="201" t="s">
        <v>2216</v>
      </c>
    </row>
    <row r="4411" spans="2:4">
      <c r="B4411" s="198" t="s">
        <v>5886</v>
      </c>
      <c r="C4411" s="154" t="s">
        <v>1557</v>
      </c>
      <c r="D4411" s="201" t="s">
        <v>1958</v>
      </c>
    </row>
    <row r="4412" spans="2:4">
      <c r="B4412" s="198" t="s">
        <v>5887</v>
      </c>
      <c r="C4412" s="154" t="s">
        <v>142</v>
      </c>
      <c r="D4412" s="201" t="s">
        <v>1954</v>
      </c>
    </row>
    <row r="4413" spans="2:4">
      <c r="B4413" s="198" t="s">
        <v>5888</v>
      </c>
      <c r="C4413" s="154" t="s">
        <v>5750</v>
      </c>
      <c r="D4413" s="201" t="s">
        <v>1952</v>
      </c>
    </row>
    <row r="4414" spans="2:4">
      <c r="B4414" s="198" t="s">
        <v>5889</v>
      </c>
      <c r="C4414" s="154" t="s">
        <v>1676</v>
      </c>
      <c r="D4414" s="201" t="s">
        <v>1956</v>
      </c>
    </row>
    <row r="4415" spans="2:4">
      <c r="B4415" s="198" t="s">
        <v>5890</v>
      </c>
      <c r="C4415" s="154" t="s">
        <v>5891</v>
      </c>
      <c r="D4415" s="201" t="s">
        <v>5662</v>
      </c>
    </row>
    <row r="4416" spans="2:4">
      <c r="B4416" s="198" t="s">
        <v>5892</v>
      </c>
      <c r="C4416" s="154" t="s">
        <v>3419</v>
      </c>
      <c r="D4416" s="201" t="s">
        <v>1953</v>
      </c>
    </row>
    <row r="4417" spans="2:4">
      <c r="B4417" s="198" t="s">
        <v>5897</v>
      </c>
      <c r="C4417" s="154" t="s">
        <v>5065</v>
      </c>
      <c r="D4417" s="201" t="s">
        <v>1956</v>
      </c>
    </row>
    <row r="4418" spans="2:4">
      <c r="B4418" s="198" t="s">
        <v>5894</v>
      </c>
      <c r="C4418" s="154" t="s">
        <v>5902</v>
      </c>
      <c r="D4418" s="201" t="s">
        <v>1956</v>
      </c>
    </row>
    <row r="4419" spans="2:4">
      <c r="B4419" s="198" t="s">
        <v>5895</v>
      </c>
      <c r="C4419" s="154" t="s">
        <v>5306</v>
      </c>
      <c r="D4419" s="201" t="s">
        <v>1955</v>
      </c>
    </row>
    <row r="4420" spans="2:4">
      <c r="B4420" s="198" t="s">
        <v>5899</v>
      </c>
      <c r="C4420" s="154" t="s">
        <v>1732</v>
      </c>
      <c r="D4420" s="201" t="s">
        <v>1955</v>
      </c>
    </row>
    <row r="4421" spans="2:4">
      <c r="B4421" s="198" t="s">
        <v>5900</v>
      </c>
      <c r="C4421" s="154" t="s">
        <v>3598</v>
      </c>
      <c r="D4421" s="201" t="s">
        <v>1951</v>
      </c>
    </row>
    <row r="4422" spans="2:4">
      <c r="B4422" s="198" t="s">
        <v>5901</v>
      </c>
      <c r="C4422" s="154" t="s">
        <v>149</v>
      </c>
      <c r="D4422" s="201" t="s">
        <v>1956</v>
      </c>
    </row>
    <row r="4423" spans="2:4">
      <c r="B4423" s="198" t="s">
        <v>5893</v>
      </c>
      <c r="C4423" s="154" t="s">
        <v>5903</v>
      </c>
      <c r="D4423" s="201" t="s">
        <v>1951</v>
      </c>
    </row>
    <row r="4424" spans="2:4">
      <c r="B4424" s="198" t="s">
        <v>5896</v>
      </c>
      <c r="C4424" s="154" t="s">
        <v>3175</v>
      </c>
      <c r="D4424" s="201" t="s">
        <v>1955</v>
      </c>
    </row>
    <row r="4425" spans="2:4">
      <c r="B4425" s="198" t="s">
        <v>5898</v>
      </c>
      <c r="C4425" s="154" t="s">
        <v>3138</v>
      </c>
      <c r="D4425" s="201" t="s">
        <v>1956</v>
      </c>
    </row>
    <row r="4426" spans="2:4">
      <c r="B4426" s="198" t="s">
        <v>5904</v>
      </c>
      <c r="C4426" s="154" t="s">
        <v>3081</v>
      </c>
      <c r="D4426" s="201" t="s">
        <v>1957</v>
      </c>
    </row>
    <row r="4427" spans="2:4">
      <c r="B4427" s="198" t="s">
        <v>5905</v>
      </c>
      <c r="C4427" s="154" t="s">
        <v>8294</v>
      </c>
      <c r="D4427" s="201" t="s">
        <v>2216</v>
      </c>
    </row>
    <row r="4428" spans="2:4">
      <c r="B4428" s="198" t="s">
        <v>5906</v>
      </c>
      <c r="C4428" s="154" t="s">
        <v>8294</v>
      </c>
      <c r="D4428" s="201" t="s">
        <v>2216</v>
      </c>
    </row>
    <row r="4429" spans="2:4">
      <c r="B4429" s="198" t="s">
        <v>5907</v>
      </c>
      <c r="C4429" s="154" t="s">
        <v>5883</v>
      </c>
      <c r="D4429" s="201" t="s">
        <v>2216</v>
      </c>
    </row>
    <row r="4430" spans="2:4">
      <c r="B4430" s="198" t="s">
        <v>5908</v>
      </c>
      <c r="C4430" s="154" t="s">
        <v>1560</v>
      </c>
      <c r="D4430" s="201" t="s">
        <v>1953</v>
      </c>
    </row>
    <row r="4431" spans="2:4">
      <c r="B4431" s="198" t="s">
        <v>5909</v>
      </c>
      <c r="C4431" s="154" t="s">
        <v>5910</v>
      </c>
      <c r="D4431" s="201" t="s">
        <v>2216</v>
      </c>
    </row>
    <row r="4432" spans="2:4">
      <c r="B4432" s="198" t="s">
        <v>5911</v>
      </c>
      <c r="C4432" s="154" t="s">
        <v>1944</v>
      </c>
      <c r="D4432" s="201" t="s">
        <v>1958</v>
      </c>
    </row>
    <row r="4433" spans="2:4">
      <c r="B4433" s="198" t="s">
        <v>5912</v>
      </c>
      <c r="C4433" s="154" t="s">
        <v>1641</v>
      </c>
      <c r="D4433" s="201" t="s">
        <v>1958</v>
      </c>
    </row>
    <row r="4434" spans="2:4">
      <c r="B4434" s="198" t="s">
        <v>5915</v>
      </c>
      <c r="C4434" s="154" t="s">
        <v>3081</v>
      </c>
      <c r="D4434" s="201" t="s">
        <v>1957</v>
      </c>
    </row>
    <row r="4435" spans="2:4">
      <c r="B4435" s="198" t="s">
        <v>5916</v>
      </c>
      <c r="C4435" s="154" t="s">
        <v>1519</v>
      </c>
      <c r="D4435" s="201" t="s">
        <v>1951</v>
      </c>
    </row>
    <row r="4436" spans="2:4">
      <c r="B4436" s="198" t="s">
        <v>5917</v>
      </c>
      <c r="C4436" s="154" t="s">
        <v>1590</v>
      </c>
      <c r="D4436" s="201" t="s">
        <v>1958</v>
      </c>
    </row>
    <row r="4437" spans="2:4">
      <c r="B4437" s="198" t="s">
        <v>5918</v>
      </c>
      <c r="C4437" s="154" t="s">
        <v>1587</v>
      </c>
      <c r="D4437" s="201" t="s">
        <v>1958</v>
      </c>
    </row>
    <row r="4438" spans="2:4">
      <c r="B4438" s="198" t="s">
        <v>5913</v>
      </c>
      <c r="C4438" s="154" t="s">
        <v>5776</v>
      </c>
      <c r="D4438" s="201" t="s">
        <v>2216</v>
      </c>
    </row>
    <row r="4439" spans="2:4">
      <c r="B4439" s="198" t="s">
        <v>5914</v>
      </c>
      <c r="C4439" s="154" t="s">
        <v>1644</v>
      </c>
      <c r="D4439" s="201" t="s">
        <v>1959</v>
      </c>
    </row>
    <row r="4440" spans="2:4">
      <c r="B4440" s="198" t="s">
        <v>5919</v>
      </c>
      <c r="C4440" s="154" t="s">
        <v>149</v>
      </c>
      <c r="D4440" s="201" t="s">
        <v>1956</v>
      </c>
    </row>
    <row r="4441" spans="2:4">
      <c r="B4441" s="198" t="s">
        <v>5920</v>
      </c>
      <c r="C4441" s="154" t="s">
        <v>5923</v>
      </c>
      <c r="D4441" s="201" t="s">
        <v>1953</v>
      </c>
    </row>
    <row r="4442" spans="2:4">
      <c r="B4442" s="198" t="s">
        <v>5921</v>
      </c>
      <c r="C4442" s="154" t="s">
        <v>1631</v>
      </c>
      <c r="D4442" s="201" t="s">
        <v>1951</v>
      </c>
    </row>
    <row r="4443" spans="2:4">
      <c r="B4443" s="198" t="s">
        <v>5922</v>
      </c>
      <c r="C4443" s="154" t="s">
        <v>1881</v>
      </c>
      <c r="D4443" s="201" t="s">
        <v>1951</v>
      </c>
    </row>
    <row r="4444" spans="2:4">
      <c r="B4444" s="198" t="s">
        <v>5924</v>
      </c>
      <c r="C4444" s="154" t="s">
        <v>5927</v>
      </c>
      <c r="D4444" s="201" t="s">
        <v>5662</v>
      </c>
    </row>
    <row r="4445" spans="2:4">
      <c r="B4445" s="198" t="s">
        <v>5925</v>
      </c>
      <c r="C4445" s="154" t="s">
        <v>5928</v>
      </c>
      <c r="D4445" s="201" t="s">
        <v>5662</v>
      </c>
    </row>
    <row r="4446" spans="2:4">
      <c r="B4446" s="198" t="s">
        <v>5926</v>
      </c>
      <c r="C4446" s="154" t="s">
        <v>5929</v>
      </c>
      <c r="D4446" s="201" t="s">
        <v>5662</v>
      </c>
    </row>
    <row r="4447" spans="2:4">
      <c r="B4447" s="198" t="s">
        <v>5930</v>
      </c>
      <c r="C4447" s="154" t="s">
        <v>3081</v>
      </c>
      <c r="D4447" s="201" t="s">
        <v>1957</v>
      </c>
    </row>
    <row r="4448" spans="2:4">
      <c r="B4448" s="198" t="s">
        <v>5931</v>
      </c>
      <c r="C4448" s="154" t="s">
        <v>3081</v>
      </c>
      <c r="D4448" s="201" t="s">
        <v>1957</v>
      </c>
    </row>
    <row r="4449" spans="2:4">
      <c r="B4449" s="198" t="s">
        <v>5932</v>
      </c>
      <c r="C4449" s="201" t="s">
        <v>1625</v>
      </c>
      <c r="D4449" s="201" t="s">
        <v>1951</v>
      </c>
    </row>
    <row r="4450" spans="2:4">
      <c r="B4450" s="198" t="s">
        <v>5933</v>
      </c>
      <c r="C4450" s="154" t="s">
        <v>142</v>
      </c>
      <c r="D4450" s="201" t="s">
        <v>1954</v>
      </c>
    </row>
    <row r="4451" spans="2:4">
      <c r="B4451" s="198" t="s">
        <v>5934</v>
      </c>
      <c r="C4451" s="154" t="s">
        <v>5945</v>
      </c>
      <c r="D4451" s="201" t="s">
        <v>1955</v>
      </c>
    </row>
    <row r="4452" spans="2:4">
      <c r="B4452" s="198"/>
      <c r="C4452" s="154"/>
      <c r="D4452" s="201"/>
    </row>
    <row r="4453" spans="2:4">
      <c r="B4453" s="198" t="s">
        <v>5935</v>
      </c>
      <c r="C4453" s="153" t="s">
        <v>5946</v>
      </c>
      <c r="D4453" s="201" t="s">
        <v>1958</v>
      </c>
    </row>
    <row r="4454" spans="2:4">
      <c r="B4454" s="198" t="s">
        <v>5936</v>
      </c>
      <c r="C4454" s="154" t="s">
        <v>5947</v>
      </c>
      <c r="D4454" s="201" t="s">
        <v>1958</v>
      </c>
    </row>
    <row r="4455" spans="2:4">
      <c r="B4455" s="198" t="s">
        <v>5937</v>
      </c>
      <c r="C4455" s="154" t="s">
        <v>3138</v>
      </c>
      <c r="D4455" s="201" t="s">
        <v>1956</v>
      </c>
    </row>
    <row r="4456" spans="2:4">
      <c r="B4456" s="198" t="s">
        <v>5943</v>
      </c>
      <c r="C4456" s="154" t="s">
        <v>3175</v>
      </c>
      <c r="D4456" s="201" t="s">
        <v>1955</v>
      </c>
    </row>
    <row r="4457" spans="2:4">
      <c r="B4457" s="198" t="s">
        <v>5944</v>
      </c>
      <c r="C4457" s="154" t="s">
        <v>5948</v>
      </c>
      <c r="D4457" s="201" t="s">
        <v>5662</v>
      </c>
    </row>
    <row r="4458" spans="2:4">
      <c r="B4458" s="198" t="s">
        <v>5938</v>
      </c>
      <c r="C4458" s="154" t="s">
        <v>3175</v>
      </c>
      <c r="D4458" s="201" t="s">
        <v>1955</v>
      </c>
    </row>
    <row r="4459" spans="2:4">
      <c r="B4459" s="198" t="s">
        <v>5939</v>
      </c>
      <c r="C4459" s="154" t="s">
        <v>5903</v>
      </c>
      <c r="D4459" s="201" t="s">
        <v>1951</v>
      </c>
    </row>
    <row r="4460" spans="2:4">
      <c r="B4460" s="198" t="s">
        <v>5940</v>
      </c>
      <c r="C4460" s="154" t="s">
        <v>3598</v>
      </c>
      <c r="D4460" s="201" t="s">
        <v>1951</v>
      </c>
    </row>
    <row r="4461" spans="2:4">
      <c r="B4461" s="198" t="s">
        <v>5942</v>
      </c>
      <c r="C4461" s="154" t="s">
        <v>3467</v>
      </c>
      <c r="D4461" s="201" t="s">
        <v>1951</v>
      </c>
    </row>
    <row r="4462" spans="2:4">
      <c r="B4462" s="198" t="s">
        <v>5941</v>
      </c>
      <c r="C4462" s="154" t="s">
        <v>3138</v>
      </c>
      <c r="D4462" s="201" t="s">
        <v>1956</v>
      </c>
    </row>
    <row r="4463" spans="2:4">
      <c r="B4463" s="198" t="s">
        <v>5949</v>
      </c>
      <c r="C4463" s="154" t="s">
        <v>4052</v>
      </c>
      <c r="D4463" s="201" t="s">
        <v>1951</v>
      </c>
    </row>
    <row r="4464" spans="2:4">
      <c r="B4464" s="198" t="s">
        <v>5950</v>
      </c>
      <c r="C4464" s="154" t="s">
        <v>1587</v>
      </c>
      <c r="D4464" s="201" t="s">
        <v>1958</v>
      </c>
    </row>
    <row r="4465" spans="2:4">
      <c r="B4465" s="122" t="s">
        <v>5951</v>
      </c>
      <c r="C4465" s="154" t="s">
        <v>1590</v>
      </c>
      <c r="D4465" s="201" t="s">
        <v>1958</v>
      </c>
    </row>
    <row r="4466" spans="2:4">
      <c r="B4466" s="198" t="s">
        <v>5952</v>
      </c>
      <c r="C4466" s="154" t="s">
        <v>3818</v>
      </c>
      <c r="D4466" s="201" t="s">
        <v>1958</v>
      </c>
    </row>
    <row r="4467" spans="2:4">
      <c r="B4467" s="198" t="s">
        <v>5953</v>
      </c>
      <c r="C4467" s="154" t="s">
        <v>3081</v>
      </c>
      <c r="D4467" s="201" t="s">
        <v>1957</v>
      </c>
    </row>
    <row r="4468" spans="2:4">
      <c r="B4468" s="198" t="s">
        <v>5954</v>
      </c>
      <c r="C4468" s="154" t="s">
        <v>3081</v>
      </c>
      <c r="D4468" s="201" t="s">
        <v>1957</v>
      </c>
    </row>
    <row r="4469" spans="2:4">
      <c r="B4469" s="198" t="s">
        <v>5955</v>
      </c>
      <c r="C4469" s="154" t="s">
        <v>3081</v>
      </c>
      <c r="D4469" s="201" t="s">
        <v>1957</v>
      </c>
    </row>
    <row r="4470" spans="2:4">
      <c r="B4470" s="198" t="s">
        <v>5956</v>
      </c>
      <c r="C4470" s="154" t="s">
        <v>1557</v>
      </c>
      <c r="D4470" s="201" t="s">
        <v>1958</v>
      </c>
    </row>
    <row r="4471" spans="2:4">
      <c r="B4471" s="198" t="s">
        <v>5957</v>
      </c>
      <c r="C4471" s="154" t="s">
        <v>1727</v>
      </c>
      <c r="D4471" s="201" t="s">
        <v>1953</v>
      </c>
    </row>
    <row r="4472" spans="2:4">
      <c r="B4472" s="198" t="s">
        <v>5958</v>
      </c>
      <c r="C4472" s="154" t="s">
        <v>3008</v>
      </c>
      <c r="D4472" s="201" t="s">
        <v>1955</v>
      </c>
    </row>
    <row r="4473" spans="2:4">
      <c r="B4473" s="198" t="s">
        <v>5959</v>
      </c>
      <c r="C4473" s="154" t="s">
        <v>1581</v>
      </c>
      <c r="D4473" s="201" t="s">
        <v>1955</v>
      </c>
    </row>
    <row r="4474" spans="2:4">
      <c r="B4474" s="198" t="s">
        <v>5960</v>
      </c>
      <c r="C4474" s="154" t="s">
        <v>5961</v>
      </c>
      <c r="D4474" s="201" t="s">
        <v>2216</v>
      </c>
    </row>
    <row r="4475" spans="2:4">
      <c r="B4475" s="198"/>
      <c r="C4475" s="154"/>
      <c r="D4475" s="201"/>
    </row>
    <row r="4476" spans="2:4">
      <c r="B4476" s="198" t="s">
        <v>5962</v>
      </c>
      <c r="C4476" s="154" t="s">
        <v>5775</v>
      </c>
      <c r="D4476" s="201" t="s">
        <v>2216</v>
      </c>
    </row>
    <row r="4477" spans="2:4">
      <c r="B4477" s="198" t="s">
        <v>5963</v>
      </c>
      <c r="C4477" s="154" t="s">
        <v>5971</v>
      </c>
      <c r="D4477" s="201" t="s">
        <v>1956</v>
      </c>
    </row>
    <row r="4478" spans="2:4">
      <c r="B4478" s="198" t="s">
        <v>5964</v>
      </c>
      <c r="C4478" s="154" t="s">
        <v>5972</v>
      </c>
      <c r="D4478" s="201" t="s">
        <v>1952</v>
      </c>
    </row>
    <row r="4479" spans="2:4">
      <c r="B4479" s="198" t="s">
        <v>5965</v>
      </c>
      <c r="C4479" s="154" t="s">
        <v>1631</v>
      </c>
      <c r="D4479" s="201" t="s">
        <v>1951</v>
      </c>
    </row>
    <row r="4480" spans="2:4">
      <c r="B4480" s="198" t="s">
        <v>5966</v>
      </c>
      <c r="C4480" s="154" t="s">
        <v>1551</v>
      </c>
      <c r="D4480" s="201" t="s">
        <v>1958</v>
      </c>
    </row>
    <row r="4481" spans="2:4">
      <c r="B4481" s="198" t="s">
        <v>5967</v>
      </c>
      <c r="C4481" s="154" t="s">
        <v>1944</v>
      </c>
      <c r="D4481" s="201" t="s">
        <v>1958</v>
      </c>
    </row>
    <row r="4482" spans="2:4">
      <c r="B4482" s="198" t="s">
        <v>5968</v>
      </c>
      <c r="C4482" s="154" t="s">
        <v>5903</v>
      </c>
      <c r="D4482" s="201" t="s">
        <v>1951</v>
      </c>
    </row>
    <row r="4483" spans="2:4">
      <c r="B4483" s="198" t="s">
        <v>5969</v>
      </c>
      <c r="C4483" s="154" t="s">
        <v>1511</v>
      </c>
      <c r="D4483" s="201" t="s">
        <v>1951</v>
      </c>
    </row>
    <row r="4484" spans="2:4">
      <c r="B4484" s="198" t="s">
        <v>5970</v>
      </c>
      <c r="C4484" s="154" t="s">
        <v>1587</v>
      </c>
      <c r="D4484" s="201" t="s">
        <v>1958</v>
      </c>
    </row>
    <row r="4485" spans="2:4">
      <c r="B4485" s="198" t="s">
        <v>5926</v>
      </c>
      <c r="C4485" s="154" t="s">
        <v>5929</v>
      </c>
      <c r="D4485" s="201" t="s">
        <v>5662</v>
      </c>
    </row>
    <row r="4486" spans="2:4">
      <c r="B4486" s="198" t="s">
        <v>5973</v>
      </c>
      <c r="C4486" s="154" t="s">
        <v>3138</v>
      </c>
      <c r="D4486" s="201" t="s">
        <v>1956</v>
      </c>
    </row>
    <row r="4487" spans="2:4">
      <c r="B4487" s="198" t="s">
        <v>5974</v>
      </c>
      <c r="C4487" s="154" t="s">
        <v>5975</v>
      </c>
      <c r="D4487" s="201" t="s">
        <v>1955</v>
      </c>
    </row>
    <row r="4488" spans="2:4">
      <c r="B4488" s="198" t="s">
        <v>5976</v>
      </c>
      <c r="C4488" s="154" t="s">
        <v>5977</v>
      </c>
      <c r="D4488" s="201" t="s">
        <v>1956</v>
      </c>
    </row>
    <row r="4489" spans="2:4">
      <c r="B4489" s="198" t="s">
        <v>5978</v>
      </c>
      <c r="C4489" s="154" t="s">
        <v>3547</v>
      </c>
      <c r="D4489" s="201" t="s">
        <v>2220</v>
      </c>
    </row>
    <row r="4490" spans="2:4">
      <c r="B4490" s="198" t="s">
        <v>5979</v>
      </c>
      <c r="C4490" s="154" t="s">
        <v>3547</v>
      </c>
      <c r="D4490" s="201" t="s">
        <v>2220</v>
      </c>
    </row>
    <row r="4491" spans="2:4">
      <c r="B4491" s="198" t="s">
        <v>5980</v>
      </c>
      <c r="C4491" s="154" t="s">
        <v>5981</v>
      </c>
      <c r="D4491" s="201" t="s">
        <v>1952</v>
      </c>
    </row>
    <row r="4492" spans="2:4">
      <c r="B4492" s="198" t="s">
        <v>5982</v>
      </c>
      <c r="C4492" s="154" t="s">
        <v>3465</v>
      </c>
      <c r="D4492" s="201" t="s">
        <v>1951</v>
      </c>
    </row>
    <row r="4493" spans="2:4">
      <c r="B4493" s="198" t="s">
        <v>5983</v>
      </c>
      <c r="C4493" s="154" t="s">
        <v>142</v>
      </c>
      <c r="D4493" s="201" t="s">
        <v>1954</v>
      </c>
    </row>
    <row r="4494" spans="2:4">
      <c r="B4494" s="198" t="s">
        <v>5984</v>
      </c>
      <c r="C4494" s="154" t="s">
        <v>142</v>
      </c>
      <c r="D4494" s="201" t="s">
        <v>1954</v>
      </c>
    </row>
    <row r="4495" spans="2:4">
      <c r="B4495" s="198" t="s">
        <v>5983</v>
      </c>
      <c r="C4495" s="154" t="s">
        <v>142</v>
      </c>
      <c r="D4495" s="201" t="s">
        <v>1954</v>
      </c>
    </row>
    <row r="4496" spans="2:4">
      <c r="B4496" s="198" t="s">
        <v>5985</v>
      </c>
      <c r="C4496" s="154" t="s">
        <v>142</v>
      </c>
      <c r="D4496" s="201" t="s">
        <v>1954</v>
      </c>
    </row>
    <row r="4497" spans="2:4">
      <c r="B4497" s="198" t="s">
        <v>5986</v>
      </c>
      <c r="C4497" s="154" t="s">
        <v>142</v>
      </c>
      <c r="D4497" s="201" t="s">
        <v>1954</v>
      </c>
    </row>
    <row r="4498" spans="2:4">
      <c r="B4498" s="198" t="s">
        <v>5984</v>
      </c>
      <c r="C4498" s="154" t="s">
        <v>142</v>
      </c>
      <c r="D4498" s="201" t="s">
        <v>1954</v>
      </c>
    </row>
    <row r="4499" spans="2:4">
      <c r="B4499" s="198" t="s">
        <v>5985</v>
      </c>
      <c r="C4499" s="154" t="s">
        <v>142</v>
      </c>
      <c r="D4499" s="201" t="s">
        <v>1954</v>
      </c>
    </row>
    <row r="4500" spans="2:4">
      <c r="B4500" s="198" t="s">
        <v>5986</v>
      </c>
      <c r="C4500" s="154" t="s">
        <v>142</v>
      </c>
      <c r="D4500" s="201" t="s">
        <v>1954</v>
      </c>
    </row>
    <row r="4501" spans="2:4">
      <c r="B4501" s="198" t="s">
        <v>5987</v>
      </c>
      <c r="C4501" s="154" t="s">
        <v>3547</v>
      </c>
      <c r="D4501" s="201" t="s">
        <v>2220</v>
      </c>
    </row>
    <row r="4502" spans="2:4">
      <c r="B4502" s="198" t="s">
        <v>5988</v>
      </c>
      <c r="C4502" s="154" t="s">
        <v>3485</v>
      </c>
      <c r="D4502" s="201" t="s">
        <v>1951</v>
      </c>
    </row>
    <row r="4503" spans="2:4">
      <c r="B4503" s="198" t="s">
        <v>5989</v>
      </c>
      <c r="C4503" s="154" t="s">
        <v>3540</v>
      </c>
      <c r="D4503" s="201" t="s">
        <v>1956</v>
      </c>
    </row>
    <row r="4504" spans="2:4">
      <c r="B4504" s="198" t="s">
        <v>5990</v>
      </c>
      <c r="C4504" s="154" t="s">
        <v>3081</v>
      </c>
      <c r="D4504" s="201" t="s">
        <v>1957</v>
      </c>
    </row>
    <row r="4505" spans="2:4">
      <c r="B4505" s="198" t="s">
        <v>5991</v>
      </c>
      <c r="C4505" s="154" t="s">
        <v>142</v>
      </c>
      <c r="D4505" s="201" t="s">
        <v>1954</v>
      </c>
    </row>
    <row r="4506" spans="2:4">
      <c r="B4506" s="198" t="s">
        <v>5992</v>
      </c>
      <c r="C4506" s="154" t="s">
        <v>1587</v>
      </c>
      <c r="D4506" s="201" t="s">
        <v>1958</v>
      </c>
    </row>
    <row r="4507" spans="2:4">
      <c r="B4507" s="198" t="s">
        <v>5993</v>
      </c>
      <c r="C4507" s="154" t="s">
        <v>5994</v>
      </c>
      <c r="D4507" s="201" t="s">
        <v>1958</v>
      </c>
    </row>
    <row r="4508" spans="2:4">
      <c r="B4508" s="198" t="s">
        <v>5995</v>
      </c>
      <c r="C4508" s="154" t="s">
        <v>3547</v>
      </c>
      <c r="D4508" s="201" t="s">
        <v>2220</v>
      </c>
    </row>
    <row r="4509" spans="2:4">
      <c r="B4509" s="198" t="s">
        <v>5996</v>
      </c>
      <c r="C4509" s="154" t="s">
        <v>3598</v>
      </c>
      <c r="D4509" s="201" t="s">
        <v>1951</v>
      </c>
    </row>
    <row r="4510" spans="2:4">
      <c r="B4510" s="198" t="s">
        <v>5997</v>
      </c>
      <c r="C4510" s="154" t="s">
        <v>3081</v>
      </c>
      <c r="D4510" s="201" t="s">
        <v>1957</v>
      </c>
    </row>
    <row r="4511" spans="2:4">
      <c r="B4511" s="198" t="s">
        <v>5998</v>
      </c>
      <c r="C4511" s="154" t="s">
        <v>5999</v>
      </c>
      <c r="D4511" s="201" t="s">
        <v>5662</v>
      </c>
    </row>
    <row r="4512" spans="2:4">
      <c r="B4512" s="198" t="s">
        <v>6000</v>
      </c>
      <c r="C4512" s="154" t="s">
        <v>5929</v>
      </c>
      <c r="D4512" s="201" t="s">
        <v>5662</v>
      </c>
    </row>
    <row r="4513" spans="2:4">
      <c r="B4513" s="198" t="s">
        <v>6001</v>
      </c>
      <c r="C4513" s="154" t="s">
        <v>6002</v>
      </c>
      <c r="D4513" s="201" t="s">
        <v>5662</v>
      </c>
    </row>
    <row r="4514" spans="2:4">
      <c r="B4514" s="198" t="s">
        <v>6003</v>
      </c>
      <c r="C4514" s="154" t="s">
        <v>5929</v>
      </c>
      <c r="D4514" s="201" t="s">
        <v>5662</v>
      </c>
    </row>
    <row r="4515" spans="2:4">
      <c r="B4515" s="198" t="s">
        <v>6004</v>
      </c>
      <c r="C4515" s="154" t="s">
        <v>6005</v>
      </c>
      <c r="D4515" s="201" t="s">
        <v>5662</v>
      </c>
    </row>
    <row r="4516" spans="2:4">
      <c r="B4516" s="198" t="s">
        <v>6006</v>
      </c>
      <c r="C4516" s="154" t="s">
        <v>5801</v>
      </c>
      <c r="D4516" s="201" t="s">
        <v>5662</v>
      </c>
    </row>
    <row r="4517" spans="2:4">
      <c r="B4517" s="198" t="s">
        <v>6007</v>
      </c>
      <c r="C4517" s="154" t="s">
        <v>5928</v>
      </c>
      <c r="D4517" s="201" t="s">
        <v>5662</v>
      </c>
    </row>
    <row r="4518" spans="2:4">
      <c r="B4518" s="198" t="s">
        <v>6008</v>
      </c>
      <c r="C4518" s="154" t="s">
        <v>5999</v>
      </c>
      <c r="D4518" s="201" t="s">
        <v>5662</v>
      </c>
    </row>
    <row r="4519" spans="2:4">
      <c r="B4519" s="198" t="s">
        <v>5997</v>
      </c>
      <c r="C4519" s="154" t="s">
        <v>3081</v>
      </c>
      <c r="D4519" s="201" t="s">
        <v>1957</v>
      </c>
    </row>
    <row r="4520" spans="2:4">
      <c r="B4520" s="198" t="s">
        <v>6009</v>
      </c>
      <c r="C4520" s="154" t="s">
        <v>6010</v>
      </c>
      <c r="D4520" s="201" t="s">
        <v>5662</v>
      </c>
    </row>
    <row r="4521" spans="2:4">
      <c r="B4521" s="198" t="s">
        <v>6011</v>
      </c>
      <c r="C4521" s="154" t="s">
        <v>1575</v>
      </c>
      <c r="D4521" s="201" t="s">
        <v>1959</v>
      </c>
    </row>
    <row r="4522" spans="2:4">
      <c r="B4522" s="198" t="s">
        <v>6012</v>
      </c>
      <c r="C4522" s="154" t="s">
        <v>6013</v>
      </c>
      <c r="D4522" s="201" t="s">
        <v>1956</v>
      </c>
    </row>
    <row r="4523" spans="2:4">
      <c r="B4523" s="198" t="s">
        <v>6014</v>
      </c>
      <c r="C4523" s="154" t="s">
        <v>6013</v>
      </c>
      <c r="D4523" s="201" t="s">
        <v>1956</v>
      </c>
    </row>
    <row r="4524" spans="2:4">
      <c r="B4524" s="198" t="s">
        <v>6015</v>
      </c>
      <c r="C4524" s="154" t="s">
        <v>6016</v>
      </c>
      <c r="D4524" s="201" t="s">
        <v>1956</v>
      </c>
    </row>
    <row r="4525" spans="2:4">
      <c r="B4525" s="198" t="s">
        <v>6017</v>
      </c>
      <c r="C4525" s="154" t="s">
        <v>6018</v>
      </c>
      <c r="D4525" s="201" t="s">
        <v>5662</v>
      </c>
    </row>
    <row r="4526" spans="2:4">
      <c r="B4526" s="198" t="s">
        <v>6019</v>
      </c>
      <c r="C4526" s="154" t="s">
        <v>1551</v>
      </c>
      <c r="D4526" s="201" t="s">
        <v>1958</v>
      </c>
    </row>
    <row r="4527" spans="2:4">
      <c r="B4527" s="198" t="s">
        <v>6033</v>
      </c>
      <c r="C4527" s="154" t="s">
        <v>1544</v>
      </c>
      <c r="D4527" s="201" t="s">
        <v>1951</v>
      </c>
    </row>
    <row r="4528" spans="2:4">
      <c r="B4528" s="198" t="s">
        <v>6037</v>
      </c>
      <c r="C4528" s="154" t="s">
        <v>1519</v>
      </c>
      <c r="D4528" s="201" t="s">
        <v>1951</v>
      </c>
    </row>
    <row r="4529" spans="2:4">
      <c r="B4529" s="198" t="s">
        <v>6038</v>
      </c>
      <c r="C4529" s="154" t="s">
        <v>6045</v>
      </c>
      <c r="D4529" s="201" t="s">
        <v>1956</v>
      </c>
    </row>
    <row r="4530" spans="2:4">
      <c r="B4530" s="198" t="s">
        <v>6039</v>
      </c>
      <c r="C4530" s="154" t="s">
        <v>1543</v>
      </c>
      <c r="D4530" s="201" t="s">
        <v>1955</v>
      </c>
    </row>
    <row r="4531" spans="2:4">
      <c r="B4531" s="198" t="s">
        <v>6040</v>
      </c>
      <c r="C4531" s="154" t="s">
        <v>1522</v>
      </c>
      <c r="D4531" s="201" t="s">
        <v>1953</v>
      </c>
    </row>
    <row r="4532" spans="2:4">
      <c r="B4532" s="198" t="s">
        <v>6041</v>
      </c>
      <c r="C4532" s="154" t="s">
        <v>1609</v>
      </c>
      <c r="D4532" s="201" t="s">
        <v>1951</v>
      </c>
    </row>
    <row r="4533" spans="2:4">
      <c r="B4533" s="198" t="s">
        <v>6042</v>
      </c>
      <c r="C4533" s="154" t="s">
        <v>1928</v>
      </c>
      <c r="D4533" s="201" t="s">
        <v>1955</v>
      </c>
    </row>
    <row r="4534" spans="2:4">
      <c r="B4534" s="198" t="s">
        <v>6043</v>
      </c>
      <c r="C4534" s="154" t="s">
        <v>151</v>
      </c>
      <c r="D4534" s="201" t="s">
        <v>1954</v>
      </c>
    </row>
    <row r="4535" spans="2:4">
      <c r="B4535" s="198" t="s">
        <v>6020</v>
      </c>
      <c r="C4535" s="154" t="s">
        <v>1587</v>
      </c>
      <c r="D4535" s="201" t="s">
        <v>1958</v>
      </c>
    </row>
    <row r="4536" spans="2:4">
      <c r="B4536" s="198" t="s">
        <v>6021</v>
      </c>
      <c r="C4536" s="154" t="s">
        <v>3303</v>
      </c>
      <c r="D4536" s="201" t="s">
        <v>1958</v>
      </c>
    </row>
    <row r="4537" spans="2:4">
      <c r="B4537" s="198" t="s">
        <v>6022</v>
      </c>
      <c r="C4537" s="154" t="s">
        <v>1587</v>
      </c>
      <c r="D4537" s="201" t="s">
        <v>1958</v>
      </c>
    </row>
    <row r="4538" spans="2:4">
      <c r="B4538" s="198" t="s">
        <v>6023</v>
      </c>
      <c r="C4538" s="154" t="s">
        <v>1780</v>
      </c>
      <c r="D4538" s="201" t="s">
        <v>1958</v>
      </c>
    </row>
    <row r="4539" spans="2:4">
      <c r="B4539" s="198" t="s">
        <v>6024</v>
      </c>
      <c r="C4539" s="154" t="s">
        <v>1551</v>
      </c>
      <c r="D4539" s="201" t="s">
        <v>1958</v>
      </c>
    </row>
    <row r="4540" spans="2:4">
      <c r="B4540" s="198" t="s">
        <v>6025</v>
      </c>
      <c r="C4540" s="154" t="s">
        <v>149</v>
      </c>
      <c r="D4540" s="201" t="s">
        <v>1956</v>
      </c>
    </row>
    <row r="4541" spans="2:4">
      <c r="B4541" s="198" t="s">
        <v>6026</v>
      </c>
      <c r="C4541" s="154" t="s">
        <v>1511</v>
      </c>
      <c r="D4541" s="201" t="s">
        <v>1951</v>
      </c>
    </row>
    <row r="4542" spans="2:4">
      <c r="B4542" s="198" t="s">
        <v>6034</v>
      </c>
      <c r="C4542" s="154" t="s">
        <v>150</v>
      </c>
      <c r="D4542" s="201" t="s">
        <v>1951</v>
      </c>
    </row>
    <row r="4543" spans="2:4">
      <c r="B4543" s="198" t="s">
        <v>6035</v>
      </c>
      <c r="C4543" s="154" t="s">
        <v>6047</v>
      </c>
      <c r="D4543" s="201" t="s">
        <v>5662</v>
      </c>
    </row>
    <row r="4544" spans="2:4">
      <c r="B4544" s="198" t="s">
        <v>6036</v>
      </c>
      <c r="C4544" s="154" t="s">
        <v>1693</v>
      </c>
      <c r="D4544" s="201" t="s">
        <v>1955</v>
      </c>
    </row>
    <row r="4545" spans="2:4">
      <c r="B4545" s="198" t="s">
        <v>8291</v>
      </c>
      <c r="C4545" s="154" t="s">
        <v>150</v>
      </c>
      <c r="D4545" s="201" t="s">
        <v>1951</v>
      </c>
    </row>
    <row r="4546" spans="2:4">
      <c r="B4546" s="198" t="s">
        <v>6027</v>
      </c>
      <c r="C4546" s="154" t="s">
        <v>6030</v>
      </c>
      <c r="D4546" s="201" t="s">
        <v>1954</v>
      </c>
    </row>
    <row r="4547" spans="2:4">
      <c r="B4547" s="198" t="s">
        <v>6028</v>
      </c>
      <c r="C4547" s="154" t="s">
        <v>3467</v>
      </c>
      <c r="D4547" s="201" t="s">
        <v>1951</v>
      </c>
    </row>
    <row r="4548" spans="2:4">
      <c r="B4548" s="198" t="s">
        <v>6029</v>
      </c>
      <c r="C4548" s="154" t="s">
        <v>6031</v>
      </c>
      <c r="D4548" s="201" t="s">
        <v>1951</v>
      </c>
    </row>
    <row r="4549" spans="2:4">
      <c r="B4549" s="198" t="s">
        <v>6046</v>
      </c>
      <c r="C4549" s="154" t="s">
        <v>6049</v>
      </c>
      <c r="D4549" s="201" t="s">
        <v>5662</v>
      </c>
    </row>
    <row r="4550" spans="2:4">
      <c r="B4550" s="122" t="s">
        <v>6032</v>
      </c>
      <c r="C4550" s="154" t="s">
        <v>6048</v>
      </c>
      <c r="D4550" s="201" t="s">
        <v>5662</v>
      </c>
    </row>
    <row r="4551" spans="2:4">
      <c r="B4551" s="198" t="s">
        <v>6044</v>
      </c>
      <c r="C4551" s="154" t="s">
        <v>1587</v>
      </c>
      <c r="D4551" s="201" t="s">
        <v>1958</v>
      </c>
    </row>
    <row r="4552" spans="2:4">
      <c r="B4552" s="198" t="s">
        <v>6593</v>
      </c>
      <c r="C4552" s="154" t="s">
        <v>152</v>
      </c>
      <c r="D4552" s="201" t="s">
        <v>1952</v>
      </c>
    </row>
    <row r="4553" spans="2:4">
      <c r="B4553" s="198" t="s">
        <v>6050</v>
      </c>
      <c r="C4553" s="154" t="s">
        <v>3081</v>
      </c>
      <c r="D4553" s="201" t="s">
        <v>1957</v>
      </c>
    </row>
    <row r="4554" spans="2:4">
      <c r="B4554" s="198" t="s">
        <v>6051</v>
      </c>
      <c r="C4554" s="154" t="s">
        <v>3081</v>
      </c>
      <c r="D4554" s="201" t="s">
        <v>1957</v>
      </c>
    </row>
    <row r="4555" spans="2:4">
      <c r="B4555" s="198" t="s">
        <v>6063</v>
      </c>
      <c r="C4555" s="154" t="s">
        <v>3315</v>
      </c>
      <c r="D4555" s="201" t="s">
        <v>1954</v>
      </c>
    </row>
    <row r="4556" spans="2:4">
      <c r="B4556" s="198" t="s">
        <v>6064</v>
      </c>
      <c r="C4556" s="154" t="s">
        <v>1754</v>
      </c>
      <c r="D4556" s="201" t="s">
        <v>1956</v>
      </c>
    </row>
    <row r="4557" spans="2:4">
      <c r="B4557" s="198" t="s">
        <v>6065</v>
      </c>
      <c r="C4557" s="154" t="s">
        <v>5556</v>
      </c>
      <c r="D4557" s="201" t="s">
        <v>1955</v>
      </c>
    </row>
    <row r="4558" spans="2:4">
      <c r="B4558" s="198" t="s">
        <v>6066</v>
      </c>
      <c r="C4558" s="154" t="s">
        <v>3446</v>
      </c>
      <c r="D4558" s="201" t="s">
        <v>1955</v>
      </c>
    </row>
    <row r="4559" spans="2:4">
      <c r="B4559" s="198" t="s">
        <v>6052</v>
      </c>
      <c r="C4559" s="154" t="s">
        <v>3279</v>
      </c>
      <c r="D4559" s="201" t="s">
        <v>2216</v>
      </c>
    </row>
    <row r="4560" spans="2:4">
      <c r="B4560" s="198" t="s">
        <v>6055</v>
      </c>
      <c r="C4560" s="154" t="s">
        <v>3485</v>
      </c>
      <c r="D4560" s="201" t="s">
        <v>1951</v>
      </c>
    </row>
    <row r="4561" spans="2:4">
      <c r="B4561" s="198" t="s">
        <v>6053</v>
      </c>
      <c r="C4561" s="154" t="s">
        <v>3466</v>
      </c>
      <c r="D4561" s="201" t="s">
        <v>1953</v>
      </c>
    </row>
    <row r="4562" spans="2:4">
      <c r="B4562" s="198" t="s">
        <v>6054</v>
      </c>
      <c r="C4562" s="154" t="s">
        <v>1732</v>
      </c>
      <c r="D4562" s="201" t="s">
        <v>1955</v>
      </c>
    </row>
    <row r="4563" spans="2:4">
      <c r="B4563" s="198" t="s">
        <v>6056</v>
      </c>
      <c r="C4563" s="154" t="s">
        <v>6067</v>
      </c>
      <c r="D4563" s="201" t="s">
        <v>1951</v>
      </c>
    </row>
    <row r="4564" spans="2:4">
      <c r="B4564" s="198" t="s">
        <v>6057</v>
      </c>
      <c r="C4564" s="154" t="s">
        <v>3485</v>
      </c>
      <c r="D4564" s="201" t="s">
        <v>1951</v>
      </c>
    </row>
    <row r="4565" spans="2:4">
      <c r="B4565" s="198" t="s">
        <v>6058</v>
      </c>
      <c r="C4565" s="154" t="s">
        <v>6068</v>
      </c>
      <c r="D4565" s="201" t="s">
        <v>1953</v>
      </c>
    </row>
    <row r="4566" spans="2:4">
      <c r="B4566" s="198" t="s">
        <v>6059</v>
      </c>
      <c r="C4566" s="154" t="s">
        <v>3081</v>
      </c>
      <c r="D4566" s="201" t="s">
        <v>1957</v>
      </c>
    </row>
    <row r="4567" spans="2:4">
      <c r="B4567" s="198" t="s">
        <v>6060</v>
      </c>
      <c r="C4567" s="154" t="s">
        <v>1715</v>
      </c>
      <c r="D4567" s="201" t="s">
        <v>1953</v>
      </c>
    </row>
    <row r="4568" spans="2:4">
      <c r="B4568" s="198" t="s">
        <v>6061</v>
      </c>
      <c r="C4568" s="154" t="s">
        <v>3465</v>
      </c>
      <c r="D4568" s="201" t="s">
        <v>1951</v>
      </c>
    </row>
    <row r="4569" spans="2:4">
      <c r="B4569" s="198" t="s">
        <v>6062</v>
      </c>
      <c r="C4569" s="154" t="s">
        <v>1575</v>
      </c>
      <c r="D4569" s="201" t="s">
        <v>1959</v>
      </c>
    </row>
    <row r="4570" spans="2:4">
      <c r="B4570" s="198" t="s">
        <v>6069</v>
      </c>
      <c r="C4570" s="154" t="s">
        <v>3081</v>
      </c>
      <c r="D4570" s="201" t="s">
        <v>1957</v>
      </c>
    </row>
    <row r="4571" spans="2:4">
      <c r="B4571" s="198" t="s">
        <v>6070</v>
      </c>
      <c r="C4571" s="154" t="s">
        <v>4187</v>
      </c>
      <c r="D4571" s="201" t="s">
        <v>1955</v>
      </c>
    </row>
    <row r="4572" spans="2:4">
      <c r="B4572" s="198" t="s">
        <v>6071</v>
      </c>
      <c r="C4572" s="154" t="s">
        <v>6072</v>
      </c>
      <c r="D4572" s="201" t="s">
        <v>1953</v>
      </c>
    </row>
    <row r="4573" spans="2:4">
      <c r="B4573" s="198" t="s">
        <v>6073</v>
      </c>
      <c r="C4573" s="154" t="s">
        <v>6074</v>
      </c>
      <c r="D4573" s="201" t="s">
        <v>1953</v>
      </c>
    </row>
    <row r="4574" spans="2:4">
      <c r="B4574" s="198" t="s">
        <v>6075</v>
      </c>
      <c r="C4574" s="154" t="s">
        <v>6076</v>
      </c>
      <c r="D4574" s="201" t="s">
        <v>1954</v>
      </c>
    </row>
    <row r="4575" spans="2:4">
      <c r="B4575" s="198" t="s">
        <v>6077</v>
      </c>
      <c r="C4575" s="154" t="s">
        <v>1577</v>
      </c>
      <c r="D4575" s="201" t="s">
        <v>1951</v>
      </c>
    </row>
    <row r="4576" spans="2:4">
      <c r="B4576" s="198" t="s">
        <v>6078</v>
      </c>
      <c r="C4576" s="154" t="s">
        <v>1577</v>
      </c>
      <c r="D4576" s="201" t="s">
        <v>1951</v>
      </c>
    </row>
    <row r="4577" spans="2:4">
      <c r="B4577" s="198" t="s">
        <v>6079</v>
      </c>
      <c r="C4577" s="154" t="s">
        <v>5556</v>
      </c>
      <c r="D4577" s="201" t="s">
        <v>1955</v>
      </c>
    </row>
    <row r="4578" spans="2:4">
      <c r="B4578" s="198" t="s">
        <v>6082</v>
      </c>
      <c r="C4578" s="154" t="e">
        <v>#N/A</v>
      </c>
      <c r="D4578" s="201" t="e">
        <v>#N/A</v>
      </c>
    </row>
    <row r="4579" spans="2:4">
      <c r="B4579" s="198" t="s">
        <v>6083</v>
      </c>
      <c r="C4579" s="154" t="e">
        <v>#N/A</v>
      </c>
      <c r="D4579" s="201" t="e">
        <v>#N/A</v>
      </c>
    </row>
    <row r="4580" spans="2:4">
      <c r="B4580" s="198" t="s">
        <v>6084</v>
      </c>
      <c r="C4580" s="154" t="e">
        <v>#N/A</v>
      </c>
      <c r="D4580" s="201" t="e">
        <v>#N/A</v>
      </c>
    </row>
    <row r="4581" spans="2:4">
      <c r="B4581" s="198" t="s">
        <v>6080</v>
      </c>
      <c r="C4581" s="154" t="s">
        <v>1699</v>
      </c>
      <c r="D4581" s="201" t="s">
        <v>1956</v>
      </c>
    </row>
    <row r="4582" spans="2:4">
      <c r="B4582" s="198" t="s">
        <v>6081</v>
      </c>
      <c r="C4582" s="154" t="e">
        <v>#N/A</v>
      </c>
      <c r="D4582" s="201" t="e">
        <v>#N/A</v>
      </c>
    </row>
    <row r="4583" spans="2:4">
      <c r="B4583" s="198" t="s">
        <v>6085</v>
      </c>
      <c r="C4583" s="154" t="s">
        <v>1557</v>
      </c>
      <c r="D4583" s="201" t="s">
        <v>1958</v>
      </c>
    </row>
    <row r="4584" spans="2:4">
      <c r="B4584" s="198" t="s">
        <v>6086</v>
      </c>
      <c r="C4584" s="154" t="s">
        <v>142</v>
      </c>
      <c r="D4584" s="201" t="s">
        <v>1954</v>
      </c>
    </row>
    <row r="4585" spans="2:4">
      <c r="B4585" s="198" t="s">
        <v>6087</v>
      </c>
      <c r="C4585" s="154" t="s">
        <v>142</v>
      </c>
      <c r="D4585" s="201" t="s">
        <v>1954</v>
      </c>
    </row>
    <row r="4586" spans="2:4">
      <c r="B4586" s="198" t="s">
        <v>6088</v>
      </c>
      <c r="C4586" s="154" t="s">
        <v>6091</v>
      </c>
      <c r="D4586" s="201" t="s">
        <v>5662</v>
      </c>
    </row>
    <row r="4587" spans="2:4">
      <c r="B4587" s="198" t="s">
        <v>6089</v>
      </c>
      <c r="C4587" s="154" t="s">
        <v>6092</v>
      </c>
      <c r="D4587" s="201" t="s">
        <v>5662</v>
      </c>
    </row>
    <row r="4588" spans="2:4">
      <c r="B4588" s="198" t="s">
        <v>6090</v>
      </c>
      <c r="C4588" s="154" t="s">
        <v>6093</v>
      </c>
      <c r="D4588" s="201" t="s">
        <v>5662</v>
      </c>
    </row>
    <row r="4589" spans="2:4">
      <c r="B4589" s="198" t="s">
        <v>6032</v>
      </c>
      <c r="C4589" s="154" t="s">
        <v>6094</v>
      </c>
      <c r="D4589" s="201" t="s">
        <v>5662</v>
      </c>
    </row>
    <row r="4590" spans="2:4">
      <c r="B4590" s="198"/>
      <c r="C4590" s="154"/>
      <c r="D4590" s="201"/>
    </row>
    <row r="4591" spans="2:4">
      <c r="B4591" s="198" t="s">
        <v>6096</v>
      </c>
      <c r="C4591" s="154" t="s">
        <v>3081</v>
      </c>
      <c r="D4591" s="201" t="s">
        <v>1957</v>
      </c>
    </row>
    <row r="4592" spans="2:4">
      <c r="B4592" s="198" t="s">
        <v>6097</v>
      </c>
      <c r="C4592" s="154" t="s">
        <v>3081</v>
      </c>
      <c r="D4592" s="201" t="s">
        <v>1957</v>
      </c>
    </row>
    <row r="4593" spans="2:4">
      <c r="B4593" s="198" t="s">
        <v>6098</v>
      </c>
      <c r="C4593" s="154" t="s">
        <v>3081</v>
      </c>
      <c r="D4593" s="201" t="s">
        <v>1957</v>
      </c>
    </row>
    <row r="4594" spans="2:4">
      <c r="B4594" s="198" t="s">
        <v>6748</v>
      </c>
      <c r="C4594" s="154" t="s">
        <v>6101</v>
      </c>
      <c r="D4594" s="201" t="s">
        <v>1959</v>
      </c>
    </row>
    <row r="4595" spans="2:4">
      <c r="B4595" s="198" t="s">
        <v>6095</v>
      </c>
      <c r="C4595" s="154" t="s">
        <v>4921</v>
      </c>
      <c r="D4595" s="201" t="s">
        <v>1959</v>
      </c>
    </row>
    <row r="4596" spans="2:4">
      <c r="B4596" s="198" t="s">
        <v>6099</v>
      </c>
      <c r="C4596" s="154" t="s">
        <v>5232</v>
      </c>
      <c r="D4596" s="201" t="s">
        <v>1959</v>
      </c>
    </row>
    <row r="4597" spans="2:4">
      <c r="B4597" s="198" t="s">
        <v>6100</v>
      </c>
      <c r="C4597" s="154" t="s">
        <v>6102</v>
      </c>
      <c r="D4597" s="201" t="s">
        <v>2216</v>
      </c>
    </row>
    <row r="4598" spans="2:4">
      <c r="B4598" s="198" t="s">
        <v>6103</v>
      </c>
      <c r="C4598" s="154" t="s">
        <v>1541</v>
      </c>
      <c r="D4598" s="201" t="s">
        <v>1955</v>
      </c>
    </row>
    <row r="4599" spans="2:4">
      <c r="B4599" s="198" t="s">
        <v>6104</v>
      </c>
      <c r="C4599" s="154" t="s">
        <v>1522</v>
      </c>
      <c r="D4599" s="201" t="s">
        <v>1953</v>
      </c>
    </row>
    <row r="4600" spans="2:4">
      <c r="B4600" s="198" t="s">
        <v>6105</v>
      </c>
      <c r="C4600" s="154" t="s">
        <v>5556</v>
      </c>
      <c r="D4600" s="201" t="s">
        <v>1955</v>
      </c>
    </row>
    <row r="4601" spans="2:4">
      <c r="B4601" s="198" t="s">
        <v>6106</v>
      </c>
      <c r="C4601" s="154" t="s">
        <v>1551</v>
      </c>
      <c r="D4601" s="201" t="s">
        <v>1958</v>
      </c>
    </row>
    <row r="4602" spans="2:4">
      <c r="B4602" s="198" t="s">
        <v>6107</v>
      </c>
      <c r="C4602" s="154" t="s">
        <v>149</v>
      </c>
      <c r="D4602" s="201" t="s">
        <v>1956</v>
      </c>
    </row>
    <row r="4603" spans="2:4">
      <c r="B4603" s="198" t="s">
        <v>6108</v>
      </c>
      <c r="C4603" s="154" t="s">
        <v>1587</v>
      </c>
      <c r="D4603" s="201" t="s">
        <v>1958</v>
      </c>
    </row>
    <row r="4604" spans="2:4">
      <c r="B4604" s="198" t="s">
        <v>6109</v>
      </c>
      <c r="C4604" s="154" t="s">
        <v>142</v>
      </c>
      <c r="D4604" s="201" t="s">
        <v>1954</v>
      </c>
    </row>
    <row r="4605" spans="2:4">
      <c r="B4605" s="198" t="s">
        <v>6110</v>
      </c>
      <c r="C4605" s="154" t="s">
        <v>1541</v>
      </c>
      <c r="D4605" s="201" t="s">
        <v>1955</v>
      </c>
    </row>
    <row r="4606" spans="2:4">
      <c r="B4606" s="198" t="s">
        <v>6111</v>
      </c>
      <c r="C4606" s="154" t="s">
        <v>1566</v>
      </c>
      <c r="D4606" s="201" t="s">
        <v>1951</v>
      </c>
    </row>
    <row r="4607" spans="2:4">
      <c r="B4607" s="198" t="s">
        <v>6112</v>
      </c>
      <c r="C4607" s="154" t="s">
        <v>142</v>
      </c>
      <c r="D4607" s="201" t="s">
        <v>1954</v>
      </c>
    </row>
    <row r="4608" spans="2:4">
      <c r="B4608" s="198" t="s">
        <v>6113</v>
      </c>
      <c r="C4608" s="154" t="s">
        <v>1511</v>
      </c>
      <c r="D4608" s="201" t="s">
        <v>1951</v>
      </c>
    </row>
    <row r="4609" spans="2:4">
      <c r="B4609" s="198" t="s">
        <v>6114</v>
      </c>
      <c r="C4609" s="154" t="s">
        <v>1511</v>
      </c>
      <c r="D4609" s="201" t="s">
        <v>1951</v>
      </c>
    </row>
    <row r="4610" spans="2:4">
      <c r="B4610" s="198" t="s">
        <v>6115</v>
      </c>
      <c r="C4610" s="154" t="s">
        <v>6117</v>
      </c>
      <c r="D4610" s="201" t="s">
        <v>5662</v>
      </c>
    </row>
    <row r="4611" spans="2:4">
      <c r="B4611" s="198" t="s">
        <v>6116</v>
      </c>
      <c r="C4611" s="154" t="s">
        <v>6118</v>
      </c>
      <c r="D4611" s="201" t="s">
        <v>5662</v>
      </c>
    </row>
    <row r="4612" spans="2:4">
      <c r="B4612" s="198"/>
      <c r="C4612" s="154"/>
      <c r="D4612" s="201"/>
    </row>
    <row r="4613" spans="2:4">
      <c r="B4613" s="198" t="s">
        <v>6120</v>
      </c>
      <c r="C4613" s="154" t="s">
        <v>5065</v>
      </c>
      <c r="D4613" s="201" t="s">
        <v>1956</v>
      </c>
    </row>
    <row r="4614" spans="2:4">
      <c r="B4614" s="198"/>
      <c r="C4614" s="154"/>
      <c r="D4614" s="201"/>
    </row>
    <row r="4615" spans="2:4">
      <c r="B4615" s="198" t="s">
        <v>6121</v>
      </c>
      <c r="C4615" s="154" t="s">
        <v>6135</v>
      </c>
      <c r="D4615" s="201" t="s">
        <v>1955</v>
      </c>
    </row>
    <row r="4616" spans="2:4">
      <c r="B4616" s="198" t="s">
        <v>6122</v>
      </c>
      <c r="C4616" s="154" t="s">
        <v>1567</v>
      </c>
      <c r="D4616" s="201" t="s">
        <v>1953</v>
      </c>
    </row>
    <row r="4617" spans="2:4">
      <c r="B4617" s="198" t="s">
        <v>6123</v>
      </c>
      <c r="C4617" s="154" t="s">
        <v>6136</v>
      </c>
      <c r="D4617" s="201" t="s">
        <v>1951</v>
      </c>
    </row>
    <row r="4618" spans="2:4">
      <c r="B4618" s="198" t="s">
        <v>6124</v>
      </c>
      <c r="C4618" s="154" t="s">
        <v>6137</v>
      </c>
      <c r="D4618" s="201" t="s">
        <v>1953</v>
      </c>
    </row>
    <row r="4619" spans="2:4">
      <c r="B4619" s="198" t="s">
        <v>6125</v>
      </c>
      <c r="C4619" s="154" t="s">
        <v>3485</v>
      </c>
      <c r="D4619" s="201" t="s">
        <v>1951</v>
      </c>
    </row>
    <row r="4620" spans="2:4">
      <c r="B4620" s="198" t="s">
        <v>6126</v>
      </c>
      <c r="C4620" s="154" t="s">
        <v>6138</v>
      </c>
      <c r="D4620" s="201" t="s">
        <v>1955</v>
      </c>
    </row>
    <row r="4621" spans="2:4">
      <c r="B4621" s="198" t="s">
        <v>6127</v>
      </c>
      <c r="C4621" s="154" t="s">
        <v>6139</v>
      </c>
      <c r="D4621" s="201" t="s">
        <v>1954</v>
      </c>
    </row>
    <row r="4622" spans="2:4">
      <c r="B4622" s="198" t="s">
        <v>6128</v>
      </c>
      <c r="C4622" s="154" t="s">
        <v>4211</v>
      </c>
      <c r="D4622" s="201" t="s">
        <v>1951</v>
      </c>
    </row>
    <row r="4623" spans="2:4">
      <c r="B4623" s="198" t="s">
        <v>6129</v>
      </c>
      <c r="C4623" s="154" t="s">
        <v>6140</v>
      </c>
      <c r="D4623" s="201" t="s">
        <v>1954</v>
      </c>
    </row>
    <row r="4624" spans="2:4">
      <c r="B4624" s="198" t="s">
        <v>6130</v>
      </c>
      <c r="C4624" s="154" t="s">
        <v>1567</v>
      </c>
      <c r="D4624" s="201" t="s">
        <v>1953</v>
      </c>
    </row>
    <row r="4625" spans="2:4">
      <c r="B4625" s="198" t="s">
        <v>6131</v>
      </c>
      <c r="C4625" s="154" t="s">
        <v>2916</v>
      </c>
      <c r="D4625" s="201" t="s">
        <v>1951</v>
      </c>
    </row>
    <row r="4626" spans="2:4">
      <c r="B4626" s="198" t="s">
        <v>6132</v>
      </c>
      <c r="C4626" s="154" t="s">
        <v>4671</v>
      </c>
      <c r="D4626" s="201" t="s">
        <v>1956</v>
      </c>
    </row>
    <row r="4627" spans="2:4">
      <c r="B4627" s="198" t="s">
        <v>6133</v>
      </c>
      <c r="C4627" s="154" t="s">
        <v>1655</v>
      </c>
      <c r="D4627" s="201" t="s">
        <v>1954</v>
      </c>
    </row>
    <row r="4628" spans="2:4">
      <c r="B4628" s="198" t="s">
        <v>6134</v>
      </c>
      <c r="C4628" s="154" t="s">
        <v>6141</v>
      </c>
      <c r="D4628" s="201" t="s">
        <v>1956</v>
      </c>
    </row>
    <row r="4629" spans="2:4">
      <c r="B4629" s="198" t="s">
        <v>6143</v>
      </c>
      <c r="C4629" s="154" t="s">
        <v>6144</v>
      </c>
      <c r="D4629" s="201" t="s">
        <v>5662</v>
      </c>
    </row>
    <row r="4630" spans="2:4">
      <c r="B4630" s="198" t="s">
        <v>6142</v>
      </c>
      <c r="C4630" s="154" t="s">
        <v>6145</v>
      </c>
      <c r="D4630" s="201" t="s">
        <v>5662</v>
      </c>
    </row>
    <row r="4631" spans="2:4">
      <c r="B4631" s="198" t="s">
        <v>6119</v>
      </c>
      <c r="C4631" s="154" t="s">
        <v>3315</v>
      </c>
      <c r="D4631" s="201" t="s">
        <v>1954</v>
      </c>
    </row>
    <row r="4632" spans="2:4">
      <c r="B4632" s="198" t="s">
        <v>6146</v>
      </c>
      <c r="C4632" s="154" t="s">
        <v>1587</v>
      </c>
      <c r="D4632" s="201" t="s">
        <v>1958</v>
      </c>
    </row>
    <row r="4633" spans="2:4">
      <c r="B4633" s="198" t="s">
        <v>6147</v>
      </c>
      <c r="C4633" s="154" t="s">
        <v>3812</v>
      </c>
      <c r="D4633" s="201" t="s">
        <v>1958</v>
      </c>
    </row>
    <row r="4634" spans="2:4">
      <c r="B4634" s="198" t="s">
        <v>6148</v>
      </c>
      <c r="C4634" s="154" t="s">
        <v>1587</v>
      </c>
      <c r="D4634" s="201" t="s">
        <v>1958</v>
      </c>
    </row>
    <row r="4635" spans="2:4">
      <c r="B4635" s="198" t="s">
        <v>6149</v>
      </c>
      <c r="C4635" s="154" t="s">
        <v>150</v>
      </c>
      <c r="D4635" s="201" t="s">
        <v>1951</v>
      </c>
    </row>
    <row r="4636" spans="2:4">
      <c r="B4636" s="198" t="s">
        <v>6150</v>
      </c>
      <c r="C4636" s="154" t="s">
        <v>6151</v>
      </c>
      <c r="D4636" s="201" t="s">
        <v>1958</v>
      </c>
    </row>
    <row r="4637" spans="2:4">
      <c r="B4637" s="198" t="s">
        <v>6152</v>
      </c>
      <c r="C4637" s="154" t="s">
        <v>1541</v>
      </c>
      <c r="D4637" s="201" t="s">
        <v>1955</v>
      </c>
    </row>
    <row r="4638" spans="2:4">
      <c r="B4638" s="198" t="s">
        <v>6153</v>
      </c>
      <c r="C4638" s="154" t="s">
        <v>149</v>
      </c>
      <c r="D4638" s="201" t="s">
        <v>1956</v>
      </c>
    </row>
    <row r="4639" spans="2:4">
      <c r="B4639" s="198" t="s">
        <v>6154</v>
      </c>
      <c r="C4639" s="154" t="s">
        <v>1519</v>
      </c>
      <c r="D4639" s="201" t="s">
        <v>1951</v>
      </c>
    </row>
    <row r="4640" spans="2:4">
      <c r="B4640" s="198" t="s">
        <v>6155</v>
      </c>
      <c r="C4640" s="154" t="s">
        <v>1578</v>
      </c>
      <c r="D4640" s="201" t="s">
        <v>1958</v>
      </c>
    </row>
    <row r="4641" spans="2:4">
      <c r="B4641" s="198" t="s">
        <v>6156</v>
      </c>
      <c r="C4641" s="154" t="s">
        <v>1522</v>
      </c>
      <c r="D4641" s="201" t="s">
        <v>1953</v>
      </c>
    </row>
    <row r="4642" spans="2:4">
      <c r="B4642" s="198" t="s">
        <v>6157</v>
      </c>
      <c r="C4642" s="154" t="s">
        <v>1522</v>
      </c>
      <c r="D4642" s="201" t="s">
        <v>1953</v>
      </c>
    </row>
    <row r="4643" spans="2:4">
      <c r="B4643" s="198" t="s">
        <v>6158</v>
      </c>
      <c r="C4643" s="154" t="s">
        <v>5815</v>
      </c>
      <c r="D4643" s="201" t="s">
        <v>2216</v>
      </c>
    </row>
    <row r="4644" spans="2:4">
      <c r="B4644" s="198" t="s">
        <v>6159</v>
      </c>
      <c r="C4644" s="154" t="s">
        <v>6164</v>
      </c>
      <c r="D4644" s="201" t="s">
        <v>1954</v>
      </c>
    </row>
    <row r="4645" spans="2:4">
      <c r="B4645" s="198" t="s">
        <v>6160</v>
      </c>
      <c r="C4645" s="154" t="s">
        <v>4921</v>
      </c>
      <c r="D4645" s="201" t="s">
        <v>1959</v>
      </c>
    </row>
    <row r="4646" spans="2:4">
      <c r="B4646" s="198" t="s">
        <v>6162</v>
      </c>
      <c r="C4646" s="154" t="s">
        <v>6163</v>
      </c>
      <c r="D4646" s="201" t="s">
        <v>1952</v>
      </c>
    </row>
    <row r="4647" spans="2:4">
      <c r="B4647" s="198" t="s">
        <v>6161</v>
      </c>
      <c r="C4647" s="154" t="s">
        <v>3081</v>
      </c>
      <c r="D4647" s="201" t="s">
        <v>1957</v>
      </c>
    </row>
    <row r="4648" spans="2:4">
      <c r="B4648" s="198" t="s">
        <v>6165</v>
      </c>
      <c r="C4648" s="154" t="s">
        <v>149</v>
      </c>
      <c r="D4648" s="201" t="s">
        <v>1956</v>
      </c>
    </row>
    <row r="4649" spans="2:4">
      <c r="B4649" s="198" t="s">
        <v>6166</v>
      </c>
      <c r="C4649" s="154" t="s">
        <v>142</v>
      </c>
      <c r="D4649" s="201" t="s">
        <v>1954</v>
      </c>
    </row>
    <row r="4650" spans="2:4">
      <c r="B4650" s="198" t="s">
        <v>6167</v>
      </c>
      <c r="C4650" s="154" t="s">
        <v>142</v>
      </c>
      <c r="D4650" s="201" t="s">
        <v>1954</v>
      </c>
    </row>
    <row r="4651" spans="2:4">
      <c r="B4651" s="198" t="s">
        <v>6168</v>
      </c>
      <c r="C4651" s="154" t="s">
        <v>142</v>
      </c>
      <c r="D4651" s="201" t="s">
        <v>1954</v>
      </c>
    </row>
    <row r="4652" spans="2:4">
      <c r="B4652" s="198" t="s">
        <v>6169</v>
      </c>
      <c r="C4652" s="154" t="s">
        <v>6170</v>
      </c>
      <c r="D4652" s="201" t="s">
        <v>2220</v>
      </c>
    </row>
    <row r="4653" spans="2:4">
      <c r="B4653" s="198" t="s">
        <v>6171</v>
      </c>
      <c r="C4653" s="154" t="s">
        <v>150</v>
      </c>
      <c r="D4653" s="201" t="s">
        <v>1951</v>
      </c>
    </row>
    <row r="4654" spans="2:4">
      <c r="B4654" s="198" t="s">
        <v>6172</v>
      </c>
      <c r="C4654" s="154" t="s">
        <v>150</v>
      </c>
      <c r="D4654" s="201" t="s">
        <v>1951</v>
      </c>
    </row>
    <row r="4655" spans="2:4">
      <c r="B4655" s="198" t="s">
        <v>6173</v>
      </c>
      <c r="C4655" s="154" t="s">
        <v>1587</v>
      </c>
      <c r="D4655" s="201" t="s">
        <v>1958</v>
      </c>
    </row>
    <row r="4656" spans="2:4">
      <c r="B4656" s="198" t="s">
        <v>6174</v>
      </c>
      <c r="C4656" s="154" t="s">
        <v>1944</v>
      </c>
      <c r="D4656" s="201" t="s">
        <v>1958</v>
      </c>
    </row>
    <row r="4657" spans="2:4">
      <c r="B4657" s="198" t="s">
        <v>6175</v>
      </c>
      <c r="C4657" s="154" t="s">
        <v>6195</v>
      </c>
      <c r="D4657" s="201" t="s">
        <v>1958</v>
      </c>
    </row>
    <row r="4658" spans="2:4">
      <c r="B4658" s="198" t="s">
        <v>6176</v>
      </c>
      <c r="C4658" s="154" t="s">
        <v>1641</v>
      </c>
      <c r="D4658" s="201" t="s">
        <v>1958</v>
      </c>
    </row>
    <row r="4659" spans="2:4">
      <c r="B4659" s="198" t="s">
        <v>6177</v>
      </c>
      <c r="C4659" s="154" t="s">
        <v>1641</v>
      </c>
      <c r="D4659" s="201" t="s">
        <v>1958</v>
      </c>
    </row>
    <row r="4660" spans="2:4">
      <c r="B4660" s="198" t="s">
        <v>6178</v>
      </c>
      <c r="C4660" s="154" t="s">
        <v>1587</v>
      </c>
      <c r="D4660" s="201" t="s">
        <v>1958</v>
      </c>
    </row>
    <row r="4661" spans="2:4">
      <c r="B4661" s="198" t="s">
        <v>6179</v>
      </c>
      <c r="C4661" s="154" t="s">
        <v>5351</v>
      </c>
      <c r="D4661" s="201" t="s">
        <v>1958</v>
      </c>
    </row>
    <row r="4662" spans="2:4">
      <c r="B4662" s="198" t="s">
        <v>6180</v>
      </c>
      <c r="C4662" s="154" t="s">
        <v>6196</v>
      </c>
      <c r="D4662" s="201" t="s">
        <v>1958</v>
      </c>
    </row>
    <row r="4663" spans="2:4">
      <c r="B4663" s="198" t="s">
        <v>6181</v>
      </c>
      <c r="C4663" s="154" t="s">
        <v>1625</v>
      </c>
      <c r="D4663" s="201" t="s">
        <v>1951</v>
      </c>
    </row>
    <row r="4664" spans="2:4">
      <c r="B4664" s="198" t="s">
        <v>6182</v>
      </c>
      <c r="C4664" s="154" t="s">
        <v>1587</v>
      </c>
      <c r="D4664" s="201" t="s">
        <v>1958</v>
      </c>
    </row>
    <row r="4665" spans="2:4">
      <c r="B4665" s="198" t="s">
        <v>6183</v>
      </c>
      <c r="C4665" s="154" t="s">
        <v>1587</v>
      </c>
      <c r="D4665" s="201" t="s">
        <v>1958</v>
      </c>
    </row>
    <row r="4666" spans="2:4">
      <c r="B4666" s="198" t="s">
        <v>6184</v>
      </c>
      <c r="C4666" s="154" t="s">
        <v>1587</v>
      </c>
      <c r="D4666" s="201" t="s">
        <v>1958</v>
      </c>
    </row>
    <row r="4667" spans="2:4">
      <c r="B4667" s="198" t="s">
        <v>6185</v>
      </c>
      <c r="C4667" s="154" t="s">
        <v>1587</v>
      </c>
      <c r="D4667" s="201" t="s">
        <v>1958</v>
      </c>
    </row>
    <row r="4668" spans="2:4">
      <c r="B4668" s="198" t="s">
        <v>6186</v>
      </c>
      <c r="C4668" s="154" t="s">
        <v>6197</v>
      </c>
      <c r="D4668" s="201" t="s">
        <v>1958</v>
      </c>
    </row>
    <row r="4669" spans="2:4">
      <c r="B4669" s="198" t="s">
        <v>6187</v>
      </c>
      <c r="C4669" s="154" t="s">
        <v>1587</v>
      </c>
      <c r="D4669" s="201" t="s">
        <v>1958</v>
      </c>
    </row>
    <row r="4670" spans="2:4">
      <c r="B4670" s="198" t="s">
        <v>6188</v>
      </c>
      <c r="C4670" s="154" t="s">
        <v>6198</v>
      </c>
      <c r="D4670" s="201" t="s">
        <v>1958</v>
      </c>
    </row>
    <row r="4671" spans="2:4">
      <c r="B4671" s="198" t="s">
        <v>6189</v>
      </c>
      <c r="C4671" s="154" t="s">
        <v>1587</v>
      </c>
      <c r="D4671" s="201" t="s">
        <v>1958</v>
      </c>
    </row>
    <row r="4672" spans="2:4">
      <c r="B4672" s="198" t="s">
        <v>6190</v>
      </c>
      <c r="C4672" s="154" t="s">
        <v>5994</v>
      </c>
      <c r="D4672" s="201" t="s">
        <v>1958</v>
      </c>
    </row>
    <row r="4673" spans="2:4">
      <c r="B4673" s="198" t="s">
        <v>6194</v>
      </c>
      <c r="C4673" s="154" t="s">
        <v>1587</v>
      </c>
      <c r="D4673" s="201" t="s">
        <v>1958</v>
      </c>
    </row>
    <row r="4674" spans="2:4">
      <c r="B4674" s="198" t="s">
        <v>6191</v>
      </c>
      <c r="C4674" s="154" t="s">
        <v>3303</v>
      </c>
      <c r="D4674" s="201" t="s">
        <v>1958</v>
      </c>
    </row>
    <row r="4675" spans="2:4">
      <c r="B4675" s="198" t="s">
        <v>6193</v>
      </c>
      <c r="C4675" s="154" t="s">
        <v>150</v>
      </c>
      <c r="D4675" s="201" t="s">
        <v>1951</v>
      </c>
    </row>
    <row r="4676" spans="2:4">
      <c r="B4676" s="198" t="s">
        <v>6192</v>
      </c>
      <c r="C4676" s="154" t="s">
        <v>150</v>
      </c>
      <c r="D4676" s="201" t="s">
        <v>1951</v>
      </c>
    </row>
    <row r="4677" spans="2:4">
      <c r="B4677" s="198" t="s">
        <v>6199</v>
      </c>
      <c r="C4677" s="154" t="s">
        <v>6236</v>
      </c>
      <c r="D4677" s="201" t="s">
        <v>6237</v>
      </c>
    </row>
    <row r="4678" spans="2:4">
      <c r="B4678" s="198" t="s">
        <v>6200</v>
      </c>
      <c r="C4678" s="154" t="s">
        <v>6233</v>
      </c>
      <c r="D4678" s="201" t="s">
        <v>5662</v>
      </c>
    </row>
    <row r="4679" spans="2:4">
      <c r="B4679" s="198" t="s">
        <v>6201</v>
      </c>
      <c r="C4679" s="154" t="s">
        <v>6002</v>
      </c>
      <c r="D4679" s="201" t="s">
        <v>5662</v>
      </c>
    </row>
    <row r="4680" spans="2:4">
      <c r="B4680" s="198" t="s">
        <v>6202</v>
      </c>
      <c r="C4680" s="154" t="s">
        <v>6234</v>
      </c>
      <c r="D4680" s="201" t="s">
        <v>5662</v>
      </c>
    </row>
    <row r="4681" spans="2:4">
      <c r="B4681" s="198" t="s">
        <v>6203</v>
      </c>
      <c r="C4681" s="154" t="s">
        <v>6235</v>
      </c>
      <c r="D4681" s="201" t="s">
        <v>5662</v>
      </c>
    </row>
    <row r="4682" spans="2:4">
      <c r="B4682" s="198" t="s">
        <v>6204</v>
      </c>
      <c r="C4682" s="154" t="s">
        <v>1519</v>
      </c>
      <c r="D4682" s="201" t="s">
        <v>1951</v>
      </c>
    </row>
    <row r="4683" spans="2:4">
      <c r="B4683" s="198" t="s">
        <v>6205</v>
      </c>
      <c r="C4683" s="154" t="s">
        <v>1519</v>
      </c>
      <c r="D4683" s="201" t="s">
        <v>1951</v>
      </c>
    </row>
    <row r="4684" spans="2:4">
      <c r="B4684" s="198" t="s">
        <v>6206</v>
      </c>
      <c r="C4684" s="154" t="s">
        <v>1519</v>
      </c>
      <c r="D4684" s="201" t="s">
        <v>1951</v>
      </c>
    </row>
    <row r="4685" spans="2:4">
      <c r="B4685" s="198" t="s">
        <v>6207</v>
      </c>
      <c r="C4685" s="154" t="s">
        <v>150</v>
      </c>
      <c r="D4685" s="201" t="s">
        <v>1951</v>
      </c>
    </row>
    <row r="4686" spans="2:4">
      <c r="B4686" s="198" t="s">
        <v>6208</v>
      </c>
      <c r="C4686" s="154" t="s">
        <v>1519</v>
      </c>
      <c r="D4686" s="201" t="s">
        <v>1951</v>
      </c>
    </row>
    <row r="4687" spans="2:4">
      <c r="B4687" s="198" t="s">
        <v>6209</v>
      </c>
      <c r="C4687" s="154" t="s">
        <v>1519</v>
      </c>
      <c r="D4687" s="201" t="s">
        <v>1951</v>
      </c>
    </row>
    <row r="4688" spans="2:4">
      <c r="B4688" s="198" t="s">
        <v>6210</v>
      </c>
      <c r="C4688" s="154" t="s">
        <v>1519</v>
      </c>
      <c r="D4688" s="201" t="s">
        <v>1951</v>
      </c>
    </row>
    <row r="4689" spans="2:4">
      <c r="B4689" s="198" t="s">
        <v>6211</v>
      </c>
      <c r="C4689" s="154" t="s">
        <v>1541</v>
      </c>
      <c r="D4689" s="201" t="s">
        <v>1955</v>
      </c>
    </row>
    <row r="4690" spans="2:4">
      <c r="B4690" s="198" t="s">
        <v>6212</v>
      </c>
      <c r="C4690" s="154" t="s">
        <v>1541</v>
      </c>
      <c r="D4690" s="201" t="s">
        <v>1955</v>
      </c>
    </row>
    <row r="4691" spans="2:4">
      <c r="B4691" s="198" t="s">
        <v>6213</v>
      </c>
      <c r="C4691" s="154" t="s">
        <v>1519</v>
      </c>
      <c r="D4691" s="201" t="s">
        <v>1951</v>
      </c>
    </row>
    <row r="4692" spans="2:4">
      <c r="B4692" s="198" t="s">
        <v>6214</v>
      </c>
      <c r="C4692" s="154" t="s">
        <v>150</v>
      </c>
      <c r="D4692" s="201" t="s">
        <v>1951</v>
      </c>
    </row>
    <row r="4693" spans="2:4">
      <c r="B4693" s="198" t="s">
        <v>6215</v>
      </c>
      <c r="C4693" s="154" t="s">
        <v>1541</v>
      </c>
      <c r="D4693" s="201" t="s">
        <v>1955</v>
      </c>
    </row>
    <row r="4694" spans="2:4">
      <c r="B4694" s="198" t="s">
        <v>6216</v>
      </c>
      <c r="C4694" s="154" t="s">
        <v>1519</v>
      </c>
      <c r="D4694" s="201" t="s">
        <v>1951</v>
      </c>
    </row>
    <row r="4695" spans="2:4">
      <c r="B4695" s="198" t="s">
        <v>6217</v>
      </c>
      <c r="C4695" s="154" t="s">
        <v>142</v>
      </c>
      <c r="D4695" s="201" t="s">
        <v>1954</v>
      </c>
    </row>
    <row r="4696" spans="2:4">
      <c r="B4696" s="198" t="s">
        <v>6218</v>
      </c>
      <c r="C4696" s="154" t="s">
        <v>142</v>
      </c>
      <c r="D4696" s="201" t="s">
        <v>1954</v>
      </c>
    </row>
    <row r="4697" spans="2:4">
      <c r="B4697" s="198" t="s">
        <v>6219</v>
      </c>
      <c r="C4697" s="154" t="s">
        <v>142</v>
      </c>
      <c r="D4697" s="201" t="s">
        <v>1954</v>
      </c>
    </row>
    <row r="4698" spans="2:4">
      <c r="B4698" s="198" t="s">
        <v>6220</v>
      </c>
      <c r="C4698" s="154" t="s">
        <v>152</v>
      </c>
      <c r="D4698" s="201" t="s">
        <v>1952</v>
      </c>
    </row>
    <row r="4699" spans="2:4">
      <c r="B4699" s="198" t="s">
        <v>6221</v>
      </c>
      <c r="C4699" s="154" t="s">
        <v>142</v>
      </c>
      <c r="D4699" s="201" t="s">
        <v>1954</v>
      </c>
    </row>
    <row r="4700" spans="2:4">
      <c r="B4700" s="198" t="s">
        <v>6222</v>
      </c>
      <c r="C4700" s="154" t="s">
        <v>150</v>
      </c>
      <c r="D4700" s="201" t="s">
        <v>1951</v>
      </c>
    </row>
    <row r="4701" spans="2:4">
      <c r="B4701" s="198" t="s">
        <v>6223</v>
      </c>
      <c r="C4701" s="154" t="s">
        <v>142</v>
      </c>
      <c r="D4701" s="201" t="s">
        <v>1954</v>
      </c>
    </row>
    <row r="4702" spans="2:4">
      <c r="B4702" s="198" t="s">
        <v>6224</v>
      </c>
      <c r="C4702" s="154" t="s">
        <v>142</v>
      </c>
      <c r="D4702" s="201" t="s">
        <v>1954</v>
      </c>
    </row>
    <row r="4703" spans="2:4">
      <c r="B4703" s="198" t="s">
        <v>6225</v>
      </c>
      <c r="C4703" s="154" t="s">
        <v>150</v>
      </c>
      <c r="D4703" s="201" t="s">
        <v>1951</v>
      </c>
    </row>
    <row r="4704" spans="2:4">
      <c r="B4704" s="198" t="s">
        <v>6226</v>
      </c>
      <c r="C4704" s="154" t="s">
        <v>142</v>
      </c>
      <c r="D4704" s="201" t="s">
        <v>1954</v>
      </c>
    </row>
    <row r="4705" spans="2:4">
      <c r="B4705" s="198" t="s">
        <v>6227</v>
      </c>
      <c r="C4705" s="154" t="s">
        <v>142</v>
      </c>
      <c r="D4705" s="201" t="s">
        <v>1954</v>
      </c>
    </row>
    <row r="4706" spans="2:4">
      <c r="B4706" s="198" t="s">
        <v>6228</v>
      </c>
      <c r="C4706" s="154" t="s">
        <v>150</v>
      </c>
      <c r="D4706" s="201" t="s">
        <v>1951</v>
      </c>
    </row>
    <row r="4707" spans="2:4">
      <c r="B4707" s="198" t="s">
        <v>6229</v>
      </c>
      <c r="C4707" s="154" t="s">
        <v>150</v>
      </c>
      <c r="D4707" s="201" t="s">
        <v>1951</v>
      </c>
    </row>
    <row r="4708" spans="2:4">
      <c r="B4708" s="198" t="s">
        <v>6230</v>
      </c>
      <c r="C4708" s="154" t="s">
        <v>1519</v>
      </c>
      <c r="D4708" s="201" t="s">
        <v>1951</v>
      </c>
    </row>
    <row r="4709" spans="2:4">
      <c r="B4709" s="198" t="s">
        <v>6231</v>
      </c>
      <c r="C4709" s="154" t="s">
        <v>142</v>
      </c>
      <c r="D4709" s="201" t="s">
        <v>1954</v>
      </c>
    </row>
    <row r="4710" spans="2:4">
      <c r="B4710" s="198" t="s">
        <v>6232</v>
      </c>
      <c r="C4710" s="154" t="s">
        <v>152</v>
      </c>
      <c r="D4710" s="201" t="s">
        <v>1952</v>
      </c>
    </row>
    <row r="4711" spans="2:4">
      <c r="B4711" s="198" t="s">
        <v>6238</v>
      </c>
      <c r="C4711" s="154" t="s">
        <v>149</v>
      </c>
      <c r="D4711" s="201" t="s">
        <v>1956</v>
      </c>
    </row>
    <row r="4712" spans="2:4">
      <c r="B4712" s="198" t="s">
        <v>6239</v>
      </c>
      <c r="C4712" s="154" t="s">
        <v>149</v>
      </c>
      <c r="D4712" s="201" t="s">
        <v>1956</v>
      </c>
    </row>
    <row r="4713" spans="2:4">
      <c r="B4713" s="198" t="s">
        <v>6240</v>
      </c>
      <c r="C4713" s="154" t="s">
        <v>149</v>
      </c>
      <c r="D4713" s="201" t="s">
        <v>1956</v>
      </c>
    </row>
    <row r="4714" spans="2:4">
      <c r="B4714" s="198" t="s">
        <v>6241</v>
      </c>
      <c r="C4714" s="154" t="s">
        <v>5701</v>
      </c>
      <c r="D4714" s="201" t="s">
        <v>2220</v>
      </c>
    </row>
    <row r="4715" spans="2:4">
      <c r="B4715" s="198" t="s">
        <v>6242</v>
      </c>
      <c r="C4715" s="154" t="s">
        <v>3081</v>
      </c>
      <c r="D4715" s="201" t="s">
        <v>1957</v>
      </c>
    </row>
    <row r="4716" spans="2:4">
      <c r="B4716" s="198" t="s">
        <v>6243</v>
      </c>
      <c r="C4716" s="154" t="s">
        <v>6244</v>
      </c>
      <c r="D4716" s="201" t="s">
        <v>2220</v>
      </c>
    </row>
    <row r="4717" spans="2:4">
      <c r="B4717" s="198" t="s">
        <v>6245</v>
      </c>
      <c r="C4717" s="154" t="s">
        <v>1511</v>
      </c>
      <c r="D4717" s="201" t="s">
        <v>1951</v>
      </c>
    </row>
    <row r="4718" spans="2:4">
      <c r="B4718" s="198" t="s">
        <v>6246</v>
      </c>
      <c r="C4718" s="154" t="s">
        <v>6047</v>
      </c>
      <c r="D4718" s="201" t="s">
        <v>1955</v>
      </c>
    </row>
    <row r="4719" spans="2:4">
      <c r="B4719" s="198" t="s">
        <v>6247</v>
      </c>
      <c r="C4719" s="154" t="s">
        <v>6248</v>
      </c>
      <c r="D4719" s="201" t="s">
        <v>2220</v>
      </c>
    </row>
    <row r="4720" spans="2:4">
      <c r="B4720" s="198" t="s">
        <v>6249</v>
      </c>
      <c r="C4720" s="154" t="s">
        <v>1625</v>
      </c>
      <c r="D4720" s="201" t="s">
        <v>1951</v>
      </c>
    </row>
    <row r="4721" spans="2:4">
      <c r="B4721" s="198" t="s">
        <v>6250</v>
      </c>
      <c r="C4721" s="154" t="s">
        <v>2930</v>
      </c>
      <c r="D4721" s="201" t="s">
        <v>1956</v>
      </c>
    </row>
    <row r="4722" spans="2:4">
      <c r="B4722" s="198" t="s">
        <v>6251</v>
      </c>
      <c r="C4722" s="154" t="s">
        <v>3081</v>
      </c>
      <c r="D4722" s="201" t="s">
        <v>1957</v>
      </c>
    </row>
    <row r="4723" spans="2:4">
      <c r="B4723" s="198" t="s">
        <v>6252</v>
      </c>
      <c r="C4723" s="154" t="s">
        <v>3465</v>
      </c>
      <c r="D4723" s="201" t="s">
        <v>1951</v>
      </c>
    </row>
    <row r="4724" spans="2:4">
      <c r="B4724" s="198" t="s">
        <v>6253</v>
      </c>
      <c r="C4724" s="154" t="s">
        <v>149</v>
      </c>
      <c r="D4724" s="201" t="s">
        <v>1956</v>
      </c>
    </row>
    <row r="4725" spans="2:4">
      <c r="B4725" s="198"/>
      <c r="C4725" s="154"/>
      <c r="D4725" s="201"/>
    </row>
    <row r="4726" spans="2:4">
      <c r="B4726" s="198" t="s">
        <v>6254</v>
      </c>
      <c r="C4726" s="154" t="s">
        <v>3446</v>
      </c>
      <c r="D4726" s="201" t="s">
        <v>1955</v>
      </c>
    </row>
    <row r="4727" spans="2:4">
      <c r="B4727" s="198" t="s">
        <v>6255</v>
      </c>
      <c r="C4727" s="154" t="s">
        <v>6256</v>
      </c>
      <c r="D4727" s="201" t="s">
        <v>1955</v>
      </c>
    </row>
    <row r="4728" spans="2:4">
      <c r="B4728" s="198" t="s">
        <v>6257</v>
      </c>
      <c r="C4728" s="154" t="s">
        <v>6258</v>
      </c>
      <c r="D4728" s="201" t="s">
        <v>1955</v>
      </c>
    </row>
    <row r="4729" spans="2:4">
      <c r="B4729" s="198" t="s">
        <v>6259</v>
      </c>
      <c r="C4729" s="154" t="s">
        <v>3483</v>
      </c>
      <c r="D4729" s="201" t="s">
        <v>1956</v>
      </c>
    </row>
    <row r="4730" spans="2:4">
      <c r="B4730" s="198" t="s">
        <v>6260</v>
      </c>
      <c r="C4730" s="154" t="s">
        <v>6261</v>
      </c>
      <c r="D4730" s="201" t="s">
        <v>1955</v>
      </c>
    </row>
    <row r="4731" spans="2:4">
      <c r="B4731" s="198" t="s">
        <v>6262</v>
      </c>
      <c r="C4731" s="154" t="s">
        <v>3547</v>
      </c>
      <c r="D4731" s="201" t="s">
        <v>2220</v>
      </c>
    </row>
    <row r="4732" spans="2:4">
      <c r="B4732" s="198" t="s">
        <v>6263</v>
      </c>
      <c r="C4732" s="154" t="s">
        <v>142</v>
      </c>
      <c r="D4732" s="201" t="s">
        <v>1954</v>
      </c>
    </row>
    <row r="4733" spans="2:4">
      <c r="B4733" s="198" t="s">
        <v>6264</v>
      </c>
      <c r="C4733" s="154" t="s">
        <v>142</v>
      </c>
      <c r="D4733" s="201" t="s">
        <v>1954</v>
      </c>
    </row>
    <row r="4734" spans="2:4">
      <c r="B4734" s="198" t="s">
        <v>6265</v>
      </c>
      <c r="C4734" s="154" t="s">
        <v>152</v>
      </c>
      <c r="D4734" s="201" t="s">
        <v>1952</v>
      </c>
    </row>
    <row r="4735" spans="2:4">
      <c r="B4735" s="198" t="s">
        <v>6266</v>
      </c>
      <c r="C4735" s="154" t="s">
        <v>142</v>
      </c>
      <c r="D4735" s="201" t="s">
        <v>1954</v>
      </c>
    </row>
    <row r="4736" spans="2:4">
      <c r="B4736" s="198" t="s">
        <v>6267</v>
      </c>
      <c r="C4736" s="154" t="s">
        <v>142</v>
      </c>
      <c r="D4736" s="201" t="s">
        <v>1954</v>
      </c>
    </row>
    <row r="4737" spans="2:4">
      <c r="B4737" s="198" t="s">
        <v>6268</v>
      </c>
      <c r="C4737" s="154" t="s">
        <v>142</v>
      </c>
      <c r="D4737" s="201" t="s">
        <v>1954</v>
      </c>
    </row>
    <row r="4738" spans="2:4">
      <c r="B4738" s="198" t="s">
        <v>6269</v>
      </c>
      <c r="C4738" s="154" t="s">
        <v>1915</v>
      </c>
      <c r="D4738" s="201" t="s">
        <v>1954</v>
      </c>
    </row>
    <row r="4739" spans="2:4">
      <c r="B4739" s="198" t="s">
        <v>6270</v>
      </c>
      <c r="C4739" s="154" t="s">
        <v>152</v>
      </c>
      <c r="D4739" s="201" t="s">
        <v>1952</v>
      </c>
    </row>
    <row r="4740" spans="2:4">
      <c r="B4740" s="198" t="s">
        <v>6271</v>
      </c>
      <c r="C4740" s="154" t="s">
        <v>152</v>
      </c>
      <c r="D4740" s="201" t="s">
        <v>1952</v>
      </c>
    </row>
    <row r="4741" spans="2:4">
      <c r="B4741" s="198" t="s">
        <v>6272</v>
      </c>
      <c r="C4741" s="154" t="s">
        <v>142</v>
      </c>
      <c r="D4741" s="201" t="s">
        <v>1954</v>
      </c>
    </row>
    <row r="4742" spans="2:4">
      <c r="B4742" s="198" t="s">
        <v>6273</v>
      </c>
      <c r="C4742" s="154" t="s">
        <v>3315</v>
      </c>
      <c r="D4742" s="201" t="s">
        <v>1954</v>
      </c>
    </row>
    <row r="4743" spans="2:4">
      <c r="B4743" s="198" t="s">
        <v>6274</v>
      </c>
      <c r="C4743" s="154" t="s">
        <v>3138</v>
      </c>
      <c r="D4743" s="201" t="s">
        <v>1956</v>
      </c>
    </row>
    <row r="4744" spans="2:4">
      <c r="B4744" s="198" t="s">
        <v>6275</v>
      </c>
      <c r="C4744" s="154" t="s">
        <v>3315</v>
      </c>
      <c r="D4744" s="201" t="s">
        <v>1954</v>
      </c>
    </row>
    <row r="4745" spans="2:4">
      <c r="B4745" s="198" t="s">
        <v>6276</v>
      </c>
      <c r="C4745" s="154" t="s">
        <v>3315</v>
      </c>
      <c r="D4745" s="201" t="s">
        <v>1954</v>
      </c>
    </row>
    <row r="4746" spans="2:4">
      <c r="B4746" s="198" t="s">
        <v>6277</v>
      </c>
      <c r="C4746" s="154" t="s">
        <v>3315</v>
      </c>
      <c r="D4746" s="201" t="s">
        <v>1954</v>
      </c>
    </row>
    <row r="4747" spans="2:4">
      <c r="B4747" s="198" t="s">
        <v>6278</v>
      </c>
      <c r="C4747" s="154" t="s">
        <v>3315</v>
      </c>
      <c r="D4747" s="201" t="s">
        <v>1954</v>
      </c>
    </row>
    <row r="4748" spans="2:4">
      <c r="B4748" s="198" t="s">
        <v>6279</v>
      </c>
      <c r="C4748" s="154" t="s">
        <v>3315</v>
      </c>
      <c r="D4748" s="201" t="s">
        <v>1954</v>
      </c>
    </row>
    <row r="4749" spans="2:4">
      <c r="B4749" s="198"/>
      <c r="C4749" s="154"/>
      <c r="D4749" s="201"/>
    </row>
    <row r="4750" spans="2:4">
      <c r="B4750" s="198" t="s">
        <v>6280</v>
      </c>
      <c r="C4750" s="154" t="s">
        <v>3436</v>
      </c>
      <c r="D4750" s="201" t="s">
        <v>1952</v>
      </c>
    </row>
    <row r="4751" spans="2:4">
      <c r="B4751" s="198" t="s">
        <v>6281</v>
      </c>
      <c r="C4751" s="154" t="s">
        <v>3436</v>
      </c>
      <c r="D4751" s="201" t="s">
        <v>1952</v>
      </c>
    </row>
    <row r="4752" spans="2:4">
      <c r="B4752" s="198" t="s">
        <v>6282</v>
      </c>
      <c r="C4752" s="154" t="s">
        <v>3138</v>
      </c>
      <c r="D4752" s="201" t="s">
        <v>1956</v>
      </c>
    </row>
    <row r="4753" spans="2:4">
      <c r="B4753" s="198" t="s">
        <v>6283</v>
      </c>
      <c r="C4753" s="154" t="s">
        <v>3138</v>
      </c>
      <c r="D4753" s="201" t="s">
        <v>1956</v>
      </c>
    </row>
    <row r="4754" spans="2:4">
      <c r="B4754" s="198" t="s">
        <v>6284</v>
      </c>
      <c r="C4754" s="154" t="s">
        <v>3213</v>
      </c>
      <c r="D4754" s="201" t="s">
        <v>1953</v>
      </c>
    </row>
    <row r="4755" spans="2:4">
      <c r="B4755" s="198" t="s">
        <v>6285</v>
      </c>
      <c r="C4755" s="154" t="s">
        <v>3213</v>
      </c>
      <c r="D4755" s="201" t="s">
        <v>1953</v>
      </c>
    </row>
    <row r="4756" spans="2:4">
      <c r="B4756" s="198" t="s">
        <v>6286</v>
      </c>
      <c r="C4756" s="154" t="s">
        <v>6287</v>
      </c>
      <c r="D4756" s="201" t="s">
        <v>1954</v>
      </c>
    </row>
    <row r="4757" spans="2:4">
      <c r="B4757" s="198" t="s">
        <v>6288</v>
      </c>
      <c r="C4757" s="154" t="s">
        <v>6072</v>
      </c>
      <c r="D4757" s="201" t="s">
        <v>1953</v>
      </c>
    </row>
    <row r="4758" spans="2:4">
      <c r="B4758" s="198" t="s">
        <v>6289</v>
      </c>
      <c r="C4758" s="154" t="s">
        <v>3315</v>
      </c>
      <c r="D4758" s="201" t="s">
        <v>1954</v>
      </c>
    </row>
    <row r="4759" spans="2:4">
      <c r="B4759" s="198" t="s">
        <v>6290</v>
      </c>
      <c r="C4759" s="154" t="s">
        <v>3436</v>
      </c>
      <c r="D4759" s="201" t="s">
        <v>1952</v>
      </c>
    </row>
    <row r="4760" spans="2:4">
      <c r="B4760" s="198" t="s">
        <v>6291</v>
      </c>
      <c r="C4760" s="154" t="s">
        <v>6293</v>
      </c>
      <c r="D4760" s="201" t="s">
        <v>1951</v>
      </c>
    </row>
    <row r="4761" spans="2:4">
      <c r="B4761" s="198" t="s">
        <v>6292</v>
      </c>
      <c r="C4761" s="154" t="s">
        <v>3138</v>
      </c>
      <c r="D4761" s="201" t="s">
        <v>1956</v>
      </c>
    </row>
    <row r="4762" spans="2:4">
      <c r="B4762" s="198" t="s">
        <v>6294</v>
      </c>
      <c r="C4762" s="154" t="s">
        <v>3598</v>
      </c>
      <c r="D4762" s="201" t="s">
        <v>1951</v>
      </c>
    </row>
    <row r="4763" spans="2:4">
      <c r="B4763" s="198" t="s">
        <v>6295</v>
      </c>
      <c r="C4763" s="154" t="s">
        <v>3485</v>
      </c>
      <c r="D4763" s="201" t="s">
        <v>1951</v>
      </c>
    </row>
    <row r="4764" spans="2:4">
      <c r="B4764" s="198" t="s">
        <v>6296</v>
      </c>
      <c r="C4764" s="154" t="s">
        <v>3604</v>
      </c>
      <c r="D4764" s="201" t="s">
        <v>1953</v>
      </c>
    </row>
    <row r="4765" spans="2:4">
      <c r="B4765" s="198" t="s">
        <v>6297</v>
      </c>
      <c r="C4765" s="154" t="s">
        <v>6302</v>
      </c>
      <c r="D4765" s="201" t="s">
        <v>1956</v>
      </c>
    </row>
    <row r="4766" spans="2:4">
      <c r="B4766" s="198" t="s">
        <v>6298</v>
      </c>
      <c r="C4766" s="154" t="s">
        <v>5306</v>
      </c>
      <c r="D4766" s="201" t="s">
        <v>1955</v>
      </c>
    </row>
    <row r="4767" spans="2:4">
      <c r="B4767" s="198" t="s">
        <v>6299</v>
      </c>
      <c r="C4767" s="154" t="s">
        <v>3540</v>
      </c>
      <c r="D4767" s="201" t="s">
        <v>1956</v>
      </c>
    </row>
    <row r="4768" spans="2:4">
      <c r="B4768" s="198" t="s">
        <v>6300</v>
      </c>
      <c r="C4768" s="154" t="s">
        <v>3962</v>
      </c>
      <c r="D4768" s="201" t="s">
        <v>1951</v>
      </c>
    </row>
    <row r="4769" spans="2:4">
      <c r="B4769" s="198" t="s">
        <v>6301</v>
      </c>
      <c r="C4769" s="154" t="s">
        <v>6303</v>
      </c>
      <c r="D4769" s="201" t="s">
        <v>1951</v>
      </c>
    </row>
    <row r="4770" spans="2:4">
      <c r="B4770" s="198" t="s">
        <v>6304</v>
      </c>
      <c r="C4770" s="154" t="s">
        <v>1587</v>
      </c>
      <c r="D4770" s="201" t="s">
        <v>1958</v>
      </c>
    </row>
    <row r="4771" spans="2:4">
      <c r="B4771" s="198" t="s">
        <v>6305</v>
      </c>
      <c r="C4771" s="154" t="s">
        <v>1736</v>
      </c>
      <c r="D4771" s="201" t="s">
        <v>1953</v>
      </c>
    </row>
    <row r="4772" spans="2:4">
      <c r="B4772" s="198" t="s">
        <v>6306</v>
      </c>
      <c r="C4772" s="154" t="s">
        <v>1944</v>
      </c>
      <c r="D4772" s="201" t="s">
        <v>1958</v>
      </c>
    </row>
    <row r="4773" spans="2:4">
      <c r="B4773" s="198" t="s">
        <v>6307</v>
      </c>
      <c r="C4773" s="154" t="s">
        <v>1587</v>
      </c>
      <c r="D4773" s="201" t="s">
        <v>1958</v>
      </c>
    </row>
    <row r="4774" spans="2:4">
      <c r="B4774" s="198" t="s">
        <v>6308</v>
      </c>
      <c r="C4774" s="154" t="s">
        <v>6309</v>
      </c>
      <c r="D4774" s="201" t="s">
        <v>2216</v>
      </c>
    </row>
    <row r="4775" spans="2:4">
      <c r="B4775" s="198" t="s">
        <v>6310</v>
      </c>
      <c r="C4775" s="154" t="s">
        <v>4921</v>
      </c>
      <c r="D4775" s="201" t="s">
        <v>1959</v>
      </c>
    </row>
    <row r="4776" spans="2:4">
      <c r="B4776" s="198" t="s">
        <v>6311</v>
      </c>
      <c r="C4776" s="154" t="s">
        <v>6312</v>
      </c>
      <c r="D4776" s="201" t="s">
        <v>6237</v>
      </c>
    </row>
    <row r="4777" spans="2:4">
      <c r="B4777" s="198" t="s">
        <v>6313</v>
      </c>
      <c r="C4777" s="154" t="s">
        <v>6314</v>
      </c>
      <c r="D4777" s="201" t="s">
        <v>1958</v>
      </c>
    </row>
    <row r="4778" spans="2:4">
      <c r="B4778" s="198" t="s">
        <v>6315</v>
      </c>
      <c r="C4778" s="154" t="s">
        <v>149</v>
      </c>
      <c r="D4778" s="201" t="s">
        <v>1956</v>
      </c>
    </row>
    <row r="4779" spans="2:4">
      <c r="B4779" s="198" t="s">
        <v>6316</v>
      </c>
      <c r="C4779" s="154" t="s">
        <v>2945</v>
      </c>
      <c r="D4779" s="201" t="s">
        <v>1958</v>
      </c>
    </row>
    <row r="4780" spans="2:4">
      <c r="B4780" s="198" t="s">
        <v>6317</v>
      </c>
      <c r="C4780" s="154" t="s">
        <v>1522</v>
      </c>
      <c r="D4780" s="201" t="s">
        <v>1953</v>
      </c>
    </row>
    <row r="4781" spans="2:4">
      <c r="B4781" s="198" t="s">
        <v>6318</v>
      </c>
      <c r="C4781" s="154" t="s">
        <v>149</v>
      </c>
      <c r="D4781" s="201" t="s">
        <v>1956</v>
      </c>
    </row>
    <row r="4782" spans="2:4">
      <c r="B4782" s="198" t="s">
        <v>6319</v>
      </c>
      <c r="C4782" s="154" t="s">
        <v>149</v>
      </c>
      <c r="D4782" s="201" t="s">
        <v>1956</v>
      </c>
    </row>
    <row r="4783" spans="2:4">
      <c r="B4783" s="198" t="s">
        <v>6320</v>
      </c>
      <c r="C4783" s="154" t="s">
        <v>149</v>
      </c>
      <c r="D4783" s="201" t="s">
        <v>1956</v>
      </c>
    </row>
    <row r="4784" spans="2:4">
      <c r="B4784" s="198" t="s">
        <v>6321</v>
      </c>
      <c r="C4784" s="154" t="s">
        <v>149</v>
      </c>
      <c r="D4784" s="201" t="s">
        <v>1956</v>
      </c>
    </row>
    <row r="4785" spans="2:4">
      <c r="B4785" s="198" t="s">
        <v>6322</v>
      </c>
      <c r="C4785" s="154" t="s">
        <v>1587</v>
      </c>
      <c r="D4785" s="201" t="s">
        <v>1958</v>
      </c>
    </row>
    <row r="4786" spans="2:4">
      <c r="B4786" s="198" t="s">
        <v>6323</v>
      </c>
      <c r="C4786" s="154" t="s">
        <v>1578</v>
      </c>
      <c r="D4786" s="201" t="s">
        <v>1958</v>
      </c>
    </row>
    <row r="4787" spans="2:4">
      <c r="B4787" s="198" t="s">
        <v>6324</v>
      </c>
      <c r="C4787" s="154" t="s">
        <v>1587</v>
      </c>
      <c r="D4787" s="201" t="s">
        <v>1958</v>
      </c>
    </row>
    <row r="4788" spans="2:4">
      <c r="B4788" s="198" t="s">
        <v>6325</v>
      </c>
      <c r="C4788" s="154" t="s">
        <v>1541</v>
      </c>
      <c r="D4788" s="201" t="s">
        <v>1955</v>
      </c>
    </row>
    <row r="4789" spans="2:4">
      <c r="B4789" s="198" t="s">
        <v>6326</v>
      </c>
      <c r="C4789" s="154" t="s">
        <v>1660</v>
      </c>
      <c r="D4789" s="201" t="s">
        <v>1951</v>
      </c>
    </row>
    <row r="4790" spans="2:4">
      <c r="B4790" s="198" t="s">
        <v>6327</v>
      </c>
      <c r="C4790" s="154" t="s">
        <v>150</v>
      </c>
      <c r="D4790" s="201" t="s">
        <v>1951</v>
      </c>
    </row>
    <row r="4791" spans="2:4">
      <c r="B4791" s="198" t="s">
        <v>6328</v>
      </c>
      <c r="C4791" s="154" t="s">
        <v>150</v>
      </c>
      <c r="D4791" s="201" t="s">
        <v>1951</v>
      </c>
    </row>
    <row r="4792" spans="2:4">
      <c r="B4792" s="198" t="s">
        <v>6329</v>
      </c>
      <c r="C4792" s="154" t="s">
        <v>1587</v>
      </c>
      <c r="D4792" s="201" t="s">
        <v>1958</v>
      </c>
    </row>
    <row r="4793" spans="2:4">
      <c r="B4793" s="198" t="s">
        <v>6330</v>
      </c>
      <c r="C4793" s="154" t="s">
        <v>3050</v>
      </c>
      <c r="D4793" s="201" t="s">
        <v>1953</v>
      </c>
    </row>
    <row r="4794" spans="2:4">
      <c r="B4794" s="198" t="s">
        <v>6331</v>
      </c>
      <c r="C4794" s="154" t="s">
        <v>3547</v>
      </c>
      <c r="D4794" s="201" t="s">
        <v>2220</v>
      </c>
    </row>
    <row r="4795" spans="2:4">
      <c r="B4795" s="198" t="s">
        <v>6332</v>
      </c>
      <c r="C4795" s="154" t="s">
        <v>3547</v>
      </c>
      <c r="D4795" s="201" t="s">
        <v>2220</v>
      </c>
    </row>
    <row r="4796" spans="2:4">
      <c r="B4796" s="198" t="s">
        <v>6333</v>
      </c>
      <c r="C4796" s="154" t="s">
        <v>142</v>
      </c>
      <c r="D4796" s="201" t="s">
        <v>1954</v>
      </c>
    </row>
    <row r="4797" spans="2:4">
      <c r="B4797" s="198" t="s">
        <v>6334</v>
      </c>
      <c r="C4797" s="154" t="s">
        <v>1587</v>
      </c>
      <c r="D4797" s="201" t="s">
        <v>1958</v>
      </c>
    </row>
    <row r="4798" spans="2:4">
      <c r="B4798" s="198" t="s">
        <v>6335</v>
      </c>
      <c r="C4798" s="154" t="s">
        <v>150</v>
      </c>
      <c r="D4798" s="201" t="s">
        <v>1951</v>
      </c>
    </row>
    <row r="4799" spans="2:4">
      <c r="B4799" s="198" t="s">
        <v>6336</v>
      </c>
      <c r="C4799" s="154" t="s">
        <v>3547</v>
      </c>
      <c r="D4799" s="201" t="s">
        <v>2220</v>
      </c>
    </row>
    <row r="4800" spans="2:4">
      <c r="B4800" s="198" t="s">
        <v>6337</v>
      </c>
      <c r="C4800" s="154" t="s">
        <v>6338</v>
      </c>
      <c r="D4800" s="201" t="s">
        <v>2220</v>
      </c>
    </row>
    <row r="4801" spans="2:4">
      <c r="B4801" s="198"/>
      <c r="C4801" s="154"/>
      <c r="D4801" s="201"/>
    </row>
    <row r="4802" spans="2:4">
      <c r="B4802" s="198" t="s">
        <v>6339</v>
      </c>
      <c r="C4802" s="154" t="s">
        <v>142</v>
      </c>
      <c r="D4802" s="201" t="s">
        <v>1954</v>
      </c>
    </row>
    <row r="4803" spans="2:4">
      <c r="B4803" s="198"/>
      <c r="C4803" s="154"/>
      <c r="D4803" s="201"/>
    </row>
    <row r="4804" spans="2:4">
      <c r="B4804" s="198" t="s">
        <v>6340</v>
      </c>
      <c r="C4804" s="154" t="s">
        <v>6341</v>
      </c>
      <c r="D4804" s="201" t="s">
        <v>5662</v>
      </c>
    </row>
    <row r="4805" spans="2:4">
      <c r="B4805" s="198" t="s">
        <v>6342</v>
      </c>
      <c r="C4805" s="154" t="s">
        <v>5222</v>
      </c>
      <c r="D4805" s="201" t="s">
        <v>1952</v>
      </c>
    </row>
    <row r="4806" spans="2:4">
      <c r="B4806" s="198" t="s">
        <v>6343</v>
      </c>
      <c r="C4806" s="154" t="s">
        <v>5661</v>
      </c>
      <c r="D4806" s="201" t="s">
        <v>5662</v>
      </c>
    </row>
    <row r="4807" spans="2:4">
      <c r="B4807" s="198" t="s">
        <v>6344</v>
      </c>
      <c r="C4807" s="154" t="s">
        <v>3465</v>
      </c>
      <c r="D4807" s="201" t="s">
        <v>1951</v>
      </c>
    </row>
    <row r="4808" spans="2:4">
      <c r="B4808" s="198" t="s">
        <v>6345</v>
      </c>
      <c r="C4808" s="154" t="s">
        <v>152</v>
      </c>
      <c r="D4808" s="201" t="s">
        <v>1952</v>
      </c>
    </row>
    <row r="4809" spans="2:4">
      <c r="B4809" s="198" t="s">
        <v>6346</v>
      </c>
      <c r="C4809" s="154" t="s">
        <v>152</v>
      </c>
      <c r="D4809" s="201" t="s">
        <v>1952</v>
      </c>
    </row>
    <row r="4810" spans="2:4">
      <c r="B4810" s="198" t="s">
        <v>6347</v>
      </c>
      <c r="C4810" s="154" t="s">
        <v>152</v>
      </c>
      <c r="D4810" s="201" t="s">
        <v>1952</v>
      </c>
    </row>
    <row r="4811" spans="2:4">
      <c r="B4811" s="198" t="s">
        <v>6348</v>
      </c>
      <c r="C4811" s="154" t="s">
        <v>1517</v>
      </c>
      <c r="D4811" s="201" t="s">
        <v>1956</v>
      </c>
    </row>
    <row r="4812" spans="2:4">
      <c r="B4812" s="198" t="s">
        <v>6349</v>
      </c>
      <c r="C4812" s="154" t="s">
        <v>152</v>
      </c>
      <c r="D4812" s="201" t="s">
        <v>1952</v>
      </c>
    </row>
    <row r="4813" spans="2:4">
      <c r="B4813" s="198" t="s">
        <v>6350</v>
      </c>
      <c r="C4813" s="154" t="s">
        <v>142</v>
      </c>
      <c r="D4813" s="201" t="s">
        <v>1954</v>
      </c>
    </row>
    <row r="4814" spans="2:4">
      <c r="B4814" s="198" t="s">
        <v>6351</v>
      </c>
      <c r="C4814" s="154" t="s">
        <v>152</v>
      </c>
      <c r="D4814" s="201" t="s">
        <v>1952</v>
      </c>
    </row>
    <row r="4815" spans="2:4">
      <c r="B4815" s="198" t="s">
        <v>6352</v>
      </c>
      <c r="C4815" s="154" t="s">
        <v>142</v>
      </c>
      <c r="D4815" s="201" t="s">
        <v>1954</v>
      </c>
    </row>
    <row r="4816" spans="2:4">
      <c r="B4816" s="198" t="s">
        <v>6353</v>
      </c>
      <c r="C4816" s="154" t="s">
        <v>6354</v>
      </c>
      <c r="D4816" s="201" t="s">
        <v>5662</v>
      </c>
    </row>
    <row r="4817" spans="2:4">
      <c r="B4817" s="198" t="s">
        <v>6355</v>
      </c>
      <c r="C4817" s="154" t="s">
        <v>6356</v>
      </c>
      <c r="D4817" s="201" t="s">
        <v>5662</v>
      </c>
    </row>
    <row r="4818" spans="2:4">
      <c r="B4818" s="198" t="s">
        <v>6357</v>
      </c>
      <c r="C4818" s="154" t="s">
        <v>5713</v>
      </c>
      <c r="D4818" s="201" t="s">
        <v>5662</v>
      </c>
    </row>
    <row r="4819" spans="2:4">
      <c r="B4819" s="198" t="s">
        <v>6358</v>
      </c>
      <c r="C4819" s="154" t="s">
        <v>142</v>
      </c>
      <c r="D4819" s="201" t="s">
        <v>1954</v>
      </c>
    </row>
    <row r="4820" spans="2:4">
      <c r="B4820" s="198" t="s">
        <v>6359</v>
      </c>
      <c r="C4820" s="154" t="s">
        <v>142</v>
      </c>
      <c r="D4820" s="201" t="s">
        <v>1954</v>
      </c>
    </row>
    <row r="4821" spans="2:4">
      <c r="B4821" s="198" t="s">
        <v>6360</v>
      </c>
      <c r="C4821" s="154" t="s">
        <v>1560</v>
      </c>
      <c r="D4821" s="201" t="s">
        <v>1953</v>
      </c>
    </row>
    <row r="4822" spans="2:4">
      <c r="B4822" s="198" t="s">
        <v>6361</v>
      </c>
      <c r="C4822" s="154" t="s">
        <v>1577</v>
      </c>
      <c r="D4822" s="201" t="s">
        <v>1951</v>
      </c>
    </row>
    <row r="4823" spans="2:4">
      <c r="B4823" s="198" t="s">
        <v>6362</v>
      </c>
      <c r="C4823" s="154" t="s">
        <v>1560</v>
      </c>
      <c r="D4823" s="201" t="s">
        <v>1953</v>
      </c>
    </row>
    <row r="4824" spans="2:4">
      <c r="B4824" s="198" t="s">
        <v>6363</v>
      </c>
      <c r="C4824" s="154" t="s">
        <v>6364</v>
      </c>
      <c r="D4824" s="201" t="s">
        <v>1951</v>
      </c>
    </row>
    <row r="4825" spans="2:4">
      <c r="B4825" s="198" t="s">
        <v>6365</v>
      </c>
      <c r="C4825" s="154" t="s">
        <v>1511</v>
      </c>
      <c r="D4825" s="201" t="s">
        <v>1951</v>
      </c>
    </row>
    <row r="4826" spans="2:4">
      <c r="B4826" s="198" t="s">
        <v>6366</v>
      </c>
      <c r="C4826" s="154" t="s">
        <v>1595</v>
      </c>
      <c r="D4826" s="201" t="s">
        <v>1956</v>
      </c>
    </row>
    <row r="4827" spans="2:4">
      <c r="B4827" s="198" t="s">
        <v>6367</v>
      </c>
      <c r="C4827" s="154" t="s">
        <v>5822</v>
      </c>
      <c r="D4827" s="201" t="s">
        <v>2220</v>
      </c>
    </row>
    <row r="4828" spans="2:4">
      <c r="B4828" s="198" t="s">
        <v>6368</v>
      </c>
      <c r="C4828" s="154" t="s">
        <v>5822</v>
      </c>
      <c r="D4828" s="201" t="s">
        <v>2220</v>
      </c>
    </row>
    <row r="4829" spans="2:4">
      <c r="B4829" s="198" t="s">
        <v>6369</v>
      </c>
      <c r="C4829" s="154" t="s">
        <v>6370</v>
      </c>
      <c r="D4829" s="201" t="s">
        <v>5662</v>
      </c>
    </row>
    <row r="4830" spans="2:4">
      <c r="B4830" s="198" t="s">
        <v>6371</v>
      </c>
      <c r="C4830" s="154" t="s">
        <v>6372</v>
      </c>
      <c r="D4830" s="201" t="s">
        <v>5662</v>
      </c>
    </row>
    <row r="4831" spans="2:4">
      <c r="B4831" s="198" t="s">
        <v>6373</v>
      </c>
      <c r="C4831" s="154" t="s">
        <v>6374</v>
      </c>
      <c r="D4831" s="201" t="s">
        <v>5662</v>
      </c>
    </row>
    <row r="4832" spans="2:4">
      <c r="B4832" s="198" t="s">
        <v>6375</v>
      </c>
      <c r="C4832" s="154" t="s">
        <v>6002</v>
      </c>
      <c r="D4832" s="201" t="s">
        <v>5662</v>
      </c>
    </row>
    <row r="4833" spans="2:4">
      <c r="B4833" s="198" t="s">
        <v>6376</v>
      </c>
      <c r="C4833" s="154" t="s">
        <v>3419</v>
      </c>
      <c r="D4833" s="201" t="s">
        <v>1953</v>
      </c>
    </row>
    <row r="4834" spans="2:4">
      <c r="B4834" s="198" t="s">
        <v>6377</v>
      </c>
      <c r="C4834" s="154" t="s">
        <v>1595</v>
      </c>
      <c r="D4834" s="201" t="s">
        <v>1956</v>
      </c>
    </row>
    <row r="4835" spans="2:4">
      <c r="B4835" s="198" t="s">
        <v>6378</v>
      </c>
      <c r="C4835" s="154" t="s">
        <v>4682</v>
      </c>
      <c r="D4835" s="201" t="s">
        <v>1956</v>
      </c>
    </row>
    <row r="4836" spans="2:4">
      <c r="B4836" s="198" t="s">
        <v>6379</v>
      </c>
      <c r="C4836" s="154" t="s">
        <v>3315</v>
      </c>
      <c r="D4836" s="201" t="s">
        <v>1954</v>
      </c>
    </row>
    <row r="4837" spans="2:4">
      <c r="B4837" s="198" t="s">
        <v>6380</v>
      </c>
      <c r="C4837" s="154" t="s">
        <v>150</v>
      </c>
      <c r="D4837" s="201" t="s">
        <v>1951</v>
      </c>
    </row>
    <row r="4838" spans="2:4">
      <c r="B4838" s="198" t="s">
        <v>6381</v>
      </c>
      <c r="C4838" s="154" t="s">
        <v>149</v>
      </c>
      <c r="D4838" s="201" t="s">
        <v>1956</v>
      </c>
    </row>
    <row r="4839" spans="2:4">
      <c r="B4839" s="198" t="s">
        <v>6382</v>
      </c>
      <c r="C4839" s="154" t="s">
        <v>6293</v>
      </c>
      <c r="D4839" s="201" t="s">
        <v>1951</v>
      </c>
    </row>
    <row r="4840" spans="2:4">
      <c r="B4840" s="198" t="s">
        <v>6383</v>
      </c>
      <c r="C4840" s="154" t="s">
        <v>4211</v>
      </c>
      <c r="D4840" s="201" t="s">
        <v>1951</v>
      </c>
    </row>
    <row r="4841" spans="2:4">
      <c r="B4841" s="198" t="s">
        <v>6384</v>
      </c>
      <c r="C4841" s="154" t="s">
        <v>4887</v>
      </c>
      <c r="D4841" s="201" t="s">
        <v>1951</v>
      </c>
    </row>
    <row r="4842" spans="2:4">
      <c r="B4842" s="198" t="s">
        <v>6385</v>
      </c>
      <c r="C4842" s="154" t="s">
        <v>3419</v>
      </c>
      <c r="D4842" s="201" t="s">
        <v>1953</v>
      </c>
    </row>
    <row r="4843" spans="2:4">
      <c r="B4843" s="198" t="s">
        <v>6397</v>
      </c>
      <c r="C4843" s="154" t="s">
        <v>149</v>
      </c>
      <c r="D4843" s="201" t="s">
        <v>1956</v>
      </c>
    </row>
    <row r="4844" spans="2:4">
      <c r="B4844" s="198" t="s">
        <v>6387</v>
      </c>
      <c r="C4844" s="154" t="s">
        <v>1587</v>
      </c>
      <c r="D4844" s="201" t="s">
        <v>1958</v>
      </c>
    </row>
    <row r="4845" spans="2:4">
      <c r="B4845" s="198" t="s">
        <v>6386</v>
      </c>
      <c r="C4845" s="154" t="s">
        <v>150</v>
      </c>
      <c r="D4845" s="201" t="s">
        <v>1951</v>
      </c>
    </row>
    <row r="4846" spans="2:4">
      <c r="B4846" s="198" t="s">
        <v>6388</v>
      </c>
      <c r="C4846" s="154" t="s">
        <v>1587</v>
      </c>
      <c r="D4846" s="201" t="s">
        <v>1958</v>
      </c>
    </row>
    <row r="4847" spans="2:4">
      <c r="B4847" s="198" t="s">
        <v>6395</v>
      </c>
      <c r="C4847" s="154" t="s">
        <v>1560</v>
      </c>
      <c r="D4847" s="201" t="s">
        <v>1953</v>
      </c>
    </row>
    <row r="4848" spans="2:4">
      <c r="B4848" s="198" t="s">
        <v>6390</v>
      </c>
      <c r="C4848" s="154" t="s">
        <v>1558</v>
      </c>
      <c r="D4848" s="201" t="s">
        <v>1958</v>
      </c>
    </row>
    <row r="4849" spans="2:4">
      <c r="B4849" s="198" t="s">
        <v>6391</v>
      </c>
      <c r="C4849" s="154" t="s">
        <v>1693</v>
      </c>
      <c r="D4849" s="201" t="s">
        <v>1955</v>
      </c>
    </row>
    <row r="4850" spans="2:4">
      <c r="B4850" s="198" t="s">
        <v>6389</v>
      </c>
      <c r="C4850" s="154" t="s">
        <v>5665</v>
      </c>
      <c r="D4850" s="201" t="s">
        <v>2220</v>
      </c>
    </row>
    <row r="4851" spans="2:4">
      <c r="B4851" s="198" t="s">
        <v>6392</v>
      </c>
      <c r="C4851" s="154" t="s">
        <v>3315</v>
      </c>
      <c r="D4851" s="201" t="s">
        <v>1954</v>
      </c>
    </row>
    <row r="4852" spans="2:4">
      <c r="B4852" s="198" t="s">
        <v>6393</v>
      </c>
      <c r="C4852" s="154" t="s">
        <v>6399</v>
      </c>
      <c r="D4852" s="201" t="s">
        <v>1953</v>
      </c>
    </row>
    <row r="4853" spans="2:4">
      <c r="B4853" s="198" t="s">
        <v>6394</v>
      </c>
      <c r="C4853" s="154" t="s">
        <v>3604</v>
      </c>
      <c r="D4853" s="201" t="s">
        <v>1953</v>
      </c>
    </row>
    <row r="4854" spans="2:4">
      <c r="B4854" s="198" t="s">
        <v>6398</v>
      </c>
      <c r="C4854" s="154" t="s">
        <v>3315</v>
      </c>
      <c r="D4854" s="201" t="s">
        <v>1954</v>
      </c>
    </row>
    <row r="4855" spans="2:4">
      <c r="B4855" s="198" t="s">
        <v>6396</v>
      </c>
      <c r="C4855" s="154" t="s">
        <v>6400</v>
      </c>
      <c r="D4855" s="201" t="s">
        <v>1956</v>
      </c>
    </row>
    <row r="4856" spans="2:4">
      <c r="B4856" s="198" t="s">
        <v>6401</v>
      </c>
      <c r="C4856" s="154" t="s">
        <v>6402</v>
      </c>
      <c r="D4856" s="201" t="s">
        <v>5662</v>
      </c>
    </row>
    <row r="4857" spans="2:4">
      <c r="B4857" s="198" t="s">
        <v>6403</v>
      </c>
      <c r="C4857" s="154" t="s">
        <v>6404</v>
      </c>
      <c r="D4857" s="201" t="s">
        <v>5662</v>
      </c>
    </row>
    <row r="4858" spans="2:4">
      <c r="B4858" s="198" t="s">
        <v>6405</v>
      </c>
      <c r="C4858" s="154" t="s">
        <v>6406</v>
      </c>
      <c r="D4858" s="201" t="s">
        <v>5662</v>
      </c>
    </row>
    <row r="4859" spans="2:4">
      <c r="B4859" s="198" t="s">
        <v>6407</v>
      </c>
      <c r="C4859" s="154" t="s">
        <v>6372</v>
      </c>
      <c r="D4859" s="201" t="s">
        <v>5662</v>
      </c>
    </row>
    <row r="4860" spans="2:4">
      <c r="B4860" s="198" t="s">
        <v>6408</v>
      </c>
      <c r="C4860" s="154" t="s">
        <v>6409</v>
      </c>
      <c r="D4860" s="201" t="s">
        <v>5662</v>
      </c>
    </row>
    <row r="4861" spans="2:4">
      <c r="B4861" s="198" t="s">
        <v>6410</v>
      </c>
      <c r="C4861" s="154" t="s">
        <v>6235</v>
      </c>
      <c r="D4861" s="201" t="s">
        <v>5662</v>
      </c>
    </row>
    <row r="4862" spans="2:4">
      <c r="B4862" s="198" t="s">
        <v>6411</v>
      </c>
      <c r="C4862" s="154" t="s">
        <v>5822</v>
      </c>
      <c r="D4862" s="201" t="s">
        <v>2220</v>
      </c>
    </row>
    <row r="4863" spans="2:4">
      <c r="B4863" s="198" t="s">
        <v>6412</v>
      </c>
      <c r="C4863" s="154" t="s">
        <v>5822</v>
      </c>
      <c r="D4863" s="201" t="s">
        <v>2220</v>
      </c>
    </row>
    <row r="4864" spans="2:4">
      <c r="B4864" s="198" t="s">
        <v>6413</v>
      </c>
      <c r="C4864" s="154" t="s">
        <v>1577</v>
      </c>
      <c r="D4864" s="201" t="s">
        <v>1951</v>
      </c>
    </row>
    <row r="4865" spans="2:4">
      <c r="B4865" s="198" t="s">
        <v>6414</v>
      </c>
      <c r="C4865" s="154" t="s">
        <v>142</v>
      </c>
      <c r="D4865" s="201" t="s">
        <v>1954</v>
      </c>
    </row>
    <row r="4866" spans="2:4">
      <c r="B4866" s="198" t="s">
        <v>6415</v>
      </c>
      <c r="C4866" s="154" t="s">
        <v>6416</v>
      </c>
      <c r="D4866" s="201" t="s">
        <v>5662</v>
      </c>
    </row>
    <row r="4867" spans="2:4">
      <c r="B4867" s="198" t="s">
        <v>6417</v>
      </c>
      <c r="C4867" s="154" t="s">
        <v>6092</v>
      </c>
      <c r="D4867" s="201" t="s">
        <v>5662</v>
      </c>
    </row>
    <row r="4868" spans="2:4">
      <c r="B4868" s="198"/>
      <c r="C4868" s="154"/>
      <c r="D4868" s="201"/>
    </row>
    <row r="4869" spans="2:4">
      <c r="B4869" s="198" t="s">
        <v>6418</v>
      </c>
      <c r="C4869" s="154" t="s">
        <v>5713</v>
      </c>
      <c r="D4869" s="201" t="s">
        <v>5662</v>
      </c>
    </row>
    <row r="4870" spans="2:4">
      <c r="B4870" s="198" t="s">
        <v>6419</v>
      </c>
      <c r="C4870" s="154" t="s">
        <v>3756</v>
      </c>
      <c r="D4870" s="201" t="s">
        <v>2216</v>
      </c>
    </row>
    <row r="4871" spans="2:4">
      <c r="B4871" s="198" t="s">
        <v>6420</v>
      </c>
      <c r="C4871" s="154" t="s">
        <v>6421</v>
      </c>
      <c r="D4871" s="201" t="s">
        <v>2216</v>
      </c>
    </row>
    <row r="4872" spans="2:4">
      <c r="B4872" s="198" t="s">
        <v>6422</v>
      </c>
      <c r="C4872" s="154" t="s">
        <v>3081</v>
      </c>
      <c r="D4872" s="201" t="s">
        <v>1957</v>
      </c>
    </row>
    <row r="4873" spans="2:4">
      <c r="B4873" s="198" t="s">
        <v>6423</v>
      </c>
      <c r="C4873" s="154" t="s">
        <v>6234</v>
      </c>
      <c r="D4873" s="201" t="s">
        <v>5662</v>
      </c>
    </row>
    <row r="4874" spans="2:4">
      <c r="B4874" s="198" t="s">
        <v>6424</v>
      </c>
      <c r="C4874" s="154" t="s">
        <v>5927</v>
      </c>
      <c r="D4874" s="201" t="s">
        <v>5662</v>
      </c>
    </row>
    <row r="4875" spans="2:4">
      <c r="B4875" s="198" t="s">
        <v>6425</v>
      </c>
      <c r="C4875" s="154" t="s">
        <v>6235</v>
      </c>
      <c r="D4875" s="201" t="s">
        <v>5662</v>
      </c>
    </row>
    <row r="4876" spans="2:4">
      <c r="B4876" s="198" t="s">
        <v>6426</v>
      </c>
      <c r="C4876" s="154" t="s">
        <v>5929</v>
      </c>
      <c r="D4876" s="201" t="s">
        <v>5662</v>
      </c>
    </row>
    <row r="4877" spans="2:4">
      <c r="B4877" s="198" t="s">
        <v>6427</v>
      </c>
      <c r="C4877" s="154" t="s">
        <v>6430</v>
      </c>
      <c r="D4877" s="201" t="s">
        <v>5662</v>
      </c>
    </row>
    <row r="4878" spans="2:4">
      <c r="B4878" s="198" t="s">
        <v>6428</v>
      </c>
      <c r="C4878" s="154" t="s">
        <v>1644</v>
      </c>
      <c r="D4878" s="201" t="s">
        <v>1959</v>
      </c>
    </row>
    <row r="4879" spans="2:4">
      <c r="B4879" s="198" t="s">
        <v>6429</v>
      </c>
      <c r="C4879" s="154" t="s">
        <v>152</v>
      </c>
      <c r="D4879" s="201" t="s">
        <v>1952</v>
      </c>
    </row>
    <row r="4880" spans="2:4">
      <c r="B4880" s="198" t="s">
        <v>6431</v>
      </c>
      <c r="C4880" s="154" t="s">
        <v>1522</v>
      </c>
      <c r="D4880" s="201" t="s">
        <v>1953</v>
      </c>
    </row>
    <row r="4881" spans="2:4">
      <c r="B4881" s="198" t="s">
        <v>6432</v>
      </c>
      <c r="C4881" s="154" t="s">
        <v>149</v>
      </c>
      <c r="D4881" s="201" t="s">
        <v>1956</v>
      </c>
    </row>
    <row r="4882" spans="2:4">
      <c r="B4882" s="198" t="s">
        <v>6433</v>
      </c>
      <c r="C4882" s="154" t="s">
        <v>149</v>
      </c>
      <c r="D4882" s="201" t="s">
        <v>1956</v>
      </c>
    </row>
    <row r="4883" spans="2:4">
      <c r="B4883" s="198" t="s">
        <v>6434</v>
      </c>
      <c r="C4883" s="154" t="s">
        <v>1541</v>
      </c>
      <c r="D4883" s="201" t="s">
        <v>1955</v>
      </c>
    </row>
    <row r="4884" spans="2:4">
      <c r="B4884" s="198" t="s">
        <v>6435</v>
      </c>
      <c r="C4884" s="154" t="s">
        <v>142</v>
      </c>
      <c r="D4884" s="201" t="s">
        <v>1954</v>
      </c>
    </row>
    <row r="4885" spans="2:4">
      <c r="B4885" s="198" t="s">
        <v>6436</v>
      </c>
      <c r="C4885" s="154" t="s">
        <v>150</v>
      </c>
      <c r="D4885" s="201" t="s">
        <v>1951</v>
      </c>
    </row>
    <row r="4886" spans="2:4">
      <c r="B4886" s="198" t="s">
        <v>6437</v>
      </c>
      <c r="C4886" s="154" t="s">
        <v>1522</v>
      </c>
      <c r="D4886" s="201" t="s">
        <v>1953</v>
      </c>
    </row>
    <row r="4887" spans="2:4">
      <c r="B4887" s="198" t="s">
        <v>6438</v>
      </c>
      <c r="C4887" s="154" t="s">
        <v>6137</v>
      </c>
      <c r="D4887" s="201" t="s">
        <v>1953</v>
      </c>
    </row>
    <row r="4888" spans="2:4">
      <c r="B4888" s="198" t="s">
        <v>6439</v>
      </c>
      <c r="C4888" s="154" t="s">
        <v>5154</v>
      </c>
      <c r="D4888" s="201" t="s">
        <v>1954</v>
      </c>
    </row>
    <row r="4889" spans="2:4">
      <c r="B4889" s="198" t="s">
        <v>6440</v>
      </c>
      <c r="C4889" s="154" t="s">
        <v>6441</v>
      </c>
      <c r="D4889" s="201" t="s">
        <v>1956</v>
      </c>
    </row>
    <row r="4890" spans="2:4">
      <c r="B4890" s="198" t="s">
        <v>6442</v>
      </c>
      <c r="C4890" s="154" t="s">
        <v>4399</v>
      </c>
      <c r="D4890" s="201" t="s">
        <v>1955</v>
      </c>
    </row>
    <row r="4891" spans="2:4">
      <c r="B4891" s="198" t="s">
        <v>6443</v>
      </c>
      <c r="C4891" s="154" t="s">
        <v>3446</v>
      </c>
      <c r="D4891" s="201" t="s">
        <v>1955</v>
      </c>
    </row>
    <row r="4892" spans="2:4">
      <c r="B4892" s="198" t="s">
        <v>6444</v>
      </c>
      <c r="C4892" s="154" t="s">
        <v>3138</v>
      </c>
      <c r="D4892" s="201" t="s">
        <v>1956</v>
      </c>
    </row>
    <row r="4893" spans="2:4">
      <c r="B4893" s="198" t="s">
        <v>6445</v>
      </c>
      <c r="C4893" s="154" t="s">
        <v>3446</v>
      </c>
      <c r="D4893" s="201" t="s">
        <v>1955</v>
      </c>
    </row>
    <row r="4894" spans="2:4">
      <c r="B4894" s="198" t="s">
        <v>6446</v>
      </c>
      <c r="C4894" s="154" t="s">
        <v>3465</v>
      </c>
      <c r="D4894" s="201" t="s">
        <v>1951</v>
      </c>
    </row>
    <row r="4895" spans="2:4">
      <c r="B4895" s="198" t="s">
        <v>6447</v>
      </c>
      <c r="C4895" s="154" t="s">
        <v>3465</v>
      </c>
      <c r="D4895" s="201" t="s">
        <v>1951</v>
      </c>
    </row>
    <row r="4896" spans="2:4">
      <c r="B4896" s="198" t="s">
        <v>6448</v>
      </c>
      <c r="C4896" s="154" t="s">
        <v>6449</v>
      </c>
      <c r="D4896" s="201" t="s">
        <v>1954</v>
      </c>
    </row>
    <row r="4897" spans="2:4">
      <c r="B4897" s="198" t="s">
        <v>6450</v>
      </c>
      <c r="C4897" s="154" t="s">
        <v>6451</v>
      </c>
      <c r="D4897" s="201" t="s">
        <v>1954</v>
      </c>
    </row>
    <row r="4898" spans="2:4">
      <c r="B4898" s="198" t="s">
        <v>6452</v>
      </c>
      <c r="C4898" s="154" t="s">
        <v>149</v>
      </c>
      <c r="D4898" s="201" t="s">
        <v>1956</v>
      </c>
    </row>
    <row r="4899" spans="2:4">
      <c r="B4899" s="198" t="s">
        <v>6453</v>
      </c>
      <c r="C4899" s="154" t="s">
        <v>3485</v>
      </c>
      <c r="D4899" s="201" t="s">
        <v>1951</v>
      </c>
    </row>
    <row r="4900" spans="2:4">
      <c r="B4900" s="198" t="s">
        <v>6454</v>
      </c>
      <c r="C4900" s="154" t="s">
        <v>1587</v>
      </c>
      <c r="D4900" s="201" t="s">
        <v>1958</v>
      </c>
    </row>
    <row r="4901" spans="2:4">
      <c r="B4901" s="198" t="s">
        <v>6455</v>
      </c>
      <c r="C4901" s="154" t="s">
        <v>1587</v>
      </c>
      <c r="D4901" s="201" t="s">
        <v>1958</v>
      </c>
    </row>
    <row r="4902" spans="2:4">
      <c r="B4902" s="198" t="s">
        <v>6456</v>
      </c>
      <c r="C4902" s="154" t="s">
        <v>1587</v>
      </c>
      <c r="D4902" s="201" t="s">
        <v>1958</v>
      </c>
    </row>
    <row r="4903" spans="2:4">
      <c r="B4903" s="198" t="s">
        <v>6457</v>
      </c>
      <c r="C4903" s="154" t="s">
        <v>150</v>
      </c>
      <c r="D4903" s="201" t="s">
        <v>1951</v>
      </c>
    </row>
    <row r="4904" spans="2:4">
      <c r="B4904" s="198" t="s">
        <v>6458</v>
      </c>
      <c r="C4904" s="154" t="s">
        <v>1595</v>
      </c>
      <c r="D4904" s="201" t="s">
        <v>1956</v>
      </c>
    </row>
    <row r="4905" spans="2:4">
      <c r="B4905" s="198" t="s">
        <v>6459</v>
      </c>
      <c r="C4905" s="154" t="s">
        <v>142</v>
      </c>
      <c r="D4905" s="201" t="s">
        <v>1954</v>
      </c>
    </row>
    <row r="4906" spans="2:4">
      <c r="B4906" s="198" t="s">
        <v>6460</v>
      </c>
      <c r="C4906" s="154" t="s">
        <v>6018</v>
      </c>
      <c r="D4906" s="201" t="s">
        <v>5662</v>
      </c>
    </row>
    <row r="4907" spans="2:4">
      <c r="B4907" s="198" t="s">
        <v>6461</v>
      </c>
      <c r="C4907" s="154" t="s">
        <v>6463</v>
      </c>
      <c r="D4907" s="201" t="s">
        <v>5662</v>
      </c>
    </row>
    <row r="4908" spans="2:4">
      <c r="B4908" s="198" t="s">
        <v>6462</v>
      </c>
      <c r="C4908" s="154" t="s">
        <v>6464</v>
      </c>
      <c r="D4908" s="201" t="s">
        <v>5662</v>
      </c>
    </row>
    <row r="4909" spans="2:4">
      <c r="B4909" s="198" t="s">
        <v>6465</v>
      </c>
      <c r="C4909" s="154" t="s">
        <v>1590</v>
      </c>
      <c r="D4909" s="201" t="s">
        <v>1958</v>
      </c>
    </row>
    <row r="4910" spans="2:4">
      <c r="B4910" s="198" t="s">
        <v>6466</v>
      </c>
      <c r="C4910" s="154" t="s">
        <v>3154</v>
      </c>
      <c r="D4910" s="201" t="s">
        <v>1958</v>
      </c>
    </row>
    <row r="4911" spans="2:4">
      <c r="B4911" s="198" t="s">
        <v>6467</v>
      </c>
      <c r="C4911" s="154" t="s">
        <v>6470</v>
      </c>
      <c r="D4911" s="201" t="s">
        <v>1954</v>
      </c>
    </row>
    <row r="4912" spans="2:4">
      <c r="B4912" s="198" t="s">
        <v>6468</v>
      </c>
      <c r="C4912" s="154" t="s">
        <v>3756</v>
      </c>
      <c r="D4912" s="201" t="s">
        <v>2216</v>
      </c>
    </row>
    <row r="4913" spans="2:4">
      <c r="B4913" s="198" t="s">
        <v>6469</v>
      </c>
      <c r="C4913" s="154" t="s">
        <v>3175</v>
      </c>
      <c r="D4913" s="201" t="s">
        <v>1955</v>
      </c>
    </row>
    <row r="4914" spans="2:4">
      <c r="B4914" s="198" t="s">
        <v>6471</v>
      </c>
      <c r="C4914" s="153" t="s">
        <v>1519</v>
      </c>
      <c r="D4914" s="201" t="s">
        <v>1951</v>
      </c>
    </row>
    <row r="4915" spans="2:4">
      <c r="B4915" s="198" t="s">
        <v>6474</v>
      </c>
      <c r="C4915" s="154" t="s">
        <v>3547</v>
      </c>
      <c r="D4915" s="201" t="s">
        <v>2220</v>
      </c>
    </row>
    <row r="4916" spans="2:4">
      <c r="B4916" s="198" t="s">
        <v>6475</v>
      </c>
      <c r="C4916" s="154" t="s">
        <v>1688</v>
      </c>
      <c r="D4916" s="201" t="s">
        <v>1959</v>
      </c>
    </row>
    <row r="4917" spans="2:4">
      <c r="B4917" s="198" t="s">
        <v>6477</v>
      </c>
      <c r="C4917" s="154" t="s">
        <v>6476</v>
      </c>
      <c r="D4917" s="201" t="s">
        <v>5662</v>
      </c>
    </row>
    <row r="4918" spans="2:4">
      <c r="B4918" s="198" t="s">
        <v>6472</v>
      </c>
      <c r="C4918" s="154" t="s">
        <v>3081</v>
      </c>
      <c r="D4918" s="201" t="s">
        <v>1957</v>
      </c>
    </row>
    <row r="4919" spans="2:4">
      <c r="B4919" s="198" t="s">
        <v>6478</v>
      </c>
      <c r="C4919" s="154" t="s">
        <v>6370</v>
      </c>
      <c r="D4919" s="201" t="s">
        <v>5662</v>
      </c>
    </row>
    <row r="4920" spans="2:4">
      <c r="B4920" s="198" t="s">
        <v>6480</v>
      </c>
      <c r="C4920" s="154" t="s">
        <v>6479</v>
      </c>
      <c r="D4920" s="201" t="s">
        <v>1959</v>
      </c>
    </row>
    <row r="4921" spans="2:4">
      <c r="B4921" s="198" t="s">
        <v>6482</v>
      </c>
      <c r="C4921" s="154" t="s">
        <v>6481</v>
      </c>
      <c r="D4921" s="201" t="s">
        <v>2216</v>
      </c>
    </row>
    <row r="4922" spans="2:4">
      <c r="B4922" s="198" t="s">
        <v>8292</v>
      </c>
      <c r="C4922" s="154" t="s">
        <v>6560</v>
      </c>
      <c r="D4922" s="201" t="s">
        <v>5662</v>
      </c>
    </row>
    <row r="4923" spans="2:4">
      <c r="B4923" s="198" t="s">
        <v>6483</v>
      </c>
      <c r="C4923" s="154" t="s">
        <v>3081</v>
      </c>
      <c r="D4923" s="201" t="s">
        <v>1957</v>
      </c>
    </row>
    <row r="4924" spans="2:4">
      <c r="B4924" s="198" t="s">
        <v>6473</v>
      </c>
      <c r="C4924" s="154" t="s">
        <v>149</v>
      </c>
      <c r="D4924" s="201" t="s">
        <v>1956</v>
      </c>
    </row>
    <row r="4925" spans="2:4">
      <c r="B4925" s="198" t="s">
        <v>6484</v>
      </c>
      <c r="C4925" s="154" t="s">
        <v>3547</v>
      </c>
      <c r="D4925" s="201" t="s">
        <v>2220</v>
      </c>
    </row>
    <row r="4926" spans="2:4">
      <c r="B4926" s="198" t="s">
        <v>6485</v>
      </c>
      <c r="C4926" s="154" t="s">
        <v>6492</v>
      </c>
      <c r="D4926" s="201" t="s">
        <v>2217</v>
      </c>
    </row>
    <row r="4927" spans="2:4">
      <c r="B4927" s="198" t="s">
        <v>6489</v>
      </c>
      <c r="C4927" s="154" t="s">
        <v>150</v>
      </c>
      <c r="D4927" s="201" t="s">
        <v>1951</v>
      </c>
    </row>
    <row r="4928" spans="2:4">
      <c r="B4928" s="198" t="s">
        <v>6490</v>
      </c>
      <c r="C4928" s="154" t="s">
        <v>149</v>
      </c>
      <c r="D4928" s="201" t="s">
        <v>1956</v>
      </c>
    </row>
    <row r="4929" spans="2:4">
      <c r="B4929" s="198" t="s">
        <v>6486</v>
      </c>
      <c r="C4929" s="154" t="s">
        <v>1519</v>
      </c>
      <c r="D4929" s="201" t="s">
        <v>1951</v>
      </c>
    </row>
    <row r="4930" spans="2:4">
      <c r="B4930" s="198" t="s">
        <v>6487</v>
      </c>
      <c r="C4930" s="154" t="s">
        <v>1612</v>
      </c>
      <c r="D4930" s="201" t="s">
        <v>1953</v>
      </c>
    </row>
    <row r="4931" spans="2:4">
      <c r="B4931" s="198" t="s">
        <v>6491</v>
      </c>
      <c r="C4931" s="154" t="s">
        <v>3604</v>
      </c>
      <c r="D4931" s="201" t="s">
        <v>1953</v>
      </c>
    </row>
    <row r="4932" spans="2:4">
      <c r="B4932" s="198" t="s">
        <v>6488</v>
      </c>
      <c r="C4932" s="154" t="s">
        <v>3175</v>
      </c>
      <c r="D4932" s="201" t="s">
        <v>1955</v>
      </c>
    </row>
    <row r="4933" spans="2:4">
      <c r="B4933" s="198" t="s">
        <v>6493</v>
      </c>
      <c r="C4933" s="154" t="s">
        <v>149</v>
      </c>
      <c r="D4933" s="201" t="s">
        <v>1956</v>
      </c>
    </row>
    <row r="4934" spans="2:4">
      <c r="B4934" s="198" t="s">
        <v>6499</v>
      </c>
      <c r="C4934" s="154" t="s">
        <v>3279</v>
      </c>
      <c r="D4934" s="201" t="s">
        <v>2216</v>
      </c>
    </row>
    <row r="4935" spans="2:4">
      <c r="B4935" s="198" t="s">
        <v>6494</v>
      </c>
      <c r="C4935" s="154" t="s">
        <v>3081</v>
      </c>
      <c r="D4935" s="201" t="s">
        <v>1957</v>
      </c>
    </row>
    <row r="4936" spans="2:4">
      <c r="B4936" s="198" t="s">
        <v>6495</v>
      </c>
      <c r="C4936" s="154" t="s">
        <v>1615</v>
      </c>
      <c r="D4936" s="201" t="s">
        <v>1955</v>
      </c>
    </row>
    <row r="4937" spans="2:4">
      <c r="B4937" s="198" t="s">
        <v>6496</v>
      </c>
      <c r="C4937" s="122" t="s">
        <v>6565</v>
      </c>
      <c r="D4937" s="201" t="s">
        <v>5662</v>
      </c>
    </row>
    <row r="4938" spans="2:4">
      <c r="B4938" s="198" t="s">
        <v>6498</v>
      </c>
      <c r="C4938" s="154" t="s">
        <v>3357</v>
      </c>
      <c r="D4938" s="201" t="s">
        <v>1951</v>
      </c>
    </row>
    <row r="4939" spans="2:4">
      <c r="B4939" s="198" t="s">
        <v>6497</v>
      </c>
      <c r="C4939" s="154" t="s">
        <v>3357</v>
      </c>
      <c r="D4939" s="201" t="s">
        <v>1951</v>
      </c>
    </row>
    <row r="4940" spans="2:4">
      <c r="B4940" s="198" t="s">
        <v>6503</v>
      </c>
      <c r="C4940" s="154" t="s">
        <v>4826</v>
      </c>
      <c r="D4940" s="201" t="s">
        <v>1956</v>
      </c>
    </row>
    <row r="4941" spans="2:4">
      <c r="B4941" s="198" t="s">
        <v>6504</v>
      </c>
      <c r="C4941" s="154" t="s">
        <v>6505</v>
      </c>
      <c r="D4941" s="201" t="s">
        <v>1951</v>
      </c>
    </row>
    <row r="4942" spans="2:4">
      <c r="B4942" s="198" t="s">
        <v>6500</v>
      </c>
      <c r="C4942" s="154" t="s">
        <v>150</v>
      </c>
      <c r="D4942" s="201" t="s">
        <v>1951</v>
      </c>
    </row>
    <row r="4943" spans="2:4">
      <c r="B4943" s="198" t="s">
        <v>6501</v>
      </c>
      <c r="C4943" s="154" t="s">
        <v>149</v>
      </c>
      <c r="D4943" s="201" t="s">
        <v>1956</v>
      </c>
    </row>
    <row r="4944" spans="2:4">
      <c r="B4944" s="198" t="s">
        <v>6502</v>
      </c>
      <c r="C4944" s="154" t="s">
        <v>3357</v>
      </c>
      <c r="D4944" s="201" t="s">
        <v>1951</v>
      </c>
    </row>
    <row r="4945" spans="2:4">
      <c r="B4945" s="198" t="s">
        <v>6506</v>
      </c>
      <c r="C4945" s="154" t="s">
        <v>3357</v>
      </c>
      <c r="D4945" s="201" t="s">
        <v>1951</v>
      </c>
    </row>
    <row r="4946" spans="2:4">
      <c r="B4946" s="198" t="s">
        <v>6507</v>
      </c>
      <c r="C4946" s="154" t="s">
        <v>149</v>
      </c>
      <c r="D4946" s="201" t="s">
        <v>1956</v>
      </c>
    </row>
    <row r="4947" spans="2:4">
      <c r="B4947" s="198" t="s">
        <v>6508</v>
      </c>
      <c r="C4947" s="154" t="s">
        <v>3547</v>
      </c>
      <c r="D4947" s="201" t="s">
        <v>2220</v>
      </c>
    </row>
    <row r="4948" spans="2:4">
      <c r="B4948" s="198" t="s">
        <v>6509</v>
      </c>
      <c r="C4948" s="154" t="s">
        <v>6510</v>
      </c>
      <c r="D4948" s="201" t="s">
        <v>5662</v>
      </c>
    </row>
    <row r="4949" spans="2:4">
      <c r="B4949" s="198" t="s">
        <v>6511</v>
      </c>
      <c r="C4949" s="154" t="s">
        <v>149</v>
      </c>
      <c r="D4949" s="201" t="s">
        <v>1956</v>
      </c>
    </row>
    <row r="4950" spans="2:4">
      <c r="B4950" s="198" t="s">
        <v>6512</v>
      </c>
      <c r="C4950" s="154" t="s">
        <v>142</v>
      </c>
      <c r="D4950" s="201" t="s">
        <v>1954</v>
      </c>
    </row>
    <row r="4951" spans="2:4">
      <c r="B4951" s="198" t="s">
        <v>6513</v>
      </c>
      <c r="C4951" s="154" t="s">
        <v>149</v>
      </c>
      <c r="D4951" s="201" t="s">
        <v>1956</v>
      </c>
    </row>
    <row r="4952" spans="2:4">
      <c r="B4952" s="198" t="s">
        <v>6514</v>
      </c>
      <c r="C4952" s="154" t="s">
        <v>6235</v>
      </c>
      <c r="D4952" s="201" t="s">
        <v>5662</v>
      </c>
    </row>
    <row r="4953" spans="2:4">
      <c r="B4953" s="198" t="s">
        <v>6515</v>
      </c>
      <c r="C4953" s="154" t="s">
        <v>142</v>
      </c>
      <c r="D4953" s="201" t="s">
        <v>1954</v>
      </c>
    </row>
    <row r="4954" spans="2:4">
      <c r="B4954" s="198" t="s">
        <v>6522</v>
      </c>
      <c r="C4954" s="154" t="s">
        <v>5713</v>
      </c>
      <c r="D4954" s="201" t="s">
        <v>5662</v>
      </c>
    </row>
    <row r="4955" spans="2:4">
      <c r="B4955" s="198" t="s">
        <v>6523</v>
      </c>
      <c r="C4955" s="154" t="s">
        <v>5713</v>
      </c>
      <c r="D4955" s="201" t="s">
        <v>5662</v>
      </c>
    </row>
    <row r="4956" spans="2:4">
      <c r="B4956" s="198" t="s">
        <v>6524</v>
      </c>
      <c r="C4956" s="154" t="s">
        <v>5713</v>
      </c>
      <c r="D4956" s="201" t="s">
        <v>5662</v>
      </c>
    </row>
    <row r="4957" spans="2:4">
      <c r="B4957" s="198" t="s">
        <v>6516</v>
      </c>
      <c r="C4957" s="154" t="s">
        <v>3357</v>
      </c>
      <c r="D4957" s="201" t="s">
        <v>1951</v>
      </c>
    </row>
    <row r="4958" spans="2:4">
      <c r="B4958" s="198" t="s">
        <v>6517</v>
      </c>
      <c r="C4958" s="154" t="s">
        <v>3357</v>
      </c>
      <c r="D4958" s="201" t="s">
        <v>1951</v>
      </c>
    </row>
    <row r="4959" spans="2:4">
      <c r="B4959" s="198" t="s">
        <v>6518</v>
      </c>
      <c r="C4959" s="154" t="s">
        <v>6519</v>
      </c>
      <c r="D4959" s="201" t="s">
        <v>2216</v>
      </c>
    </row>
    <row r="4960" spans="2:4">
      <c r="B4960" s="198" t="s">
        <v>5178</v>
      </c>
      <c r="C4960" s="154" t="s">
        <v>1737</v>
      </c>
      <c r="D4960" s="201" t="s">
        <v>1953</v>
      </c>
    </row>
    <row r="4961" spans="2:4">
      <c r="B4961" s="198" t="s">
        <v>6531</v>
      </c>
      <c r="C4961" s="154" t="s">
        <v>1737</v>
      </c>
      <c r="D4961" s="201" t="s">
        <v>1953</v>
      </c>
    </row>
    <row r="4962" spans="2:4">
      <c r="B4962" s="198" t="s">
        <v>5264</v>
      </c>
      <c r="C4962" s="154" t="s">
        <v>1587</v>
      </c>
      <c r="D4962" s="201" t="s">
        <v>1958</v>
      </c>
    </row>
    <row r="4963" spans="2:4">
      <c r="B4963" s="198" t="s">
        <v>6521</v>
      </c>
      <c r="C4963" s="154" t="s">
        <v>6532</v>
      </c>
      <c r="D4963" s="201" t="s">
        <v>5662</v>
      </c>
    </row>
    <row r="4964" spans="2:4">
      <c r="B4964" s="198" t="s">
        <v>6520</v>
      </c>
      <c r="C4964" s="154" t="s">
        <v>6534</v>
      </c>
      <c r="D4964" s="201" t="s">
        <v>5662</v>
      </c>
    </row>
    <row r="4965" spans="2:4">
      <c r="B4965" s="198" t="s">
        <v>6525</v>
      </c>
      <c r="C4965" s="154" t="s">
        <v>3419</v>
      </c>
      <c r="D4965" s="201" t="s">
        <v>1953</v>
      </c>
    </row>
    <row r="4966" spans="2:4">
      <c r="B4966" s="198" t="s">
        <v>6526</v>
      </c>
      <c r="C4966" s="154" t="s">
        <v>6533</v>
      </c>
      <c r="D4966" s="201" t="s">
        <v>1951</v>
      </c>
    </row>
    <row r="4967" spans="2:4">
      <c r="B4967" s="198" t="s">
        <v>6527</v>
      </c>
      <c r="C4967" s="154" t="s">
        <v>3465</v>
      </c>
      <c r="D4967" s="201" t="s">
        <v>1951</v>
      </c>
    </row>
    <row r="4968" spans="2:4">
      <c r="B4968" s="198" t="s">
        <v>6528</v>
      </c>
      <c r="C4968" s="154" t="s">
        <v>3138</v>
      </c>
      <c r="D4968" s="201" t="s">
        <v>1956</v>
      </c>
    </row>
    <row r="4969" spans="2:4">
      <c r="B4969" s="198" t="s">
        <v>6529</v>
      </c>
      <c r="C4969" s="154" t="s">
        <v>3138</v>
      </c>
      <c r="D4969" s="201" t="s">
        <v>1956</v>
      </c>
    </row>
    <row r="4970" spans="2:4">
      <c r="B4970" s="198" t="s">
        <v>6530</v>
      </c>
      <c r="C4970" s="154" t="s">
        <v>6533</v>
      </c>
      <c r="D4970" s="201" t="s">
        <v>1951</v>
      </c>
    </row>
    <row r="4971" spans="2:4">
      <c r="B4971" s="198" t="s">
        <v>6535</v>
      </c>
      <c r="C4971" s="154" t="s">
        <v>3926</v>
      </c>
      <c r="D4971" s="201" t="s">
        <v>1958</v>
      </c>
    </row>
    <row r="4972" spans="2:4">
      <c r="B4972" s="198" t="s">
        <v>6536</v>
      </c>
      <c r="C4972" s="154" t="s">
        <v>150</v>
      </c>
      <c r="D4972" s="201" t="s">
        <v>1951</v>
      </c>
    </row>
    <row r="4973" spans="2:4">
      <c r="B4973" s="198" t="s">
        <v>6537</v>
      </c>
      <c r="C4973" s="154" t="s">
        <v>3436</v>
      </c>
      <c r="D4973" s="201" t="s">
        <v>1952</v>
      </c>
    </row>
    <row r="4974" spans="2:4">
      <c r="B4974" s="198" t="s">
        <v>6538</v>
      </c>
      <c r="C4974" s="154" t="s">
        <v>1657</v>
      </c>
      <c r="D4974" s="201" t="s">
        <v>1956</v>
      </c>
    </row>
    <row r="4975" spans="2:4">
      <c r="B4975" s="198" t="s">
        <v>6539</v>
      </c>
      <c r="C4975" s="154" t="s">
        <v>3081</v>
      </c>
      <c r="D4975" s="201" t="s">
        <v>1957</v>
      </c>
    </row>
    <row r="4976" spans="2:4">
      <c r="B4976" s="198" t="s">
        <v>6540</v>
      </c>
      <c r="C4976" s="154" t="s">
        <v>3081</v>
      </c>
      <c r="D4976" s="201" t="s">
        <v>1957</v>
      </c>
    </row>
    <row r="4977" spans="2:4">
      <c r="B4977" s="198" t="s">
        <v>6541</v>
      </c>
      <c r="C4977" s="154" t="s">
        <v>3081</v>
      </c>
      <c r="D4977" s="201" t="s">
        <v>1957</v>
      </c>
    </row>
    <row r="4978" spans="2:4">
      <c r="B4978" s="198" t="s">
        <v>6542</v>
      </c>
      <c r="C4978" s="154" t="s">
        <v>6546</v>
      </c>
      <c r="D4978" s="201" t="s">
        <v>1954</v>
      </c>
    </row>
    <row r="4979" spans="2:4">
      <c r="B4979" s="198" t="s">
        <v>6543</v>
      </c>
      <c r="C4979" s="154" t="s">
        <v>142</v>
      </c>
      <c r="D4979" s="201" t="s">
        <v>1954</v>
      </c>
    </row>
    <row r="4980" spans="2:4">
      <c r="B4980" s="198" t="s">
        <v>6544</v>
      </c>
      <c r="C4980" s="154" t="s">
        <v>150</v>
      </c>
      <c r="D4980" s="201" t="s">
        <v>1951</v>
      </c>
    </row>
    <row r="4981" spans="2:4">
      <c r="B4981" s="198" t="s">
        <v>6545</v>
      </c>
      <c r="C4981" s="154" t="s">
        <v>6547</v>
      </c>
      <c r="D4981" s="201" t="s">
        <v>1954</v>
      </c>
    </row>
    <row r="4982" spans="2:4">
      <c r="B4982" s="198" t="s">
        <v>6548</v>
      </c>
      <c r="C4982" s="154" t="s">
        <v>6554</v>
      </c>
      <c r="D4982" s="201" t="s">
        <v>5662</v>
      </c>
    </row>
    <row r="4983" spans="2:4">
      <c r="B4983" s="198" t="s">
        <v>6549</v>
      </c>
      <c r="C4983" s="154" t="s">
        <v>5801</v>
      </c>
      <c r="D4983" s="201" t="s">
        <v>5662</v>
      </c>
    </row>
    <row r="4984" spans="2:4">
      <c r="B4984" s="198" t="s">
        <v>6550</v>
      </c>
      <c r="C4984" s="154" t="s">
        <v>5801</v>
      </c>
      <c r="D4984" s="201" t="s">
        <v>5662</v>
      </c>
    </row>
    <row r="4985" spans="2:4">
      <c r="B4985" s="198" t="s">
        <v>6551</v>
      </c>
      <c r="C4985" s="154" t="s">
        <v>3138</v>
      </c>
      <c r="D4985" s="201" t="s">
        <v>1956</v>
      </c>
    </row>
    <row r="4986" spans="2:4">
      <c r="B4986" s="198" t="s">
        <v>6552</v>
      </c>
      <c r="C4986" s="154" t="s">
        <v>6555</v>
      </c>
      <c r="D4986" s="201" t="s">
        <v>5662</v>
      </c>
    </row>
    <row r="4987" spans="2:4">
      <c r="B4987" s="198" t="s">
        <v>6553</v>
      </c>
      <c r="C4987" s="154" t="s">
        <v>1644</v>
      </c>
      <c r="D4987" s="201" t="s">
        <v>1959</v>
      </c>
    </row>
    <row r="4988" spans="2:4">
      <c r="B4988" s="198" t="s">
        <v>6559</v>
      </c>
      <c r="C4988" s="154" t="s">
        <v>3081</v>
      </c>
      <c r="D4988" s="201" t="s">
        <v>1957</v>
      </c>
    </row>
    <row r="4989" spans="2:4">
      <c r="B4989" s="198" t="s">
        <v>6557</v>
      </c>
      <c r="C4989" s="154" t="s">
        <v>1644</v>
      </c>
      <c r="D4989" s="201" t="s">
        <v>1959</v>
      </c>
    </row>
    <row r="4990" spans="2:4">
      <c r="B4990" s="198" t="s">
        <v>6558</v>
      </c>
      <c r="C4990" s="154" t="s">
        <v>1644</v>
      </c>
      <c r="D4990" s="201" t="s">
        <v>1959</v>
      </c>
    </row>
    <row r="4991" spans="2:4">
      <c r="B4991" s="198" t="s">
        <v>6556</v>
      </c>
      <c r="C4991" s="154" t="s">
        <v>1688</v>
      </c>
      <c r="D4991" s="201" t="s">
        <v>1959</v>
      </c>
    </row>
    <row r="4992" spans="2:4">
      <c r="B4992" s="198" t="s">
        <v>6537</v>
      </c>
      <c r="C4992" s="154" t="s">
        <v>6560</v>
      </c>
      <c r="D4992" s="201" t="s">
        <v>5662</v>
      </c>
    </row>
    <row r="4993" spans="2:4">
      <c r="B4993" s="198"/>
      <c r="C4993" s="154"/>
      <c r="D4993" s="201"/>
    </row>
    <row r="4994" spans="2:4">
      <c r="B4994" s="198" t="s">
        <v>6561</v>
      </c>
      <c r="C4994" s="154" t="s">
        <v>5822</v>
      </c>
      <c r="D4994" s="201" t="s">
        <v>2220</v>
      </c>
    </row>
    <row r="4995" spans="2:4">
      <c r="B4995" s="198" t="s">
        <v>6562</v>
      </c>
      <c r="C4995" s="154" t="s">
        <v>6564</v>
      </c>
      <c r="D4995" s="201" t="s">
        <v>2220</v>
      </c>
    </row>
    <row r="4996" spans="2:4">
      <c r="B4996" s="198" t="s">
        <v>6563</v>
      </c>
      <c r="C4996" s="154" t="s">
        <v>3081</v>
      </c>
      <c r="D4996" s="201" t="s">
        <v>1957</v>
      </c>
    </row>
    <row r="4997" spans="2:4">
      <c r="B4997" s="198" t="s">
        <v>6566</v>
      </c>
      <c r="C4997" s="154" t="s">
        <v>6571</v>
      </c>
      <c r="D4997" s="201" t="s">
        <v>5662</v>
      </c>
    </row>
    <row r="4998" spans="2:4">
      <c r="B4998" s="198" t="s">
        <v>6567</v>
      </c>
      <c r="C4998" s="154" t="s">
        <v>6572</v>
      </c>
      <c r="D4998" s="201" t="s">
        <v>5662</v>
      </c>
    </row>
    <row r="4999" spans="2:4">
      <c r="B4999" s="198" t="s">
        <v>6568</v>
      </c>
      <c r="C4999" s="154" t="s">
        <v>3756</v>
      </c>
      <c r="D4999" s="201" t="s">
        <v>2216</v>
      </c>
    </row>
    <row r="5000" spans="2:4">
      <c r="B5000" s="198" t="s">
        <v>6569</v>
      </c>
      <c r="C5000" s="154" t="s">
        <v>6402</v>
      </c>
      <c r="D5000" s="201" t="s">
        <v>5662</v>
      </c>
    </row>
    <row r="5001" spans="2:4">
      <c r="B5001" s="198" t="s">
        <v>6570</v>
      </c>
      <c r="C5001" s="154" t="s">
        <v>6374</v>
      </c>
      <c r="D5001" s="201" t="s">
        <v>5662</v>
      </c>
    </row>
    <row r="5002" spans="2:4">
      <c r="B5002" s="198" t="s">
        <v>6573</v>
      </c>
      <c r="C5002" s="154" t="s">
        <v>6576</v>
      </c>
      <c r="D5002" s="201" t="s">
        <v>1958</v>
      </c>
    </row>
    <row r="5003" spans="2:4">
      <c r="B5003" s="198" t="s">
        <v>6574</v>
      </c>
      <c r="C5003" s="154" t="s">
        <v>5801</v>
      </c>
      <c r="D5003" s="201" t="s">
        <v>5662</v>
      </c>
    </row>
    <row r="5004" spans="2:4">
      <c r="B5004" s="198" t="s">
        <v>6575</v>
      </c>
      <c r="C5004" s="154" t="s">
        <v>6374</v>
      </c>
      <c r="D5004" s="201" t="s">
        <v>5662</v>
      </c>
    </row>
    <row r="5005" spans="2:4">
      <c r="B5005" s="198" t="s">
        <v>6578</v>
      </c>
      <c r="C5005" s="154" t="s">
        <v>3138</v>
      </c>
      <c r="D5005" s="201" t="s">
        <v>1956</v>
      </c>
    </row>
    <row r="5006" spans="2:4">
      <c r="B5006" s="198" t="s">
        <v>6577</v>
      </c>
      <c r="C5006" s="154" t="s">
        <v>3175</v>
      </c>
      <c r="D5006" s="201" t="s">
        <v>1955</v>
      </c>
    </row>
    <row r="5007" spans="2:4">
      <c r="B5007" s="198" t="s">
        <v>6580</v>
      </c>
      <c r="C5007" s="154" t="s">
        <v>1511</v>
      </c>
      <c r="D5007" s="201" t="s">
        <v>1951</v>
      </c>
    </row>
    <row r="5008" spans="2:4">
      <c r="B5008" s="198" t="s">
        <v>6584</v>
      </c>
      <c r="C5008" s="154" t="s">
        <v>5763</v>
      </c>
      <c r="D5008" s="201" t="s">
        <v>2216</v>
      </c>
    </row>
    <row r="5009" spans="2:4">
      <c r="B5009" s="198" t="s">
        <v>6585</v>
      </c>
      <c r="C5009" s="154" t="s">
        <v>150</v>
      </c>
      <c r="D5009" s="201" t="s">
        <v>1951</v>
      </c>
    </row>
    <row r="5010" spans="2:4">
      <c r="B5010" s="198" t="s">
        <v>6586</v>
      </c>
      <c r="C5010" s="154" t="s">
        <v>3138</v>
      </c>
      <c r="D5010" s="201" t="s">
        <v>1956</v>
      </c>
    </row>
    <row r="5011" spans="2:4">
      <c r="B5011" s="198" t="s">
        <v>6587</v>
      </c>
      <c r="C5011" s="154" t="s">
        <v>4682</v>
      </c>
      <c r="D5011" s="201" t="s">
        <v>1956</v>
      </c>
    </row>
    <row r="5012" spans="2:4">
      <c r="B5012" s="198" t="s">
        <v>6588</v>
      </c>
      <c r="C5012" s="154" t="s">
        <v>3175</v>
      </c>
      <c r="D5012" s="201" t="s">
        <v>1955</v>
      </c>
    </row>
    <row r="5013" spans="2:4">
      <c r="B5013" s="198" t="s">
        <v>6589</v>
      </c>
      <c r="C5013" s="154" t="s">
        <v>1622</v>
      </c>
      <c r="D5013" s="201" t="s">
        <v>1954</v>
      </c>
    </row>
    <row r="5014" spans="2:4">
      <c r="B5014" s="198" t="s">
        <v>6590</v>
      </c>
      <c r="C5014" s="154" t="s">
        <v>6581</v>
      </c>
      <c r="D5014" s="201" t="s">
        <v>1955</v>
      </c>
    </row>
    <row r="5015" spans="2:4">
      <c r="B5015" s="198" t="s">
        <v>6591</v>
      </c>
      <c r="C5015" s="154" t="s">
        <v>1595</v>
      </c>
      <c r="D5015" s="201" t="s">
        <v>1956</v>
      </c>
    </row>
    <row r="5016" spans="2:4">
      <c r="B5016" s="198" t="s">
        <v>6592</v>
      </c>
      <c r="C5016" s="154" t="s">
        <v>6582</v>
      </c>
      <c r="D5016" s="201" t="s">
        <v>1951</v>
      </c>
    </row>
    <row r="5017" spans="2:4">
      <c r="B5017" s="198" t="s">
        <v>6579</v>
      </c>
      <c r="C5017" s="154" t="s">
        <v>6583</v>
      </c>
      <c r="D5017" s="201" t="s">
        <v>1951</v>
      </c>
    </row>
    <row r="5018" spans="2:4">
      <c r="B5018" s="198" t="s">
        <v>6594</v>
      </c>
      <c r="C5018" s="154" t="s">
        <v>6597</v>
      </c>
      <c r="D5018" s="201" t="s">
        <v>1951</v>
      </c>
    </row>
    <row r="5019" spans="2:4">
      <c r="B5019" s="198" t="s">
        <v>6595</v>
      </c>
      <c r="C5019" s="154" t="s">
        <v>3138</v>
      </c>
      <c r="D5019" s="201" t="s">
        <v>1956</v>
      </c>
    </row>
    <row r="5020" spans="2:4">
      <c r="B5020" s="198" t="s">
        <v>6596</v>
      </c>
      <c r="C5020" s="154" t="s">
        <v>6598</v>
      </c>
      <c r="D5020" s="201" t="s">
        <v>1955</v>
      </c>
    </row>
    <row r="5021" spans="2:4">
      <c r="B5021" s="198" t="s">
        <v>6599</v>
      </c>
      <c r="C5021" s="154" t="s">
        <v>6404</v>
      </c>
      <c r="D5021" s="201" t="s">
        <v>5662</v>
      </c>
    </row>
    <row r="5022" spans="2:4">
      <c r="B5022" s="198" t="s">
        <v>6600</v>
      </c>
      <c r="C5022" s="154" t="s">
        <v>6235</v>
      </c>
      <c r="D5022" s="201" t="s">
        <v>5662</v>
      </c>
    </row>
    <row r="5023" spans="2:4">
      <c r="B5023" s="198" t="s">
        <v>6601</v>
      </c>
      <c r="C5023" s="154" t="s">
        <v>6602</v>
      </c>
      <c r="D5023" s="201" t="s">
        <v>5662</v>
      </c>
    </row>
    <row r="5024" spans="2:4">
      <c r="B5024" s="198" t="s">
        <v>6603</v>
      </c>
      <c r="C5024" s="154" t="s">
        <v>6137</v>
      </c>
      <c r="D5024" s="201" t="s">
        <v>1953</v>
      </c>
    </row>
    <row r="5025" spans="2:4">
      <c r="B5025" s="198" t="s">
        <v>6604</v>
      </c>
      <c r="C5025" s="154" t="s">
        <v>3081</v>
      </c>
      <c r="D5025" s="201" t="s">
        <v>1957</v>
      </c>
    </row>
    <row r="5026" spans="2:4">
      <c r="B5026" s="198" t="s">
        <v>6610</v>
      </c>
      <c r="C5026" s="154" t="s">
        <v>6611</v>
      </c>
      <c r="D5026" s="201" t="s">
        <v>2216</v>
      </c>
    </row>
    <row r="5027" spans="2:4">
      <c r="B5027" s="198" t="s">
        <v>6609</v>
      </c>
      <c r="C5027" s="154" t="s">
        <v>4921</v>
      </c>
      <c r="D5027" s="201" t="s">
        <v>1959</v>
      </c>
    </row>
    <row r="5028" spans="2:4">
      <c r="B5028" s="198" t="s">
        <v>6608</v>
      </c>
      <c r="C5028" s="154" t="s">
        <v>6611</v>
      </c>
      <c r="D5028" s="201" t="s">
        <v>2216</v>
      </c>
    </row>
    <row r="5029" spans="2:4">
      <c r="B5029" s="198" t="s">
        <v>6607</v>
      </c>
      <c r="C5029" s="154" t="s">
        <v>4921</v>
      </c>
      <c r="D5029" s="201" t="s">
        <v>1959</v>
      </c>
    </row>
    <row r="5030" spans="2:4">
      <c r="B5030" s="198" t="s">
        <v>6606</v>
      </c>
      <c r="C5030" s="154" t="s">
        <v>5775</v>
      </c>
      <c r="D5030" s="201" t="s">
        <v>2216</v>
      </c>
    </row>
    <row r="5031" spans="2:4">
      <c r="B5031" s="198" t="s">
        <v>6605</v>
      </c>
      <c r="C5031" s="154" t="s">
        <v>5813</v>
      </c>
      <c r="D5031" s="201" t="s">
        <v>2216</v>
      </c>
    </row>
    <row r="5032" spans="2:4">
      <c r="B5032" s="198" t="s">
        <v>6612</v>
      </c>
      <c r="C5032" s="154" t="s">
        <v>1541</v>
      </c>
      <c r="D5032" s="201" t="s">
        <v>1955</v>
      </c>
    </row>
    <row r="5033" spans="2:4">
      <c r="B5033" s="198" t="s">
        <v>6613</v>
      </c>
      <c r="C5033" s="154" t="s">
        <v>6619</v>
      </c>
      <c r="D5033" s="201" t="s">
        <v>1958</v>
      </c>
    </row>
    <row r="5034" spans="2:4">
      <c r="B5034" s="198" t="s">
        <v>6614</v>
      </c>
      <c r="C5034" s="154" t="s">
        <v>1532</v>
      </c>
      <c r="D5034" s="201" t="s">
        <v>1958</v>
      </c>
    </row>
    <row r="5035" spans="2:4">
      <c r="B5035" s="198" t="s">
        <v>6615</v>
      </c>
      <c r="C5035" s="154" t="s">
        <v>1587</v>
      </c>
      <c r="D5035" s="201" t="s">
        <v>1958</v>
      </c>
    </row>
    <row r="5036" spans="2:4">
      <c r="B5036" s="198" t="s">
        <v>6616</v>
      </c>
      <c r="C5036" s="154" t="s">
        <v>149</v>
      </c>
      <c r="D5036" s="201" t="s">
        <v>1956</v>
      </c>
    </row>
    <row r="5037" spans="2:4">
      <c r="B5037" s="198" t="s">
        <v>6617</v>
      </c>
      <c r="C5037" s="154" t="s">
        <v>152</v>
      </c>
      <c r="D5037" s="201" t="s">
        <v>1952</v>
      </c>
    </row>
    <row r="5038" spans="2:4">
      <c r="B5038" s="198" t="s">
        <v>6618</v>
      </c>
      <c r="C5038" s="154" t="s">
        <v>149</v>
      </c>
      <c r="D5038" s="201" t="s">
        <v>1956</v>
      </c>
    </row>
    <row r="5039" spans="2:4">
      <c r="B5039" s="198" t="s">
        <v>6620</v>
      </c>
      <c r="C5039" s="154" t="s">
        <v>6631</v>
      </c>
      <c r="D5039" s="201" t="s">
        <v>1958</v>
      </c>
    </row>
    <row r="5040" spans="2:4">
      <c r="B5040" s="198" t="s">
        <v>5267</v>
      </c>
      <c r="C5040" s="154" t="s">
        <v>1587</v>
      </c>
      <c r="D5040" s="201" t="s">
        <v>1958</v>
      </c>
    </row>
    <row r="5041" spans="2:4">
      <c r="B5041" s="198" t="s">
        <v>6625</v>
      </c>
      <c r="C5041" s="154" t="s">
        <v>1541</v>
      </c>
      <c r="D5041" s="201" t="s">
        <v>1955</v>
      </c>
    </row>
    <row r="5042" spans="2:4">
      <c r="B5042" s="198" t="s">
        <v>6627</v>
      </c>
      <c r="C5042" s="154" t="s">
        <v>149</v>
      </c>
      <c r="D5042" s="201" t="s">
        <v>1956</v>
      </c>
    </row>
    <row r="5043" spans="2:4">
      <c r="B5043" s="198" t="s">
        <v>6626</v>
      </c>
      <c r="C5043" s="154" t="s">
        <v>149</v>
      </c>
      <c r="D5043" s="201" t="s">
        <v>1956</v>
      </c>
    </row>
    <row r="5044" spans="2:4">
      <c r="B5044" s="198" t="s">
        <v>6628</v>
      </c>
      <c r="C5044" s="154" t="s">
        <v>142</v>
      </c>
      <c r="D5044" s="201" t="s">
        <v>1954</v>
      </c>
    </row>
    <row r="5045" spans="2:4">
      <c r="B5045" s="198" t="s">
        <v>6629</v>
      </c>
      <c r="C5045" s="154" t="s">
        <v>149</v>
      </c>
      <c r="D5045" s="201" t="s">
        <v>1956</v>
      </c>
    </row>
    <row r="5046" spans="2:4">
      <c r="B5046" s="198" t="s">
        <v>6630</v>
      </c>
      <c r="C5046" s="154" t="s">
        <v>3175</v>
      </c>
      <c r="D5046" s="201" t="s">
        <v>1955</v>
      </c>
    </row>
    <row r="5047" spans="2:4">
      <c r="B5047" s="198" t="s">
        <v>6621</v>
      </c>
      <c r="C5047" s="154" t="s">
        <v>1560</v>
      </c>
      <c r="D5047" s="201" t="s">
        <v>1953</v>
      </c>
    </row>
    <row r="5048" spans="2:4">
      <c r="B5048" s="198" t="s">
        <v>6622</v>
      </c>
      <c r="C5048" s="154" t="s">
        <v>1560</v>
      </c>
      <c r="D5048" s="201" t="s">
        <v>1953</v>
      </c>
    </row>
    <row r="5049" spans="2:4">
      <c r="B5049" s="198" t="s">
        <v>6623</v>
      </c>
      <c r="C5049" s="154" t="s">
        <v>149</v>
      </c>
      <c r="D5049" s="201" t="s">
        <v>1956</v>
      </c>
    </row>
    <row r="5050" spans="2:4">
      <c r="B5050" s="198" t="s">
        <v>6624</v>
      </c>
      <c r="C5050" s="154" t="s">
        <v>149</v>
      </c>
      <c r="D5050" s="201" t="s">
        <v>1956</v>
      </c>
    </row>
    <row r="5051" spans="2:4">
      <c r="B5051" s="198" t="s">
        <v>6632</v>
      </c>
      <c r="C5051" s="154" t="s">
        <v>6638</v>
      </c>
      <c r="D5051" s="201" t="s">
        <v>1956</v>
      </c>
    </row>
    <row r="5052" spans="2:4">
      <c r="B5052" s="198" t="s">
        <v>6633</v>
      </c>
      <c r="C5052" s="154" t="s">
        <v>6117</v>
      </c>
      <c r="D5052" s="201" t="s">
        <v>5662</v>
      </c>
    </row>
    <row r="5053" spans="2:4">
      <c r="B5053" s="198" t="s">
        <v>6634</v>
      </c>
      <c r="C5053" s="154" t="s">
        <v>6639</v>
      </c>
      <c r="D5053" s="201" t="s">
        <v>5662</v>
      </c>
    </row>
    <row r="5054" spans="2:4">
      <c r="B5054" s="198" t="s">
        <v>6635</v>
      </c>
      <c r="C5054" s="154" t="s">
        <v>4682</v>
      </c>
      <c r="D5054" s="201" t="s">
        <v>1956</v>
      </c>
    </row>
    <row r="5055" spans="2:4">
      <c r="B5055" s="198" t="s">
        <v>6636</v>
      </c>
      <c r="C5055" s="154" t="s">
        <v>1508</v>
      </c>
      <c r="D5055" s="201" t="s">
        <v>1951</v>
      </c>
    </row>
    <row r="5056" spans="2:4">
      <c r="B5056" s="198" t="s">
        <v>6637</v>
      </c>
      <c r="C5056" s="154" t="s">
        <v>5154</v>
      </c>
      <c r="D5056" s="201" t="s">
        <v>1954</v>
      </c>
    </row>
    <row r="5057" spans="2:4">
      <c r="B5057" s="198" t="s">
        <v>6641</v>
      </c>
      <c r="C5057" s="154" t="s">
        <v>3081</v>
      </c>
      <c r="D5057" s="201" t="s">
        <v>1957</v>
      </c>
    </row>
    <row r="5058" spans="2:4">
      <c r="B5058" s="198" t="s">
        <v>6640</v>
      </c>
      <c r="C5058" s="154" t="s">
        <v>6647</v>
      </c>
      <c r="D5058" s="201" t="s">
        <v>5662</v>
      </c>
    </row>
    <row r="5059" spans="2:4">
      <c r="B5059" s="198" t="s">
        <v>6642</v>
      </c>
      <c r="C5059" s="154" t="s">
        <v>6648</v>
      </c>
      <c r="D5059" s="201" t="s">
        <v>5662</v>
      </c>
    </row>
    <row r="5060" spans="2:4">
      <c r="B5060" s="198" t="s">
        <v>6643</v>
      </c>
      <c r="C5060" s="154" t="s">
        <v>6648</v>
      </c>
      <c r="D5060" s="201" t="s">
        <v>5662</v>
      </c>
    </row>
    <row r="5061" spans="2:4">
      <c r="B5061" s="198" t="s">
        <v>6644</v>
      </c>
      <c r="C5061" s="154" t="s">
        <v>5813</v>
      </c>
      <c r="D5061" s="201" t="s">
        <v>2216</v>
      </c>
    </row>
    <row r="5062" spans="2:4">
      <c r="B5062" s="198" t="s">
        <v>6645</v>
      </c>
      <c r="C5062" s="154" t="s">
        <v>3659</v>
      </c>
      <c r="D5062" s="201" t="s">
        <v>1954</v>
      </c>
    </row>
    <row r="5063" spans="2:4">
      <c r="B5063" s="198" t="s">
        <v>6646</v>
      </c>
      <c r="C5063" s="154" t="s">
        <v>5154</v>
      </c>
      <c r="D5063" s="201" t="s">
        <v>1954</v>
      </c>
    </row>
    <row r="5064" spans="2:4">
      <c r="B5064" s="198" t="s">
        <v>6654</v>
      </c>
      <c r="C5064" s="154" t="s">
        <v>149</v>
      </c>
      <c r="D5064" s="201" t="s">
        <v>1956</v>
      </c>
    </row>
    <row r="5065" spans="2:4">
      <c r="B5065" s="198" t="s">
        <v>6652</v>
      </c>
      <c r="C5065" s="154" t="s">
        <v>6656</v>
      </c>
      <c r="D5065" s="201" t="s">
        <v>5662</v>
      </c>
    </row>
    <row r="5066" spans="2:4">
      <c r="B5066" s="198" t="s">
        <v>6649</v>
      </c>
      <c r="C5066" s="154" t="s">
        <v>6657</v>
      </c>
      <c r="D5066" s="201" t="s">
        <v>5662</v>
      </c>
    </row>
    <row r="5067" spans="2:4">
      <c r="B5067" s="198" t="s">
        <v>6655</v>
      </c>
      <c r="C5067" s="154" t="s">
        <v>149</v>
      </c>
      <c r="D5067" s="201" t="s">
        <v>1956</v>
      </c>
    </row>
    <row r="5068" spans="2:4">
      <c r="B5068" s="198" t="s">
        <v>6650</v>
      </c>
      <c r="C5068" s="154" t="s">
        <v>6117</v>
      </c>
      <c r="D5068" s="201" t="s">
        <v>5662</v>
      </c>
    </row>
    <row r="5069" spans="2:4">
      <c r="B5069" s="198" t="s">
        <v>6651</v>
      </c>
      <c r="C5069" s="154" t="s">
        <v>149</v>
      </c>
      <c r="D5069" s="201" t="s">
        <v>1956</v>
      </c>
    </row>
    <row r="5070" spans="2:4">
      <c r="B5070" s="198" t="s">
        <v>6653</v>
      </c>
      <c r="C5070" s="154" t="s">
        <v>149</v>
      </c>
      <c r="D5070" s="201" t="s">
        <v>1956</v>
      </c>
    </row>
    <row r="5071" spans="2:4">
      <c r="B5071" s="198" t="s">
        <v>6658</v>
      </c>
      <c r="C5071" s="154" t="s">
        <v>1587</v>
      </c>
      <c r="D5071" s="201" t="s">
        <v>1958</v>
      </c>
    </row>
    <row r="5072" spans="2:4">
      <c r="B5072" s="198" t="s">
        <v>6659</v>
      </c>
      <c r="C5072" s="154" t="s">
        <v>1587</v>
      </c>
      <c r="D5072" s="201" t="s">
        <v>1958</v>
      </c>
    </row>
    <row r="5073" spans="2:4">
      <c r="B5073" s="198" t="s">
        <v>6660</v>
      </c>
      <c r="C5073" s="154" t="s">
        <v>1518</v>
      </c>
      <c r="D5073" s="201" t="s">
        <v>1957</v>
      </c>
    </row>
    <row r="5074" spans="2:4">
      <c r="B5074" s="198" t="s">
        <v>6661</v>
      </c>
      <c r="C5074" s="154" t="s">
        <v>1534</v>
      </c>
      <c r="D5074" s="201" t="s">
        <v>1959</v>
      </c>
    </row>
    <row r="5075" spans="2:4">
      <c r="B5075" s="198" t="s">
        <v>6663</v>
      </c>
      <c r="C5075" s="154" t="s">
        <v>149</v>
      </c>
      <c r="D5075" s="201" t="s">
        <v>1956</v>
      </c>
    </row>
    <row r="5076" spans="2:4">
      <c r="B5076" s="198" t="s">
        <v>6682</v>
      </c>
      <c r="C5076" s="154" t="s">
        <v>1518</v>
      </c>
      <c r="D5076" s="201" t="s">
        <v>1957</v>
      </c>
    </row>
    <row r="5077" spans="2:4">
      <c r="B5077" s="198" t="s">
        <v>6683</v>
      </c>
      <c r="C5077" s="154" t="s">
        <v>1534</v>
      </c>
      <c r="D5077" s="201" t="s">
        <v>1959</v>
      </c>
    </row>
    <row r="5078" spans="2:4">
      <c r="B5078" s="198" t="s">
        <v>6666</v>
      </c>
      <c r="C5078" s="154" t="s">
        <v>6691</v>
      </c>
      <c r="D5078" s="201" t="s">
        <v>2220</v>
      </c>
    </row>
    <row r="5079" spans="2:4">
      <c r="B5079" s="198" t="s">
        <v>6668</v>
      </c>
      <c r="C5079" s="154" t="s">
        <v>6692</v>
      </c>
      <c r="D5079" s="201" t="s">
        <v>2220</v>
      </c>
    </row>
    <row r="5080" spans="2:4">
      <c r="B5080" s="198" t="s">
        <v>6670</v>
      </c>
      <c r="C5080" s="154" t="s">
        <v>5822</v>
      </c>
      <c r="D5080" s="201" t="s">
        <v>2220</v>
      </c>
    </row>
    <row r="5081" spans="2:4">
      <c r="B5081" s="198" t="s">
        <v>6671</v>
      </c>
      <c r="C5081" s="154" t="s">
        <v>6693</v>
      </c>
      <c r="D5081" s="201" t="s">
        <v>1959</v>
      </c>
    </row>
    <row r="5082" spans="2:4">
      <c r="B5082" s="198" t="s">
        <v>6675</v>
      </c>
      <c r="C5082" s="154" t="s">
        <v>6694</v>
      </c>
      <c r="D5082" s="201" t="s">
        <v>1959</v>
      </c>
    </row>
    <row r="5083" spans="2:4">
      <c r="B5083" s="198" t="s">
        <v>6676</v>
      </c>
      <c r="C5083" s="154" t="s">
        <v>4921</v>
      </c>
      <c r="D5083" s="201" t="s">
        <v>1959</v>
      </c>
    </row>
    <row r="5084" spans="2:4">
      <c r="B5084" s="198" t="s">
        <v>6677</v>
      </c>
      <c r="C5084" s="154" t="s">
        <v>6695</v>
      </c>
      <c r="D5084" s="201" t="s">
        <v>1959</v>
      </c>
    </row>
    <row r="5085" spans="2:4">
      <c r="B5085" s="198" t="s">
        <v>6684</v>
      </c>
      <c r="C5085" s="154" t="s">
        <v>5903</v>
      </c>
      <c r="D5085" s="201" t="s">
        <v>1951</v>
      </c>
    </row>
    <row r="5086" spans="2:4">
      <c r="B5086" s="198" t="s">
        <v>6662</v>
      </c>
      <c r="C5086" s="154" t="s">
        <v>6696</v>
      </c>
      <c r="D5086" s="201" t="s">
        <v>1959</v>
      </c>
    </row>
    <row r="5087" spans="2:4">
      <c r="B5087" s="198" t="s">
        <v>6664</v>
      </c>
      <c r="C5087" s="154" t="s">
        <v>4921</v>
      </c>
      <c r="D5087" s="201" t="s">
        <v>1959</v>
      </c>
    </row>
    <row r="5088" spans="2:4">
      <c r="B5088" s="198" t="s">
        <v>6685</v>
      </c>
      <c r="C5088" s="154" t="s">
        <v>1697</v>
      </c>
      <c r="D5088" s="201" t="s">
        <v>1952</v>
      </c>
    </row>
    <row r="5089" spans="2:4">
      <c r="B5089" s="198" t="s">
        <v>6665</v>
      </c>
      <c r="C5089" s="154" t="s">
        <v>6686</v>
      </c>
      <c r="D5089" s="201" t="s">
        <v>1951</v>
      </c>
    </row>
    <row r="5090" spans="2:4">
      <c r="B5090" s="198" t="s">
        <v>6667</v>
      </c>
      <c r="C5090" s="154" t="s">
        <v>6687</v>
      </c>
      <c r="D5090" s="201" t="s">
        <v>1955</v>
      </c>
    </row>
    <row r="5091" spans="2:4">
      <c r="B5091" s="198" t="s">
        <v>6669</v>
      </c>
      <c r="C5091" s="154" t="s">
        <v>6688</v>
      </c>
      <c r="D5091" s="201" t="s">
        <v>1951</v>
      </c>
    </row>
    <row r="5092" spans="2:4">
      <c r="B5092" s="198" t="s">
        <v>6672</v>
      </c>
      <c r="C5092" s="154" t="s">
        <v>5804</v>
      </c>
      <c r="D5092" s="201" t="s">
        <v>1956</v>
      </c>
    </row>
    <row r="5093" spans="2:4">
      <c r="B5093" s="198" t="s">
        <v>6673</v>
      </c>
      <c r="C5093" s="154" t="s">
        <v>6689</v>
      </c>
      <c r="D5093" s="201" t="s">
        <v>1954</v>
      </c>
    </row>
    <row r="5094" spans="2:4">
      <c r="B5094" s="198" t="s">
        <v>6674</v>
      </c>
      <c r="C5094" s="154" t="s">
        <v>7388</v>
      </c>
      <c r="D5094" s="201" t="s">
        <v>1959</v>
      </c>
    </row>
    <row r="5095" spans="2:4">
      <c r="B5095" s="198" t="s">
        <v>6678</v>
      </c>
      <c r="C5095" s="154" t="s">
        <v>3419</v>
      </c>
      <c r="D5095" s="201" t="s">
        <v>1953</v>
      </c>
    </row>
    <row r="5096" spans="2:4">
      <c r="B5096" s="198" t="s">
        <v>6679</v>
      </c>
      <c r="C5096" s="154" t="s">
        <v>3138</v>
      </c>
      <c r="D5096" s="201" t="s">
        <v>1956</v>
      </c>
    </row>
    <row r="5097" spans="2:4">
      <c r="B5097" s="198" t="s">
        <v>6680</v>
      </c>
      <c r="C5097" s="154" t="s">
        <v>6690</v>
      </c>
      <c r="D5097" s="201" t="s">
        <v>1955</v>
      </c>
    </row>
    <row r="5098" spans="2:4">
      <c r="B5098" s="198" t="s">
        <v>6681</v>
      </c>
      <c r="C5098" s="154" t="s">
        <v>1522</v>
      </c>
      <c r="D5098" s="201" t="s">
        <v>1953</v>
      </c>
    </row>
    <row r="5099" spans="2:4">
      <c r="B5099" s="198" t="s">
        <v>6697</v>
      </c>
      <c r="C5099" s="154" t="s">
        <v>1631</v>
      </c>
      <c r="D5099" s="201" t="s">
        <v>1951</v>
      </c>
    </row>
    <row r="5100" spans="2:4">
      <c r="B5100" s="198" t="s">
        <v>6698</v>
      </c>
      <c r="C5100" s="154" t="s">
        <v>1631</v>
      </c>
      <c r="D5100" s="201" t="s">
        <v>1951</v>
      </c>
    </row>
    <row r="5101" spans="2:4">
      <c r="B5101" s="198" t="s">
        <v>6699</v>
      </c>
      <c r="C5101" s="154" t="s">
        <v>1631</v>
      </c>
      <c r="D5101" s="201" t="s">
        <v>1951</v>
      </c>
    </row>
    <row r="5102" spans="2:4">
      <c r="B5102" s="198"/>
      <c r="C5102" s="154"/>
      <c r="D5102" s="201"/>
    </row>
    <row r="5103" spans="2:4">
      <c r="B5103" s="198" t="s">
        <v>6701</v>
      </c>
      <c r="C5103" s="154" t="s">
        <v>6706</v>
      </c>
      <c r="D5103" s="201" t="s">
        <v>1952</v>
      </c>
    </row>
    <row r="5104" spans="2:4">
      <c r="B5104" s="198" t="s">
        <v>6702</v>
      </c>
      <c r="C5104" s="154" t="s">
        <v>1759</v>
      </c>
      <c r="D5104" s="201" t="s">
        <v>1956</v>
      </c>
    </row>
    <row r="5105" spans="2:4">
      <c r="B5105" s="198" t="s">
        <v>6703</v>
      </c>
      <c r="C5105" s="154" t="s">
        <v>2997</v>
      </c>
      <c r="D5105" s="201" t="s">
        <v>1956</v>
      </c>
    </row>
    <row r="5106" spans="2:4">
      <c r="B5106" s="198" t="s">
        <v>6704</v>
      </c>
      <c r="C5106" s="154" t="s">
        <v>6409</v>
      </c>
      <c r="D5106" s="201" t="s">
        <v>5662</v>
      </c>
    </row>
    <row r="5107" spans="2:4">
      <c r="B5107" s="198" t="s">
        <v>6705</v>
      </c>
      <c r="C5107" s="154" t="s">
        <v>5882</v>
      </c>
      <c r="D5107" s="201" t="s">
        <v>1959</v>
      </c>
    </row>
    <row r="5108" spans="2:4">
      <c r="B5108" s="198" t="s">
        <v>6700</v>
      </c>
      <c r="C5108" s="154" t="s">
        <v>3598</v>
      </c>
      <c r="D5108" s="201" t="s">
        <v>1951</v>
      </c>
    </row>
    <row r="5109" spans="2:4">
      <c r="B5109" s="198" t="s">
        <v>6707</v>
      </c>
      <c r="C5109" s="154" t="s">
        <v>3598</v>
      </c>
      <c r="D5109" s="201" t="s">
        <v>1951</v>
      </c>
    </row>
    <row r="5110" spans="2:4">
      <c r="B5110" s="198" t="s">
        <v>6712</v>
      </c>
      <c r="C5110" s="154" t="s">
        <v>1564</v>
      </c>
      <c r="D5110" s="201" t="s">
        <v>1955</v>
      </c>
    </row>
    <row r="5111" spans="2:4">
      <c r="B5111" s="198" t="s">
        <v>5131</v>
      </c>
      <c r="C5111" s="154" t="s">
        <v>3081</v>
      </c>
      <c r="D5111" s="201" t="s">
        <v>1957</v>
      </c>
    </row>
    <row r="5112" spans="2:4">
      <c r="B5112" s="198" t="s">
        <v>6716</v>
      </c>
      <c r="C5112" s="154" t="s">
        <v>1784</v>
      </c>
      <c r="D5112" s="201" t="s">
        <v>1951</v>
      </c>
    </row>
    <row r="5113" spans="2:4">
      <c r="B5113" s="198" t="s">
        <v>6708</v>
      </c>
      <c r="C5113" s="154" t="s">
        <v>6402</v>
      </c>
      <c r="D5113" s="201" t="s">
        <v>5662</v>
      </c>
    </row>
    <row r="5114" spans="2:4">
      <c r="B5114" s="198" t="s">
        <v>6709</v>
      </c>
      <c r="C5114" s="154" t="s">
        <v>6374</v>
      </c>
      <c r="D5114" s="201" t="s">
        <v>5662</v>
      </c>
    </row>
    <row r="5115" spans="2:4">
      <c r="B5115" s="198" t="s">
        <v>6710</v>
      </c>
      <c r="C5115" s="154" t="s">
        <v>6402</v>
      </c>
      <c r="D5115" s="201" t="s">
        <v>5662</v>
      </c>
    </row>
    <row r="5116" spans="2:4">
      <c r="B5116" s="198" t="s">
        <v>6711</v>
      </c>
      <c r="C5116" s="154" t="s">
        <v>6717</v>
      </c>
      <c r="D5116" s="201" t="s">
        <v>1959</v>
      </c>
    </row>
    <row r="5117" spans="2:4">
      <c r="B5117" s="198" t="s">
        <v>6713</v>
      </c>
      <c r="C5117" s="154" t="s">
        <v>6718</v>
      </c>
      <c r="D5117" s="201" t="s">
        <v>5662</v>
      </c>
    </row>
    <row r="5118" spans="2:4">
      <c r="B5118" s="198" t="s">
        <v>6714</v>
      </c>
      <c r="C5118" s="154" t="s">
        <v>6719</v>
      </c>
      <c r="D5118" s="201" t="s">
        <v>1959</v>
      </c>
    </row>
    <row r="5119" spans="2:4">
      <c r="B5119" s="198" t="s">
        <v>6715</v>
      </c>
      <c r="C5119" s="154" t="s">
        <v>6720</v>
      </c>
      <c r="D5119" s="201" t="s">
        <v>1959</v>
      </c>
    </row>
    <row r="5120" spans="2:4">
      <c r="B5120" s="198" t="s">
        <v>1377</v>
      </c>
      <c r="C5120" s="154" t="s">
        <v>6721</v>
      </c>
      <c r="D5120" s="201" t="s">
        <v>5662</v>
      </c>
    </row>
    <row r="5121" spans="2:4">
      <c r="B5121" s="198" t="s">
        <v>6722</v>
      </c>
      <c r="C5121" s="154" t="s">
        <v>6571</v>
      </c>
      <c r="D5121" s="201" t="s">
        <v>5662</v>
      </c>
    </row>
    <row r="5122" spans="2:4">
      <c r="B5122" s="198" t="s">
        <v>6723</v>
      </c>
      <c r="C5122" s="154" t="s">
        <v>6374</v>
      </c>
      <c r="D5122" s="201" t="s">
        <v>5662</v>
      </c>
    </row>
    <row r="5123" spans="2:4">
      <c r="B5123" s="198" t="s">
        <v>6724</v>
      </c>
      <c r="C5123" s="154" t="s">
        <v>6721</v>
      </c>
      <c r="D5123" s="201" t="s">
        <v>5662</v>
      </c>
    </row>
    <row r="5124" spans="2:4">
      <c r="B5124" s="198" t="s">
        <v>6725</v>
      </c>
      <c r="C5124" s="154" t="s">
        <v>6597</v>
      </c>
      <c r="D5124" s="201" t="s">
        <v>1951</v>
      </c>
    </row>
    <row r="5125" spans="2:4">
      <c r="B5125" s="198" t="s">
        <v>6726</v>
      </c>
      <c r="C5125" s="154" t="s">
        <v>6597</v>
      </c>
      <c r="D5125" s="201" t="s">
        <v>1951</v>
      </c>
    </row>
    <row r="5126" spans="2:4">
      <c r="B5126" s="198" t="s">
        <v>6727</v>
      </c>
      <c r="C5126" s="154" t="s">
        <v>5813</v>
      </c>
      <c r="D5126" s="201" t="s">
        <v>2216</v>
      </c>
    </row>
    <row r="5127" spans="2:4">
      <c r="B5127" s="198" t="s">
        <v>6728</v>
      </c>
      <c r="C5127" s="154" t="s">
        <v>5713</v>
      </c>
      <c r="D5127" s="201" t="s">
        <v>5662</v>
      </c>
    </row>
    <row r="5128" spans="2:4">
      <c r="B5128" s="198" t="s">
        <v>6729</v>
      </c>
      <c r="C5128" s="154" t="s">
        <v>1601</v>
      </c>
      <c r="D5128" s="201" t="s">
        <v>1951</v>
      </c>
    </row>
    <row r="5129" spans="2:4">
      <c r="B5129" s="198" t="s">
        <v>6730</v>
      </c>
      <c r="C5129" s="154" t="s">
        <v>1587</v>
      </c>
      <c r="D5129" s="201" t="s">
        <v>1958</v>
      </c>
    </row>
    <row r="5130" spans="2:4">
      <c r="B5130" s="198" t="s">
        <v>6731</v>
      </c>
      <c r="C5130" s="154" t="s">
        <v>1587</v>
      </c>
      <c r="D5130" s="201" t="s">
        <v>1958</v>
      </c>
    </row>
    <row r="5131" spans="2:4">
      <c r="B5131" s="198" t="s">
        <v>6732</v>
      </c>
      <c r="C5131" s="154" t="s">
        <v>1641</v>
      </c>
      <c r="D5131" s="201" t="s">
        <v>1958</v>
      </c>
    </row>
    <row r="5132" spans="2:4">
      <c r="B5132" s="198" t="s">
        <v>6733</v>
      </c>
      <c r="C5132" s="154" t="s">
        <v>149</v>
      </c>
      <c r="D5132" s="201" t="s">
        <v>1956</v>
      </c>
    </row>
    <row r="5133" spans="2:4">
      <c r="B5133" s="198" t="s">
        <v>6734</v>
      </c>
      <c r="C5133" s="154" t="s">
        <v>6747</v>
      </c>
      <c r="D5133" s="201" t="s">
        <v>1958</v>
      </c>
    </row>
    <row r="5134" spans="2:4">
      <c r="B5134" s="198" t="s">
        <v>6735</v>
      </c>
      <c r="C5134" s="154" t="s">
        <v>1519</v>
      </c>
      <c r="D5134" s="201" t="s">
        <v>1951</v>
      </c>
    </row>
    <row r="5135" spans="2:4">
      <c r="B5135" s="198" t="s">
        <v>6745</v>
      </c>
      <c r="C5135" s="154" t="s">
        <v>1631</v>
      </c>
      <c r="D5135" s="201" t="s">
        <v>1951</v>
      </c>
    </row>
    <row r="5136" spans="2:4">
      <c r="B5136" s="198" t="s">
        <v>6746</v>
      </c>
      <c r="C5136" s="154" t="s">
        <v>1511</v>
      </c>
      <c r="D5136" s="201" t="s">
        <v>1951</v>
      </c>
    </row>
    <row r="5137" spans="2:4">
      <c r="B5137" s="198" t="s">
        <v>6738</v>
      </c>
      <c r="C5137" s="154" t="s">
        <v>1522</v>
      </c>
      <c r="D5137" s="201" t="s">
        <v>1953</v>
      </c>
    </row>
    <row r="5138" spans="2:4">
      <c r="B5138" s="198" t="s">
        <v>6742</v>
      </c>
      <c r="C5138" s="154" t="s">
        <v>152</v>
      </c>
      <c r="D5138" s="201" t="s">
        <v>1952</v>
      </c>
    </row>
    <row r="5139" spans="2:4">
      <c r="B5139" s="198" t="s">
        <v>6740</v>
      </c>
      <c r="C5139" s="154" t="s">
        <v>149</v>
      </c>
      <c r="D5139" s="201" t="s">
        <v>1956</v>
      </c>
    </row>
    <row r="5140" spans="2:4">
      <c r="B5140" s="198" t="s">
        <v>6741</v>
      </c>
      <c r="C5140" s="154" t="s">
        <v>152</v>
      </c>
      <c r="D5140" s="201" t="s">
        <v>1952</v>
      </c>
    </row>
    <row r="5141" spans="2:4">
      <c r="B5141" s="198" t="s">
        <v>6736</v>
      </c>
      <c r="C5141" s="154" t="s">
        <v>3175</v>
      </c>
      <c r="D5141" s="201" t="s">
        <v>1955</v>
      </c>
    </row>
    <row r="5142" spans="2:4">
      <c r="B5142" s="198" t="s">
        <v>6737</v>
      </c>
      <c r="C5142" s="154" t="s">
        <v>3315</v>
      </c>
      <c r="D5142" s="201" t="s">
        <v>1954</v>
      </c>
    </row>
    <row r="5143" spans="2:4">
      <c r="B5143" s="198" t="s">
        <v>6739</v>
      </c>
      <c r="C5143" s="154" t="s">
        <v>5903</v>
      </c>
      <c r="D5143" s="201" t="s">
        <v>1951</v>
      </c>
    </row>
    <row r="5144" spans="2:4">
      <c r="B5144" s="198" t="s">
        <v>6743</v>
      </c>
      <c r="C5144" s="154" t="s">
        <v>3138</v>
      </c>
      <c r="D5144" s="201" t="s">
        <v>1956</v>
      </c>
    </row>
    <row r="5145" spans="2:4">
      <c r="B5145" s="198" t="s">
        <v>6744</v>
      </c>
      <c r="C5145" s="154" t="s">
        <v>3598</v>
      </c>
      <c r="D5145" s="201" t="s">
        <v>1951</v>
      </c>
    </row>
    <row r="5146" spans="2:4">
      <c r="B5146" s="198" t="s">
        <v>5259</v>
      </c>
      <c r="C5146" s="154" t="s">
        <v>3138</v>
      </c>
      <c r="D5146" s="201" t="s">
        <v>1956</v>
      </c>
    </row>
    <row r="5147" spans="2:4">
      <c r="B5147" s="198" t="s">
        <v>6749</v>
      </c>
      <c r="C5147" s="154" t="s">
        <v>3138</v>
      </c>
      <c r="D5147" s="201" t="s">
        <v>1956</v>
      </c>
    </row>
    <row r="5148" spans="2:4">
      <c r="B5148" s="198" t="s">
        <v>6750</v>
      </c>
      <c r="C5148" s="154" t="s">
        <v>6755</v>
      </c>
      <c r="D5148" s="201" t="s">
        <v>5662</v>
      </c>
    </row>
    <row r="5149" spans="2:4">
      <c r="B5149" s="198" t="s">
        <v>6751</v>
      </c>
      <c r="C5149" s="154" t="s">
        <v>6756</v>
      </c>
      <c r="D5149" s="201" t="s">
        <v>1951</v>
      </c>
    </row>
    <row r="5150" spans="2:4">
      <c r="B5150" s="198" t="s">
        <v>6752</v>
      </c>
      <c r="C5150" s="154" t="s">
        <v>6757</v>
      </c>
      <c r="D5150" s="201" t="s">
        <v>1956</v>
      </c>
    </row>
    <row r="5151" spans="2:4">
      <c r="B5151" s="198" t="s">
        <v>6753</v>
      </c>
      <c r="C5151" s="154" t="s">
        <v>6758</v>
      </c>
      <c r="D5151" s="201" t="s">
        <v>1951</v>
      </c>
    </row>
    <row r="5152" spans="2:4">
      <c r="B5152" s="198" t="s">
        <v>6754</v>
      </c>
      <c r="C5152" s="154" t="s">
        <v>6759</v>
      </c>
      <c r="D5152" s="201" t="s">
        <v>1956</v>
      </c>
    </row>
    <row r="5153" spans="2:4">
      <c r="B5153" s="198" t="s">
        <v>6760</v>
      </c>
      <c r="C5153" s="154" t="s">
        <v>6761</v>
      </c>
      <c r="D5153" s="201" t="s">
        <v>1956</v>
      </c>
    </row>
    <row r="5154" spans="2:4">
      <c r="B5154" s="198" t="s">
        <v>2820</v>
      </c>
      <c r="C5154" s="154" t="s">
        <v>1566</v>
      </c>
      <c r="D5154" s="201" t="s">
        <v>1951</v>
      </c>
    </row>
    <row r="5155" spans="2:4">
      <c r="B5155" s="198" t="s">
        <v>6762</v>
      </c>
      <c r="C5155" s="154" t="s">
        <v>142</v>
      </c>
      <c r="D5155" s="201" t="s">
        <v>1954</v>
      </c>
    </row>
    <row r="5156" spans="2:4">
      <c r="B5156" s="198" t="s">
        <v>6763</v>
      </c>
      <c r="C5156" s="154" t="s">
        <v>149</v>
      </c>
      <c r="D5156" s="201" t="s">
        <v>1956</v>
      </c>
    </row>
    <row r="5157" spans="2:4">
      <c r="B5157" s="198" t="s">
        <v>6764</v>
      </c>
      <c r="C5157" s="154" t="s">
        <v>1697</v>
      </c>
      <c r="D5157" s="201" t="s">
        <v>1952</v>
      </c>
    </row>
    <row r="5158" spans="2:4">
      <c r="B5158" s="198" t="s">
        <v>6765</v>
      </c>
      <c r="C5158" s="154" t="s">
        <v>149</v>
      </c>
      <c r="D5158" s="201" t="s">
        <v>1956</v>
      </c>
    </row>
    <row r="5159" spans="2:4">
      <c r="B5159" s="198" t="s">
        <v>6766</v>
      </c>
      <c r="C5159" s="154" t="s">
        <v>149</v>
      </c>
      <c r="D5159" s="201" t="s">
        <v>1956</v>
      </c>
    </row>
    <row r="5160" spans="2:4">
      <c r="B5160" s="198" t="s">
        <v>6767</v>
      </c>
      <c r="C5160" s="154" t="s">
        <v>3175</v>
      </c>
      <c r="D5160" s="201" t="s">
        <v>1955</v>
      </c>
    </row>
    <row r="5161" spans="2:4">
      <c r="B5161" s="198" t="s">
        <v>6768</v>
      </c>
      <c r="C5161" s="154" t="s">
        <v>5903</v>
      </c>
      <c r="D5161" s="201" t="s">
        <v>1951</v>
      </c>
    </row>
    <row r="5162" spans="2:4">
      <c r="B5162" s="198" t="s">
        <v>6769</v>
      </c>
      <c r="C5162" s="154" t="s">
        <v>150</v>
      </c>
      <c r="D5162" s="201" t="s">
        <v>1951</v>
      </c>
    </row>
    <row r="5163" spans="2:4">
      <c r="B5163" s="198" t="s">
        <v>6773</v>
      </c>
      <c r="C5163" s="154" t="s">
        <v>6770</v>
      </c>
      <c r="D5163" s="201" t="s">
        <v>5662</v>
      </c>
    </row>
    <row r="5164" spans="2:4">
      <c r="B5164" s="198" t="s">
        <v>6771</v>
      </c>
      <c r="C5164" s="154" t="s">
        <v>6772</v>
      </c>
      <c r="D5164" s="201" t="s">
        <v>5662</v>
      </c>
    </row>
    <row r="5165" spans="2:4">
      <c r="B5165" s="198" t="s">
        <v>6774</v>
      </c>
      <c r="C5165" s="154" t="s">
        <v>6755</v>
      </c>
      <c r="D5165" s="201" t="s">
        <v>5662</v>
      </c>
    </row>
    <row r="5166" spans="2:4">
      <c r="B5166" s="198" t="s">
        <v>6775</v>
      </c>
      <c r="C5166" s="154" t="s">
        <v>6234</v>
      </c>
      <c r="D5166" s="201" t="s">
        <v>5662</v>
      </c>
    </row>
    <row r="5167" spans="2:4">
      <c r="B5167" s="198" t="s">
        <v>6776</v>
      </c>
      <c r="C5167" s="154" t="s">
        <v>6234</v>
      </c>
      <c r="D5167" s="201" t="s">
        <v>5662</v>
      </c>
    </row>
    <row r="5168" spans="2:4">
      <c r="B5168" s="198" t="s">
        <v>5255</v>
      </c>
      <c r="C5168" s="154" t="s">
        <v>1587</v>
      </c>
      <c r="D5168" s="201" t="s">
        <v>1958</v>
      </c>
    </row>
    <row r="5169" spans="2:4">
      <c r="B5169" s="198" t="s">
        <v>6782</v>
      </c>
      <c r="C5169" s="154" t="s">
        <v>152</v>
      </c>
      <c r="D5169" s="201" t="s">
        <v>1952</v>
      </c>
    </row>
    <row r="5170" spans="2:4">
      <c r="B5170" s="198" t="s">
        <v>6778</v>
      </c>
      <c r="C5170" s="154" t="s">
        <v>3175</v>
      </c>
      <c r="D5170" s="201" t="s">
        <v>1955</v>
      </c>
    </row>
    <row r="5171" spans="2:4">
      <c r="B5171" s="198" t="s">
        <v>6779</v>
      </c>
      <c r="C5171" s="154" t="s">
        <v>3138</v>
      </c>
      <c r="D5171" s="201" t="s">
        <v>1956</v>
      </c>
    </row>
    <row r="5172" spans="2:4">
      <c r="B5172" s="198" t="s">
        <v>6780</v>
      </c>
      <c r="C5172" s="154" t="s">
        <v>3138</v>
      </c>
      <c r="D5172" s="201" t="s">
        <v>1956</v>
      </c>
    </row>
    <row r="5173" spans="2:4">
      <c r="B5173" s="198" t="s">
        <v>6781</v>
      </c>
      <c r="C5173" s="154" t="s">
        <v>6784</v>
      </c>
      <c r="D5173" s="201" t="s">
        <v>6237</v>
      </c>
    </row>
    <row r="5174" spans="2:4">
      <c r="B5174" s="198" t="s">
        <v>6777</v>
      </c>
      <c r="C5174" s="154" t="s">
        <v>6611</v>
      </c>
      <c r="D5174" s="201" t="s">
        <v>2216</v>
      </c>
    </row>
    <row r="5175" spans="2:4">
      <c r="B5175" s="198" t="s">
        <v>6783</v>
      </c>
      <c r="C5175" s="154" t="s">
        <v>6370</v>
      </c>
      <c r="D5175" s="201" t="s">
        <v>5662</v>
      </c>
    </row>
    <row r="5176" spans="2:4">
      <c r="B5176" s="198" t="s">
        <v>6785</v>
      </c>
      <c r="C5176" s="154" t="s">
        <v>6787</v>
      </c>
      <c r="D5176" s="201" t="s">
        <v>6237</v>
      </c>
    </row>
    <row r="5177" spans="2:4">
      <c r="B5177" s="198" t="s">
        <v>6786</v>
      </c>
      <c r="C5177" s="154" t="s">
        <v>6788</v>
      </c>
      <c r="D5177" s="201" t="s">
        <v>6237</v>
      </c>
    </row>
    <row r="5178" spans="2:4">
      <c r="B5178" s="198" t="s">
        <v>6789</v>
      </c>
      <c r="C5178" s="154" t="s">
        <v>149</v>
      </c>
      <c r="D5178" s="201" t="s">
        <v>1956</v>
      </c>
    </row>
    <row r="5179" spans="2:4">
      <c r="B5179" s="198" t="s">
        <v>6790</v>
      </c>
      <c r="C5179" s="154" t="s">
        <v>5903</v>
      </c>
      <c r="D5179" s="201" t="s">
        <v>1951</v>
      </c>
    </row>
    <row r="5180" spans="2:4">
      <c r="B5180" s="198" t="s">
        <v>6791</v>
      </c>
      <c r="C5180" s="154" t="s">
        <v>150</v>
      </c>
      <c r="D5180" s="201" t="s">
        <v>1951</v>
      </c>
    </row>
    <row r="5181" spans="2:4">
      <c r="B5181" s="198" t="s">
        <v>6792</v>
      </c>
      <c r="C5181" s="154" t="s">
        <v>149</v>
      </c>
      <c r="D5181" s="201" t="s">
        <v>1956</v>
      </c>
    </row>
    <row r="5182" spans="2:4">
      <c r="B5182" s="198" t="s">
        <v>6793</v>
      </c>
      <c r="C5182" s="154" t="s">
        <v>5903</v>
      </c>
      <c r="D5182" s="201" t="s">
        <v>1951</v>
      </c>
    </row>
    <row r="5183" spans="2:4">
      <c r="B5183" s="198" t="s">
        <v>6794</v>
      </c>
      <c r="C5183" s="154" t="s">
        <v>149</v>
      </c>
      <c r="D5183" s="201" t="s">
        <v>1956</v>
      </c>
    </row>
    <row r="5184" spans="2:4">
      <c r="B5184" s="198" t="s">
        <v>6795</v>
      </c>
      <c r="C5184" s="154" t="s">
        <v>142</v>
      </c>
      <c r="D5184" s="201" t="s">
        <v>1954</v>
      </c>
    </row>
    <row r="5185" spans="2:4">
      <c r="B5185" s="198" t="s">
        <v>6796</v>
      </c>
      <c r="C5185" s="154" t="s">
        <v>149</v>
      </c>
      <c r="D5185" s="201" t="s">
        <v>1956</v>
      </c>
    </row>
    <row r="5186" spans="2:4">
      <c r="B5186" s="198" t="s">
        <v>6797</v>
      </c>
      <c r="C5186" s="154" t="s">
        <v>5903</v>
      </c>
      <c r="D5186" s="201" t="s">
        <v>1951</v>
      </c>
    </row>
    <row r="5187" spans="2:4">
      <c r="B5187" s="198" t="s">
        <v>6798</v>
      </c>
      <c r="C5187" s="154" t="s">
        <v>5903</v>
      </c>
      <c r="D5187" s="201" t="s">
        <v>1951</v>
      </c>
    </row>
    <row r="5188" spans="2:4">
      <c r="B5188" s="198" t="s">
        <v>6799</v>
      </c>
      <c r="C5188" s="154" t="s">
        <v>1587</v>
      </c>
      <c r="D5188" s="201" t="s">
        <v>1958</v>
      </c>
    </row>
    <row r="5189" spans="2:4">
      <c r="B5189" s="198" t="s">
        <v>6800</v>
      </c>
      <c r="C5189" s="154" t="s">
        <v>3175</v>
      </c>
      <c r="D5189" s="201" t="s">
        <v>1955</v>
      </c>
    </row>
    <row r="5190" spans="2:4">
      <c r="B5190" s="198" t="s">
        <v>6801</v>
      </c>
      <c r="C5190" s="154" t="s">
        <v>3175</v>
      </c>
      <c r="D5190" s="201" t="s">
        <v>1955</v>
      </c>
    </row>
    <row r="5191" spans="2:4">
      <c r="B5191" s="198" t="s">
        <v>6802</v>
      </c>
      <c r="C5191" s="154" t="s">
        <v>1587</v>
      </c>
      <c r="D5191" s="201" t="s">
        <v>1958</v>
      </c>
    </row>
    <row r="5192" spans="2:4">
      <c r="B5192" s="198" t="s">
        <v>6803</v>
      </c>
      <c r="C5192" s="154" t="s">
        <v>150</v>
      </c>
      <c r="D5192" s="201" t="s">
        <v>1951</v>
      </c>
    </row>
    <row r="5193" spans="2:4">
      <c r="B5193" s="198" t="s">
        <v>6804</v>
      </c>
      <c r="C5193" s="154" t="s">
        <v>5903</v>
      </c>
      <c r="D5193" s="201" t="s">
        <v>1951</v>
      </c>
    </row>
    <row r="5194" spans="2:4">
      <c r="B5194" s="198" t="s">
        <v>6805</v>
      </c>
      <c r="C5194" s="154" t="s">
        <v>5903</v>
      </c>
      <c r="D5194" s="201" t="s">
        <v>1951</v>
      </c>
    </row>
    <row r="5195" spans="2:4">
      <c r="B5195" s="198" t="s">
        <v>6806</v>
      </c>
      <c r="C5195" s="154" t="s">
        <v>3138</v>
      </c>
      <c r="D5195" s="201" t="s">
        <v>1956</v>
      </c>
    </row>
    <row r="5196" spans="2:4">
      <c r="B5196" s="198" t="s">
        <v>6807</v>
      </c>
      <c r="C5196" s="154" t="s">
        <v>142</v>
      </c>
      <c r="D5196" s="201" t="s">
        <v>1954</v>
      </c>
    </row>
    <row r="5197" spans="2:4">
      <c r="B5197" s="198" t="s">
        <v>6808</v>
      </c>
      <c r="C5197" s="154" t="s">
        <v>1560</v>
      </c>
      <c r="D5197" s="201" t="s">
        <v>1953</v>
      </c>
    </row>
    <row r="5198" spans="2:4">
      <c r="B5198" s="198" t="s">
        <v>6809</v>
      </c>
      <c r="C5198" s="154" t="s">
        <v>142</v>
      </c>
      <c r="D5198" s="201" t="s">
        <v>1954</v>
      </c>
    </row>
    <row r="5199" spans="2:4">
      <c r="B5199" s="198" t="s">
        <v>6810</v>
      </c>
      <c r="C5199" s="154" t="s">
        <v>1560</v>
      </c>
      <c r="D5199" s="201" t="s">
        <v>1953</v>
      </c>
    </row>
    <row r="5200" spans="2:4">
      <c r="B5200" s="198" t="s">
        <v>6811</v>
      </c>
      <c r="C5200" s="154" t="s">
        <v>5903</v>
      </c>
      <c r="D5200" s="201" t="s">
        <v>1951</v>
      </c>
    </row>
    <row r="5201" spans="2:4">
      <c r="B5201" s="198" t="s">
        <v>6812</v>
      </c>
      <c r="C5201" s="154" t="s">
        <v>1560</v>
      </c>
      <c r="D5201" s="201" t="s">
        <v>1953</v>
      </c>
    </row>
    <row r="5202" spans="2:4">
      <c r="B5202" s="198" t="s">
        <v>6813</v>
      </c>
      <c r="C5202" s="154" t="s">
        <v>1560</v>
      </c>
      <c r="D5202" s="201" t="s">
        <v>1953</v>
      </c>
    </row>
    <row r="5203" spans="2:4">
      <c r="B5203" s="198" t="s">
        <v>6814</v>
      </c>
      <c r="C5203" s="154" t="s">
        <v>3279</v>
      </c>
      <c r="D5203" s="201" t="s">
        <v>2216</v>
      </c>
    </row>
    <row r="5204" spans="2:4">
      <c r="B5204" s="198" t="s">
        <v>6815</v>
      </c>
      <c r="C5204" s="154" t="s">
        <v>3081</v>
      </c>
      <c r="D5204" s="201" t="s">
        <v>1957</v>
      </c>
    </row>
    <row r="5205" spans="2:4">
      <c r="B5205" s="198" t="s">
        <v>6816</v>
      </c>
      <c r="C5205" s="154" t="s">
        <v>6818</v>
      </c>
      <c r="D5205" s="201" t="s">
        <v>1959</v>
      </c>
    </row>
    <row r="5206" spans="2:4">
      <c r="B5206" s="198" t="s">
        <v>6817</v>
      </c>
      <c r="C5206" s="154" t="s">
        <v>3279</v>
      </c>
      <c r="D5206" s="201" t="s">
        <v>2216</v>
      </c>
    </row>
    <row r="5207" spans="2:4">
      <c r="B5207" s="198" t="s">
        <v>6819</v>
      </c>
      <c r="C5207" s="154" t="s">
        <v>3081</v>
      </c>
      <c r="D5207" s="201" t="s">
        <v>1957</v>
      </c>
    </row>
    <row r="5208" spans="2:4">
      <c r="B5208" s="198" t="s">
        <v>6820</v>
      </c>
      <c r="C5208" s="154" t="s">
        <v>1644</v>
      </c>
      <c r="D5208" s="201" t="s">
        <v>1959</v>
      </c>
    </row>
    <row r="5209" spans="2:4">
      <c r="B5209" s="198" t="s">
        <v>6821</v>
      </c>
      <c r="C5209" s="154" t="s">
        <v>6822</v>
      </c>
      <c r="D5209" s="201" t="s">
        <v>1959</v>
      </c>
    </row>
    <row r="5210" spans="2:4">
      <c r="B5210" s="198" t="s">
        <v>6823</v>
      </c>
      <c r="C5210" s="154" t="s">
        <v>1884</v>
      </c>
      <c r="D5210" s="201" t="s">
        <v>1956</v>
      </c>
    </row>
    <row r="5211" spans="2:4">
      <c r="B5211" s="198" t="s">
        <v>6824</v>
      </c>
      <c r="C5211" s="154" t="s">
        <v>150</v>
      </c>
      <c r="D5211" s="201" t="s">
        <v>1951</v>
      </c>
    </row>
    <row r="5212" spans="2:4">
      <c r="B5212" s="198" t="s">
        <v>6825</v>
      </c>
      <c r="C5212" s="154" t="s">
        <v>1511</v>
      </c>
      <c r="D5212" s="201" t="s">
        <v>1951</v>
      </c>
    </row>
    <row r="5213" spans="2:4">
      <c r="B5213" s="198" t="s">
        <v>6826</v>
      </c>
      <c r="C5213" s="154" t="s">
        <v>3081</v>
      </c>
      <c r="D5213" s="201" t="s">
        <v>1957</v>
      </c>
    </row>
    <row r="5214" spans="2:4">
      <c r="B5214" s="198" t="s">
        <v>6827</v>
      </c>
      <c r="C5214" s="154" t="s">
        <v>3081</v>
      </c>
      <c r="D5214" s="201" t="s">
        <v>1957</v>
      </c>
    </row>
    <row r="5215" spans="2:4">
      <c r="B5215" s="198" t="s">
        <v>6828</v>
      </c>
      <c r="C5215" s="154" t="s">
        <v>3081</v>
      </c>
      <c r="D5215" s="201" t="s">
        <v>1957</v>
      </c>
    </row>
    <row r="5216" spans="2:4">
      <c r="B5216" s="198" t="s">
        <v>6829</v>
      </c>
      <c r="C5216" s="154" t="s">
        <v>3081</v>
      </c>
      <c r="D5216" s="201" t="s">
        <v>1957</v>
      </c>
    </row>
    <row r="5217" spans="2:4">
      <c r="B5217" s="198" t="s">
        <v>6830</v>
      </c>
      <c r="C5217" s="154" t="s">
        <v>3081</v>
      </c>
      <c r="D5217" s="201" t="s">
        <v>1957</v>
      </c>
    </row>
    <row r="5218" spans="2:4">
      <c r="B5218" s="198" t="s">
        <v>6831</v>
      </c>
      <c r="C5218" s="154" t="s">
        <v>3081</v>
      </c>
      <c r="D5218" s="201" t="s">
        <v>1957</v>
      </c>
    </row>
    <row r="5219" spans="2:4">
      <c r="B5219" s="198" t="s">
        <v>6832</v>
      </c>
      <c r="C5219" s="154" t="s">
        <v>3081</v>
      </c>
      <c r="D5219" s="201" t="s">
        <v>1957</v>
      </c>
    </row>
    <row r="5220" spans="2:4">
      <c r="B5220" s="198" t="s">
        <v>6833</v>
      </c>
      <c r="C5220" s="154" t="s">
        <v>3081</v>
      </c>
      <c r="D5220" s="201" t="s">
        <v>1957</v>
      </c>
    </row>
    <row r="5221" spans="2:4">
      <c r="B5221" s="198" t="s">
        <v>6834</v>
      </c>
      <c r="C5221" s="154" t="s">
        <v>3081</v>
      </c>
      <c r="D5221" s="201" t="s">
        <v>1957</v>
      </c>
    </row>
    <row r="5222" spans="2:4">
      <c r="B5222" s="198" t="s">
        <v>6835</v>
      </c>
      <c r="C5222" s="154" t="s">
        <v>3081</v>
      </c>
      <c r="D5222" s="201" t="s">
        <v>1957</v>
      </c>
    </row>
    <row r="5223" spans="2:4">
      <c r="B5223" s="198" t="s">
        <v>6836</v>
      </c>
      <c r="C5223" s="154" t="s">
        <v>3081</v>
      </c>
      <c r="D5223" s="201" t="s">
        <v>1957</v>
      </c>
    </row>
    <row r="5224" spans="2:4">
      <c r="B5224" s="198"/>
      <c r="C5224" s="154"/>
      <c r="D5224" s="201"/>
    </row>
    <row r="5225" spans="2:4">
      <c r="B5225" s="198" t="s">
        <v>6837</v>
      </c>
      <c r="C5225" s="154" t="s">
        <v>3081</v>
      </c>
      <c r="D5225" s="201" t="s">
        <v>1957</v>
      </c>
    </row>
    <row r="5226" spans="2:4">
      <c r="B5226" s="198" t="s">
        <v>6838</v>
      </c>
      <c r="C5226" s="154" t="s">
        <v>3081</v>
      </c>
      <c r="D5226" s="201" t="s">
        <v>1957</v>
      </c>
    </row>
    <row r="5227" spans="2:4">
      <c r="B5227" s="198" t="s">
        <v>6839</v>
      </c>
      <c r="C5227" s="154" t="s">
        <v>5154</v>
      </c>
      <c r="D5227" s="201" t="s">
        <v>1954</v>
      </c>
    </row>
    <row r="5228" spans="2:4">
      <c r="B5228" s="198" t="s">
        <v>6840</v>
      </c>
      <c r="C5228" s="154" t="s">
        <v>150</v>
      </c>
      <c r="D5228" s="201" t="s">
        <v>1951</v>
      </c>
    </row>
    <row r="5229" spans="2:4">
      <c r="B5229" s="198" t="s">
        <v>6841</v>
      </c>
      <c r="C5229" s="154" t="s">
        <v>1735</v>
      </c>
      <c r="D5229" s="201" t="s">
        <v>1953</v>
      </c>
    </row>
    <row r="5230" spans="2:4">
      <c r="B5230" s="198" t="s">
        <v>6842</v>
      </c>
      <c r="C5230" s="154" t="s">
        <v>1628</v>
      </c>
      <c r="D5230" s="201" t="s">
        <v>1956</v>
      </c>
    </row>
    <row r="5231" spans="2:4">
      <c r="B5231" s="198" t="s">
        <v>6843</v>
      </c>
      <c r="C5231" s="154" t="s">
        <v>3081</v>
      </c>
      <c r="D5231" s="201" t="s">
        <v>1957</v>
      </c>
    </row>
    <row r="5232" spans="2:4">
      <c r="B5232" s="198" t="s">
        <v>6844</v>
      </c>
      <c r="C5232" s="154" t="s">
        <v>5154</v>
      </c>
      <c r="D5232" s="201" t="s">
        <v>1954</v>
      </c>
    </row>
    <row r="5233" spans="2:4">
      <c r="B5233" s="198" t="s">
        <v>6845</v>
      </c>
      <c r="C5233" s="154" t="s">
        <v>150</v>
      </c>
      <c r="D5233" s="201" t="s">
        <v>1951</v>
      </c>
    </row>
    <row r="5234" spans="2:4">
      <c r="B5234" s="198" t="s">
        <v>6846</v>
      </c>
      <c r="C5234" s="154" t="s">
        <v>4211</v>
      </c>
      <c r="D5234" s="201" t="s">
        <v>1951</v>
      </c>
    </row>
    <row r="5235" spans="2:4">
      <c r="B5235" s="198" t="s">
        <v>6847</v>
      </c>
      <c r="C5235" s="154" t="s">
        <v>3203</v>
      </c>
      <c r="D5235" s="201" t="s">
        <v>1953</v>
      </c>
    </row>
    <row r="5236" spans="2:4">
      <c r="B5236" s="198" t="s">
        <v>6848</v>
      </c>
      <c r="C5236" s="154" t="s">
        <v>6137</v>
      </c>
      <c r="D5236" s="201" t="s">
        <v>1953</v>
      </c>
    </row>
    <row r="5237" spans="2:4">
      <c r="B5237" s="198" t="s">
        <v>6849</v>
      </c>
      <c r="C5237" s="154" t="s">
        <v>5713</v>
      </c>
      <c r="D5237" s="201" t="s">
        <v>5662</v>
      </c>
    </row>
    <row r="5238" spans="2:4">
      <c r="B5238" s="198" t="s">
        <v>6850</v>
      </c>
      <c r="C5238" s="154" t="s">
        <v>6851</v>
      </c>
      <c r="D5238" s="201" t="s">
        <v>6237</v>
      </c>
    </row>
    <row r="5239" spans="2:4">
      <c r="B5239" s="198" t="s">
        <v>6852</v>
      </c>
      <c r="C5239" s="154" t="s">
        <v>6858</v>
      </c>
      <c r="D5239" s="201" t="s">
        <v>1956</v>
      </c>
    </row>
    <row r="5240" spans="2:4">
      <c r="B5240" s="198" t="s">
        <v>6853</v>
      </c>
      <c r="C5240" s="154" t="s">
        <v>6859</v>
      </c>
      <c r="D5240" s="201" t="s">
        <v>5662</v>
      </c>
    </row>
    <row r="5241" spans="2:4">
      <c r="B5241" s="198" t="s">
        <v>6854</v>
      </c>
      <c r="C5241" s="154" t="s">
        <v>3315</v>
      </c>
      <c r="D5241" s="201" t="s">
        <v>1954</v>
      </c>
    </row>
    <row r="5242" spans="2:4">
      <c r="B5242" s="198" t="s">
        <v>6855</v>
      </c>
      <c r="C5242" s="154" t="s">
        <v>6758</v>
      </c>
      <c r="D5242" s="201" t="s">
        <v>1951</v>
      </c>
    </row>
    <row r="5243" spans="2:4">
      <c r="B5243" s="198" t="s">
        <v>2402</v>
      </c>
      <c r="C5243" s="154" t="s">
        <v>149</v>
      </c>
      <c r="D5243" s="201" t="s">
        <v>1956</v>
      </c>
    </row>
    <row r="5244" spans="2:4">
      <c r="B5244" s="198" t="s">
        <v>6856</v>
      </c>
      <c r="C5244" s="154" t="s">
        <v>3315</v>
      </c>
      <c r="D5244" s="201" t="s">
        <v>1954</v>
      </c>
    </row>
    <row r="5245" spans="2:4">
      <c r="B5245" s="198" t="s">
        <v>6857</v>
      </c>
      <c r="C5245" s="154" t="s">
        <v>3138</v>
      </c>
      <c r="D5245" s="201" t="s">
        <v>1956</v>
      </c>
    </row>
    <row r="5246" spans="2:4">
      <c r="B5246" s="198" t="s">
        <v>6863</v>
      </c>
      <c r="C5246" s="154" t="s">
        <v>150</v>
      </c>
      <c r="D5246" s="201" t="s">
        <v>1951</v>
      </c>
    </row>
    <row r="5247" spans="2:4">
      <c r="B5247" s="198" t="s">
        <v>6864</v>
      </c>
      <c r="C5247" s="154" t="s">
        <v>1631</v>
      </c>
      <c r="D5247" s="201" t="s">
        <v>1951</v>
      </c>
    </row>
    <row r="5248" spans="2:4">
      <c r="B5248" s="198" t="s">
        <v>6865</v>
      </c>
      <c r="C5248" s="154" t="s">
        <v>6866</v>
      </c>
      <c r="D5248" s="201" t="s">
        <v>1955</v>
      </c>
    </row>
    <row r="5249" spans="2:4">
      <c r="B5249" s="198" t="s">
        <v>6867</v>
      </c>
      <c r="C5249" s="154" t="s">
        <v>5307</v>
      </c>
      <c r="D5249" s="201" t="s">
        <v>1958</v>
      </c>
    </row>
    <row r="5250" spans="2:4">
      <c r="B5250" s="198" t="s">
        <v>6868</v>
      </c>
      <c r="C5250" s="154" t="s">
        <v>6871</v>
      </c>
      <c r="D5250" s="201" t="s">
        <v>1958</v>
      </c>
    </row>
    <row r="5251" spans="2:4">
      <c r="B5251" s="198" t="s">
        <v>6869</v>
      </c>
      <c r="C5251" s="154" t="s">
        <v>3485</v>
      </c>
      <c r="D5251" s="201" t="s">
        <v>1951</v>
      </c>
    </row>
    <row r="5252" spans="2:4">
      <c r="B5252" s="198" t="s">
        <v>6870</v>
      </c>
      <c r="C5252" s="154" t="s">
        <v>6872</v>
      </c>
      <c r="D5252" s="201" t="s">
        <v>5662</v>
      </c>
    </row>
    <row r="5253" spans="2:4">
      <c r="B5253" s="198" t="s">
        <v>5097</v>
      </c>
      <c r="C5253" s="154" t="s">
        <v>3081</v>
      </c>
      <c r="D5253" s="201" t="s">
        <v>1957</v>
      </c>
    </row>
    <row r="5254" spans="2:4">
      <c r="B5254" s="198" t="s">
        <v>6873</v>
      </c>
      <c r="C5254" s="154" t="s">
        <v>6879</v>
      </c>
      <c r="D5254" s="201" t="s">
        <v>1956</v>
      </c>
    </row>
    <row r="5255" spans="2:4">
      <c r="B5255" s="198" t="s">
        <v>6876</v>
      </c>
      <c r="C5255" s="154" t="s">
        <v>1727</v>
      </c>
      <c r="D5255" s="201" t="s">
        <v>1953</v>
      </c>
    </row>
    <row r="5256" spans="2:4">
      <c r="B5256" s="198" t="s">
        <v>6877</v>
      </c>
      <c r="C5256" s="154" t="s">
        <v>1560</v>
      </c>
      <c r="D5256" s="201" t="s">
        <v>1953</v>
      </c>
    </row>
    <row r="5257" spans="2:4">
      <c r="B5257" s="198" t="s">
        <v>6874</v>
      </c>
      <c r="C5257" s="154" t="s">
        <v>151</v>
      </c>
      <c r="D5257" s="201" t="s">
        <v>1954</v>
      </c>
    </row>
    <row r="5258" spans="2:4">
      <c r="B5258" s="198" t="s">
        <v>6875</v>
      </c>
      <c r="C5258" s="154" t="s">
        <v>142</v>
      </c>
      <c r="D5258" s="201" t="s">
        <v>1954</v>
      </c>
    </row>
    <row r="5259" spans="2:4">
      <c r="B5259" s="198" t="s">
        <v>6878</v>
      </c>
      <c r="C5259" s="154" t="s">
        <v>3081</v>
      </c>
      <c r="D5259" s="201" t="s">
        <v>1957</v>
      </c>
    </row>
    <row r="5260" spans="2:4">
      <c r="B5260" s="198" t="s">
        <v>6880</v>
      </c>
      <c r="C5260" s="154" t="s">
        <v>1735</v>
      </c>
      <c r="D5260" s="201" t="s">
        <v>1953</v>
      </c>
    </row>
    <row r="5261" spans="2:4">
      <c r="B5261" s="198" t="s">
        <v>6881</v>
      </c>
      <c r="C5261" s="154" t="s">
        <v>2923</v>
      </c>
      <c r="D5261" s="201" t="s">
        <v>1951</v>
      </c>
    </row>
    <row r="5262" spans="2:4">
      <c r="B5262" s="198" t="s">
        <v>6882</v>
      </c>
      <c r="C5262" s="154" t="s">
        <v>6137</v>
      </c>
      <c r="D5262" s="201" t="s">
        <v>1953</v>
      </c>
    </row>
    <row r="5263" spans="2:4">
      <c r="B5263" s="198" t="s">
        <v>6883</v>
      </c>
      <c r="C5263" s="154" t="s">
        <v>6898</v>
      </c>
      <c r="D5263" s="201" t="s">
        <v>1956</v>
      </c>
    </row>
    <row r="5264" spans="2:4">
      <c r="B5264" s="198" t="s">
        <v>6884</v>
      </c>
      <c r="C5264" s="154" t="s">
        <v>4420</v>
      </c>
      <c r="D5264" s="201" t="s">
        <v>1954</v>
      </c>
    </row>
    <row r="5265" spans="2:4">
      <c r="B5265" s="198" t="s">
        <v>6885</v>
      </c>
      <c r="C5265" s="154" t="s">
        <v>6899</v>
      </c>
      <c r="D5265" s="201" t="s">
        <v>1951</v>
      </c>
    </row>
    <row r="5266" spans="2:4">
      <c r="B5266" s="198" t="s">
        <v>6886</v>
      </c>
      <c r="C5266" s="154" t="s">
        <v>6900</v>
      </c>
      <c r="D5266" s="201" t="s">
        <v>1954</v>
      </c>
    </row>
    <row r="5267" spans="2:4">
      <c r="B5267" s="198" t="s">
        <v>6887</v>
      </c>
      <c r="C5267" s="154" t="s">
        <v>3485</v>
      </c>
      <c r="D5267" s="201" t="s">
        <v>1951</v>
      </c>
    </row>
    <row r="5268" spans="2:4">
      <c r="B5268" s="198" t="s">
        <v>6889</v>
      </c>
      <c r="C5268" s="154" t="s">
        <v>3315</v>
      </c>
      <c r="D5268" s="201" t="s">
        <v>1954</v>
      </c>
    </row>
    <row r="5269" spans="2:4">
      <c r="B5269" s="198" t="s">
        <v>6890</v>
      </c>
      <c r="C5269" s="154" t="s">
        <v>6901</v>
      </c>
      <c r="D5269" s="201" t="s">
        <v>5662</v>
      </c>
    </row>
    <row r="5270" spans="2:4">
      <c r="B5270" s="198" t="s">
        <v>6891</v>
      </c>
      <c r="C5270" s="154" t="s">
        <v>3315</v>
      </c>
      <c r="D5270" s="201" t="s">
        <v>5662</v>
      </c>
    </row>
    <row r="5271" spans="2:4">
      <c r="B5271" s="198" t="s">
        <v>6892</v>
      </c>
      <c r="C5271" s="154" t="s">
        <v>4922</v>
      </c>
      <c r="D5271" s="201" t="s">
        <v>1959</v>
      </c>
    </row>
    <row r="5272" spans="2:4">
      <c r="B5272" s="198" t="s">
        <v>6893</v>
      </c>
      <c r="C5272" s="154" t="s">
        <v>3138</v>
      </c>
      <c r="D5272" s="201" t="s">
        <v>1956</v>
      </c>
    </row>
    <row r="5273" spans="2:4">
      <c r="B5273" s="198" t="s">
        <v>6894</v>
      </c>
      <c r="C5273" s="154" t="s">
        <v>3138</v>
      </c>
      <c r="D5273" s="201" t="s">
        <v>1956</v>
      </c>
    </row>
    <row r="5274" spans="2:4">
      <c r="B5274" s="198" t="s">
        <v>6895</v>
      </c>
      <c r="C5274" s="154" t="s">
        <v>4921</v>
      </c>
      <c r="D5274" s="201" t="s">
        <v>1959</v>
      </c>
    </row>
    <row r="5275" spans="2:4">
      <c r="B5275" s="198" t="s">
        <v>6896</v>
      </c>
      <c r="C5275" s="154" t="s">
        <v>6902</v>
      </c>
      <c r="D5275" s="201" t="s">
        <v>1959</v>
      </c>
    </row>
    <row r="5276" spans="2:4">
      <c r="B5276" s="198" t="s">
        <v>6897</v>
      </c>
      <c r="C5276" s="154" t="s">
        <v>6406</v>
      </c>
      <c r="D5276" s="201" t="s">
        <v>5662</v>
      </c>
    </row>
    <row r="5277" spans="2:4">
      <c r="B5277" s="198" t="s">
        <v>3590</v>
      </c>
      <c r="C5277" s="154" t="s">
        <v>6903</v>
      </c>
      <c r="D5277" s="201" t="s">
        <v>5662</v>
      </c>
    </row>
    <row r="5278" spans="2:4">
      <c r="B5278" s="198" t="s">
        <v>1332</v>
      </c>
      <c r="C5278" s="154" t="s">
        <v>6859</v>
      </c>
      <c r="D5278" s="201" t="s">
        <v>5662</v>
      </c>
    </row>
    <row r="5279" spans="2:4">
      <c r="B5279" s="198" t="s">
        <v>6888</v>
      </c>
      <c r="C5279" s="154" t="s">
        <v>3081</v>
      </c>
      <c r="D5279" s="201" t="s">
        <v>1957</v>
      </c>
    </row>
    <row r="5280" spans="2:4">
      <c r="B5280" s="198" t="s">
        <v>6904</v>
      </c>
      <c r="C5280" s="154" t="s">
        <v>3315</v>
      </c>
      <c r="D5280" s="201" t="s">
        <v>1954</v>
      </c>
    </row>
    <row r="5281" spans="2:4">
      <c r="B5281" s="198" t="s">
        <v>6905</v>
      </c>
      <c r="C5281" s="154" t="s">
        <v>149</v>
      </c>
      <c r="D5281" s="201" t="s">
        <v>1956</v>
      </c>
    </row>
    <row r="5282" spans="2:4">
      <c r="B5282" s="198" t="s">
        <v>6906</v>
      </c>
      <c r="C5282" s="154" t="s">
        <v>6755</v>
      </c>
      <c r="D5282" s="201" t="s">
        <v>5662</v>
      </c>
    </row>
    <row r="5283" spans="2:4">
      <c r="B5283" s="198" t="s">
        <v>6907</v>
      </c>
      <c r="C5283" s="154" t="s">
        <v>6770</v>
      </c>
      <c r="D5283" s="201" t="s">
        <v>5662</v>
      </c>
    </row>
    <row r="5284" spans="2:4">
      <c r="B5284" s="198" t="s">
        <v>6908</v>
      </c>
      <c r="C5284" s="154" t="s">
        <v>3081</v>
      </c>
      <c r="D5284" s="201" t="s">
        <v>1957</v>
      </c>
    </row>
    <row r="5285" spans="2:4">
      <c r="B5285" s="198" t="s">
        <v>6910</v>
      </c>
      <c r="C5285" s="154" t="s">
        <v>3081</v>
      </c>
      <c r="D5285" s="201" t="s">
        <v>1957</v>
      </c>
    </row>
    <row r="5286" spans="2:4">
      <c r="B5286" s="198" t="s">
        <v>6912</v>
      </c>
      <c r="C5286" s="154" t="s">
        <v>4921</v>
      </c>
      <c r="D5286" s="201" t="s">
        <v>1959</v>
      </c>
    </row>
    <row r="5287" spans="2:4">
      <c r="B5287" s="198" t="s">
        <v>6909</v>
      </c>
      <c r="C5287" s="154" t="s">
        <v>6913</v>
      </c>
      <c r="D5287" s="201" t="s">
        <v>1959</v>
      </c>
    </row>
    <row r="5288" spans="2:4">
      <c r="B5288" s="198" t="s">
        <v>6911</v>
      </c>
      <c r="C5288" s="154" t="s">
        <v>6914</v>
      </c>
      <c r="D5288" s="201" t="s">
        <v>1959</v>
      </c>
    </row>
    <row r="5289" spans="2:4">
      <c r="B5289" s="198" t="s">
        <v>6915</v>
      </c>
      <c r="C5289" s="154" t="s">
        <v>1534</v>
      </c>
      <c r="D5289" s="201" t="s">
        <v>1959</v>
      </c>
    </row>
    <row r="5290" spans="2:4">
      <c r="B5290" s="198" t="s">
        <v>6916</v>
      </c>
      <c r="C5290" s="154" t="s">
        <v>1534</v>
      </c>
      <c r="D5290" s="201" t="s">
        <v>1959</v>
      </c>
    </row>
    <row r="5291" spans="2:4">
      <c r="B5291" s="198" t="s">
        <v>6917</v>
      </c>
      <c r="C5291" s="154" t="s">
        <v>6406</v>
      </c>
      <c r="D5291" s="201" t="s">
        <v>5662</v>
      </c>
    </row>
    <row r="5292" spans="2:4">
      <c r="B5292" s="198" t="s">
        <v>6918</v>
      </c>
      <c r="C5292" s="154" t="s">
        <v>6234</v>
      </c>
      <c r="D5292" s="201" t="s">
        <v>5662</v>
      </c>
    </row>
    <row r="5293" spans="2:4">
      <c r="B5293" s="198" t="s">
        <v>6919</v>
      </c>
      <c r="C5293" s="154" t="s">
        <v>149</v>
      </c>
      <c r="D5293" s="201" t="s">
        <v>1956</v>
      </c>
    </row>
    <row r="5294" spans="2:4">
      <c r="B5294" s="198" t="s">
        <v>6920</v>
      </c>
      <c r="C5294" s="154" t="s">
        <v>1519</v>
      </c>
      <c r="D5294" s="201" t="s">
        <v>1951</v>
      </c>
    </row>
    <row r="5295" spans="2:4">
      <c r="B5295" s="198" t="s">
        <v>6921</v>
      </c>
      <c r="C5295" s="154" t="s">
        <v>149</v>
      </c>
      <c r="D5295" s="201" t="s">
        <v>1956</v>
      </c>
    </row>
    <row r="5296" spans="2:4">
      <c r="B5296" s="198" t="s">
        <v>6922</v>
      </c>
      <c r="C5296" s="154" t="s">
        <v>3138</v>
      </c>
      <c r="D5296" s="201" t="s">
        <v>1956</v>
      </c>
    </row>
    <row r="5297" spans="2:4">
      <c r="B5297" s="198" t="s">
        <v>6923</v>
      </c>
      <c r="C5297" s="154" t="s">
        <v>3138</v>
      </c>
      <c r="D5297" s="201" t="s">
        <v>1956</v>
      </c>
    </row>
    <row r="5298" spans="2:4">
      <c r="B5298" s="198" t="s">
        <v>6924</v>
      </c>
      <c r="C5298" s="154" t="s">
        <v>3138</v>
      </c>
      <c r="D5298" s="201" t="s">
        <v>1956</v>
      </c>
    </row>
    <row r="5299" spans="2:4">
      <c r="B5299" s="198" t="s">
        <v>6925</v>
      </c>
      <c r="C5299" s="154" t="s">
        <v>3138</v>
      </c>
      <c r="D5299" s="201" t="s">
        <v>1956</v>
      </c>
    </row>
    <row r="5300" spans="2:4">
      <c r="B5300" s="198" t="s">
        <v>6926</v>
      </c>
      <c r="C5300" s="154" t="s">
        <v>3138</v>
      </c>
      <c r="D5300" s="201" t="s">
        <v>1956</v>
      </c>
    </row>
    <row r="5301" spans="2:4">
      <c r="B5301" s="198" t="s">
        <v>6927</v>
      </c>
      <c r="C5301" s="154" t="s">
        <v>3138</v>
      </c>
      <c r="D5301" s="201" t="s">
        <v>1956</v>
      </c>
    </row>
    <row r="5302" spans="2:4">
      <c r="B5302" s="198" t="s">
        <v>6928</v>
      </c>
      <c r="C5302" s="154" t="s">
        <v>3138</v>
      </c>
      <c r="D5302" s="201" t="s">
        <v>1956</v>
      </c>
    </row>
    <row r="5303" spans="2:4">
      <c r="B5303" s="198" t="s">
        <v>6929</v>
      </c>
      <c r="C5303" s="154" t="s">
        <v>142</v>
      </c>
      <c r="D5303" s="201" t="s">
        <v>1954</v>
      </c>
    </row>
    <row r="5304" spans="2:4">
      <c r="B5304" s="198" t="s">
        <v>6930</v>
      </c>
      <c r="C5304" s="154" t="s">
        <v>1644</v>
      </c>
      <c r="D5304" s="201" t="s">
        <v>1959</v>
      </c>
    </row>
    <row r="5305" spans="2:4">
      <c r="B5305" s="198" t="s">
        <v>6931</v>
      </c>
      <c r="C5305" s="154" t="s">
        <v>1784</v>
      </c>
      <c r="D5305" s="201" t="s">
        <v>1951</v>
      </c>
    </row>
    <row r="5306" spans="2:4">
      <c r="B5306" s="198" t="s">
        <v>6932</v>
      </c>
      <c r="C5306" s="154" t="s">
        <v>150</v>
      </c>
      <c r="D5306" s="201" t="s">
        <v>1951</v>
      </c>
    </row>
    <row r="5307" spans="2:4">
      <c r="B5307" s="198" t="s">
        <v>6933</v>
      </c>
      <c r="C5307" s="154" t="s">
        <v>3485</v>
      </c>
      <c r="D5307" s="201" t="s">
        <v>1951</v>
      </c>
    </row>
    <row r="5308" spans="2:4">
      <c r="B5308" s="198" t="s">
        <v>6934</v>
      </c>
      <c r="C5308" s="154" t="s">
        <v>6938</v>
      </c>
      <c r="D5308" s="201" t="s">
        <v>1958</v>
      </c>
    </row>
    <row r="5309" spans="2:4">
      <c r="B5309" s="198" t="s">
        <v>6935</v>
      </c>
      <c r="C5309" s="154" t="s">
        <v>6939</v>
      </c>
      <c r="D5309" s="201" t="s">
        <v>1954</v>
      </c>
    </row>
    <row r="5310" spans="2:4">
      <c r="B5310" s="198" t="s">
        <v>6936</v>
      </c>
      <c r="C5310" s="154" t="s">
        <v>6940</v>
      </c>
      <c r="D5310" s="201" t="s">
        <v>1959</v>
      </c>
    </row>
    <row r="5311" spans="2:4">
      <c r="B5311" s="198" t="s">
        <v>6937</v>
      </c>
      <c r="C5311" s="154" t="s">
        <v>3154</v>
      </c>
      <c r="D5311" s="201" t="s">
        <v>1958</v>
      </c>
    </row>
    <row r="5312" spans="2:4">
      <c r="B5312" s="198" t="s">
        <v>6941</v>
      </c>
      <c r="C5312" s="154" t="s">
        <v>1567</v>
      </c>
      <c r="D5312" s="201" t="s">
        <v>1953</v>
      </c>
    </row>
    <row r="5313" spans="2:4">
      <c r="B5313" s="198" t="s">
        <v>6942</v>
      </c>
      <c r="C5313" s="154" t="s">
        <v>1660</v>
      </c>
      <c r="D5313" s="201" t="s">
        <v>1951</v>
      </c>
    </row>
    <row r="5314" spans="2:4">
      <c r="B5314" s="198" t="s">
        <v>6943</v>
      </c>
      <c r="C5314" s="154" t="s">
        <v>6899</v>
      </c>
      <c r="D5314" s="201" t="s">
        <v>1951</v>
      </c>
    </row>
    <row r="5315" spans="2:4">
      <c r="B5315" s="198" t="s">
        <v>6944</v>
      </c>
      <c r="C5315" s="154" t="s">
        <v>149</v>
      </c>
      <c r="D5315" s="201" t="s">
        <v>1956</v>
      </c>
    </row>
    <row r="5316" spans="2:4">
      <c r="B5316" s="198" t="s">
        <v>6945</v>
      </c>
      <c r="C5316" s="154" t="s">
        <v>149</v>
      </c>
      <c r="D5316" s="201" t="s">
        <v>1956</v>
      </c>
    </row>
    <row r="5317" spans="2:4">
      <c r="B5317" s="198" t="s">
        <v>6946</v>
      </c>
      <c r="C5317" s="154" t="s">
        <v>4682</v>
      </c>
      <c r="D5317" s="201" t="s">
        <v>1956</v>
      </c>
    </row>
    <row r="5318" spans="2:4">
      <c r="B5318" s="198" t="s">
        <v>6947</v>
      </c>
      <c r="C5318" s="154" t="s">
        <v>6952</v>
      </c>
      <c r="D5318" s="201" t="s">
        <v>1954</v>
      </c>
    </row>
    <row r="5319" spans="2:4">
      <c r="B5319" s="198" t="s">
        <v>6948</v>
      </c>
      <c r="C5319" s="154" t="s">
        <v>3138</v>
      </c>
      <c r="D5319" s="247"/>
    </row>
    <row r="5320" spans="2:4">
      <c r="B5320" s="198" t="s">
        <v>6949</v>
      </c>
      <c r="C5320" s="154" t="s">
        <v>6953</v>
      </c>
      <c r="D5320" s="201" t="s">
        <v>1953</v>
      </c>
    </row>
    <row r="5321" spans="2:4">
      <c r="B5321" s="198" t="s">
        <v>6950</v>
      </c>
      <c r="C5321" s="154" t="s">
        <v>3175</v>
      </c>
      <c r="D5321" s="201" t="s">
        <v>1951</v>
      </c>
    </row>
    <row r="5322" spans="2:4">
      <c r="B5322" s="198" t="s">
        <v>6951</v>
      </c>
      <c r="C5322" s="154" t="s">
        <v>6954</v>
      </c>
      <c r="D5322" s="201" t="s">
        <v>5662</v>
      </c>
    </row>
    <row r="5323" spans="2:4">
      <c r="B5323" s="198" t="s">
        <v>838</v>
      </c>
      <c r="C5323" s="154" t="s">
        <v>5801</v>
      </c>
      <c r="D5323" s="201" t="s">
        <v>5662</v>
      </c>
    </row>
    <row r="5324" spans="2:4">
      <c r="B5324" s="198" t="s">
        <v>5213</v>
      </c>
      <c r="C5324" s="154" t="s">
        <v>6957</v>
      </c>
      <c r="D5324" s="201" t="s">
        <v>5662</v>
      </c>
    </row>
    <row r="5325" spans="2:4">
      <c r="B5325" s="198" t="s">
        <v>5432</v>
      </c>
      <c r="C5325" s="154" t="s">
        <v>6958</v>
      </c>
      <c r="D5325" s="201" t="s">
        <v>5662</v>
      </c>
    </row>
    <row r="5326" spans="2:4">
      <c r="B5326" s="198" t="s">
        <v>6955</v>
      </c>
      <c r="C5326" s="154" t="s">
        <v>5801</v>
      </c>
      <c r="D5326" s="201" t="s">
        <v>5662</v>
      </c>
    </row>
    <row r="5327" spans="2:4">
      <c r="B5327" s="198" t="s">
        <v>6956</v>
      </c>
      <c r="C5327" s="154" t="s">
        <v>6959</v>
      </c>
      <c r="D5327" s="201" t="s">
        <v>5662</v>
      </c>
    </row>
    <row r="5328" spans="2:4">
      <c r="B5328" s="198" t="s">
        <v>6960</v>
      </c>
      <c r="C5328" s="154" t="s">
        <v>6416</v>
      </c>
      <c r="D5328" s="201" t="s">
        <v>5662</v>
      </c>
    </row>
    <row r="5329" spans="2:4">
      <c r="B5329" s="198" t="s">
        <v>6964</v>
      </c>
      <c r="C5329" s="154" t="s">
        <v>3081</v>
      </c>
      <c r="D5329" s="201" t="s">
        <v>1957</v>
      </c>
    </row>
    <row r="5330" spans="2:4">
      <c r="B5330" s="198" t="s">
        <v>6965</v>
      </c>
      <c r="C5330" s="154" t="s">
        <v>1595</v>
      </c>
      <c r="D5330" s="201" t="s">
        <v>1956</v>
      </c>
    </row>
    <row r="5331" spans="2:4">
      <c r="B5331" s="198" t="s">
        <v>6963</v>
      </c>
      <c r="C5331" s="154" t="s">
        <v>149</v>
      </c>
      <c r="D5331" s="201" t="s">
        <v>1956</v>
      </c>
    </row>
    <row r="5332" spans="2:4">
      <c r="B5332" s="198" t="s">
        <v>6961</v>
      </c>
      <c r="C5332" s="154" t="s">
        <v>3175</v>
      </c>
      <c r="D5332" s="201" t="s">
        <v>1955</v>
      </c>
    </row>
    <row r="5333" spans="2:4">
      <c r="B5333" s="198" t="s">
        <v>6962</v>
      </c>
      <c r="C5333" s="154" t="s">
        <v>6967</v>
      </c>
      <c r="D5333" s="201" t="s">
        <v>1953</v>
      </c>
    </row>
    <row r="5334" spans="2:4">
      <c r="B5334" s="198" t="s">
        <v>6966</v>
      </c>
      <c r="C5334" s="154" t="s">
        <v>142</v>
      </c>
      <c r="D5334" s="201" t="s">
        <v>1954</v>
      </c>
    </row>
    <row r="5335" spans="2:4">
      <c r="B5335" s="198" t="s">
        <v>6968</v>
      </c>
      <c r="C5335" s="154" t="s">
        <v>3081</v>
      </c>
      <c r="D5335" s="201" t="s">
        <v>1957</v>
      </c>
    </row>
    <row r="5336" spans="2:4">
      <c r="B5336" s="198" t="s">
        <v>6969</v>
      </c>
      <c r="C5336" s="154" t="s">
        <v>6970</v>
      </c>
      <c r="D5336" s="201" t="s">
        <v>6237</v>
      </c>
    </row>
    <row r="5337" spans="2:4">
      <c r="B5337" s="198" t="s">
        <v>6971</v>
      </c>
      <c r="C5337" s="154" t="s">
        <v>5713</v>
      </c>
      <c r="D5337" s="201" t="s">
        <v>5662</v>
      </c>
    </row>
    <row r="5338" spans="2:4">
      <c r="B5338" s="198" t="s">
        <v>6972</v>
      </c>
      <c r="C5338" s="154" t="s">
        <v>6975</v>
      </c>
      <c r="D5338" s="201" t="s">
        <v>1959</v>
      </c>
    </row>
    <row r="5339" spans="2:4">
      <c r="B5339" s="198" t="s">
        <v>6973</v>
      </c>
      <c r="C5339" s="154" t="s">
        <v>5891</v>
      </c>
      <c r="D5339" s="201" t="s">
        <v>5662</v>
      </c>
    </row>
    <row r="5340" spans="2:4">
      <c r="B5340" s="198" t="s">
        <v>6974</v>
      </c>
      <c r="C5340" s="154" t="s">
        <v>6976</v>
      </c>
      <c r="D5340" s="201" t="s">
        <v>5662</v>
      </c>
    </row>
    <row r="5341" spans="2:4">
      <c r="B5341" s="198" t="s">
        <v>6977</v>
      </c>
      <c r="C5341" s="154" t="s">
        <v>6234</v>
      </c>
      <c r="D5341" s="201" t="s">
        <v>5662</v>
      </c>
    </row>
    <row r="5342" spans="2:4">
      <c r="B5342" s="198" t="s">
        <v>6978</v>
      </c>
      <c r="C5342" s="154" t="s">
        <v>6648</v>
      </c>
      <c r="D5342" s="201" t="s">
        <v>5662</v>
      </c>
    </row>
    <row r="5343" spans="2:4">
      <c r="B5343" s="198" t="s">
        <v>6979</v>
      </c>
      <c r="C5343" s="154" t="s">
        <v>6374</v>
      </c>
      <c r="D5343" s="201" t="s">
        <v>5662</v>
      </c>
    </row>
    <row r="5344" spans="2:4">
      <c r="B5344" s="198" t="s">
        <v>927</v>
      </c>
      <c r="C5344" s="154" t="s">
        <v>6755</v>
      </c>
      <c r="D5344" s="201" t="s">
        <v>5662</v>
      </c>
    </row>
    <row r="5345" spans="2:4">
      <c r="B5345" s="198" t="s">
        <v>3538</v>
      </c>
      <c r="C5345" s="154" t="s">
        <v>5801</v>
      </c>
      <c r="D5345" s="201" t="s">
        <v>5662</v>
      </c>
    </row>
    <row r="5346" spans="2:4">
      <c r="B5346" s="198" t="s">
        <v>4139</v>
      </c>
      <c r="C5346" s="154" t="s">
        <v>6354</v>
      </c>
      <c r="D5346" s="201" t="s">
        <v>5662</v>
      </c>
    </row>
    <row r="5347" spans="2:4">
      <c r="B5347" s="198" t="s">
        <v>6980</v>
      </c>
      <c r="C5347" s="154" t="s">
        <v>6997</v>
      </c>
      <c r="D5347" s="201" t="s">
        <v>5662</v>
      </c>
    </row>
    <row r="5348" spans="2:4">
      <c r="B5348" s="198" t="s">
        <v>6981</v>
      </c>
      <c r="C5348" s="154" t="s">
        <v>6957</v>
      </c>
      <c r="D5348" s="201" t="s">
        <v>5662</v>
      </c>
    </row>
    <row r="5349" spans="2:4">
      <c r="B5349" s="198" t="s">
        <v>6982</v>
      </c>
      <c r="C5349" s="154" t="s">
        <v>5999</v>
      </c>
      <c r="D5349" s="201" t="s">
        <v>5662</v>
      </c>
    </row>
    <row r="5350" spans="2:4">
      <c r="B5350" s="198" t="s">
        <v>6983</v>
      </c>
      <c r="C5350" s="154" t="s">
        <v>5713</v>
      </c>
      <c r="D5350" s="201" t="s">
        <v>5662</v>
      </c>
    </row>
    <row r="5351" spans="2:4">
      <c r="B5351" s="198" t="s">
        <v>6984</v>
      </c>
      <c r="C5351" s="154" t="s">
        <v>6370</v>
      </c>
      <c r="D5351" s="201" t="s">
        <v>5662</v>
      </c>
    </row>
    <row r="5352" spans="2:4">
      <c r="B5352" s="198" t="s">
        <v>6985</v>
      </c>
      <c r="C5352" s="154" t="s">
        <v>6995</v>
      </c>
      <c r="D5352" s="201" t="s">
        <v>5662</v>
      </c>
    </row>
    <row r="5353" spans="2:4">
      <c r="B5353" s="198" t="s">
        <v>5248</v>
      </c>
      <c r="C5353" s="154" t="s">
        <v>3138</v>
      </c>
      <c r="D5353" s="201" t="s">
        <v>1956</v>
      </c>
    </row>
    <row r="5354" spans="2:4">
      <c r="B5354" s="198" t="s">
        <v>6986</v>
      </c>
      <c r="C5354" s="154" t="s">
        <v>6994</v>
      </c>
      <c r="D5354" s="201" t="s">
        <v>1953</v>
      </c>
    </row>
    <row r="5355" spans="2:4">
      <c r="B5355" s="198" t="s">
        <v>6987</v>
      </c>
      <c r="C5355" s="154" t="s">
        <v>6899</v>
      </c>
      <c r="D5355" s="201" t="s">
        <v>1951</v>
      </c>
    </row>
    <row r="5356" spans="2:4">
      <c r="B5356" s="198" t="s">
        <v>6988</v>
      </c>
      <c r="C5356" s="154" t="s">
        <v>3213</v>
      </c>
      <c r="D5356" s="201" t="s">
        <v>1953</v>
      </c>
    </row>
    <row r="5357" spans="2:4">
      <c r="B5357" s="198" t="s">
        <v>6989</v>
      </c>
      <c r="C5357" s="154" t="s">
        <v>3465</v>
      </c>
      <c r="D5357" s="201" t="s">
        <v>1951</v>
      </c>
    </row>
    <row r="5358" spans="2:4">
      <c r="B5358" s="198" t="s">
        <v>6990</v>
      </c>
      <c r="C5358" s="154" t="s">
        <v>3313</v>
      </c>
      <c r="D5358" s="201" t="s">
        <v>1951</v>
      </c>
    </row>
    <row r="5359" spans="2:4">
      <c r="B5359" s="198" t="s">
        <v>6991</v>
      </c>
      <c r="C5359" s="154" t="s">
        <v>6996</v>
      </c>
      <c r="D5359" s="201" t="s">
        <v>5662</v>
      </c>
    </row>
    <row r="5360" spans="2:4">
      <c r="B5360" s="198" t="s">
        <v>6992</v>
      </c>
      <c r="C5360" s="154" t="s">
        <v>5948</v>
      </c>
      <c r="D5360" s="201" t="s">
        <v>5662</v>
      </c>
    </row>
    <row r="5361" spans="2:4">
      <c r="B5361" s="198" t="s">
        <v>6993</v>
      </c>
      <c r="C5361" s="154" t="s">
        <v>6399</v>
      </c>
      <c r="D5361" s="201" t="s">
        <v>1953</v>
      </c>
    </row>
    <row r="5362" spans="2:4">
      <c r="B5362" s="198" t="s">
        <v>6998</v>
      </c>
      <c r="C5362" s="154" t="s">
        <v>6772</v>
      </c>
      <c r="D5362" s="201" t="s">
        <v>5662</v>
      </c>
    </row>
    <row r="5363" spans="2:4">
      <c r="B5363" s="198" t="s">
        <v>841</v>
      </c>
      <c r="C5363" s="154" t="s">
        <v>7001</v>
      </c>
      <c r="D5363" s="201" t="s">
        <v>5662</v>
      </c>
    </row>
    <row r="5364" spans="2:4">
      <c r="B5364" s="198" t="s">
        <v>6999</v>
      </c>
      <c r="C5364" s="154" t="s">
        <v>7002</v>
      </c>
      <c r="D5364" s="201" t="s">
        <v>5662</v>
      </c>
    </row>
    <row r="5365" spans="2:4">
      <c r="B5365" s="198" t="s">
        <v>5684</v>
      </c>
      <c r="C5365" s="154" t="s">
        <v>7003</v>
      </c>
      <c r="D5365" s="201" t="s">
        <v>1959</v>
      </c>
    </row>
    <row r="5366" spans="2:4">
      <c r="B5366" s="198" t="s">
        <v>7000</v>
      </c>
      <c r="C5366" s="154" t="s">
        <v>3465</v>
      </c>
      <c r="D5366" s="201" t="s">
        <v>1951</v>
      </c>
    </row>
    <row r="5367" spans="2:4">
      <c r="B5367" s="198" t="s">
        <v>7004</v>
      </c>
      <c r="C5367" s="154" t="s">
        <v>7009</v>
      </c>
      <c r="D5367" s="201" t="s">
        <v>1959</v>
      </c>
    </row>
    <row r="5368" spans="2:4">
      <c r="B5368" s="198" t="s">
        <v>7005</v>
      </c>
      <c r="C5368" s="154" t="s">
        <v>7010</v>
      </c>
      <c r="D5368" s="201" t="s">
        <v>1951</v>
      </c>
    </row>
    <row r="5369" spans="2:4">
      <c r="B5369" s="198" t="s">
        <v>7006</v>
      </c>
      <c r="C5369" s="154" t="s">
        <v>3465</v>
      </c>
      <c r="D5369" s="201" t="s">
        <v>1951</v>
      </c>
    </row>
    <row r="5370" spans="2:4">
      <c r="B5370" s="198" t="s">
        <v>7007</v>
      </c>
      <c r="C5370" s="154" t="s">
        <v>3446</v>
      </c>
      <c r="D5370" s="201" t="s">
        <v>1955</v>
      </c>
    </row>
    <row r="5371" spans="2:4">
      <c r="B5371" s="198" t="s">
        <v>7008</v>
      </c>
      <c r="C5371" s="154" t="s">
        <v>7011</v>
      </c>
      <c r="D5371" s="201" t="s">
        <v>2220</v>
      </c>
    </row>
    <row r="5372" spans="2:4">
      <c r="B5372" s="198" t="s">
        <v>7012</v>
      </c>
      <c r="C5372" s="154" t="s">
        <v>5815</v>
      </c>
      <c r="D5372" s="201" t="s">
        <v>2216</v>
      </c>
    </row>
    <row r="5373" spans="2:4">
      <c r="B5373" s="198" t="s">
        <v>7013</v>
      </c>
      <c r="C5373" s="154" t="s">
        <v>5399</v>
      </c>
      <c r="D5373" s="201" t="s">
        <v>1956</v>
      </c>
    </row>
    <row r="5374" spans="2:4">
      <c r="B5374" s="198" t="s">
        <v>7014</v>
      </c>
      <c r="C5374" s="154" t="s">
        <v>3465</v>
      </c>
      <c r="D5374" s="201" t="s">
        <v>1951</v>
      </c>
    </row>
    <row r="5375" spans="2:4">
      <c r="B5375" s="198" t="s">
        <v>7015</v>
      </c>
      <c r="C5375" s="154" t="s">
        <v>3138</v>
      </c>
      <c r="D5375" s="201" t="s">
        <v>1956</v>
      </c>
    </row>
    <row r="5376" spans="2:4">
      <c r="B5376" s="198" t="s">
        <v>7016</v>
      </c>
      <c r="C5376" s="154" t="s">
        <v>3465</v>
      </c>
      <c r="D5376" s="201" t="s">
        <v>1951</v>
      </c>
    </row>
    <row r="5377" spans="2:4">
      <c r="B5377" s="198" t="s">
        <v>7017</v>
      </c>
      <c r="C5377" s="154" t="s">
        <v>7023</v>
      </c>
      <c r="D5377" s="201"/>
    </row>
    <row r="5378" spans="2:4">
      <c r="B5378" s="198" t="s">
        <v>7018</v>
      </c>
      <c r="C5378" s="154" t="s">
        <v>7022</v>
      </c>
      <c r="D5378" s="201" t="s">
        <v>1958</v>
      </c>
    </row>
    <row r="5379" spans="2:4">
      <c r="B5379" s="198" t="s">
        <v>7019</v>
      </c>
      <c r="C5379" s="154" t="s">
        <v>1560</v>
      </c>
      <c r="D5379" s="201" t="s">
        <v>1953</v>
      </c>
    </row>
    <row r="5380" spans="2:4">
      <c r="B5380" s="198" t="s">
        <v>7020</v>
      </c>
      <c r="C5380" s="154" t="s">
        <v>7021</v>
      </c>
      <c r="D5380" s="201" t="s">
        <v>6237</v>
      </c>
    </row>
    <row r="5381" spans="2:4">
      <c r="B5381" s="198" t="s">
        <v>7024</v>
      </c>
      <c r="C5381" s="154" t="s">
        <v>3315</v>
      </c>
      <c r="D5381" s="201" t="s">
        <v>1954</v>
      </c>
    </row>
    <row r="5382" spans="2:4">
      <c r="B5382" s="198" t="s">
        <v>7025</v>
      </c>
      <c r="C5382" s="154" t="s">
        <v>3138</v>
      </c>
      <c r="D5382" s="201" t="s">
        <v>1956</v>
      </c>
    </row>
    <row r="5383" spans="2:4">
      <c r="B5383" s="198" t="s">
        <v>7026</v>
      </c>
      <c r="C5383" s="154" t="s">
        <v>6476</v>
      </c>
      <c r="D5383" s="201" t="s">
        <v>5662</v>
      </c>
    </row>
    <row r="5384" spans="2:4">
      <c r="B5384" s="198" t="s">
        <v>7027</v>
      </c>
      <c r="C5384" s="154" t="s">
        <v>7028</v>
      </c>
      <c r="D5384" s="201" t="s">
        <v>1959</v>
      </c>
    </row>
    <row r="5385" spans="2:4">
      <c r="B5385" s="198" t="s">
        <v>7029</v>
      </c>
      <c r="C5385" s="154" t="s">
        <v>3213</v>
      </c>
      <c r="D5385" s="201" t="s">
        <v>1953</v>
      </c>
    </row>
    <row r="5386" spans="2:4">
      <c r="B5386" s="198" t="s">
        <v>7030</v>
      </c>
      <c r="C5386" s="154" t="s">
        <v>3138</v>
      </c>
      <c r="D5386" s="201" t="s">
        <v>1956</v>
      </c>
    </row>
    <row r="5387" spans="2:4">
      <c r="B5387" s="198" t="s">
        <v>7031</v>
      </c>
      <c r="C5387" s="154" t="s">
        <v>3598</v>
      </c>
      <c r="D5387" s="201" t="s">
        <v>1951</v>
      </c>
    </row>
    <row r="5388" spans="2:4">
      <c r="B5388" s="198" t="s">
        <v>7033</v>
      </c>
      <c r="C5388" s="154" t="s">
        <v>7061</v>
      </c>
      <c r="D5388" s="201" t="s">
        <v>5662</v>
      </c>
    </row>
    <row r="5389" spans="2:4">
      <c r="B5389" s="198" t="s">
        <v>7035</v>
      </c>
      <c r="C5389" s="154" t="s">
        <v>7062</v>
      </c>
      <c r="D5389" s="201" t="s">
        <v>1951</v>
      </c>
    </row>
    <row r="5390" spans="2:4">
      <c r="B5390" s="198" t="s">
        <v>7037</v>
      </c>
      <c r="C5390" s="154" t="s">
        <v>6758</v>
      </c>
      <c r="D5390" s="201" t="s">
        <v>1951</v>
      </c>
    </row>
    <row r="5391" spans="2:4">
      <c r="B5391" s="198" t="s">
        <v>7036</v>
      </c>
      <c r="C5391" s="154" t="s">
        <v>7063</v>
      </c>
      <c r="D5391" s="201" t="s">
        <v>1951</v>
      </c>
    </row>
    <row r="5392" spans="2:4">
      <c r="B5392" s="198" t="s">
        <v>7038</v>
      </c>
      <c r="C5392" s="154" t="s">
        <v>7064</v>
      </c>
      <c r="D5392" s="201" t="s">
        <v>5662</v>
      </c>
    </row>
    <row r="5393" spans="2:4">
      <c r="B5393" s="198" t="s">
        <v>7039</v>
      </c>
      <c r="C5393" s="154" t="s">
        <v>7062</v>
      </c>
      <c r="D5393" s="201" t="s">
        <v>1951</v>
      </c>
    </row>
    <row r="5394" spans="2:4">
      <c r="B5394" s="198" t="s">
        <v>7040</v>
      </c>
      <c r="C5394" s="154" t="s">
        <v>3175</v>
      </c>
      <c r="D5394" s="201" t="s">
        <v>1951</v>
      </c>
    </row>
    <row r="5395" spans="2:4">
      <c r="B5395" s="198" t="s">
        <v>7041</v>
      </c>
      <c r="C5395" s="154" t="s">
        <v>7065</v>
      </c>
      <c r="D5395" s="201" t="s">
        <v>5662</v>
      </c>
    </row>
    <row r="5396" spans="2:4">
      <c r="B5396" s="198" t="s">
        <v>7042</v>
      </c>
      <c r="C5396" s="154" t="s">
        <v>7065</v>
      </c>
      <c r="D5396" s="201" t="s">
        <v>5662</v>
      </c>
    </row>
    <row r="5397" spans="2:4">
      <c r="B5397" s="198" t="s">
        <v>7043</v>
      </c>
      <c r="C5397" s="154" t="s">
        <v>7065</v>
      </c>
      <c r="D5397" s="201" t="s">
        <v>5662</v>
      </c>
    </row>
    <row r="5398" spans="2:4">
      <c r="B5398" s="198" t="s">
        <v>7044</v>
      </c>
      <c r="C5398" s="154" t="s">
        <v>6571</v>
      </c>
      <c r="D5398" s="201" t="s">
        <v>5662</v>
      </c>
    </row>
    <row r="5399" spans="2:4">
      <c r="B5399" s="198" t="s">
        <v>7045</v>
      </c>
      <c r="C5399" s="154" t="s">
        <v>7065</v>
      </c>
      <c r="D5399" s="201" t="s">
        <v>5662</v>
      </c>
    </row>
    <row r="5400" spans="2:4">
      <c r="B5400" s="198" t="s">
        <v>7046</v>
      </c>
      <c r="C5400" s="154" t="s">
        <v>6571</v>
      </c>
      <c r="D5400" s="201" t="s">
        <v>5662</v>
      </c>
    </row>
    <row r="5401" spans="2:4">
      <c r="B5401" s="198" t="s">
        <v>7047</v>
      </c>
      <c r="C5401" s="154" t="s">
        <v>7065</v>
      </c>
      <c r="D5401" s="201" t="s">
        <v>5662</v>
      </c>
    </row>
    <row r="5402" spans="2:4">
      <c r="B5402" s="198" t="s">
        <v>7048</v>
      </c>
      <c r="C5402" s="154" t="s">
        <v>6571</v>
      </c>
      <c r="D5402" s="201" t="s">
        <v>5662</v>
      </c>
    </row>
    <row r="5403" spans="2:4">
      <c r="B5403" s="198" t="s">
        <v>7049</v>
      </c>
      <c r="C5403" s="154" t="s">
        <v>7066</v>
      </c>
      <c r="D5403" s="201" t="s">
        <v>5662</v>
      </c>
    </row>
    <row r="5404" spans="2:4">
      <c r="B5404" s="198" t="s">
        <v>7050</v>
      </c>
      <c r="C5404" s="154" t="s">
        <v>7066</v>
      </c>
      <c r="D5404" s="201" t="s">
        <v>5662</v>
      </c>
    </row>
    <row r="5405" spans="2:4">
      <c r="B5405" s="198" t="s">
        <v>7051</v>
      </c>
      <c r="C5405" s="154" t="s">
        <v>7065</v>
      </c>
      <c r="D5405" s="201" t="s">
        <v>5662</v>
      </c>
    </row>
    <row r="5406" spans="2:4">
      <c r="B5406" s="198" t="s">
        <v>7052</v>
      </c>
      <c r="C5406" s="154" t="s">
        <v>7065</v>
      </c>
      <c r="D5406" s="201" t="s">
        <v>5662</v>
      </c>
    </row>
    <row r="5407" spans="2:4">
      <c r="B5407" s="198" t="s">
        <v>7053</v>
      </c>
      <c r="C5407" s="154" t="s">
        <v>7066</v>
      </c>
      <c r="D5407" s="201" t="s">
        <v>5662</v>
      </c>
    </row>
    <row r="5408" spans="2:4">
      <c r="B5408" s="198" t="s">
        <v>7054</v>
      </c>
      <c r="C5408" s="154" t="s">
        <v>7065</v>
      </c>
      <c r="D5408" s="201" t="s">
        <v>5662</v>
      </c>
    </row>
    <row r="5409" spans="2:4">
      <c r="B5409" s="198" t="s">
        <v>7055</v>
      </c>
      <c r="C5409" s="154" t="s">
        <v>7065</v>
      </c>
      <c r="D5409" s="201" t="s">
        <v>5662</v>
      </c>
    </row>
    <row r="5410" spans="2:4">
      <c r="B5410" s="198" t="s">
        <v>7056</v>
      </c>
      <c r="C5410" s="154" t="s">
        <v>7065</v>
      </c>
      <c r="D5410" s="201" t="s">
        <v>5662</v>
      </c>
    </row>
    <row r="5411" spans="2:4">
      <c r="B5411" s="198" t="s">
        <v>7057</v>
      </c>
      <c r="C5411" s="154" t="s">
        <v>7066</v>
      </c>
      <c r="D5411" s="201" t="s">
        <v>5662</v>
      </c>
    </row>
    <row r="5412" spans="2:4">
      <c r="B5412" s="198" t="s">
        <v>7032</v>
      </c>
      <c r="C5412" s="154" t="s">
        <v>5776</v>
      </c>
      <c r="D5412" s="201" t="s">
        <v>2216</v>
      </c>
    </row>
    <row r="5413" spans="2:4">
      <c r="B5413" s="198" t="s">
        <v>7058</v>
      </c>
      <c r="C5413" s="154" t="s">
        <v>5776</v>
      </c>
      <c r="D5413" s="201" t="s">
        <v>2216</v>
      </c>
    </row>
    <row r="5414" spans="2:4">
      <c r="B5414" s="198" t="s">
        <v>7059</v>
      </c>
      <c r="C5414" s="154" t="s">
        <v>7067</v>
      </c>
      <c r="D5414" s="201" t="s">
        <v>1958</v>
      </c>
    </row>
    <row r="5415" spans="2:4">
      <c r="B5415" s="198" t="s">
        <v>7060</v>
      </c>
      <c r="C5415" s="154" t="s">
        <v>7068</v>
      </c>
      <c r="D5415" s="201" t="s">
        <v>5662</v>
      </c>
    </row>
    <row r="5416" spans="2:4">
      <c r="B5416" s="198" t="s">
        <v>7034</v>
      </c>
      <c r="C5416" s="154" t="s">
        <v>3081</v>
      </c>
      <c r="D5416" s="201" t="s">
        <v>1957</v>
      </c>
    </row>
    <row r="5417" spans="2:4">
      <c r="B5417" s="198" t="s">
        <v>7069</v>
      </c>
      <c r="C5417" s="154" t="s">
        <v>7021</v>
      </c>
      <c r="D5417" s="201" t="s">
        <v>6237</v>
      </c>
    </row>
    <row r="5418" spans="2:4">
      <c r="B5418" s="198" t="s">
        <v>7070</v>
      </c>
      <c r="C5418" s="154" t="s">
        <v>7021</v>
      </c>
      <c r="D5418" s="201" t="s">
        <v>6237</v>
      </c>
    </row>
    <row r="5419" spans="2:4">
      <c r="B5419" s="198" t="s">
        <v>7073</v>
      </c>
      <c r="C5419" s="154" t="s">
        <v>3081</v>
      </c>
      <c r="D5419" s="201" t="s">
        <v>1957</v>
      </c>
    </row>
    <row r="5420" spans="2:4">
      <c r="B5420" s="198" t="s">
        <v>7072</v>
      </c>
      <c r="C5420" s="154" t="s">
        <v>5779</v>
      </c>
      <c r="D5420" s="201" t="s">
        <v>1956</v>
      </c>
    </row>
    <row r="5421" spans="2:4">
      <c r="B5421" s="198" t="s">
        <v>7071</v>
      </c>
      <c r="C5421" s="154" t="s">
        <v>3171</v>
      </c>
      <c r="D5421" s="201" t="s">
        <v>2216</v>
      </c>
    </row>
    <row r="5422" spans="2:4">
      <c r="B5422" s="198" t="s">
        <v>7074</v>
      </c>
      <c r="C5422" s="154" t="s">
        <v>5882</v>
      </c>
      <c r="D5422" s="201" t="s">
        <v>1959</v>
      </c>
    </row>
    <row r="5423" spans="2:4">
      <c r="B5423" s="198" t="s">
        <v>7075</v>
      </c>
      <c r="C5423" s="154" t="s">
        <v>1587</v>
      </c>
      <c r="D5423" s="201" t="s">
        <v>1958</v>
      </c>
    </row>
    <row r="5424" spans="2:4">
      <c r="B5424" s="198" t="s">
        <v>7076</v>
      </c>
      <c r="C5424" s="154" t="s">
        <v>1532</v>
      </c>
      <c r="D5424" s="201" t="s">
        <v>1958</v>
      </c>
    </row>
    <row r="5425" spans="2:4">
      <c r="B5425" s="198" t="s">
        <v>7078</v>
      </c>
      <c r="C5425" s="154" t="s">
        <v>1587</v>
      </c>
      <c r="D5425" s="201" t="s">
        <v>1958</v>
      </c>
    </row>
    <row r="5426" spans="2:4">
      <c r="B5426" s="198" t="s">
        <v>7079</v>
      </c>
      <c r="C5426" s="154" t="s">
        <v>149</v>
      </c>
      <c r="D5426" s="201" t="s">
        <v>1956</v>
      </c>
    </row>
    <row r="5427" spans="2:4">
      <c r="B5427" s="198" t="s">
        <v>7080</v>
      </c>
      <c r="C5427" s="154" t="s">
        <v>1587</v>
      </c>
      <c r="D5427" s="201" t="s">
        <v>1958</v>
      </c>
    </row>
    <row r="5428" spans="2:4">
      <c r="B5428" s="198" t="s">
        <v>7081</v>
      </c>
      <c r="C5428" s="154" t="s">
        <v>1623</v>
      </c>
      <c r="D5428" s="201" t="s">
        <v>1958</v>
      </c>
    </row>
    <row r="5429" spans="2:4">
      <c r="B5429" s="198" t="s">
        <v>7082</v>
      </c>
      <c r="C5429" s="154" t="s">
        <v>5154</v>
      </c>
      <c r="D5429" s="201" t="s">
        <v>1954</v>
      </c>
    </row>
    <row r="5430" spans="2:4">
      <c r="B5430" s="198" t="s">
        <v>7083</v>
      </c>
      <c r="C5430" s="154" t="s">
        <v>7084</v>
      </c>
      <c r="D5430" s="201" t="s">
        <v>1955</v>
      </c>
    </row>
    <row r="5431" spans="2:4">
      <c r="B5431" s="198" t="s">
        <v>7077</v>
      </c>
      <c r="C5431" s="154" t="s">
        <v>7077</v>
      </c>
      <c r="D5431" s="201" t="s">
        <v>1958</v>
      </c>
    </row>
    <row r="5432" spans="2:4">
      <c r="B5432" s="198" t="s">
        <v>7088</v>
      </c>
      <c r="C5432" s="154" t="s">
        <v>5713</v>
      </c>
      <c r="D5432" s="201" t="s">
        <v>5662</v>
      </c>
    </row>
    <row r="5433" spans="2:4">
      <c r="B5433" s="198" t="s">
        <v>7143</v>
      </c>
      <c r="C5433" s="154" t="s">
        <v>142</v>
      </c>
      <c r="D5433" s="201" t="s">
        <v>1954</v>
      </c>
    </row>
    <row r="5434" spans="2:4">
      <c r="B5434" s="198" t="s">
        <v>7145</v>
      </c>
      <c r="C5434" s="154" t="s">
        <v>1517</v>
      </c>
      <c r="D5434" s="201" t="s">
        <v>1956</v>
      </c>
    </row>
    <row r="5435" spans="2:4">
      <c r="B5435" s="198" t="s">
        <v>7146</v>
      </c>
      <c r="C5435" s="154" t="s">
        <v>7147</v>
      </c>
      <c r="D5435" s="201" t="s">
        <v>5662</v>
      </c>
    </row>
    <row r="5436" spans="2:4">
      <c r="B5436" s="198" t="s">
        <v>7144</v>
      </c>
      <c r="C5436" s="154" t="s">
        <v>7148</v>
      </c>
      <c r="D5436" s="201" t="s">
        <v>1956</v>
      </c>
    </row>
    <row r="5437" spans="2:4">
      <c r="B5437" s="198" t="s">
        <v>7087</v>
      </c>
      <c r="C5437" s="154" t="s">
        <v>6647</v>
      </c>
      <c r="D5437" s="201" t="s">
        <v>5662</v>
      </c>
    </row>
    <row r="5438" spans="2:4">
      <c r="B5438" s="198" t="s">
        <v>7089</v>
      </c>
      <c r="C5438" s="154" t="s">
        <v>6463</v>
      </c>
      <c r="D5438" s="201" t="s">
        <v>5662</v>
      </c>
    </row>
    <row r="5439" spans="2:4">
      <c r="B5439" s="198" t="s">
        <v>7086</v>
      </c>
      <c r="C5439" s="154" t="s">
        <v>7149</v>
      </c>
      <c r="D5439" s="201" t="s">
        <v>5662</v>
      </c>
    </row>
    <row r="5440" spans="2:4">
      <c r="B5440" s="198" t="s">
        <v>7085</v>
      </c>
      <c r="C5440" s="154" t="s">
        <v>5661</v>
      </c>
      <c r="D5440" s="201" t="s">
        <v>5662</v>
      </c>
    </row>
    <row r="5441" spans="2:4">
      <c r="B5441" s="198" t="s">
        <v>7090</v>
      </c>
      <c r="C5441" s="154" t="s">
        <v>7150</v>
      </c>
      <c r="D5441" s="201" t="s">
        <v>5662</v>
      </c>
    </row>
    <row r="5442" spans="2:4">
      <c r="B5442" s="198" t="s">
        <v>7092</v>
      </c>
      <c r="C5442" s="154" t="s">
        <v>3213</v>
      </c>
      <c r="D5442" s="201" t="s">
        <v>1953</v>
      </c>
    </row>
    <row r="5443" spans="2:4">
      <c r="B5443" s="198" t="s">
        <v>7091</v>
      </c>
      <c r="C5443" s="154" t="s">
        <v>6939</v>
      </c>
      <c r="D5443" s="201" t="s">
        <v>1954</v>
      </c>
    </row>
    <row r="5444" spans="2:4">
      <c r="B5444" s="198" t="s">
        <v>7093</v>
      </c>
      <c r="C5444" s="154" t="s">
        <v>7064</v>
      </c>
      <c r="D5444" s="201" t="s">
        <v>5662</v>
      </c>
    </row>
    <row r="5445" spans="2:4">
      <c r="B5445" s="198" t="s">
        <v>7094</v>
      </c>
      <c r="C5445" s="154" t="s">
        <v>7064</v>
      </c>
      <c r="D5445" s="201" t="s">
        <v>5662</v>
      </c>
    </row>
    <row r="5446" spans="2:4">
      <c r="B5446" s="198" t="s">
        <v>7095</v>
      </c>
      <c r="C5446" s="154" t="s">
        <v>7064</v>
      </c>
      <c r="D5446" s="201" t="s">
        <v>5662</v>
      </c>
    </row>
    <row r="5447" spans="2:4">
      <c r="B5447" s="198" t="s">
        <v>7096</v>
      </c>
      <c r="C5447" s="154" t="s">
        <v>7064</v>
      </c>
      <c r="D5447" s="201" t="s">
        <v>5662</v>
      </c>
    </row>
    <row r="5448" spans="2:4">
      <c r="B5448" s="198" t="s">
        <v>7097</v>
      </c>
      <c r="C5448" s="154" t="s">
        <v>6416</v>
      </c>
      <c r="D5448" s="201" t="s">
        <v>5662</v>
      </c>
    </row>
    <row r="5449" spans="2:4">
      <c r="B5449" s="198" t="s">
        <v>7098</v>
      </c>
      <c r="C5449" s="154" t="s">
        <v>6416</v>
      </c>
      <c r="D5449" s="201" t="s">
        <v>5662</v>
      </c>
    </row>
    <row r="5450" spans="2:4">
      <c r="B5450" s="198" t="s">
        <v>7099</v>
      </c>
      <c r="C5450" s="154" t="s">
        <v>6416</v>
      </c>
      <c r="D5450" s="201" t="s">
        <v>5662</v>
      </c>
    </row>
    <row r="5451" spans="2:4">
      <c r="B5451" s="198" t="s">
        <v>7100</v>
      </c>
      <c r="C5451" s="154" t="s">
        <v>6416</v>
      </c>
      <c r="D5451" s="201" t="s">
        <v>5662</v>
      </c>
    </row>
    <row r="5452" spans="2:4">
      <c r="B5452" s="198" t="s">
        <v>7101</v>
      </c>
      <c r="C5452" s="154" t="s">
        <v>6416</v>
      </c>
      <c r="D5452" s="201" t="s">
        <v>5662</v>
      </c>
    </row>
    <row r="5453" spans="2:4">
      <c r="B5453" s="198" t="s">
        <v>7102</v>
      </c>
      <c r="C5453" s="154" t="s">
        <v>6416</v>
      </c>
      <c r="D5453" s="201" t="s">
        <v>5662</v>
      </c>
    </row>
    <row r="5454" spans="2:4">
      <c r="B5454" s="198" t="s">
        <v>7103</v>
      </c>
      <c r="C5454" s="154" t="s">
        <v>6416</v>
      </c>
      <c r="D5454" s="201" t="s">
        <v>5662</v>
      </c>
    </row>
    <row r="5455" spans="2:4">
      <c r="B5455" s="198" t="s">
        <v>7104</v>
      </c>
      <c r="C5455" s="154" t="s">
        <v>7151</v>
      </c>
      <c r="D5455" s="201" t="s">
        <v>5662</v>
      </c>
    </row>
    <row r="5456" spans="2:4">
      <c r="B5456" s="198" t="s">
        <v>7105</v>
      </c>
      <c r="C5456" s="154" t="s">
        <v>6416</v>
      </c>
      <c r="D5456" s="201" t="s">
        <v>5662</v>
      </c>
    </row>
    <row r="5457" spans="2:4">
      <c r="B5457" s="198" t="s">
        <v>7106</v>
      </c>
      <c r="C5457" s="154" t="s">
        <v>6416</v>
      </c>
      <c r="D5457" s="201" t="s">
        <v>5662</v>
      </c>
    </row>
    <row r="5458" spans="2:4">
      <c r="B5458" s="198" t="s">
        <v>7107</v>
      </c>
      <c r="C5458" s="154" t="s">
        <v>6416</v>
      </c>
      <c r="D5458" s="201" t="s">
        <v>5662</v>
      </c>
    </row>
    <row r="5459" spans="2:4">
      <c r="B5459" s="198" t="s">
        <v>7108</v>
      </c>
      <c r="C5459" s="154" t="s">
        <v>6416</v>
      </c>
      <c r="D5459" s="201" t="s">
        <v>5662</v>
      </c>
    </row>
    <row r="5460" spans="2:4">
      <c r="B5460" s="198" t="s">
        <v>7109</v>
      </c>
      <c r="C5460" s="154" t="s">
        <v>6416</v>
      </c>
      <c r="D5460" s="201" t="s">
        <v>5662</v>
      </c>
    </row>
    <row r="5461" spans="2:4">
      <c r="B5461" s="198" t="s">
        <v>7110</v>
      </c>
      <c r="C5461" s="154" t="s">
        <v>6416</v>
      </c>
      <c r="D5461" s="201" t="s">
        <v>5662</v>
      </c>
    </row>
    <row r="5462" spans="2:4">
      <c r="B5462" s="198" t="s">
        <v>7111</v>
      </c>
      <c r="C5462" s="154" t="s">
        <v>6416</v>
      </c>
      <c r="D5462" s="201" t="s">
        <v>5662</v>
      </c>
    </row>
    <row r="5463" spans="2:4">
      <c r="B5463" s="198" t="s">
        <v>7112</v>
      </c>
      <c r="C5463" s="154" t="s">
        <v>7065</v>
      </c>
      <c r="D5463" s="201" t="s">
        <v>5662</v>
      </c>
    </row>
    <row r="5464" spans="2:4">
      <c r="B5464" s="198" t="s">
        <v>7113</v>
      </c>
      <c r="C5464" s="154" t="s">
        <v>7066</v>
      </c>
      <c r="D5464" s="201" t="s">
        <v>5662</v>
      </c>
    </row>
    <row r="5465" spans="2:4">
      <c r="B5465" s="198" t="s">
        <v>7114</v>
      </c>
      <c r="C5465" s="154" t="s">
        <v>7066</v>
      </c>
      <c r="D5465" s="201" t="s">
        <v>5662</v>
      </c>
    </row>
    <row r="5466" spans="2:4">
      <c r="B5466" s="198" t="s">
        <v>7115</v>
      </c>
      <c r="C5466" s="154" t="s">
        <v>6416</v>
      </c>
      <c r="D5466" s="201" t="s">
        <v>5662</v>
      </c>
    </row>
    <row r="5467" spans="2:4">
      <c r="B5467" s="198" t="s">
        <v>7116</v>
      </c>
      <c r="C5467" s="154" t="s">
        <v>6416</v>
      </c>
      <c r="D5467" s="201" t="s">
        <v>5662</v>
      </c>
    </row>
    <row r="5468" spans="2:4">
      <c r="B5468" s="198" t="s">
        <v>7117</v>
      </c>
      <c r="C5468" s="154" t="s">
        <v>7066</v>
      </c>
      <c r="D5468" s="201" t="s">
        <v>5662</v>
      </c>
    </row>
    <row r="5469" spans="2:4">
      <c r="B5469" s="198" t="s">
        <v>7118</v>
      </c>
      <c r="C5469" s="154" t="s">
        <v>7152</v>
      </c>
      <c r="D5469" s="201" t="s">
        <v>5662</v>
      </c>
    </row>
    <row r="5470" spans="2:4">
      <c r="B5470" s="198" t="s">
        <v>7119</v>
      </c>
      <c r="C5470" s="154" t="s">
        <v>7066</v>
      </c>
      <c r="D5470" s="201" t="s">
        <v>5662</v>
      </c>
    </row>
    <row r="5471" spans="2:4">
      <c r="B5471" s="198" t="s">
        <v>7120</v>
      </c>
      <c r="C5471" s="154" t="s">
        <v>7152</v>
      </c>
      <c r="D5471" s="201" t="s">
        <v>5662</v>
      </c>
    </row>
    <row r="5472" spans="2:4">
      <c r="B5472" s="198" t="s">
        <v>7121</v>
      </c>
      <c r="C5472" s="154" t="s">
        <v>6416</v>
      </c>
      <c r="D5472" s="201" t="s">
        <v>5662</v>
      </c>
    </row>
    <row r="5473" spans="2:4">
      <c r="B5473" s="198" t="s">
        <v>7122</v>
      </c>
      <c r="C5473" s="154" t="s">
        <v>6416</v>
      </c>
      <c r="D5473" s="201" t="s">
        <v>5662</v>
      </c>
    </row>
    <row r="5474" spans="2:4">
      <c r="B5474" s="198" t="s">
        <v>7123</v>
      </c>
      <c r="C5474" s="154" t="s">
        <v>6416</v>
      </c>
      <c r="D5474" s="201" t="s">
        <v>5662</v>
      </c>
    </row>
    <row r="5475" spans="2:4">
      <c r="B5475" s="198" t="s">
        <v>7124</v>
      </c>
      <c r="C5475" s="154" t="s">
        <v>7066</v>
      </c>
      <c r="D5475" s="201" t="s">
        <v>5662</v>
      </c>
    </row>
    <row r="5476" spans="2:4">
      <c r="B5476" s="198" t="s">
        <v>7125</v>
      </c>
      <c r="C5476" s="154" t="s">
        <v>6416</v>
      </c>
      <c r="D5476" s="201" t="s">
        <v>5662</v>
      </c>
    </row>
    <row r="5477" spans="2:4">
      <c r="B5477" s="198" t="s">
        <v>7126</v>
      </c>
      <c r="C5477" s="154" t="s">
        <v>6416</v>
      </c>
      <c r="D5477" s="201" t="s">
        <v>5662</v>
      </c>
    </row>
    <row r="5478" spans="2:4">
      <c r="B5478" s="198" t="s">
        <v>7127</v>
      </c>
      <c r="C5478" s="154" t="s">
        <v>6416</v>
      </c>
      <c r="D5478" s="201" t="s">
        <v>5662</v>
      </c>
    </row>
    <row r="5479" spans="2:4">
      <c r="B5479" s="198" t="s">
        <v>7128</v>
      </c>
      <c r="C5479" s="154" t="s">
        <v>6416</v>
      </c>
      <c r="D5479" s="201" t="s">
        <v>5662</v>
      </c>
    </row>
    <row r="5480" spans="2:4">
      <c r="B5480" s="198" t="s">
        <v>7129</v>
      </c>
      <c r="C5480" s="154" t="s">
        <v>7065</v>
      </c>
      <c r="D5480" s="201" t="s">
        <v>5662</v>
      </c>
    </row>
    <row r="5481" spans="2:4">
      <c r="B5481" s="198" t="s">
        <v>7130</v>
      </c>
      <c r="C5481" s="154" t="s">
        <v>7066</v>
      </c>
      <c r="D5481" s="201" t="s">
        <v>5662</v>
      </c>
    </row>
    <row r="5482" spans="2:4">
      <c r="B5482" s="198" t="s">
        <v>7131</v>
      </c>
      <c r="C5482" s="154" t="s">
        <v>6416</v>
      </c>
      <c r="D5482" s="201" t="s">
        <v>5662</v>
      </c>
    </row>
    <row r="5483" spans="2:4">
      <c r="B5483" s="198" t="s">
        <v>7132</v>
      </c>
      <c r="C5483" s="154" t="s">
        <v>7065</v>
      </c>
      <c r="D5483" s="201" t="s">
        <v>5662</v>
      </c>
    </row>
    <row r="5484" spans="2:4">
      <c r="B5484" s="198" t="s">
        <v>7133</v>
      </c>
      <c r="C5484" s="154" t="s">
        <v>6416</v>
      </c>
      <c r="D5484" s="201" t="s">
        <v>5662</v>
      </c>
    </row>
    <row r="5485" spans="2:4">
      <c r="B5485" s="198" t="s">
        <v>7134</v>
      </c>
      <c r="C5485" s="154" t="s">
        <v>6416</v>
      </c>
      <c r="D5485" s="201" t="s">
        <v>5662</v>
      </c>
    </row>
    <row r="5486" spans="2:4">
      <c r="B5486" s="198" t="s">
        <v>7135</v>
      </c>
      <c r="C5486" s="154" t="s">
        <v>7066</v>
      </c>
      <c r="D5486" s="201" t="s">
        <v>5662</v>
      </c>
    </row>
    <row r="5487" spans="2:4">
      <c r="B5487" s="198" t="s">
        <v>7136</v>
      </c>
      <c r="C5487" s="154" t="s">
        <v>6416</v>
      </c>
      <c r="D5487" s="201" t="s">
        <v>5662</v>
      </c>
    </row>
    <row r="5488" spans="2:4">
      <c r="B5488" s="198" t="s">
        <v>7137</v>
      </c>
      <c r="C5488" s="154" t="s">
        <v>7065</v>
      </c>
      <c r="D5488" s="201" t="s">
        <v>5662</v>
      </c>
    </row>
    <row r="5489" spans="2:4">
      <c r="B5489" s="198" t="s">
        <v>7138</v>
      </c>
      <c r="C5489" s="154" t="s">
        <v>7066</v>
      </c>
      <c r="D5489" s="201" t="s">
        <v>5662</v>
      </c>
    </row>
    <row r="5490" spans="2:4">
      <c r="B5490" s="198" t="s">
        <v>7139</v>
      </c>
      <c r="C5490" s="154" t="s">
        <v>6416</v>
      </c>
      <c r="D5490" s="201" t="s">
        <v>5662</v>
      </c>
    </row>
    <row r="5491" spans="2:4">
      <c r="B5491" s="198" t="s">
        <v>7140</v>
      </c>
      <c r="C5491" s="154" t="s">
        <v>7152</v>
      </c>
      <c r="D5491" s="201" t="s">
        <v>5662</v>
      </c>
    </row>
    <row r="5492" spans="2:4">
      <c r="B5492" s="198" t="s">
        <v>7141</v>
      </c>
      <c r="C5492" s="154" t="s">
        <v>7066</v>
      </c>
      <c r="D5492" s="201" t="s">
        <v>5662</v>
      </c>
    </row>
    <row r="5493" spans="2:4">
      <c r="B5493" s="198" t="s">
        <v>7142</v>
      </c>
      <c r="C5493" s="154" t="s">
        <v>7066</v>
      </c>
      <c r="D5493" s="201" t="s">
        <v>5662</v>
      </c>
    </row>
    <row r="5494" spans="2:4">
      <c r="B5494" s="198" t="s">
        <v>7153</v>
      </c>
      <c r="C5494" s="154" t="s">
        <v>6409</v>
      </c>
      <c r="D5494" s="201" t="s">
        <v>5662</v>
      </c>
    </row>
    <row r="5495" spans="2:4">
      <c r="B5495" s="198" t="s">
        <v>7160</v>
      </c>
      <c r="C5495" s="154" t="s">
        <v>7161</v>
      </c>
      <c r="D5495" s="201" t="s">
        <v>1959</v>
      </c>
    </row>
    <row r="5496" spans="2:4">
      <c r="B5496" s="198" t="s">
        <v>7154</v>
      </c>
      <c r="C5496" s="154" t="s">
        <v>5799</v>
      </c>
      <c r="D5496" s="201" t="s">
        <v>1959</v>
      </c>
    </row>
    <row r="5497" spans="2:4">
      <c r="B5497" s="198" t="s">
        <v>7155</v>
      </c>
      <c r="C5497" s="154" t="s">
        <v>6859</v>
      </c>
      <c r="D5497" s="201" t="s">
        <v>5662</v>
      </c>
    </row>
    <row r="5498" spans="2:4">
      <c r="B5498" s="198" t="s">
        <v>7156</v>
      </c>
      <c r="C5498" s="154" t="s">
        <v>3167</v>
      </c>
      <c r="D5498" s="201" t="s">
        <v>1957</v>
      </c>
    </row>
    <row r="5499" spans="2:4">
      <c r="B5499" s="198" t="s">
        <v>7157</v>
      </c>
      <c r="C5499" s="154" t="s">
        <v>7162</v>
      </c>
      <c r="D5499" s="201" t="s">
        <v>2216</v>
      </c>
    </row>
    <row r="5500" spans="2:4">
      <c r="B5500" s="198" t="s">
        <v>7158</v>
      </c>
      <c r="C5500" s="154" t="s">
        <v>3167</v>
      </c>
      <c r="D5500" s="201" t="s">
        <v>1957</v>
      </c>
    </row>
    <row r="5501" spans="2:4">
      <c r="B5501" s="198" t="s">
        <v>7159</v>
      </c>
      <c r="C5501" s="154" t="s">
        <v>4921</v>
      </c>
      <c r="D5501" s="201" t="s">
        <v>1959</v>
      </c>
    </row>
    <row r="5502" spans="2:4">
      <c r="B5502" s="198" t="s">
        <v>7163</v>
      </c>
      <c r="C5502" s="154" t="s">
        <v>3213</v>
      </c>
      <c r="D5502" s="201" t="s">
        <v>1953</v>
      </c>
    </row>
    <row r="5503" spans="2:4">
      <c r="B5503" s="198" t="s">
        <v>7164</v>
      </c>
      <c r="C5503" s="154" t="s">
        <v>7175</v>
      </c>
      <c r="D5503" s="201" t="s">
        <v>5662</v>
      </c>
    </row>
    <row r="5504" spans="2:4">
      <c r="B5504" s="198" t="s">
        <v>7165</v>
      </c>
      <c r="C5504" s="154" t="s">
        <v>6234</v>
      </c>
      <c r="D5504" s="201" t="s">
        <v>5662</v>
      </c>
    </row>
    <row r="5505" spans="2:4">
      <c r="B5505" s="198" t="s">
        <v>7166</v>
      </c>
      <c r="C5505" s="154" t="s">
        <v>7065</v>
      </c>
      <c r="D5505" s="201" t="s">
        <v>5662</v>
      </c>
    </row>
    <row r="5506" spans="2:4">
      <c r="B5506" s="198" t="s">
        <v>7172</v>
      </c>
      <c r="C5506" s="154" t="s">
        <v>7175</v>
      </c>
      <c r="D5506" s="201" t="s">
        <v>5662</v>
      </c>
    </row>
    <row r="5507" spans="2:4">
      <c r="B5507" s="198" t="s">
        <v>7167</v>
      </c>
      <c r="C5507" s="154" t="s">
        <v>7176</v>
      </c>
      <c r="D5507" s="201" t="s">
        <v>1956</v>
      </c>
    </row>
    <row r="5508" spans="2:4">
      <c r="B5508" s="198" t="s">
        <v>7169</v>
      </c>
      <c r="C5508" s="154" t="s">
        <v>7177</v>
      </c>
      <c r="D5508" s="201" t="s">
        <v>1955</v>
      </c>
    </row>
    <row r="5509" spans="2:4">
      <c r="B5509" s="198" t="s">
        <v>7171</v>
      </c>
      <c r="C5509" s="154" t="s">
        <v>5002</v>
      </c>
      <c r="D5509" s="201" t="s">
        <v>1951</v>
      </c>
    </row>
    <row r="5510" spans="2:4">
      <c r="B5510" s="198" t="s">
        <v>7173</v>
      </c>
      <c r="C5510" s="154" t="s">
        <v>7175</v>
      </c>
      <c r="D5510" s="201" t="s">
        <v>5662</v>
      </c>
    </row>
    <row r="5511" spans="2:4">
      <c r="B5511" s="198" t="s">
        <v>7174</v>
      </c>
      <c r="C5511" s="154" t="s">
        <v>7175</v>
      </c>
      <c r="D5511" s="201" t="s">
        <v>5662</v>
      </c>
    </row>
    <row r="5512" spans="2:4">
      <c r="B5512" s="198" t="s">
        <v>7168</v>
      </c>
      <c r="C5512" s="154" t="s">
        <v>5776</v>
      </c>
      <c r="D5512" s="201" t="s">
        <v>2216</v>
      </c>
    </row>
    <row r="5513" spans="2:4">
      <c r="B5513" s="198" t="s">
        <v>7170</v>
      </c>
      <c r="C5513" s="154" t="s">
        <v>4921</v>
      </c>
      <c r="D5513" s="201" t="s">
        <v>1959</v>
      </c>
    </row>
    <row r="5514" spans="2:4">
      <c r="B5514" s="198" t="s">
        <v>7178</v>
      </c>
      <c r="C5514" s="154" t="s">
        <v>7179</v>
      </c>
      <c r="D5514" s="201" t="s">
        <v>1955</v>
      </c>
    </row>
    <row r="5515" spans="2:4">
      <c r="B5515" s="198" t="s">
        <v>7180</v>
      </c>
      <c r="C5515" s="154" t="s">
        <v>3213</v>
      </c>
      <c r="D5515" s="201" t="s">
        <v>1953</v>
      </c>
    </row>
    <row r="5516" spans="2:4">
      <c r="B5516" s="198" t="s">
        <v>7181</v>
      </c>
      <c r="C5516" s="154" t="s">
        <v>6164</v>
      </c>
      <c r="D5516" s="201" t="s">
        <v>1954</v>
      </c>
    </row>
    <row r="5517" spans="2:4">
      <c r="B5517" s="198" t="s">
        <v>7182</v>
      </c>
      <c r="C5517" s="154" t="s">
        <v>5903</v>
      </c>
      <c r="D5517" s="201" t="s">
        <v>1951</v>
      </c>
    </row>
    <row r="5518" spans="2:4">
      <c r="B5518" s="198" t="s">
        <v>7183</v>
      </c>
      <c r="C5518" s="154" t="s">
        <v>3540</v>
      </c>
      <c r="D5518" s="201" t="s">
        <v>1956</v>
      </c>
    </row>
    <row r="5519" spans="2:4">
      <c r="B5519" s="198" t="s">
        <v>7184</v>
      </c>
      <c r="C5519" s="154" t="s">
        <v>1517</v>
      </c>
      <c r="D5519" s="201" t="s">
        <v>1956</v>
      </c>
    </row>
    <row r="5520" spans="2:4">
      <c r="B5520" s="198" t="s">
        <v>7185</v>
      </c>
      <c r="C5520" s="154" t="s">
        <v>3279</v>
      </c>
      <c r="D5520" s="201" t="s">
        <v>2216</v>
      </c>
    </row>
    <row r="5521" spans="2:4">
      <c r="B5521" s="198" t="s">
        <v>7186</v>
      </c>
      <c r="C5521" s="154" t="s">
        <v>142</v>
      </c>
      <c r="D5521" s="201" t="s">
        <v>1954</v>
      </c>
    </row>
    <row r="5522" spans="2:4">
      <c r="B5522" s="198" t="s">
        <v>7187</v>
      </c>
      <c r="C5522" s="154" t="s">
        <v>3175</v>
      </c>
      <c r="D5522" s="201" t="s">
        <v>1955</v>
      </c>
    </row>
    <row r="5523" spans="2:4">
      <c r="B5523" s="198" t="s">
        <v>7188</v>
      </c>
      <c r="C5523" s="154" t="s">
        <v>7189</v>
      </c>
      <c r="D5523" s="201" t="s">
        <v>1955</v>
      </c>
    </row>
    <row r="5524" spans="2:4">
      <c r="B5524" s="198" t="s">
        <v>7190</v>
      </c>
      <c r="C5524" s="154" t="s">
        <v>7067</v>
      </c>
      <c r="D5524" s="201" t="s">
        <v>1958</v>
      </c>
    </row>
    <row r="5525" spans="2:4">
      <c r="B5525" s="198" t="s">
        <v>7191</v>
      </c>
      <c r="C5525" s="154" t="s">
        <v>3138</v>
      </c>
      <c r="D5525" s="201" t="s">
        <v>1956</v>
      </c>
    </row>
    <row r="5526" spans="2:4">
      <c r="B5526" s="198" t="s">
        <v>7192</v>
      </c>
      <c r="C5526" s="154" t="s">
        <v>7193</v>
      </c>
      <c r="D5526" s="201" t="s">
        <v>5662</v>
      </c>
    </row>
    <row r="5527" spans="2:4">
      <c r="B5527" s="198" t="s">
        <v>7194</v>
      </c>
      <c r="C5527" s="154" t="s">
        <v>3138</v>
      </c>
      <c r="D5527" s="201" t="s">
        <v>1956</v>
      </c>
    </row>
    <row r="5528" spans="2:4">
      <c r="B5528" s="198" t="s">
        <v>7195</v>
      </c>
      <c r="C5528" s="154" t="s">
        <v>6959</v>
      </c>
      <c r="D5528" s="201" t="s">
        <v>5662</v>
      </c>
    </row>
    <row r="5529" spans="2:4">
      <c r="B5529" s="198" t="s">
        <v>7196</v>
      </c>
      <c r="C5529" s="154" t="s">
        <v>7197</v>
      </c>
      <c r="D5529" s="201" t="s">
        <v>5662</v>
      </c>
    </row>
    <row r="5530" spans="2:4">
      <c r="B5530" s="198" t="s">
        <v>7198</v>
      </c>
      <c r="C5530" s="154" t="s">
        <v>3213</v>
      </c>
      <c r="D5530" s="201" t="s">
        <v>1953</v>
      </c>
    </row>
    <row r="5531" spans="2:4">
      <c r="B5531" s="198" t="s">
        <v>7199</v>
      </c>
      <c r="C5531" s="154" t="s">
        <v>3175</v>
      </c>
      <c r="D5531" s="201" t="s">
        <v>1955</v>
      </c>
    </row>
    <row r="5532" spans="2:4">
      <c r="B5532" s="198" t="s">
        <v>7200</v>
      </c>
      <c r="C5532" s="154" t="s">
        <v>3138</v>
      </c>
      <c r="D5532" s="201" t="s">
        <v>1956</v>
      </c>
    </row>
    <row r="5533" spans="2:4">
      <c r="B5533" s="198" t="s">
        <v>7201</v>
      </c>
      <c r="C5533" s="154" t="s">
        <v>7010</v>
      </c>
      <c r="D5533" s="201" t="s">
        <v>1951</v>
      </c>
    </row>
    <row r="5534" spans="2:4">
      <c r="B5534" s="198" t="s">
        <v>7202</v>
      </c>
      <c r="C5534" s="154" t="s">
        <v>3175</v>
      </c>
      <c r="D5534" s="201" t="s">
        <v>1955</v>
      </c>
    </row>
    <row r="5535" spans="2:4">
      <c r="B5535" s="198" t="s">
        <v>7203</v>
      </c>
      <c r="C5535" s="154" t="s">
        <v>3138</v>
      </c>
      <c r="D5535" s="201" t="s">
        <v>1956</v>
      </c>
    </row>
    <row r="5536" spans="2:4">
      <c r="B5536" s="198" t="s">
        <v>7204</v>
      </c>
      <c r="C5536" s="154" t="s">
        <v>7205</v>
      </c>
      <c r="D5536" s="201" t="s">
        <v>1955</v>
      </c>
    </row>
    <row r="5537" spans="2:4">
      <c r="B5537" s="198" t="s">
        <v>7206</v>
      </c>
      <c r="C5537" s="154" t="s">
        <v>3213</v>
      </c>
      <c r="D5537" s="201" t="s">
        <v>1953</v>
      </c>
    </row>
    <row r="5538" spans="2:4">
      <c r="B5538" s="200" t="s">
        <v>7207</v>
      </c>
      <c r="C5538" s="195" t="s">
        <v>3175</v>
      </c>
      <c r="D5538" s="204" t="s">
        <v>1955</v>
      </c>
    </row>
    <row r="5539" spans="2:4">
      <c r="B5539" s="198" t="s">
        <v>7208</v>
      </c>
      <c r="C5539" s="154" t="s">
        <v>6416</v>
      </c>
      <c r="D5539" s="201" t="s">
        <v>5662</v>
      </c>
    </row>
    <row r="5540" spans="2:4">
      <c r="B5540" s="198" t="s">
        <v>7209</v>
      </c>
      <c r="C5540" s="154" t="s">
        <v>7210</v>
      </c>
      <c r="D5540" s="201" t="s">
        <v>1955</v>
      </c>
    </row>
    <row r="5541" spans="2:4">
      <c r="B5541" s="198" t="s">
        <v>7211</v>
      </c>
      <c r="C5541" s="154" t="s">
        <v>3138</v>
      </c>
      <c r="D5541" s="201" t="s">
        <v>1956</v>
      </c>
    </row>
    <row r="5542" spans="2:4">
      <c r="B5542" s="198" t="s">
        <v>7212</v>
      </c>
      <c r="C5542" s="154" t="s">
        <v>3175</v>
      </c>
      <c r="D5542" s="201" t="s">
        <v>1955</v>
      </c>
    </row>
    <row r="5543" spans="2:4">
      <c r="B5543" s="198" t="s">
        <v>7213</v>
      </c>
      <c r="C5543" s="154" t="s">
        <v>5903</v>
      </c>
      <c r="D5543" s="201" t="s">
        <v>1951</v>
      </c>
    </row>
    <row r="5544" spans="2:4">
      <c r="B5544" s="198" t="s">
        <v>7214</v>
      </c>
      <c r="C5544" s="154" t="s">
        <v>3138</v>
      </c>
      <c r="D5544" s="201" t="s">
        <v>1956</v>
      </c>
    </row>
    <row r="5545" spans="2:4">
      <c r="B5545" s="198" t="s">
        <v>7215</v>
      </c>
      <c r="C5545" s="154" t="s">
        <v>5779</v>
      </c>
      <c r="D5545" s="201" t="s">
        <v>1956</v>
      </c>
    </row>
    <row r="5546" spans="2:4">
      <c r="B5546" s="198" t="s">
        <v>7216</v>
      </c>
      <c r="C5546" s="154" t="s">
        <v>7179</v>
      </c>
      <c r="D5546" s="201" t="s">
        <v>1955</v>
      </c>
    </row>
    <row r="5547" spans="2:4">
      <c r="B5547" s="198" t="s">
        <v>7217</v>
      </c>
      <c r="C5547" s="154" t="s">
        <v>3213</v>
      </c>
      <c r="D5547" s="201" t="s">
        <v>1953</v>
      </c>
    </row>
    <row r="5548" spans="2:4">
      <c r="B5548" s="198" t="s">
        <v>7218</v>
      </c>
      <c r="C5548" s="154" t="s">
        <v>3540</v>
      </c>
      <c r="D5548" s="201" t="s">
        <v>1956</v>
      </c>
    </row>
    <row r="5549" spans="2:4">
      <c r="B5549" s="198" t="s">
        <v>7219</v>
      </c>
      <c r="C5549" s="154" t="s">
        <v>7179</v>
      </c>
      <c r="D5549" s="201" t="s">
        <v>1955</v>
      </c>
    </row>
    <row r="5550" spans="2:4">
      <c r="B5550" s="198" t="s">
        <v>7220</v>
      </c>
      <c r="C5550" s="154" t="s">
        <v>3540</v>
      </c>
      <c r="D5550" s="201" t="s">
        <v>1956</v>
      </c>
    </row>
    <row r="5551" spans="2:4">
      <c r="B5551" s="198" t="s">
        <v>7221</v>
      </c>
      <c r="C5551" s="154" t="s">
        <v>3540</v>
      </c>
      <c r="D5551" s="201" t="s">
        <v>1956</v>
      </c>
    </row>
    <row r="5552" spans="2:4">
      <c r="B5552" s="198" t="s">
        <v>7222</v>
      </c>
      <c r="C5552" s="154" t="s">
        <v>3540</v>
      </c>
      <c r="D5552" s="201" t="s">
        <v>1956</v>
      </c>
    </row>
    <row r="5553" spans="2:4">
      <c r="B5553" s="198" t="s">
        <v>7223</v>
      </c>
      <c r="C5553" s="154" t="s">
        <v>7179</v>
      </c>
      <c r="D5553" s="201" t="s">
        <v>1955</v>
      </c>
    </row>
    <row r="5554" spans="2:4">
      <c r="B5554" s="198" t="s">
        <v>7224</v>
      </c>
      <c r="C5554" s="154" t="s">
        <v>3540</v>
      </c>
      <c r="D5554" s="201" t="s">
        <v>1956</v>
      </c>
    </row>
    <row r="5555" spans="2:4">
      <c r="B5555" s="198" t="s">
        <v>7225</v>
      </c>
      <c r="C5555" s="154" t="s">
        <v>3598</v>
      </c>
      <c r="D5555" s="201" t="s">
        <v>1951</v>
      </c>
    </row>
    <row r="5556" spans="2:4">
      <c r="B5556" s="198" t="s">
        <v>7226</v>
      </c>
      <c r="C5556" s="154" t="s">
        <v>3175</v>
      </c>
      <c r="D5556" s="201" t="s">
        <v>1955</v>
      </c>
    </row>
    <row r="5557" spans="2:4">
      <c r="B5557" s="198" t="s">
        <v>7227</v>
      </c>
      <c r="C5557" s="154" t="s">
        <v>3138</v>
      </c>
      <c r="D5557" s="201" t="s">
        <v>1956</v>
      </c>
    </row>
    <row r="5558" spans="2:4">
      <c r="B5558" s="198" t="s">
        <v>7228</v>
      </c>
      <c r="C5558" s="154" t="s">
        <v>7179</v>
      </c>
      <c r="D5558" s="201" t="s">
        <v>1955</v>
      </c>
    </row>
    <row r="5559" spans="2:4">
      <c r="B5559" s="198" t="s">
        <v>7229</v>
      </c>
      <c r="C5559" s="154" t="s">
        <v>3540</v>
      </c>
      <c r="D5559" s="201" t="s">
        <v>1956</v>
      </c>
    </row>
    <row r="5560" spans="2:4">
      <c r="B5560" s="198" t="s">
        <v>7230</v>
      </c>
      <c r="C5560" s="154" t="s">
        <v>3167</v>
      </c>
      <c r="D5560" s="201" t="s">
        <v>1957</v>
      </c>
    </row>
    <row r="5561" spans="2:4">
      <c r="B5561" s="198" t="s">
        <v>7231</v>
      </c>
      <c r="C5561" s="154" t="s">
        <v>1725</v>
      </c>
      <c r="D5561" s="201" t="s">
        <v>1956</v>
      </c>
    </row>
    <row r="5562" spans="2:4">
      <c r="B5562" s="198" t="s">
        <v>7232</v>
      </c>
      <c r="C5562" s="154" t="s">
        <v>3175</v>
      </c>
      <c r="D5562" s="201" t="s">
        <v>1955</v>
      </c>
    </row>
    <row r="5563" spans="2:4">
      <c r="B5563" s="198" t="s">
        <v>7233</v>
      </c>
      <c r="C5563" s="154" t="s">
        <v>3540</v>
      </c>
      <c r="D5563" s="201" t="s">
        <v>1956</v>
      </c>
    </row>
    <row r="5564" spans="2:4">
      <c r="B5564" s="198" t="s">
        <v>7234</v>
      </c>
      <c r="C5564" s="154" t="s">
        <v>3540</v>
      </c>
      <c r="D5564" s="201" t="s">
        <v>1956</v>
      </c>
    </row>
    <row r="5565" spans="2:4">
      <c r="B5565" s="198" t="s">
        <v>7235</v>
      </c>
      <c r="C5565" s="154" t="s">
        <v>7179</v>
      </c>
      <c r="D5565" s="201" t="s">
        <v>1955</v>
      </c>
    </row>
    <row r="5566" spans="2:4">
      <c r="B5566" s="198" t="s">
        <v>7236</v>
      </c>
      <c r="C5566" s="154" t="s">
        <v>7179</v>
      </c>
      <c r="D5566" s="201" t="s">
        <v>1955</v>
      </c>
    </row>
    <row r="5567" spans="2:4">
      <c r="B5567" s="198" t="s">
        <v>7237</v>
      </c>
      <c r="C5567" s="154" t="s">
        <v>5779</v>
      </c>
      <c r="D5567" s="201" t="s">
        <v>1956</v>
      </c>
    </row>
    <row r="5568" spans="2:4">
      <c r="B5568" s="198" t="s">
        <v>7238</v>
      </c>
      <c r="C5568" s="154" t="s">
        <v>7239</v>
      </c>
      <c r="D5568" s="201" t="s">
        <v>5662</v>
      </c>
    </row>
    <row r="5569" spans="2:4">
      <c r="B5569" s="198" t="s">
        <v>7240</v>
      </c>
      <c r="C5569" s="154" t="s">
        <v>3540</v>
      </c>
      <c r="D5569" s="201" t="s">
        <v>1956</v>
      </c>
    </row>
    <row r="5570" spans="2:4">
      <c r="B5570" s="198" t="s">
        <v>7241</v>
      </c>
      <c r="C5570" s="154" t="s">
        <v>3540</v>
      </c>
      <c r="D5570" s="201" t="s">
        <v>1956</v>
      </c>
    </row>
    <row r="5571" spans="2:4">
      <c r="B5571" s="198" t="s">
        <v>7242</v>
      </c>
      <c r="C5571" s="154" t="s">
        <v>3540</v>
      </c>
      <c r="D5571" s="201" t="s">
        <v>1956</v>
      </c>
    </row>
    <row r="5572" spans="2:4">
      <c r="B5572" s="198" t="s">
        <v>7243</v>
      </c>
      <c r="C5572" s="154" t="s">
        <v>5779</v>
      </c>
      <c r="D5572" s="201" t="s">
        <v>1956</v>
      </c>
    </row>
    <row r="5573" spans="2:4">
      <c r="B5573" s="198" t="s">
        <v>7244</v>
      </c>
      <c r="C5573" s="154" t="s">
        <v>7246</v>
      </c>
      <c r="D5573" s="201" t="s">
        <v>1954</v>
      </c>
    </row>
    <row r="5574" spans="2:4">
      <c r="B5574" s="198" t="s">
        <v>7245</v>
      </c>
      <c r="C5574" s="154" t="s">
        <v>3540</v>
      </c>
      <c r="D5574" s="201" t="s">
        <v>1956</v>
      </c>
    </row>
    <row r="5575" spans="2:4">
      <c r="B5575" s="198" t="s">
        <v>7247</v>
      </c>
      <c r="C5575" s="154" t="s">
        <v>1590</v>
      </c>
      <c r="D5575" s="201" t="s">
        <v>1958</v>
      </c>
    </row>
    <row r="5576" spans="2:4">
      <c r="B5576" s="198" t="s">
        <v>7248</v>
      </c>
      <c r="C5576" s="154" t="s">
        <v>1590</v>
      </c>
      <c r="D5576" s="201" t="s">
        <v>1958</v>
      </c>
    </row>
    <row r="5577" spans="2:4">
      <c r="B5577" s="198" t="s">
        <v>7249</v>
      </c>
      <c r="C5577" s="154" t="s">
        <v>1532</v>
      </c>
      <c r="D5577" s="201" t="s">
        <v>1958</v>
      </c>
    </row>
    <row r="5578" spans="2:4">
      <c r="B5578" s="198" t="s">
        <v>7250</v>
      </c>
      <c r="C5578" s="154" t="s">
        <v>1532</v>
      </c>
      <c r="D5578" s="201" t="s">
        <v>1958</v>
      </c>
    </row>
    <row r="5579" spans="2:4">
      <c r="B5579" s="198" t="s">
        <v>7251</v>
      </c>
      <c r="C5579" s="154" t="s">
        <v>1590</v>
      </c>
      <c r="D5579" s="201" t="s">
        <v>1958</v>
      </c>
    </row>
    <row r="5580" spans="2:4">
      <c r="B5580" s="198" t="s">
        <v>7252</v>
      </c>
      <c r="C5580" s="154" t="s">
        <v>1590</v>
      </c>
      <c r="D5580" s="201" t="s">
        <v>1958</v>
      </c>
    </row>
    <row r="5581" spans="2:4">
      <c r="B5581" s="198" t="s">
        <v>7253</v>
      </c>
      <c r="C5581" s="154" t="s">
        <v>7021</v>
      </c>
      <c r="D5581" s="201" t="s">
        <v>6237</v>
      </c>
    </row>
    <row r="5582" spans="2:4">
      <c r="B5582" s="198" t="s">
        <v>7254</v>
      </c>
      <c r="C5582" s="154" t="s">
        <v>1590</v>
      </c>
      <c r="D5582" s="201" t="s">
        <v>1958</v>
      </c>
    </row>
    <row r="5583" spans="2:4">
      <c r="B5583" s="198" t="s">
        <v>7255</v>
      </c>
      <c r="C5583" s="154" t="s">
        <v>3816</v>
      </c>
      <c r="D5583" s="201" t="s">
        <v>1958</v>
      </c>
    </row>
    <row r="5584" spans="2:4">
      <c r="B5584" s="198" t="s">
        <v>7256</v>
      </c>
      <c r="C5584" s="154" t="s">
        <v>3138</v>
      </c>
      <c r="D5584" s="201" t="s">
        <v>1956</v>
      </c>
    </row>
    <row r="5585" spans="2:4">
      <c r="B5585" s="198" t="s">
        <v>7257</v>
      </c>
      <c r="C5585" s="154" t="s">
        <v>3171</v>
      </c>
      <c r="D5585" s="201" t="s">
        <v>2216</v>
      </c>
    </row>
    <row r="5586" spans="2:4">
      <c r="B5586" s="198" t="s">
        <v>7258</v>
      </c>
      <c r="C5586" s="154" t="s">
        <v>4921</v>
      </c>
      <c r="D5586" s="201" t="s">
        <v>1959</v>
      </c>
    </row>
    <row r="5587" spans="2:4">
      <c r="B5587" s="198" t="s">
        <v>7259</v>
      </c>
      <c r="C5587" s="154" t="s">
        <v>3175</v>
      </c>
      <c r="D5587" s="201" t="s">
        <v>1955</v>
      </c>
    </row>
    <row r="5588" spans="2:4">
      <c r="B5588" s="198" t="s">
        <v>7260</v>
      </c>
      <c r="C5588" s="154" t="s">
        <v>7261</v>
      </c>
      <c r="D5588" s="201" t="s">
        <v>1953</v>
      </c>
    </row>
    <row r="5589" spans="2:4">
      <c r="B5589" s="198" t="s">
        <v>7262</v>
      </c>
      <c r="C5589" s="154" t="s">
        <v>3465</v>
      </c>
      <c r="D5589" s="201" t="s">
        <v>1951</v>
      </c>
    </row>
    <row r="5590" spans="2:4">
      <c r="B5590" s="198" t="s">
        <v>7263</v>
      </c>
      <c r="C5590" s="154" t="s">
        <v>142</v>
      </c>
      <c r="D5590" s="201" t="s">
        <v>1954</v>
      </c>
    </row>
    <row r="5591" spans="2:4">
      <c r="B5591" s="198" t="s">
        <v>7264</v>
      </c>
      <c r="C5591" s="154" t="s">
        <v>3167</v>
      </c>
      <c r="D5591" s="201" t="s">
        <v>1957</v>
      </c>
    </row>
    <row r="5592" spans="2:4">
      <c r="B5592" s="198" t="s">
        <v>7265</v>
      </c>
      <c r="C5592" s="154" t="s">
        <v>5882</v>
      </c>
      <c r="D5592" s="201" t="s">
        <v>1959</v>
      </c>
    </row>
    <row r="5593" spans="2:4">
      <c r="B5593" s="198" t="s">
        <v>7266</v>
      </c>
      <c r="C5593" s="154" t="s">
        <v>6164</v>
      </c>
      <c r="D5593" s="201" t="s">
        <v>1954</v>
      </c>
    </row>
    <row r="5594" spans="2:4">
      <c r="B5594" s="198" t="s">
        <v>7267</v>
      </c>
      <c r="C5594" s="154" t="s">
        <v>3213</v>
      </c>
      <c r="D5594" s="201" t="s">
        <v>1953</v>
      </c>
    </row>
    <row r="5595" spans="2:4">
      <c r="B5595" s="198" t="s">
        <v>7268</v>
      </c>
      <c r="C5595" s="154" t="s">
        <v>3540</v>
      </c>
      <c r="D5595" s="201" t="s">
        <v>1956</v>
      </c>
    </row>
    <row r="5596" spans="2:4">
      <c r="B5596" s="244" t="s">
        <v>7269</v>
      </c>
      <c r="C5596" s="245" t="s">
        <v>5903</v>
      </c>
      <c r="D5596" s="246" t="s">
        <v>1951</v>
      </c>
    </row>
    <row r="5597" spans="2:4">
      <c r="B5597" s="198" t="s">
        <v>7270</v>
      </c>
      <c r="C5597" s="154" t="s">
        <v>7348</v>
      </c>
      <c r="D5597" s="201" t="s">
        <v>5662</v>
      </c>
    </row>
    <row r="5598" spans="2:4">
      <c r="B5598" s="198" t="s">
        <v>7271</v>
      </c>
      <c r="C5598" s="154" t="s">
        <v>7349</v>
      </c>
      <c r="D5598" s="201" t="s">
        <v>1959</v>
      </c>
    </row>
    <row r="5599" spans="2:4">
      <c r="B5599" s="198" t="s">
        <v>7272</v>
      </c>
      <c r="C5599" s="154" t="s">
        <v>7152</v>
      </c>
      <c r="D5599" s="201" t="s">
        <v>5662</v>
      </c>
    </row>
    <row r="5600" spans="2:4">
      <c r="B5600" s="198" t="s">
        <v>7273</v>
      </c>
      <c r="C5600" s="154" t="s">
        <v>7348</v>
      </c>
      <c r="D5600" s="201" t="s">
        <v>5662</v>
      </c>
    </row>
    <row r="5601" spans="2:4">
      <c r="B5601" s="198" t="s">
        <v>7274</v>
      </c>
      <c r="C5601" s="154" t="s">
        <v>149</v>
      </c>
      <c r="D5601" s="201" t="s">
        <v>1956</v>
      </c>
    </row>
    <row r="5602" spans="2:4">
      <c r="B5602" s="198" t="s">
        <v>7275</v>
      </c>
      <c r="C5602" s="154" t="s">
        <v>7348</v>
      </c>
      <c r="D5602" s="201" t="s">
        <v>5662</v>
      </c>
    </row>
    <row r="5603" spans="2:4">
      <c r="B5603" s="198" t="s">
        <v>7276</v>
      </c>
      <c r="C5603" s="154" t="s">
        <v>6356</v>
      </c>
      <c r="D5603" s="201" t="s">
        <v>5662</v>
      </c>
    </row>
    <row r="5604" spans="2:4">
      <c r="B5604" s="198" t="s">
        <v>7277</v>
      </c>
      <c r="C5604" s="154" t="s">
        <v>149</v>
      </c>
      <c r="D5604" s="201" t="s">
        <v>1956</v>
      </c>
    </row>
    <row r="5605" spans="2:4">
      <c r="B5605" s="198" t="s">
        <v>7278</v>
      </c>
      <c r="C5605" s="154" t="s">
        <v>1641</v>
      </c>
      <c r="D5605" s="201" t="s">
        <v>1958</v>
      </c>
    </row>
    <row r="5606" spans="2:4">
      <c r="B5606" s="198" t="s">
        <v>7279</v>
      </c>
      <c r="C5606" s="154" t="s">
        <v>6356</v>
      </c>
      <c r="D5606" s="201" t="s">
        <v>5662</v>
      </c>
    </row>
    <row r="5607" spans="2:4">
      <c r="B5607" s="198" t="s">
        <v>7280</v>
      </c>
      <c r="C5607" s="154" t="s">
        <v>7350</v>
      </c>
      <c r="D5607" s="201" t="s">
        <v>5662</v>
      </c>
    </row>
    <row r="5608" spans="2:4">
      <c r="B5608" s="198" t="s">
        <v>7281</v>
      </c>
      <c r="C5608" s="154" t="s">
        <v>3357</v>
      </c>
      <c r="D5608" s="201" t="s">
        <v>1951</v>
      </c>
    </row>
    <row r="5609" spans="2:4">
      <c r="B5609" s="198" t="s">
        <v>7282</v>
      </c>
      <c r="C5609" s="154" t="s">
        <v>7151</v>
      </c>
      <c r="D5609" s="201" t="s">
        <v>5662</v>
      </c>
    </row>
    <row r="5610" spans="2:4">
      <c r="B5610" s="198" t="s">
        <v>7283</v>
      </c>
      <c r="C5610" s="154" t="s">
        <v>7151</v>
      </c>
      <c r="D5610" s="201" t="s">
        <v>5662</v>
      </c>
    </row>
    <row r="5611" spans="2:4">
      <c r="B5611" s="198" t="s">
        <v>7284</v>
      </c>
      <c r="C5611" s="154" t="s">
        <v>7348</v>
      </c>
      <c r="D5611" s="201" t="s">
        <v>5662</v>
      </c>
    </row>
    <row r="5612" spans="2:4">
      <c r="B5612" s="198" t="s">
        <v>7285</v>
      </c>
      <c r="C5612" s="154" t="s">
        <v>7152</v>
      </c>
      <c r="D5612" s="201" t="s">
        <v>5662</v>
      </c>
    </row>
    <row r="5613" spans="2:4">
      <c r="B5613" s="198" t="s">
        <v>7286</v>
      </c>
      <c r="C5613" s="154" t="s">
        <v>7348</v>
      </c>
      <c r="D5613" s="201" t="s">
        <v>5662</v>
      </c>
    </row>
    <row r="5614" spans="2:4">
      <c r="B5614" s="198" t="s">
        <v>7287</v>
      </c>
      <c r="C5614" s="154" t="s">
        <v>7348</v>
      </c>
      <c r="D5614" s="201" t="s">
        <v>5662</v>
      </c>
    </row>
    <row r="5615" spans="2:4">
      <c r="B5615" s="198" t="s">
        <v>7288</v>
      </c>
      <c r="C5615" s="154" t="s">
        <v>3357</v>
      </c>
      <c r="D5615" s="201" t="s">
        <v>1951</v>
      </c>
    </row>
    <row r="5616" spans="2:4">
      <c r="B5616" s="198" t="s">
        <v>7289</v>
      </c>
      <c r="C5616" s="154" t="s">
        <v>1644</v>
      </c>
      <c r="D5616" s="201" t="s">
        <v>1959</v>
      </c>
    </row>
    <row r="5617" spans="2:4">
      <c r="B5617" s="198" t="s">
        <v>7290</v>
      </c>
      <c r="C5617" s="154" t="s">
        <v>1560</v>
      </c>
      <c r="D5617" s="201" t="s">
        <v>1953</v>
      </c>
    </row>
    <row r="5618" spans="2:4" s="4" customFormat="1">
      <c r="B5618" s="240" t="s">
        <v>7291</v>
      </c>
      <c r="C5618" s="241" t="s">
        <v>7348</v>
      </c>
      <c r="D5618" s="242" t="s">
        <v>5662</v>
      </c>
    </row>
    <row r="5619" spans="2:4">
      <c r="B5619" s="198" t="s">
        <v>7292</v>
      </c>
      <c r="C5619" s="154" t="s">
        <v>150</v>
      </c>
      <c r="D5619" s="201" t="s">
        <v>1951</v>
      </c>
    </row>
    <row r="5620" spans="2:4">
      <c r="B5620" s="198" t="s">
        <v>7293</v>
      </c>
      <c r="C5620" s="241" t="s">
        <v>7348</v>
      </c>
      <c r="D5620" s="242" t="s">
        <v>5662</v>
      </c>
    </row>
    <row r="5621" spans="2:4">
      <c r="B5621" s="198" t="s">
        <v>7294</v>
      </c>
      <c r="C5621" s="154" t="s">
        <v>1581</v>
      </c>
      <c r="D5621" s="201" t="s">
        <v>1955</v>
      </c>
    </row>
    <row r="5622" spans="2:4">
      <c r="B5622" s="198" t="s">
        <v>7295</v>
      </c>
      <c r="C5622" s="154" t="s">
        <v>1738</v>
      </c>
      <c r="D5622" s="201" t="s">
        <v>1956</v>
      </c>
    </row>
    <row r="5623" spans="2:4">
      <c r="B5623" s="198" t="s">
        <v>7296</v>
      </c>
      <c r="C5623" s="154" t="s">
        <v>142</v>
      </c>
      <c r="D5623" s="201" t="s">
        <v>1954</v>
      </c>
    </row>
    <row r="5624" spans="2:4">
      <c r="B5624" s="198" t="s">
        <v>7297</v>
      </c>
      <c r="C5624" s="154" t="s">
        <v>1574</v>
      </c>
      <c r="D5624" s="201" t="s">
        <v>1959</v>
      </c>
    </row>
    <row r="5625" spans="2:4">
      <c r="B5625" s="198" t="s">
        <v>7298</v>
      </c>
      <c r="C5625" s="154" t="s">
        <v>3854</v>
      </c>
      <c r="D5625" s="201" t="s">
        <v>1955</v>
      </c>
    </row>
    <row r="5626" spans="2:4">
      <c r="B5626" s="198" t="s">
        <v>7299</v>
      </c>
      <c r="C5626" s="154" t="s">
        <v>7351</v>
      </c>
      <c r="D5626" s="201" t="s">
        <v>1951</v>
      </c>
    </row>
    <row r="5627" spans="2:4">
      <c r="B5627" s="198" t="s">
        <v>7300</v>
      </c>
      <c r="C5627" s="154" t="s">
        <v>7348</v>
      </c>
      <c r="D5627" s="201" t="s">
        <v>5662</v>
      </c>
    </row>
    <row r="5628" spans="2:4">
      <c r="B5628" s="198" t="s">
        <v>7301</v>
      </c>
      <c r="C5628" s="154" t="s">
        <v>7348</v>
      </c>
      <c r="D5628" s="201" t="s">
        <v>5662</v>
      </c>
    </row>
    <row r="5629" spans="2:4">
      <c r="B5629" s="198" t="s">
        <v>7302</v>
      </c>
      <c r="C5629" s="154" t="s">
        <v>7348</v>
      </c>
      <c r="D5629" s="201" t="s">
        <v>5662</v>
      </c>
    </row>
    <row r="5630" spans="2:4">
      <c r="B5630" s="198" t="s">
        <v>7303</v>
      </c>
      <c r="C5630" s="154" t="s">
        <v>3450</v>
      </c>
      <c r="D5630" s="201" t="s">
        <v>1959</v>
      </c>
    </row>
    <row r="5631" spans="2:4">
      <c r="B5631" s="198" t="s">
        <v>7304</v>
      </c>
      <c r="C5631" s="154" t="s">
        <v>6356</v>
      </c>
      <c r="D5631" s="201" t="s">
        <v>5662</v>
      </c>
    </row>
    <row r="5632" spans="2:4">
      <c r="B5632" s="198" t="s">
        <v>7305</v>
      </c>
      <c r="C5632" s="154" t="s">
        <v>7152</v>
      </c>
      <c r="D5632" s="201" t="s">
        <v>5662</v>
      </c>
    </row>
    <row r="5633" spans="2:4">
      <c r="B5633" s="198" t="s">
        <v>7306</v>
      </c>
      <c r="C5633" s="154" t="s">
        <v>7348</v>
      </c>
      <c r="D5633" s="201" t="s">
        <v>5662</v>
      </c>
    </row>
    <row r="5634" spans="2:4">
      <c r="B5634" s="198" t="s">
        <v>7307</v>
      </c>
      <c r="C5634" s="154" t="s">
        <v>7348</v>
      </c>
      <c r="D5634" s="201" t="s">
        <v>5662</v>
      </c>
    </row>
    <row r="5635" spans="2:4">
      <c r="B5635" s="198" t="s">
        <v>7308</v>
      </c>
      <c r="C5635" s="154" t="s">
        <v>1560</v>
      </c>
      <c r="D5635" s="201" t="s">
        <v>1953</v>
      </c>
    </row>
    <row r="5636" spans="2:4">
      <c r="B5636" s="198" t="s">
        <v>7309</v>
      </c>
      <c r="C5636" s="154" t="s">
        <v>7352</v>
      </c>
      <c r="D5636" s="201" t="s">
        <v>1958</v>
      </c>
    </row>
    <row r="5637" spans="2:4">
      <c r="B5637" s="198" t="s">
        <v>7310</v>
      </c>
      <c r="C5637" s="154" t="s">
        <v>7353</v>
      </c>
      <c r="D5637" s="201" t="s">
        <v>1958</v>
      </c>
    </row>
    <row r="5638" spans="2:4">
      <c r="B5638" s="198" t="s">
        <v>7311</v>
      </c>
      <c r="C5638" s="154" t="s">
        <v>6314</v>
      </c>
      <c r="D5638" s="201" t="s">
        <v>1958</v>
      </c>
    </row>
    <row r="5639" spans="2:4">
      <c r="B5639" s="198" t="s">
        <v>7312</v>
      </c>
      <c r="C5639" s="154" t="s">
        <v>7354</v>
      </c>
      <c r="D5639" s="201" t="s">
        <v>1951</v>
      </c>
    </row>
    <row r="5640" spans="2:4">
      <c r="B5640" s="198" t="s">
        <v>7313</v>
      </c>
      <c r="C5640" s="154" t="s">
        <v>3203</v>
      </c>
      <c r="D5640" s="201" t="s">
        <v>1953</v>
      </c>
    </row>
    <row r="5641" spans="2:4">
      <c r="B5641" s="198" t="s">
        <v>7314</v>
      </c>
      <c r="C5641" s="154" t="s">
        <v>3357</v>
      </c>
      <c r="D5641" s="201" t="s">
        <v>1951</v>
      </c>
    </row>
    <row r="5642" spans="2:4">
      <c r="B5642" s="198" t="s">
        <v>7315</v>
      </c>
      <c r="C5642" s="154" t="s">
        <v>7348</v>
      </c>
      <c r="D5642" s="201" t="s">
        <v>5662</v>
      </c>
    </row>
    <row r="5643" spans="2:4">
      <c r="B5643" s="198" t="s">
        <v>7316</v>
      </c>
      <c r="C5643" s="154" t="s">
        <v>7348</v>
      </c>
      <c r="D5643" s="201" t="s">
        <v>5662</v>
      </c>
    </row>
    <row r="5644" spans="2:4">
      <c r="B5644" s="198" t="s">
        <v>7317</v>
      </c>
      <c r="C5644" s="154" t="s">
        <v>7348</v>
      </c>
      <c r="D5644" s="201" t="s">
        <v>5662</v>
      </c>
    </row>
    <row r="5645" spans="2:4">
      <c r="B5645" s="198" t="s">
        <v>7318</v>
      </c>
      <c r="C5645" s="154" t="s">
        <v>7348</v>
      </c>
      <c r="D5645" s="201" t="s">
        <v>5662</v>
      </c>
    </row>
    <row r="5646" spans="2:4">
      <c r="B5646" s="198" t="s">
        <v>7319</v>
      </c>
      <c r="C5646" s="154" t="s">
        <v>7348</v>
      </c>
      <c r="D5646" s="201" t="s">
        <v>5662</v>
      </c>
    </row>
    <row r="5647" spans="2:4">
      <c r="B5647" s="198" t="s">
        <v>7320</v>
      </c>
      <c r="C5647" s="154" t="s">
        <v>7151</v>
      </c>
      <c r="D5647" s="201" t="s">
        <v>5662</v>
      </c>
    </row>
    <row r="5648" spans="2:4">
      <c r="B5648" s="198" t="s">
        <v>7321</v>
      </c>
      <c r="C5648" s="154" t="s">
        <v>7348</v>
      </c>
      <c r="D5648" s="201" t="s">
        <v>5662</v>
      </c>
    </row>
    <row r="5649" spans="2:4">
      <c r="B5649" s="198" t="s">
        <v>7322</v>
      </c>
      <c r="C5649" s="154" t="s">
        <v>7348</v>
      </c>
      <c r="D5649" s="201" t="s">
        <v>5662</v>
      </c>
    </row>
    <row r="5650" spans="2:4">
      <c r="B5650" s="198" t="s">
        <v>7323</v>
      </c>
      <c r="C5650" s="154" t="s">
        <v>7348</v>
      </c>
      <c r="D5650" s="201" t="s">
        <v>5662</v>
      </c>
    </row>
    <row r="5651" spans="2:4">
      <c r="B5651" s="198" t="s">
        <v>7324</v>
      </c>
      <c r="C5651" s="154" t="s">
        <v>7348</v>
      </c>
      <c r="D5651" s="201" t="s">
        <v>5662</v>
      </c>
    </row>
    <row r="5652" spans="2:4">
      <c r="B5652" s="198" t="s">
        <v>7325</v>
      </c>
      <c r="C5652" s="154" t="s">
        <v>7348</v>
      </c>
      <c r="D5652" s="201" t="s">
        <v>5662</v>
      </c>
    </row>
    <row r="5653" spans="2:4">
      <c r="B5653" s="198" t="s">
        <v>7326</v>
      </c>
      <c r="C5653" s="154" t="s">
        <v>7348</v>
      </c>
      <c r="D5653" s="201" t="s">
        <v>5662</v>
      </c>
    </row>
    <row r="5654" spans="2:4">
      <c r="B5654" s="198" t="s">
        <v>7327</v>
      </c>
      <c r="C5654" s="154" t="s">
        <v>7348</v>
      </c>
      <c r="D5654" s="201" t="s">
        <v>5662</v>
      </c>
    </row>
    <row r="5655" spans="2:4">
      <c r="B5655" s="198" t="s">
        <v>7328</v>
      </c>
      <c r="C5655" s="154" t="s">
        <v>7348</v>
      </c>
      <c r="D5655" s="201" t="s">
        <v>5662</v>
      </c>
    </row>
    <row r="5656" spans="2:4">
      <c r="B5656" s="198" t="s">
        <v>7329</v>
      </c>
      <c r="C5656" s="154" t="s">
        <v>7348</v>
      </c>
      <c r="D5656" s="201" t="s">
        <v>5662</v>
      </c>
    </row>
    <row r="5657" spans="2:4">
      <c r="B5657" s="198" t="s">
        <v>7330</v>
      </c>
      <c r="C5657" s="154" t="s">
        <v>7348</v>
      </c>
      <c r="D5657" s="201" t="s">
        <v>5662</v>
      </c>
    </row>
    <row r="5658" spans="2:4">
      <c r="B5658" s="198" t="s">
        <v>5956</v>
      </c>
      <c r="C5658" s="154" t="s">
        <v>1557</v>
      </c>
      <c r="D5658" s="201" t="s">
        <v>1958</v>
      </c>
    </row>
    <row r="5659" spans="2:4">
      <c r="B5659" s="198" t="s">
        <v>7355</v>
      </c>
      <c r="C5659" s="154" t="s">
        <v>1590</v>
      </c>
      <c r="D5659" s="201" t="s">
        <v>1958</v>
      </c>
    </row>
    <row r="5660" spans="2:4">
      <c r="B5660" s="198" t="s">
        <v>4087</v>
      </c>
      <c r="C5660" s="154" t="s">
        <v>4461</v>
      </c>
      <c r="D5660" s="201" t="s">
        <v>1958</v>
      </c>
    </row>
    <row r="5661" spans="2:4">
      <c r="B5661" s="198" t="s">
        <v>7356</v>
      </c>
      <c r="C5661" s="154" t="s">
        <v>1657</v>
      </c>
      <c r="D5661" s="201" t="s">
        <v>1956</v>
      </c>
    </row>
    <row r="5662" spans="2:4">
      <c r="B5662" s="198" t="s">
        <v>7357</v>
      </c>
      <c r="C5662" s="154" t="s">
        <v>1581</v>
      </c>
      <c r="D5662" s="201" t="s">
        <v>1955</v>
      </c>
    </row>
    <row r="5663" spans="2:4">
      <c r="B5663" s="198" t="s">
        <v>7358</v>
      </c>
      <c r="C5663" s="154" t="s">
        <v>1657</v>
      </c>
      <c r="D5663" s="201" t="s">
        <v>1956</v>
      </c>
    </row>
    <row r="5664" spans="2:4">
      <c r="B5664" s="198" t="s">
        <v>7359</v>
      </c>
      <c r="C5664" s="154" t="s">
        <v>1657</v>
      </c>
      <c r="D5664" s="201" t="s">
        <v>1956</v>
      </c>
    </row>
    <row r="5665" spans="2:4">
      <c r="B5665" s="198" t="s">
        <v>7360</v>
      </c>
      <c r="C5665" s="154" t="s">
        <v>1595</v>
      </c>
      <c r="D5665" s="201" t="s">
        <v>1956</v>
      </c>
    </row>
    <row r="5666" spans="2:4">
      <c r="B5666" s="198" t="s">
        <v>7361</v>
      </c>
      <c r="C5666" s="154" t="s">
        <v>1590</v>
      </c>
      <c r="D5666" s="201" t="s">
        <v>1958</v>
      </c>
    </row>
    <row r="5667" spans="2:4">
      <c r="B5667" s="198" t="s">
        <v>7362</v>
      </c>
      <c r="C5667" s="154" t="s">
        <v>1628</v>
      </c>
      <c r="D5667" s="201" t="s">
        <v>1956</v>
      </c>
    </row>
    <row r="5668" spans="2:4">
      <c r="B5668" s="198" t="s">
        <v>7363</v>
      </c>
      <c r="C5668" s="154" t="s">
        <v>4461</v>
      </c>
      <c r="D5668" s="201" t="s">
        <v>1958</v>
      </c>
    </row>
    <row r="5669" spans="2:4">
      <c r="B5669" s="198" t="s">
        <v>7364</v>
      </c>
      <c r="C5669" s="154" t="s">
        <v>1590</v>
      </c>
      <c r="D5669" s="201" t="s">
        <v>1958</v>
      </c>
    </row>
    <row r="5670" spans="2:4">
      <c r="B5670" s="198" t="s">
        <v>859</v>
      </c>
      <c r="C5670" s="154" t="s">
        <v>1590</v>
      </c>
      <c r="D5670" s="201" t="s">
        <v>1958</v>
      </c>
    </row>
    <row r="5671" spans="2:4">
      <c r="B5671" s="198" t="s">
        <v>7365</v>
      </c>
      <c r="C5671" s="154" t="s">
        <v>1657</v>
      </c>
      <c r="D5671" s="201" t="s">
        <v>1956</v>
      </c>
    </row>
    <row r="5672" spans="2:4">
      <c r="B5672" s="198" t="s">
        <v>7331</v>
      </c>
      <c r="C5672" s="154" t="s">
        <v>7348</v>
      </c>
      <c r="D5672" s="201" t="s">
        <v>5662</v>
      </c>
    </row>
    <row r="5673" spans="2:4">
      <c r="B5673" s="198" t="s">
        <v>7332</v>
      </c>
      <c r="C5673" s="154" t="s">
        <v>7348</v>
      </c>
      <c r="D5673" s="201" t="s">
        <v>5662</v>
      </c>
    </row>
    <row r="5674" spans="2:4">
      <c r="B5674" s="198" t="s">
        <v>7333</v>
      </c>
      <c r="C5674" s="154" t="s">
        <v>7152</v>
      </c>
      <c r="D5674" s="201" t="s">
        <v>5662</v>
      </c>
    </row>
    <row r="5675" spans="2:4">
      <c r="B5675" s="198" t="s">
        <v>7334</v>
      </c>
      <c r="C5675" s="154" t="s">
        <v>6356</v>
      </c>
      <c r="D5675" s="201" t="s">
        <v>5662</v>
      </c>
    </row>
    <row r="5676" spans="2:4">
      <c r="B5676" s="198" t="s">
        <v>7335</v>
      </c>
      <c r="C5676" s="154" t="s">
        <v>7348</v>
      </c>
      <c r="D5676" s="201" t="s">
        <v>5662</v>
      </c>
    </row>
    <row r="5677" spans="2:4">
      <c r="B5677" s="198" t="s">
        <v>7336</v>
      </c>
      <c r="C5677" s="154" t="s">
        <v>7151</v>
      </c>
      <c r="D5677" s="201" t="s">
        <v>5662</v>
      </c>
    </row>
    <row r="5678" spans="2:4">
      <c r="B5678" s="198" t="s">
        <v>7337</v>
      </c>
      <c r="C5678" s="154" t="s">
        <v>7348</v>
      </c>
      <c r="D5678" s="201" t="s">
        <v>5662</v>
      </c>
    </row>
    <row r="5679" spans="2:4">
      <c r="B5679" s="198" t="s">
        <v>7338</v>
      </c>
      <c r="C5679" s="154" t="s">
        <v>7366</v>
      </c>
      <c r="D5679" s="201" t="s">
        <v>5662</v>
      </c>
    </row>
    <row r="5680" spans="2:4">
      <c r="B5680" s="198" t="s">
        <v>7339</v>
      </c>
      <c r="C5680" s="154" t="s">
        <v>7348</v>
      </c>
      <c r="D5680" s="201" t="s">
        <v>5662</v>
      </c>
    </row>
    <row r="5681" spans="2:4">
      <c r="B5681" s="198" t="s">
        <v>7340</v>
      </c>
      <c r="C5681" s="154" t="s">
        <v>7348</v>
      </c>
      <c r="D5681" s="201" t="s">
        <v>5662</v>
      </c>
    </row>
    <row r="5682" spans="2:4">
      <c r="B5682" s="198" t="s">
        <v>7341</v>
      </c>
      <c r="C5682" s="154" t="s">
        <v>7366</v>
      </c>
      <c r="D5682" s="201" t="s">
        <v>5662</v>
      </c>
    </row>
    <row r="5683" spans="2:4">
      <c r="B5683" s="198" t="s">
        <v>7342</v>
      </c>
      <c r="C5683" s="154" t="s">
        <v>7348</v>
      </c>
      <c r="D5683" s="201" t="s">
        <v>5662</v>
      </c>
    </row>
    <row r="5684" spans="2:4">
      <c r="B5684" s="198" t="s">
        <v>7343</v>
      </c>
      <c r="C5684" s="154" t="s">
        <v>7348</v>
      </c>
      <c r="D5684" s="201" t="s">
        <v>5662</v>
      </c>
    </row>
    <row r="5685" spans="2:4">
      <c r="B5685" s="198" t="s">
        <v>7344</v>
      </c>
      <c r="C5685" s="154" t="s">
        <v>7348</v>
      </c>
      <c r="D5685" s="201" t="s">
        <v>5662</v>
      </c>
    </row>
    <row r="5686" spans="2:4">
      <c r="B5686" s="198" t="s">
        <v>7345</v>
      </c>
      <c r="C5686" s="154" t="s">
        <v>7348</v>
      </c>
      <c r="D5686" s="201" t="s">
        <v>5662</v>
      </c>
    </row>
    <row r="5687" spans="2:4">
      <c r="B5687" s="198" t="s">
        <v>7362</v>
      </c>
      <c r="C5687" s="154" t="s">
        <v>1628</v>
      </c>
      <c r="D5687" s="201" t="s">
        <v>1956</v>
      </c>
    </row>
    <row r="5688" spans="2:4">
      <c r="B5688" s="198" t="s">
        <v>7355</v>
      </c>
      <c r="C5688" s="154" t="s">
        <v>1590</v>
      </c>
      <c r="D5688" s="201" t="s">
        <v>1958</v>
      </c>
    </row>
    <row r="5689" spans="2:4">
      <c r="B5689" s="198" t="s">
        <v>859</v>
      </c>
      <c r="C5689" s="154" t="s">
        <v>1590</v>
      </c>
      <c r="D5689" s="201" t="s">
        <v>1958</v>
      </c>
    </row>
    <row r="5690" spans="2:4">
      <c r="B5690" s="198" t="s">
        <v>373</v>
      </c>
      <c r="C5690" s="154" t="s">
        <v>1595</v>
      </c>
      <c r="D5690" s="201" t="s">
        <v>1956</v>
      </c>
    </row>
    <row r="5691" spans="2:4">
      <c r="B5691" s="198" t="s">
        <v>7361</v>
      </c>
      <c r="C5691" s="154" t="s">
        <v>1590</v>
      </c>
      <c r="D5691" s="201" t="s">
        <v>1958</v>
      </c>
    </row>
    <row r="5692" spans="2:4">
      <c r="B5692" s="198" t="s">
        <v>7364</v>
      </c>
      <c r="C5692" s="154" t="s">
        <v>1590</v>
      </c>
      <c r="D5692" s="201" t="s">
        <v>1958</v>
      </c>
    </row>
    <row r="5693" spans="2:4">
      <c r="B5693" s="198" t="s">
        <v>7346</v>
      </c>
      <c r="C5693" s="154" t="s">
        <v>4538</v>
      </c>
      <c r="D5693" s="201" t="s">
        <v>1953</v>
      </c>
    </row>
    <row r="5694" spans="2:4">
      <c r="B5694" s="198" t="s">
        <v>7347</v>
      </c>
      <c r="C5694" s="154" t="s">
        <v>7348</v>
      </c>
      <c r="D5694" s="201" t="s">
        <v>5662</v>
      </c>
    </row>
    <row r="5695" spans="2:4">
      <c r="B5695" s="198" t="s">
        <v>7367</v>
      </c>
      <c r="C5695" s="154" t="s">
        <v>7239</v>
      </c>
      <c r="D5695" s="201" t="s">
        <v>5662</v>
      </c>
    </row>
    <row r="5696" spans="2:4">
      <c r="B5696" s="198" t="s">
        <v>7368</v>
      </c>
      <c r="C5696" s="154" t="s">
        <v>150</v>
      </c>
      <c r="D5696" s="201" t="s">
        <v>1951</v>
      </c>
    </row>
    <row r="5697" spans="2:4">
      <c r="B5697" s="198" t="s">
        <v>5956</v>
      </c>
      <c r="C5697" s="154" t="s">
        <v>1557</v>
      </c>
      <c r="D5697" s="201" t="s">
        <v>1958</v>
      </c>
    </row>
    <row r="5698" spans="2:4">
      <c r="B5698" s="198" t="s">
        <v>7181</v>
      </c>
      <c r="C5698" s="154" t="s">
        <v>6451</v>
      </c>
      <c r="D5698" s="201" t="s">
        <v>1954</v>
      </c>
    </row>
    <row r="5699" spans="2:4">
      <c r="B5699" s="198" t="s">
        <v>7369</v>
      </c>
      <c r="C5699" s="154" t="s">
        <v>142</v>
      </c>
      <c r="D5699" s="201" t="s">
        <v>1954</v>
      </c>
    </row>
    <row r="5700" spans="2:4">
      <c r="B5700" s="198" t="s">
        <v>7373</v>
      </c>
      <c r="C5700" s="154" t="s">
        <v>4461</v>
      </c>
      <c r="D5700" s="201" t="s">
        <v>1958</v>
      </c>
    </row>
    <row r="5701" spans="2:4">
      <c r="B5701" s="198" t="s">
        <v>7374</v>
      </c>
      <c r="C5701" s="154" t="s">
        <v>3926</v>
      </c>
      <c r="D5701" s="154" t="s">
        <v>1958</v>
      </c>
    </row>
    <row r="5702" spans="2:4">
      <c r="B5702" s="198" t="s">
        <v>7375</v>
      </c>
      <c r="C5702" s="154" t="s">
        <v>3926</v>
      </c>
      <c r="D5702" s="150" t="s">
        <v>1958</v>
      </c>
    </row>
    <row r="5703" spans="2:4">
      <c r="B5703" s="198" t="s">
        <v>7376</v>
      </c>
      <c r="C5703" s="154" t="s">
        <v>3926</v>
      </c>
      <c r="D5703" s="154" t="s">
        <v>1958</v>
      </c>
    </row>
    <row r="5704" spans="2:4">
      <c r="B5704" s="198" t="s">
        <v>7372</v>
      </c>
      <c r="C5704" s="154" t="s">
        <v>149</v>
      </c>
      <c r="D5704" s="201" t="s">
        <v>1956</v>
      </c>
    </row>
    <row r="5705" spans="2:4">
      <c r="B5705" s="198" t="s">
        <v>7371</v>
      </c>
      <c r="C5705" s="154" t="s">
        <v>149</v>
      </c>
      <c r="D5705" s="201" t="s">
        <v>1956</v>
      </c>
    </row>
    <row r="5706" spans="2:4">
      <c r="B5706" s="198" t="s">
        <v>7377</v>
      </c>
      <c r="C5706" s="154" t="s">
        <v>149</v>
      </c>
      <c r="D5706" s="201" t="s">
        <v>1956</v>
      </c>
    </row>
    <row r="5707" spans="2:4">
      <c r="B5707" s="198" t="s">
        <v>7370</v>
      </c>
      <c r="C5707" s="154" t="s">
        <v>149</v>
      </c>
      <c r="D5707" s="201" t="s">
        <v>1956</v>
      </c>
    </row>
    <row r="5708" spans="2:4">
      <c r="B5708" s="198" t="s">
        <v>7378</v>
      </c>
      <c r="C5708" s="154" t="s">
        <v>149</v>
      </c>
      <c r="D5708" s="201" t="s">
        <v>1956</v>
      </c>
    </row>
    <row r="5709" spans="2:4">
      <c r="B5709" s="198" t="s">
        <v>7379</v>
      </c>
      <c r="C5709" s="154" t="s">
        <v>149</v>
      </c>
      <c r="D5709" s="201" t="s">
        <v>1956</v>
      </c>
    </row>
    <row r="5710" spans="2:4">
      <c r="B5710" s="198" t="s">
        <v>7380</v>
      </c>
      <c r="C5710" s="154" t="s">
        <v>1576</v>
      </c>
      <c r="D5710" s="201" t="s">
        <v>1956</v>
      </c>
    </row>
    <row r="5711" spans="2:4">
      <c r="B5711" s="198" t="s">
        <v>7381</v>
      </c>
      <c r="C5711" s="154" t="s">
        <v>1739</v>
      </c>
      <c r="D5711" s="201" t="s">
        <v>1956</v>
      </c>
    </row>
    <row r="5712" spans="2:4">
      <c r="B5712" s="198" t="s">
        <v>7382</v>
      </c>
      <c r="C5712" s="154" t="s">
        <v>2940</v>
      </c>
      <c r="D5712" s="201" t="s">
        <v>1956</v>
      </c>
    </row>
    <row r="5713" spans="2:4">
      <c r="B5713" s="198" t="s">
        <v>7383</v>
      </c>
      <c r="C5713" s="154" t="s">
        <v>1633</v>
      </c>
      <c r="D5713" s="201" t="s">
        <v>1951</v>
      </c>
    </row>
    <row r="5714" spans="2:4">
      <c r="B5714" s="122" t="s">
        <v>5107</v>
      </c>
      <c r="C5714" s="154" t="s">
        <v>3081</v>
      </c>
      <c r="D5714" s="201" t="s">
        <v>1957</v>
      </c>
    </row>
    <row r="5715" spans="2:4">
      <c r="B5715" s="198" t="s">
        <v>7384</v>
      </c>
      <c r="C5715" s="154" t="s">
        <v>3081</v>
      </c>
      <c r="D5715" s="201" t="s">
        <v>1957</v>
      </c>
    </row>
    <row r="5716" spans="2:4">
      <c r="B5716" s="198" t="s">
        <v>7385</v>
      </c>
      <c r="C5716" s="154" t="s">
        <v>3081</v>
      </c>
      <c r="D5716" s="201" t="s">
        <v>1957</v>
      </c>
    </row>
    <row r="5717" spans="2:4">
      <c r="B5717" s="198" t="s">
        <v>7386</v>
      </c>
      <c r="C5717" s="154" t="s">
        <v>3081</v>
      </c>
      <c r="D5717" s="201" t="s">
        <v>1957</v>
      </c>
    </row>
    <row r="5718" spans="2:4">
      <c r="B5718" s="198" t="s">
        <v>7387</v>
      </c>
      <c r="C5718" s="154" t="s">
        <v>3081</v>
      </c>
      <c r="D5718" s="201" t="s">
        <v>1957</v>
      </c>
    </row>
    <row r="5719" spans="2:4">
      <c r="B5719" s="198" t="s">
        <v>7389</v>
      </c>
      <c r="C5719" s="154" t="s">
        <v>1760</v>
      </c>
      <c r="D5719" s="201" t="s">
        <v>1959</v>
      </c>
    </row>
    <row r="5720" spans="2:4">
      <c r="B5720" s="198" t="s">
        <v>7390</v>
      </c>
      <c r="C5720" s="154" t="s">
        <v>1760</v>
      </c>
      <c r="D5720" s="201" t="s">
        <v>1959</v>
      </c>
    </row>
    <row r="5721" spans="2:4">
      <c r="B5721" s="198" t="s">
        <v>7391</v>
      </c>
      <c r="C5721" s="154" t="s">
        <v>1760</v>
      </c>
      <c r="D5721" s="201" t="s">
        <v>1959</v>
      </c>
    </row>
    <row r="5722" spans="2:4">
      <c r="B5722" s="198" t="s">
        <v>7392</v>
      </c>
      <c r="C5722" s="154" t="s">
        <v>1760</v>
      </c>
      <c r="D5722" s="201" t="s">
        <v>1959</v>
      </c>
    </row>
    <row r="5723" spans="2:4">
      <c r="B5723" s="198" t="s">
        <v>7393</v>
      </c>
      <c r="C5723" s="154" t="s">
        <v>3854</v>
      </c>
      <c r="D5723" s="201" t="s">
        <v>1955</v>
      </c>
    </row>
    <row r="5724" spans="2:4">
      <c r="B5724" s="198" t="s">
        <v>7394</v>
      </c>
      <c r="C5724" s="154" t="s">
        <v>3854</v>
      </c>
      <c r="D5724" s="201" t="s">
        <v>1955</v>
      </c>
    </row>
    <row r="5725" spans="2:4">
      <c r="B5725" s="198" t="s">
        <v>7395</v>
      </c>
      <c r="C5725" s="154" t="s">
        <v>3854</v>
      </c>
      <c r="D5725" s="201" t="s">
        <v>1955</v>
      </c>
    </row>
    <row r="5726" spans="2:4">
      <c r="B5726" s="198" t="s">
        <v>7396</v>
      </c>
      <c r="C5726" s="154" t="s">
        <v>3854</v>
      </c>
      <c r="D5726" s="201" t="s">
        <v>1955</v>
      </c>
    </row>
    <row r="5727" spans="2:4">
      <c r="B5727" s="198" t="s">
        <v>7397</v>
      </c>
      <c r="C5727" s="154" t="s">
        <v>3854</v>
      </c>
      <c r="D5727" s="201" t="s">
        <v>1955</v>
      </c>
    </row>
    <row r="5728" spans="2:4">
      <c r="B5728" s="198" t="s">
        <v>7398</v>
      </c>
      <c r="C5728" s="154" t="s">
        <v>3854</v>
      </c>
      <c r="D5728" s="201" t="s">
        <v>1955</v>
      </c>
    </row>
    <row r="5729" spans="2:4">
      <c r="B5729" s="198" t="s">
        <v>7399</v>
      </c>
      <c r="C5729" s="154" t="s">
        <v>3854</v>
      </c>
      <c r="D5729" s="201" t="s">
        <v>1955</v>
      </c>
    </row>
    <row r="5730" spans="2:4">
      <c r="B5730" s="198" t="s">
        <v>7400</v>
      </c>
      <c r="C5730" s="154" t="s">
        <v>1825</v>
      </c>
      <c r="D5730" s="201" t="s">
        <v>1951</v>
      </c>
    </row>
    <row r="5731" spans="2:4">
      <c r="B5731" s="198" t="s">
        <v>7401</v>
      </c>
      <c r="C5731" s="154" t="s">
        <v>1514</v>
      </c>
      <c r="D5731" s="201" t="s">
        <v>1951</v>
      </c>
    </row>
    <row r="5732" spans="2:4">
      <c r="B5732" s="198" t="s">
        <v>7402</v>
      </c>
      <c r="C5732" s="154" t="s">
        <v>3357</v>
      </c>
      <c r="D5732" s="201" t="s">
        <v>1951</v>
      </c>
    </row>
    <row r="5733" spans="2:4">
      <c r="B5733" s="198" t="s">
        <v>7403</v>
      </c>
      <c r="C5733" s="154" t="s">
        <v>3357</v>
      </c>
      <c r="D5733" s="201" t="s">
        <v>1951</v>
      </c>
    </row>
    <row r="5734" spans="2:4">
      <c r="B5734" s="198" t="s">
        <v>7404</v>
      </c>
      <c r="C5734" s="154" t="s">
        <v>3357</v>
      </c>
      <c r="D5734" s="201" t="s">
        <v>1951</v>
      </c>
    </row>
    <row r="5735" spans="2:4">
      <c r="B5735" s="198" t="s">
        <v>7405</v>
      </c>
      <c r="C5735" s="154" t="s">
        <v>3357</v>
      </c>
      <c r="D5735" s="201" t="s">
        <v>1951</v>
      </c>
    </row>
    <row r="5736" spans="2:4">
      <c r="B5736" s="198" t="s">
        <v>7406</v>
      </c>
      <c r="C5736" s="154" t="s">
        <v>3357</v>
      </c>
      <c r="D5736" s="201" t="s">
        <v>1951</v>
      </c>
    </row>
    <row r="5737" spans="2:4">
      <c r="B5737" s="198" t="s">
        <v>7407</v>
      </c>
      <c r="C5737" s="154" t="s">
        <v>3357</v>
      </c>
      <c r="D5737" s="201" t="s">
        <v>1951</v>
      </c>
    </row>
    <row r="5738" spans="2:4">
      <c r="B5738" s="198" t="s">
        <v>7408</v>
      </c>
      <c r="C5738" s="154" t="s">
        <v>3357</v>
      </c>
      <c r="D5738" s="201" t="s">
        <v>1951</v>
      </c>
    </row>
    <row r="5739" spans="2:4">
      <c r="B5739" s="198" t="s">
        <v>7409</v>
      </c>
      <c r="C5739" s="154" t="s">
        <v>3357</v>
      </c>
      <c r="D5739" s="201" t="s">
        <v>1951</v>
      </c>
    </row>
    <row r="5740" spans="2:4">
      <c r="B5740" s="198" t="s">
        <v>7410</v>
      </c>
      <c r="C5740" s="154" t="s">
        <v>1521</v>
      </c>
      <c r="D5740" s="201" t="s">
        <v>1951</v>
      </c>
    </row>
    <row r="5741" spans="2:4">
      <c r="B5741" s="198" t="s">
        <v>7411</v>
      </c>
      <c r="C5741" s="154" t="s">
        <v>1631</v>
      </c>
      <c r="D5741" s="201" t="s">
        <v>1951</v>
      </c>
    </row>
    <row r="5742" spans="2:4">
      <c r="B5742" s="198" t="s">
        <v>7412</v>
      </c>
      <c r="C5742" s="154" t="s">
        <v>150</v>
      </c>
      <c r="D5742" s="201" t="s">
        <v>1951</v>
      </c>
    </row>
    <row r="5743" spans="2:4">
      <c r="B5743" s="198" t="s">
        <v>7413</v>
      </c>
      <c r="C5743" s="154" t="s">
        <v>150</v>
      </c>
      <c r="D5743" s="201" t="s">
        <v>1951</v>
      </c>
    </row>
    <row r="5744" spans="2:4">
      <c r="B5744" s="198" t="s">
        <v>7414</v>
      </c>
      <c r="C5744" s="154" t="s">
        <v>150</v>
      </c>
      <c r="D5744" s="201" t="s">
        <v>1951</v>
      </c>
    </row>
    <row r="5745" spans="2:4">
      <c r="B5745" s="198" t="s">
        <v>7415</v>
      </c>
      <c r="C5745" s="154" t="s">
        <v>7416</v>
      </c>
      <c r="D5745" s="201" t="s">
        <v>1951</v>
      </c>
    </row>
    <row r="5746" spans="2:4">
      <c r="B5746" s="198" t="s">
        <v>7417</v>
      </c>
      <c r="C5746" s="154" t="s">
        <v>142</v>
      </c>
      <c r="D5746" s="201" t="s">
        <v>1954</v>
      </c>
    </row>
    <row r="5747" spans="2:4">
      <c r="B5747" s="198" t="s">
        <v>7418</v>
      </c>
      <c r="C5747" s="154" t="s">
        <v>142</v>
      </c>
      <c r="D5747" s="201" t="s">
        <v>1954</v>
      </c>
    </row>
    <row r="5748" spans="2:4">
      <c r="B5748" s="198" t="s">
        <v>7419</v>
      </c>
      <c r="C5748" s="154" t="s">
        <v>149</v>
      </c>
      <c r="D5748" s="201" t="s">
        <v>1956</v>
      </c>
    </row>
    <row r="5749" spans="2:4">
      <c r="B5749" s="198" t="s">
        <v>7420</v>
      </c>
      <c r="C5749" s="154" t="s">
        <v>149</v>
      </c>
      <c r="D5749" s="201" t="s">
        <v>1956</v>
      </c>
    </row>
    <row r="5750" spans="2:4">
      <c r="B5750" s="198" t="s">
        <v>7421</v>
      </c>
      <c r="C5750" s="154" t="s">
        <v>3854</v>
      </c>
      <c r="D5750" s="201" t="s">
        <v>1955</v>
      </c>
    </row>
    <row r="5751" spans="2:4">
      <c r="B5751" s="198" t="s">
        <v>7422</v>
      </c>
      <c r="C5751" s="154" t="s">
        <v>142</v>
      </c>
      <c r="D5751" s="201" t="s">
        <v>1954</v>
      </c>
    </row>
    <row r="5752" spans="2:4">
      <c r="B5752" s="198" t="s">
        <v>7423</v>
      </c>
      <c r="C5752" s="154" t="s">
        <v>1522</v>
      </c>
      <c r="D5752" s="201" t="s">
        <v>1953</v>
      </c>
    </row>
    <row r="5753" spans="2:4">
      <c r="B5753" s="198" t="s">
        <v>7424</v>
      </c>
      <c r="C5753" s="154" t="s">
        <v>1522</v>
      </c>
      <c r="D5753" s="201" t="s">
        <v>1953</v>
      </c>
    </row>
    <row r="5754" spans="2:4">
      <c r="B5754" s="198" t="s">
        <v>7425</v>
      </c>
      <c r="C5754" s="154" t="s">
        <v>1522</v>
      </c>
      <c r="D5754" s="201" t="s">
        <v>1953</v>
      </c>
    </row>
    <row r="5755" spans="2:4">
      <c r="B5755" s="198" t="s">
        <v>7426</v>
      </c>
      <c r="C5755" s="154" t="s">
        <v>7427</v>
      </c>
      <c r="D5755" s="201" t="s">
        <v>1959</v>
      </c>
    </row>
    <row r="5756" spans="2:4">
      <c r="B5756" s="198" t="s">
        <v>7428</v>
      </c>
      <c r="C5756" s="154" t="s">
        <v>150</v>
      </c>
      <c r="D5756" s="201" t="s">
        <v>1951</v>
      </c>
    </row>
    <row r="5757" spans="2:4">
      <c r="B5757" s="198" t="s">
        <v>7429</v>
      </c>
      <c r="C5757" s="154" t="s">
        <v>7348</v>
      </c>
      <c r="D5757" s="201" t="s">
        <v>5662</v>
      </c>
    </row>
    <row r="5758" spans="2:4">
      <c r="B5758" s="198" t="s">
        <v>7430</v>
      </c>
      <c r="C5758" s="154" t="s">
        <v>142</v>
      </c>
      <c r="D5758" s="201" t="s">
        <v>1954</v>
      </c>
    </row>
    <row r="5759" spans="2:4">
      <c r="B5759" s="198" t="s">
        <v>7431</v>
      </c>
      <c r="C5759" s="154" t="s">
        <v>3081</v>
      </c>
      <c r="D5759" s="201" t="s">
        <v>1957</v>
      </c>
    </row>
    <row r="5760" spans="2:4">
      <c r="B5760" s="198" t="s">
        <v>7432</v>
      </c>
      <c r="C5760" s="154" t="s">
        <v>1591</v>
      </c>
      <c r="D5760" s="201" t="s">
        <v>1951</v>
      </c>
    </row>
    <row r="5761" spans="2:4">
      <c r="B5761" s="198" t="s">
        <v>7433</v>
      </c>
      <c r="C5761" s="154" t="s">
        <v>3081</v>
      </c>
      <c r="D5761" s="201" t="s">
        <v>1957</v>
      </c>
    </row>
    <row r="5762" spans="2:4">
      <c r="B5762" s="198" t="s">
        <v>7434</v>
      </c>
      <c r="C5762" s="154" t="s">
        <v>7348</v>
      </c>
      <c r="D5762" s="201" t="s">
        <v>5662</v>
      </c>
    </row>
    <row r="5763" spans="2:4">
      <c r="B5763" s="198" t="s">
        <v>7435</v>
      </c>
      <c r="C5763" s="154" t="s">
        <v>7436</v>
      </c>
      <c r="D5763" s="201" t="s">
        <v>1951</v>
      </c>
    </row>
    <row r="5764" spans="2:4">
      <c r="B5764" s="198" t="s">
        <v>7437</v>
      </c>
      <c r="C5764" s="154" t="s">
        <v>3357</v>
      </c>
      <c r="D5764" s="201" t="s">
        <v>1951</v>
      </c>
    </row>
    <row r="5765" spans="2:4">
      <c r="B5765" s="198" t="s">
        <v>7438</v>
      </c>
      <c r="C5765" s="154" t="s">
        <v>7439</v>
      </c>
      <c r="D5765" s="201" t="s">
        <v>5662</v>
      </c>
    </row>
    <row r="5766" spans="2:4">
      <c r="B5766" s="198" t="s">
        <v>7440</v>
      </c>
      <c r="C5766" s="154" t="s">
        <v>142</v>
      </c>
      <c r="D5766" s="201" t="s">
        <v>1954</v>
      </c>
    </row>
    <row r="5767" spans="2:4">
      <c r="B5767" s="198" t="s">
        <v>7441</v>
      </c>
      <c r="C5767" s="154" t="s">
        <v>3357</v>
      </c>
      <c r="D5767" s="201" t="s">
        <v>1951</v>
      </c>
    </row>
    <row r="5768" spans="2:4">
      <c r="B5768" s="198" t="s">
        <v>7442</v>
      </c>
      <c r="C5768" s="154" t="s">
        <v>5307</v>
      </c>
      <c r="D5768" s="201" t="s">
        <v>1958</v>
      </c>
    </row>
    <row r="5769" spans="2:4">
      <c r="B5769" s="198" t="s">
        <v>7443</v>
      </c>
      <c r="C5769" s="154" t="s">
        <v>7021</v>
      </c>
      <c r="D5769" s="201" t="s">
        <v>6237</v>
      </c>
    </row>
    <row r="5770" spans="2:4">
      <c r="B5770" s="198" t="s">
        <v>7444</v>
      </c>
      <c r="C5770" s="154" t="s">
        <v>7445</v>
      </c>
      <c r="D5770" s="201" t="s">
        <v>6237</v>
      </c>
    </row>
    <row r="5771" spans="2:4">
      <c r="B5771" s="198" t="s">
        <v>7446</v>
      </c>
      <c r="C5771" s="154" t="s">
        <v>149</v>
      </c>
      <c r="D5771" s="201" t="s">
        <v>1956</v>
      </c>
    </row>
    <row r="5772" spans="2:4">
      <c r="B5772" s="198" t="s">
        <v>7447</v>
      </c>
      <c r="C5772" s="154" t="s">
        <v>149</v>
      </c>
      <c r="D5772" s="201" t="s">
        <v>1956</v>
      </c>
    </row>
    <row r="5773" spans="2:4">
      <c r="B5773" s="198" t="s">
        <v>7448</v>
      </c>
      <c r="C5773" s="154" t="s">
        <v>149</v>
      </c>
      <c r="D5773" s="201" t="s">
        <v>1956</v>
      </c>
    </row>
    <row r="5774" spans="2:4">
      <c r="B5774" s="198" t="s">
        <v>7449</v>
      </c>
      <c r="C5774" s="154" t="s">
        <v>1644</v>
      </c>
      <c r="D5774" s="201" t="s">
        <v>1959</v>
      </c>
    </row>
    <row r="5775" spans="2:4">
      <c r="B5775" s="198" t="s">
        <v>7450</v>
      </c>
      <c r="C5775" s="154" t="s">
        <v>7451</v>
      </c>
      <c r="D5775" s="201" t="s">
        <v>1959</v>
      </c>
    </row>
    <row r="5776" spans="2:4">
      <c r="B5776" s="198" t="s">
        <v>7452</v>
      </c>
      <c r="C5776" s="154" t="s">
        <v>7451</v>
      </c>
      <c r="D5776" s="201" t="s">
        <v>1959</v>
      </c>
    </row>
    <row r="5777" spans="2:4">
      <c r="B5777" s="198" t="s">
        <v>7453</v>
      </c>
      <c r="C5777" s="154" t="s">
        <v>7454</v>
      </c>
      <c r="D5777" s="201" t="s">
        <v>1959</v>
      </c>
    </row>
    <row r="5778" spans="2:4">
      <c r="B5778" s="198" t="s">
        <v>7455</v>
      </c>
      <c r="C5778" s="154" t="s">
        <v>7456</v>
      </c>
      <c r="D5778" s="201" t="s">
        <v>1955</v>
      </c>
    </row>
    <row r="5779" spans="2:4">
      <c r="B5779" s="198" t="s">
        <v>7457</v>
      </c>
      <c r="C5779" s="154" t="s">
        <v>7458</v>
      </c>
      <c r="D5779" s="201" t="s">
        <v>1951</v>
      </c>
    </row>
    <row r="5780" spans="2:4">
      <c r="B5780" s="198" t="s">
        <v>7459</v>
      </c>
      <c r="C5780" s="154" t="s">
        <v>3357</v>
      </c>
      <c r="D5780" s="201" t="s">
        <v>1951</v>
      </c>
    </row>
    <row r="5781" spans="2:4">
      <c r="B5781" s="198" t="s">
        <v>7460</v>
      </c>
      <c r="C5781" s="154" t="s">
        <v>3357</v>
      </c>
      <c r="D5781" s="201" t="s">
        <v>1951</v>
      </c>
    </row>
    <row r="5782" spans="2:4">
      <c r="B5782" s="198" t="s">
        <v>7461</v>
      </c>
      <c r="C5782" s="154" t="s">
        <v>3357</v>
      </c>
      <c r="D5782" s="201" t="s">
        <v>1951</v>
      </c>
    </row>
    <row r="5783" spans="2:4">
      <c r="B5783" s="198" t="s">
        <v>7462</v>
      </c>
      <c r="C5783" s="154" t="s">
        <v>142</v>
      </c>
      <c r="D5783" s="201" t="s">
        <v>1954</v>
      </c>
    </row>
    <row r="5784" spans="2:4">
      <c r="B5784" s="198" t="s">
        <v>7463</v>
      </c>
      <c r="C5784" s="154" t="s">
        <v>142</v>
      </c>
      <c r="D5784" s="201" t="s">
        <v>1954</v>
      </c>
    </row>
    <row r="5785" spans="2:4">
      <c r="B5785" s="198" t="s">
        <v>7464</v>
      </c>
      <c r="C5785" s="154" t="s">
        <v>142</v>
      </c>
      <c r="D5785" s="201" t="s">
        <v>1954</v>
      </c>
    </row>
    <row r="5786" spans="2:4">
      <c r="B5786" s="198" t="s">
        <v>7465</v>
      </c>
      <c r="C5786" s="154" t="s">
        <v>142</v>
      </c>
      <c r="D5786" s="201" t="s">
        <v>1954</v>
      </c>
    </row>
    <row r="5787" spans="2:4">
      <c r="B5787" s="198" t="s">
        <v>7466</v>
      </c>
      <c r="C5787" s="154" t="s">
        <v>142</v>
      </c>
      <c r="D5787" s="201" t="s">
        <v>1954</v>
      </c>
    </row>
    <row r="5788" spans="2:4">
      <c r="B5788" s="198" t="s">
        <v>7467</v>
      </c>
      <c r="C5788" s="154" t="s">
        <v>7149</v>
      </c>
      <c r="D5788" s="201" t="s">
        <v>5662</v>
      </c>
    </row>
    <row r="5789" spans="2:4">
      <c r="B5789" s="198" t="s">
        <v>7468</v>
      </c>
      <c r="C5789" s="154" t="s">
        <v>6092</v>
      </c>
      <c r="D5789" s="201" t="s">
        <v>5662</v>
      </c>
    </row>
    <row r="5790" spans="2:4">
      <c r="B5790" s="198" t="s">
        <v>7469</v>
      </c>
      <c r="C5790" s="154" t="s">
        <v>3081</v>
      </c>
      <c r="D5790" s="201" t="s">
        <v>1957</v>
      </c>
    </row>
    <row r="5791" spans="2:4">
      <c r="B5791" s="198" t="s">
        <v>7470</v>
      </c>
      <c r="C5791" s="154" t="s">
        <v>7471</v>
      </c>
      <c r="D5791" s="201" t="s">
        <v>1959</v>
      </c>
    </row>
    <row r="5792" spans="2:4">
      <c r="B5792" s="198" t="s">
        <v>7472</v>
      </c>
      <c r="C5792" s="154" t="s">
        <v>5039</v>
      </c>
      <c r="D5792" s="201" t="s">
        <v>1959</v>
      </c>
    </row>
    <row r="5793" spans="2:4">
      <c r="B5793" s="198" t="s">
        <v>7474</v>
      </c>
      <c r="C5793" s="154" t="s">
        <v>3279</v>
      </c>
      <c r="D5793" s="201" t="s">
        <v>2216</v>
      </c>
    </row>
    <row r="5794" spans="2:4">
      <c r="B5794" s="198" t="s">
        <v>7475</v>
      </c>
      <c r="C5794" s="154" t="s">
        <v>3279</v>
      </c>
      <c r="D5794" s="201" t="s">
        <v>2216</v>
      </c>
    </row>
    <row r="5795" spans="2:4">
      <c r="B5795" s="198" t="s">
        <v>7476</v>
      </c>
      <c r="C5795" s="154" t="s">
        <v>3279</v>
      </c>
      <c r="D5795" s="201" t="s">
        <v>2216</v>
      </c>
    </row>
    <row r="5796" spans="2:4">
      <c r="B5796" s="198" t="s">
        <v>7477</v>
      </c>
      <c r="C5796" s="154" t="s">
        <v>1699</v>
      </c>
      <c r="D5796" s="201" t="s">
        <v>1956</v>
      </c>
    </row>
    <row r="5797" spans="2:4">
      <c r="B5797" s="198" t="s">
        <v>7478</v>
      </c>
      <c r="C5797" s="154" t="s">
        <v>1595</v>
      </c>
      <c r="D5797" s="201" t="s">
        <v>1956</v>
      </c>
    </row>
    <row r="5798" spans="2:4">
      <c r="B5798" s="198" t="s">
        <v>7479</v>
      </c>
      <c r="C5798" s="154" t="s">
        <v>1595</v>
      </c>
      <c r="D5798" s="201" t="s">
        <v>1956</v>
      </c>
    </row>
    <row r="5799" spans="2:4">
      <c r="B5799" s="198" t="s">
        <v>7480</v>
      </c>
      <c r="C5799" s="154" t="s">
        <v>1595</v>
      </c>
      <c r="D5799" s="201" t="s">
        <v>1956</v>
      </c>
    </row>
    <row r="5800" spans="2:4">
      <c r="B5800" s="198" t="s">
        <v>7481</v>
      </c>
      <c r="C5800" s="154" t="s">
        <v>1595</v>
      </c>
      <c r="D5800" s="201" t="s">
        <v>1956</v>
      </c>
    </row>
    <row r="5801" spans="2:4">
      <c r="B5801" s="198" t="s">
        <v>7482</v>
      </c>
      <c r="C5801" s="154" t="s">
        <v>1595</v>
      </c>
      <c r="D5801" s="201" t="s">
        <v>1956</v>
      </c>
    </row>
    <row r="5802" spans="2:4">
      <c r="B5802" s="198" t="s">
        <v>7483</v>
      </c>
      <c r="C5802" s="154" t="s">
        <v>149</v>
      </c>
      <c r="D5802" s="201" t="s">
        <v>1956</v>
      </c>
    </row>
    <row r="5803" spans="2:4">
      <c r="B5803" s="198" t="s">
        <v>7484</v>
      </c>
      <c r="C5803" s="154" t="s">
        <v>149</v>
      </c>
      <c r="D5803" s="201" t="s">
        <v>1956</v>
      </c>
    </row>
    <row r="5804" spans="2:4">
      <c r="B5804" s="198" t="s">
        <v>7485</v>
      </c>
      <c r="C5804" s="154" t="s">
        <v>149</v>
      </c>
      <c r="D5804" s="201" t="s">
        <v>1956</v>
      </c>
    </row>
    <row r="5805" spans="2:4">
      <c r="B5805" s="198" t="s">
        <v>7625</v>
      </c>
      <c r="C5805" s="154" t="s">
        <v>1628</v>
      </c>
      <c r="D5805" s="201" t="s">
        <v>1956</v>
      </c>
    </row>
    <row r="5806" spans="2:4">
      <c r="B5806" s="198" t="s">
        <v>7486</v>
      </c>
      <c r="C5806" s="154" t="s">
        <v>1830</v>
      </c>
      <c r="D5806" s="201" t="s">
        <v>1956</v>
      </c>
    </row>
    <row r="5807" spans="2:4">
      <c r="B5807" s="198" t="s">
        <v>7487</v>
      </c>
      <c r="C5807" s="154" t="s">
        <v>1644</v>
      </c>
      <c r="D5807" s="201" t="s">
        <v>1959</v>
      </c>
    </row>
    <row r="5808" spans="2:4">
      <c r="B5808" s="198" t="s">
        <v>7488</v>
      </c>
      <c r="C5808" s="154" t="s">
        <v>3854</v>
      </c>
      <c r="D5808" s="201" t="s">
        <v>1955</v>
      </c>
    </row>
    <row r="5809" spans="2:4">
      <c r="B5809" s="198" t="s">
        <v>7489</v>
      </c>
      <c r="C5809" s="154" t="s">
        <v>3854</v>
      </c>
      <c r="D5809" s="201" t="s">
        <v>1955</v>
      </c>
    </row>
    <row r="5810" spans="2:4">
      <c r="B5810" s="198" t="s">
        <v>7490</v>
      </c>
      <c r="C5810" s="154" t="s">
        <v>1511</v>
      </c>
      <c r="D5810" s="201" t="s">
        <v>1951</v>
      </c>
    </row>
    <row r="5811" spans="2:4">
      <c r="B5811" s="198" t="s">
        <v>7491</v>
      </c>
      <c r="C5811" s="154" t="s">
        <v>1511</v>
      </c>
      <c r="D5811" s="201" t="s">
        <v>1951</v>
      </c>
    </row>
    <row r="5812" spans="2:4">
      <c r="B5812" s="198" t="s">
        <v>7492</v>
      </c>
      <c r="C5812" s="154" t="s">
        <v>1577</v>
      </c>
      <c r="D5812" s="201" t="s">
        <v>1951</v>
      </c>
    </row>
    <row r="5813" spans="2:4">
      <c r="B5813" s="198" t="s">
        <v>7493</v>
      </c>
      <c r="C5813" s="154" t="s">
        <v>7494</v>
      </c>
      <c r="D5813" s="201" t="s">
        <v>1951</v>
      </c>
    </row>
    <row r="5814" spans="2:4">
      <c r="B5814" s="198" t="s">
        <v>7495</v>
      </c>
      <c r="C5814" s="154" t="s">
        <v>1631</v>
      </c>
      <c r="D5814" s="201" t="s">
        <v>1951</v>
      </c>
    </row>
    <row r="5815" spans="2:4">
      <c r="B5815" s="198" t="s">
        <v>7496</v>
      </c>
      <c r="C5815" s="154" t="s">
        <v>150</v>
      </c>
      <c r="D5815" s="201" t="s">
        <v>1951</v>
      </c>
    </row>
    <row r="5816" spans="2:4">
      <c r="B5816" s="198" t="s">
        <v>7497</v>
      </c>
      <c r="C5816" s="154" t="s">
        <v>150</v>
      </c>
      <c r="D5816" s="201" t="s">
        <v>1951</v>
      </c>
    </row>
    <row r="5817" spans="2:4">
      <c r="B5817" s="198" t="s">
        <v>7498</v>
      </c>
      <c r="C5817" s="154" t="s">
        <v>150</v>
      </c>
      <c r="D5817" s="201" t="s">
        <v>1951</v>
      </c>
    </row>
    <row r="5818" spans="2:4">
      <c r="B5818" s="198" t="s">
        <v>7499</v>
      </c>
      <c r="C5818" s="154" t="s">
        <v>150</v>
      </c>
      <c r="D5818" s="201" t="s">
        <v>1951</v>
      </c>
    </row>
    <row r="5819" spans="2:4">
      <c r="B5819" s="198" t="s">
        <v>7500</v>
      </c>
      <c r="C5819" s="154" t="s">
        <v>2916</v>
      </c>
      <c r="D5819" s="201" t="s">
        <v>1951</v>
      </c>
    </row>
    <row r="5820" spans="2:4">
      <c r="B5820" s="198" t="s">
        <v>7501</v>
      </c>
      <c r="C5820" s="154" t="s">
        <v>7502</v>
      </c>
      <c r="D5820" s="201" t="s">
        <v>1951</v>
      </c>
    </row>
    <row r="5821" spans="2:4">
      <c r="B5821" s="198" t="s">
        <v>7503</v>
      </c>
      <c r="C5821" s="154" t="s">
        <v>142</v>
      </c>
      <c r="D5821" s="201" t="s">
        <v>1954</v>
      </c>
    </row>
    <row r="5822" spans="2:4">
      <c r="B5822" s="198" t="s">
        <v>7504</v>
      </c>
      <c r="C5822" s="154" t="s">
        <v>142</v>
      </c>
      <c r="D5822" s="201" t="s">
        <v>1954</v>
      </c>
    </row>
    <row r="5823" spans="2:4">
      <c r="B5823" s="198" t="s">
        <v>7505</v>
      </c>
      <c r="C5823" s="154" t="s">
        <v>7506</v>
      </c>
      <c r="D5823" s="201" t="s">
        <v>5662</v>
      </c>
    </row>
    <row r="5824" spans="2:4">
      <c r="B5824" s="198" t="s">
        <v>7507</v>
      </c>
      <c r="C5824" s="154" t="s">
        <v>7350</v>
      </c>
      <c r="D5824" s="201" t="s">
        <v>5662</v>
      </c>
    </row>
    <row r="5825" spans="2:4">
      <c r="B5825" s="198" t="s">
        <v>7508</v>
      </c>
      <c r="C5825" s="154" t="s">
        <v>7151</v>
      </c>
      <c r="D5825" s="201" t="s">
        <v>5662</v>
      </c>
    </row>
    <row r="5826" spans="2:4">
      <c r="B5826" s="198" t="s">
        <v>7509</v>
      </c>
      <c r="C5826" s="154" t="s">
        <v>1038</v>
      </c>
      <c r="D5826" s="201" t="s">
        <v>5662</v>
      </c>
    </row>
    <row r="5827" spans="2:4">
      <c r="B5827" s="198" t="s">
        <v>7510</v>
      </c>
      <c r="C5827" s="154" t="s">
        <v>7511</v>
      </c>
      <c r="D5827" s="201" t="s">
        <v>5662</v>
      </c>
    </row>
    <row r="5828" spans="2:4">
      <c r="B5828" s="198" t="s">
        <v>7512</v>
      </c>
      <c r="C5828" s="154" t="s">
        <v>7513</v>
      </c>
      <c r="D5828" s="201" t="s">
        <v>5662</v>
      </c>
    </row>
    <row r="5829" spans="2:4">
      <c r="B5829" s="198" t="s">
        <v>7514</v>
      </c>
      <c r="C5829" s="154" t="s">
        <v>6416</v>
      </c>
      <c r="D5829" s="201" t="s">
        <v>5662</v>
      </c>
    </row>
    <row r="5830" spans="2:4">
      <c r="B5830" s="198" t="s">
        <v>7515</v>
      </c>
      <c r="C5830" s="154" t="s">
        <v>6416</v>
      </c>
      <c r="D5830" s="201" t="s">
        <v>5662</v>
      </c>
    </row>
    <row r="5831" spans="2:4">
      <c r="B5831" s="198" t="s">
        <v>7516</v>
      </c>
      <c r="C5831" s="154" t="s">
        <v>6416</v>
      </c>
      <c r="D5831" s="201" t="s">
        <v>5662</v>
      </c>
    </row>
    <row r="5832" spans="2:4">
      <c r="B5832" s="198" t="s">
        <v>7517</v>
      </c>
      <c r="C5832" s="154" t="s">
        <v>6416</v>
      </c>
      <c r="D5832" s="201" t="s">
        <v>5662</v>
      </c>
    </row>
    <row r="5833" spans="2:4">
      <c r="B5833" s="198" t="s">
        <v>7518</v>
      </c>
      <c r="C5833" s="154" t="s">
        <v>6416</v>
      </c>
      <c r="D5833" s="201" t="s">
        <v>5662</v>
      </c>
    </row>
    <row r="5834" spans="2:4">
      <c r="B5834" s="198" t="s">
        <v>7519</v>
      </c>
      <c r="C5834" s="154" t="s">
        <v>1560</v>
      </c>
      <c r="D5834" s="201" t="s">
        <v>1953</v>
      </c>
    </row>
    <row r="5835" spans="2:4">
      <c r="B5835" s="198" t="s">
        <v>7520</v>
      </c>
      <c r="C5835" s="154" t="s">
        <v>1560</v>
      </c>
      <c r="D5835" s="201" t="s">
        <v>1953</v>
      </c>
    </row>
    <row r="5836" spans="2:4">
      <c r="B5836" s="198" t="s">
        <v>7521</v>
      </c>
      <c r="C5836" s="154" t="s">
        <v>1710</v>
      </c>
      <c r="D5836" s="201" t="s">
        <v>1956</v>
      </c>
    </row>
    <row r="5837" spans="2:4">
      <c r="B5837" s="198" t="s">
        <v>7522</v>
      </c>
      <c r="C5837" s="154" t="s">
        <v>149</v>
      </c>
      <c r="D5837" s="201" t="s">
        <v>1956</v>
      </c>
    </row>
    <row r="5838" spans="2:4">
      <c r="B5838" s="198" t="s">
        <v>7523</v>
      </c>
      <c r="C5838" s="154" t="s">
        <v>149</v>
      </c>
      <c r="D5838" s="201" t="s">
        <v>1956</v>
      </c>
    </row>
    <row r="5839" spans="2:4">
      <c r="B5839" s="198" t="s">
        <v>7524</v>
      </c>
      <c r="C5839" s="154" t="s">
        <v>149</v>
      </c>
      <c r="D5839" s="201" t="s">
        <v>1956</v>
      </c>
    </row>
    <row r="5840" spans="2:4">
      <c r="B5840" s="198" t="s">
        <v>7525</v>
      </c>
      <c r="C5840" s="154" t="s">
        <v>149</v>
      </c>
      <c r="D5840" s="201" t="s">
        <v>1956</v>
      </c>
    </row>
    <row r="5841" spans="2:4">
      <c r="B5841" s="198" t="s">
        <v>7526</v>
      </c>
      <c r="C5841" s="154" t="s">
        <v>3081</v>
      </c>
      <c r="D5841" s="201" t="s">
        <v>1957</v>
      </c>
    </row>
    <row r="5842" spans="2:4">
      <c r="B5842" s="198" t="s">
        <v>7527</v>
      </c>
      <c r="C5842" s="154" t="s">
        <v>3081</v>
      </c>
      <c r="D5842" s="201" t="s">
        <v>1957</v>
      </c>
    </row>
    <row r="5843" spans="2:4">
      <c r="B5843" s="198" t="s">
        <v>7528</v>
      </c>
      <c r="C5843" s="154" t="s">
        <v>6818</v>
      </c>
      <c r="D5843" s="201" t="s">
        <v>1959</v>
      </c>
    </row>
    <row r="5844" spans="2:4">
      <c r="B5844" s="198" t="s">
        <v>7529</v>
      </c>
      <c r="C5844" s="154" t="s">
        <v>6818</v>
      </c>
      <c r="D5844" s="201" t="s">
        <v>1959</v>
      </c>
    </row>
    <row r="5845" spans="2:4">
      <c r="B5845" s="198" t="s">
        <v>7530</v>
      </c>
      <c r="C5845" s="154" t="s">
        <v>6818</v>
      </c>
      <c r="D5845" s="201" t="s">
        <v>1959</v>
      </c>
    </row>
    <row r="5846" spans="2:4">
      <c r="B5846" s="198" t="s">
        <v>7531</v>
      </c>
      <c r="C5846" s="154" t="s">
        <v>6818</v>
      </c>
      <c r="D5846" s="201" t="s">
        <v>1959</v>
      </c>
    </row>
    <row r="5847" spans="2:4">
      <c r="B5847" s="198" t="s">
        <v>7532</v>
      </c>
      <c r="C5847" s="154" t="s">
        <v>6818</v>
      </c>
      <c r="D5847" s="201" t="s">
        <v>1959</v>
      </c>
    </row>
    <row r="5848" spans="2:4">
      <c r="B5848" s="198" t="s">
        <v>7533</v>
      </c>
      <c r="C5848" s="154" t="s">
        <v>1644</v>
      </c>
      <c r="D5848" s="201" t="s">
        <v>1959</v>
      </c>
    </row>
    <row r="5849" spans="2:4">
      <c r="B5849" s="198" t="s">
        <v>7534</v>
      </c>
      <c r="C5849" s="154" t="s">
        <v>1566</v>
      </c>
      <c r="D5849" s="201" t="s">
        <v>1951</v>
      </c>
    </row>
    <row r="5850" spans="2:4">
      <c r="B5850" s="198" t="s">
        <v>7535</v>
      </c>
      <c r="C5850" s="154" t="s">
        <v>1625</v>
      </c>
      <c r="D5850" s="201" t="s">
        <v>1951</v>
      </c>
    </row>
    <row r="5851" spans="2:4">
      <c r="B5851" s="198" t="s">
        <v>7536</v>
      </c>
      <c r="C5851" s="154" t="s">
        <v>150</v>
      </c>
      <c r="D5851" s="201" t="s">
        <v>1951</v>
      </c>
    </row>
    <row r="5852" spans="2:4">
      <c r="B5852" s="198" t="s">
        <v>7537</v>
      </c>
      <c r="C5852" s="154" t="s">
        <v>150</v>
      </c>
      <c r="D5852" s="201" t="s">
        <v>1951</v>
      </c>
    </row>
    <row r="5853" spans="2:4">
      <c r="B5853" s="198" t="s">
        <v>7503</v>
      </c>
      <c r="C5853" s="154" t="s">
        <v>142</v>
      </c>
      <c r="D5853" s="201" t="s">
        <v>1954</v>
      </c>
    </row>
    <row r="5854" spans="2:4">
      <c r="B5854" s="198" t="s">
        <v>7504</v>
      </c>
      <c r="C5854" s="154" t="s">
        <v>142</v>
      </c>
      <c r="D5854" s="201" t="s">
        <v>1954</v>
      </c>
    </row>
    <row r="5855" spans="2:4">
      <c r="B5855" s="198" t="s">
        <v>7538</v>
      </c>
      <c r="C5855" s="154" t="s">
        <v>142</v>
      </c>
      <c r="D5855" s="201" t="s">
        <v>1954</v>
      </c>
    </row>
    <row r="5856" spans="2:4">
      <c r="B5856" s="198" t="s">
        <v>6227</v>
      </c>
      <c r="C5856" s="154" t="s">
        <v>142</v>
      </c>
      <c r="D5856" s="201" t="s">
        <v>1954</v>
      </c>
    </row>
    <row r="5857" spans="2:4">
      <c r="B5857" s="198" t="s">
        <v>6548</v>
      </c>
      <c r="C5857" s="154" t="s">
        <v>6463</v>
      </c>
      <c r="D5857" s="201" t="s">
        <v>5662</v>
      </c>
    </row>
    <row r="5858" spans="2:4">
      <c r="B5858" s="198" t="s">
        <v>7539</v>
      </c>
      <c r="C5858" s="154" t="s">
        <v>7540</v>
      </c>
      <c r="D5858" s="201" t="s">
        <v>5662</v>
      </c>
    </row>
    <row r="5859" spans="2:4">
      <c r="B5859" s="198" t="s">
        <v>7541</v>
      </c>
      <c r="C5859" s="154" t="s">
        <v>7150</v>
      </c>
      <c r="D5859" s="201" t="s">
        <v>5662</v>
      </c>
    </row>
    <row r="5860" spans="2:4">
      <c r="B5860" s="198" t="s">
        <v>640</v>
      </c>
      <c r="C5860" s="154" t="s">
        <v>7542</v>
      </c>
      <c r="D5860" s="201" t="s">
        <v>5662</v>
      </c>
    </row>
    <row r="5861" spans="2:4">
      <c r="B5861" s="198" t="s">
        <v>7543</v>
      </c>
      <c r="C5861" s="154" t="s">
        <v>7544</v>
      </c>
      <c r="D5861" s="201" t="s">
        <v>5662</v>
      </c>
    </row>
    <row r="5862" spans="2:4">
      <c r="B5862" s="198" t="s">
        <v>7545</v>
      </c>
      <c r="C5862" s="154" t="s">
        <v>6092</v>
      </c>
      <c r="D5862" s="201" t="s">
        <v>5662</v>
      </c>
    </row>
    <row r="5863" spans="2:4">
      <c r="B5863" s="198" t="s">
        <v>7546</v>
      </c>
      <c r="C5863" s="154" t="s">
        <v>7547</v>
      </c>
      <c r="D5863" s="201" t="s">
        <v>5662</v>
      </c>
    </row>
    <row r="5864" spans="2:4">
      <c r="B5864" s="198" t="s">
        <v>7548</v>
      </c>
      <c r="C5864" s="154" t="s">
        <v>3854</v>
      </c>
      <c r="D5864" s="201" t="s">
        <v>1955</v>
      </c>
    </row>
    <row r="5865" spans="2:4">
      <c r="B5865" s="198" t="s">
        <v>7549</v>
      </c>
      <c r="C5865" s="154" t="s">
        <v>3854</v>
      </c>
      <c r="D5865" s="201" t="s">
        <v>1955</v>
      </c>
    </row>
    <row r="5866" spans="2:4">
      <c r="B5866" s="198" t="s">
        <v>7550</v>
      </c>
      <c r="C5866" s="154" t="s">
        <v>3357</v>
      </c>
      <c r="D5866" s="201" t="s">
        <v>1951</v>
      </c>
    </row>
    <row r="5867" spans="2:4">
      <c r="B5867" s="198" t="s">
        <v>7551</v>
      </c>
      <c r="C5867" s="154" t="s">
        <v>1622</v>
      </c>
      <c r="D5867" s="201" t="s">
        <v>1954</v>
      </c>
    </row>
    <row r="5868" spans="2:4">
      <c r="B5868" s="198" t="s">
        <v>7552</v>
      </c>
      <c r="C5868" s="154" t="s">
        <v>7149</v>
      </c>
      <c r="D5868" s="201" t="s">
        <v>5662</v>
      </c>
    </row>
    <row r="5869" spans="2:4">
      <c r="B5869" s="198" t="s">
        <v>7553</v>
      </c>
      <c r="C5869" s="154" t="s">
        <v>7149</v>
      </c>
      <c r="D5869" s="201" t="s">
        <v>5662</v>
      </c>
    </row>
    <row r="5870" spans="2:4">
      <c r="B5870" s="198" t="s">
        <v>7554</v>
      </c>
      <c r="C5870" s="154" t="s">
        <v>5713</v>
      </c>
      <c r="D5870" s="201" t="s">
        <v>5662</v>
      </c>
    </row>
    <row r="5871" spans="2:4">
      <c r="B5871" s="198" t="s">
        <v>7555</v>
      </c>
      <c r="C5871" s="154" t="s">
        <v>7556</v>
      </c>
      <c r="D5871" s="201" t="s">
        <v>5662</v>
      </c>
    </row>
    <row r="5872" spans="2:4">
      <c r="B5872" s="198" t="s">
        <v>7557</v>
      </c>
      <c r="C5872" s="154" t="s">
        <v>7558</v>
      </c>
      <c r="D5872" s="201" t="s">
        <v>5662</v>
      </c>
    </row>
    <row r="5873" spans="2:4">
      <c r="B5873" s="198" t="s">
        <v>7559</v>
      </c>
      <c r="C5873" s="154" t="s">
        <v>6092</v>
      </c>
      <c r="D5873" s="201" t="s">
        <v>5662</v>
      </c>
    </row>
    <row r="5874" spans="2:4">
      <c r="B5874" s="198" t="s">
        <v>7560</v>
      </c>
      <c r="C5874" s="154" t="s">
        <v>6092</v>
      </c>
      <c r="D5874" s="201" t="s">
        <v>5662</v>
      </c>
    </row>
    <row r="5875" spans="2:4">
      <c r="B5875" s="198" t="s">
        <v>7561</v>
      </c>
      <c r="C5875" s="154" t="s">
        <v>7068</v>
      </c>
      <c r="D5875" s="201" t="s">
        <v>5662</v>
      </c>
    </row>
    <row r="5876" spans="2:4">
      <c r="B5876" s="198" t="s">
        <v>7562</v>
      </c>
      <c r="C5876" s="154" t="s">
        <v>7563</v>
      </c>
      <c r="D5876" s="201" t="s">
        <v>5662</v>
      </c>
    </row>
    <row r="5877" spans="2:4">
      <c r="B5877" s="198" t="s">
        <v>7564</v>
      </c>
      <c r="C5877" s="154" t="s">
        <v>7565</v>
      </c>
      <c r="D5877" s="201" t="s">
        <v>5662</v>
      </c>
    </row>
    <row r="5878" spans="2:4">
      <c r="B5878" s="198" t="s">
        <v>7566</v>
      </c>
      <c r="C5878" s="154" t="s">
        <v>7567</v>
      </c>
      <c r="D5878" s="201" t="s">
        <v>5662</v>
      </c>
    </row>
    <row r="5879" spans="2:4">
      <c r="B5879" s="198" t="s">
        <v>7568</v>
      </c>
      <c r="C5879" s="154" t="s">
        <v>1641</v>
      </c>
      <c r="D5879" s="201" t="s">
        <v>1958</v>
      </c>
    </row>
    <row r="5880" spans="2:4">
      <c r="B5880" s="198" t="s">
        <v>7569</v>
      </c>
      <c r="C5880" s="154" t="s">
        <v>1644</v>
      </c>
      <c r="D5880" s="201" t="s">
        <v>1959</v>
      </c>
    </row>
    <row r="5881" spans="2:4">
      <c r="B5881" s="198" t="s">
        <v>7570</v>
      </c>
      <c r="C5881" s="154" t="s">
        <v>1610</v>
      </c>
      <c r="D5881" s="201" t="s">
        <v>1959</v>
      </c>
    </row>
    <row r="5882" spans="2:4">
      <c r="B5882" s="198" t="s">
        <v>7571</v>
      </c>
      <c r="C5882" s="154" t="s">
        <v>7152</v>
      </c>
      <c r="D5882" s="201" t="s">
        <v>5662</v>
      </c>
    </row>
    <row r="5883" spans="2:4">
      <c r="B5883" s="198" t="s">
        <v>7572</v>
      </c>
      <c r="C5883" s="154" t="s">
        <v>7350</v>
      </c>
      <c r="D5883" s="201" t="s">
        <v>5662</v>
      </c>
    </row>
    <row r="5884" spans="2:4">
      <c r="B5884" s="198" t="s">
        <v>7573</v>
      </c>
      <c r="C5884" s="154" t="s">
        <v>7348</v>
      </c>
      <c r="D5884" s="201" t="s">
        <v>5662</v>
      </c>
    </row>
    <row r="5885" spans="2:4">
      <c r="B5885" s="198" t="s">
        <v>7574</v>
      </c>
      <c r="C5885" s="154" t="s">
        <v>7348</v>
      </c>
      <c r="D5885" s="201" t="s">
        <v>5662</v>
      </c>
    </row>
    <row r="5886" spans="2:4">
      <c r="B5886" s="198" t="s">
        <v>7575</v>
      </c>
      <c r="C5886" s="154" t="s">
        <v>7348</v>
      </c>
      <c r="D5886" s="201" t="s">
        <v>5662</v>
      </c>
    </row>
    <row r="5887" spans="2:4">
      <c r="B5887" s="198" t="s">
        <v>7576</v>
      </c>
      <c r="C5887" s="154" t="s">
        <v>7348</v>
      </c>
      <c r="D5887" s="201" t="s">
        <v>5662</v>
      </c>
    </row>
    <row r="5888" spans="2:4">
      <c r="B5888" s="198" t="s">
        <v>7577</v>
      </c>
      <c r="C5888" s="154" t="s">
        <v>7348</v>
      </c>
      <c r="D5888" s="201" t="s">
        <v>5662</v>
      </c>
    </row>
    <row r="5889" spans="2:4">
      <c r="B5889" s="198" t="s">
        <v>7578</v>
      </c>
      <c r="C5889" s="154" t="s">
        <v>7348</v>
      </c>
      <c r="D5889" s="201" t="s">
        <v>5662</v>
      </c>
    </row>
    <row r="5890" spans="2:4">
      <c r="B5890" s="198" t="s">
        <v>7579</v>
      </c>
      <c r="C5890" s="154" t="s">
        <v>7348</v>
      </c>
      <c r="D5890" s="201" t="s">
        <v>5662</v>
      </c>
    </row>
    <row r="5891" spans="2:4">
      <c r="B5891" s="198" t="s">
        <v>7580</v>
      </c>
      <c r="C5891" s="154" t="s">
        <v>1560</v>
      </c>
      <c r="D5891" s="201" t="s">
        <v>1953</v>
      </c>
    </row>
    <row r="5892" spans="2:4">
      <c r="B5892" s="198" t="s">
        <v>7581</v>
      </c>
      <c r="C5892" s="154" t="s">
        <v>1560</v>
      </c>
      <c r="D5892" s="201" t="s">
        <v>1953</v>
      </c>
    </row>
    <row r="5893" spans="2:4">
      <c r="B5893" s="198" t="s">
        <v>7582</v>
      </c>
      <c r="C5893" s="154" t="s">
        <v>1699</v>
      </c>
      <c r="D5893" s="201" t="s">
        <v>1956</v>
      </c>
    </row>
    <row r="5894" spans="2:4">
      <c r="B5894" s="198" t="s">
        <v>7583</v>
      </c>
      <c r="C5894" s="154" t="s">
        <v>3279</v>
      </c>
      <c r="D5894" s="201" t="s">
        <v>2216</v>
      </c>
    </row>
    <row r="5895" spans="2:4">
      <c r="B5895" s="198" t="s">
        <v>7266</v>
      </c>
      <c r="C5895" s="154" t="s">
        <v>6164</v>
      </c>
      <c r="D5895" s="201" t="s">
        <v>1954</v>
      </c>
    </row>
    <row r="5896" spans="2:4">
      <c r="B5896" s="198" t="s">
        <v>7267</v>
      </c>
      <c r="C5896" s="154" t="s">
        <v>3213</v>
      </c>
      <c r="D5896" s="201" t="s">
        <v>1953</v>
      </c>
    </row>
    <row r="5897" spans="2:4">
      <c r="B5897" s="198" t="s">
        <v>7268</v>
      </c>
      <c r="C5897" s="154" t="s">
        <v>3540</v>
      </c>
      <c r="D5897" s="201" t="s">
        <v>1956</v>
      </c>
    </row>
    <row r="5898" spans="2:4">
      <c r="B5898" s="198" t="s">
        <v>7269</v>
      </c>
      <c r="C5898" s="154" t="s">
        <v>5903</v>
      </c>
      <c r="D5898" s="201" t="s">
        <v>1951</v>
      </c>
    </row>
    <row r="5899" spans="2:4">
      <c r="B5899" s="198" t="s">
        <v>7584</v>
      </c>
      <c r="C5899" s="154" t="s">
        <v>3081</v>
      </c>
      <c r="D5899" s="201" t="s">
        <v>1957</v>
      </c>
    </row>
    <row r="5900" spans="2:4">
      <c r="B5900" s="198" t="s">
        <v>7585</v>
      </c>
      <c r="C5900" s="154" t="s">
        <v>3081</v>
      </c>
      <c r="D5900" s="201" t="s">
        <v>1957</v>
      </c>
    </row>
    <row r="5901" spans="2:4">
      <c r="B5901" s="198" t="s">
        <v>7586</v>
      </c>
      <c r="C5901" s="154" t="s">
        <v>3081</v>
      </c>
      <c r="D5901" s="201" t="s">
        <v>1957</v>
      </c>
    </row>
    <row r="5902" spans="2:4">
      <c r="B5902" s="198" t="s">
        <v>7587</v>
      </c>
      <c r="C5902" s="154" t="s">
        <v>6818</v>
      </c>
      <c r="D5902" s="201" t="s">
        <v>1959</v>
      </c>
    </row>
    <row r="5903" spans="2:4">
      <c r="B5903" s="198" t="s">
        <v>7588</v>
      </c>
      <c r="C5903" s="154" t="s">
        <v>6818</v>
      </c>
      <c r="D5903" s="201" t="s">
        <v>1959</v>
      </c>
    </row>
    <row r="5904" spans="2:4">
      <c r="B5904" s="198" t="s">
        <v>7589</v>
      </c>
      <c r="C5904" s="154" t="s">
        <v>6818</v>
      </c>
      <c r="D5904" s="201" t="s">
        <v>1959</v>
      </c>
    </row>
    <row r="5905" spans="2:4">
      <c r="B5905" s="198" t="s">
        <v>7590</v>
      </c>
      <c r="C5905" s="154" t="s">
        <v>6818</v>
      </c>
      <c r="D5905" s="201" t="s">
        <v>1959</v>
      </c>
    </row>
    <row r="5906" spans="2:4">
      <c r="B5906" s="198" t="s">
        <v>7591</v>
      </c>
      <c r="C5906" s="154" t="s">
        <v>6818</v>
      </c>
      <c r="D5906" s="201" t="s">
        <v>1959</v>
      </c>
    </row>
    <row r="5907" spans="2:4">
      <c r="B5907" s="198" t="s">
        <v>7592</v>
      </c>
      <c r="C5907" s="154" t="s">
        <v>6818</v>
      </c>
      <c r="D5907" s="201" t="s">
        <v>1959</v>
      </c>
    </row>
    <row r="5908" spans="2:4">
      <c r="B5908" s="198" t="s">
        <v>7593</v>
      </c>
      <c r="C5908" s="154" t="s">
        <v>1611</v>
      </c>
      <c r="D5908" s="201" t="s">
        <v>1959</v>
      </c>
    </row>
    <row r="5909" spans="2:4">
      <c r="B5909" s="198" t="s">
        <v>7594</v>
      </c>
      <c r="C5909" s="154" t="s">
        <v>5764</v>
      </c>
      <c r="D5909" s="201" t="s">
        <v>1959</v>
      </c>
    </row>
    <row r="5910" spans="2:4">
      <c r="B5910" s="198" t="s">
        <v>7595</v>
      </c>
      <c r="C5910" s="154" t="s">
        <v>1644</v>
      </c>
      <c r="D5910" s="201" t="s">
        <v>1959</v>
      </c>
    </row>
    <row r="5911" spans="2:4">
      <c r="B5911" s="198" t="s">
        <v>7596</v>
      </c>
      <c r="C5911" s="154" t="s">
        <v>1644</v>
      </c>
      <c r="D5911" s="201" t="s">
        <v>1959</v>
      </c>
    </row>
    <row r="5912" spans="2:4">
      <c r="B5912" s="198" t="s">
        <v>7597</v>
      </c>
      <c r="C5912" s="154" t="s">
        <v>1644</v>
      </c>
      <c r="D5912" s="201" t="s">
        <v>1959</v>
      </c>
    </row>
    <row r="5913" spans="2:4">
      <c r="B5913" s="198" t="s">
        <v>7598</v>
      </c>
      <c r="C5913" s="154" t="s">
        <v>3886</v>
      </c>
      <c r="D5913" s="201" t="s">
        <v>1959</v>
      </c>
    </row>
    <row r="5914" spans="2:4">
      <c r="B5914" s="198" t="s">
        <v>7599</v>
      </c>
      <c r="C5914" s="154" t="s">
        <v>7600</v>
      </c>
      <c r="D5914" s="201" t="s">
        <v>1959</v>
      </c>
    </row>
    <row r="5915" spans="2:4">
      <c r="B5915" s="198" t="s">
        <v>7601</v>
      </c>
      <c r="C5915" s="154" t="s">
        <v>7600</v>
      </c>
      <c r="D5915" s="201" t="s">
        <v>1959</v>
      </c>
    </row>
    <row r="5916" spans="2:4">
      <c r="B5916" s="198" t="s">
        <v>7602</v>
      </c>
      <c r="C5916" s="154" t="s">
        <v>1633</v>
      </c>
      <c r="D5916" s="201" t="s">
        <v>1959</v>
      </c>
    </row>
    <row r="5917" spans="2:4">
      <c r="B5917" s="198" t="s">
        <v>7603</v>
      </c>
      <c r="C5917" s="154" t="s">
        <v>3279</v>
      </c>
      <c r="D5917" s="201" t="s">
        <v>2216</v>
      </c>
    </row>
    <row r="5918" spans="2:4">
      <c r="B5918" s="198" t="s">
        <v>7604</v>
      </c>
      <c r="C5918" s="154" t="s">
        <v>3279</v>
      </c>
      <c r="D5918" s="201" t="s">
        <v>2216</v>
      </c>
    </row>
    <row r="5919" spans="2:4">
      <c r="B5919" s="198" t="s">
        <v>7605</v>
      </c>
      <c r="C5919" s="154" t="s">
        <v>3279</v>
      </c>
      <c r="D5919" s="201" t="s">
        <v>2216</v>
      </c>
    </row>
    <row r="5920" spans="2:4">
      <c r="B5920" s="198" t="s">
        <v>7606</v>
      </c>
      <c r="C5920" s="154" t="s">
        <v>5763</v>
      </c>
      <c r="D5920" s="201" t="s">
        <v>2216</v>
      </c>
    </row>
    <row r="5921" spans="2:4">
      <c r="B5921" s="198" t="s">
        <v>7607</v>
      </c>
      <c r="C5921" s="154" t="s">
        <v>5763</v>
      </c>
      <c r="D5921" s="201" t="s">
        <v>2216</v>
      </c>
    </row>
    <row r="5922" spans="2:4">
      <c r="B5922" s="198" t="s">
        <v>7608</v>
      </c>
      <c r="C5922" s="154" t="s">
        <v>5763</v>
      </c>
      <c r="D5922" s="201" t="s">
        <v>2216</v>
      </c>
    </row>
    <row r="5923" spans="2:4">
      <c r="B5923" s="198" t="s">
        <v>7609</v>
      </c>
      <c r="C5923" s="154" t="s">
        <v>5763</v>
      </c>
      <c r="D5923" s="201" t="s">
        <v>2216</v>
      </c>
    </row>
    <row r="5924" spans="2:4">
      <c r="B5924" s="198" t="s">
        <v>7610</v>
      </c>
      <c r="C5924" s="154" t="s">
        <v>5763</v>
      </c>
      <c r="D5924" s="201" t="s">
        <v>2216</v>
      </c>
    </row>
    <row r="5925" spans="2:4">
      <c r="B5925" s="198" t="s">
        <v>7611</v>
      </c>
      <c r="C5925" s="154" t="s">
        <v>5763</v>
      </c>
      <c r="D5925" s="201" t="s">
        <v>2216</v>
      </c>
    </row>
    <row r="5926" spans="2:4">
      <c r="B5926" s="198" t="s">
        <v>7612</v>
      </c>
      <c r="C5926" s="154" t="s">
        <v>5763</v>
      </c>
      <c r="D5926" s="201" t="s">
        <v>2216</v>
      </c>
    </row>
    <row r="5927" spans="2:4">
      <c r="B5927" s="198" t="s">
        <v>7613</v>
      </c>
      <c r="C5927" s="154" t="s">
        <v>5763</v>
      </c>
      <c r="D5927" s="201" t="s">
        <v>2216</v>
      </c>
    </row>
    <row r="5928" spans="2:4">
      <c r="B5928" s="198" t="s">
        <v>7614</v>
      </c>
      <c r="C5928" s="154" t="s">
        <v>5763</v>
      </c>
      <c r="D5928" s="201" t="s">
        <v>2216</v>
      </c>
    </row>
    <row r="5929" spans="2:4">
      <c r="B5929" s="198" t="s">
        <v>7615</v>
      </c>
      <c r="C5929" s="154" t="s">
        <v>5763</v>
      </c>
      <c r="D5929" s="201" t="s">
        <v>2216</v>
      </c>
    </row>
    <row r="5930" spans="2:4">
      <c r="B5930" s="198" t="s">
        <v>7616</v>
      </c>
      <c r="C5930" s="154" t="s">
        <v>5763</v>
      </c>
      <c r="D5930" s="201" t="s">
        <v>2216</v>
      </c>
    </row>
    <row r="5931" spans="2:4">
      <c r="B5931" s="198" t="s">
        <v>7617</v>
      </c>
      <c r="C5931" s="154" t="s">
        <v>3756</v>
      </c>
      <c r="D5931" s="201" t="s">
        <v>2216</v>
      </c>
    </row>
    <row r="5932" spans="2:4">
      <c r="B5932" s="198" t="s">
        <v>7618</v>
      </c>
      <c r="C5932" s="154" t="s">
        <v>3756</v>
      </c>
      <c r="D5932" s="201" t="s">
        <v>2216</v>
      </c>
    </row>
    <row r="5933" spans="2:4">
      <c r="B5933" s="198" t="s">
        <v>7619</v>
      </c>
      <c r="C5933" s="154" t="s">
        <v>3756</v>
      </c>
      <c r="D5933" s="201" t="s">
        <v>2216</v>
      </c>
    </row>
    <row r="5934" spans="2:4">
      <c r="B5934" s="198" t="s">
        <v>7620</v>
      </c>
      <c r="C5934" s="154" t="s">
        <v>3756</v>
      </c>
      <c r="D5934" s="201" t="s">
        <v>2216</v>
      </c>
    </row>
    <row r="5935" spans="2:4">
      <c r="B5935" s="198" t="s">
        <v>7621</v>
      </c>
      <c r="C5935" s="154" t="s">
        <v>1595</v>
      </c>
      <c r="D5935" s="201" t="s">
        <v>1956</v>
      </c>
    </row>
    <row r="5936" spans="2:4">
      <c r="B5936" s="198" t="s">
        <v>7446</v>
      </c>
      <c r="C5936" s="154" t="s">
        <v>149</v>
      </c>
      <c r="D5936" s="201" t="s">
        <v>1956</v>
      </c>
    </row>
    <row r="5937" spans="2:4">
      <c r="B5937" s="198" t="s">
        <v>7622</v>
      </c>
      <c r="C5937" s="154" t="s">
        <v>149</v>
      </c>
      <c r="D5937" s="201" t="s">
        <v>1956</v>
      </c>
    </row>
    <row r="5938" spans="2:4">
      <c r="B5938" s="198" t="s">
        <v>7623</v>
      </c>
      <c r="C5938" s="154" t="s">
        <v>149</v>
      </c>
      <c r="D5938" s="201" t="s">
        <v>1956</v>
      </c>
    </row>
    <row r="5939" spans="2:4">
      <c r="B5939" s="198" t="s">
        <v>7624</v>
      </c>
      <c r="C5939" s="154" t="s">
        <v>149</v>
      </c>
      <c r="D5939" s="201" t="s">
        <v>1956</v>
      </c>
    </row>
    <row r="5940" spans="2:4">
      <c r="B5940" s="198" t="s">
        <v>7625</v>
      </c>
      <c r="C5940" s="154" t="s">
        <v>1628</v>
      </c>
      <c r="D5940" s="201" t="s">
        <v>1956</v>
      </c>
    </row>
    <row r="5941" spans="2:4">
      <c r="B5941" s="198" t="s">
        <v>7626</v>
      </c>
      <c r="C5941" s="154" t="s">
        <v>1844</v>
      </c>
      <c r="D5941" s="201" t="s">
        <v>1955</v>
      </c>
    </row>
    <row r="5942" spans="2:4">
      <c r="B5942" s="198" t="s">
        <v>7627</v>
      </c>
      <c r="C5942" s="154" t="s">
        <v>1844</v>
      </c>
      <c r="D5942" s="201" t="s">
        <v>1955</v>
      </c>
    </row>
    <row r="5943" spans="2:4">
      <c r="B5943" s="198" t="s">
        <v>7628</v>
      </c>
      <c r="C5943" s="154" t="s">
        <v>7629</v>
      </c>
      <c r="D5943" s="201" t="s">
        <v>1955</v>
      </c>
    </row>
    <row r="5944" spans="2:4">
      <c r="B5944" s="198" t="s">
        <v>7630</v>
      </c>
      <c r="C5944" s="154" t="s">
        <v>1511</v>
      </c>
      <c r="D5944" s="201" t="s">
        <v>1951</v>
      </c>
    </row>
    <row r="5945" spans="2:4">
      <c r="B5945" s="198" t="s">
        <v>7631</v>
      </c>
      <c r="C5945" s="154" t="s">
        <v>3357</v>
      </c>
      <c r="D5945" s="201" t="s">
        <v>1951</v>
      </c>
    </row>
    <row r="5946" spans="2:4">
      <c r="B5946" s="198" t="s">
        <v>7632</v>
      </c>
      <c r="C5946" s="154" t="s">
        <v>3357</v>
      </c>
      <c r="D5946" s="201" t="s">
        <v>1951</v>
      </c>
    </row>
    <row r="5947" spans="2:4">
      <c r="B5947" s="198" t="s">
        <v>7633</v>
      </c>
      <c r="C5947" s="154" t="s">
        <v>150</v>
      </c>
      <c r="D5947" s="201" t="s">
        <v>1951</v>
      </c>
    </row>
    <row r="5948" spans="2:4">
      <c r="B5948" s="198" t="s">
        <v>7634</v>
      </c>
      <c r="C5948" s="154" t="s">
        <v>150</v>
      </c>
      <c r="D5948" s="201" t="s">
        <v>1951</v>
      </c>
    </row>
    <row r="5949" spans="2:4">
      <c r="B5949" s="198" t="s">
        <v>7635</v>
      </c>
      <c r="C5949" s="154" t="s">
        <v>7436</v>
      </c>
      <c r="D5949" s="201" t="s">
        <v>1951</v>
      </c>
    </row>
    <row r="5950" spans="2:4">
      <c r="B5950" s="198" t="s">
        <v>7636</v>
      </c>
      <c r="C5950" s="154" t="s">
        <v>7502</v>
      </c>
      <c r="D5950" s="201" t="s">
        <v>1951</v>
      </c>
    </row>
    <row r="5951" spans="2:4">
      <c r="B5951" s="198" t="s">
        <v>7637</v>
      </c>
      <c r="C5951" s="154" t="s">
        <v>7502</v>
      </c>
      <c r="D5951" s="201" t="s">
        <v>1951</v>
      </c>
    </row>
    <row r="5952" spans="2:4">
      <c r="B5952" s="198"/>
      <c r="C5952" s="154"/>
      <c r="D5952" s="201"/>
    </row>
    <row r="5953" spans="2:4">
      <c r="B5953" s="198" t="s">
        <v>7638</v>
      </c>
      <c r="C5953" s="154" t="s">
        <v>1575</v>
      </c>
      <c r="D5953" s="201" t="s">
        <v>1959</v>
      </c>
    </row>
    <row r="5954" spans="2:4">
      <c r="B5954" s="198" t="s">
        <v>7639</v>
      </c>
      <c r="C5954" s="154" t="s">
        <v>7640</v>
      </c>
      <c r="D5954" s="201" t="s">
        <v>6237</v>
      </c>
    </row>
    <row r="5955" spans="2:4">
      <c r="B5955" s="198" t="s">
        <v>7641</v>
      </c>
      <c r="C5955" s="154" t="s">
        <v>7642</v>
      </c>
      <c r="D5955" s="201" t="s">
        <v>6237</v>
      </c>
    </row>
    <row r="5956" spans="2:4">
      <c r="B5956" s="198" t="s">
        <v>7643</v>
      </c>
      <c r="C5956" s="154" t="s">
        <v>7502</v>
      </c>
      <c r="D5956" s="201" t="s">
        <v>1951</v>
      </c>
    </row>
    <row r="5957" spans="2:4">
      <c r="B5957" s="198" t="s">
        <v>7644</v>
      </c>
      <c r="C5957" s="154" t="s">
        <v>7506</v>
      </c>
      <c r="D5957" s="201" t="s">
        <v>5662</v>
      </c>
    </row>
    <row r="5958" spans="2:4">
      <c r="B5958" s="198" t="s">
        <v>7645</v>
      </c>
      <c r="C5958" s="154" t="s">
        <v>7152</v>
      </c>
      <c r="D5958" s="201" t="s">
        <v>5662</v>
      </c>
    </row>
    <row r="5959" spans="2:4">
      <c r="B5959" s="198" t="s">
        <v>7646</v>
      </c>
      <c r="C5959" s="154" t="s">
        <v>7152</v>
      </c>
      <c r="D5959" s="201" t="s">
        <v>5662</v>
      </c>
    </row>
    <row r="5960" spans="2:4">
      <c r="B5960" s="198" t="s">
        <v>7647</v>
      </c>
      <c r="C5960" s="154" t="s">
        <v>1038</v>
      </c>
      <c r="D5960" s="201" t="s">
        <v>5662</v>
      </c>
    </row>
    <row r="5961" spans="2:4">
      <c r="B5961" s="198" t="s">
        <v>7648</v>
      </c>
      <c r="C5961" s="154" t="s">
        <v>1038</v>
      </c>
      <c r="D5961" s="201" t="s">
        <v>5662</v>
      </c>
    </row>
    <row r="5962" spans="2:4">
      <c r="B5962" s="198" t="s">
        <v>7649</v>
      </c>
      <c r="C5962" s="154" t="s">
        <v>1038</v>
      </c>
      <c r="D5962" s="201" t="s">
        <v>5662</v>
      </c>
    </row>
    <row r="5963" spans="2:4">
      <c r="B5963" s="198" t="s">
        <v>7650</v>
      </c>
      <c r="C5963" s="154" t="s">
        <v>1038</v>
      </c>
      <c r="D5963" s="201" t="s">
        <v>5662</v>
      </c>
    </row>
    <row r="5964" spans="2:4">
      <c r="B5964" s="198" t="s">
        <v>7651</v>
      </c>
      <c r="C5964" s="154" t="s">
        <v>7511</v>
      </c>
      <c r="D5964" s="201" t="s">
        <v>5662</v>
      </c>
    </row>
    <row r="5965" spans="2:4">
      <c r="B5965" s="198" t="s">
        <v>7652</v>
      </c>
      <c r="C5965" s="154" t="s">
        <v>7511</v>
      </c>
      <c r="D5965" s="201" t="s">
        <v>5662</v>
      </c>
    </row>
    <row r="5966" spans="2:4">
      <c r="B5966" s="198" t="s">
        <v>7653</v>
      </c>
      <c r="C5966" s="154" t="s">
        <v>7654</v>
      </c>
      <c r="D5966" s="201" t="s">
        <v>5662</v>
      </c>
    </row>
    <row r="5967" spans="2:4">
      <c r="B5967" s="198" t="s">
        <v>7655</v>
      </c>
      <c r="C5967" s="154" t="s">
        <v>6416</v>
      </c>
      <c r="D5967" s="201" t="s">
        <v>5662</v>
      </c>
    </row>
    <row r="5968" spans="2:4">
      <c r="B5968" s="198" t="s">
        <v>7656</v>
      </c>
      <c r="C5968" s="154" t="s">
        <v>6416</v>
      </c>
      <c r="D5968" s="201" t="s">
        <v>5662</v>
      </c>
    </row>
    <row r="5969" spans="2:4">
      <c r="B5969" s="198" t="s">
        <v>7657</v>
      </c>
      <c r="C5969" s="154" t="s">
        <v>6416</v>
      </c>
      <c r="D5969" s="201" t="s">
        <v>5662</v>
      </c>
    </row>
    <row r="5970" spans="2:4">
      <c r="B5970" s="198" t="s">
        <v>7658</v>
      </c>
      <c r="C5970" s="154" t="s">
        <v>7239</v>
      </c>
      <c r="D5970" s="201" t="s">
        <v>5662</v>
      </c>
    </row>
    <row r="5971" spans="2:4">
      <c r="B5971" s="198" t="s">
        <v>7659</v>
      </c>
      <c r="C5971" s="154" t="s">
        <v>1699</v>
      </c>
      <c r="D5971" s="201" t="s">
        <v>1956</v>
      </c>
    </row>
    <row r="5972" spans="2:4">
      <c r="B5972" s="198" t="s">
        <v>7660</v>
      </c>
      <c r="C5972" s="154" t="s">
        <v>1595</v>
      </c>
      <c r="D5972" s="201" t="s">
        <v>1956</v>
      </c>
    </row>
    <row r="5973" spans="2:4">
      <c r="B5973" s="198" t="s">
        <v>7661</v>
      </c>
      <c r="C5973" s="154" t="s">
        <v>149</v>
      </c>
      <c r="D5973" s="201" t="s">
        <v>1956</v>
      </c>
    </row>
    <row r="5974" spans="2:4">
      <c r="B5974" s="198" t="s">
        <v>7662</v>
      </c>
      <c r="C5974" s="154" t="s">
        <v>1576</v>
      </c>
      <c r="D5974" s="201" t="s">
        <v>1956</v>
      </c>
    </row>
    <row r="5975" spans="2:4">
      <c r="B5975" s="198" t="s">
        <v>7663</v>
      </c>
      <c r="C5975" s="154" t="s">
        <v>1611</v>
      </c>
      <c r="D5975" s="201" t="s">
        <v>1959</v>
      </c>
    </row>
    <row r="5976" spans="2:4">
      <c r="B5976" s="198" t="s">
        <v>7664</v>
      </c>
      <c r="C5976" s="154" t="s">
        <v>3756</v>
      </c>
      <c r="D5976" s="201" t="s">
        <v>2216</v>
      </c>
    </row>
    <row r="5977" spans="2:4">
      <c r="B5977" s="198" t="s">
        <v>7665</v>
      </c>
      <c r="C5977" s="154" t="s">
        <v>1541</v>
      </c>
      <c r="D5977" s="201" t="s">
        <v>1955</v>
      </c>
    </row>
    <row r="5978" spans="2:4">
      <c r="B5978" s="198" t="s">
        <v>7666</v>
      </c>
      <c r="C5978" s="154" t="s">
        <v>1541</v>
      </c>
      <c r="D5978" s="201" t="s">
        <v>1955</v>
      </c>
    </row>
    <row r="5979" spans="2:4">
      <c r="B5979" s="198" t="s">
        <v>7667</v>
      </c>
      <c r="C5979" s="154" t="s">
        <v>7668</v>
      </c>
      <c r="D5979" s="201" t="s">
        <v>1951</v>
      </c>
    </row>
    <row r="5980" spans="2:4">
      <c r="B5980" s="198" t="s">
        <v>7669</v>
      </c>
      <c r="C5980" s="154" t="s">
        <v>7670</v>
      </c>
      <c r="D5980" s="201" t="s">
        <v>5662</v>
      </c>
    </row>
    <row r="5981" spans="2:4">
      <c r="B5981" s="198" t="s">
        <v>7671</v>
      </c>
      <c r="C5981" s="154" t="s">
        <v>7152</v>
      </c>
      <c r="D5981" s="201" t="s">
        <v>5662</v>
      </c>
    </row>
    <row r="5982" spans="2:4">
      <c r="B5982" s="198" t="s">
        <v>7672</v>
      </c>
      <c r="C5982" s="154" t="s">
        <v>7152</v>
      </c>
      <c r="D5982" s="201" t="s">
        <v>5662</v>
      </c>
    </row>
    <row r="5983" spans="2:4">
      <c r="B5983" s="198" t="s">
        <v>7673</v>
      </c>
      <c r="C5983" s="154" t="s">
        <v>7152</v>
      </c>
      <c r="D5983" s="201" t="s">
        <v>5662</v>
      </c>
    </row>
    <row r="5984" spans="2:4">
      <c r="B5984" s="198" t="s">
        <v>7674</v>
      </c>
      <c r="C5984" s="154" t="s">
        <v>1038</v>
      </c>
      <c r="D5984" s="201" t="s">
        <v>5662</v>
      </c>
    </row>
    <row r="5985" spans="2:4">
      <c r="B5985" s="198" t="s">
        <v>7675</v>
      </c>
      <c r="C5985" s="154" t="s">
        <v>1038</v>
      </c>
      <c r="D5985" s="201" t="s">
        <v>5662</v>
      </c>
    </row>
    <row r="5986" spans="2:4">
      <c r="B5986" s="198" t="s">
        <v>7676</v>
      </c>
      <c r="C5986" s="154" t="s">
        <v>1038</v>
      </c>
      <c r="D5986" s="201" t="s">
        <v>5662</v>
      </c>
    </row>
    <row r="5987" spans="2:4">
      <c r="B5987" s="198" t="s">
        <v>7677</v>
      </c>
      <c r="C5987" s="154" t="s">
        <v>1038</v>
      </c>
      <c r="D5987" s="201" t="s">
        <v>5662</v>
      </c>
    </row>
    <row r="5988" spans="2:4">
      <c r="B5988" s="198" t="s">
        <v>7679</v>
      </c>
      <c r="C5988" s="154" t="s">
        <v>7678</v>
      </c>
      <c r="D5988" s="201" t="s">
        <v>5662</v>
      </c>
    </row>
    <row r="5989" spans="2:4">
      <c r="B5989" s="198" t="s">
        <v>7680</v>
      </c>
      <c r="C5989" s="154" t="s">
        <v>7686</v>
      </c>
      <c r="D5989" s="201" t="s">
        <v>5662</v>
      </c>
    </row>
    <row r="5990" spans="2:4">
      <c r="B5990" s="198" t="s">
        <v>7681</v>
      </c>
      <c r="C5990" s="154" t="s">
        <v>7686</v>
      </c>
      <c r="D5990" s="201" t="s">
        <v>5662</v>
      </c>
    </row>
    <row r="5991" spans="2:4">
      <c r="B5991" s="198" t="s">
        <v>7683</v>
      </c>
      <c r="C5991" s="154" t="s">
        <v>7686</v>
      </c>
      <c r="D5991" s="201" t="s">
        <v>5662</v>
      </c>
    </row>
    <row r="5992" spans="2:4">
      <c r="B5992" s="198" t="s">
        <v>7684</v>
      </c>
      <c r="C5992" s="154" t="s">
        <v>7686</v>
      </c>
      <c r="D5992" s="201" t="s">
        <v>5662</v>
      </c>
    </row>
    <row r="5993" spans="2:4">
      <c r="B5993" s="198" t="s">
        <v>7685</v>
      </c>
      <c r="C5993" s="154" t="s">
        <v>7686</v>
      </c>
      <c r="D5993" s="201" t="s">
        <v>5662</v>
      </c>
    </row>
    <row r="5994" spans="2:4">
      <c r="B5994" s="198" t="s">
        <v>7687</v>
      </c>
      <c r="C5994" s="154" t="s">
        <v>7348</v>
      </c>
      <c r="D5994" s="201" t="s">
        <v>5662</v>
      </c>
    </row>
    <row r="5995" spans="2:4">
      <c r="B5995" s="198" t="s">
        <v>7688</v>
      </c>
      <c r="C5995" s="154" t="s">
        <v>7348</v>
      </c>
      <c r="D5995" s="201" t="s">
        <v>5662</v>
      </c>
    </row>
    <row r="5996" spans="2:4">
      <c r="B5996" s="198" t="s">
        <v>7689</v>
      </c>
      <c r="C5996" s="154" t="s">
        <v>7348</v>
      </c>
      <c r="D5996" s="201" t="s">
        <v>5662</v>
      </c>
    </row>
    <row r="5997" spans="2:4">
      <c r="B5997" s="198" t="s">
        <v>7690</v>
      </c>
      <c r="C5997" s="154" t="s">
        <v>7348</v>
      </c>
      <c r="D5997" s="201" t="s">
        <v>5662</v>
      </c>
    </row>
    <row r="5998" spans="2:4">
      <c r="B5998" s="198" t="s">
        <v>7691</v>
      </c>
      <c r="C5998" s="154" t="s">
        <v>7348</v>
      </c>
      <c r="D5998" s="201" t="s">
        <v>5662</v>
      </c>
    </row>
    <row r="5999" spans="2:4">
      <c r="B5999" s="198" t="s">
        <v>7692</v>
      </c>
      <c r="C5999" s="154" t="s">
        <v>7348</v>
      </c>
      <c r="D5999" s="201" t="s">
        <v>5662</v>
      </c>
    </row>
    <row r="6000" spans="2:4">
      <c r="B6000" s="198" t="s">
        <v>7693</v>
      </c>
      <c r="C6000" s="154" t="s">
        <v>7348</v>
      </c>
      <c r="D6000" s="201" t="s">
        <v>5662</v>
      </c>
    </row>
    <row r="6001" spans="2:4">
      <c r="B6001" s="198" t="s">
        <v>7694</v>
      </c>
      <c r="C6001" s="154" t="s">
        <v>7348</v>
      </c>
      <c r="D6001" s="201" t="s">
        <v>5662</v>
      </c>
    </row>
    <row r="6002" spans="2:4">
      <c r="B6002" s="198" t="s">
        <v>7695</v>
      </c>
      <c r="C6002" s="154" t="s">
        <v>7348</v>
      </c>
      <c r="D6002" s="201" t="s">
        <v>5662</v>
      </c>
    </row>
    <row r="6003" spans="2:4">
      <c r="B6003" s="198" t="s">
        <v>7696</v>
      </c>
      <c r="C6003" s="154" t="s">
        <v>7348</v>
      </c>
      <c r="D6003" s="201" t="s">
        <v>5662</v>
      </c>
    </row>
    <row r="6004" spans="2:4">
      <c r="B6004" s="198" t="s">
        <v>7697</v>
      </c>
      <c r="C6004" s="154" t="s">
        <v>7348</v>
      </c>
      <c r="D6004" s="201" t="s">
        <v>5662</v>
      </c>
    </row>
    <row r="6005" spans="2:4">
      <c r="B6005" s="198" t="s">
        <v>7698</v>
      </c>
      <c r="C6005" s="154" t="s">
        <v>7348</v>
      </c>
      <c r="D6005" s="201" t="s">
        <v>5662</v>
      </c>
    </row>
    <row r="6006" spans="2:4">
      <c r="B6006" s="198" t="s">
        <v>7699</v>
      </c>
      <c r="C6006" s="154" t="s">
        <v>7348</v>
      </c>
      <c r="D6006" s="201" t="s">
        <v>5662</v>
      </c>
    </row>
    <row r="6007" spans="2:4">
      <c r="B6007" s="198" t="s">
        <v>7700</v>
      </c>
      <c r="C6007" s="154" t="s">
        <v>7348</v>
      </c>
      <c r="D6007" s="201" t="s">
        <v>5662</v>
      </c>
    </row>
    <row r="6008" spans="2:4">
      <c r="B6008" s="198" t="s">
        <v>7701</v>
      </c>
      <c r="C6008" s="154" t="s">
        <v>150</v>
      </c>
      <c r="D6008" s="201" t="s">
        <v>1951</v>
      </c>
    </row>
    <row r="6009" spans="2:4">
      <c r="B6009" s="198" t="s">
        <v>7702</v>
      </c>
      <c r="C6009" s="154" t="s">
        <v>149</v>
      </c>
      <c r="D6009" s="201" t="s">
        <v>1956</v>
      </c>
    </row>
    <row r="6010" spans="2:4">
      <c r="B6010" s="198" t="s">
        <v>7704</v>
      </c>
      <c r="C6010" s="154" t="s">
        <v>1038</v>
      </c>
      <c r="D6010" s="201" t="s">
        <v>5662</v>
      </c>
    </row>
    <row r="6011" spans="2:4">
      <c r="B6011" s="198" t="s">
        <v>7705</v>
      </c>
      <c r="C6011" s="154" t="s">
        <v>142</v>
      </c>
      <c r="D6011" s="201"/>
    </row>
    <row r="6012" spans="2:4">
      <c r="B6012" s="198"/>
      <c r="C6012" s="154"/>
      <c r="D6012" s="201"/>
    </row>
    <row r="6013" spans="2:4">
      <c r="B6013" s="198" t="s">
        <v>7706</v>
      </c>
      <c r="C6013" s="154" t="s">
        <v>1038</v>
      </c>
      <c r="D6013" s="201" t="s">
        <v>5662</v>
      </c>
    </row>
    <row r="6014" spans="2:4">
      <c r="B6014" s="198" t="s">
        <v>7682</v>
      </c>
      <c r="C6014" s="154" t="s">
        <v>7686</v>
      </c>
      <c r="D6014" s="201" t="s">
        <v>5662</v>
      </c>
    </row>
    <row r="6015" spans="2:4">
      <c r="B6015" s="198" t="s">
        <v>7707</v>
      </c>
      <c r="C6015" s="154" t="s">
        <v>1038</v>
      </c>
      <c r="D6015" s="201" t="s">
        <v>5662</v>
      </c>
    </row>
    <row r="6016" spans="2:4">
      <c r="B6016" s="198" t="s">
        <v>7708</v>
      </c>
      <c r="C6016" s="154" t="s">
        <v>1038</v>
      </c>
      <c r="D6016" s="201" t="s">
        <v>5662</v>
      </c>
    </row>
    <row r="6017" spans="2:4">
      <c r="B6017" s="198" t="s">
        <v>7703</v>
      </c>
      <c r="C6017" s="154" t="s">
        <v>7152</v>
      </c>
      <c r="D6017" s="201" t="s">
        <v>5662</v>
      </c>
    </row>
    <row r="6018" spans="2:4">
      <c r="B6018" s="198" t="s">
        <v>7709</v>
      </c>
      <c r="C6018" s="154" t="s">
        <v>1038</v>
      </c>
      <c r="D6018" s="201" t="s">
        <v>5662</v>
      </c>
    </row>
    <row r="6019" spans="2:4">
      <c r="B6019" s="198" t="s">
        <v>7710</v>
      </c>
      <c r="C6019" s="154" t="s">
        <v>1038</v>
      </c>
      <c r="D6019" s="201" t="s">
        <v>5662</v>
      </c>
    </row>
    <row r="6020" spans="2:4">
      <c r="B6020" s="198" t="s">
        <v>7711</v>
      </c>
      <c r="C6020" s="154" t="s">
        <v>7511</v>
      </c>
      <c r="D6020" s="201" t="s">
        <v>5662</v>
      </c>
    </row>
    <row r="6021" spans="2:4">
      <c r="B6021" s="198" t="s">
        <v>7712</v>
      </c>
      <c r="C6021" s="154" t="s">
        <v>1038</v>
      </c>
      <c r="D6021" s="201" t="s">
        <v>5662</v>
      </c>
    </row>
    <row r="6022" spans="2:4">
      <c r="B6022" s="198" t="s">
        <v>7713</v>
      </c>
      <c r="C6022" s="154" t="s">
        <v>1038</v>
      </c>
      <c r="D6022" s="201" t="s">
        <v>5662</v>
      </c>
    </row>
    <row r="6023" spans="2:4">
      <c r="B6023" s="198" t="s">
        <v>7714</v>
      </c>
      <c r="C6023" s="154" t="s">
        <v>1641</v>
      </c>
      <c r="D6023" s="201" t="s">
        <v>1958</v>
      </c>
    </row>
    <row r="6024" spans="2:4">
      <c r="B6024" s="198" t="s">
        <v>7715</v>
      </c>
      <c r="C6024" s="154" t="s">
        <v>5713</v>
      </c>
      <c r="D6024" s="201" t="s">
        <v>5662</v>
      </c>
    </row>
    <row r="6025" spans="2:4">
      <c r="B6025" s="198" t="s">
        <v>7716</v>
      </c>
      <c r="C6025" s="154" t="s">
        <v>7558</v>
      </c>
      <c r="D6025" s="201" t="s">
        <v>5662</v>
      </c>
    </row>
    <row r="6026" spans="2:4">
      <c r="B6026" s="198" t="s">
        <v>7717</v>
      </c>
      <c r="C6026" s="154" t="s">
        <v>7558</v>
      </c>
      <c r="D6026" s="201" t="s">
        <v>5662</v>
      </c>
    </row>
    <row r="6027" spans="2:4">
      <c r="B6027" s="198" t="s">
        <v>7718</v>
      </c>
      <c r="C6027" s="154" t="s">
        <v>1560</v>
      </c>
      <c r="D6027" s="201" t="s">
        <v>1953</v>
      </c>
    </row>
    <row r="6028" spans="2:4">
      <c r="B6028" s="198" t="s">
        <v>7719</v>
      </c>
      <c r="C6028" s="154" t="s">
        <v>149</v>
      </c>
      <c r="D6028" s="201" t="s">
        <v>1956</v>
      </c>
    </row>
    <row r="6029" spans="2:4">
      <c r="B6029" s="198" t="s">
        <v>7720</v>
      </c>
      <c r="C6029" s="154" t="s">
        <v>149</v>
      </c>
      <c r="D6029" s="201" t="s">
        <v>1956</v>
      </c>
    </row>
    <row r="6030" spans="2:4">
      <c r="B6030" s="198" t="s">
        <v>7721</v>
      </c>
      <c r="C6030" s="154" t="s">
        <v>149</v>
      </c>
      <c r="D6030" s="201" t="s">
        <v>1956</v>
      </c>
    </row>
    <row r="6031" spans="2:4">
      <c r="B6031" s="198" t="s">
        <v>7722</v>
      </c>
      <c r="C6031" s="154" t="s">
        <v>149</v>
      </c>
      <c r="D6031" s="201" t="s">
        <v>1956</v>
      </c>
    </row>
    <row r="6032" spans="2:4">
      <c r="B6032" s="198" t="s">
        <v>7723</v>
      </c>
      <c r="C6032" s="154" t="s">
        <v>149</v>
      </c>
      <c r="D6032" s="201" t="s">
        <v>1956</v>
      </c>
    </row>
    <row r="6033" spans="2:4">
      <c r="B6033" s="198" t="s">
        <v>7724</v>
      </c>
      <c r="C6033" s="154" t="s">
        <v>149</v>
      </c>
      <c r="D6033" s="201" t="s">
        <v>1956</v>
      </c>
    </row>
    <row r="6034" spans="2:4">
      <c r="B6034" s="198" t="s">
        <v>7725</v>
      </c>
      <c r="C6034" s="154" t="s">
        <v>149</v>
      </c>
      <c r="D6034" s="201" t="s">
        <v>1956</v>
      </c>
    </row>
    <row r="6035" spans="2:4">
      <c r="B6035" s="198" t="s">
        <v>7726</v>
      </c>
      <c r="C6035" s="154" t="s">
        <v>1864</v>
      </c>
      <c r="D6035" s="201" t="s">
        <v>1956</v>
      </c>
    </row>
    <row r="6036" spans="2:4">
      <c r="B6036" s="198" t="s">
        <v>7727</v>
      </c>
      <c r="C6036" s="154" t="s">
        <v>7728</v>
      </c>
      <c r="D6036" s="201" t="s">
        <v>1959</v>
      </c>
    </row>
    <row r="6037" spans="2:4">
      <c r="B6037" s="198" t="s">
        <v>7729</v>
      </c>
      <c r="C6037" s="154" t="s">
        <v>6975</v>
      </c>
      <c r="D6037" s="201" t="s">
        <v>1959</v>
      </c>
    </row>
    <row r="6038" spans="2:4">
      <c r="B6038" s="198" t="s">
        <v>7730</v>
      </c>
      <c r="C6038" s="154" t="s">
        <v>6975</v>
      </c>
      <c r="D6038" s="201" t="s">
        <v>1959</v>
      </c>
    </row>
    <row r="6039" spans="2:4">
      <c r="B6039" s="198" t="s">
        <v>7731</v>
      </c>
      <c r="C6039" s="154" t="s">
        <v>6975</v>
      </c>
      <c r="D6039" s="201" t="s">
        <v>1959</v>
      </c>
    </row>
    <row r="6040" spans="2:4">
      <c r="B6040" s="198" t="s">
        <v>7732</v>
      </c>
      <c r="C6040" s="154" t="s">
        <v>6975</v>
      </c>
      <c r="D6040" s="201" t="s">
        <v>1959</v>
      </c>
    </row>
    <row r="6041" spans="2:4">
      <c r="B6041" s="198" t="s">
        <v>7733</v>
      </c>
      <c r="C6041" s="154" t="s">
        <v>3450</v>
      </c>
      <c r="D6041" s="201" t="s">
        <v>1959</v>
      </c>
    </row>
    <row r="6042" spans="2:4">
      <c r="B6042" s="198" t="s">
        <v>7734</v>
      </c>
      <c r="C6042" s="154" t="s">
        <v>3450</v>
      </c>
      <c r="D6042" s="201" t="s">
        <v>1959</v>
      </c>
    </row>
    <row r="6043" spans="2:4">
      <c r="B6043" s="198" t="s">
        <v>7735</v>
      </c>
      <c r="C6043" s="154" t="s">
        <v>1760</v>
      </c>
      <c r="D6043" s="201" t="s">
        <v>1959</v>
      </c>
    </row>
    <row r="6044" spans="2:4">
      <c r="B6044" s="198" t="s">
        <v>7736</v>
      </c>
      <c r="C6044" s="154" t="s">
        <v>1760</v>
      </c>
      <c r="D6044" s="201" t="s">
        <v>1959</v>
      </c>
    </row>
    <row r="6045" spans="2:4">
      <c r="B6045" s="198" t="s">
        <v>7737</v>
      </c>
      <c r="C6045" s="154" t="s">
        <v>7738</v>
      </c>
      <c r="D6045" s="201" t="s">
        <v>1959</v>
      </c>
    </row>
    <row r="6046" spans="2:4">
      <c r="B6046" s="198" t="s">
        <v>7739</v>
      </c>
      <c r="C6046" s="154" t="s">
        <v>1633</v>
      </c>
      <c r="D6046" s="201" t="s">
        <v>1959</v>
      </c>
    </row>
    <row r="6047" spans="2:4">
      <c r="B6047" s="198" t="s">
        <v>7740</v>
      </c>
      <c r="C6047" s="154" t="s">
        <v>4898</v>
      </c>
      <c r="D6047" s="201" t="s">
        <v>1955</v>
      </c>
    </row>
    <row r="6048" spans="2:4">
      <c r="B6048" s="198" t="s">
        <v>7741</v>
      </c>
      <c r="C6048" s="154" t="s">
        <v>3854</v>
      </c>
      <c r="D6048" s="201" t="s">
        <v>1955</v>
      </c>
    </row>
    <row r="6049" spans="2:4">
      <c r="B6049" s="198" t="s">
        <v>7742</v>
      </c>
      <c r="C6049" s="154" t="s">
        <v>3854</v>
      </c>
      <c r="D6049" s="201" t="s">
        <v>1955</v>
      </c>
    </row>
    <row r="6050" spans="2:4">
      <c r="B6050" s="198" t="s">
        <v>7743</v>
      </c>
      <c r="C6050" s="154" t="s">
        <v>3854</v>
      </c>
      <c r="D6050" s="201" t="s">
        <v>1955</v>
      </c>
    </row>
    <row r="6051" spans="2:4">
      <c r="B6051" s="198" t="s">
        <v>7744</v>
      </c>
      <c r="C6051" s="154" t="s">
        <v>1625</v>
      </c>
      <c r="D6051" s="201" t="s">
        <v>1951</v>
      </c>
    </row>
    <row r="6052" spans="2:4">
      <c r="B6052" s="198" t="s">
        <v>7745</v>
      </c>
      <c r="C6052" s="154" t="s">
        <v>3357</v>
      </c>
      <c r="D6052" s="201" t="s">
        <v>1951</v>
      </c>
    </row>
    <row r="6053" spans="2:4">
      <c r="B6053" s="198" t="s">
        <v>7746</v>
      </c>
      <c r="C6053" s="154" t="s">
        <v>150</v>
      </c>
      <c r="D6053" s="201" t="s">
        <v>1951</v>
      </c>
    </row>
    <row r="6054" spans="2:4">
      <c r="B6054" s="198" t="s">
        <v>7747</v>
      </c>
      <c r="C6054" s="154" t="s">
        <v>7439</v>
      </c>
      <c r="D6054" s="201" t="s">
        <v>5662</v>
      </c>
    </row>
    <row r="6055" spans="2:4">
      <c r="B6055" s="198" t="s">
        <v>7748</v>
      </c>
      <c r="C6055" s="154" t="s">
        <v>1038</v>
      </c>
      <c r="D6055" s="201" t="s">
        <v>5662</v>
      </c>
    </row>
    <row r="6056" spans="2:4">
      <c r="B6056" s="198" t="s">
        <v>7749</v>
      </c>
      <c r="C6056" s="154" t="s">
        <v>7511</v>
      </c>
      <c r="D6056" s="201" t="s">
        <v>5662</v>
      </c>
    </row>
    <row r="6057" spans="2:4">
      <c r="B6057" s="198" t="s">
        <v>7750</v>
      </c>
      <c r="C6057" s="154" t="s">
        <v>7751</v>
      </c>
      <c r="D6057" s="201" t="s">
        <v>5662</v>
      </c>
    </row>
    <row r="6058" spans="2:4">
      <c r="B6058" s="198" t="s">
        <v>7752</v>
      </c>
      <c r="C6058" s="154" t="s">
        <v>7751</v>
      </c>
      <c r="D6058" s="201" t="s">
        <v>5662</v>
      </c>
    </row>
    <row r="6059" spans="2:4">
      <c r="B6059" s="198" t="s">
        <v>7753</v>
      </c>
      <c r="C6059" s="154" t="s">
        <v>7654</v>
      </c>
      <c r="D6059" s="201" t="s">
        <v>5662</v>
      </c>
    </row>
    <row r="6060" spans="2:4">
      <c r="B6060" s="198" t="s">
        <v>7754</v>
      </c>
      <c r="C6060" s="154" t="s">
        <v>6416</v>
      </c>
      <c r="D6060" s="201" t="s">
        <v>5662</v>
      </c>
    </row>
    <row r="6061" spans="2:4">
      <c r="B6061" s="198" t="s">
        <v>7755</v>
      </c>
      <c r="C6061" s="154" t="s">
        <v>6416</v>
      </c>
      <c r="D6061" s="201" t="s">
        <v>5662</v>
      </c>
    </row>
    <row r="6062" spans="2:4">
      <c r="B6062" s="198" t="s">
        <v>7756</v>
      </c>
      <c r="C6062" s="154" t="s">
        <v>6416</v>
      </c>
      <c r="D6062" s="201" t="s">
        <v>5662</v>
      </c>
    </row>
    <row r="6063" spans="2:4">
      <c r="B6063" s="198" t="s">
        <v>7757</v>
      </c>
      <c r="C6063" s="154" t="s">
        <v>6416</v>
      </c>
      <c r="D6063" s="201" t="s">
        <v>5662</v>
      </c>
    </row>
    <row r="6064" spans="2:4">
      <c r="B6064" s="198" t="s">
        <v>7758</v>
      </c>
      <c r="C6064" s="154" t="s">
        <v>6416</v>
      </c>
      <c r="D6064" s="201" t="s">
        <v>5662</v>
      </c>
    </row>
    <row r="6065" spans="2:4">
      <c r="B6065" s="198" t="s">
        <v>7759</v>
      </c>
      <c r="C6065" s="154" t="s">
        <v>7760</v>
      </c>
      <c r="D6065" s="201" t="s">
        <v>5662</v>
      </c>
    </row>
    <row r="6066" spans="2:4">
      <c r="B6066" s="198" t="s">
        <v>7761</v>
      </c>
      <c r="C6066" s="154" t="s">
        <v>7760</v>
      </c>
      <c r="D6066" s="201" t="s">
        <v>5662</v>
      </c>
    </row>
    <row r="6067" spans="2:4">
      <c r="B6067" s="198" t="s">
        <v>7762</v>
      </c>
      <c r="C6067" s="154" t="s">
        <v>7760</v>
      </c>
      <c r="D6067" s="201" t="s">
        <v>5662</v>
      </c>
    </row>
    <row r="6068" spans="2:4">
      <c r="B6068" s="198" t="s">
        <v>7763</v>
      </c>
      <c r="C6068" s="154" t="s">
        <v>7760</v>
      </c>
      <c r="D6068" s="201" t="s">
        <v>5662</v>
      </c>
    </row>
    <row r="6069" spans="2:4">
      <c r="B6069" s="198" t="s">
        <v>7764</v>
      </c>
      <c r="C6069" s="154" t="s">
        <v>7760</v>
      </c>
      <c r="D6069" s="201" t="s">
        <v>5662</v>
      </c>
    </row>
    <row r="6070" spans="2:4">
      <c r="B6070" s="198" t="s">
        <v>7765</v>
      </c>
      <c r="C6070" s="154" t="s">
        <v>1560</v>
      </c>
      <c r="D6070" s="201" t="s">
        <v>1953</v>
      </c>
    </row>
    <row r="6071" spans="2:4">
      <c r="B6071" s="198" t="s">
        <v>7766</v>
      </c>
      <c r="C6071" s="154" t="s">
        <v>1589</v>
      </c>
      <c r="D6071" s="201" t="s">
        <v>1953</v>
      </c>
    </row>
    <row r="6072" spans="2:4">
      <c r="B6072" s="198" t="s">
        <v>7767</v>
      </c>
      <c r="C6072" s="154" t="s">
        <v>1589</v>
      </c>
      <c r="D6072" s="201" t="s">
        <v>1953</v>
      </c>
    </row>
    <row r="6073" spans="2:4">
      <c r="B6073" s="198" t="s">
        <v>7768</v>
      </c>
      <c r="C6073" s="154" t="s">
        <v>1595</v>
      </c>
      <c r="D6073" s="201" t="s">
        <v>1956</v>
      </c>
    </row>
    <row r="6074" spans="2:4">
      <c r="B6074" s="198" t="s">
        <v>7769</v>
      </c>
      <c r="C6074" s="154" t="s">
        <v>4826</v>
      </c>
      <c r="D6074" s="201" t="s">
        <v>1956</v>
      </c>
    </row>
    <row r="6075" spans="2:4">
      <c r="B6075" s="198" t="s">
        <v>7770</v>
      </c>
      <c r="C6075" s="154" t="s">
        <v>1581</v>
      </c>
      <c r="D6075" s="201" t="s">
        <v>1955</v>
      </c>
    </row>
    <row r="6076" spans="2:4">
      <c r="B6076" s="198" t="s">
        <v>7771</v>
      </c>
      <c r="C6076" s="154" t="s">
        <v>1581</v>
      </c>
      <c r="D6076" s="201" t="s">
        <v>1955</v>
      </c>
    </row>
    <row r="6077" spans="2:4">
      <c r="B6077" s="198" t="s">
        <v>7772</v>
      </c>
      <c r="C6077" s="154" t="s">
        <v>3854</v>
      </c>
      <c r="D6077" s="201" t="s">
        <v>1955</v>
      </c>
    </row>
    <row r="6078" spans="2:4">
      <c r="B6078" s="198" t="s">
        <v>7773</v>
      </c>
      <c r="C6078" s="154" t="s">
        <v>3357</v>
      </c>
      <c r="D6078" s="201" t="s">
        <v>1951</v>
      </c>
    </row>
    <row r="6079" spans="2:4">
      <c r="B6079" s="198" t="s">
        <v>7774</v>
      </c>
      <c r="C6079" s="154" t="s">
        <v>142</v>
      </c>
      <c r="D6079" s="201" t="s">
        <v>1954</v>
      </c>
    </row>
    <row r="6080" spans="2:4">
      <c r="B6080" s="198" t="s">
        <v>7775</v>
      </c>
      <c r="C6080" s="154" t="s">
        <v>3566</v>
      </c>
      <c r="D6080" s="201" t="s">
        <v>1954</v>
      </c>
    </row>
    <row r="6081" spans="2:4">
      <c r="B6081" s="198" t="s">
        <v>7776</v>
      </c>
      <c r="C6081" s="154" t="s">
        <v>7777</v>
      </c>
      <c r="D6081" s="201" t="s">
        <v>6237</v>
      </c>
    </row>
    <row r="6082" spans="2:4">
      <c r="B6082" s="198" t="s">
        <v>7778</v>
      </c>
      <c r="C6082" s="154" t="s">
        <v>7760</v>
      </c>
      <c r="D6082" s="201" t="s">
        <v>5662</v>
      </c>
    </row>
    <row r="6083" spans="2:4">
      <c r="B6083" s="122" t="s">
        <v>7779</v>
      </c>
      <c r="C6083" s="154" t="s">
        <v>7780</v>
      </c>
      <c r="D6083" s="201" t="s">
        <v>6237</v>
      </c>
    </row>
    <row r="6084" spans="2:4">
      <c r="B6084" s="198" t="s">
        <v>7781</v>
      </c>
      <c r="C6084" s="154" t="s">
        <v>7782</v>
      </c>
      <c r="D6084" s="201" t="s">
        <v>2216</v>
      </c>
    </row>
    <row r="6085" spans="2:4">
      <c r="B6085" s="198" t="s">
        <v>7783</v>
      </c>
      <c r="C6085" s="154" t="s">
        <v>7784</v>
      </c>
      <c r="D6085" s="201" t="s">
        <v>1959</v>
      </c>
    </row>
    <row r="6086" spans="2:4">
      <c r="B6086" s="198" t="s">
        <v>7785</v>
      </c>
      <c r="C6086" s="154" t="s">
        <v>7786</v>
      </c>
      <c r="D6086" s="201" t="s">
        <v>5662</v>
      </c>
    </row>
    <row r="6087" spans="2:4">
      <c r="B6087" s="198" t="s">
        <v>7787</v>
      </c>
      <c r="C6087" s="154" t="s">
        <v>1514</v>
      </c>
      <c r="D6087" s="201" t="s">
        <v>1951</v>
      </c>
    </row>
    <row r="6088" spans="2:4">
      <c r="B6088" s="198" t="s">
        <v>7788</v>
      </c>
      <c r="C6088" s="154" t="s">
        <v>1038</v>
      </c>
      <c r="D6088" s="201" t="s">
        <v>5662</v>
      </c>
    </row>
    <row r="6089" spans="2:4">
      <c r="B6089" s="198" t="s">
        <v>7789</v>
      </c>
      <c r="C6089" s="154" t="s">
        <v>7793</v>
      </c>
      <c r="D6089" s="201" t="s">
        <v>5662</v>
      </c>
    </row>
    <row r="6090" spans="2:4">
      <c r="B6090" s="198" t="s">
        <v>7790</v>
      </c>
      <c r="C6090" s="154" t="s">
        <v>7654</v>
      </c>
      <c r="D6090" s="201" t="s">
        <v>5662</v>
      </c>
    </row>
    <row r="6091" spans="2:4">
      <c r="B6091" s="198" t="s">
        <v>7791</v>
      </c>
      <c r="C6091" s="154" t="s">
        <v>7793</v>
      </c>
      <c r="D6091" s="201" t="s">
        <v>5662</v>
      </c>
    </row>
    <row r="6092" spans="2:4">
      <c r="B6092" s="198" t="s">
        <v>7792</v>
      </c>
      <c r="C6092" s="154" t="s">
        <v>1038</v>
      </c>
      <c r="D6092" s="201" t="s">
        <v>5662</v>
      </c>
    </row>
    <row r="6093" spans="2:4">
      <c r="B6093" s="198" t="s">
        <v>7794</v>
      </c>
      <c r="C6093" s="154" t="s">
        <v>3081</v>
      </c>
      <c r="D6093" s="201" t="s">
        <v>1957</v>
      </c>
    </row>
    <row r="6094" spans="2:4">
      <c r="B6094" s="198" t="s">
        <v>7795</v>
      </c>
      <c r="C6094" s="154" t="s">
        <v>3357</v>
      </c>
      <c r="D6094" s="201" t="s">
        <v>1951</v>
      </c>
    </row>
    <row r="6095" spans="2:4">
      <c r="B6095" s="198" t="s">
        <v>7796</v>
      </c>
      <c r="C6095" s="154" t="s">
        <v>7540</v>
      </c>
      <c r="D6095" s="201" t="s">
        <v>5662</v>
      </c>
    </row>
    <row r="6096" spans="2:4">
      <c r="B6096" s="198" t="s">
        <v>7797</v>
      </c>
      <c r="C6096" s="154" t="s">
        <v>7149</v>
      </c>
      <c r="D6096" s="201" t="s">
        <v>5662</v>
      </c>
    </row>
    <row r="6097" spans="2:4">
      <c r="B6097" s="198" t="s">
        <v>7798</v>
      </c>
      <c r="C6097" s="154" t="s">
        <v>6463</v>
      </c>
      <c r="D6097" s="201" t="s">
        <v>5662</v>
      </c>
    </row>
    <row r="6098" spans="2:4">
      <c r="B6098" s="198" t="s">
        <v>7799</v>
      </c>
      <c r="C6098" s="154" t="s">
        <v>7819</v>
      </c>
      <c r="D6098" s="201" t="s">
        <v>5662</v>
      </c>
    </row>
    <row r="6099" spans="2:4">
      <c r="B6099" s="198" t="s">
        <v>7800</v>
      </c>
      <c r="C6099" s="154" t="s">
        <v>7820</v>
      </c>
      <c r="D6099" s="201" t="s">
        <v>1959</v>
      </c>
    </row>
    <row r="6100" spans="2:4">
      <c r="B6100" s="198" t="s">
        <v>7801</v>
      </c>
      <c r="C6100" s="154" t="s">
        <v>150</v>
      </c>
      <c r="D6100" s="201" t="s">
        <v>1951</v>
      </c>
    </row>
    <row r="6101" spans="2:4">
      <c r="B6101" s="198" t="s">
        <v>7802</v>
      </c>
      <c r="C6101" s="154" t="s">
        <v>7558</v>
      </c>
      <c r="D6101" s="201" t="s">
        <v>5662</v>
      </c>
    </row>
    <row r="6102" spans="2:4">
      <c r="B6102" s="198" t="s">
        <v>7803</v>
      </c>
      <c r="C6102" s="154" t="s">
        <v>7821</v>
      </c>
      <c r="D6102" s="201" t="s">
        <v>5662</v>
      </c>
    </row>
    <row r="6103" spans="2:4">
      <c r="B6103" s="198" t="s">
        <v>7804</v>
      </c>
      <c r="C6103" s="154" t="s">
        <v>3357</v>
      </c>
      <c r="D6103" s="201" t="s">
        <v>1951</v>
      </c>
    </row>
    <row r="6104" spans="2:4">
      <c r="B6104" s="198" t="s">
        <v>7805</v>
      </c>
      <c r="C6104" s="154" t="s">
        <v>5713</v>
      </c>
      <c r="D6104" s="201" t="s">
        <v>5662</v>
      </c>
    </row>
    <row r="6105" spans="2:4">
      <c r="B6105" s="198" t="s">
        <v>7806</v>
      </c>
      <c r="C6105" s="154" t="s">
        <v>7544</v>
      </c>
      <c r="D6105" s="201" t="s">
        <v>5662</v>
      </c>
    </row>
    <row r="6106" spans="2:4">
      <c r="B6106" s="198" t="s">
        <v>7807</v>
      </c>
      <c r="C6106" s="154" t="s">
        <v>7822</v>
      </c>
      <c r="D6106" s="201" t="s">
        <v>5662</v>
      </c>
    </row>
    <row r="6107" spans="2:4">
      <c r="B6107" s="198" t="s">
        <v>7808</v>
      </c>
      <c r="C6107" s="154" t="s">
        <v>150</v>
      </c>
      <c r="D6107" s="201" t="s">
        <v>1951</v>
      </c>
    </row>
    <row r="6108" spans="2:4">
      <c r="B6108" s="198" t="s">
        <v>7809</v>
      </c>
      <c r="C6108" s="154" t="s">
        <v>6463</v>
      </c>
      <c r="D6108" s="201" t="s">
        <v>5662</v>
      </c>
    </row>
    <row r="6109" spans="2:4">
      <c r="B6109" s="198" t="s">
        <v>7810</v>
      </c>
      <c r="C6109" s="154" t="s">
        <v>7544</v>
      </c>
      <c r="D6109" s="201" t="s">
        <v>5662</v>
      </c>
    </row>
    <row r="6110" spans="2:4">
      <c r="B6110" s="198" t="s">
        <v>7818</v>
      </c>
      <c r="C6110" s="154" t="s">
        <v>7558</v>
      </c>
      <c r="D6110" s="201" t="s">
        <v>5662</v>
      </c>
    </row>
    <row r="6111" spans="2:4">
      <c r="B6111" s="198" t="s">
        <v>7811</v>
      </c>
      <c r="C6111" s="154" t="s">
        <v>7565</v>
      </c>
      <c r="D6111" s="201" t="s">
        <v>5662</v>
      </c>
    </row>
    <row r="6112" spans="2:4">
      <c r="B6112" s="198" t="s">
        <v>7812</v>
      </c>
      <c r="C6112" s="154" t="s">
        <v>7823</v>
      </c>
      <c r="D6112" s="201" t="s">
        <v>5662</v>
      </c>
    </row>
    <row r="6113" spans="2:4">
      <c r="B6113" s="198" t="s">
        <v>7813</v>
      </c>
      <c r="C6113" s="154" t="s">
        <v>7547</v>
      </c>
      <c r="D6113" s="201" t="s">
        <v>5662</v>
      </c>
    </row>
    <row r="6114" spans="2:4">
      <c r="B6114" s="198" t="s">
        <v>7814</v>
      </c>
      <c r="C6114" s="154" t="s">
        <v>6463</v>
      </c>
      <c r="D6114" s="201" t="s">
        <v>5662</v>
      </c>
    </row>
    <row r="6115" spans="2:4">
      <c r="B6115" s="198" t="s">
        <v>7815</v>
      </c>
      <c r="C6115" s="154" t="s">
        <v>6463</v>
      </c>
      <c r="D6115" s="201" t="s">
        <v>5662</v>
      </c>
    </row>
    <row r="6116" spans="2:4">
      <c r="B6116" s="198" t="s">
        <v>7816</v>
      </c>
      <c r="C6116" s="154" t="s">
        <v>6463</v>
      </c>
      <c r="D6116" s="201" t="s">
        <v>5662</v>
      </c>
    </row>
    <row r="6117" spans="2:4">
      <c r="B6117" s="198" t="s">
        <v>7817</v>
      </c>
      <c r="C6117" s="154" t="s">
        <v>7544</v>
      </c>
      <c r="D6117" s="201" t="s">
        <v>5662</v>
      </c>
    </row>
    <row r="6118" spans="2:4">
      <c r="B6118" s="198" t="s">
        <v>7824</v>
      </c>
      <c r="C6118" s="154" t="s">
        <v>7825</v>
      </c>
      <c r="D6118" s="201" t="s">
        <v>1958</v>
      </c>
    </row>
    <row r="6119" spans="2:4">
      <c r="B6119" s="198" t="s">
        <v>7826</v>
      </c>
      <c r="C6119" s="154" t="s">
        <v>7828</v>
      </c>
      <c r="D6119" s="201" t="s">
        <v>1958</v>
      </c>
    </row>
    <row r="6120" spans="2:4">
      <c r="B6120" s="198" t="s">
        <v>7827</v>
      </c>
      <c r="C6120" s="154" t="s">
        <v>7828</v>
      </c>
      <c r="D6120" s="201" t="s">
        <v>1958</v>
      </c>
    </row>
    <row r="6121" spans="2:4">
      <c r="B6121" s="198" t="s">
        <v>7829</v>
      </c>
      <c r="C6121" s="154" t="s">
        <v>1557</v>
      </c>
      <c r="D6121" s="201" t="s">
        <v>1958</v>
      </c>
    </row>
    <row r="6122" spans="2:4">
      <c r="B6122" s="198" t="s">
        <v>7830</v>
      </c>
      <c r="C6122" s="154" t="s">
        <v>1557</v>
      </c>
      <c r="D6122" s="201" t="s">
        <v>1958</v>
      </c>
    </row>
    <row r="6123" spans="2:4">
      <c r="B6123" s="198" t="s">
        <v>7831</v>
      </c>
      <c r="C6123" s="154" t="s">
        <v>1557</v>
      </c>
      <c r="D6123" s="201" t="s">
        <v>1958</v>
      </c>
    </row>
    <row r="6124" spans="2:4">
      <c r="B6124" s="198" t="s">
        <v>7832</v>
      </c>
      <c r="C6124" s="154" t="s">
        <v>149</v>
      </c>
      <c r="D6124" s="201" t="s">
        <v>1956</v>
      </c>
    </row>
    <row r="6125" spans="2:4">
      <c r="B6125" s="198" t="s">
        <v>7833</v>
      </c>
      <c r="C6125" s="154" t="s">
        <v>1517</v>
      </c>
      <c r="D6125" s="201" t="s">
        <v>1956</v>
      </c>
    </row>
    <row r="6126" spans="2:4">
      <c r="B6126" s="198" t="s">
        <v>7834</v>
      </c>
      <c r="C6126" s="154" t="s">
        <v>1657</v>
      </c>
      <c r="D6126" s="201" t="s">
        <v>1956</v>
      </c>
    </row>
    <row r="6127" spans="2:4">
      <c r="B6127" s="198" t="s">
        <v>7835</v>
      </c>
      <c r="C6127" s="154" t="s">
        <v>7836</v>
      </c>
      <c r="D6127" s="201" t="s">
        <v>2216</v>
      </c>
    </row>
    <row r="6128" spans="2:4">
      <c r="B6128" s="198" t="s">
        <v>7837</v>
      </c>
      <c r="C6128" s="154" t="s">
        <v>1631</v>
      </c>
      <c r="D6128" s="201" t="s">
        <v>1951</v>
      </c>
    </row>
    <row r="6129" spans="2:4">
      <c r="B6129" s="198" t="s">
        <v>7838</v>
      </c>
      <c r="C6129" s="154" t="s">
        <v>5713</v>
      </c>
      <c r="D6129" s="201" t="s">
        <v>5662</v>
      </c>
    </row>
    <row r="6130" spans="2:4">
      <c r="B6130" s="198" t="s">
        <v>7839</v>
      </c>
      <c r="C6130" s="154" t="s">
        <v>7151</v>
      </c>
      <c r="D6130" s="201" t="s">
        <v>5662</v>
      </c>
    </row>
    <row r="6131" spans="2:4">
      <c r="B6131" s="198" t="s">
        <v>7847</v>
      </c>
      <c r="C6131" s="154" t="s">
        <v>150</v>
      </c>
      <c r="D6131" s="201" t="s">
        <v>1951</v>
      </c>
    </row>
    <row r="6132" spans="2:4">
      <c r="B6132" s="198" t="s">
        <v>7848</v>
      </c>
      <c r="C6132" s="154" t="s">
        <v>142</v>
      </c>
      <c r="D6132" s="201" t="s">
        <v>1954</v>
      </c>
    </row>
    <row r="6133" spans="2:4">
      <c r="B6133" s="198" t="s">
        <v>7849</v>
      </c>
      <c r="C6133" s="154" t="s">
        <v>1753</v>
      </c>
      <c r="D6133" s="201" t="s">
        <v>1951</v>
      </c>
    </row>
    <row r="6134" spans="2:4">
      <c r="B6134" s="198" t="s">
        <v>7851</v>
      </c>
      <c r="C6134" s="154" t="s">
        <v>142</v>
      </c>
      <c r="D6134" s="201" t="s">
        <v>1954</v>
      </c>
    </row>
    <row r="6135" spans="2:4">
      <c r="B6135" s="198" t="s">
        <v>7852</v>
      </c>
      <c r="C6135" s="154" t="s">
        <v>7239</v>
      </c>
      <c r="D6135" s="201" t="s">
        <v>1951</v>
      </c>
    </row>
    <row r="6136" spans="2:4">
      <c r="B6136" s="198" t="s">
        <v>7853</v>
      </c>
      <c r="C6136" s="154" t="s">
        <v>150</v>
      </c>
      <c r="D6136" s="201" t="s">
        <v>1951</v>
      </c>
    </row>
    <row r="6137" spans="2:4">
      <c r="B6137" s="198" t="s">
        <v>7855</v>
      </c>
      <c r="C6137" s="154" t="s">
        <v>1710</v>
      </c>
      <c r="D6137" s="201" t="s">
        <v>1956</v>
      </c>
    </row>
    <row r="6138" spans="2:4">
      <c r="B6138" s="198" t="s">
        <v>7863</v>
      </c>
      <c r="C6138" s="154" t="s">
        <v>5713</v>
      </c>
      <c r="D6138" s="201" t="s">
        <v>5662</v>
      </c>
    </row>
    <row r="6139" spans="2:4">
      <c r="B6139" s="198" t="s">
        <v>7861</v>
      </c>
      <c r="C6139" s="154" t="s">
        <v>149</v>
      </c>
      <c r="D6139" s="201" t="s">
        <v>1956</v>
      </c>
    </row>
    <row r="6140" spans="2:4">
      <c r="B6140" s="198" t="s">
        <v>7862</v>
      </c>
      <c r="C6140" s="154" t="s">
        <v>142</v>
      </c>
      <c r="D6140" s="201" t="s">
        <v>1954</v>
      </c>
    </row>
    <row r="6141" spans="2:4">
      <c r="B6141" s="198" t="s">
        <v>7856</v>
      </c>
      <c r="C6141" s="154" t="s">
        <v>7239</v>
      </c>
      <c r="D6141" s="201" t="s">
        <v>1954</v>
      </c>
    </row>
    <row r="6142" spans="2:4">
      <c r="B6142" s="198" t="s">
        <v>7857</v>
      </c>
      <c r="C6142" s="154" t="s">
        <v>1567</v>
      </c>
      <c r="D6142" s="201" t="s">
        <v>1953</v>
      </c>
    </row>
    <row r="6143" spans="2:4">
      <c r="B6143" s="198" t="s">
        <v>7858</v>
      </c>
      <c r="C6143" s="154" t="s">
        <v>7836</v>
      </c>
      <c r="D6143" s="201" t="s">
        <v>2216</v>
      </c>
    </row>
    <row r="6144" spans="2:4">
      <c r="B6144" s="198" t="s">
        <v>7859</v>
      </c>
      <c r="C6144" s="154" t="s">
        <v>3854</v>
      </c>
      <c r="D6144" s="201" t="s">
        <v>1951</v>
      </c>
    </row>
    <row r="6145" spans="2:4">
      <c r="B6145" s="198" t="s">
        <v>7850</v>
      </c>
      <c r="C6145" s="154" t="s">
        <v>149</v>
      </c>
      <c r="D6145" s="201" t="s">
        <v>1956</v>
      </c>
    </row>
    <row r="6146" spans="2:4">
      <c r="B6146" s="198" t="s">
        <v>7854</v>
      </c>
      <c r="C6146" s="154" t="s">
        <v>1581</v>
      </c>
      <c r="D6146" s="201" t="s">
        <v>1955</v>
      </c>
    </row>
    <row r="6147" spans="2:4">
      <c r="B6147" s="198" t="s">
        <v>7860</v>
      </c>
      <c r="C6147" s="154" t="s">
        <v>1581</v>
      </c>
      <c r="D6147" s="201" t="s">
        <v>1955</v>
      </c>
    </row>
    <row r="6148" spans="2:4">
      <c r="B6148" s="198" t="s">
        <v>7843</v>
      </c>
      <c r="C6148" s="154" t="s">
        <v>1657</v>
      </c>
      <c r="D6148" s="201" t="s">
        <v>1956</v>
      </c>
    </row>
    <row r="6149" spans="2:4">
      <c r="B6149" s="198" t="s">
        <v>7845</v>
      </c>
      <c r="C6149" s="154" t="s">
        <v>1631</v>
      </c>
      <c r="D6149" s="201" t="s">
        <v>1951</v>
      </c>
    </row>
    <row r="6150" spans="2:4">
      <c r="B6150" s="198" t="s">
        <v>7864</v>
      </c>
      <c r="C6150" s="154" t="s">
        <v>1631</v>
      </c>
      <c r="D6150" s="201" t="s">
        <v>1951</v>
      </c>
    </row>
    <row r="6151" spans="2:4">
      <c r="B6151" s="198" t="s">
        <v>7865</v>
      </c>
      <c r="C6151" s="154" t="s">
        <v>1581</v>
      </c>
      <c r="D6151" s="201" t="s">
        <v>1955</v>
      </c>
    </row>
    <row r="6152" spans="2:4">
      <c r="B6152" s="198" t="s">
        <v>7844</v>
      </c>
      <c r="C6152" s="154" t="s">
        <v>1557</v>
      </c>
      <c r="D6152" s="201" t="s">
        <v>1958</v>
      </c>
    </row>
    <row r="6153" spans="2:4">
      <c r="B6153" s="198" t="s">
        <v>7846</v>
      </c>
      <c r="C6153" s="154" t="s">
        <v>1557</v>
      </c>
      <c r="D6153" s="201" t="s">
        <v>1958</v>
      </c>
    </row>
    <row r="6154" spans="2:4">
      <c r="B6154" s="198" t="s">
        <v>7866</v>
      </c>
      <c r="C6154" s="154" t="s">
        <v>1511</v>
      </c>
      <c r="D6154" s="201" t="s">
        <v>1951</v>
      </c>
    </row>
    <row r="6155" spans="2:4">
      <c r="B6155" s="198" t="s">
        <v>7869</v>
      </c>
      <c r="C6155" s="154" t="s">
        <v>1631</v>
      </c>
      <c r="D6155" s="201" t="s">
        <v>1951</v>
      </c>
    </row>
    <row r="6156" spans="2:4">
      <c r="B6156" s="198" t="s">
        <v>7867</v>
      </c>
      <c r="C6156" s="154" t="s">
        <v>1631</v>
      </c>
      <c r="D6156" s="201" t="s">
        <v>1951</v>
      </c>
    </row>
    <row r="6157" spans="2:4">
      <c r="B6157" s="198" t="s">
        <v>7840</v>
      </c>
      <c r="C6157" s="154" t="s">
        <v>1557</v>
      </c>
      <c r="D6157" s="201" t="s">
        <v>1958</v>
      </c>
    </row>
    <row r="6158" spans="2:4">
      <c r="B6158" s="198" t="s">
        <v>7841</v>
      </c>
      <c r="C6158" s="154" t="s">
        <v>1557</v>
      </c>
      <c r="D6158" s="201" t="s">
        <v>1958</v>
      </c>
    </row>
    <row r="6159" spans="2:4">
      <c r="B6159" s="198" t="s">
        <v>7868</v>
      </c>
      <c r="C6159" s="154" t="s">
        <v>1511</v>
      </c>
      <c r="D6159" s="201" t="s">
        <v>1951</v>
      </c>
    </row>
    <row r="6160" spans="2:4">
      <c r="B6160" s="122" t="s">
        <v>7842</v>
      </c>
      <c r="C6160" s="154" t="s">
        <v>1590</v>
      </c>
      <c r="D6160" s="201" t="s">
        <v>1958</v>
      </c>
    </row>
    <row r="6161" spans="2:4">
      <c r="B6161" s="198" t="s">
        <v>7870</v>
      </c>
      <c r="C6161" s="154" t="s">
        <v>3357</v>
      </c>
      <c r="D6161" s="201" t="s">
        <v>1951</v>
      </c>
    </row>
    <row r="6162" spans="2:4">
      <c r="B6162" s="198" t="s">
        <v>7871</v>
      </c>
      <c r="C6162" s="154" t="s">
        <v>1566</v>
      </c>
      <c r="D6162" s="201" t="s">
        <v>1951</v>
      </c>
    </row>
    <row r="6163" spans="2:4">
      <c r="B6163" s="198" t="s">
        <v>7872</v>
      </c>
      <c r="C6163" s="154" t="s">
        <v>1657</v>
      </c>
      <c r="D6163" s="201" t="s">
        <v>1956</v>
      </c>
    </row>
    <row r="6164" spans="2:4">
      <c r="B6164" s="198" t="s">
        <v>7873</v>
      </c>
      <c r="C6164" s="154" t="s">
        <v>4431</v>
      </c>
      <c r="D6164" s="201" t="s">
        <v>1959</v>
      </c>
    </row>
    <row r="6165" spans="2:4">
      <c r="B6165" s="198" t="s">
        <v>7874</v>
      </c>
      <c r="C6165" s="154" t="s">
        <v>1511</v>
      </c>
      <c r="D6165" s="201" t="s">
        <v>1951</v>
      </c>
    </row>
    <row r="6166" spans="2:4">
      <c r="B6166" s="198" t="s">
        <v>7875</v>
      </c>
      <c r="C6166" s="154" t="s">
        <v>1511</v>
      </c>
      <c r="D6166" s="201" t="s">
        <v>1951</v>
      </c>
    </row>
    <row r="6167" spans="2:4">
      <c r="B6167" s="198" t="s">
        <v>7876</v>
      </c>
      <c r="C6167" s="154" t="s">
        <v>1511</v>
      </c>
      <c r="D6167" s="201" t="s">
        <v>1951</v>
      </c>
    </row>
    <row r="6168" spans="2:4">
      <c r="B6168" s="198" t="s">
        <v>7877</v>
      </c>
      <c r="C6168" s="154" t="s">
        <v>1511</v>
      </c>
      <c r="D6168" s="201" t="s">
        <v>1951</v>
      </c>
    </row>
    <row r="6169" spans="2:4">
      <c r="B6169" s="198" t="s">
        <v>7878</v>
      </c>
      <c r="C6169" s="154" t="s">
        <v>1631</v>
      </c>
      <c r="D6169" s="201" t="s">
        <v>1951</v>
      </c>
    </row>
    <row r="6170" spans="2:4">
      <c r="B6170" s="198" t="s">
        <v>7879</v>
      </c>
      <c r="C6170" s="154" t="s">
        <v>1631</v>
      </c>
      <c r="D6170" s="201" t="s">
        <v>1951</v>
      </c>
    </row>
    <row r="6171" spans="2:4">
      <c r="B6171" s="198" t="s">
        <v>7880</v>
      </c>
      <c r="C6171" s="154" t="s">
        <v>1511</v>
      </c>
      <c r="D6171" s="201" t="s">
        <v>1951</v>
      </c>
    </row>
    <row r="6172" spans="2:4">
      <c r="B6172" s="198" t="s">
        <v>7881</v>
      </c>
      <c r="C6172" s="154" t="s">
        <v>1657</v>
      </c>
      <c r="D6172" s="201" t="s">
        <v>1956</v>
      </c>
    </row>
    <row r="6173" spans="2:4">
      <c r="B6173" s="198" t="s">
        <v>7882</v>
      </c>
      <c r="C6173" s="154" t="s">
        <v>1631</v>
      </c>
      <c r="D6173" s="201" t="s">
        <v>1951</v>
      </c>
    </row>
    <row r="6174" spans="2:4">
      <c r="B6174" s="198" t="s">
        <v>7883</v>
      </c>
      <c r="C6174" s="154" t="s">
        <v>1511</v>
      </c>
      <c r="D6174" s="201" t="s">
        <v>1951</v>
      </c>
    </row>
    <row r="6175" spans="2:4">
      <c r="B6175" s="198" t="s">
        <v>7884</v>
      </c>
      <c r="C6175" s="154" t="s">
        <v>1631</v>
      </c>
      <c r="D6175" s="201" t="s">
        <v>1951</v>
      </c>
    </row>
    <row r="6176" spans="2:4">
      <c r="B6176" s="198" t="s">
        <v>7856</v>
      </c>
      <c r="C6176" s="154" t="s">
        <v>2914</v>
      </c>
      <c r="D6176" s="201" t="s">
        <v>1954</v>
      </c>
    </row>
    <row r="6177" spans="2:4">
      <c r="B6177" s="198" t="s">
        <v>7885</v>
      </c>
      <c r="C6177" s="154" t="s">
        <v>1566</v>
      </c>
      <c r="D6177" s="201" t="s">
        <v>1951</v>
      </c>
    </row>
    <row r="6178" spans="2:4">
      <c r="B6178" s="198" t="s">
        <v>7581</v>
      </c>
      <c r="C6178" s="154" t="s">
        <v>1560</v>
      </c>
      <c r="D6178" s="201" t="s">
        <v>1953</v>
      </c>
    </row>
    <row r="6179" spans="2:4">
      <c r="B6179" s="198" t="s">
        <v>7886</v>
      </c>
      <c r="C6179" s="154" t="s">
        <v>1631</v>
      </c>
      <c r="D6179" s="201" t="s">
        <v>1951</v>
      </c>
    </row>
    <row r="6180" spans="2:4">
      <c r="B6180" s="198" t="s">
        <v>7887</v>
      </c>
      <c r="C6180" s="154" t="s">
        <v>1581</v>
      </c>
      <c r="D6180" s="201" t="s">
        <v>1955</v>
      </c>
    </row>
    <row r="6181" spans="2:4">
      <c r="B6181" s="198" t="s">
        <v>7888</v>
      </c>
      <c r="C6181" s="154" t="s">
        <v>1657</v>
      </c>
      <c r="D6181" s="201" t="s">
        <v>1956</v>
      </c>
    </row>
    <row r="6182" spans="2:4">
      <c r="B6182" s="198" t="s">
        <v>7889</v>
      </c>
      <c r="C6182" s="154" t="s">
        <v>1631</v>
      </c>
      <c r="D6182" s="201" t="s">
        <v>1951</v>
      </c>
    </row>
    <row r="6183" spans="2:4">
      <c r="B6183" s="198" t="s">
        <v>7890</v>
      </c>
      <c r="C6183" s="154" t="s">
        <v>1628</v>
      </c>
      <c r="D6183" s="201" t="s">
        <v>1956</v>
      </c>
    </row>
    <row r="6184" spans="2:4">
      <c r="B6184" s="231" t="s">
        <v>7658</v>
      </c>
      <c r="C6184" s="154" t="s">
        <v>1628</v>
      </c>
      <c r="D6184" s="201" t="s">
        <v>1956</v>
      </c>
    </row>
    <row r="6185" spans="2:4">
      <c r="B6185" s="231" t="s">
        <v>7852</v>
      </c>
      <c r="C6185" s="154" t="s">
        <v>1521</v>
      </c>
      <c r="D6185" s="201" t="s">
        <v>1951</v>
      </c>
    </row>
    <row r="6186" spans="2:4">
      <c r="B6186" s="198" t="s">
        <v>7891</v>
      </c>
      <c r="C6186" s="154" t="s">
        <v>3357</v>
      </c>
      <c r="D6186" s="201" t="s">
        <v>1951</v>
      </c>
    </row>
    <row r="6187" spans="2:4">
      <c r="B6187" s="198" t="s">
        <v>7892</v>
      </c>
      <c r="C6187" s="154" t="s">
        <v>149</v>
      </c>
      <c r="D6187" s="201" t="s">
        <v>1956</v>
      </c>
    </row>
    <row r="6188" spans="2:4">
      <c r="B6188" s="198" t="s">
        <v>7894</v>
      </c>
      <c r="C6188" s="154" t="s">
        <v>7896</v>
      </c>
      <c r="D6188" s="201" t="s">
        <v>1954</v>
      </c>
    </row>
    <row r="6189" spans="2:4">
      <c r="B6189" s="198" t="s">
        <v>7893</v>
      </c>
      <c r="C6189" s="154" t="s">
        <v>142</v>
      </c>
      <c r="D6189" s="201" t="s">
        <v>1954</v>
      </c>
    </row>
    <row r="6190" spans="2:4">
      <c r="B6190" s="122" t="s">
        <v>7895</v>
      </c>
      <c r="C6190" s="154" t="s">
        <v>6866</v>
      </c>
      <c r="D6190" s="201" t="s">
        <v>1955</v>
      </c>
    </row>
    <row r="6191" spans="2:4">
      <c r="B6191" s="198" t="s">
        <v>7897</v>
      </c>
      <c r="C6191" s="154" t="s">
        <v>1644</v>
      </c>
      <c r="D6191" s="201" t="s">
        <v>1959</v>
      </c>
    </row>
    <row r="6192" spans="2:4">
      <c r="B6192" s="198" t="s">
        <v>7899</v>
      </c>
      <c r="C6192" s="154" t="s">
        <v>149</v>
      </c>
      <c r="D6192" s="201" t="s">
        <v>1956</v>
      </c>
    </row>
    <row r="6193" spans="2:4">
      <c r="B6193" s="198" t="s">
        <v>7898</v>
      </c>
      <c r="C6193" s="154"/>
      <c r="D6193" s="201"/>
    </row>
    <row r="6194" spans="2:4">
      <c r="B6194" s="198" t="s">
        <v>7900</v>
      </c>
      <c r="C6194" s="154" t="s">
        <v>7903</v>
      </c>
      <c r="D6194" s="201" t="s">
        <v>1955</v>
      </c>
    </row>
    <row r="6195" spans="2:4">
      <c r="B6195" s="198" t="s">
        <v>7902</v>
      </c>
      <c r="C6195" s="154" t="s">
        <v>7904</v>
      </c>
      <c r="D6195" s="201" t="s">
        <v>1954</v>
      </c>
    </row>
    <row r="6196" spans="2:4">
      <c r="B6196" s="198" t="s">
        <v>7901</v>
      </c>
      <c r="C6196" s="154" t="s">
        <v>7905</v>
      </c>
      <c r="D6196" s="201" t="s">
        <v>1954</v>
      </c>
    </row>
    <row r="6197" spans="2:4">
      <c r="B6197" s="198" t="s">
        <v>7908</v>
      </c>
      <c r="C6197" s="154" t="s">
        <v>7919</v>
      </c>
      <c r="D6197" s="201" t="s">
        <v>2274</v>
      </c>
    </row>
    <row r="6198" spans="2:4">
      <c r="B6198" s="198" t="s">
        <v>7909</v>
      </c>
      <c r="C6198" s="154" t="s">
        <v>1633</v>
      </c>
      <c r="D6198" s="201" t="s">
        <v>1959</v>
      </c>
    </row>
    <row r="6199" spans="2:4">
      <c r="B6199" s="198" t="s">
        <v>7913</v>
      </c>
      <c r="C6199" s="154" t="s">
        <v>3450</v>
      </c>
      <c r="D6199" s="201" t="s">
        <v>1959</v>
      </c>
    </row>
    <row r="6200" spans="2:4">
      <c r="B6200" s="198" t="s">
        <v>7910</v>
      </c>
      <c r="C6200" s="154" t="s">
        <v>7439</v>
      </c>
      <c r="D6200" s="201" t="s">
        <v>5662</v>
      </c>
    </row>
    <row r="6201" spans="2:4">
      <c r="B6201" s="198" t="s">
        <v>7911</v>
      </c>
      <c r="C6201" s="154" t="s">
        <v>7511</v>
      </c>
      <c r="D6201" s="201" t="s">
        <v>5662</v>
      </c>
    </row>
    <row r="6202" spans="2:4">
      <c r="B6202" s="198" t="s">
        <v>7912</v>
      </c>
      <c r="C6202" s="154" t="s">
        <v>3450</v>
      </c>
      <c r="D6202" s="201" t="s">
        <v>1959</v>
      </c>
    </row>
    <row r="6203" spans="2:4">
      <c r="B6203" s="198" t="s">
        <v>7914</v>
      </c>
      <c r="C6203" s="154" t="s">
        <v>7654</v>
      </c>
      <c r="D6203" s="201" t="s">
        <v>5662</v>
      </c>
    </row>
    <row r="6204" spans="2:4">
      <c r="B6204" s="198" t="s">
        <v>7915</v>
      </c>
      <c r="C6204" s="154" t="s">
        <v>7439</v>
      </c>
      <c r="D6204" s="201" t="s">
        <v>5662</v>
      </c>
    </row>
    <row r="6205" spans="2:4">
      <c r="B6205" s="198" t="s">
        <v>7916</v>
      </c>
      <c r="C6205" s="154" t="s">
        <v>149</v>
      </c>
      <c r="D6205" s="201" t="s">
        <v>1956</v>
      </c>
    </row>
    <row r="6206" spans="2:4">
      <c r="B6206" s="198" t="s">
        <v>7917</v>
      </c>
      <c r="C6206" s="154" t="s">
        <v>1560</v>
      </c>
      <c r="D6206" s="201" t="s">
        <v>1953</v>
      </c>
    </row>
    <row r="6207" spans="2:4">
      <c r="B6207" s="198" t="s">
        <v>7918</v>
      </c>
      <c r="C6207" s="154" t="s">
        <v>152</v>
      </c>
      <c r="D6207" s="201" t="s">
        <v>1952</v>
      </c>
    </row>
    <row r="6208" spans="2:4">
      <c r="B6208" s="198" t="s">
        <v>7920</v>
      </c>
      <c r="C6208" s="154" t="s">
        <v>1517</v>
      </c>
      <c r="D6208" s="201" t="s">
        <v>1956</v>
      </c>
    </row>
    <row r="6209" spans="2:4">
      <c r="B6209" s="198" t="s">
        <v>7921</v>
      </c>
      <c r="C6209" s="154" t="s">
        <v>3357</v>
      </c>
      <c r="D6209" s="201" t="s">
        <v>1951</v>
      </c>
    </row>
    <row r="6210" spans="2:4">
      <c r="B6210" s="198" t="s">
        <v>7922</v>
      </c>
      <c r="C6210" s="154" t="s">
        <v>7348</v>
      </c>
      <c r="D6210" s="201" t="s">
        <v>5662</v>
      </c>
    </row>
    <row r="6211" spans="2:4">
      <c r="B6211" s="198" t="s">
        <v>7923</v>
      </c>
      <c r="C6211" s="154" t="s">
        <v>7950</v>
      </c>
      <c r="D6211" s="201" t="s">
        <v>1954</v>
      </c>
    </row>
    <row r="6212" spans="2:4">
      <c r="B6212" s="198" t="s">
        <v>7924</v>
      </c>
      <c r="C6212" s="154" t="s">
        <v>1581</v>
      </c>
      <c r="D6212" s="201" t="s">
        <v>1955</v>
      </c>
    </row>
    <row r="6213" spans="2:4">
      <c r="B6213" s="198" t="s">
        <v>7925</v>
      </c>
      <c r="C6213" s="154" t="s">
        <v>3756</v>
      </c>
      <c r="D6213" s="201" t="s">
        <v>2216</v>
      </c>
    </row>
    <row r="6214" spans="2:4">
      <c r="B6214" s="198" t="s">
        <v>7926</v>
      </c>
      <c r="C6214" s="154" t="s">
        <v>1560</v>
      </c>
      <c r="D6214" s="201" t="s">
        <v>1953</v>
      </c>
    </row>
    <row r="6215" spans="2:4">
      <c r="B6215" s="198" t="s">
        <v>7927</v>
      </c>
      <c r="C6215" s="154" t="s">
        <v>7021</v>
      </c>
      <c r="D6215" s="201" t="s">
        <v>6237</v>
      </c>
    </row>
    <row r="6216" spans="2:4">
      <c r="B6216" s="198" t="s">
        <v>7928</v>
      </c>
      <c r="C6216" s="154" t="s">
        <v>3566</v>
      </c>
      <c r="D6216" s="201" t="s">
        <v>1954</v>
      </c>
    </row>
    <row r="6217" spans="2:4">
      <c r="B6217" s="198" t="s">
        <v>7934</v>
      </c>
      <c r="C6217" s="154" t="s">
        <v>1830</v>
      </c>
      <c r="D6217" s="201" t="s">
        <v>1956</v>
      </c>
    </row>
    <row r="6218" spans="2:4">
      <c r="B6218" s="198" t="s">
        <v>7929</v>
      </c>
      <c r="C6218" s="154" t="s">
        <v>3854</v>
      </c>
      <c r="D6218" s="201" t="s">
        <v>1955</v>
      </c>
    </row>
    <row r="6219" spans="2:4">
      <c r="B6219" s="198" t="s">
        <v>7930</v>
      </c>
      <c r="C6219" s="154" t="s">
        <v>2914</v>
      </c>
      <c r="D6219" s="201" t="s">
        <v>1954</v>
      </c>
    </row>
    <row r="6220" spans="2:4">
      <c r="B6220" s="198" t="s">
        <v>7931</v>
      </c>
      <c r="C6220" s="154" t="s">
        <v>7951</v>
      </c>
      <c r="D6220" s="201" t="s">
        <v>1952</v>
      </c>
    </row>
    <row r="6221" spans="2:4">
      <c r="B6221" s="198" t="s">
        <v>7932</v>
      </c>
      <c r="C6221" s="154" t="s">
        <v>1657</v>
      </c>
      <c r="D6221" s="201" t="s">
        <v>1956</v>
      </c>
    </row>
    <row r="6222" spans="2:4">
      <c r="B6222" s="198" t="s">
        <v>7935</v>
      </c>
      <c r="C6222" s="154" t="s">
        <v>3081</v>
      </c>
      <c r="D6222" s="201" t="s">
        <v>1957</v>
      </c>
    </row>
    <row r="6223" spans="2:4">
      <c r="B6223" s="198" t="s">
        <v>7936</v>
      </c>
      <c r="C6223" s="154" t="s">
        <v>3854</v>
      </c>
      <c r="D6223" s="201" t="s">
        <v>1955</v>
      </c>
    </row>
    <row r="6224" spans="2:4">
      <c r="B6224" s="198" t="s">
        <v>7933</v>
      </c>
      <c r="C6224" s="154" t="s">
        <v>3854</v>
      </c>
      <c r="D6224" s="201" t="s">
        <v>1955</v>
      </c>
    </row>
    <row r="6225" spans="2:4">
      <c r="B6225" s="198" t="s">
        <v>7937</v>
      </c>
      <c r="C6225" s="154" t="s">
        <v>7952</v>
      </c>
      <c r="D6225" s="201" t="s">
        <v>1951</v>
      </c>
    </row>
    <row r="6226" spans="2:4">
      <c r="B6226" s="198" t="s">
        <v>7938</v>
      </c>
      <c r="C6226" s="154" t="s">
        <v>150</v>
      </c>
      <c r="D6226" s="201" t="s">
        <v>1951</v>
      </c>
    </row>
    <row r="6227" spans="2:4">
      <c r="B6227" s="198" t="s">
        <v>7939</v>
      </c>
      <c r="C6227" s="154" t="s">
        <v>149</v>
      </c>
      <c r="D6227" s="201" t="s">
        <v>1956</v>
      </c>
    </row>
    <row r="6228" spans="2:4">
      <c r="B6228" s="198" t="s">
        <v>7940</v>
      </c>
      <c r="C6228" s="154" t="s">
        <v>1625</v>
      </c>
      <c r="D6228" s="201" t="s">
        <v>1951</v>
      </c>
    </row>
    <row r="6229" spans="2:4">
      <c r="B6229" s="198" t="s">
        <v>7941</v>
      </c>
      <c r="C6229" s="154" t="s">
        <v>150</v>
      </c>
      <c r="D6229" s="201" t="s">
        <v>1951</v>
      </c>
    </row>
    <row r="6230" spans="2:4">
      <c r="B6230" s="198" t="s">
        <v>7942</v>
      </c>
      <c r="C6230" s="154" t="s">
        <v>1625</v>
      </c>
      <c r="D6230" s="201" t="s">
        <v>1951</v>
      </c>
    </row>
    <row r="6231" spans="2:4">
      <c r="B6231" s="198" t="s">
        <v>7945</v>
      </c>
      <c r="C6231" s="154" t="s">
        <v>1625</v>
      </c>
      <c r="D6231" s="201" t="s">
        <v>1951</v>
      </c>
    </row>
    <row r="6232" spans="2:4">
      <c r="B6232" s="198" t="s">
        <v>7946</v>
      </c>
      <c r="C6232" s="154" t="s">
        <v>3854</v>
      </c>
      <c r="D6232" s="201" t="s">
        <v>1955</v>
      </c>
    </row>
    <row r="6233" spans="2:4">
      <c r="B6233" s="198" t="s">
        <v>7949</v>
      </c>
      <c r="C6233" s="154" t="s">
        <v>152</v>
      </c>
      <c r="D6233" s="201" t="s">
        <v>1952</v>
      </c>
    </row>
    <row r="6234" spans="2:4">
      <c r="B6234" s="198" t="s">
        <v>7947</v>
      </c>
      <c r="C6234" s="154" t="s">
        <v>1581</v>
      </c>
      <c r="D6234" s="201" t="s">
        <v>1955</v>
      </c>
    </row>
    <row r="6235" spans="2:4">
      <c r="B6235" s="198" t="s">
        <v>7948</v>
      </c>
      <c r="C6235" s="154" t="s">
        <v>150</v>
      </c>
      <c r="D6235" s="201" t="s">
        <v>1951</v>
      </c>
    </row>
    <row r="6236" spans="2:4">
      <c r="B6236" s="198" t="s">
        <v>7944</v>
      </c>
      <c r="C6236" s="154" t="s">
        <v>4826</v>
      </c>
      <c r="D6236" s="201" t="s">
        <v>1956</v>
      </c>
    </row>
    <row r="6237" spans="2:4">
      <c r="B6237" s="198" t="s">
        <v>7943</v>
      </c>
      <c r="C6237" s="154" t="s">
        <v>149</v>
      </c>
      <c r="D6237" s="201" t="s">
        <v>1956</v>
      </c>
    </row>
    <row r="6238" spans="2:4">
      <c r="B6238" s="198" t="s">
        <v>7954</v>
      </c>
      <c r="C6238" s="154" t="s">
        <v>7150</v>
      </c>
      <c r="D6238" s="201" t="s">
        <v>5662</v>
      </c>
    </row>
    <row r="6239" spans="2:4">
      <c r="B6239" s="198" t="s">
        <v>7955</v>
      </c>
      <c r="C6239" s="154" t="s">
        <v>6463</v>
      </c>
      <c r="D6239" s="201" t="s">
        <v>5662</v>
      </c>
    </row>
    <row r="6240" spans="2:4">
      <c r="B6240" s="198" t="s">
        <v>7956</v>
      </c>
      <c r="C6240" s="154" t="s">
        <v>7558</v>
      </c>
      <c r="D6240" s="201" t="s">
        <v>5662</v>
      </c>
    </row>
    <row r="6241" spans="2:4">
      <c r="B6241" s="198" t="s">
        <v>7957</v>
      </c>
      <c r="C6241" s="154" t="s">
        <v>7149</v>
      </c>
      <c r="D6241" s="201" t="s">
        <v>5662</v>
      </c>
    </row>
    <row r="6242" spans="2:4">
      <c r="B6242" s="198" t="s">
        <v>7958</v>
      </c>
      <c r="C6242" s="154" t="s">
        <v>7953</v>
      </c>
      <c r="D6242" s="201" t="s">
        <v>5662</v>
      </c>
    </row>
    <row r="6243" spans="2:4">
      <c r="B6243" s="198" t="s">
        <v>7959</v>
      </c>
      <c r="C6243" s="154" t="s">
        <v>7567</v>
      </c>
      <c r="D6243" s="201" t="s">
        <v>5662</v>
      </c>
    </row>
    <row r="6244" spans="2:4">
      <c r="B6244" s="198" t="s">
        <v>7960</v>
      </c>
      <c r="C6244" s="154" t="s">
        <v>7544</v>
      </c>
      <c r="D6244" s="201" t="s">
        <v>5662</v>
      </c>
    </row>
    <row r="6245" spans="2:4">
      <c r="B6245" s="198" t="s">
        <v>7961</v>
      </c>
      <c r="C6245" s="154" t="s">
        <v>7558</v>
      </c>
      <c r="D6245" s="201" t="s">
        <v>5662</v>
      </c>
    </row>
    <row r="6246" spans="2:4">
      <c r="B6246" s="198" t="s">
        <v>7962</v>
      </c>
      <c r="C6246" s="154" t="s">
        <v>6772</v>
      </c>
      <c r="D6246" s="201" t="s">
        <v>5662</v>
      </c>
    </row>
    <row r="6247" spans="2:4">
      <c r="B6247" s="198" t="s">
        <v>7963</v>
      </c>
      <c r="C6247" s="154" t="s">
        <v>149</v>
      </c>
      <c r="D6247" s="201" t="s">
        <v>1956</v>
      </c>
    </row>
    <row r="6248" spans="2:4">
      <c r="B6248" s="198" t="s">
        <v>7966</v>
      </c>
      <c r="C6248" s="154"/>
      <c r="D6248" s="201"/>
    </row>
    <row r="6249" spans="2:4">
      <c r="B6249" s="198" t="s">
        <v>7964</v>
      </c>
      <c r="C6249" s="154" t="s">
        <v>7967</v>
      </c>
      <c r="D6249" s="201" t="s">
        <v>1959</v>
      </c>
    </row>
    <row r="6250" spans="2:4">
      <c r="B6250" s="198" t="s">
        <v>7965</v>
      </c>
      <c r="C6250" s="154" t="s">
        <v>150</v>
      </c>
      <c r="D6250" s="201" t="s">
        <v>1951</v>
      </c>
    </row>
    <row r="6251" spans="2:4">
      <c r="B6251" s="198" t="s">
        <v>7968</v>
      </c>
      <c r="C6251" s="154" t="s">
        <v>4431</v>
      </c>
      <c r="D6251" s="201" t="s">
        <v>1959</v>
      </c>
    </row>
    <row r="6252" spans="2:4">
      <c r="B6252" s="198" t="s">
        <v>7969</v>
      </c>
      <c r="C6252" s="154" t="s">
        <v>1628</v>
      </c>
      <c r="D6252" s="201" t="s">
        <v>1956</v>
      </c>
    </row>
    <row r="6253" spans="2:4">
      <c r="B6253" s="198" t="s">
        <v>7970</v>
      </c>
      <c r="C6253" s="154" t="s">
        <v>151</v>
      </c>
      <c r="D6253" s="201" t="s">
        <v>1954</v>
      </c>
    </row>
    <row r="6254" spans="2:4">
      <c r="B6254" s="198" t="s">
        <v>7971</v>
      </c>
      <c r="C6254" s="154" t="s">
        <v>1511</v>
      </c>
      <c r="D6254" s="201" t="s">
        <v>1951</v>
      </c>
    </row>
    <row r="6255" spans="2:4">
      <c r="B6255" s="198" t="s">
        <v>7972</v>
      </c>
      <c r="C6255" s="154" t="s">
        <v>151</v>
      </c>
      <c r="D6255" s="201" t="s">
        <v>1954</v>
      </c>
    </row>
    <row r="6256" spans="2:4">
      <c r="B6256" s="198" t="s">
        <v>7973</v>
      </c>
      <c r="C6256" s="154" t="s">
        <v>151</v>
      </c>
      <c r="D6256" s="201" t="s">
        <v>1954</v>
      </c>
    </row>
    <row r="6257" spans="2:4">
      <c r="B6257" s="198" t="s">
        <v>7974</v>
      </c>
      <c r="C6257" s="154" t="s">
        <v>151</v>
      </c>
      <c r="D6257" s="201" t="s">
        <v>1954</v>
      </c>
    </row>
    <row r="6258" spans="2:4">
      <c r="B6258" s="198" t="s">
        <v>7975</v>
      </c>
      <c r="C6258" s="154" t="s">
        <v>1631</v>
      </c>
      <c r="D6258" s="201" t="s">
        <v>1951</v>
      </c>
    </row>
    <row r="6259" spans="2:4">
      <c r="B6259" s="198" t="s">
        <v>7976</v>
      </c>
      <c r="C6259" s="154" t="s">
        <v>4431</v>
      </c>
      <c r="D6259" s="201" t="s">
        <v>1959</v>
      </c>
    </row>
    <row r="6260" spans="2:4">
      <c r="B6260" s="198" t="s">
        <v>7977</v>
      </c>
      <c r="C6260" s="154" t="s">
        <v>151</v>
      </c>
      <c r="D6260" s="201" t="s">
        <v>1954</v>
      </c>
    </row>
    <row r="6261" spans="2:4">
      <c r="B6261" s="198" t="s">
        <v>7978</v>
      </c>
      <c r="C6261" s="154" t="s">
        <v>1631</v>
      </c>
      <c r="D6261" s="201" t="s">
        <v>1951</v>
      </c>
    </row>
    <row r="6262" spans="2:4">
      <c r="B6262" s="122" t="s">
        <v>7979</v>
      </c>
      <c r="C6262" s="154" t="s">
        <v>1631</v>
      </c>
      <c r="D6262" s="201" t="s">
        <v>1951</v>
      </c>
    </row>
    <row r="6263" spans="2:4">
      <c r="B6263" s="122" t="s">
        <v>7980</v>
      </c>
      <c r="C6263" s="154" t="s">
        <v>1560</v>
      </c>
      <c r="D6263" s="201" t="s">
        <v>1953</v>
      </c>
    </row>
    <row r="6264" spans="2:4">
      <c r="B6264" s="198" t="s">
        <v>7966</v>
      </c>
      <c r="C6264" s="154" t="s">
        <v>150</v>
      </c>
      <c r="D6264" s="201" t="s">
        <v>1951</v>
      </c>
    </row>
    <row r="6265" spans="2:4">
      <c r="B6265" s="198" t="s">
        <v>7981</v>
      </c>
      <c r="C6265" s="154" t="s">
        <v>7993</v>
      </c>
      <c r="D6265" s="201" t="s">
        <v>1955</v>
      </c>
    </row>
    <row r="6266" spans="2:4">
      <c r="B6266" s="198" t="s">
        <v>7982</v>
      </c>
      <c r="C6266" s="154" t="s">
        <v>150</v>
      </c>
      <c r="D6266" s="201" t="s">
        <v>1951</v>
      </c>
    </row>
    <row r="6267" spans="2:4">
      <c r="B6267" s="198" t="s">
        <v>7983</v>
      </c>
      <c r="C6267" s="154" t="s">
        <v>1560</v>
      </c>
      <c r="D6267" s="201" t="s">
        <v>1953</v>
      </c>
    </row>
    <row r="6268" spans="2:4">
      <c r="B6268" s="198" t="s">
        <v>7984</v>
      </c>
      <c r="C6268" s="154" t="s">
        <v>1560</v>
      </c>
      <c r="D6268" s="201" t="s">
        <v>1953</v>
      </c>
    </row>
    <row r="6269" spans="2:4">
      <c r="B6269" s="198" t="s">
        <v>7985</v>
      </c>
      <c r="C6269" s="154" t="s">
        <v>3854</v>
      </c>
      <c r="D6269" s="201" t="s">
        <v>1955</v>
      </c>
    </row>
    <row r="6270" spans="2:4">
      <c r="B6270" s="198" t="s">
        <v>7986</v>
      </c>
      <c r="C6270" s="154" t="s">
        <v>4538</v>
      </c>
      <c r="D6270" s="201" t="s">
        <v>1953</v>
      </c>
    </row>
    <row r="6271" spans="2:4">
      <c r="B6271" s="198" t="s">
        <v>7987</v>
      </c>
      <c r="C6271" s="154" t="s">
        <v>3854</v>
      </c>
      <c r="D6271" s="201" t="s">
        <v>1955</v>
      </c>
    </row>
    <row r="6272" spans="2:4">
      <c r="B6272" s="198" t="s">
        <v>7988</v>
      </c>
      <c r="C6272" s="154" t="s">
        <v>7022</v>
      </c>
      <c r="D6272" s="201" t="s">
        <v>1958</v>
      </c>
    </row>
    <row r="6273" spans="2:4">
      <c r="B6273" s="198" t="s">
        <v>7989</v>
      </c>
      <c r="C6273" s="154" t="s">
        <v>1727</v>
      </c>
      <c r="D6273" s="201" t="s">
        <v>1953</v>
      </c>
    </row>
    <row r="6274" spans="2:4">
      <c r="B6274" s="198" t="s">
        <v>7990</v>
      </c>
      <c r="C6274" s="154" t="s">
        <v>142</v>
      </c>
      <c r="D6274" s="201" t="s">
        <v>1954</v>
      </c>
    </row>
    <row r="6275" spans="2:4">
      <c r="B6275" s="198" t="s">
        <v>7991</v>
      </c>
      <c r="C6275" s="154" t="s">
        <v>7022</v>
      </c>
      <c r="D6275" s="201" t="s">
        <v>1958</v>
      </c>
    </row>
    <row r="6276" spans="2:4">
      <c r="B6276" s="198" t="s">
        <v>7992</v>
      </c>
      <c r="C6276" s="154" t="s">
        <v>150</v>
      </c>
      <c r="D6276" s="201" t="s">
        <v>1951</v>
      </c>
    </row>
    <row r="6277" spans="2:4">
      <c r="B6277" s="198" t="s">
        <v>7994</v>
      </c>
      <c r="C6277" s="154" t="s">
        <v>3854</v>
      </c>
      <c r="D6277" s="201" t="s">
        <v>1955</v>
      </c>
    </row>
    <row r="6278" spans="2:4">
      <c r="B6278" s="198" t="s">
        <v>7995</v>
      </c>
      <c r="C6278" s="154" t="s">
        <v>7793</v>
      </c>
      <c r="D6278" s="201" t="s">
        <v>5662</v>
      </c>
    </row>
    <row r="6279" spans="2:4">
      <c r="B6279" s="198" t="s">
        <v>7996</v>
      </c>
      <c r="C6279" s="154" t="s">
        <v>7654</v>
      </c>
      <c r="D6279" s="201" t="s">
        <v>5662</v>
      </c>
    </row>
    <row r="6280" spans="2:4">
      <c r="B6280" s="198" t="s">
        <v>7997</v>
      </c>
      <c r="C6280" s="154" t="s">
        <v>7152</v>
      </c>
      <c r="D6280" s="201" t="s">
        <v>5662</v>
      </c>
    </row>
    <row r="6281" spans="2:4">
      <c r="B6281" s="198" t="s">
        <v>7998</v>
      </c>
      <c r="C6281" s="154" t="s">
        <v>1038</v>
      </c>
      <c r="D6281" s="201" t="s">
        <v>5662</v>
      </c>
    </row>
    <row r="6282" spans="2:4">
      <c r="B6282" s="198" t="s">
        <v>7999</v>
      </c>
      <c r="C6282" s="154" t="s">
        <v>1574</v>
      </c>
      <c r="D6282" s="201" t="s">
        <v>1959</v>
      </c>
    </row>
    <row r="6283" spans="2:4">
      <c r="B6283" s="198" t="s">
        <v>8000</v>
      </c>
      <c r="C6283" s="154" t="s">
        <v>8030</v>
      </c>
      <c r="D6283" s="201" t="s">
        <v>1959</v>
      </c>
    </row>
    <row r="6284" spans="2:4">
      <c r="B6284" s="198" t="s">
        <v>8001</v>
      </c>
      <c r="C6284" s="154" t="s">
        <v>1560</v>
      </c>
      <c r="D6284" s="201" t="s">
        <v>1953</v>
      </c>
    </row>
    <row r="6285" spans="2:4">
      <c r="B6285" s="198" t="s">
        <v>8002</v>
      </c>
      <c r="C6285" s="154" t="s">
        <v>1560</v>
      </c>
      <c r="D6285" s="201" t="s">
        <v>1953</v>
      </c>
    </row>
    <row r="6286" spans="2:4">
      <c r="B6286" s="198" t="s">
        <v>8006</v>
      </c>
      <c r="C6286" s="154" t="s">
        <v>8031</v>
      </c>
      <c r="D6286" s="201" t="s">
        <v>2274</v>
      </c>
    </row>
    <row r="6287" spans="2:4">
      <c r="B6287" s="198" t="s">
        <v>8003</v>
      </c>
      <c r="C6287" s="154" t="s">
        <v>3081</v>
      </c>
      <c r="D6287" s="201" t="s">
        <v>1957</v>
      </c>
    </row>
    <row r="6288" spans="2:4">
      <c r="B6288" s="198" t="s">
        <v>8004</v>
      </c>
      <c r="C6288" s="154" t="s">
        <v>8032</v>
      </c>
      <c r="D6288" s="201" t="s">
        <v>2216</v>
      </c>
    </row>
    <row r="6289" spans="2:4">
      <c r="B6289" s="198" t="s">
        <v>8005</v>
      </c>
      <c r="C6289" s="154" t="s">
        <v>5067</v>
      </c>
      <c r="D6289" s="201" t="s">
        <v>2274</v>
      </c>
    </row>
    <row r="6290" spans="2:4">
      <c r="B6290" s="198" t="s">
        <v>8007</v>
      </c>
      <c r="C6290" s="154" t="s">
        <v>7348</v>
      </c>
      <c r="D6290" s="201" t="s">
        <v>5662</v>
      </c>
    </row>
    <row r="6291" spans="2:4">
      <c r="B6291" s="198" t="s">
        <v>8008</v>
      </c>
      <c r="C6291" s="154" t="s">
        <v>7793</v>
      </c>
      <c r="D6291" s="201" t="s">
        <v>5662</v>
      </c>
    </row>
    <row r="6292" spans="2:4">
      <c r="B6292" s="198" t="s">
        <v>8009</v>
      </c>
      <c r="C6292" s="154" t="s">
        <v>7654</v>
      </c>
      <c r="D6292" s="201" t="s">
        <v>5662</v>
      </c>
    </row>
    <row r="6293" spans="2:4">
      <c r="B6293" s="198" t="s">
        <v>8010</v>
      </c>
      <c r="C6293" s="154" t="s">
        <v>7348</v>
      </c>
      <c r="D6293" s="201" t="s">
        <v>5662</v>
      </c>
    </row>
    <row r="6294" spans="2:4">
      <c r="B6294" s="198" t="s">
        <v>8011</v>
      </c>
      <c r="C6294" s="154" t="s">
        <v>7654</v>
      </c>
      <c r="D6294" s="201" t="s">
        <v>5662</v>
      </c>
    </row>
    <row r="6295" spans="2:4">
      <c r="B6295" s="198" t="s">
        <v>8012</v>
      </c>
      <c r="C6295" s="154" t="s">
        <v>7151</v>
      </c>
      <c r="D6295" s="201" t="s">
        <v>5662</v>
      </c>
    </row>
    <row r="6296" spans="2:4">
      <c r="B6296" s="198" t="s">
        <v>8013</v>
      </c>
      <c r="C6296" s="154" t="s">
        <v>7793</v>
      </c>
      <c r="D6296" s="201" t="s">
        <v>5662</v>
      </c>
    </row>
    <row r="6297" spans="2:4">
      <c r="B6297" s="198" t="s">
        <v>8014</v>
      </c>
      <c r="C6297" s="154" t="s">
        <v>8033</v>
      </c>
      <c r="D6297" s="201" t="s">
        <v>5662</v>
      </c>
    </row>
    <row r="6298" spans="2:4">
      <c r="B6298" s="198" t="s">
        <v>8015</v>
      </c>
      <c r="C6298" s="154" t="s">
        <v>1560</v>
      </c>
      <c r="D6298" s="201" t="s">
        <v>1953</v>
      </c>
    </row>
    <row r="6299" spans="2:4">
      <c r="B6299" s="198" t="s">
        <v>8016</v>
      </c>
      <c r="C6299" s="154" t="s">
        <v>8034</v>
      </c>
      <c r="D6299" s="201" t="s">
        <v>1959</v>
      </c>
    </row>
    <row r="6300" spans="2:4">
      <c r="B6300" s="198" t="s">
        <v>8017</v>
      </c>
      <c r="C6300" s="154" t="s">
        <v>3854</v>
      </c>
      <c r="D6300" s="201" t="s">
        <v>1955</v>
      </c>
    </row>
    <row r="6301" spans="2:4">
      <c r="B6301" s="198" t="s">
        <v>8018</v>
      </c>
      <c r="C6301" s="154" t="s">
        <v>7348</v>
      </c>
      <c r="D6301" s="201" t="s">
        <v>5662</v>
      </c>
    </row>
    <row r="6302" spans="2:4">
      <c r="B6302" s="198" t="s">
        <v>8019</v>
      </c>
      <c r="C6302" s="154" t="s">
        <v>8035</v>
      </c>
      <c r="D6302" s="201" t="s">
        <v>5662</v>
      </c>
    </row>
    <row r="6303" spans="2:4">
      <c r="B6303" s="198" t="s">
        <v>8020</v>
      </c>
      <c r="C6303" s="154" t="s">
        <v>8033</v>
      </c>
      <c r="D6303" s="201" t="s">
        <v>5662</v>
      </c>
    </row>
    <row r="6304" spans="2:4">
      <c r="B6304" s="198" t="s">
        <v>8021</v>
      </c>
      <c r="C6304" s="154" t="s">
        <v>7348</v>
      </c>
      <c r="D6304" s="201" t="s">
        <v>5662</v>
      </c>
    </row>
    <row r="6305" spans="2:4">
      <c r="B6305" s="198" t="s">
        <v>8022</v>
      </c>
      <c r="C6305" s="154" t="s">
        <v>7686</v>
      </c>
      <c r="D6305" s="201" t="s">
        <v>5662</v>
      </c>
    </row>
    <row r="6306" spans="2:4">
      <c r="B6306" s="198" t="s">
        <v>8023</v>
      </c>
      <c r="C6306" s="154" t="s">
        <v>7670</v>
      </c>
      <c r="D6306" s="201" t="s">
        <v>5662</v>
      </c>
    </row>
    <row r="6307" spans="2:4">
      <c r="B6307" s="198" t="s">
        <v>8024</v>
      </c>
      <c r="C6307" s="154" t="s">
        <v>1511</v>
      </c>
      <c r="D6307" s="201" t="s">
        <v>1951</v>
      </c>
    </row>
    <row r="6308" spans="2:4">
      <c r="B6308" s="198" t="s">
        <v>8025</v>
      </c>
      <c r="C6308" s="154" t="s">
        <v>7793</v>
      </c>
      <c r="D6308" s="201" t="s">
        <v>5662</v>
      </c>
    </row>
    <row r="6309" spans="2:4">
      <c r="B6309" s="198" t="s">
        <v>8026</v>
      </c>
      <c r="C6309" s="154" t="s">
        <v>7348</v>
      </c>
      <c r="D6309" s="201" t="s">
        <v>5662</v>
      </c>
    </row>
    <row r="6310" spans="2:4">
      <c r="B6310" s="198" t="s">
        <v>8027</v>
      </c>
      <c r="C6310" s="154" t="s">
        <v>149</v>
      </c>
      <c r="D6310" s="201" t="s">
        <v>1956</v>
      </c>
    </row>
    <row r="6311" spans="2:4">
      <c r="B6311" s="198" t="s">
        <v>8028</v>
      </c>
      <c r="C6311" s="154" t="s">
        <v>149</v>
      </c>
      <c r="D6311" s="201" t="s">
        <v>1956</v>
      </c>
    </row>
    <row r="6312" spans="2:4">
      <c r="B6312" s="198" t="s">
        <v>8029</v>
      </c>
      <c r="C6312" s="154" t="s">
        <v>6818</v>
      </c>
      <c r="D6312" s="201" t="s">
        <v>1959</v>
      </c>
    </row>
    <row r="6313" spans="2:4">
      <c r="B6313" s="198" t="s">
        <v>8036</v>
      </c>
      <c r="C6313" s="154" t="s">
        <v>149</v>
      </c>
      <c r="D6313" s="201" t="s">
        <v>1956</v>
      </c>
    </row>
    <row r="6314" spans="2:4">
      <c r="B6314" s="198" t="s">
        <v>8038</v>
      </c>
      <c r="C6314" s="154" t="s">
        <v>1587</v>
      </c>
      <c r="D6314" s="201" t="s">
        <v>1958</v>
      </c>
    </row>
    <row r="6315" spans="2:4">
      <c r="B6315" s="198" t="s">
        <v>8037</v>
      </c>
      <c r="C6315" s="154" t="s">
        <v>1587</v>
      </c>
      <c r="D6315" s="201" t="s">
        <v>1958</v>
      </c>
    </row>
    <row r="6316" spans="2:4">
      <c r="B6316" s="198" t="s">
        <v>8039</v>
      </c>
      <c r="C6316" s="154" t="s">
        <v>4431</v>
      </c>
      <c r="D6316" s="201" t="s">
        <v>1959</v>
      </c>
    </row>
    <row r="6317" spans="2:4">
      <c r="B6317" s="198" t="s">
        <v>8040</v>
      </c>
      <c r="C6317" s="154" t="s">
        <v>4431</v>
      </c>
      <c r="D6317" s="201" t="s">
        <v>1959</v>
      </c>
    </row>
    <row r="6318" spans="2:4">
      <c r="B6318" s="198" t="s">
        <v>8041</v>
      </c>
      <c r="C6318" s="154" t="s">
        <v>4431</v>
      </c>
      <c r="D6318" s="201" t="s">
        <v>1959</v>
      </c>
    </row>
    <row r="6319" spans="2:4">
      <c r="B6319" s="198" t="s">
        <v>8042</v>
      </c>
      <c r="C6319" s="154" t="s">
        <v>1557</v>
      </c>
      <c r="D6319" s="201" t="s">
        <v>1958</v>
      </c>
    </row>
    <row r="6320" spans="2:4">
      <c r="B6320" s="198" t="s">
        <v>8043</v>
      </c>
      <c r="C6320" s="154" t="s">
        <v>4431</v>
      </c>
      <c r="D6320" s="201" t="s">
        <v>1959</v>
      </c>
    </row>
    <row r="6321" spans="2:4">
      <c r="B6321" s="198" t="s">
        <v>8044</v>
      </c>
      <c r="C6321" s="154" t="s">
        <v>3854</v>
      </c>
      <c r="D6321" s="201" t="s">
        <v>1955</v>
      </c>
    </row>
    <row r="6322" spans="2:4">
      <c r="B6322" s="198" t="s">
        <v>8045</v>
      </c>
      <c r="C6322" s="154" t="s">
        <v>3854</v>
      </c>
      <c r="D6322" s="201" t="s">
        <v>1955</v>
      </c>
    </row>
    <row r="6323" spans="2:4">
      <c r="B6323" s="198" t="s">
        <v>8046</v>
      </c>
      <c r="C6323" s="154" t="s">
        <v>3756</v>
      </c>
      <c r="D6323" s="201" t="s">
        <v>2216</v>
      </c>
    </row>
    <row r="6324" spans="2:4">
      <c r="B6324" s="198" t="s">
        <v>8047</v>
      </c>
      <c r="C6324" s="154" t="s">
        <v>142</v>
      </c>
      <c r="D6324" s="201" t="s">
        <v>1954</v>
      </c>
    </row>
    <row r="6325" spans="2:4">
      <c r="B6325" s="198" t="s">
        <v>8048</v>
      </c>
      <c r="C6325" s="154" t="s">
        <v>3854</v>
      </c>
      <c r="D6325" s="201" t="s">
        <v>1955</v>
      </c>
    </row>
    <row r="6326" spans="2:4">
      <c r="B6326" s="198" t="s">
        <v>8049</v>
      </c>
      <c r="C6326" s="154" t="s">
        <v>142</v>
      </c>
      <c r="D6326" s="201" t="s">
        <v>1954</v>
      </c>
    </row>
    <row r="6327" spans="2:4">
      <c r="B6327" s="198" t="s">
        <v>8050</v>
      </c>
      <c r="C6327" s="154" t="s">
        <v>1560</v>
      </c>
      <c r="D6327" s="201" t="s">
        <v>1953</v>
      </c>
    </row>
    <row r="6328" spans="2:4">
      <c r="B6328" s="198" t="s">
        <v>8051</v>
      </c>
      <c r="C6328" s="154" t="s">
        <v>3081</v>
      </c>
      <c r="D6328" s="201" t="s">
        <v>1957</v>
      </c>
    </row>
    <row r="6329" spans="2:4">
      <c r="B6329" s="198" t="s">
        <v>8052</v>
      </c>
      <c r="C6329" s="154" t="s">
        <v>3081</v>
      </c>
      <c r="D6329" s="201" t="s">
        <v>1957</v>
      </c>
    </row>
    <row r="6330" spans="2:4">
      <c r="B6330" s="198" t="s">
        <v>8053</v>
      </c>
      <c r="C6330" s="154" t="s">
        <v>7793</v>
      </c>
      <c r="D6330" s="201" t="s">
        <v>5662</v>
      </c>
    </row>
    <row r="6331" spans="2:4">
      <c r="B6331" s="198" t="s">
        <v>8054</v>
      </c>
      <c r="C6331" s="154" t="s">
        <v>1038</v>
      </c>
      <c r="D6331" s="201" t="s">
        <v>5662</v>
      </c>
    </row>
    <row r="6332" spans="2:4">
      <c r="B6332" s="198" t="s">
        <v>8055</v>
      </c>
      <c r="C6332" s="154" t="s">
        <v>1641</v>
      </c>
      <c r="D6332" s="201" t="s">
        <v>1958</v>
      </c>
    </row>
    <row r="6333" spans="2:4">
      <c r="B6333" s="198" t="s">
        <v>8056</v>
      </c>
      <c r="C6333" s="154" t="s">
        <v>1641</v>
      </c>
      <c r="D6333" s="201" t="s">
        <v>1958</v>
      </c>
    </row>
    <row r="6334" spans="2:4">
      <c r="B6334" s="198" t="s">
        <v>8057</v>
      </c>
      <c r="C6334" s="154" t="s">
        <v>7151</v>
      </c>
      <c r="D6334" s="201" t="s">
        <v>5662</v>
      </c>
    </row>
    <row r="6335" spans="2:4">
      <c r="B6335" s="198" t="s">
        <v>8058</v>
      </c>
      <c r="C6335" s="154" t="s">
        <v>3854</v>
      </c>
      <c r="D6335" s="201" t="s">
        <v>1955</v>
      </c>
    </row>
    <row r="6336" spans="2:4">
      <c r="B6336" s="198" t="s">
        <v>8063</v>
      </c>
      <c r="C6336" s="154" t="s">
        <v>7348</v>
      </c>
      <c r="D6336" s="201" t="s">
        <v>5662</v>
      </c>
    </row>
    <row r="6337" spans="2:4">
      <c r="B6337" s="198" t="s">
        <v>8064</v>
      </c>
      <c r="C6337" s="154" t="s">
        <v>8035</v>
      </c>
      <c r="D6337" s="201" t="s">
        <v>5662</v>
      </c>
    </row>
    <row r="6338" spans="2:4">
      <c r="B6338" s="198" t="s">
        <v>8065</v>
      </c>
      <c r="C6338" s="154" t="s">
        <v>8067</v>
      </c>
      <c r="D6338" s="201" t="s">
        <v>5662</v>
      </c>
    </row>
    <row r="6339" spans="2:4">
      <c r="B6339" s="198" t="s">
        <v>8066</v>
      </c>
      <c r="C6339" s="154" t="s">
        <v>7366</v>
      </c>
      <c r="D6339" s="201" t="s">
        <v>5662</v>
      </c>
    </row>
    <row r="6340" spans="2:4">
      <c r="B6340" s="198" t="s">
        <v>8061</v>
      </c>
      <c r="C6340" s="154" t="s">
        <v>3081</v>
      </c>
      <c r="D6340" s="201" t="s">
        <v>1957</v>
      </c>
    </row>
    <row r="6341" spans="2:4">
      <c r="B6341" s="198" t="s">
        <v>8062</v>
      </c>
      <c r="C6341" s="154" t="s">
        <v>1625</v>
      </c>
      <c r="D6341" s="201" t="s">
        <v>1951</v>
      </c>
    </row>
    <row r="6342" spans="2:4">
      <c r="B6342" s="198" t="s">
        <v>8060</v>
      </c>
      <c r="C6342" s="154" t="s">
        <v>3854</v>
      </c>
      <c r="D6342" s="201" t="s">
        <v>1955</v>
      </c>
    </row>
    <row r="6343" spans="2:4">
      <c r="B6343" s="198" t="s">
        <v>8059</v>
      </c>
      <c r="C6343" s="154" t="s">
        <v>1560</v>
      </c>
      <c r="D6343" s="201" t="s">
        <v>1953</v>
      </c>
    </row>
    <row r="6344" spans="2:4">
      <c r="B6344" s="198" t="s">
        <v>8068</v>
      </c>
      <c r="C6344" s="154" t="s">
        <v>3854</v>
      </c>
      <c r="D6344" s="201" t="s">
        <v>1955</v>
      </c>
    </row>
    <row r="6345" spans="2:4">
      <c r="B6345" s="198" t="s">
        <v>8069</v>
      </c>
      <c r="C6345" s="154" t="s">
        <v>2925</v>
      </c>
      <c r="D6345" s="201" t="s">
        <v>1953</v>
      </c>
    </row>
    <row r="6346" spans="2:4">
      <c r="B6346" s="198" t="s">
        <v>8070</v>
      </c>
      <c r="C6346" s="154" t="s">
        <v>149</v>
      </c>
      <c r="D6346" s="201" t="s">
        <v>1956</v>
      </c>
    </row>
    <row r="6347" spans="2:4">
      <c r="B6347" s="198" t="s">
        <v>8071</v>
      </c>
      <c r="C6347" s="154" t="s">
        <v>1581</v>
      </c>
      <c r="D6347" s="201" t="s">
        <v>1955</v>
      </c>
    </row>
    <row r="6348" spans="2:4">
      <c r="B6348" s="198" t="s">
        <v>8072</v>
      </c>
      <c r="C6348" s="154" t="s">
        <v>1591</v>
      </c>
      <c r="D6348" s="201" t="s">
        <v>1951</v>
      </c>
    </row>
    <row r="6349" spans="2:4">
      <c r="B6349" s="198" t="s">
        <v>8073</v>
      </c>
      <c r="C6349" s="154" t="s">
        <v>142</v>
      </c>
      <c r="D6349" s="201" t="s">
        <v>1954</v>
      </c>
    </row>
    <row r="6350" spans="2:4">
      <c r="B6350" s="198" t="s">
        <v>8074</v>
      </c>
      <c r="C6350" s="154" t="s">
        <v>8085</v>
      </c>
      <c r="D6350" s="201" t="s">
        <v>1959</v>
      </c>
    </row>
    <row r="6351" spans="2:4">
      <c r="B6351" s="198" t="s">
        <v>8075</v>
      </c>
      <c r="C6351" s="154" t="s">
        <v>3450</v>
      </c>
      <c r="D6351" s="201" t="s">
        <v>1959</v>
      </c>
    </row>
    <row r="6352" spans="2:4">
      <c r="B6352" s="198" t="s">
        <v>8077</v>
      </c>
      <c r="C6352" s="154" t="s">
        <v>5763</v>
      </c>
      <c r="D6352" s="201" t="s">
        <v>2216</v>
      </c>
    </row>
    <row r="6353" spans="2:4">
      <c r="B6353" s="198" t="s">
        <v>8078</v>
      </c>
      <c r="C6353" s="154" t="s">
        <v>8086</v>
      </c>
      <c r="D6353" s="201" t="s">
        <v>1958</v>
      </c>
    </row>
    <row r="6354" spans="2:4">
      <c r="B6354" s="198" t="s">
        <v>8079</v>
      </c>
      <c r="C6354" s="154" t="s">
        <v>8087</v>
      </c>
      <c r="D6354" s="201" t="s">
        <v>1951</v>
      </c>
    </row>
    <row r="6355" spans="2:4">
      <c r="B6355" s="198" t="s">
        <v>8076</v>
      </c>
      <c r="C6355" s="154" t="s">
        <v>150</v>
      </c>
      <c r="D6355" s="201" t="s">
        <v>1951</v>
      </c>
    </row>
    <row r="6356" spans="2:4">
      <c r="B6356" s="198" t="s">
        <v>8080</v>
      </c>
      <c r="C6356" s="154" t="s">
        <v>8088</v>
      </c>
      <c r="D6356" s="201" t="s">
        <v>2216</v>
      </c>
    </row>
    <row r="6357" spans="2:4">
      <c r="B6357" s="198" t="s">
        <v>8081</v>
      </c>
      <c r="C6357" s="154" t="s">
        <v>1560</v>
      </c>
      <c r="D6357" s="201" t="s">
        <v>1953</v>
      </c>
    </row>
    <row r="6358" spans="2:4">
      <c r="B6358" s="198" t="s">
        <v>8082</v>
      </c>
      <c r="C6358" s="154" t="s">
        <v>7348</v>
      </c>
      <c r="D6358" s="201" t="s">
        <v>5662</v>
      </c>
    </row>
    <row r="6359" spans="2:4">
      <c r="B6359" s="198" t="s">
        <v>8084</v>
      </c>
      <c r="C6359" s="154" t="s">
        <v>5763</v>
      </c>
      <c r="D6359" s="201" t="s">
        <v>2216</v>
      </c>
    </row>
    <row r="6360" spans="2:4">
      <c r="B6360" s="198" t="s">
        <v>8083</v>
      </c>
      <c r="C6360" s="154" t="s">
        <v>8089</v>
      </c>
      <c r="D6360" s="201" t="s">
        <v>1959</v>
      </c>
    </row>
    <row r="6361" spans="2:4">
      <c r="B6361" s="198" t="s">
        <v>8090</v>
      </c>
      <c r="C6361" s="154" t="s">
        <v>150</v>
      </c>
      <c r="D6361" s="201" t="s">
        <v>1951</v>
      </c>
    </row>
    <row r="6362" spans="2:4">
      <c r="B6362" s="198" t="s">
        <v>8091</v>
      </c>
      <c r="C6362" s="154" t="s">
        <v>149</v>
      </c>
      <c r="D6362" s="201" t="s">
        <v>1956</v>
      </c>
    </row>
    <row r="6363" spans="2:4">
      <c r="B6363" s="198" t="s">
        <v>8092</v>
      </c>
      <c r="C6363" s="154" t="s">
        <v>149</v>
      </c>
      <c r="D6363" s="201" t="s">
        <v>1956</v>
      </c>
    </row>
    <row r="6364" spans="2:4">
      <c r="B6364" s="198" t="s">
        <v>8093</v>
      </c>
      <c r="C6364" s="154" t="s">
        <v>150</v>
      </c>
      <c r="D6364" s="201" t="s">
        <v>1951</v>
      </c>
    </row>
    <row r="6365" spans="2:4">
      <c r="B6365" s="198" t="s">
        <v>8094</v>
      </c>
      <c r="C6365" s="154" t="s">
        <v>1581</v>
      </c>
      <c r="D6365" s="201" t="s">
        <v>1955</v>
      </c>
    </row>
    <row r="6366" spans="2:4">
      <c r="B6366" s="198" t="s">
        <v>8095</v>
      </c>
      <c r="C6366" s="154" t="s">
        <v>2914</v>
      </c>
      <c r="D6366" s="201" t="s">
        <v>1954</v>
      </c>
    </row>
    <row r="6367" spans="2:4">
      <c r="B6367" s="198" t="s">
        <v>8096</v>
      </c>
      <c r="C6367" s="154" t="s">
        <v>1581</v>
      </c>
      <c r="D6367" s="201" t="s">
        <v>1955</v>
      </c>
    </row>
    <row r="6368" spans="2:4">
      <c r="B6368" s="198" t="s">
        <v>8097</v>
      </c>
      <c r="C6368" s="154" t="s">
        <v>1567</v>
      </c>
      <c r="D6368" s="201" t="s">
        <v>1953</v>
      </c>
    </row>
    <row r="6369" spans="2:4">
      <c r="B6369" s="198" t="s">
        <v>8098</v>
      </c>
      <c r="C6369" s="154" t="s">
        <v>150</v>
      </c>
      <c r="D6369" s="201" t="s">
        <v>1951</v>
      </c>
    </row>
    <row r="6370" spans="2:4">
      <c r="B6370" s="198" t="s">
        <v>8099</v>
      </c>
      <c r="C6370" s="154" t="s">
        <v>1631</v>
      </c>
      <c r="D6370" s="201" t="s">
        <v>1951</v>
      </c>
    </row>
    <row r="6371" spans="2:4">
      <c r="B6371" s="198" t="s">
        <v>8100</v>
      </c>
      <c r="C6371" s="154" t="s">
        <v>150</v>
      </c>
      <c r="D6371" s="201" t="s">
        <v>1951</v>
      </c>
    </row>
    <row r="6372" spans="2:4">
      <c r="B6372" s="198" t="s">
        <v>8101</v>
      </c>
      <c r="C6372" s="154" t="s">
        <v>8110</v>
      </c>
      <c r="D6372" s="201" t="s">
        <v>1951</v>
      </c>
    </row>
    <row r="6373" spans="2:4">
      <c r="B6373" s="198" t="s">
        <v>8102</v>
      </c>
      <c r="C6373" s="154" t="s">
        <v>149</v>
      </c>
      <c r="D6373" s="201" t="s">
        <v>1956</v>
      </c>
    </row>
    <row r="6374" spans="2:4">
      <c r="B6374" s="198" t="s">
        <v>8106</v>
      </c>
      <c r="C6374" s="154" t="s">
        <v>1567</v>
      </c>
      <c r="D6374" s="201" t="s">
        <v>1953</v>
      </c>
    </row>
    <row r="6375" spans="2:4">
      <c r="B6375" s="198" t="s">
        <v>8107</v>
      </c>
      <c r="C6375" s="154" t="s">
        <v>153</v>
      </c>
      <c r="D6375" s="201" t="s">
        <v>1951</v>
      </c>
    </row>
    <row r="6376" spans="2:4">
      <c r="B6376" s="198" t="s">
        <v>8103</v>
      </c>
      <c r="C6376" s="154" t="s">
        <v>149</v>
      </c>
      <c r="D6376" s="201" t="s">
        <v>1956</v>
      </c>
    </row>
    <row r="6377" spans="2:4">
      <c r="B6377" s="198" t="s">
        <v>8104</v>
      </c>
      <c r="C6377" s="154" t="s">
        <v>6866</v>
      </c>
      <c r="D6377" s="201" t="s">
        <v>1955</v>
      </c>
    </row>
    <row r="6378" spans="2:4">
      <c r="B6378" s="198" t="s">
        <v>8108</v>
      </c>
      <c r="C6378" s="154" t="s">
        <v>153</v>
      </c>
      <c r="D6378" s="201" t="s">
        <v>1951</v>
      </c>
    </row>
    <row r="6379" spans="2:4">
      <c r="B6379" s="198" t="s">
        <v>8109</v>
      </c>
      <c r="C6379" s="154" t="s">
        <v>1628</v>
      </c>
      <c r="D6379" s="201" t="s">
        <v>1956</v>
      </c>
    </row>
    <row r="6380" spans="2:4">
      <c r="B6380" s="198" t="s">
        <v>8111</v>
      </c>
      <c r="C6380" s="154" t="s">
        <v>3357</v>
      </c>
      <c r="D6380" s="201" t="s">
        <v>1951</v>
      </c>
    </row>
    <row r="6381" spans="2:4">
      <c r="B6381" s="198" t="s">
        <v>8105</v>
      </c>
      <c r="C6381" s="154" t="s">
        <v>150</v>
      </c>
      <c r="D6381" s="201" t="s">
        <v>1951</v>
      </c>
    </row>
    <row r="6382" spans="2:4">
      <c r="B6382" s="198" t="s">
        <v>8112</v>
      </c>
      <c r="C6382" s="154" t="s">
        <v>151</v>
      </c>
      <c r="D6382" s="201" t="s">
        <v>1954</v>
      </c>
    </row>
    <row r="6383" spans="2:4">
      <c r="B6383" s="198" t="s">
        <v>8113</v>
      </c>
      <c r="C6383" s="154" t="s">
        <v>151</v>
      </c>
      <c r="D6383" s="201" t="s">
        <v>1954</v>
      </c>
    </row>
    <row r="6384" spans="2:4">
      <c r="B6384" s="198" t="s">
        <v>8114</v>
      </c>
      <c r="C6384" s="154" t="s">
        <v>1581</v>
      </c>
      <c r="D6384" s="201" t="s">
        <v>1955</v>
      </c>
    </row>
    <row r="6385" spans="2:4">
      <c r="B6385" s="198" t="s">
        <v>8115</v>
      </c>
      <c r="C6385" s="154" t="s">
        <v>1511</v>
      </c>
      <c r="D6385" s="201" t="s">
        <v>1951</v>
      </c>
    </row>
    <row r="6386" spans="2:4">
      <c r="B6386" s="198" t="s">
        <v>8116</v>
      </c>
      <c r="C6386" s="154" t="s">
        <v>151</v>
      </c>
      <c r="D6386" s="201" t="s">
        <v>1954</v>
      </c>
    </row>
    <row r="6387" spans="2:4">
      <c r="B6387" s="198" t="s">
        <v>8117</v>
      </c>
      <c r="C6387" s="154" t="s">
        <v>1581</v>
      </c>
      <c r="D6387" s="201" t="s">
        <v>1955</v>
      </c>
    </row>
    <row r="6388" spans="2:4">
      <c r="B6388" s="198" t="s">
        <v>8118</v>
      </c>
      <c r="C6388" s="154" t="s">
        <v>3854</v>
      </c>
      <c r="D6388" s="201" t="s">
        <v>1955</v>
      </c>
    </row>
    <row r="6389" spans="2:4">
      <c r="B6389" s="198" t="s">
        <v>8119</v>
      </c>
      <c r="C6389" s="154" t="s">
        <v>1517</v>
      </c>
      <c r="D6389" s="201" t="s">
        <v>1956</v>
      </c>
    </row>
    <row r="6390" spans="2:4">
      <c r="B6390" s="198" t="s">
        <v>8120</v>
      </c>
      <c r="C6390" s="154" t="s">
        <v>1560</v>
      </c>
      <c r="D6390" s="201" t="s">
        <v>1953</v>
      </c>
    </row>
    <row r="6391" spans="2:4">
      <c r="B6391" s="198" t="s">
        <v>8121</v>
      </c>
      <c r="C6391" s="154" t="s">
        <v>149</v>
      </c>
      <c r="D6391" s="201" t="s">
        <v>1956</v>
      </c>
    </row>
    <row r="6392" spans="2:4">
      <c r="B6392" s="198" t="s">
        <v>8122</v>
      </c>
      <c r="C6392" s="154" t="s">
        <v>149</v>
      </c>
      <c r="D6392" s="201" t="s">
        <v>1956</v>
      </c>
    </row>
    <row r="6393" spans="2:4">
      <c r="B6393" s="198" t="s">
        <v>8123</v>
      </c>
      <c r="C6393" s="154" t="s">
        <v>1830</v>
      </c>
      <c r="D6393" s="201" t="s">
        <v>1956</v>
      </c>
    </row>
    <row r="6394" spans="2:4">
      <c r="B6394" s="198" t="s">
        <v>8124</v>
      </c>
      <c r="C6394" s="154" t="s">
        <v>3081</v>
      </c>
      <c r="D6394" s="201" t="s">
        <v>1957</v>
      </c>
    </row>
    <row r="6395" spans="2:4">
      <c r="B6395" s="198" t="s">
        <v>8125</v>
      </c>
      <c r="C6395" s="154" t="s">
        <v>1587</v>
      </c>
      <c r="D6395" s="201" t="s">
        <v>1958</v>
      </c>
    </row>
    <row r="6396" spans="2:4">
      <c r="B6396" s="198" t="s">
        <v>8126</v>
      </c>
      <c r="C6396" s="154" t="s">
        <v>8127</v>
      </c>
      <c r="D6396" s="201" t="s">
        <v>2274</v>
      </c>
    </row>
    <row r="6397" spans="2:4">
      <c r="B6397" s="198" t="s">
        <v>8128</v>
      </c>
      <c r="C6397" s="154" t="s">
        <v>8129</v>
      </c>
      <c r="D6397" s="201" t="s">
        <v>6237</v>
      </c>
    </row>
    <row r="6398" spans="2:4">
      <c r="B6398" s="198" t="s">
        <v>8130</v>
      </c>
      <c r="C6398" s="154" t="s">
        <v>8129</v>
      </c>
      <c r="D6398" s="201" t="s">
        <v>6237</v>
      </c>
    </row>
    <row r="6399" spans="2:4">
      <c r="B6399" s="198" t="s">
        <v>8131</v>
      </c>
      <c r="C6399" s="154" t="s">
        <v>7021</v>
      </c>
      <c r="D6399" s="201" t="s">
        <v>6237</v>
      </c>
    </row>
    <row r="6400" spans="2:4">
      <c r="B6400" s="198" t="s">
        <v>8132</v>
      </c>
      <c r="C6400" s="154" t="s">
        <v>3756</v>
      </c>
      <c r="D6400" s="201" t="s">
        <v>2216</v>
      </c>
    </row>
    <row r="6401" spans="2:4">
      <c r="B6401" s="198" t="s">
        <v>8133</v>
      </c>
      <c r="C6401" s="154" t="s">
        <v>3854</v>
      </c>
      <c r="D6401" s="201" t="s">
        <v>1955</v>
      </c>
    </row>
    <row r="6402" spans="2:4">
      <c r="B6402" s="198" t="s">
        <v>8134</v>
      </c>
      <c r="C6402" s="154" t="s">
        <v>3756</v>
      </c>
      <c r="D6402" s="201" t="s">
        <v>2216</v>
      </c>
    </row>
    <row r="6403" spans="2:4">
      <c r="B6403" s="198" t="s">
        <v>8135</v>
      </c>
      <c r="C6403" s="154" t="s">
        <v>8136</v>
      </c>
      <c r="D6403" s="201" t="s">
        <v>5662</v>
      </c>
    </row>
    <row r="6404" spans="2:4">
      <c r="B6404" s="198" t="s">
        <v>8137</v>
      </c>
      <c r="C6404" s="154" t="s">
        <v>8138</v>
      </c>
      <c r="D6404" s="201" t="s">
        <v>5662</v>
      </c>
    </row>
    <row r="6405" spans="2:4">
      <c r="B6405" s="198" t="s">
        <v>8139</v>
      </c>
      <c r="C6405" s="154" t="s">
        <v>8140</v>
      </c>
      <c r="D6405" s="201" t="s">
        <v>5662</v>
      </c>
    </row>
    <row r="6406" spans="2:4">
      <c r="B6406" s="198" t="s">
        <v>8141</v>
      </c>
      <c r="C6406" s="154" t="s">
        <v>7149</v>
      </c>
      <c r="D6406" s="201" t="s">
        <v>5662</v>
      </c>
    </row>
    <row r="6407" spans="2:4">
      <c r="B6407" s="198" t="s">
        <v>8142</v>
      </c>
      <c r="C6407" s="154" t="s">
        <v>8143</v>
      </c>
      <c r="D6407" s="201" t="s">
        <v>5662</v>
      </c>
    </row>
    <row r="6408" spans="2:4">
      <c r="B6408" s="198" t="s">
        <v>8144</v>
      </c>
      <c r="C6408" s="154" t="s">
        <v>8145</v>
      </c>
      <c r="D6408" s="201" t="s">
        <v>5662</v>
      </c>
    </row>
    <row r="6409" spans="2:4">
      <c r="B6409" s="198" t="s">
        <v>8146</v>
      </c>
      <c r="C6409" s="154" t="s">
        <v>6772</v>
      </c>
      <c r="D6409" s="201" t="s">
        <v>5662</v>
      </c>
    </row>
    <row r="6410" spans="2:4">
      <c r="B6410" s="198" t="s">
        <v>8147</v>
      </c>
      <c r="C6410" s="154" t="s">
        <v>7547</v>
      </c>
      <c r="D6410" s="201" t="s">
        <v>5662</v>
      </c>
    </row>
    <row r="6411" spans="2:4">
      <c r="B6411" s="198" t="s">
        <v>8148</v>
      </c>
      <c r="C6411" s="154" t="s">
        <v>6772</v>
      </c>
      <c r="D6411" s="201" t="s">
        <v>5662</v>
      </c>
    </row>
    <row r="6412" spans="2:4">
      <c r="B6412" s="198" t="s">
        <v>8149</v>
      </c>
      <c r="C6412" s="154" t="s">
        <v>8150</v>
      </c>
      <c r="D6412" s="201" t="s">
        <v>5662</v>
      </c>
    </row>
    <row r="6413" spans="2:4">
      <c r="B6413" s="198" t="s">
        <v>8151</v>
      </c>
      <c r="C6413" s="154" t="s">
        <v>7823</v>
      </c>
      <c r="D6413" s="201" t="s">
        <v>5662</v>
      </c>
    </row>
    <row r="6414" spans="2:4">
      <c r="B6414" s="198" t="s">
        <v>8152</v>
      </c>
      <c r="C6414" s="154" t="s">
        <v>7149</v>
      </c>
      <c r="D6414" s="201" t="s">
        <v>5662</v>
      </c>
    </row>
    <row r="6415" spans="2:4">
      <c r="B6415" s="198" t="s">
        <v>8153</v>
      </c>
      <c r="C6415" s="154" t="s">
        <v>8031</v>
      </c>
      <c r="D6415" s="201" t="s">
        <v>2274</v>
      </c>
    </row>
    <row r="6416" spans="2:4">
      <c r="B6416" s="198" t="s">
        <v>8154</v>
      </c>
      <c r="C6416" s="154" t="s">
        <v>6463</v>
      </c>
      <c r="D6416" s="201" t="s">
        <v>5662</v>
      </c>
    </row>
    <row r="6417" spans="2:4">
      <c r="B6417" s="198" t="s">
        <v>8155</v>
      </c>
      <c r="C6417" s="154" t="s">
        <v>7149</v>
      </c>
      <c r="D6417" s="201" t="s">
        <v>5662</v>
      </c>
    </row>
    <row r="6418" spans="2:4">
      <c r="B6418" s="198" t="s">
        <v>8156</v>
      </c>
      <c r="C6418" s="154" t="s">
        <v>1590</v>
      </c>
      <c r="D6418" s="201" t="s">
        <v>1958</v>
      </c>
    </row>
    <row r="6419" spans="2:4">
      <c r="B6419" s="198" t="s">
        <v>8157</v>
      </c>
      <c r="C6419" s="154" t="s">
        <v>1587</v>
      </c>
      <c r="D6419" s="201" t="s">
        <v>1958</v>
      </c>
    </row>
    <row r="6420" spans="2:4">
      <c r="B6420" s="198" t="s">
        <v>8158</v>
      </c>
      <c r="C6420" s="154" t="s">
        <v>1587</v>
      </c>
      <c r="D6420" s="201" t="s">
        <v>1958</v>
      </c>
    </row>
    <row r="6421" spans="2:4">
      <c r="B6421" s="198" t="s">
        <v>8159</v>
      </c>
      <c r="C6421" s="154" t="s">
        <v>1587</v>
      </c>
      <c r="D6421" s="201" t="s">
        <v>1958</v>
      </c>
    </row>
    <row r="6422" spans="2:4">
      <c r="B6422" s="198" t="s">
        <v>8160</v>
      </c>
      <c r="C6422" s="154" t="s">
        <v>1587</v>
      </c>
      <c r="D6422" s="201" t="s">
        <v>1958</v>
      </c>
    </row>
    <row r="6423" spans="2:4">
      <c r="B6423" s="198" t="s">
        <v>8161</v>
      </c>
      <c r="C6423" s="154" t="s">
        <v>1587</v>
      </c>
      <c r="D6423" s="201" t="s">
        <v>1958</v>
      </c>
    </row>
    <row r="6424" spans="2:4">
      <c r="B6424" s="198" t="s">
        <v>8162</v>
      </c>
      <c r="C6424" s="154" t="s">
        <v>1587</v>
      </c>
      <c r="D6424" s="201" t="s">
        <v>1958</v>
      </c>
    </row>
    <row r="6425" spans="2:4">
      <c r="B6425" s="198" t="s">
        <v>8163</v>
      </c>
      <c r="C6425" s="154" t="s">
        <v>5713</v>
      </c>
      <c r="D6425" s="201" t="s">
        <v>5662</v>
      </c>
    </row>
    <row r="6426" spans="2:4">
      <c r="B6426" s="198" t="s">
        <v>8164</v>
      </c>
      <c r="C6426" s="154" t="s">
        <v>8140</v>
      </c>
      <c r="D6426" s="201" t="s">
        <v>5662</v>
      </c>
    </row>
    <row r="6427" spans="2:4">
      <c r="B6427" s="198" t="s">
        <v>8165</v>
      </c>
      <c r="C6427" s="154" t="s">
        <v>8166</v>
      </c>
      <c r="D6427" s="201" t="s">
        <v>5662</v>
      </c>
    </row>
    <row r="6428" spans="2:4">
      <c r="B6428" s="198" t="s">
        <v>8167</v>
      </c>
      <c r="C6428" s="154" t="s">
        <v>7348</v>
      </c>
      <c r="D6428" s="201" t="s">
        <v>5662</v>
      </c>
    </row>
    <row r="6429" spans="2:4">
      <c r="B6429" s="198" t="s">
        <v>8168</v>
      </c>
      <c r="C6429" s="154" t="s">
        <v>8140</v>
      </c>
      <c r="D6429" s="201" t="s">
        <v>5662</v>
      </c>
    </row>
    <row r="6430" spans="2:4">
      <c r="B6430" s="198" t="s">
        <v>8169</v>
      </c>
      <c r="C6430" s="154" t="s">
        <v>1560</v>
      </c>
      <c r="D6430" s="201" t="s">
        <v>1953</v>
      </c>
    </row>
    <row r="6431" spans="2:4">
      <c r="B6431" s="198" t="s">
        <v>8170</v>
      </c>
      <c r="C6431" s="154" t="s">
        <v>8031</v>
      </c>
      <c r="D6431" s="201" t="s">
        <v>2274</v>
      </c>
    </row>
    <row r="6432" spans="2:4">
      <c r="B6432" s="198" t="s">
        <v>8171</v>
      </c>
      <c r="C6432" s="154" t="s">
        <v>1560</v>
      </c>
      <c r="D6432" s="201" t="s">
        <v>1953</v>
      </c>
    </row>
    <row r="6433" spans="2:4">
      <c r="B6433" s="198" t="s">
        <v>8172</v>
      </c>
      <c r="C6433" s="154" t="s">
        <v>1595</v>
      </c>
      <c r="D6433" s="201" t="s">
        <v>1956</v>
      </c>
    </row>
    <row r="6434" spans="2:4">
      <c r="B6434" s="198" t="s">
        <v>8173</v>
      </c>
      <c r="C6434" s="154" t="s">
        <v>8031</v>
      </c>
      <c r="D6434" s="201" t="s">
        <v>2274</v>
      </c>
    </row>
    <row r="6435" spans="2:4">
      <c r="B6435" s="198" t="s">
        <v>8174</v>
      </c>
      <c r="C6435" s="154" t="s">
        <v>8031</v>
      </c>
      <c r="D6435" s="201" t="s">
        <v>2274</v>
      </c>
    </row>
    <row r="6436" spans="2:4">
      <c r="B6436" s="198" t="s">
        <v>8175</v>
      </c>
      <c r="C6436" s="154" t="s">
        <v>3357</v>
      </c>
      <c r="D6436" s="201" t="s">
        <v>1951</v>
      </c>
    </row>
    <row r="6437" spans="2:4">
      <c r="B6437" s="198" t="s">
        <v>8176</v>
      </c>
      <c r="C6437" s="154" t="s">
        <v>3357</v>
      </c>
      <c r="D6437" s="201" t="s">
        <v>1951</v>
      </c>
    </row>
    <row r="6438" spans="2:4">
      <c r="B6438" s="198" t="s">
        <v>8177</v>
      </c>
      <c r="C6438" s="154" t="s">
        <v>7348</v>
      </c>
      <c r="D6438" s="201" t="s">
        <v>5662</v>
      </c>
    </row>
    <row r="6439" spans="2:4">
      <c r="B6439" s="198" t="s">
        <v>8178</v>
      </c>
      <c r="C6439" s="154" t="s">
        <v>142</v>
      </c>
      <c r="D6439" s="201" t="s">
        <v>1954</v>
      </c>
    </row>
    <row r="6440" spans="2:4">
      <c r="B6440" s="198" t="s">
        <v>8179</v>
      </c>
      <c r="C6440" s="154" t="s">
        <v>3357</v>
      </c>
      <c r="D6440" s="201" t="s">
        <v>1951</v>
      </c>
    </row>
    <row r="6441" spans="2:4">
      <c r="B6441" s="198" t="s">
        <v>8180</v>
      </c>
      <c r="C6441" s="154" t="s">
        <v>1560</v>
      </c>
      <c r="D6441" s="201" t="s">
        <v>1953</v>
      </c>
    </row>
    <row r="6442" spans="2:4">
      <c r="B6442" s="198" t="s">
        <v>8181</v>
      </c>
      <c r="C6442" s="154" t="s">
        <v>142</v>
      </c>
      <c r="D6442" s="201" t="s">
        <v>1954</v>
      </c>
    </row>
    <row r="6443" spans="2:4">
      <c r="B6443" s="198" t="s">
        <v>8182</v>
      </c>
      <c r="C6443" s="154" t="s">
        <v>1625</v>
      </c>
      <c r="D6443" s="201" t="s">
        <v>1951</v>
      </c>
    </row>
    <row r="6444" spans="2:4">
      <c r="B6444" s="198" t="s">
        <v>8183</v>
      </c>
      <c r="C6444" s="154" t="s">
        <v>1759</v>
      </c>
      <c r="D6444" s="201" t="s">
        <v>1956</v>
      </c>
    </row>
    <row r="6445" spans="2:4">
      <c r="B6445" s="198" t="s">
        <v>8184</v>
      </c>
      <c r="C6445" s="154" t="s">
        <v>2923</v>
      </c>
      <c r="D6445" s="201" t="s">
        <v>1951</v>
      </c>
    </row>
    <row r="6446" spans="2:4">
      <c r="B6446" s="198" t="s">
        <v>8185</v>
      </c>
      <c r="C6446" s="154" t="s">
        <v>1759</v>
      </c>
      <c r="D6446" s="201" t="s">
        <v>1956</v>
      </c>
    </row>
    <row r="6447" spans="2:4">
      <c r="B6447" s="198" t="s">
        <v>8186</v>
      </c>
      <c r="C6447" s="154" t="s">
        <v>1759</v>
      </c>
      <c r="D6447" s="201" t="s">
        <v>1956</v>
      </c>
    </row>
    <row r="6448" spans="2:4">
      <c r="B6448" s="198" t="s">
        <v>8187</v>
      </c>
      <c r="C6448" s="154" t="s">
        <v>1784</v>
      </c>
      <c r="D6448" s="201" t="s">
        <v>1951</v>
      </c>
    </row>
    <row r="6449" spans="2:4">
      <c r="B6449" s="198" t="s">
        <v>8188</v>
      </c>
      <c r="C6449" s="154" t="s">
        <v>3357</v>
      </c>
      <c r="D6449" s="201" t="s">
        <v>1951</v>
      </c>
    </row>
    <row r="6450" spans="2:4">
      <c r="B6450" s="198" t="s">
        <v>8189</v>
      </c>
      <c r="C6450" s="154" t="s">
        <v>1595</v>
      </c>
      <c r="D6450" s="201" t="s">
        <v>1956</v>
      </c>
    </row>
    <row r="6451" spans="2:4">
      <c r="B6451" s="198" t="s">
        <v>8190</v>
      </c>
      <c r="C6451" s="154" t="s">
        <v>3081</v>
      </c>
      <c r="D6451" s="201" t="s">
        <v>1957</v>
      </c>
    </row>
    <row r="6452" spans="2:4">
      <c r="B6452" s="198" t="s">
        <v>8191</v>
      </c>
      <c r="C6452" s="154" t="s">
        <v>153</v>
      </c>
      <c r="D6452" s="201" t="s">
        <v>1951</v>
      </c>
    </row>
    <row r="6453" spans="2:4">
      <c r="B6453" s="198" t="s">
        <v>8192</v>
      </c>
      <c r="C6453" s="154" t="s">
        <v>1581</v>
      </c>
      <c r="D6453" s="201" t="s">
        <v>1955</v>
      </c>
    </row>
    <row r="6454" spans="2:4">
      <c r="B6454" s="198" t="s">
        <v>8193</v>
      </c>
      <c r="C6454" s="154" t="s">
        <v>8194</v>
      </c>
      <c r="D6454" s="201" t="s">
        <v>1956</v>
      </c>
    </row>
    <row r="6455" spans="2:4">
      <c r="B6455" s="198" t="s">
        <v>8195</v>
      </c>
      <c r="C6455" s="154" t="s">
        <v>5763</v>
      </c>
      <c r="D6455" s="201" t="s">
        <v>2216</v>
      </c>
    </row>
    <row r="6456" spans="2:4">
      <c r="B6456" s="198" t="s">
        <v>8196</v>
      </c>
      <c r="C6456" s="154" t="s">
        <v>3279</v>
      </c>
      <c r="D6456" s="201" t="s">
        <v>2216</v>
      </c>
    </row>
    <row r="6457" spans="2:4">
      <c r="B6457" s="198" t="s">
        <v>8197</v>
      </c>
      <c r="C6457" s="154" t="s">
        <v>3279</v>
      </c>
      <c r="D6457" s="201" t="s">
        <v>2216</v>
      </c>
    </row>
    <row r="6458" spans="2:4">
      <c r="B6458" s="198" t="s">
        <v>8198</v>
      </c>
      <c r="C6458" s="154" t="s">
        <v>3279</v>
      </c>
      <c r="D6458" s="201" t="s">
        <v>2216</v>
      </c>
    </row>
    <row r="6459" spans="2:4">
      <c r="B6459" s="198" t="s">
        <v>8199</v>
      </c>
      <c r="C6459" s="154" t="s">
        <v>8200</v>
      </c>
      <c r="D6459" s="201" t="s">
        <v>1951</v>
      </c>
    </row>
    <row r="6460" spans="2:4">
      <c r="B6460" s="198" t="s">
        <v>8201</v>
      </c>
      <c r="C6460" s="154" t="s">
        <v>7348</v>
      </c>
      <c r="D6460" s="201" t="s">
        <v>5662</v>
      </c>
    </row>
    <row r="6461" spans="2:4">
      <c r="B6461" s="198" t="s">
        <v>8202</v>
      </c>
      <c r="C6461" s="154" t="s">
        <v>1560</v>
      </c>
      <c r="D6461" s="201" t="s">
        <v>1953</v>
      </c>
    </row>
    <row r="6462" spans="2:4">
      <c r="B6462" s="198" t="s">
        <v>8203</v>
      </c>
      <c r="C6462" s="154" t="s">
        <v>1511</v>
      </c>
      <c r="D6462" s="201" t="s">
        <v>1951</v>
      </c>
    </row>
    <row r="6463" spans="2:4">
      <c r="B6463" s="198" t="s">
        <v>8204</v>
      </c>
      <c r="C6463" s="154" t="s">
        <v>150</v>
      </c>
      <c r="D6463" s="201" t="s">
        <v>1951</v>
      </c>
    </row>
    <row r="6464" spans="2:4">
      <c r="B6464" s="198" t="s">
        <v>8205</v>
      </c>
      <c r="C6464" s="154" t="s">
        <v>8206</v>
      </c>
      <c r="D6464" s="201" t="s">
        <v>1953</v>
      </c>
    </row>
    <row r="6465" spans="2:4">
      <c r="B6465" s="198" t="s">
        <v>8207</v>
      </c>
      <c r="C6465" s="154" t="s">
        <v>8206</v>
      </c>
      <c r="D6465" s="201" t="s">
        <v>1953</v>
      </c>
    </row>
    <row r="6466" spans="2:4">
      <c r="B6466" s="198" t="s">
        <v>8208</v>
      </c>
      <c r="C6466" s="154" t="s">
        <v>150</v>
      </c>
      <c r="D6466" s="201" t="s">
        <v>1951</v>
      </c>
    </row>
    <row r="6467" spans="2:4">
      <c r="B6467" s="198" t="s">
        <v>8209</v>
      </c>
      <c r="C6467" s="154" t="s">
        <v>150</v>
      </c>
      <c r="D6467" s="201" t="s">
        <v>1951</v>
      </c>
    </row>
    <row r="6468" spans="2:4">
      <c r="B6468" s="198" t="s">
        <v>8210</v>
      </c>
      <c r="C6468" s="154" t="s">
        <v>2397</v>
      </c>
      <c r="D6468" s="201" t="s">
        <v>1956</v>
      </c>
    </row>
    <row r="6469" spans="2:4">
      <c r="B6469" s="198" t="s">
        <v>8211</v>
      </c>
      <c r="C6469" s="154" t="s">
        <v>1631</v>
      </c>
      <c r="D6469" s="201" t="s">
        <v>1951</v>
      </c>
    </row>
    <row r="6470" spans="2:4">
      <c r="B6470" s="198" t="s">
        <v>8212</v>
      </c>
      <c r="C6470" s="154" t="s">
        <v>8213</v>
      </c>
      <c r="D6470" s="201" t="s">
        <v>1953</v>
      </c>
    </row>
    <row r="6471" spans="2:4">
      <c r="B6471" s="198" t="s">
        <v>8214</v>
      </c>
      <c r="C6471" s="154" t="s">
        <v>3050</v>
      </c>
      <c r="D6471" s="201" t="s">
        <v>1953</v>
      </c>
    </row>
    <row r="6472" spans="2:4">
      <c r="B6472" s="198" t="s">
        <v>8215</v>
      </c>
      <c r="C6472" s="154" t="s">
        <v>8213</v>
      </c>
      <c r="D6472" s="201" t="s">
        <v>1953</v>
      </c>
    </row>
    <row r="6473" spans="2:4">
      <c r="B6473" s="198" t="s">
        <v>8216</v>
      </c>
      <c r="C6473" s="154" t="s">
        <v>5763</v>
      </c>
      <c r="D6473" s="201" t="s">
        <v>2216</v>
      </c>
    </row>
    <row r="6474" spans="2:4">
      <c r="B6474" s="198" t="s">
        <v>8217</v>
      </c>
      <c r="C6474" s="154" t="s">
        <v>3279</v>
      </c>
      <c r="D6474" s="201" t="s">
        <v>2216</v>
      </c>
    </row>
    <row r="6475" spans="2:4">
      <c r="B6475" s="198" t="s">
        <v>8218</v>
      </c>
      <c r="C6475" s="154" t="s">
        <v>8219</v>
      </c>
      <c r="D6475" s="201" t="s">
        <v>2216</v>
      </c>
    </row>
    <row r="6476" spans="2:4">
      <c r="B6476" s="198" t="s">
        <v>8220</v>
      </c>
      <c r="C6476" s="154" t="s">
        <v>4431</v>
      </c>
      <c r="D6476" s="201" t="s">
        <v>1959</v>
      </c>
    </row>
    <row r="6477" spans="2:4">
      <c r="B6477" s="198" t="s">
        <v>8221</v>
      </c>
      <c r="C6477" s="154" t="s">
        <v>3279</v>
      </c>
      <c r="D6477" s="201" t="s">
        <v>2216</v>
      </c>
    </row>
    <row r="6478" spans="2:4">
      <c r="B6478" s="198" t="s">
        <v>8222</v>
      </c>
      <c r="C6478" s="154" t="s">
        <v>3279</v>
      </c>
      <c r="D6478" s="201" t="s">
        <v>2216</v>
      </c>
    </row>
    <row r="6479" spans="2:4">
      <c r="B6479" s="198" t="s">
        <v>8223</v>
      </c>
      <c r="C6479" s="154" t="s">
        <v>1641</v>
      </c>
      <c r="D6479" s="201" t="s">
        <v>1958</v>
      </c>
    </row>
    <row r="6480" spans="2:4">
      <c r="B6480" s="198" t="s">
        <v>8224</v>
      </c>
      <c r="C6480" s="154" t="s">
        <v>8166</v>
      </c>
      <c r="D6480" s="201" t="s">
        <v>5662</v>
      </c>
    </row>
    <row r="6481" spans="2:4">
      <c r="B6481" s="198" t="s">
        <v>8225</v>
      </c>
      <c r="C6481" s="154" t="s">
        <v>1517</v>
      </c>
      <c r="D6481" s="201" t="s">
        <v>1956</v>
      </c>
    </row>
    <row r="6482" spans="2:4">
      <c r="B6482" s="198" t="s">
        <v>8226</v>
      </c>
      <c r="C6482" s="154" t="s">
        <v>150</v>
      </c>
      <c r="D6482" s="201" t="s">
        <v>1951</v>
      </c>
    </row>
    <row r="6483" spans="2:4">
      <c r="B6483" s="198" t="s">
        <v>8227</v>
      </c>
      <c r="C6483" s="154" t="s">
        <v>8088</v>
      </c>
      <c r="D6483" s="201" t="s">
        <v>2216</v>
      </c>
    </row>
    <row r="6484" spans="2:4">
      <c r="B6484" s="198" t="s">
        <v>8228</v>
      </c>
      <c r="C6484" s="154" t="s">
        <v>6997</v>
      </c>
      <c r="D6484" s="201" t="s">
        <v>5662</v>
      </c>
    </row>
    <row r="6485" spans="2:4">
      <c r="B6485" s="198" t="s">
        <v>8229</v>
      </c>
      <c r="C6485" s="154" t="s">
        <v>6997</v>
      </c>
      <c r="D6485" s="201" t="s">
        <v>5662</v>
      </c>
    </row>
    <row r="6486" spans="2:4">
      <c r="B6486" s="198" t="s">
        <v>8230</v>
      </c>
      <c r="C6486" s="154" t="s">
        <v>7558</v>
      </c>
      <c r="D6486" s="201" t="s">
        <v>5662</v>
      </c>
    </row>
    <row r="6487" spans="2:4">
      <c r="B6487" s="198" t="s">
        <v>8231</v>
      </c>
      <c r="C6487" s="154" t="s">
        <v>8232</v>
      </c>
      <c r="D6487" s="201" t="s">
        <v>6237</v>
      </c>
    </row>
    <row r="6488" spans="2:4">
      <c r="B6488" s="198" t="s">
        <v>8233</v>
      </c>
      <c r="C6488" s="154" t="s">
        <v>8234</v>
      </c>
      <c r="D6488" s="201" t="s">
        <v>5662</v>
      </c>
    </row>
    <row r="6489" spans="2:4">
      <c r="B6489" s="198" t="s">
        <v>8235</v>
      </c>
      <c r="C6489" s="154" t="s">
        <v>7149</v>
      </c>
      <c r="D6489" s="201" t="s">
        <v>5662</v>
      </c>
    </row>
    <row r="6490" spans="2:4">
      <c r="B6490" s="198" t="s">
        <v>8236</v>
      </c>
      <c r="C6490" s="154" t="s">
        <v>8237</v>
      </c>
      <c r="D6490" s="201" t="s">
        <v>6237</v>
      </c>
    </row>
    <row r="6491" spans="2:4">
      <c r="B6491" s="198" t="s">
        <v>8238</v>
      </c>
      <c r="C6491" s="154" t="s">
        <v>5713</v>
      </c>
      <c r="D6491" s="201" t="s">
        <v>5662</v>
      </c>
    </row>
    <row r="6492" spans="2:4">
      <c r="B6492" s="198" t="s">
        <v>8239</v>
      </c>
      <c r="C6492" s="154" t="s">
        <v>149</v>
      </c>
      <c r="D6492" s="201" t="s">
        <v>1956</v>
      </c>
    </row>
    <row r="6493" spans="2:4">
      <c r="B6493" s="198" t="s">
        <v>8240</v>
      </c>
      <c r="C6493" s="154" t="s">
        <v>8241</v>
      </c>
      <c r="D6493" s="201" t="s">
        <v>5662</v>
      </c>
    </row>
    <row r="6494" spans="2:4">
      <c r="B6494" s="198" t="s">
        <v>8242</v>
      </c>
      <c r="C6494" s="154" t="s">
        <v>8243</v>
      </c>
      <c r="D6494" s="201" t="s">
        <v>1956</v>
      </c>
    </row>
    <row r="6495" spans="2:4">
      <c r="B6495" s="198" t="s">
        <v>8244</v>
      </c>
      <c r="C6495" s="154" t="s">
        <v>7348</v>
      </c>
      <c r="D6495" s="201" t="s">
        <v>5662</v>
      </c>
    </row>
    <row r="6496" spans="2:4">
      <c r="B6496" s="198" t="s">
        <v>8245</v>
      </c>
      <c r="C6496" s="154" t="s">
        <v>150</v>
      </c>
      <c r="D6496" s="201" t="s">
        <v>1951</v>
      </c>
    </row>
    <row r="6497" spans="2:4">
      <c r="B6497" s="198" t="s">
        <v>8246</v>
      </c>
      <c r="C6497" s="154" t="s">
        <v>1595</v>
      </c>
      <c r="D6497" s="201" t="s">
        <v>1956</v>
      </c>
    </row>
    <row r="6498" spans="2:4">
      <c r="B6498" s="198" t="s">
        <v>8247</v>
      </c>
      <c r="C6498" s="154" t="s">
        <v>3279</v>
      </c>
      <c r="D6498" s="201" t="s">
        <v>2216</v>
      </c>
    </row>
    <row r="6499" spans="2:4">
      <c r="B6499" s="198" t="s">
        <v>8248</v>
      </c>
      <c r="C6499" s="154" t="s">
        <v>6416</v>
      </c>
      <c r="D6499" s="201" t="s">
        <v>5662</v>
      </c>
    </row>
    <row r="6500" spans="2:4">
      <c r="B6500" s="198" t="s">
        <v>8252</v>
      </c>
      <c r="C6500" s="154" t="s">
        <v>150</v>
      </c>
      <c r="D6500" s="201" t="s">
        <v>1951</v>
      </c>
    </row>
    <row r="6501" spans="2:4">
      <c r="B6501" s="198" t="s">
        <v>8254</v>
      </c>
      <c r="C6501" s="154" t="s">
        <v>8255</v>
      </c>
      <c r="D6501" s="201" t="s">
        <v>1953</v>
      </c>
    </row>
    <row r="6502" spans="2:4">
      <c r="B6502" s="198" t="s">
        <v>8256</v>
      </c>
      <c r="C6502" s="154" t="s">
        <v>8257</v>
      </c>
      <c r="D6502" s="201" t="s">
        <v>1956</v>
      </c>
    </row>
    <row r="6503" spans="2:4">
      <c r="B6503" s="198" t="s">
        <v>8258</v>
      </c>
      <c r="C6503" s="154" t="s">
        <v>8259</v>
      </c>
      <c r="D6503" s="201" t="s">
        <v>5662</v>
      </c>
    </row>
    <row r="6504" spans="2:4">
      <c r="B6504" s="36" t="s">
        <v>8260</v>
      </c>
      <c r="C6504" s="154" t="s">
        <v>150</v>
      </c>
      <c r="D6504" s="201" t="s">
        <v>1951</v>
      </c>
    </row>
    <row r="6505" spans="2:4">
      <c r="B6505" s="36" t="s">
        <v>8261</v>
      </c>
      <c r="C6505" s="154" t="s">
        <v>3854</v>
      </c>
      <c r="D6505" s="201" t="s">
        <v>1955</v>
      </c>
    </row>
    <row r="6506" spans="2:4">
      <c r="B6506" s="36" t="s">
        <v>8262</v>
      </c>
      <c r="C6506" s="154" t="s">
        <v>3357</v>
      </c>
      <c r="D6506" s="201" t="s">
        <v>1951</v>
      </c>
    </row>
    <row r="6507" spans="2:4">
      <c r="B6507" s="36" t="s">
        <v>8263</v>
      </c>
      <c r="C6507" s="154" t="s">
        <v>7152</v>
      </c>
      <c r="D6507" s="201" t="s">
        <v>5662</v>
      </c>
    </row>
    <row r="6508" spans="2:4">
      <c r="B6508" s="36" t="s">
        <v>8264</v>
      </c>
      <c r="C6508" s="154" t="s">
        <v>7349</v>
      </c>
      <c r="D6508" s="201" t="s">
        <v>1959</v>
      </c>
    </row>
    <row r="6509" spans="2:4">
      <c r="B6509" s="36" t="s">
        <v>8265</v>
      </c>
      <c r="C6509" s="154" t="s">
        <v>8284</v>
      </c>
      <c r="D6509" s="201" t="s">
        <v>2216</v>
      </c>
    </row>
    <row r="6510" spans="2:4">
      <c r="B6510" s="36" t="s">
        <v>8266</v>
      </c>
      <c r="C6510" s="154" t="s">
        <v>149</v>
      </c>
      <c r="D6510" s="201" t="s">
        <v>1956</v>
      </c>
    </row>
    <row r="6511" spans="2:4">
      <c r="B6511" s="36" t="s">
        <v>8267</v>
      </c>
      <c r="C6511" s="154" t="s">
        <v>8138</v>
      </c>
      <c r="D6511" s="201" t="s">
        <v>5662</v>
      </c>
    </row>
    <row r="6512" spans="2:4">
      <c r="B6512" s="36" t="s">
        <v>8268</v>
      </c>
      <c r="C6512" s="154" t="s">
        <v>8285</v>
      </c>
      <c r="D6512" s="201" t="s">
        <v>2216</v>
      </c>
    </row>
    <row r="6513" spans="2:4">
      <c r="B6513" s="36" t="s">
        <v>8269</v>
      </c>
      <c r="C6513" s="154" t="s">
        <v>3854</v>
      </c>
      <c r="D6513" s="201" t="s">
        <v>1955</v>
      </c>
    </row>
    <row r="6514" spans="2:4">
      <c r="B6514" s="36" t="s">
        <v>8270</v>
      </c>
      <c r="C6514" s="154" t="s">
        <v>3854</v>
      </c>
      <c r="D6514" s="201" t="s">
        <v>1955</v>
      </c>
    </row>
    <row r="6515" spans="2:4">
      <c r="B6515" s="252" t="s">
        <v>8271</v>
      </c>
      <c r="C6515" s="253" t="s">
        <v>7239</v>
      </c>
      <c r="D6515" s="254" t="s">
        <v>5662</v>
      </c>
    </row>
    <row r="6516" spans="2:4">
      <c r="B6516" s="36" t="s">
        <v>8272</v>
      </c>
      <c r="C6516" s="154" t="s">
        <v>1625</v>
      </c>
      <c r="D6516" s="201" t="s">
        <v>1951</v>
      </c>
    </row>
    <row r="6517" spans="2:4">
      <c r="B6517" s="36" t="s">
        <v>8288</v>
      </c>
      <c r="C6517" s="154" t="s">
        <v>1573</v>
      </c>
      <c r="D6517" s="201" t="s">
        <v>1959</v>
      </c>
    </row>
    <row r="6518" spans="2:4">
      <c r="B6518" s="36" t="s">
        <v>8273</v>
      </c>
      <c r="C6518" s="154" t="s">
        <v>3081</v>
      </c>
      <c r="D6518" s="201" t="s">
        <v>1957</v>
      </c>
    </row>
    <row r="6519" spans="2:4">
      <c r="B6519" s="36" t="s">
        <v>8274</v>
      </c>
      <c r="C6519" s="154" t="s">
        <v>3450</v>
      </c>
      <c r="D6519" s="201" t="s">
        <v>1959</v>
      </c>
    </row>
    <row r="6520" spans="2:4">
      <c r="B6520" s="36" t="s">
        <v>8275</v>
      </c>
      <c r="C6520" s="154" t="s">
        <v>149</v>
      </c>
      <c r="D6520" s="201" t="s">
        <v>1956</v>
      </c>
    </row>
    <row r="6521" spans="2:4">
      <c r="B6521" s="36" t="s">
        <v>8276</v>
      </c>
      <c r="C6521" s="154" t="s">
        <v>8138</v>
      </c>
      <c r="D6521" s="201" t="s">
        <v>5662</v>
      </c>
    </row>
    <row r="6522" spans="2:4">
      <c r="B6522" s="36" t="s">
        <v>8277</v>
      </c>
      <c r="C6522" s="154" t="s">
        <v>7350</v>
      </c>
      <c r="D6522" s="201" t="s">
        <v>5662</v>
      </c>
    </row>
    <row r="6523" spans="2:4">
      <c r="B6523" s="36" t="s">
        <v>8278</v>
      </c>
      <c r="C6523" s="154" t="s">
        <v>3854</v>
      </c>
      <c r="D6523" s="201" t="s">
        <v>1955</v>
      </c>
    </row>
    <row r="6524" spans="2:4">
      <c r="B6524" s="36" t="s">
        <v>8279</v>
      </c>
      <c r="C6524" s="154" t="s">
        <v>8286</v>
      </c>
      <c r="D6524" s="201" t="s">
        <v>2274</v>
      </c>
    </row>
    <row r="6525" spans="2:4">
      <c r="B6525" s="36" t="s">
        <v>8280</v>
      </c>
      <c r="C6525" s="154" t="s">
        <v>8138</v>
      </c>
      <c r="D6525" s="201" t="s">
        <v>5662</v>
      </c>
    </row>
    <row r="6526" spans="2:4">
      <c r="B6526" s="36" t="s">
        <v>8281</v>
      </c>
      <c r="C6526" s="154" t="s">
        <v>3450</v>
      </c>
      <c r="D6526" s="201" t="s">
        <v>1959</v>
      </c>
    </row>
    <row r="6527" spans="2:4">
      <c r="B6527" s="36" t="s">
        <v>8282</v>
      </c>
      <c r="C6527" s="154" t="s">
        <v>3756</v>
      </c>
      <c r="D6527" s="201" t="s">
        <v>2216</v>
      </c>
    </row>
    <row r="6528" spans="2:4">
      <c r="B6528" s="36" t="s">
        <v>8283</v>
      </c>
      <c r="C6528" s="154" t="s">
        <v>3854</v>
      </c>
      <c r="D6528" s="201" t="s">
        <v>1955</v>
      </c>
    </row>
    <row r="6529" spans="2:4">
      <c r="B6529" s="122" t="s">
        <v>8290</v>
      </c>
      <c r="C6529" s="154" t="s">
        <v>1644</v>
      </c>
      <c r="D6529" s="201" t="s">
        <v>1959</v>
      </c>
    </row>
    <row r="6530" spans="2:4">
      <c r="B6530" s="198" t="s">
        <v>8304</v>
      </c>
      <c r="C6530" s="154" t="s">
        <v>7348</v>
      </c>
      <c r="D6530" s="201" t="s">
        <v>5662</v>
      </c>
    </row>
    <row r="6531" spans="2:4">
      <c r="B6531" s="198" t="s">
        <v>8333</v>
      </c>
      <c r="C6531" s="154" t="s">
        <v>8334</v>
      </c>
      <c r="D6531" s="201" t="s">
        <v>6237</v>
      </c>
    </row>
    <row r="6532" spans="2:4">
      <c r="B6532" s="198"/>
      <c r="C6532" s="154"/>
      <c r="D6532" s="201"/>
    </row>
    <row r="6533" spans="2:4">
      <c r="B6533" s="198"/>
      <c r="C6533" s="154"/>
      <c r="D6533" s="201"/>
    </row>
    <row r="6534" spans="2:4">
      <c r="B6534" s="198"/>
      <c r="C6534" s="154"/>
      <c r="D6534" s="201"/>
    </row>
    <row r="6535" spans="2:4">
      <c r="B6535" s="198"/>
      <c r="C6535" s="154"/>
      <c r="D6535" s="201"/>
    </row>
    <row r="6536" spans="2:4">
      <c r="B6536" s="198"/>
      <c r="C6536" s="154"/>
      <c r="D6536" s="201"/>
    </row>
    <row r="6537" spans="2:4">
      <c r="B6537" s="198"/>
      <c r="C6537" s="154"/>
      <c r="D6537" s="201"/>
    </row>
    <row r="6538" spans="2:4">
      <c r="B6538" s="198"/>
      <c r="C6538" s="154"/>
      <c r="D6538" s="201"/>
    </row>
    <row r="6539" spans="2:4">
      <c r="B6539" s="198"/>
      <c r="C6539" s="154"/>
      <c r="D6539" s="201"/>
    </row>
    <row r="6540" spans="2:4">
      <c r="B6540" s="198"/>
      <c r="C6540" s="154"/>
      <c r="D6540" s="201"/>
    </row>
    <row r="6541" spans="2:4">
      <c r="B6541" s="198"/>
      <c r="C6541" s="154"/>
      <c r="D6541" s="201"/>
    </row>
    <row r="6542" spans="2:4">
      <c r="B6542" s="198"/>
      <c r="C6542" s="154"/>
      <c r="D6542" s="201"/>
    </row>
    <row r="6543" spans="2:4">
      <c r="B6543" s="198"/>
      <c r="C6543" s="154"/>
      <c r="D6543" s="201"/>
    </row>
    <row r="6544" spans="2:4">
      <c r="B6544" s="198"/>
      <c r="C6544" s="154"/>
      <c r="D6544" s="201"/>
    </row>
    <row r="6545" spans="2:4">
      <c r="B6545" s="198"/>
      <c r="C6545" s="154"/>
      <c r="D6545" s="201"/>
    </row>
    <row r="6546" spans="2:4">
      <c r="B6546" s="198"/>
      <c r="C6546" s="154"/>
      <c r="D6546" s="201"/>
    </row>
    <row r="6547" spans="2:4">
      <c r="B6547" s="198"/>
      <c r="C6547" s="154"/>
      <c r="D6547" s="201"/>
    </row>
    <row r="6548" spans="2:4">
      <c r="B6548" s="198"/>
      <c r="C6548" s="154"/>
      <c r="D6548" s="201"/>
    </row>
    <row r="6549" spans="2:4">
      <c r="B6549" s="198"/>
      <c r="C6549" s="154"/>
      <c r="D6549" s="201"/>
    </row>
    <row r="6550" spans="2:4">
      <c r="B6550" s="198"/>
      <c r="C6550" s="154"/>
      <c r="D6550" s="201"/>
    </row>
    <row r="6551" spans="2:4">
      <c r="B6551" s="198"/>
      <c r="C6551" s="154"/>
      <c r="D6551" s="201"/>
    </row>
    <row r="6552" spans="2:4">
      <c r="B6552" s="198"/>
      <c r="C6552" s="154"/>
      <c r="D6552" s="201"/>
    </row>
    <row r="6553" spans="2:4">
      <c r="B6553" s="198"/>
      <c r="C6553" s="154"/>
      <c r="D6553" s="201"/>
    </row>
    <row r="6554" spans="2:4">
      <c r="B6554" s="198"/>
      <c r="C6554" s="154"/>
      <c r="D6554" s="201"/>
    </row>
    <row r="6555" spans="2:4">
      <c r="B6555" s="198"/>
      <c r="C6555" s="154"/>
      <c r="D6555" s="201"/>
    </row>
    <row r="6556" spans="2:4">
      <c r="B6556" s="198"/>
      <c r="C6556" s="154"/>
      <c r="D6556" s="201"/>
    </row>
    <row r="6557" spans="2:4">
      <c r="B6557" s="198"/>
      <c r="C6557" s="154"/>
      <c r="D6557" s="201"/>
    </row>
    <row r="6558" spans="2:4">
      <c r="B6558" s="198"/>
      <c r="C6558" s="154"/>
      <c r="D6558" s="201"/>
    </row>
    <row r="6559" spans="2:4">
      <c r="B6559" s="198"/>
      <c r="C6559" s="154"/>
      <c r="D6559" s="201"/>
    </row>
    <row r="6560" spans="2:4">
      <c r="B6560" s="198"/>
      <c r="C6560" s="154"/>
      <c r="D6560" s="201"/>
    </row>
    <row r="6561" spans="2:4">
      <c r="B6561" s="198"/>
      <c r="C6561" s="154"/>
      <c r="D6561" s="201"/>
    </row>
    <row r="6562" spans="2:4">
      <c r="B6562" s="198"/>
      <c r="C6562" s="154"/>
      <c r="D6562" s="201"/>
    </row>
    <row r="6563" spans="2:4">
      <c r="B6563" s="198"/>
      <c r="C6563" s="154"/>
      <c r="D6563" s="201"/>
    </row>
    <row r="6564" spans="2:4">
      <c r="B6564" s="198"/>
      <c r="C6564" s="154"/>
      <c r="D6564" s="201"/>
    </row>
    <row r="6565" spans="2:4">
      <c r="B6565" s="198"/>
      <c r="C6565" s="154"/>
      <c r="D6565" s="201"/>
    </row>
    <row r="6566" spans="2:4">
      <c r="B6566" s="198"/>
      <c r="C6566" s="154"/>
      <c r="D6566" s="201"/>
    </row>
    <row r="6567" spans="2:4">
      <c r="B6567" s="198"/>
      <c r="C6567" s="154"/>
      <c r="D6567" s="201"/>
    </row>
    <row r="6568" spans="2:4">
      <c r="B6568" s="198"/>
      <c r="C6568" s="154"/>
      <c r="D6568" s="201"/>
    </row>
    <row r="6569" spans="2:4">
      <c r="B6569" s="198"/>
      <c r="C6569" s="154"/>
      <c r="D6569" s="201"/>
    </row>
    <row r="6570" spans="2:4">
      <c r="B6570" s="198"/>
      <c r="C6570" s="154"/>
      <c r="D6570" s="201"/>
    </row>
    <row r="6571" spans="2:4">
      <c r="B6571" s="198"/>
      <c r="C6571" s="154"/>
      <c r="D6571" s="201"/>
    </row>
    <row r="6572" spans="2:4">
      <c r="B6572" s="198"/>
      <c r="C6572" s="154"/>
      <c r="D6572" s="201"/>
    </row>
    <row r="6573" spans="2:4">
      <c r="B6573" s="198"/>
      <c r="C6573" s="154"/>
      <c r="D6573" s="201"/>
    </row>
    <row r="6574" spans="2:4">
      <c r="B6574" s="198"/>
      <c r="C6574" s="154"/>
      <c r="D6574" s="201"/>
    </row>
    <row r="6575" spans="2:4">
      <c r="B6575" s="198"/>
      <c r="C6575" s="154"/>
      <c r="D6575" s="201"/>
    </row>
    <row r="6576" spans="2:4">
      <c r="B6576" s="198"/>
      <c r="C6576" s="154"/>
      <c r="D6576" s="201"/>
    </row>
    <row r="6577" spans="2:4">
      <c r="B6577" s="198"/>
      <c r="C6577" s="154"/>
      <c r="D6577" s="201"/>
    </row>
    <row r="6578" spans="2:4">
      <c r="B6578" s="198"/>
      <c r="C6578" s="154"/>
      <c r="D6578" s="201"/>
    </row>
    <row r="6579" spans="2:4">
      <c r="B6579" s="198"/>
      <c r="C6579" s="154"/>
      <c r="D6579" s="201"/>
    </row>
    <row r="6580" spans="2:4">
      <c r="B6580" s="198"/>
      <c r="C6580" s="154"/>
      <c r="D6580" s="201"/>
    </row>
    <row r="6581" spans="2:4">
      <c r="B6581" s="198"/>
      <c r="C6581" s="154"/>
      <c r="D6581" s="201"/>
    </row>
    <row r="6582" spans="2:4">
      <c r="B6582" s="198"/>
      <c r="C6582" s="154"/>
      <c r="D6582" s="201"/>
    </row>
    <row r="6583" spans="2:4">
      <c r="B6583" s="198"/>
      <c r="C6583" s="154"/>
      <c r="D6583" s="201"/>
    </row>
    <row r="6584" spans="2:4">
      <c r="B6584" s="198"/>
      <c r="C6584" s="154"/>
      <c r="D6584" s="201"/>
    </row>
    <row r="6585" spans="2:4">
      <c r="B6585" s="198"/>
      <c r="C6585" s="154"/>
      <c r="D6585" s="201"/>
    </row>
    <row r="6586" spans="2:4">
      <c r="B6586" s="198"/>
      <c r="C6586" s="154"/>
      <c r="D6586" s="201"/>
    </row>
    <row r="6587" spans="2:4">
      <c r="B6587" s="198"/>
      <c r="C6587" s="154"/>
      <c r="D6587" s="201"/>
    </row>
    <row r="6588" spans="2:4">
      <c r="B6588" s="198"/>
      <c r="C6588" s="154"/>
      <c r="D6588" s="201"/>
    </row>
    <row r="6589" spans="2:4">
      <c r="B6589" s="198"/>
      <c r="C6589" s="154"/>
      <c r="D6589" s="201"/>
    </row>
    <row r="6590" spans="2:4">
      <c r="B6590" s="198"/>
      <c r="C6590" s="154"/>
      <c r="D6590" s="201"/>
    </row>
    <row r="6591" spans="2:4">
      <c r="B6591" s="198"/>
      <c r="C6591" s="154"/>
      <c r="D6591" s="201"/>
    </row>
    <row r="6592" spans="2:4">
      <c r="B6592" s="198"/>
      <c r="C6592" s="154"/>
      <c r="D6592" s="201"/>
    </row>
    <row r="6593" spans="2:4">
      <c r="B6593" s="198"/>
      <c r="C6593" s="154"/>
      <c r="D6593" s="201"/>
    </row>
    <row r="6594" spans="2:4">
      <c r="B6594" s="198"/>
      <c r="C6594" s="154"/>
      <c r="D6594" s="201"/>
    </row>
    <row r="6595" spans="2:4">
      <c r="B6595" s="198"/>
      <c r="C6595" s="154"/>
      <c r="D6595" s="201"/>
    </row>
    <row r="6596" spans="2:4">
      <c r="B6596" s="198"/>
      <c r="C6596" s="154"/>
      <c r="D6596" s="201"/>
    </row>
    <row r="6597" spans="2:4">
      <c r="B6597" s="198"/>
      <c r="C6597" s="154"/>
      <c r="D6597" s="201"/>
    </row>
    <row r="6598" spans="2:4">
      <c r="B6598" s="198"/>
      <c r="C6598" s="154"/>
      <c r="D6598" s="201"/>
    </row>
    <row r="6599" spans="2:4">
      <c r="B6599" s="198"/>
      <c r="C6599" s="154"/>
      <c r="D6599" s="201"/>
    </row>
    <row r="6600" spans="2:4">
      <c r="B6600" s="198"/>
      <c r="C6600" s="154"/>
      <c r="D6600" s="201"/>
    </row>
    <row r="6601" spans="2:4">
      <c r="B6601" s="198"/>
      <c r="C6601" s="154"/>
      <c r="D6601" s="201"/>
    </row>
    <row r="6602" spans="2:4">
      <c r="B6602" s="198"/>
      <c r="C6602" s="154"/>
      <c r="D6602" s="201"/>
    </row>
    <row r="6603" spans="2:4">
      <c r="B6603" s="198"/>
      <c r="C6603" s="154"/>
      <c r="D6603" s="201"/>
    </row>
    <row r="6604" spans="2:4">
      <c r="B6604" s="198"/>
      <c r="C6604" s="154"/>
      <c r="D6604" s="201"/>
    </row>
    <row r="6605" spans="2:4">
      <c r="B6605" s="198"/>
      <c r="C6605" s="154"/>
      <c r="D6605" s="201"/>
    </row>
    <row r="6606" spans="2:4">
      <c r="B6606" s="198"/>
      <c r="C6606" s="154"/>
      <c r="D6606" s="201"/>
    </row>
    <row r="6607" spans="2:4">
      <c r="B6607" s="198"/>
      <c r="C6607" s="154"/>
      <c r="D6607" s="201"/>
    </row>
    <row r="6608" spans="2:4">
      <c r="B6608" s="198"/>
      <c r="C6608" s="154"/>
      <c r="D6608" s="201"/>
    </row>
    <row r="6609" spans="2:4">
      <c r="B6609" s="198"/>
      <c r="C6609" s="154"/>
      <c r="D6609" s="201"/>
    </row>
    <row r="6610" spans="2:4">
      <c r="B6610" s="198"/>
      <c r="C6610" s="154"/>
      <c r="D6610" s="201"/>
    </row>
    <row r="6611" spans="2:4">
      <c r="B6611" s="198"/>
      <c r="C6611" s="154"/>
      <c r="D6611" s="201"/>
    </row>
    <row r="6612" spans="2:4">
      <c r="B6612" s="198"/>
      <c r="C6612" s="154"/>
      <c r="D6612" s="201"/>
    </row>
    <row r="6613" spans="2:4">
      <c r="B6613" s="198"/>
      <c r="C6613" s="154"/>
      <c r="D6613" s="201"/>
    </row>
    <row r="6614" spans="2:4">
      <c r="B6614" s="198"/>
      <c r="C6614" s="154"/>
      <c r="D6614" s="201"/>
    </row>
    <row r="6615" spans="2:4">
      <c r="B6615" s="198"/>
      <c r="C6615" s="154"/>
      <c r="D6615" s="201"/>
    </row>
    <row r="6616" spans="2:4">
      <c r="B6616" s="198"/>
      <c r="C6616" s="154"/>
      <c r="D6616" s="201"/>
    </row>
    <row r="6617" spans="2:4">
      <c r="B6617" s="198"/>
      <c r="C6617" s="154"/>
      <c r="D6617" s="201"/>
    </row>
    <row r="6618" spans="2:4">
      <c r="B6618" s="198"/>
      <c r="C6618" s="154"/>
      <c r="D6618" s="201"/>
    </row>
    <row r="6619" spans="2:4">
      <c r="B6619" s="198"/>
      <c r="C6619" s="154"/>
      <c r="D6619" s="201"/>
    </row>
    <row r="6620" spans="2:4">
      <c r="B6620" s="198"/>
      <c r="C6620" s="154"/>
      <c r="D6620" s="201"/>
    </row>
    <row r="6621" spans="2:4">
      <c r="B6621" s="198"/>
      <c r="C6621" s="154"/>
      <c r="D6621" s="201"/>
    </row>
    <row r="6622" spans="2:4">
      <c r="B6622" s="198"/>
      <c r="C6622" s="154"/>
      <c r="D6622" s="201"/>
    </row>
    <row r="6623" spans="2:4">
      <c r="B6623" s="198"/>
      <c r="C6623" s="154"/>
      <c r="D6623" s="201"/>
    </row>
    <row r="6624" spans="2:4">
      <c r="B6624" s="198"/>
      <c r="C6624" s="154"/>
      <c r="D6624" s="201"/>
    </row>
    <row r="6625" spans="2:4">
      <c r="B6625" s="198"/>
      <c r="C6625" s="154"/>
      <c r="D6625" s="201"/>
    </row>
    <row r="6626" spans="2:4">
      <c r="B6626" s="198"/>
      <c r="C6626" s="154"/>
      <c r="D6626" s="201"/>
    </row>
    <row r="6627" spans="2:4">
      <c r="B6627" s="198"/>
      <c r="C6627" s="154"/>
      <c r="D6627" s="201"/>
    </row>
    <row r="6628" spans="2:4">
      <c r="B6628" s="198"/>
      <c r="C6628" s="154"/>
      <c r="D6628" s="201"/>
    </row>
    <row r="6629" spans="2:4">
      <c r="B6629" s="198"/>
      <c r="C6629" s="154"/>
      <c r="D6629" s="201"/>
    </row>
    <row r="6630" spans="2:4">
      <c r="B6630" s="198"/>
      <c r="C6630" s="154"/>
      <c r="D6630" s="201"/>
    </row>
    <row r="6631" spans="2:4">
      <c r="B6631" s="198"/>
      <c r="C6631" s="154"/>
      <c r="D6631" s="201"/>
    </row>
    <row r="6632" spans="2:4">
      <c r="B6632" s="198"/>
      <c r="C6632" s="154"/>
      <c r="D6632" s="201"/>
    </row>
    <row r="6633" spans="2:4">
      <c r="B6633" s="198"/>
      <c r="C6633" s="154"/>
      <c r="D6633" s="201"/>
    </row>
    <row r="6634" spans="2:4">
      <c r="B6634" s="198"/>
      <c r="C6634" s="154"/>
      <c r="D6634" s="201"/>
    </row>
    <row r="6635" spans="2:4">
      <c r="B6635" s="198"/>
      <c r="C6635" s="154"/>
      <c r="D6635" s="201"/>
    </row>
    <row r="6636" spans="2:4">
      <c r="B6636" s="198"/>
      <c r="C6636" s="154"/>
      <c r="D6636" s="201"/>
    </row>
    <row r="6637" spans="2:4">
      <c r="B6637" s="198"/>
      <c r="C6637" s="154"/>
      <c r="D6637" s="201"/>
    </row>
    <row r="6638" spans="2:4">
      <c r="B6638" s="198"/>
      <c r="C6638" s="154"/>
      <c r="D6638" s="201"/>
    </row>
    <row r="6639" spans="2:4">
      <c r="B6639" s="198"/>
      <c r="C6639" s="154"/>
      <c r="D6639" s="201"/>
    </row>
    <row r="6640" spans="2:4">
      <c r="B6640" s="198"/>
      <c r="C6640" s="154"/>
      <c r="D6640" s="201"/>
    </row>
    <row r="6641" spans="2:4">
      <c r="B6641" s="198"/>
      <c r="C6641" s="154"/>
      <c r="D6641" s="201"/>
    </row>
    <row r="6642" spans="2:4">
      <c r="B6642" s="198"/>
      <c r="C6642" s="154"/>
      <c r="D6642" s="201"/>
    </row>
    <row r="6643" spans="2:4">
      <c r="B6643" s="198"/>
      <c r="C6643" s="154"/>
      <c r="D6643" s="201"/>
    </row>
    <row r="6644" spans="2:4">
      <c r="B6644" s="198"/>
      <c r="C6644" s="154"/>
      <c r="D6644" s="201"/>
    </row>
    <row r="6645" spans="2:4">
      <c r="B6645" s="198"/>
      <c r="C6645" s="154"/>
      <c r="D6645" s="201"/>
    </row>
    <row r="6646" spans="2:4">
      <c r="B6646" s="198"/>
      <c r="C6646" s="154"/>
      <c r="D6646" s="201"/>
    </row>
    <row r="6647" spans="2:4">
      <c r="B6647" s="198"/>
      <c r="C6647" s="154"/>
      <c r="D6647" s="201"/>
    </row>
    <row r="6648" spans="2:4">
      <c r="B6648" s="198"/>
      <c r="C6648" s="154"/>
      <c r="D6648" s="201"/>
    </row>
    <row r="6649" spans="2:4">
      <c r="B6649" s="198"/>
      <c r="C6649" s="154"/>
      <c r="D6649" s="201"/>
    </row>
    <row r="6650" spans="2:4">
      <c r="B6650" s="198"/>
      <c r="C6650" s="154"/>
      <c r="D6650" s="201"/>
    </row>
    <row r="6651" spans="2:4">
      <c r="B6651" s="198"/>
      <c r="C6651" s="154"/>
      <c r="D6651" s="201"/>
    </row>
    <row r="6652" spans="2:4">
      <c r="B6652" s="198"/>
      <c r="C6652" s="154"/>
      <c r="D6652" s="201"/>
    </row>
    <row r="6653" spans="2:4">
      <c r="B6653" s="198"/>
      <c r="C6653" s="154"/>
      <c r="D6653" s="201"/>
    </row>
    <row r="6654" spans="2:4">
      <c r="B6654" s="198"/>
      <c r="C6654" s="154"/>
      <c r="D6654" s="201"/>
    </row>
    <row r="6655" spans="2:4">
      <c r="B6655" s="198"/>
      <c r="C6655" s="154"/>
      <c r="D6655" s="201"/>
    </row>
    <row r="6656" spans="2:4">
      <c r="B6656" s="198"/>
      <c r="C6656" s="154"/>
      <c r="D6656" s="201"/>
    </row>
    <row r="6657" spans="2:4">
      <c r="B6657" s="198"/>
      <c r="C6657" s="154"/>
      <c r="D6657" s="201"/>
    </row>
    <row r="6658" spans="2:4">
      <c r="B6658" s="198"/>
      <c r="C6658" s="154"/>
      <c r="D6658" s="201"/>
    </row>
    <row r="6659" spans="2:4">
      <c r="B6659" s="198"/>
      <c r="C6659" s="154"/>
      <c r="D6659" s="201"/>
    </row>
    <row r="6660" spans="2:4">
      <c r="B6660" s="198"/>
      <c r="C6660" s="154"/>
      <c r="D6660" s="201"/>
    </row>
    <row r="6661" spans="2:4">
      <c r="B6661" s="198"/>
      <c r="C6661" s="154"/>
      <c r="D6661" s="201"/>
    </row>
    <row r="6662" spans="2:4">
      <c r="B6662" s="198"/>
      <c r="C6662" s="154"/>
      <c r="D6662" s="201"/>
    </row>
    <row r="6663" spans="2:4">
      <c r="B6663" s="198"/>
      <c r="C6663" s="154"/>
      <c r="D6663" s="201"/>
    </row>
    <row r="6664" spans="2:4">
      <c r="B6664" s="198"/>
      <c r="C6664" s="154"/>
      <c r="D6664" s="201"/>
    </row>
    <row r="6665" spans="2:4">
      <c r="B6665" s="198"/>
      <c r="C6665" s="154"/>
      <c r="D6665" s="201"/>
    </row>
    <row r="6666" spans="2:4">
      <c r="B6666" s="198"/>
      <c r="C6666" s="154"/>
      <c r="D6666" s="201"/>
    </row>
    <row r="6667" spans="2:4">
      <c r="B6667" s="198"/>
      <c r="C6667" s="154"/>
      <c r="D6667" s="201"/>
    </row>
    <row r="6668" spans="2:4">
      <c r="B6668" s="198"/>
      <c r="C6668" s="154"/>
      <c r="D6668" s="201"/>
    </row>
    <row r="6669" spans="2:4">
      <c r="B6669" s="198"/>
      <c r="C6669" s="154"/>
      <c r="D6669" s="201"/>
    </row>
    <row r="6670" spans="2:4">
      <c r="B6670" s="198"/>
      <c r="C6670" s="154"/>
      <c r="D6670" s="201"/>
    </row>
    <row r="6671" spans="2:4">
      <c r="B6671" s="198"/>
      <c r="C6671" s="154"/>
      <c r="D6671" s="201"/>
    </row>
    <row r="6672" spans="2:4">
      <c r="B6672" s="198"/>
      <c r="C6672" s="154"/>
      <c r="D6672" s="201"/>
    </row>
    <row r="6673" spans="2:4">
      <c r="B6673" s="198"/>
      <c r="C6673" s="154"/>
      <c r="D6673" s="201"/>
    </row>
    <row r="6674" spans="2:4">
      <c r="B6674" s="198"/>
      <c r="C6674" s="154"/>
      <c r="D6674" s="201"/>
    </row>
    <row r="6675" spans="2:4">
      <c r="B6675" s="198"/>
      <c r="C6675" s="154"/>
      <c r="D6675" s="201"/>
    </row>
    <row r="6676" spans="2:4">
      <c r="B6676" s="198"/>
      <c r="C6676" s="154"/>
      <c r="D6676" s="201"/>
    </row>
    <row r="6677" spans="2:4">
      <c r="B6677" s="198"/>
      <c r="C6677" s="154"/>
      <c r="D6677" s="201"/>
    </row>
    <row r="6678" spans="2:4">
      <c r="B6678" s="198"/>
      <c r="C6678" s="154"/>
      <c r="D6678" s="201"/>
    </row>
    <row r="6679" spans="2:4">
      <c r="B6679" s="198"/>
      <c r="C6679" s="154"/>
      <c r="D6679" s="201"/>
    </row>
    <row r="6680" spans="2:4">
      <c r="B6680" s="198"/>
      <c r="C6680" s="154"/>
      <c r="D6680" s="201"/>
    </row>
    <row r="6681" spans="2:4">
      <c r="B6681" s="198"/>
      <c r="C6681" s="154"/>
      <c r="D6681" s="201"/>
    </row>
    <row r="6682" spans="2:4">
      <c r="B6682" s="198"/>
      <c r="C6682" s="154"/>
      <c r="D6682" s="201"/>
    </row>
    <row r="6683" spans="2:4">
      <c r="B6683" s="198"/>
      <c r="C6683" s="154"/>
      <c r="D6683" s="201"/>
    </row>
    <row r="6684" spans="2:4">
      <c r="B6684" s="198"/>
      <c r="C6684" s="154"/>
      <c r="D6684" s="201"/>
    </row>
    <row r="6685" spans="2:4">
      <c r="B6685" s="198"/>
      <c r="C6685" s="154"/>
      <c r="D6685" s="201"/>
    </row>
    <row r="6686" spans="2:4">
      <c r="B6686" s="198"/>
      <c r="C6686" s="154"/>
      <c r="D6686" s="201"/>
    </row>
    <row r="6687" spans="2:4">
      <c r="B6687" s="198"/>
      <c r="C6687" s="154"/>
      <c r="D6687" s="201"/>
    </row>
    <row r="6688" spans="2:4">
      <c r="B6688" s="198"/>
      <c r="C6688" s="154"/>
      <c r="D6688" s="201"/>
    </row>
    <row r="6689" spans="2:4">
      <c r="B6689" s="198"/>
      <c r="C6689" s="154"/>
      <c r="D6689" s="201"/>
    </row>
    <row r="6690" spans="2:4">
      <c r="B6690" s="198"/>
      <c r="C6690" s="154"/>
      <c r="D6690" s="201"/>
    </row>
    <row r="6691" spans="2:4">
      <c r="B6691" s="198"/>
      <c r="C6691" s="154"/>
      <c r="D6691" s="201"/>
    </row>
    <row r="6692" spans="2:4">
      <c r="B6692" s="198"/>
      <c r="C6692" s="154"/>
      <c r="D6692" s="201"/>
    </row>
    <row r="6693" spans="2:4">
      <c r="B6693" s="198"/>
      <c r="C6693" s="154"/>
      <c r="D6693" s="201"/>
    </row>
    <row r="6694" spans="2:4">
      <c r="B6694" s="198"/>
      <c r="C6694" s="154"/>
      <c r="D6694" s="201"/>
    </row>
    <row r="6695" spans="2:4">
      <c r="B6695" s="198"/>
      <c r="C6695" s="154"/>
      <c r="D6695" s="201"/>
    </row>
    <row r="6696" spans="2:4">
      <c r="B6696" s="198"/>
      <c r="C6696" s="154"/>
      <c r="D6696" s="201"/>
    </row>
    <row r="6697" spans="2:4">
      <c r="B6697" s="198"/>
      <c r="C6697" s="154"/>
      <c r="D6697" s="201"/>
    </row>
    <row r="6698" spans="2:4">
      <c r="B6698" s="198"/>
      <c r="C6698" s="154"/>
      <c r="D6698" s="201"/>
    </row>
    <row r="6699" spans="2:4">
      <c r="B6699" s="198"/>
      <c r="C6699" s="154"/>
      <c r="D6699" s="201"/>
    </row>
    <row r="6700" spans="2:4">
      <c r="B6700" s="198"/>
      <c r="C6700" s="154"/>
      <c r="D6700" s="201"/>
    </row>
    <row r="6701" spans="2:4">
      <c r="B6701" s="198"/>
      <c r="C6701" s="154"/>
      <c r="D6701" s="201"/>
    </row>
    <row r="6702" spans="2:4">
      <c r="B6702" s="198"/>
      <c r="C6702" s="154"/>
      <c r="D6702" s="201"/>
    </row>
    <row r="6703" spans="2:4">
      <c r="B6703" s="198"/>
      <c r="C6703" s="154"/>
      <c r="D6703" s="201"/>
    </row>
    <row r="6704" spans="2:4">
      <c r="B6704" s="198"/>
      <c r="C6704" s="154"/>
      <c r="D6704" s="201"/>
    </row>
    <row r="6705" spans="2:4">
      <c r="B6705" s="198"/>
      <c r="C6705" s="154"/>
      <c r="D6705" s="201"/>
    </row>
    <row r="6706" spans="2:4">
      <c r="B6706" s="198"/>
      <c r="C6706" s="154"/>
      <c r="D6706" s="201"/>
    </row>
    <row r="6707" spans="2:4">
      <c r="B6707" s="198"/>
      <c r="C6707" s="154"/>
      <c r="D6707" s="201"/>
    </row>
    <row r="6708" spans="2:4">
      <c r="B6708" s="198"/>
      <c r="C6708" s="154"/>
      <c r="D6708" s="201"/>
    </row>
    <row r="6709" spans="2:4">
      <c r="B6709" s="198"/>
      <c r="C6709" s="154"/>
      <c r="D6709" s="201"/>
    </row>
    <row r="6710" spans="2:4">
      <c r="B6710" s="198"/>
      <c r="C6710" s="154"/>
      <c r="D6710" s="201"/>
    </row>
    <row r="6711" spans="2:4">
      <c r="B6711" s="198"/>
      <c r="C6711" s="154"/>
      <c r="D6711" s="201"/>
    </row>
    <row r="6712" spans="2:4">
      <c r="B6712" s="198"/>
      <c r="C6712" s="154"/>
      <c r="D6712" s="201"/>
    </row>
    <row r="6713" spans="2:4">
      <c r="B6713" s="198"/>
      <c r="C6713" s="154"/>
      <c r="D6713" s="201"/>
    </row>
    <row r="6714" spans="2:4">
      <c r="B6714" s="198"/>
      <c r="C6714" s="154"/>
      <c r="D6714" s="201"/>
    </row>
    <row r="6715" spans="2:4">
      <c r="B6715" s="198"/>
      <c r="C6715" s="154"/>
      <c r="D6715" s="201"/>
    </row>
    <row r="6716" spans="2:4">
      <c r="B6716" s="198"/>
      <c r="C6716" s="154"/>
      <c r="D6716" s="201"/>
    </row>
    <row r="6717" spans="2:4">
      <c r="B6717" s="198"/>
      <c r="C6717" s="154"/>
      <c r="D6717" s="201"/>
    </row>
    <row r="6718" spans="2:4">
      <c r="B6718" s="198"/>
      <c r="C6718" s="154"/>
      <c r="D6718" s="201"/>
    </row>
    <row r="6719" spans="2:4">
      <c r="B6719" s="198"/>
      <c r="C6719" s="154"/>
      <c r="D6719" s="201"/>
    </row>
    <row r="6720" spans="2:4">
      <c r="B6720" s="198"/>
      <c r="C6720" s="154"/>
      <c r="D6720" s="201"/>
    </row>
    <row r="6721" spans="2:4">
      <c r="B6721" s="198"/>
      <c r="C6721" s="154"/>
      <c r="D6721" s="201"/>
    </row>
    <row r="6722" spans="2:4">
      <c r="B6722" s="198"/>
      <c r="C6722" s="154"/>
      <c r="D6722" s="201"/>
    </row>
    <row r="6723" spans="2:4">
      <c r="B6723" s="198"/>
      <c r="C6723" s="154"/>
      <c r="D6723" s="201"/>
    </row>
    <row r="6724" spans="2:4">
      <c r="B6724" s="198"/>
      <c r="C6724" s="154"/>
      <c r="D6724" s="201"/>
    </row>
    <row r="6725" spans="2:4">
      <c r="B6725" s="198"/>
      <c r="C6725" s="154"/>
      <c r="D6725" s="201"/>
    </row>
    <row r="6726" spans="2:4">
      <c r="B6726" s="198"/>
      <c r="C6726" s="154"/>
      <c r="D6726" s="201"/>
    </row>
    <row r="6727" spans="2:4">
      <c r="B6727" s="198"/>
      <c r="C6727" s="154"/>
      <c r="D6727" s="201"/>
    </row>
    <row r="6728" spans="2:4">
      <c r="B6728" s="198"/>
      <c r="C6728" s="154"/>
      <c r="D6728" s="201"/>
    </row>
    <row r="6729" spans="2:4">
      <c r="B6729" s="198"/>
      <c r="C6729" s="154"/>
      <c r="D6729" s="201"/>
    </row>
    <row r="6730" spans="2:4">
      <c r="B6730" s="198"/>
      <c r="C6730" s="154"/>
      <c r="D6730" s="201"/>
    </row>
    <row r="6731" spans="2:4">
      <c r="B6731" s="198"/>
      <c r="C6731" s="154"/>
      <c r="D6731" s="201"/>
    </row>
    <row r="6732" spans="2:4">
      <c r="B6732" s="198"/>
      <c r="C6732" s="154"/>
      <c r="D6732" s="201"/>
    </row>
    <row r="6733" spans="2:4">
      <c r="B6733" s="198"/>
      <c r="C6733" s="154"/>
      <c r="D6733" s="201"/>
    </row>
    <row r="6734" spans="2:4">
      <c r="B6734" s="198"/>
      <c r="C6734" s="154"/>
      <c r="D6734" s="201"/>
    </row>
    <row r="6735" spans="2:4">
      <c r="B6735" s="198"/>
      <c r="C6735" s="154"/>
      <c r="D6735" s="201"/>
    </row>
    <row r="6736" spans="2:4">
      <c r="B6736" s="198"/>
      <c r="C6736" s="154"/>
      <c r="D6736" s="201"/>
    </row>
    <row r="6737" spans="2:4">
      <c r="B6737" s="198"/>
      <c r="C6737" s="154"/>
      <c r="D6737" s="201"/>
    </row>
    <row r="6738" spans="2:4">
      <c r="B6738" s="198"/>
      <c r="C6738" s="154"/>
      <c r="D6738" s="201"/>
    </row>
    <row r="6739" spans="2:4">
      <c r="B6739" s="198"/>
      <c r="C6739" s="154"/>
      <c r="D6739" s="201"/>
    </row>
    <row r="6740" spans="2:4">
      <c r="B6740" s="198"/>
      <c r="C6740" s="154"/>
      <c r="D6740" s="201"/>
    </row>
    <row r="6741" spans="2:4">
      <c r="B6741" s="198"/>
      <c r="C6741" s="154"/>
      <c r="D6741" s="201"/>
    </row>
    <row r="6742" spans="2:4">
      <c r="B6742" s="198"/>
      <c r="C6742" s="154"/>
      <c r="D6742" s="201"/>
    </row>
    <row r="6743" spans="2:4">
      <c r="B6743" s="198"/>
      <c r="C6743" s="154"/>
      <c r="D6743" s="201"/>
    </row>
    <row r="6744" spans="2:4">
      <c r="B6744" s="198"/>
      <c r="C6744" s="154"/>
      <c r="D6744" s="201"/>
    </row>
    <row r="6745" spans="2:4">
      <c r="B6745" s="198"/>
      <c r="C6745" s="154"/>
      <c r="D6745" s="201"/>
    </row>
    <row r="6746" spans="2:4">
      <c r="B6746" s="198"/>
      <c r="C6746" s="154"/>
      <c r="D6746" s="201"/>
    </row>
    <row r="6747" spans="2:4">
      <c r="B6747" s="198"/>
      <c r="C6747" s="154"/>
      <c r="D6747" s="201"/>
    </row>
    <row r="6748" spans="2:4">
      <c r="B6748" s="198"/>
      <c r="C6748" s="154"/>
      <c r="D6748" s="201"/>
    </row>
    <row r="6749" spans="2:4">
      <c r="B6749" s="198"/>
      <c r="C6749" s="154"/>
      <c r="D6749" s="201"/>
    </row>
    <row r="6750" spans="2:4">
      <c r="B6750" s="198"/>
      <c r="C6750" s="154"/>
      <c r="D6750" s="201"/>
    </row>
    <row r="6751" spans="2:4">
      <c r="B6751" s="198"/>
      <c r="C6751" s="154"/>
      <c r="D6751" s="201"/>
    </row>
    <row r="6752" spans="2:4">
      <c r="B6752" s="198"/>
      <c r="C6752" s="154"/>
      <c r="D6752" s="201"/>
    </row>
    <row r="6753" spans="2:4">
      <c r="B6753" s="198"/>
      <c r="C6753" s="154"/>
      <c r="D6753" s="201"/>
    </row>
    <row r="6754" spans="2:4">
      <c r="B6754" s="198"/>
      <c r="C6754" s="154"/>
      <c r="D6754" s="201"/>
    </row>
    <row r="6755" spans="2:4">
      <c r="B6755" s="198"/>
      <c r="C6755" s="154"/>
      <c r="D6755" s="201"/>
    </row>
    <row r="6756" spans="2:4">
      <c r="B6756" s="198"/>
      <c r="C6756" s="154"/>
      <c r="D6756" s="201"/>
    </row>
    <row r="6757" spans="2:4">
      <c r="B6757" s="198"/>
      <c r="C6757" s="154"/>
      <c r="D6757" s="201"/>
    </row>
    <row r="6758" spans="2:4">
      <c r="B6758" s="198"/>
      <c r="C6758" s="154"/>
      <c r="D6758" s="201"/>
    </row>
    <row r="6759" spans="2:4">
      <c r="B6759" s="198"/>
      <c r="C6759" s="154"/>
      <c r="D6759" s="201"/>
    </row>
    <row r="6760" spans="2:4">
      <c r="B6760" s="198"/>
      <c r="C6760" s="154"/>
      <c r="D6760" s="201"/>
    </row>
    <row r="6761" spans="2:4">
      <c r="B6761" s="198"/>
      <c r="C6761" s="154"/>
      <c r="D6761" s="201"/>
    </row>
    <row r="6762" spans="2:4">
      <c r="B6762" s="198"/>
      <c r="C6762" s="154"/>
      <c r="D6762" s="201"/>
    </row>
    <row r="6763" spans="2:4">
      <c r="B6763" s="198"/>
      <c r="C6763" s="154"/>
      <c r="D6763" s="201"/>
    </row>
    <row r="6764" spans="2:4">
      <c r="B6764" s="198"/>
      <c r="C6764" s="154"/>
      <c r="D6764" s="201"/>
    </row>
    <row r="6765" spans="2:4">
      <c r="B6765" s="198"/>
      <c r="C6765" s="154"/>
      <c r="D6765" s="201"/>
    </row>
    <row r="6766" spans="2:4">
      <c r="B6766" s="198"/>
      <c r="C6766" s="154"/>
      <c r="D6766" s="201"/>
    </row>
    <row r="6767" spans="2:4">
      <c r="B6767" s="198"/>
      <c r="C6767" s="154"/>
      <c r="D6767" s="201"/>
    </row>
    <row r="6768" spans="2:4">
      <c r="B6768" s="198"/>
      <c r="C6768" s="154"/>
      <c r="D6768" s="201"/>
    </row>
    <row r="6769" spans="2:4">
      <c r="B6769" s="198"/>
      <c r="C6769" s="154"/>
      <c r="D6769" s="201"/>
    </row>
    <row r="6770" spans="2:4">
      <c r="B6770" s="198"/>
      <c r="C6770" s="154"/>
      <c r="D6770" s="201"/>
    </row>
    <row r="6771" spans="2:4">
      <c r="B6771" s="198"/>
      <c r="C6771" s="154"/>
      <c r="D6771" s="201"/>
    </row>
    <row r="6772" spans="2:4">
      <c r="B6772" s="198"/>
      <c r="C6772" s="154"/>
      <c r="D6772" s="201"/>
    </row>
    <row r="6773" spans="2:4">
      <c r="B6773" s="198"/>
      <c r="C6773" s="154"/>
      <c r="D6773" s="201"/>
    </row>
    <row r="6774" spans="2:4">
      <c r="B6774" s="198"/>
      <c r="C6774" s="154"/>
      <c r="D6774" s="201"/>
    </row>
    <row r="6775" spans="2:4">
      <c r="B6775" s="198"/>
      <c r="C6775" s="154"/>
      <c r="D6775" s="201"/>
    </row>
    <row r="6776" spans="2:4">
      <c r="B6776" s="198"/>
      <c r="C6776" s="154"/>
      <c r="D6776" s="201"/>
    </row>
    <row r="6777" spans="2:4">
      <c r="B6777" s="198"/>
      <c r="C6777" s="154"/>
      <c r="D6777" s="201"/>
    </row>
    <row r="6778" spans="2:4">
      <c r="B6778" s="198"/>
      <c r="C6778" s="154"/>
      <c r="D6778" s="201"/>
    </row>
    <row r="6779" spans="2:4">
      <c r="B6779" s="198"/>
      <c r="C6779" s="154"/>
      <c r="D6779" s="201"/>
    </row>
    <row r="6780" spans="2:4">
      <c r="B6780" s="198"/>
      <c r="C6780" s="154"/>
      <c r="D6780" s="201"/>
    </row>
    <row r="6781" spans="2:4">
      <c r="B6781" s="198"/>
      <c r="C6781" s="154"/>
      <c r="D6781" s="201"/>
    </row>
    <row r="6782" spans="2:4">
      <c r="B6782" s="198"/>
      <c r="C6782" s="154"/>
      <c r="D6782" s="201"/>
    </row>
    <row r="6783" spans="2:4">
      <c r="B6783" s="198"/>
      <c r="C6783" s="154"/>
      <c r="D6783" s="201"/>
    </row>
    <row r="6784" spans="2:4">
      <c r="B6784" s="198"/>
      <c r="C6784" s="154"/>
      <c r="D6784" s="201"/>
    </row>
    <row r="6785" spans="2:4">
      <c r="B6785" s="198"/>
      <c r="C6785" s="154"/>
      <c r="D6785" s="201"/>
    </row>
    <row r="6786" spans="2:4">
      <c r="B6786" s="198"/>
      <c r="C6786" s="154"/>
      <c r="D6786" s="201"/>
    </row>
    <row r="6787" spans="2:4">
      <c r="B6787" s="198"/>
      <c r="C6787" s="154"/>
      <c r="D6787" s="201"/>
    </row>
    <row r="6788" spans="2:4">
      <c r="B6788" s="198"/>
      <c r="C6788" s="154"/>
      <c r="D6788" s="201"/>
    </row>
    <row r="6789" spans="2:4">
      <c r="B6789" s="198"/>
      <c r="C6789" s="154"/>
      <c r="D6789" s="201"/>
    </row>
    <row r="6790" spans="2:4">
      <c r="B6790" s="198"/>
      <c r="C6790" s="154"/>
      <c r="D6790" s="201"/>
    </row>
    <row r="6791" spans="2:4">
      <c r="B6791" s="198"/>
      <c r="C6791" s="154"/>
      <c r="D6791" s="201"/>
    </row>
    <row r="6792" spans="2:4">
      <c r="B6792" s="198"/>
      <c r="C6792" s="154"/>
      <c r="D6792" s="201"/>
    </row>
    <row r="6793" spans="2:4">
      <c r="B6793" s="198"/>
      <c r="C6793" s="154"/>
      <c r="D6793" s="201"/>
    </row>
    <row r="6794" spans="2:4">
      <c r="B6794" s="198"/>
      <c r="C6794" s="154"/>
      <c r="D6794" s="201"/>
    </row>
    <row r="6795" spans="2:4">
      <c r="B6795" s="198"/>
      <c r="C6795" s="154"/>
      <c r="D6795" s="201"/>
    </row>
    <row r="6796" spans="2:4">
      <c r="B6796" s="198"/>
      <c r="C6796" s="154"/>
      <c r="D6796" s="201"/>
    </row>
    <row r="6797" spans="2:4">
      <c r="B6797" s="198"/>
      <c r="C6797" s="154"/>
      <c r="D6797" s="201"/>
    </row>
    <row r="6798" spans="2:4">
      <c r="B6798" s="198"/>
      <c r="C6798" s="154"/>
      <c r="D6798" s="201"/>
    </row>
    <row r="6799" spans="2:4">
      <c r="B6799" s="198"/>
      <c r="C6799" s="154"/>
      <c r="D6799" s="201"/>
    </row>
    <row r="6800" spans="2:4">
      <c r="B6800" s="198"/>
      <c r="C6800" s="154"/>
      <c r="D6800" s="201"/>
    </row>
    <row r="6801" spans="2:4">
      <c r="B6801" s="198"/>
      <c r="C6801" s="154"/>
      <c r="D6801" s="201"/>
    </row>
    <row r="6802" spans="2:4">
      <c r="B6802" s="198"/>
      <c r="C6802" s="154"/>
      <c r="D6802" s="201"/>
    </row>
    <row r="6803" spans="2:4">
      <c r="B6803" s="198"/>
      <c r="C6803" s="154"/>
      <c r="D6803" s="201"/>
    </row>
    <row r="6804" spans="2:4">
      <c r="B6804" s="198"/>
      <c r="C6804" s="154"/>
      <c r="D6804" s="201"/>
    </row>
    <row r="6805" spans="2:4">
      <c r="B6805" s="198"/>
      <c r="C6805" s="154"/>
      <c r="D6805" s="201"/>
    </row>
    <row r="6806" spans="2:4">
      <c r="B6806" s="198"/>
      <c r="C6806" s="154"/>
      <c r="D6806" s="201"/>
    </row>
    <row r="6807" spans="2:4">
      <c r="B6807" s="198"/>
      <c r="C6807" s="154"/>
      <c r="D6807" s="201"/>
    </row>
    <row r="6808" spans="2:4">
      <c r="B6808" s="198"/>
      <c r="C6808" s="154"/>
      <c r="D6808" s="201"/>
    </row>
    <row r="6809" spans="2:4">
      <c r="B6809" s="198"/>
      <c r="C6809" s="154"/>
      <c r="D6809" s="201"/>
    </row>
    <row r="6810" spans="2:4">
      <c r="B6810" s="198"/>
      <c r="C6810" s="154"/>
      <c r="D6810" s="201"/>
    </row>
    <row r="6811" spans="2:4">
      <c r="B6811" s="198"/>
      <c r="C6811" s="154"/>
      <c r="D6811" s="201"/>
    </row>
    <row r="6812" spans="2:4">
      <c r="B6812" s="198"/>
      <c r="C6812" s="154"/>
      <c r="D6812" s="201"/>
    </row>
    <row r="6813" spans="2:4">
      <c r="B6813" s="198"/>
      <c r="C6813" s="154"/>
      <c r="D6813" s="201"/>
    </row>
    <row r="6814" spans="2:4">
      <c r="B6814" s="198"/>
      <c r="C6814" s="154"/>
      <c r="D6814" s="201"/>
    </row>
    <row r="6815" spans="2:4">
      <c r="B6815" s="198"/>
      <c r="C6815" s="154"/>
      <c r="D6815" s="201"/>
    </row>
    <row r="6816" spans="2:4">
      <c r="B6816" s="198"/>
      <c r="C6816" s="154"/>
      <c r="D6816" s="201"/>
    </row>
    <row r="6817" spans="2:4">
      <c r="B6817" s="198"/>
      <c r="C6817" s="154"/>
      <c r="D6817" s="201"/>
    </row>
    <row r="6818" spans="2:4">
      <c r="B6818" s="198"/>
      <c r="C6818" s="154"/>
      <c r="D6818" s="201"/>
    </row>
    <row r="6819" spans="2:4">
      <c r="B6819" s="198"/>
      <c r="C6819" s="154"/>
      <c r="D6819" s="201"/>
    </row>
    <row r="6820" spans="2:4">
      <c r="B6820" s="198"/>
      <c r="C6820" s="154"/>
      <c r="D6820" s="201"/>
    </row>
    <row r="6821" spans="2:4">
      <c r="B6821" s="198"/>
      <c r="C6821" s="154"/>
      <c r="D6821" s="201"/>
    </row>
    <row r="6822" spans="2:4">
      <c r="B6822" s="198"/>
      <c r="C6822" s="154"/>
      <c r="D6822" s="201"/>
    </row>
    <row r="6823" spans="2:4">
      <c r="B6823" s="198"/>
      <c r="C6823" s="154"/>
      <c r="D6823" s="201"/>
    </row>
    <row r="6824" spans="2:4">
      <c r="B6824" s="198"/>
      <c r="C6824" s="154"/>
      <c r="D6824" s="201"/>
    </row>
    <row r="6825" spans="2:4">
      <c r="B6825" s="198"/>
      <c r="C6825" s="154"/>
      <c r="D6825" s="201"/>
    </row>
    <row r="6826" spans="2:4">
      <c r="B6826" s="198"/>
      <c r="C6826" s="154"/>
      <c r="D6826" s="201"/>
    </row>
    <row r="6827" spans="2:4">
      <c r="B6827" s="198"/>
      <c r="C6827" s="154"/>
      <c r="D6827" s="201"/>
    </row>
    <row r="6828" spans="2:4">
      <c r="B6828" s="198"/>
      <c r="C6828" s="154"/>
      <c r="D6828" s="201"/>
    </row>
    <row r="6829" spans="2:4">
      <c r="B6829" s="198"/>
      <c r="C6829" s="154"/>
      <c r="D6829" s="201"/>
    </row>
    <row r="6830" spans="2:4">
      <c r="B6830" s="198"/>
      <c r="C6830" s="154"/>
      <c r="D6830" s="201"/>
    </row>
    <row r="6831" spans="2:4">
      <c r="B6831" s="198"/>
      <c r="C6831" s="154"/>
      <c r="D6831" s="201"/>
    </row>
    <row r="6832" spans="2:4">
      <c r="B6832" s="198"/>
      <c r="C6832" s="154"/>
      <c r="D6832" s="201"/>
    </row>
    <row r="6833" spans="2:4">
      <c r="B6833" s="198"/>
      <c r="C6833" s="154"/>
      <c r="D6833" s="201"/>
    </row>
    <row r="6834" spans="2:4">
      <c r="B6834" s="198"/>
      <c r="C6834" s="154"/>
      <c r="D6834" s="201"/>
    </row>
    <row r="6835" spans="2:4">
      <c r="B6835" s="198"/>
      <c r="C6835" s="154"/>
      <c r="D6835" s="201"/>
    </row>
    <row r="6836" spans="2:4">
      <c r="B6836" s="198"/>
      <c r="C6836" s="154"/>
      <c r="D6836" s="201"/>
    </row>
    <row r="6837" spans="2:4">
      <c r="B6837" s="198"/>
      <c r="C6837" s="154"/>
      <c r="D6837" s="201"/>
    </row>
    <row r="6838" spans="2:4">
      <c r="B6838" s="198"/>
      <c r="C6838" s="154"/>
      <c r="D6838" s="201"/>
    </row>
    <row r="6839" spans="2:4">
      <c r="B6839" s="198"/>
      <c r="C6839" s="154"/>
      <c r="D6839" s="201"/>
    </row>
    <row r="6840" spans="2:4">
      <c r="B6840" s="198"/>
      <c r="C6840" s="154"/>
      <c r="D6840" s="201"/>
    </row>
    <row r="6841" spans="2:4">
      <c r="B6841" s="198"/>
      <c r="C6841" s="154"/>
      <c r="D6841" s="201"/>
    </row>
    <row r="6842" spans="2:4">
      <c r="B6842" s="198"/>
      <c r="C6842" s="154"/>
      <c r="D6842" s="201"/>
    </row>
    <row r="6843" spans="2:4">
      <c r="B6843" s="198"/>
      <c r="C6843" s="154"/>
      <c r="D6843" s="201"/>
    </row>
    <row r="6844" spans="2:4">
      <c r="B6844" s="198"/>
      <c r="C6844" s="154"/>
      <c r="D6844" s="201"/>
    </row>
    <row r="6845" spans="2:4">
      <c r="B6845" s="198"/>
      <c r="C6845" s="154"/>
      <c r="D6845" s="201"/>
    </row>
    <row r="6846" spans="2:4">
      <c r="B6846" s="198"/>
      <c r="C6846" s="154"/>
      <c r="D6846" s="201"/>
    </row>
    <row r="6847" spans="2:4">
      <c r="B6847" s="198"/>
      <c r="C6847" s="154"/>
      <c r="D6847" s="201"/>
    </row>
    <row r="6848" spans="2:4">
      <c r="B6848" s="198"/>
      <c r="C6848" s="154"/>
      <c r="D6848" s="201"/>
    </row>
    <row r="6849" spans="2:4">
      <c r="B6849" s="198"/>
      <c r="C6849" s="154"/>
      <c r="D6849" s="201"/>
    </row>
    <row r="6850" spans="2:4">
      <c r="B6850" s="198"/>
      <c r="C6850" s="154"/>
      <c r="D6850" s="201"/>
    </row>
    <row r="6851" spans="2:4">
      <c r="B6851" s="198"/>
      <c r="C6851" s="154"/>
      <c r="D6851" s="201"/>
    </row>
    <row r="6852" spans="2:4">
      <c r="B6852" s="198"/>
      <c r="C6852" s="154"/>
      <c r="D6852" s="201"/>
    </row>
    <row r="6853" spans="2:4">
      <c r="B6853" s="198"/>
      <c r="C6853" s="154"/>
      <c r="D6853" s="201"/>
    </row>
    <row r="6854" spans="2:4">
      <c r="B6854" s="198"/>
      <c r="C6854" s="154"/>
      <c r="D6854" s="201"/>
    </row>
    <row r="6855" spans="2:4">
      <c r="B6855" s="198"/>
      <c r="C6855" s="154"/>
      <c r="D6855" s="201"/>
    </row>
    <row r="6856" spans="2:4">
      <c r="B6856" s="198"/>
      <c r="C6856" s="154"/>
      <c r="D6856" s="201"/>
    </row>
    <row r="6857" spans="2:4">
      <c r="B6857" s="198"/>
      <c r="C6857" s="154"/>
      <c r="D6857" s="201"/>
    </row>
    <row r="6858" spans="2:4">
      <c r="B6858" s="198"/>
      <c r="C6858" s="154"/>
      <c r="D6858" s="201"/>
    </row>
    <row r="6859" spans="2:4">
      <c r="B6859" s="198"/>
      <c r="C6859" s="154"/>
      <c r="D6859" s="201"/>
    </row>
    <row r="6860" spans="2:4">
      <c r="B6860" s="198"/>
      <c r="C6860" s="154"/>
      <c r="D6860" s="201"/>
    </row>
    <row r="6861" spans="2:4">
      <c r="B6861" s="198"/>
      <c r="C6861" s="154"/>
      <c r="D6861" s="201"/>
    </row>
    <row r="6862" spans="2:4">
      <c r="B6862" s="198"/>
      <c r="C6862" s="154"/>
      <c r="D6862" s="201"/>
    </row>
    <row r="6863" spans="2:4">
      <c r="B6863" s="198"/>
      <c r="C6863" s="154"/>
      <c r="D6863" s="201"/>
    </row>
    <row r="6864" spans="2:4">
      <c r="B6864" s="198"/>
      <c r="C6864" s="154"/>
      <c r="D6864" s="201"/>
    </row>
    <row r="6865" spans="2:4">
      <c r="B6865" s="198"/>
      <c r="C6865" s="154"/>
      <c r="D6865" s="201"/>
    </row>
    <row r="6866" spans="2:4">
      <c r="B6866" s="198"/>
      <c r="C6866" s="154"/>
      <c r="D6866" s="201"/>
    </row>
    <row r="6867" spans="2:4">
      <c r="B6867" s="198"/>
      <c r="C6867" s="154"/>
      <c r="D6867" s="201"/>
    </row>
    <row r="6868" spans="2:4">
      <c r="B6868" s="198"/>
      <c r="C6868" s="154"/>
      <c r="D6868" s="201"/>
    </row>
    <row r="6869" spans="2:4">
      <c r="B6869" s="198"/>
      <c r="C6869" s="154"/>
      <c r="D6869" s="201"/>
    </row>
    <row r="6870" spans="2:4">
      <c r="B6870" s="198"/>
      <c r="C6870" s="154"/>
      <c r="D6870" s="201"/>
    </row>
    <row r="6871" spans="2:4">
      <c r="B6871" s="198"/>
      <c r="C6871" s="154"/>
      <c r="D6871" s="201"/>
    </row>
    <row r="6872" spans="2:4">
      <c r="B6872" s="198"/>
      <c r="C6872" s="154"/>
      <c r="D6872" s="201"/>
    </row>
    <row r="6873" spans="2:4">
      <c r="B6873" s="198"/>
      <c r="C6873" s="154"/>
      <c r="D6873" s="201"/>
    </row>
    <row r="6874" spans="2:4">
      <c r="B6874" s="198"/>
      <c r="C6874" s="154"/>
      <c r="D6874" s="201"/>
    </row>
    <row r="6875" spans="2:4">
      <c r="B6875" s="198"/>
      <c r="C6875" s="154"/>
      <c r="D6875" s="201"/>
    </row>
    <row r="6876" spans="2:4">
      <c r="B6876" s="198"/>
      <c r="C6876" s="154"/>
      <c r="D6876" s="201"/>
    </row>
    <row r="6877" spans="2:4">
      <c r="B6877" s="198"/>
      <c r="C6877" s="154"/>
      <c r="D6877" s="201"/>
    </row>
    <row r="6878" spans="2:4">
      <c r="B6878" s="198"/>
      <c r="C6878" s="154"/>
      <c r="D6878" s="201"/>
    </row>
    <row r="6879" spans="2:4">
      <c r="B6879" s="198"/>
      <c r="C6879" s="154"/>
      <c r="D6879" s="201"/>
    </row>
    <row r="6880" spans="2:4">
      <c r="B6880" s="198"/>
      <c r="C6880" s="154"/>
      <c r="D6880" s="201"/>
    </row>
    <row r="6881" spans="2:4">
      <c r="B6881" s="198"/>
      <c r="C6881" s="154"/>
      <c r="D6881" s="201"/>
    </row>
    <row r="6882" spans="2:4">
      <c r="B6882" s="198"/>
      <c r="C6882" s="154"/>
      <c r="D6882" s="201"/>
    </row>
    <row r="6883" spans="2:4">
      <c r="B6883" s="198"/>
      <c r="C6883" s="154"/>
      <c r="D6883" s="201"/>
    </row>
    <row r="6884" spans="2:4">
      <c r="B6884" s="198"/>
      <c r="C6884" s="154"/>
      <c r="D6884" s="201"/>
    </row>
    <row r="6885" spans="2:4">
      <c r="B6885" s="198"/>
      <c r="C6885" s="154"/>
      <c r="D6885" s="201"/>
    </row>
    <row r="6886" spans="2:4">
      <c r="B6886" s="198"/>
      <c r="C6886" s="154"/>
      <c r="D6886" s="201"/>
    </row>
    <row r="6887" spans="2:4">
      <c r="B6887" s="198"/>
      <c r="C6887" s="154"/>
      <c r="D6887" s="201"/>
    </row>
    <row r="6888" spans="2:4">
      <c r="B6888" s="198"/>
      <c r="C6888" s="154"/>
      <c r="D6888" s="201"/>
    </row>
    <row r="6889" spans="2:4">
      <c r="B6889" s="198"/>
      <c r="C6889" s="154"/>
      <c r="D6889" s="201"/>
    </row>
    <row r="6890" spans="2:4">
      <c r="B6890" s="198"/>
      <c r="C6890" s="154"/>
      <c r="D6890" s="201"/>
    </row>
    <row r="6891" spans="2:4">
      <c r="B6891" s="198"/>
      <c r="C6891" s="154"/>
      <c r="D6891" s="201"/>
    </row>
    <row r="6892" spans="2:4">
      <c r="B6892" s="198"/>
      <c r="C6892" s="154"/>
      <c r="D6892" s="201"/>
    </row>
    <row r="6893" spans="2:4">
      <c r="B6893" s="198"/>
      <c r="C6893" s="154"/>
      <c r="D6893" s="201"/>
    </row>
    <row r="6894" spans="2:4">
      <c r="B6894" s="198"/>
      <c r="C6894" s="154"/>
      <c r="D6894" s="201"/>
    </row>
    <row r="6895" spans="2:4">
      <c r="B6895" s="198"/>
      <c r="C6895" s="154"/>
      <c r="D6895" s="201"/>
    </row>
    <row r="6896" spans="2:4">
      <c r="B6896" s="198"/>
      <c r="C6896" s="154"/>
      <c r="D6896" s="201"/>
    </row>
    <row r="6897" spans="2:4">
      <c r="B6897" s="198"/>
      <c r="C6897" s="154"/>
      <c r="D6897" s="201"/>
    </row>
    <row r="6898" spans="2:4">
      <c r="B6898" s="198"/>
      <c r="C6898" s="154"/>
      <c r="D6898" s="201"/>
    </row>
    <row r="6899" spans="2:4">
      <c r="B6899" s="198"/>
      <c r="C6899" s="154"/>
      <c r="D6899" s="201"/>
    </row>
    <row r="6900" spans="2:4">
      <c r="B6900" s="198"/>
      <c r="C6900" s="154"/>
      <c r="D6900" s="201"/>
    </row>
    <row r="6901" spans="2:4">
      <c r="B6901" s="198"/>
      <c r="C6901" s="154"/>
      <c r="D6901" s="201"/>
    </row>
    <row r="6902" spans="2:4">
      <c r="B6902" s="198"/>
      <c r="C6902" s="154"/>
      <c r="D6902" s="201"/>
    </row>
    <row r="6903" spans="2:4">
      <c r="B6903" s="198"/>
      <c r="C6903" s="154"/>
      <c r="D6903" s="201"/>
    </row>
    <row r="6904" spans="2:4">
      <c r="B6904" s="198"/>
      <c r="C6904" s="154"/>
      <c r="D6904" s="201"/>
    </row>
    <row r="6905" spans="2:4">
      <c r="B6905" s="198"/>
      <c r="C6905" s="154"/>
      <c r="D6905" s="201"/>
    </row>
    <row r="6906" spans="2:4">
      <c r="B6906" s="198"/>
      <c r="C6906" s="154"/>
      <c r="D6906" s="201"/>
    </row>
    <row r="6907" spans="2:4">
      <c r="B6907" s="198"/>
      <c r="C6907" s="154"/>
      <c r="D6907" s="201"/>
    </row>
    <row r="6908" spans="2:4">
      <c r="B6908" s="198"/>
      <c r="C6908" s="154"/>
      <c r="D6908" s="201"/>
    </row>
    <row r="6909" spans="2:4">
      <c r="B6909" s="198"/>
      <c r="C6909" s="154"/>
      <c r="D6909" s="201"/>
    </row>
    <row r="6910" spans="2:4">
      <c r="B6910" s="198"/>
      <c r="C6910" s="154"/>
      <c r="D6910" s="201"/>
    </row>
    <row r="6911" spans="2:4">
      <c r="B6911" s="198"/>
      <c r="C6911" s="154"/>
      <c r="D6911" s="201"/>
    </row>
    <row r="6912" spans="2:4">
      <c r="B6912" s="198"/>
      <c r="C6912" s="154"/>
      <c r="D6912" s="201"/>
    </row>
    <row r="6913" spans="2:4">
      <c r="B6913" s="198"/>
      <c r="C6913" s="154"/>
      <c r="D6913" s="201"/>
    </row>
    <row r="6914" spans="2:4">
      <c r="B6914" s="198"/>
      <c r="C6914" s="154"/>
      <c r="D6914" s="201"/>
    </row>
    <row r="6915" spans="2:4">
      <c r="B6915" s="198"/>
      <c r="C6915" s="154"/>
      <c r="D6915" s="201"/>
    </row>
    <row r="6916" spans="2:4">
      <c r="B6916" s="198"/>
      <c r="C6916" s="154"/>
      <c r="D6916" s="201"/>
    </row>
    <row r="6917" spans="2:4">
      <c r="B6917" s="198"/>
      <c r="C6917" s="154"/>
      <c r="D6917" s="201"/>
    </row>
    <row r="6918" spans="2:4">
      <c r="B6918" s="198"/>
      <c r="C6918" s="154"/>
      <c r="D6918" s="201"/>
    </row>
    <row r="6919" spans="2:4">
      <c r="B6919" s="198"/>
      <c r="C6919" s="154"/>
      <c r="D6919" s="201"/>
    </row>
    <row r="6920" spans="2:4">
      <c r="B6920" s="198"/>
      <c r="C6920" s="154"/>
      <c r="D6920" s="201"/>
    </row>
    <row r="6921" spans="2:4">
      <c r="B6921" s="198"/>
      <c r="C6921" s="154"/>
      <c r="D6921" s="201"/>
    </row>
    <row r="6922" spans="2:4">
      <c r="B6922" s="198"/>
      <c r="C6922" s="154"/>
      <c r="D6922" s="201"/>
    </row>
    <row r="6923" spans="2:4">
      <c r="B6923" s="198"/>
      <c r="C6923" s="154"/>
      <c r="D6923" s="201"/>
    </row>
    <row r="6924" spans="2:4">
      <c r="B6924" s="198"/>
      <c r="C6924" s="154"/>
      <c r="D6924" s="201"/>
    </row>
    <row r="6925" spans="2:4">
      <c r="B6925" s="198"/>
      <c r="C6925" s="154"/>
      <c r="D6925" s="201"/>
    </row>
    <row r="6926" spans="2:4">
      <c r="B6926" s="198"/>
      <c r="C6926" s="154"/>
      <c r="D6926" s="201"/>
    </row>
    <row r="6927" spans="2:4">
      <c r="B6927" s="198"/>
      <c r="C6927" s="154"/>
      <c r="D6927" s="201"/>
    </row>
    <row r="6928" spans="2:4">
      <c r="B6928" s="198"/>
      <c r="C6928" s="154"/>
      <c r="D6928" s="201"/>
    </row>
    <row r="6929" spans="2:4">
      <c r="B6929" s="198"/>
      <c r="C6929" s="154"/>
      <c r="D6929" s="201"/>
    </row>
    <row r="6930" spans="2:4">
      <c r="B6930" s="198"/>
      <c r="C6930" s="154"/>
      <c r="D6930" s="201"/>
    </row>
    <row r="6931" spans="2:4">
      <c r="B6931" s="198"/>
      <c r="C6931" s="154"/>
      <c r="D6931" s="201"/>
    </row>
    <row r="6932" spans="2:4">
      <c r="B6932" s="198"/>
      <c r="C6932" s="154"/>
      <c r="D6932" s="201"/>
    </row>
    <row r="6933" spans="2:4">
      <c r="B6933" s="198"/>
      <c r="C6933" s="154"/>
      <c r="D6933" s="201"/>
    </row>
    <row r="6934" spans="2:4">
      <c r="B6934" s="198"/>
      <c r="C6934" s="154"/>
      <c r="D6934" s="201"/>
    </row>
    <row r="6935" spans="2:4">
      <c r="B6935" s="198"/>
      <c r="C6935" s="154"/>
      <c r="D6935" s="201"/>
    </row>
    <row r="6936" spans="2:4">
      <c r="B6936" s="198"/>
      <c r="C6936" s="154"/>
      <c r="D6936" s="201"/>
    </row>
    <row r="6937" spans="2:4">
      <c r="B6937" s="198"/>
      <c r="C6937" s="154"/>
      <c r="D6937" s="201"/>
    </row>
    <row r="6938" spans="2:4">
      <c r="B6938" s="198"/>
      <c r="C6938" s="154"/>
      <c r="D6938" s="201"/>
    </row>
    <row r="6939" spans="2:4">
      <c r="B6939" s="198"/>
      <c r="C6939" s="154"/>
      <c r="D6939" s="201"/>
    </row>
    <row r="6940" spans="2:4">
      <c r="B6940" s="198"/>
      <c r="C6940" s="154"/>
      <c r="D6940" s="201"/>
    </row>
    <row r="6941" spans="2:4">
      <c r="B6941" s="198"/>
      <c r="C6941" s="154"/>
      <c r="D6941" s="201"/>
    </row>
    <row r="6942" spans="2:4">
      <c r="B6942" s="198"/>
      <c r="C6942" s="154"/>
      <c r="D6942" s="201"/>
    </row>
    <row r="6943" spans="2:4">
      <c r="B6943" s="198"/>
      <c r="C6943" s="154"/>
      <c r="D6943" s="201"/>
    </row>
    <row r="6944" spans="2:4">
      <c r="B6944" s="198"/>
      <c r="C6944" s="154"/>
      <c r="D6944" s="201"/>
    </row>
    <row r="6945" spans="2:4">
      <c r="B6945" s="198"/>
      <c r="C6945" s="154"/>
      <c r="D6945" s="201"/>
    </row>
    <row r="6946" spans="2:4">
      <c r="B6946" s="198"/>
      <c r="C6946" s="154"/>
      <c r="D6946" s="201"/>
    </row>
    <row r="6947" spans="2:4">
      <c r="B6947" s="198"/>
      <c r="C6947" s="154"/>
      <c r="D6947" s="201"/>
    </row>
    <row r="6948" spans="2:4">
      <c r="B6948" s="198"/>
      <c r="C6948" s="154"/>
      <c r="D6948" s="201"/>
    </row>
    <row r="6949" spans="2:4">
      <c r="B6949" s="198"/>
      <c r="C6949" s="154"/>
      <c r="D6949" s="201"/>
    </row>
    <row r="6950" spans="2:4">
      <c r="B6950" s="198"/>
      <c r="C6950" s="154"/>
      <c r="D6950" s="201"/>
    </row>
    <row r="6951" spans="2:4">
      <c r="B6951" s="198"/>
      <c r="C6951" s="154"/>
      <c r="D6951" s="201"/>
    </row>
    <row r="6952" spans="2:4">
      <c r="B6952" s="198"/>
      <c r="C6952" s="154"/>
      <c r="D6952" s="201"/>
    </row>
    <row r="6953" spans="2:4">
      <c r="B6953" s="198"/>
      <c r="C6953" s="154"/>
      <c r="D6953" s="201"/>
    </row>
    <row r="6954" spans="2:4">
      <c r="B6954" s="198"/>
      <c r="C6954" s="154"/>
      <c r="D6954" s="201"/>
    </row>
    <row r="6955" spans="2:4">
      <c r="B6955" s="198"/>
      <c r="C6955" s="154"/>
      <c r="D6955" s="201"/>
    </row>
    <row r="6956" spans="2:4">
      <c r="B6956" s="198"/>
      <c r="C6956" s="154"/>
      <c r="D6956" s="201"/>
    </row>
    <row r="6957" spans="2:4">
      <c r="B6957" s="198"/>
      <c r="C6957" s="154"/>
      <c r="D6957" s="201"/>
    </row>
    <row r="6958" spans="2:4">
      <c r="B6958" s="198"/>
      <c r="C6958" s="154"/>
      <c r="D6958" s="201"/>
    </row>
    <row r="6959" spans="2:4">
      <c r="B6959" s="198"/>
      <c r="C6959" s="154"/>
      <c r="D6959" s="201"/>
    </row>
    <row r="6960" spans="2:4">
      <c r="B6960" s="198"/>
      <c r="C6960" s="154"/>
      <c r="D6960" s="201"/>
    </row>
    <row r="6961" spans="2:4">
      <c r="B6961" s="198"/>
      <c r="C6961" s="154"/>
      <c r="D6961" s="201"/>
    </row>
    <row r="6962" spans="2:4">
      <c r="B6962" s="198"/>
      <c r="C6962" s="154"/>
      <c r="D6962" s="201"/>
    </row>
    <row r="6963" spans="2:4">
      <c r="B6963" s="198"/>
      <c r="C6963" s="154"/>
      <c r="D6963" s="201"/>
    </row>
    <row r="6964" spans="2:4">
      <c r="B6964" s="198"/>
      <c r="C6964" s="154"/>
      <c r="D6964" s="201"/>
    </row>
    <row r="6965" spans="2:4">
      <c r="B6965" s="198"/>
      <c r="C6965" s="154"/>
      <c r="D6965" s="201"/>
    </row>
    <row r="6966" spans="2:4">
      <c r="B6966" s="198"/>
      <c r="C6966" s="154"/>
      <c r="D6966" s="201"/>
    </row>
    <row r="6967" spans="2:4">
      <c r="B6967" s="198"/>
      <c r="C6967" s="154"/>
      <c r="D6967" s="201"/>
    </row>
    <row r="6968" spans="2:4">
      <c r="B6968" s="198"/>
      <c r="C6968" s="154"/>
      <c r="D6968" s="201"/>
    </row>
    <row r="6969" spans="2:4">
      <c r="B6969" s="198"/>
      <c r="C6969" s="154"/>
      <c r="D6969" s="201"/>
    </row>
    <row r="6970" spans="2:4">
      <c r="B6970" s="198"/>
      <c r="C6970" s="154"/>
      <c r="D6970" s="201"/>
    </row>
    <row r="6971" spans="2:4">
      <c r="B6971" s="198"/>
      <c r="C6971" s="154"/>
      <c r="D6971" s="201"/>
    </row>
    <row r="6972" spans="2:4">
      <c r="B6972" s="198"/>
      <c r="C6972" s="154"/>
      <c r="D6972" s="201"/>
    </row>
    <row r="6973" spans="2:4">
      <c r="B6973" s="198"/>
      <c r="C6973" s="154"/>
      <c r="D6973" s="201"/>
    </row>
    <row r="6974" spans="2:4">
      <c r="B6974" s="198"/>
      <c r="C6974" s="154"/>
      <c r="D6974" s="201"/>
    </row>
    <row r="6975" spans="2:4">
      <c r="B6975" s="198"/>
      <c r="C6975" s="154"/>
      <c r="D6975" s="201"/>
    </row>
    <row r="6976" spans="2:4">
      <c r="B6976" s="198"/>
      <c r="C6976" s="154"/>
      <c r="D6976" s="201"/>
    </row>
    <row r="6977" spans="2:4">
      <c r="B6977" s="198"/>
      <c r="C6977" s="154"/>
      <c r="D6977" s="201"/>
    </row>
    <row r="6978" spans="2:4">
      <c r="B6978" s="198"/>
      <c r="C6978" s="154"/>
      <c r="D6978" s="201"/>
    </row>
    <row r="6979" spans="2:4">
      <c r="B6979" s="198"/>
      <c r="C6979" s="154"/>
      <c r="D6979" s="201"/>
    </row>
    <row r="6980" spans="2:4">
      <c r="B6980" s="198"/>
      <c r="C6980" s="154"/>
      <c r="D6980" s="201"/>
    </row>
    <row r="6981" spans="2:4">
      <c r="B6981" s="198"/>
      <c r="C6981" s="154"/>
      <c r="D6981" s="201"/>
    </row>
    <row r="6982" spans="2:4">
      <c r="B6982" s="198"/>
      <c r="C6982" s="154"/>
      <c r="D6982" s="201"/>
    </row>
    <row r="6983" spans="2:4">
      <c r="B6983" s="198"/>
      <c r="C6983" s="154"/>
      <c r="D6983" s="201"/>
    </row>
    <row r="6984" spans="2:4">
      <c r="B6984" s="198"/>
      <c r="C6984" s="154"/>
      <c r="D6984" s="201"/>
    </row>
    <row r="6985" spans="2:4">
      <c r="B6985" s="198"/>
      <c r="C6985" s="154"/>
      <c r="D6985" s="201"/>
    </row>
    <row r="6986" spans="2:4">
      <c r="B6986" s="198"/>
      <c r="C6986" s="154"/>
      <c r="D6986" s="201"/>
    </row>
    <row r="6987" spans="2:4">
      <c r="B6987" s="198"/>
      <c r="C6987" s="154"/>
      <c r="D6987" s="201"/>
    </row>
    <row r="6988" spans="2:4">
      <c r="B6988" s="198"/>
      <c r="C6988" s="154"/>
      <c r="D6988" s="201"/>
    </row>
    <row r="6989" spans="2:4">
      <c r="B6989" s="198"/>
      <c r="C6989" s="154"/>
      <c r="D6989" s="201"/>
    </row>
    <row r="6990" spans="2:4">
      <c r="B6990" s="198"/>
      <c r="C6990" s="154"/>
      <c r="D6990" s="201"/>
    </row>
    <row r="6991" spans="2:4">
      <c r="B6991" s="198"/>
      <c r="C6991" s="154"/>
      <c r="D6991" s="201"/>
    </row>
    <row r="6992" spans="2:4">
      <c r="B6992" s="198"/>
      <c r="C6992" s="154"/>
      <c r="D6992" s="201"/>
    </row>
    <row r="6993" spans="2:4">
      <c r="B6993" s="198"/>
      <c r="C6993" s="154"/>
      <c r="D6993" s="201"/>
    </row>
    <row r="6994" spans="2:4">
      <c r="B6994" s="198"/>
      <c r="C6994" s="154"/>
      <c r="D6994" s="201"/>
    </row>
    <row r="6995" spans="2:4">
      <c r="B6995" s="198"/>
      <c r="C6995" s="154"/>
      <c r="D6995" s="201"/>
    </row>
    <row r="6996" spans="2:4">
      <c r="B6996" s="198"/>
      <c r="C6996" s="154"/>
      <c r="D6996" s="201"/>
    </row>
    <row r="6997" spans="2:4">
      <c r="B6997" s="198"/>
      <c r="C6997" s="154"/>
      <c r="D6997" s="201"/>
    </row>
    <row r="6998" spans="2:4">
      <c r="B6998" s="198"/>
      <c r="C6998" s="154"/>
      <c r="D6998" s="201"/>
    </row>
    <row r="6999" spans="2:4">
      <c r="B6999" s="198"/>
      <c r="C6999" s="154"/>
      <c r="D6999" s="201"/>
    </row>
    <row r="7000" spans="2:4">
      <c r="B7000" s="198"/>
      <c r="C7000" s="154"/>
      <c r="D7000" s="201"/>
    </row>
    <row r="7001" spans="2:4">
      <c r="B7001" s="198"/>
      <c r="C7001" s="154"/>
      <c r="D7001" s="201"/>
    </row>
    <row r="7002" spans="2:4">
      <c r="B7002" s="198"/>
      <c r="C7002" s="154"/>
      <c r="D7002" s="201"/>
    </row>
    <row r="7003" spans="2:4">
      <c r="B7003" s="198"/>
      <c r="C7003" s="154"/>
      <c r="D7003" s="201"/>
    </row>
    <row r="7004" spans="2:4">
      <c r="B7004" s="198"/>
      <c r="C7004" s="154"/>
      <c r="D7004" s="201"/>
    </row>
    <row r="7005" spans="2:4">
      <c r="B7005" s="198"/>
      <c r="C7005" s="154"/>
      <c r="D7005" s="201"/>
    </row>
    <row r="7006" spans="2:4">
      <c r="B7006" s="198"/>
      <c r="C7006" s="154"/>
      <c r="D7006" s="201"/>
    </row>
    <row r="7007" spans="2:4">
      <c r="B7007" s="198"/>
      <c r="C7007" s="154"/>
      <c r="D7007" s="201"/>
    </row>
    <row r="7008" spans="2:4">
      <c r="B7008" s="198"/>
      <c r="C7008" s="154"/>
      <c r="D7008" s="201"/>
    </row>
    <row r="7009" spans="2:4">
      <c r="B7009" s="198"/>
      <c r="C7009" s="154"/>
      <c r="D7009" s="201"/>
    </row>
    <row r="7010" spans="2:4">
      <c r="B7010" s="198"/>
      <c r="C7010" s="154"/>
      <c r="D7010" s="201"/>
    </row>
    <row r="7011" spans="2:4">
      <c r="B7011" s="198"/>
      <c r="C7011" s="154"/>
      <c r="D7011" s="201"/>
    </row>
    <row r="7012" spans="2:4">
      <c r="B7012" s="198"/>
      <c r="C7012" s="154"/>
      <c r="D7012" s="201"/>
    </row>
    <row r="7013" spans="2:4">
      <c r="B7013" s="198"/>
      <c r="C7013" s="154"/>
      <c r="D7013" s="201"/>
    </row>
    <row r="7014" spans="2:4">
      <c r="B7014" s="198"/>
      <c r="C7014" s="154"/>
      <c r="D7014" s="201"/>
    </row>
    <row r="7015" spans="2:4">
      <c r="B7015" s="198"/>
      <c r="C7015" s="154"/>
      <c r="D7015" s="201"/>
    </row>
    <row r="7016" spans="2:4">
      <c r="B7016" s="198"/>
      <c r="C7016" s="154"/>
      <c r="D7016" s="201"/>
    </row>
    <row r="7017" spans="2:4">
      <c r="B7017" s="198"/>
      <c r="C7017" s="154"/>
      <c r="D7017" s="201"/>
    </row>
    <row r="7018" spans="2:4">
      <c r="B7018" s="198"/>
      <c r="C7018" s="154"/>
      <c r="D7018" s="201"/>
    </row>
    <row r="7019" spans="2:4">
      <c r="B7019" s="198"/>
      <c r="C7019" s="154"/>
      <c r="D7019" s="201"/>
    </row>
    <row r="7020" spans="2:4">
      <c r="B7020" s="198"/>
      <c r="C7020" s="154"/>
      <c r="D7020" s="201"/>
    </row>
    <row r="7021" spans="2:4">
      <c r="B7021" s="198"/>
      <c r="C7021" s="154"/>
      <c r="D7021" s="201"/>
    </row>
    <row r="7022" spans="2:4">
      <c r="B7022" s="198"/>
      <c r="C7022" s="154"/>
      <c r="D7022" s="201"/>
    </row>
    <row r="7023" spans="2:4">
      <c r="B7023" s="198"/>
      <c r="C7023" s="154"/>
      <c r="D7023" s="201"/>
    </row>
    <row r="7024" spans="2:4">
      <c r="B7024" s="198"/>
      <c r="C7024" s="154"/>
      <c r="D7024" s="201"/>
    </row>
    <row r="7025" spans="2:4">
      <c r="B7025" s="198"/>
      <c r="C7025" s="154"/>
      <c r="D7025" s="201"/>
    </row>
    <row r="7026" spans="2:4">
      <c r="B7026" s="198"/>
      <c r="C7026" s="154"/>
      <c r="D7026" s="201"/>
    </row>
    <row r="7027" spans="2:4">
      <c r="B7027" s="198"/>
      <c r="C7027" s="154"/>
      <c r="D7027" s="201"/>
    </row>
    <row r="7028" spans="2:4">
      <c r="B7028" s="198"/>
      <c r="C7028" s="154"/>
      <c r="D7028" s="201"/>
    </row>
    <row r="7029" spans="2:4">
      <c r="B7029" s="198"/>
      <c r="C7029" s="154"/>
      <c r="D7029" s="201"/>
    </row>
    <row r="7030" spans="2:4">
      <c r="B7030" s="198"/>
      <c r="C7030" s="154"/>
      <c r="D7030" s="201"/>
    </row>
    <row r="7031" spans="2:4">
      <c r="B7031" s="198"/>
      <c r="C7031" s="154"/>
      <c r="D7031" s="201"/>
    </row>
    <row r="7032" spans="2:4">
      <c r="B7032" s="198"/>
      <c r="C7032" s="154"/>
      <c r="D7032" s="201"/>
    </row>
    <row r="7033" spans="2:4">
      <c r="B7033" s="198"/>
      <c r="C7033" s="154"/>
      <c r="D7033" s="201"/>
    </row>
    <row r="7034" spans="2:4">
      <c r="B7034" s="198"/>
      <c r="C7034" s="154"/>
      <c r="D7034" s="201"/>
    </row>
    <row r="7035" spans="2:4">
      <c r="B7035" s="198"/>
      <c r="C7035" s="154"/>
      <c r="D7035" s="201"/>
    </row>
    <row r="7036" spans="2:4">
      <c r="B7036" s="198"/>
      <c r="C7036" s="154"/>
      <c r="D7036" s="201"/>
    </row>
    <row r="7037" spans="2:4">
      <c r="B7037" s="198"/>
      <c r="C7037" s="154"/>
      <c r="D7037" s="201"/>
    </row>
    <row r="7038" spans="2:4">
      <c r="B7038" s="198"/>
      <c r="C7038" s="154"/>
      <c r="D7038" s="201"/>
    </row>
    <row r="7039" spans="2:4">
      <c r="B7039" s="198"/>
      <c r="C7039" s="154"/>
      <c r="D7039" s="201"/>
    </row>
    <row r="7040" spans="2:4">
      <c r="B7040" s="198"/>
      <c r="C7040" s="154"/>
      <c r="D7040" s="201"/>
    </row>
    <row r="7041" spans="2:4">
      <c r="B7041" s="198"/>
      <c r="C7041" s="154"/>
      <c r="D7041" s="201"/>
    </row>
    <row r="7042" spans="2:4">
      <c r="B7042" s="198"/>
      <c r="C7042" s="154"/>
      <c r="D7042" s="201"/>
    </row>
    <row r="7043" spans="2:4">
      <c r="B7043" s="198"/>
      <c r="C7043" s="154"/>
      <c r="D7043" s="201"/>
    </row>
    <row r="7044" spans="2:4">
      <c r="B7044" s="198"/>
      <c r="C7044" s="154"/>
      <c r="D7044" s="201"/>
    </row>
    <row r="7045" spans="2:4">
      <c r="B7045" s="198"/>
      <c r="C7045" s="154"/>
      <c r="D7045" s="201"/>
    </row>
    <row r="7046" spans="2:4">
      <c r="B7046" s="198"/>
      <c r="C7046" s="154"/>
      <c r="D7046" s="201"/>
    </row>
    <row r="7047" spans="2:4">
      <c r="B7047" s="198"/>
      <c r="C7047" s="154"/>
      <c r="D7047" s="201"/>
    </row>
    <row r="7048" spans="2:4">
      <c r="B7048" s="198"/>
      <c r="C7048" s="154"/>
      <c r="D7048" s="201"/>
    </row>
    <row r="7049" spans="2:4">
      <c r="B7049" s="198"/>
      <c r="C7049" s="154"/>
      <c r="D7049" s="201"/>
    </row>
    <row r="7050" spans="2:4">
      <c r="B7050" s="198"/>
      <c r="C7050" s="154"/>
      <c r="D7050" s="201"/>
    </row>
    <row r="7051" spans="2:4">
      <c r="B7051" s="198"/>
      <c r="C7051" s="154"/>
      <c r="D7051" s="201"/>
    </row>
    <row r="7052" spans="2:4">
      <c r="B7052" s="198"/>
      <c r="C7052" s="154"/>
      <c r="D7052" s="201"/>
    </row>
    <row r="7053" spans="2:4">
      <c r="B7053" s="198"/>
      <c r="C7053" s="154"/>
      <c r="D7053" s="201"/>
    </row>
    <row r="7054" spans="2:4">
      <c r="B7054" s="198"/>
      <c r="C7054" s="154"/>
      <c r="D7054" s="201"/>
    </row>
    <row r="7055" spans="2:4">
      <c r="B7055" s="198"/>
      <c r="C7055" s="154"/>
      <c r="D7055" s="201"/>
    </row>
    <row r="7056" spans="2:4">
      <c r="B7056" s="198"/>
      <c r="C7056" s="154"/>
      <c r="D7056" s="201"/>
    </row>
    <row r="7057" spans="2:4">
      <c r="B7057" s="198"/>
      <c r="C7057" s="154"/>
      <c r="D7057" s="201"/>
    </row>
    <row r="7058" spans="2:4">
      <c r="B7058" s="198"/>
      <c r="C7058" s="154"/>
      <c r="D7058" s="201"/>
    </row>
    <row r="7059" spans="2:4">
      <c r="B7059" s="198"/>
      <c r="C7059" s="154"/>
      <c r="D7059" s="201"/>
    </row>
    <row r="7060" spans="2:4">
      <c r="B7060" s="198"/>
      <c r="C7060" s="154"/>
      <c r="D7060" s="201"/>
    </row>
    <row r="7061" spans="2:4">
      <c r="B7061" s="198"/>
      <c r="C7061" s="154"/>
      <c r="D7061" s="201"/>
    </row>
    <row r="7062" spans="2:4">
      <c r="B7062" s="198"/>
      <c r="C7062" s="154"/>
      <c r="D7062" s="201"/>
    </row>
    <row r="7063" spans="2:4">
      <c r="B7063" s="198"/>
      <c r="C7063" s="154"/>
      <c r="D7063" s="201"/>
    </row>
    <row r="7064" spans="2:4">
      <c r="B7064" s="198"/>
      <c r="C7064" s="154"/>
      <c r="D7064" s="201"/>
    </row>
    <row r="7065" spans="2:4">
      <c r="B7065" s="198"/>
      <c r="C7065" s="154"/>
      <c r="D7065" s="201"/>
    </row>
    <row r="7066" spans="2:4">
      <c r="B7066" s="198"/>
      <c r="C7066" s="154"/>
      <c r="D7066" s="201"/>
    </row>
    <row r="7067" spans="2:4">
      <c r="B7067" s="198"/>
      <c r="C7067" s="154"/>
      <c r="D7067" s="201"/>
    </row>
    <row r="7068" spans="2:4">
      <c r="B7068" s="198"/>
      <c r="C7068" s="154"/>
      <c r="D7068" s="201"/>
    </row>
    <row r="7069" spans="2:4">
      <c r="B7069" s="198"/>
      <c r="C7069" s="154"/>
      <c r="D7069" s="201"/>
    </row>
    <row r="7070" spans="2:4">
      <c r="B7070" s="198"/>
      <c r="C7070" s="154"/>
      <c r="D7070" s="201"/>
    </row>
    <row r="7071" spans="2:4">
      <c r="B7071" s="198"/>
      <c r="C7071" s="154"/>
      <c r="D7071" s="201"/>
    </row>
    <row r="7072" spans="2:4">
      <c r="B7072" s="198"/>
      <c r="C7072" s="154"/>
      <c r="D7072" s="201"/>
    </row>
    <row r="7073" spans="2:4">
      <c r="B7073" s="198"/>
      <c r="C7073" s="154"/>
      <c r="D7073" s="201"/>
    </row>
    <row r="7074" spans="2:4">
      <c r="B7074" s="198"/>
      <c r="C7074" s="154"/>
      <c r="D7074" s="201"/>
    </row>
    <row r="7075" spans="2:4">
      <c r="B7075" s="198"/>
      <c r="C7075" s="154"/>
      <c r="D7075" s="201"/>
    </row>
    <row r="7076" spans="2:4">
      <c r="B7076" s="198"/>
      <c r="C7076" s="154"/>
      <c r="D7076" s="201"/>
    </row>
    <row r="7077" spans="2:4">
      <c r="B7077" s="198"/>
      <c r="C7077" s="154"/>
      <c r="D7077" s="201"/>
    </row>
    <row r="7078" spans="2:4">
      <c r="B7078" s="198"/>
      <c r="C7078" s="154"/>
      <c r="D7078" s="201"/>
    </row>
    <row r="7079" spans="2:4">
      <c r="B7079" s="198"/>
      <c r="C7079" s="154"/>
      <c r="D7079" s="201"/>
    </row>
    <row r="7080" spans="2:4">
      <c r="B7080" s="198"/>
      <c r="C7080" s="154"/>
      <c r="D7080" s="201"/>
    </row>
    <row r="7081" spans="2:4">
      <c r="B7081" s="198"/>
      <c r="C7081" s="154"/>
      <c r="D7081" s="201"/>
    </row>
    <row r="7082" spans="2:4">
      <c r="B7082" s="198"/>
      <c r="C7082" s="154"/>
      <c r="D7082" s="201"/>
    </row>
    <row r="7083" spans="2:4">
      <c r="B7083" s="198"/>
      <c r="C7083" s="154"/>
      <c r="D7083" s="201"/>
    </row>
    <row r="7084" spans="2:4">
      <c r="B7084" s="198"/>
      <c r="C7084" s="154"/>
      <c r="D7084" s="201"/>
    </row>
    <row r="7085" spans="2:4">
      <c r="B7085" s="198"/>
      <c r="C7085" s="154"/>
      <c r="D7085" s="201"/>
    </row>
    <row r="7086" spans="2:4">
      <c r="B7086" s="198"/>
      <c r="C7086" s="154"/>
      <c r="D7086" s="201"/>
    </row>
    <row r="7087" spans="2:4">
      <c r="B7087" s="198"/>
      <c r="C7087" s="154"/>
      <c r="D7087" s="201"/>
    </row>
    <row r="7088" spans="2:4">
      <c r="B7088" s="198"/>
      <c r="C7088" s="154"/>
      <c r="D7088" s="201"/>
    </row>
    <row r="7089" spans="2:4">
      <c r="B7089" s="198"/>
      <c r="C7089" s="154"/>
      <c r="D7089" s="201"/>
    </row>
    <row r="7090" spans="2:4">
      <c r="B7090" s="198"/>
      <c r="C7090" s="154"/>
      <c r="D7090" s="201"/>
    </row>
    <row r="7091" spans="2:4">
      <c r="B7091" s="198"/>
      <c r="C7091" s="154"/>
      <c r="D7091" s="201"/>
    </row>
    <row r="7092" spans="2:4">
      <c r="B7092" s="198"/>
      <c r="C7092" s="154"/>
      <c r="D7092" s="201"/>
    </row>
    <row r="7093" spans="2:4">
      <c r="B7093" s="198"/>
      <c r="C7093" s="154"/>
      <c r="D7093" s="201"/>
    </row>
    <row r="7094" spans="2:4">
      <c r="B7094" s="198"/>
      <c r="C7094" s="154"/>
      <c r="D7094" s="201"/>
    </row>
    <row r="7095" spans="2:4">
      <c r="B7095" s="198"/>
      <c r="C7095" s="154"/>
      <c r="D7095" s="201"/>
    </row>
    <row r="7096" spans="2:4">
      <c r="B7096" s="198"/>
      <c r="C7096" s="154"/>
      <c r="D7096" s="201"/>
    </row>
    <row r="7097" spans="2:4">
      <c r="B7097" s="198"/>
      <c r="C7097" s="154"/>
      <c r="D7097" s="201"/>
    </row>
    <row r="7098" spans="2:4">
      <c r="B7098" s="198"/>
      <c r="C7098" s="154"/>
      <c r="D7098" s="201"/>
    </row>
    <row r="7099" spans="2:4">
      <c r="B7099" s="198"/>
      <c r="C7099" s="154"/>
      <c r="D7099" s="201"/>
    </row>
    <row r="7100" spans="2:4">
      <c r="B7100" s="198"/>
      <c r="C7100" s="154"/>
      <c r="D7100" s="201"/>
    </row>
    <row r="7101" spans="2:4">
      <c r="B7101" s="198"/>
      <c r="C7101" s="154"/>
      <c r="D7101" s="201"/>
    </row>
    <row r="7102" spans="2:4">
      <c r="B7102" s="198"/>
      <c r="C7102" s="154"/>
      <c r="D7102" s="201"/>
    </row>
    <row r="7103" spans="2:4">
      <c r="B7103" s="198"/>
      <c r="C7103" s="154"/>
      <c r="D7103" s="201"/>
    </row>
    <row r="7104" spans="2:4">
      <c r="B7104" s="198"/>
      <c r="C7104" s="154"/>
      <c r="D7104" s="201"/>
    </row>
    <row r="7105" spans="2:4">
      <c r="B7105" s="198"/>
      <c r="C7105" s="154"/>
      <c r="D7105" s="201"/>
    </row>
    <row r="7106" spans="2:4">
      <c r="B7106" s="198"/>
      <c r="C7106" s="154"/>
      <c r="D7106" s="201"/>
    </row>
    <row r="7107" spans="2:4">
      <c r="B7107" s="198"/>
      <c r="C7107" s="154"/>
      <c r="D7107" s="201"/>
    </row>
    <row r="7108" spans="2:4">
      <c r="B7108" s="198"/>
      <c r="C7108" s="154"/>
      <c r="D7108" s="201"/>
    </row>
    <row r="7109" spans="2:4">
      <c r="B7109" s="198"/>
      <c r="C7109" s="154"/>
      <c r="D7109" s="201"/>
    </row>
    <row r="7110" spans="2:4">
      <c r="B7110" s="198"/>
      <c r="C7110" s="154"/>
      <c r="D7110" s="201"/>
    </row>
    <row r="7111" spans="2:4">
      <c r="B7111" s="198"/>
      <c r="C7111" s="154"/>
      <c r="D7111" s="201"/>
    </row>
    <row r="7112" spans="2:4">
      <c r="B7112" s="198"/>
      <c r="C7112" s="154"/>
      <c r="D7112" s="201"/>
    </row>
    <row r="7113" spans="2:4">
      <c r="B7113" s="198"/>
      <c r="C7113" s="154"/>
      <c r="D7113" s="201"/>
    </row>
    <row r="7114" spans="2:4">
      <c r="B7114" s="198"/>
      <c r="C7114" s="154"/>
      <c r="D7114" s="201"/>
    </row>
    <row r="7115" spans="2:4">
      <c r="B7115" s="198"/>
      <c r="C7115" s="154"/>
      <c r="D7115" s="201"/>
    </row>
    <row r="7116" spans="2:4">
      <c r="B7116" s="198"/>
      <c r="C7116" s="154"/>
      <c r="D7116" s="201"/>
    </row>
    <row r="7117" spans="2:4">
      <c r="B7117" s="198"/>
      <c r="C7117" s="154"/>
      <c r="D7117" s="201"/>
    </row>
    <row r="7118" spans="2:4">
      <c r="B7118" s="198"/>
      <c r="C7118" s="154"/>
      <c r="D7118" s="201"/>
    </row>
    <row r="7119" spans="2:4">
      <c r="B7119" s="198"/>
      <c r="C7119" s="154"/>
      <c r="D7119" s="201"/>
    </row>
    <row r="7120" spans="2:4">
      <c r="B7120" s="198"/>
      <c r="C7120" s="154"/>
      <c r="D7120" s="201"/>
    </row>
    <row r="7121" spans="2:4">
      <c r="B7121" s="198"/>
      <c r="C7121" s="154"/>
      <c r="D7121" s="201"/>
    </row>
    <row r="7122" spans="2:4">
      <c r="B7122" s="198"/>
      <c r="C7122" s="154"/>
      <c r="D7122" s="201"/>
    </row>
    <row r="7123" spans="2:4">
      <c r="B7123" s="198"/>
      <c r="C7123" s="154"/>
      <c r="D7123" s="201"/>
    </row>
    <row r="7124" spans="2:4">
      <c r="B7124" s="198"/>
      <c r="C7124" s="154"/>
      <c r="D7124" s="201"/>
    </row>
    <row r="7125" spans="2:4">
      <c r="B7125" s="198"/>
      <c r="C7125" s="154"/>
      <c r="D7125" s="201"/>
    </row>
    <row r="7126" spans="2:4">
      <c r="B7126" s="198"/>
      <c r="C7126" s="154"/>
      <c r="D7126" s="201"/>
    </row>
    <row r="7127" spans="2:4">
      <c r="B7127" s="198"/>
      <c r="C7127" s="154"/>
      <c r="D7127" s="201"/>
    </row>
    <row r="7128" spans="2:4">
      <c r="B7128" s="198"/>
      <c r="C7128" s="154"/>
      <c r="D7128" s="201"/>
    </row>
    <row r="7129" spans="2:4">
      <c r="B7129" s="198"/>
      <c r="C7129" s="154"/>
      <c r="D7129" s="201"/>
    </row>
    <row r="7130" spans="2:4">
      <c r="B7130" s="198"/>
      <c r="C7130" s="154"/>
      <c r="D7130" s="201"/>
    </row>
    <row r="7131" spans="2:4">
      <c r="B7131" s="198"/>
      <c r="C7131" s="154"/>
      <c r="D7131" s="201"/>
    </row>
    <row r="7132" spans="2:4">
      <c r="B7132" s="198"/>
      <c r="C7132" s="154"/>
      <c r="D7132" s="201"/>
    </row>
    <row r="7133" spans="2:4">
      <c r="B7133" s="198"/>
      <c r="C7133" s="154"/>
      <c r="D7133" s="201"/>
    </row>
    <row r="7134" spans="2:4">
      <c r="B7134" s="198"/>
      <c r="C7134" s="154"/>
      <c r="D7134" s="201"/>
    </row>
    <row r="7135" spans="2:4">
      <c r="B7135" s="198"/>
      <c r="C7135" s="154"/>
      <c r="D7135" s="201"/>
    </row>
    <row r="7136" spans="2:4">
      <c r="B7136" s="198"/>
      <c r="C7136" s="154"/>
      <c r="D7136" s="201"/>
    </row>
    <row r="7137" spans="2:4">
      <c r="B7137" s="198"/>
      <c r="C7137" s="154"/>
      <c r="D7137" s="201"/>
    </row>
    <row r="7138" spans="2:4">
      <c r="B7138" s="198"/>
      <c r="C7138" s="154"/>
      <c r="D7138" s="201"/>
    </row>
    <row r="7139" spans="2:4">
      <c r="B7139" s="198"/>
      <c r="C7139" s="154"/>
      <c r="D7139" s="201"/>
    </row>
    <row r="7140" spans="2:4">
      <c r="B7140" s="198"/>
      <c r="C7140" s="154"/>
      <c r="D7140" s="201"/>
    </row>
    <row r="7141" spans="2:4">
      <c r="B7141" s="198"/>
      <c r="C7141" s="154"/>
      <c r="D7141" s="201"/>
    </row>
    <row r="7142" spans="2:4">
      <c r="B7142" s="198"/>
      <c r="C7142" s="154"/>
      <c r="D7142" s="201"/>
    </row>
    <row r="7143" spans="2:4">
      <c r="B7143" s="198"/>
      <c r="C7143" s="154"/>
      <c r="D7143" s="201"/>
    </row>
    <row r="7144" spans="2:4">
      <c r="B7144" s="198"/>
      <c r="C7144" s="154"/>
      <c r="D7144" s="201"/>
    </row>
    <row r="7145" spans="2:4">
      <c r="B7145" s="198"/>
      <c r="C7145" s="154"/>
      <c r="D7145" s="201"/>
    </row>
    <row r="7146" spans="2:4">
      <c r="B7146" s="198"/>
      <c r="C7146" s="154"/>
      <c r="D7146" s="201"/>
    </row>
    <row r="7147" spans="2:4">
      <c r="B7147" s="198"/>
      <c r="C7147" s="154"/>
      <c r="D7147" s="201"/>
    </row>
    <row r="7148" spans="2:4">
      <c r="B7148" s="198"/>
      <c r="C7148" s="154"/>
      <c r="D7148" s="201"/>
    </row>
    <row r="7149" spans="2:4">
      <c r="B7149" s="198"/>
      <c r="C7149" s="154"/>
      <c r="D7149" s="201"/>
    </row>
    <row r="7150" spans="2:4">
      <c r="B7150" s="198"/>
      <c r="C7150" s="154"/>
      <c r="D7150" s="201"/>
    </row>
    <row r="7151" spans="2:4">
      <c r="B7151" s="198"/>
      <c r="C7151" s="154"/>
      <c r="D7151" s="201"/>
    </row>
    <row r="7152" spans="2:4">
      <c r="B7152" s="198"/>
      <c r="C7152" s="154"/>
      <c r="D7152" s="201"/>
    </row>
    <row r="7153" spans="2:4">
      <c r="B7153" s="198"/>
      <c r="C7153" s="154"/>
      <c r="D7153" s="201"/>
    </row>
    <row r="7154" spans="2:4">
      <c r="B7154" s="198"/>
      <c r="C7154" s="154"/>
      <c r="D7154" s="201"/>
    </row>
    <row r="7155" spans="2:4">
      <c r="B7155" s="198"/>
      <c r="C7155" s="154"/>
      <c r="D7155" s="201"/>
    </row>
    <row r="7156" spans="2:4">
      <c r="B7156" s="198"/>
      <c r="C7156" s="154"/>
      <c r="D7156" s="201"/>
    </row>
    <row r="7157" spans="2:4">
      <c r="B7157" s="198"/>
      <c r="C7157" s="154"/>
      <c r="D7157" s="201"/>
    </row>
    <row r="7158" spans="2:4">
      <c r="B7158" s="198"/>
      <c r="C7158" s="154"/>
      <c r="D7158" s="201"/>
    </row>
    <row r="7159" spans="2:4">
      <c r="B7159" s="198"/>
      <c r="C7159" s="154"/>
      <c r="D7159" s="201"/>
    </row>
    <row r="7160" spans="2:4">
      <c r="B7160" s="198"/>
      <c r="C7160" s="154"/>
      <c r="D7160" s="201"/>
    </row>
    <row r="7161" spans="2:4">
      <c r="B7161" s="198"/>
      <c r="C7161" s="154"/>
      <c r="D7161" s="201"/>
    </row>
    <row r="7162" spans="2:4">
      <c r="B7162" s="198"/>
      <c r="C7162" s="154"/>
      <c r="D7162" s="201"/>
    </row>
    <row r="7163" spans="2:4">
      <c r="B7163" s="198"/>
      <c r="C7163" s="154"/>
      <c r="D7163" s="201"/>
    </row>
    <row r="7164" spans="2:4">
      <c r="B7164" s="198"/>
      <c r="C7164" s="154"/>
      <c r="D7164" s="201"/>
    </row>
    <row r="7165" spans="2:4">
      <c r="B7165" s="198"/>
      <c r="C7165" s="154"/>
      <c r="D7165" s="201"/>
    </row>
    <row r="7166" spans="2:4">
      <c r="B7166" s="198"/>
      <c r="C7166" s="154"/>
      <c r="D7166" s="201"/>
    </row>
    <row r="7167" spans="2:4">
      <c r="B7167" s="198"/>
      <c r="C7167" s="154"/>
      <c r="D7167" s="201"/>
    </row>
    <row r="7168" spans="2:4">
      <c r="B7168" s="198"/>
      <c r="C7168" s="154"/>
      <c r="D7168" s="201"/>
    </row>
    <row r="7169" spans="2:4">
      <c r="B7169" s="198"/>
      <c r="C7169" s="154"/>
      <c r="D7169" s="201"/>
    </row>
    <row r="7170" spans="2:4">
      <c r="B7170" s="198"/>
      <c r="C7170" s="154"/>
      <c r="D7170" s="201"/>
    </row>
    <row r="7171" spans="2:4">
      <c r="B7171" s="198"/>
      <c r="C7171" s="154"/>
      <c r="D7171" s="201"/>
    </row>
    <row r="7172" spans="2:4">
      <c r="B7172" s="198"/>
      <c r="C7172" s="154"/>
      <c r="D7172" s="201"/>
    </row>
    <row r="7173" spans="2:4">
      <c r="B7173" s="198"/>
      <c r="C7173" s="154"/>
      <c r="D7173" s="201"/>
    </row>
    <row r="7174" spans="2:4">
      <c r="B7174" s="198"/>
      <c r="C7174" s="154"/>
      <c r="D7174" s="201"/>
    </row>
    <row r="7175" spans="2:4">
      <c r="B7175" s="198"/>
      <c r="C7175" s="154"/>
      <c r="D7175" s="201"/>
    </row>
    <row r="7176" spans="2:4">
      <c r="B7176" s="198"/>
      <c r="C7176" s="154"/>
      <c r="D7176" s="201"/>
    </row>
    <row r="7177" spans="2:4">
      <c r="B7177" s="198"/>
      <c r="C7177" s="154"/>
      <c r="D7177" s="201"/>
    </row>
    <row r="7178" spans="2:4">
      <c r="B7178" s="198"/>
      <c r="C7178" s="154"/>
      <c r="D7178" s="201"/>
    </row>
    <row r="7179" spans="2:4">
      <c r="B7179" s="198"/>
      <c r="C7179" s="154"/>
      <c r="D7179" s="201"/>
    </row>
    <row r="7180" spans="2:4">
      <c r="B7180" s="198"/>
      <c r="C7180" s="154"/>
      <c r="D7180" s="201"/>
    </row>
    <row r="7181" spans="2:4">
      <c r="B7181" s="198"/>
      <c r="C7181" s="154"/>
      <c r="D7181" s="201"/>
    </row>
    <row r="7182" spans="2:4">
      <c r="B7182" s="198"/>
      <c r="C7182" s="154"/>
      <c r="D7182" s="201"/>
    </row>
    <row r="7183" spans="2:4">
      <c r="B7183" s="198"/>
      <c r="C7183" s="154"/>
      <c r="D7183" s="201"/>
    </row>
    <row r="7184" spans="2:4">
      <c r="B7184" s="198"/>
      <c r="C7184" s="154"/>
      <c r="D7184" s="201"/>
    </row>
    <row r="7185" spans="2:4">
      <c r="B7185" s="198"/>
      <c r="C7185" s="154"/>
      <c r="D7185" s="201"/>
    </row>
    <row r="7186" spans="2:4">
      <c r="B7186" s="198"/>
      <c r="C7186" s="154"/>
      <c r="D7186" s="201"/>
    </row>
    <row r="7187" spans="2:4">
      <c r="B7187" s="198"/>
      <c r="C7187" s="154"/>
      <c r="D7187" s="201"/>
    </row>
    <row r="7188" spans="2:4">
      <c r="B7188" s="198"/>
      <c r="C7188" s="154"/>
      <c r="D7188" s="201"/>
    </row>
    <row r="7189" spans="2:4">
      <c r="B7189" s="198"/>
      <c r="C7189" s="154"/>
      <c r="D7189" s="201"/>
    </row>
    <row r="7190" spans="2:4">
      <c r="B7190" s="198"/>
      <c r="C7190" s="154"/>
      <c r="D7190" s="201"/>
    </row>
    <row r="7191" spans="2:4">
      <c r="B7191" s="198"/>
      <c r="C7191" s="154"/>
      <c r="D7191" s="201"/>
    </row>
    <row r="7192" spans="2:4">
      <c r="B7192" s="198"/>
      <c r="C7192" s="154"/>
      <c r="D7192" s="201"/>
    </row>
    <row r="7193" spans="2:4">
      <c r="B7193" s="198"/>
      <c r="C7193" s="154"/>
      <c r="D7193" s="201"/>
    </row>
    <row r="7194" spans="2:4">
      <c r="B7194" s="198"/>
      <c r="C7194" s="154"/>
      <c r="D7194" s="201"/>
    </row>
    <row r="7195" spans="2:4">
      <c r="B7195" s="198"/>
      <c r="C7195" s="154"/>
      <c r="D7195" s="201"/>
    </row>
    <row r="7196" spans="2:4">
      <c r="B7196" s="198"/>
      <c r="C7196" s="154"/>
      <c r="D7196" s="201"/>
    </row>
    <row r="7197" spans="2:4">
      <c r="B7197" s="198"/>
      <c r="C7197" s="154"/>
      <c r="D7197" s="201"/>
    </row>
    <row r="7198" spans="2:4">
      <c r="B7198" s="198"/>
      <c r="C7198" s="154"/>
      <c r="D7198" s="201"/>
    </row>
    <row r="7199" spans="2:4">
      <c r="B7199" s="198"/>
      <c r="C7199" s="154"/>
      <c r="D7199" s="201"/>
    </row>
    <row r="7200" spans="2:4">
      <c r="B7200" s="198"/>
      <c r="C7200" s="154"/>
      <c r="D7200" s="201"/>
    </row>
    <row r="7201" spans="2:4">
      <c r="B7201" s="198"/>
      <c r="C7201" s="154"/>
      <c r="D7201" s="201"/>
    </row>
    <row r="7202" spans="2:4">
      <c r="B7202" s="198"/>
      <c r="C7202" s="154"/>
      <c r="D7202" s="201"/>
    </row>
    <row r="7203" spans="2:4">
      <c r="B7203" s="198"/>
      <c r="C7203" s="154"/>
      <c r="D7203" s="201"/>
    </row>
    <row r="7204" spans="2:4">
      <c r="B7204" s="198"/>
      <c r="C7204" s="154"/>
      <c r="D7204" s="201"/>
    </row>
    <row r="7205" spans="2:4">
      <c r="B7205" s="198"/>
      <c r="C7205" s="154"/>
      <c r="D7205" s="201"/>
    </row>
    <row r="7206" spans="2:4">
      <c r="B7206" s="198"/>
      <c r="C7206" s="154"/>
      <c r="D7206" s="201"/>
    </row>
    <row r="7207" spans="2:4">
      <c r="B7207" s="198"/>
      <c r="C7207" s="154"/>
      <c r="D7207" s="201"/>
    </row>
    <row r="7208" spans="2:4">
      <c r="B7208" s="198"/>
      <c r="C7208" s="154"/>
      <c r="D7208" s="201"/>
    </row>
    <row r="7209" spans="2:4">
      <c r="B7209" s="198"/>
      <c r="C7209" s="154"/>
      <c r="D7209" s="201"/>
    </row>
    <row r="7210" spans="2:4">
      <c r="B7210" s="198"/>
      <c r="C7210" s="154"/>
      <c r="D7210" s="201"/>
    </row>
    <row r="7211" spans="2:4">
      <c r="B7211" s="198"/>
      <c r="C7211" s="154"/>
      <c r="D7211" s="201"/>
    </row>
    <row r="7212" spans="2:4">
      <c r="B7212" s="198"/>
      <c r="C7212" s="154"/>
      <c r="D7212" s="201"/>
    </row>
    <row r="7213" spans="2:4">
      <c r="B7213" s="198"/>
      <c r="C7213" s="154"/>
      <c r="D7213" s="201"/>
    </row>
    <row r="7214" spans="2:4">
      <c r="B7214" s="198"/>
      <c r="C7214" s="154"/>
      <c r="D7214" s="201"/>
    </row>
    <row r="7215" spans="2:4">
      <c r="B7215" s="198"/>
      <c r="C7215" s="154"/>
      <c r="D7215" s="201"/>
    </row>
    <row r="7216" spans="2:4">
      <c r="B7216" s="198"/>
      <c r="C7216" s="154"/>
      <c r="D7216" s="201"/>
    </row>
    <row r="7217" spans="2:4">
      <c r="B7217" s="198"/>
      <c r="C7217" s="154"/>
      <c r="D7217" s="201"/>
    </row>
    <row r="7218" spans="2:4">
      <c r="B7218" s="198"/>
      <c r="C7218" s="154"/>
      <c r="D7218" s="201"/>
    </row>
    <row r="7219" spans="2:4">
      <c r="B7219" s="198"/>
      <c r="C7219" s="154"/>
      <c r="D7219" s="201"/>
    </row>
    <row r="7220" spans="2:4">
      <c r="B7220" s="198"/>
      <c r="C7220" s="154"/>
      <c r="D7220" s="201"/>
    </row>
    <row r="7221" spans="2:4">
      <c r="B7221" s="198"/>
      <c r="C7221" s="154"/>
      <c r="D7221" s="201"/>
    </row>
    <row r="7222" spans="2:4">
      <c r="B7222" s="198"/>
      <c r="C7222" s="154"/>
      <c r="D7222" s="201"/>
    </row>
    <row r="7223" spans="2:4">
      <c r="B7223" s="198"/>
      <c r="C7223" s="154"/>
      <c r="D7223" s="201"/>
    </row>
    <row r="7224" spans="2:4">
      <c r="B7224" s="198"/>
      <c r="C7224" s="154"/>
      <c r="D7224" s="201"/>
    </row>
    <row r="7225" spans="2:4">
      <c r="B7225" s="198"/>
      <c r="C7225" s="154"/>
      <c r="D7225" s="201"/>
    </row>
    <row r="7226" spans="2:4">
      <c r="B7226" s="198"/>
      <c r="C7226" s="154"/>
      <c r="D7226" s="201"/>
    </row>
    <row r="7227" spans="2:4">
      <c r="B7227" s="198"/>
      <c r="C7227" s="154"/>
      <c r="D7227" s="201"/>
    </row>
    <row r="7228" spans="2:4">
      <c r="B7228" s="198"/>
      <c r="C7228" s="154"/>
      <c r="D7228" s="201"/>
    </row>
    <row r="7229" spans="2:4">
      <c r="B7229" s="198"/>
      <c r="C7229" s="154"/>
      <c r="D7229" s="201"/>
    </row>
    <row r="7230" spans="2:4">
      <c r="B7230" s="198"/>
      <c r="C7230" s="154"/>
      <c r="D7230" s="201"/>
    </row>
    <row r="7231" spans="2:4">
      <c r="B7231" s="198"/>
      <c r="C7231" s="154"/>
      <c r="D7231" s="201"/>
    </row>
    <row r="7232" spans="2:4">
      <c r="B7232" s="198"/>
      <c r="C7232" s="154"/>
      <c r="D7232" s="201"/>
    </row>
    <row r="7233" spans="2:4">
      <c r="B7233" s="198"/>
      <c r="C7233" s="154"/>
      <c r="D7233" s="201"/>
    </row>
    <row r="7234" spans="2:4">
      <c r="B7234" s="198"/>
      <c r="C7234" s="154"/>
      <c r="D7234" s="201"/>
    </row>
    <row r="7235" spans="2:4">
      <c r="B7235" s="198"/>
      <c r="C7235" s="154"/>
      <c r="D7235" s="201"/>
    </row>
    <row r="7236" spans="2:4">
      <c r="B7236" s="198"/>
      <c r="C7236" s="154"/>
      <c r="D7236" s="201"/>
    </row>
    <row r="7237" spans="2:4">
      <c r="B7237" s="198"/>
      <c r="C7237" s="154"/>
      <c r="D7237" s="201"/>
    </row>
    <row r="7238" spans="2:4">
      <c r="B7238" s="198"/>
      <c r="C7238" s="154"/>
      <c r="D7238" s="201"/>
    </row>
    <row r="7239" spans="2:4">
      <c r="B7239" s="198"/>
      <c r="C7239" s="154"/>
      <c r="D7239" s="201"/>
    </row>
    <row r="7240" spans="2:4">
      <c r="B7240" s="198"/>
      <c r="C7240" s="154"/>
      <c r="D7240" s="201"/>
    </row>
    <row r="7241" spans="2:4">
      <c r="B7241" s="198"/>
      <c r="C7241" s="154"/>
      <c r="D7241" s="201"/>
    </row>
    <row r="7242" spans="2:4">
      <c r="B7242" s="198"/>
      <c r="C7242" s="154"/>
      <c r="D7242" s="201"/>
    </row>
    <row r="7243" spans="2:4">
      <c r="B7243" s="198"/>
      <c r="C7243" s="154"/>
      <c r="D7243" s="201"/>
    </row>
    <row r="7244" spans="2:4">
      <c r="B7244" s="198"/>
      <c r="C7244" s="154"/>
      <c r="D7244" s="201"/>
    </row>
    <row r="7245" spans="2:4">
      <c r="B7245" s="198"/>
      <c r="C7245" s="154"/>
      <c r="D7245" s="201"/>
    </row>
    <row r="7246" spans="2:4">
      <c r="B7246" s="198"/>
      <c r="C7246" s="154"/>
      <c r="D7246" s="201"/>
    </row>
    <row r="7247" spans="2:4">
      <c r="B7247" s="198"/>
      <c r="C7247" s="154"/>
      <c r="D7247" s="201"/>
    </row>
    <row r="7248" spans="2:4">
      <c r="B7248" s="198"/>
      <c r="C7248" s="154"/>
      <c r="D7248" s="201"/>
    </row>
    <row r="7249" spans="2:4">
      <c r="B7249" s="198"/>
      <c r="C7249" s="154"/>
      <c r="D7249" s="201"/>
    </row>
    <row r="7250" spans="2:4">
      <c r="B7250" s="198"/>
      <c r="C7250" s="154"/>
      <c r="D7250" s="201"/>
    </row>
    <row r="7251" spans="2:4">
      <c r="B7251" s="198"/>
      <c r="C7251" s="154"/>
      <c r="D7251" s="201"/>
    </row>
    <row r="7252" spans="2:4">
      <c r="B7252" s="198"/>
      <c r="C7252" s="154"/>
      <c r="D7252" s="201"/>
    </row>
    <row r="7253" spans="2:4">
      <c r="B7253" s="198"/>
      <c r="C7253" s="154"/>
      <c r="D7253" s="201"/>
    </row>
    <row r="7254" spans="2:4">
      <c r="B7254" s="198"/>
      <c r="C7254" s="154"/>
      <c r="D7254" s="201"/>
    </row>
    <row r="7255" spans="2:4">
      <c r="B7255" s="198"/>
      <c r="C7255" s="154"/>
      <c r="D7255" s="201"/>
    </row>
    <row r="7256" spans="2:4">
      <c r="B7256" s="198"/>
      <c r="C7256" s="154"/>
      <c r="D7256" s="201"/>
    </row>
    <row r="7257" spans="2:4">
      <c r="B7257" s="198"/>
      <c r="C7257" s="154"/>
      <c r="D7257" s="201"/>
    </row>
    <row r="7258" spans="2:4">
      <c r="B7258" s="198"/>
      <c r="C7258" s="154"/>
      <c r="D7258" s="201"/>
    </row>
    <row r="7259" spans="2:4">
      <c r="B7259" s="198"/>
      <c r="C7259" s="154"/>
      <c r="D7259" s="201"/>
    </row>
    <row r="7260" spans="2:4">
      <c r="B7260" s="198"/>
      <c r="C7260" s="154"/>
      <c r="D7260" s="201"/>
    </row>
    <row r="7261" spans="2:4">
      <c r="B7261" s="198"/>
      <c r="C7261" s="154"/>
      <c r="D7261" s="201"/>
    </row>
    <row r="7262" spans="2:4">
      <c r="B7262" s="198"/>
      <c r="C7262" s="154"/>
      <c r="D7262" s="201"/>
    </row>
    <row r="7263" spans="2:4">
      <c r="B7263" s="198"/>
      <c r="C7263" s="154"/>
      <c r="D7263" s="201"/>
    </row>
    <row r="7264" spans="2:4">
      <c r="B7264" s="198"/>
      <c r="C7264" s="154"/>
      <c r="D7264" s="201"/>
    </row>
    <row r="7265" spans="2:4">
      <c r="B7265" s="198"/>
      <c r="C7265" s="154"/>
      <c r="D7265" s="201"/>
    </row>
    <row r="7266" spans="2:4">
      <c r="B7266" s="198"/>
      <c r="C7266" s="154"/>
      <c r="D7266" s="201"/>
    </row>
    <row r="7267" spans="2:4">
      <c r="B7267" s="198"/>
      <c r="C7267" s="154"/>
      <c r="D7267" s="201"/>
    </row>
    <row r="7268" spans="2:4">
      <c r="B7268" s="198"/>
      <c r="C7268" s="154"/>
      <c r="D7268" s="201"/>
    </row>
    <row r="7269" spans="2:4">
      <c r="B7269" s="198"/>
      <c r="C7269" s="154"/>
      <c r="D7269" s="201"/>
    </row>
    <row r="7270" spans="2:4">
      <c r="B7270" s="198"/>
      <c r="C7270" s="154"/>
      <c r="D7270" s="201"/>
    </row>
    <row r="7271" spans="2:4">
      <c r="B7271" s="198"/>
      <c r="C7271" s="154"/>
      <c r="D7271" s="201"/>
    </row>
    <row r="7272" spans="2:4">
      <c r="B7272" s="198"/>
      <c r="C7272" s="154"/>
      <c r="D7272" s="201"/>
    </row>
    <row r="7273" spans="2:4">
      <c r="B7273" s="198"/>
      <c r="C7273" s="154"/>
      <c r="D7273" s="201"/>
    </row>
    <row r="7274" spans="2:4">
      <c r="B7274" s="198"/>
      <c r="C7274" s="154"/>
      <c r="D7274" s="201"/>
    </row>
    <row r="7275" spans="2:4">
      <c r="B7275" s="198"/>
      <c r="C7275" s="154"/>
      <c r="D7275" s="201"/>
    </row>
    <row r="7276" spans="2:4">
      <c r="B7276" s="198"/>
      <c r="C7276" s="154"/>
      <c r="D7276" s="201"/>
    </row>
    <row r="7277" spans="2:4">
      <c r="B7277" s="198"/>
      <c r="C7277" s="154"/>
      <c r="D7277" s="201"/>
    </row>
    <row r="7278" spans="2:4">
      <c r="B7278" s="198"/>
      <c r="C7278" s="154"/>
      <c r="D7278" s="201"/>
    </row>
    <row r="7279" spans="2:4">
      <c r="B7279" s="198"/>
      <c r="C7279" s="154"/>
      <c r="D7279" s="201"/>
    </row>
    <row r="7280" spans="2:4">
      <c r="B7280" s="198"/>
      <c r="C7280" s="154"/>
      <c r="D7280" s="201"/>
    </row>
    <row r="7281" spans="2:4">
      <c r="B7281" s="198"/>
      <c r="C7281" s="154"/>
      <c r="D7281" s="201"/>
    </row>
    <row r="7282" spans="2:4">
      <c r="B7282" s="198"/>
      <c r="C7282" s="154"/>
      <c r="D7282" s="201"/>
    </row>
    <row r="7283" spans="2:4">
      <c r="B7283" s="198"/>
      <c r="C7283" s="154"/>
      <c r="D7283" s="201"/>
    </row>
    <row r="7284" spans="2:4">
      <c r="B7284" s="198"/>
      <c r="C7284" s="154"/>
      <c r="D7284" s="201"/>
    </row>
    <row r="7285" spans="2:4">
      <c r="B7285" s="198"/>
      <c r="C7285" s="154"/>
      <c r="D7285" s="201"/>
    </row>
    <row r="7286" spans="2:4">
      <c r="B7286" s="198"/>
      <c r="C7286" s="154"/>
      <c r="D7286" s="201"/>
    </row>
    <row r="7287" spans="2:4">
      <c r="B7287" s="198"/>
      <c r="C7287" s="154"/>
      <c r="D7287" s="201"/>
    </row>
    <row r="7288" spans="2:4">
      <c r="B7288" s="198"/>
      <c r="C7288" s="154"/>
      <c r="D7288" s="201"/>
    </row>
    <row r="7289" spans="2:4">
      <c r="B7289" s="198"/>
      <c r="C7289" s="154"/>
      <c r="D7289" s="201"/>
    </row>
    <row r="7290" spans="2:4">
      <c r="B7290" s="198"/>
      <c r="C7290" s="154"/>
      <c r="D7290" s="201"/>
    </row>
    <row r="7291" spans="2:4">
      <c r="B7291" s="198"/>
      <c r="C7291" s="154"/>
      <c r="D7291" s="201"/>
    </row>
    <row r="7292" spans="2:4">
      <c r="B7292" s="198"/>
      <c r="C7292" s="154"/>
      <c r="D7292" s="201"/>
    </row>
    <row r="7293" spans="2:4">
      <c r="B7293" s="198"/>
      <c r="C7293" s="154"/>
      <c r="D7293" s="201"/>
    </row>
    <row r="7294" spans="2:4">
      <c r="B7294" s="198"/>
      <c r="C7294" s="154"/>
      <c r="D7294" s="201"/>
    </row>
    <row r="7295" spans="2:4">
      <c r="B7295" s="198"/>
      <c r="C7295" s="154"/>
      <c r="D7295" s="201"/>
    </row>
    <row r="7296" spans="2:4">
      <c r="B7296" s="198"/>
      <c r="C7296" s="154"/>
      <c r="D7296" s="201"/>
    </row>
    <row r="7297" spans="2:4">
      <c r="B7297" s="198"/>
      <c r="C7297" s="154"/>
      <c r="D7297" s="201"/>
    </row>
    <row r="7298" spans="2:4">
      <c r="B7298" s="198"/>
      <c r="C7298" s="154"/>
      <c r="D7298" s="201"/>
    </row>
    <row r="7299" spans="2:4">
      <c r="B7299" s="198"/>
      <c r="C7299" s="154"/>
      <c r="D7299" s="201"/>
    </row>
    <row r="7300" spans="2:4">
      <c r="B7300" s="198"/>
      <c r="C7300" s="154"/>
      <c r="D7300" s="201"/>
    </row>
    <row r="7301" spans="2:4">
      <c r="B7301" s="198"/>
      <c r="C7301" s="154"/>
      <c r="D7301" s="201"/>
    </row>
    <row r="7302" spans="2:4">
      <c r="B7302" s="198"/>
      <c r="C7302" s="154"/>
      <c r="D7302" s="201"/>
    </row>
    <row r="7303" spans="2:4">
      <c r="B7303" s="198"/>
      <c r="C7303" s="154"/>
      <c r="D7303" s="201"/>
    </row>
    <row r="7304" spans="2:4">
      <c r="B7304" s="198"/>
      <c r="C7304" s="154"/>
      <c r="D7304" s="201"/>
    </row>
    <row r="7305" spans="2:4">
      <c r="B7305" s="198"/>
      <c r="C7305" s="154"/>
      <c r="D7305" s="201"/>
    </row>
    <row r="7306" spans="2:4">
      <c r="B7306" s="198"/>
      <c r="C7306" s="154"/>
      <c r="D7306" s="201"/>
    </row>
    <row r="7307" spans="2:4">
      <c r="B7307" s="198"/>
      <c r="C7307" s="154"/>
      <c r="D7307" s="201"/>
    </row>
    <row r="7308" spans="2:4">
      <c r="B7308" s="198"/>
      <c r="C7308" s="154"/>
      <c r="D7308" s="201"/>
    </row>
    <row r="7309" spans="2:4">
      <c r="B7309" s="198"/>
      <c r="C7309" s="154"/>
      <c r="D7309" s="201"/>
    </row>
    <row r="7310" spans="2:4">
      <c r="B7310" s="198"/>
      <c r="C7310" s="154"/>
      <c r="D7310" s="201"/>
    </row>
    <row r="7311" spans="2:4">
      <c r="B7311" s="198"/>
      <c r="C7311" s="154"/>
      <c r="D7311" s="201"/>
    </row>
    <row r="7312" spans="2:4">
      <c r="B7312" s="198"/>
      <c r="C7312" s="154"/>
      <c r="D7312" s="201"/>
    </row>
    <row r="7313" spans="2:4">
      <c r="B7313" s="198"/>
      <c r="C7313" s="154"/>
      <c r="D7313" s="201"/>
    </row>
    <row r="7314" spans="2:4">
      <c r="B7314" s="198"/>
      <c r="C7314" s="154"/>
      <c r="D7314" s="201"/>
    </row>
    <row r="7315" spans="2:4">
      <c r="B7315" s="198"/>
      <c r="C7315" s="154"/>
      <c r="D7315" s="201"/>
    </row>
    <row r="7316" spans="2:4">
      <c r="B7316" s="198"/>
      <c r="C7316" s="154"/>
      <c r="D7316" s="201"/>
    </row>
    <row r="7317" spans="2:4">
      <c r="B7317" s="198"/>
      <c r="C7317" s="154"/>
      <c r="D7317" s="201"/>
    </row>
    <row r="7318" spans="2:4">
      <c r="B7318" s="198"/>
      <c r="C7318" s="154"/>
      <c r="D7318" s="201"/>
    </row>
    <row r="7319" spans="2:4">
      <c r="B7319" s="198"/>
      <c r="C7319" s="154"/>
      <c r="D7319" s="201"/>
    </row>
    <row r="7320" spans="2:4">
      <c r="B7320" s="198"/>
      <c r="C7320" s="154"/>
      <c r="D7320" s="201"/>
    </row>
    <row r="7321" spans="2:4">
      <c r="B7321" s="198"/>
      <c r="C7321" s="154"/>
      <c r="D7321" s="201"/>
    </row>
    <row r="7322" spans="2:4">
      <c r="B7322" s="198"/>
      <c r="C7322" s="154"/>
      <c r="D7322" s="201"/>
    </row>
    <row r="7323" spans="2:4">
      <c r="B7323" s="198"/>
      <c r="C7323" s="154"/>
      <c r="D7323" s="201"/>
    </row>
    <row r="7324" spans="2:4">
      <c r="B7324" s="198"/>
      <c r="C7324" s="154"/>
      <c r="D7324" s="201"/>
    </row>
    <row r="7325" spans="2:4">
      <c r="B7325" s="198"/>
      <c r="C7325" s="154"/>
      <c r="D7325" s="201"/>
    </row>
    <row r="7326" spans="2:4">
      <c r="B7326" s="198"/>
      <c r="C7326" s="154"/>
      <c r="D7326" s="201"/>
    </row>
    <row r="7327" spans="2:4">
      <c r="B7327" s="198"/>
      <c r="C7327" s="154"/>
      <c r="D7327" s="201"/>
    </row>
    <row r="7328" spans="2:4">
      <c r="B7328" s="198"/>
      <c r="C7328" s="154"/>
      <c r="D7328" s="201"/>
    </row>
    <row r="7329" spans="2:4">
      <c r="B7329" s="198"/>
      <c r="C7329" s="154"/>
      <c r="D7329" s="201"/>
    </row>
    <row r="7330" spans="2:4">
      <c r="B7330" s="198"/>
      <c r="C7330" s="154"/>
      <c r="D7330" s="201"/>
    </row>
    <row r="7331" spans="2:4">
      <c r="B7331" s="198"/>
      <c r="C7331" s="154"/>
      <c r="D7331" s="201"/>
    </row>
    <row r="7332" spans="2:4">
      <c r="B7332" s="198"/>
      <c r="C7332" s="154"/>
      <c r="D7332" s="201"/>
    </row>
    <row r="7333" spans="2:4">
      <c r="B7333" s="198"/>
      <c r="C7333" s="154"/>
      <c r="D7333" s="201"/>
    </row>
    <row r="7334" spans="2:4">
      <c r="B7334" s="198"/>
      <c r="C7334" s="154"/>
      <c r="D7334" s="201"/>
    </row>
    <row r="7335" spans="2:4">
      <c r="B7335" s="198"/>
      <c r="C7335" s="154"/>
      <c r="D7335" s="201"/>
    </row>
    <row r="7336" spans="2:4">
      <c r="B7336" s="198"/>
      <c r="C7336" s="154"/>
      <c r="D7336" s="201"/>
    </row>
    <row r="7337" spans="2:4">
      <c r="B7337" s="198"/>
      <c r="C7337" s="154"/>
      <c r="D7337" s="201"/>
    </row>
    <row r="7338" spans="2:4">
      <c r="B7338" s="198"/>
      <c r="C7338" s="154"/>
      <c r="D7338" s="201"/>
    </row>
    <row r="7339" spans="2:4">
      <c r="B7339" s="198"/>
      <c r="C7339" s="154"/>
      <c r="D7339" s="201"/>
    </row>
    <row r="7340" spans="2:4">
      <c r="B7340" s="198"/>
      <c r="C7340" s="154"/>
      <c r="D7340" s="201"/>
    </row>
    <row r="7341" spans="2:4">
      <c r="B7341" s="198"/>
      <c r="C7341" s="154"/>
      <c r="D7341" s="201"/>
    </row>
    <row r="7342" spans="2:4">
      <c r="B7342" s="198"/>
      <c r="C7342" s="154"/>
      <c r="D7342" s="201"/>
    </row>
    <row r="7343" spans="2:4">
      <c r="B7343" s="198"/>
      <c r="C7343" s="154"/>
      <c r="D7343" s="201"/>
    </row>
    <row r="7344" spans="2:4">
      <c r="B7344" s="198"/>
      <c r="C7344" s="154"/>
      <c r="D7344" s="201"/>
    </row>
    <row r="7345" spans="2:4">
      <c r="B7345" s="198"/>
      <c r="C7345" s="154"/>
      <c r="D7345" s="201"/>
    </row>
    <row r="7346" spans="2:4">
      <c r="B7346" s="198"/>
      <c r="C7346" s="154"/>
      <c r="D7346" s="201"/>
    </row>
    <row r="7347" spans="2:4">
      <c r="B7347" s="198"/>
      <c r="C7347" s="154"/>
      <c r="D7347" s="201"/>
    </row>
    <row r="7348" spans="2:4">
      <c r="B7348" s="198"/>
      <c r="C7348" s="154"/>
      <c r="D7348" s="201"/>
    </row>
    <row r="7349" spans="2:4">
      <c r="B7349" s="198"/>
      <c r="C7349" s="154"/>
      <c r="D7349" s="201"/>
    </row>
    <row r="7350" spans="2:4">
      <c r="B7350" s="198"/>
      <c r="C7350" s="154"/>
      <c r="D7350" s="201"/>
    </row>
    <row r="7351" spans="2:4">
      <c r="B7351" s="198"/>
      <c r="C7351" s="154"/>
      <c r="D7351" s="201"/>
    </row>
    <row r="7352" spans="2:4">
      <c r="B7352" s="198"/>
      <c r="C7352" s="154"/>
      <c r="D7352" s="201"/>
    </row>
    <row r="7353" spans="2:4">
      <c r="B7353" s="198"/>
      <c r="C7353" s="154"/>
      <c r="D7353" s="201"/>
    </row>
    <row r="7354" spans="2:4">
      <c r="B7354" s="198"/>
      <c r="C7354" s="154"/>
      <c r="D7354" s="201"/>
    </row>
    <row r="7355" spans="2:4">
      <c r="B7355" s="198"/>
      <c r="C7355" s="154"/>
      <c r="D7355" s="201"/>
    </row>
    <row r="7356" spans="2:4">
      <c r="B7356" s="198"/>
      <c r="C7356" s="154"/>
      <c r="D7356" s="201"/>
    </row>
    <row r="7357" spans="2:4">
      <c r="B7357" s="198"/>
      <c r="C7357" s="154"/>
      <c r="D7357" s="201"/>
    </row>
    <row r="7358" spans="2:4">
      <c r="B7358" s="198"/>
      <c r="C7358" s="154"/>
      <c r="D7358" s="201"/>
    </row>
    <row r="7359" spans="2:4">
      <c r="B7359" s="198"/>
      <c r="C7359" s="154"/>
      <c r="D7359" s="201"/>
    </row>
    <row r="7360" spans="2:4">
      <c r="B7360" s="198"/>
      <c r="C7360" s="154"/>
      <c r="D7360" s="201"/>
    </row>
    <row r="7361" spans="2:4">
      <c r="B7361" s="198"/>
      <c r="C7361" s="154"/>
      <c r="D7361" s="201"/>
    </row>
    <row r="7362" spans="2:4">
      <c r="B7362" s="198"/>
      <c r="C7362" s="154"/>
      <c r="D7362" s="201"/>
    </row>
    <row r="7363" spans="2:4">
      <c r="B7363" s="198"/>
      <c r="C7363" s="154"/>
      <c r="D7363" s="201"/>
    </row>
    <row r="7364" spans="2:4">
      <c r="B7364" s="198"/>
      <c r="C7364" s="154"/>
      <c r="D7364" s="201"/>
    </row>
    <row r="7365" spans="2:4">
      <c r="B7365" s="198"/>
      <c r="C7365" s="154"/>
      <c r="D7365" s="201"/>
    </row>
    <row r="7366" spans="2:4">
      <c r="B7366" s="198"/>
      <c r="C7366" s="154"/>
      <c r="D7366" s="201"/>
    </row>
    <row r="7367" spans="2:4">
      <c r="B7367" s="198"/>
      <c r="C7367" s="154"/>
      <c r="D7367" s="201"/>
    </row>
    <row r="7368" spans="2:4">
      <c r="B7368" s="198"/>
      <c r="C7368" s="154"/>
      <c r="D7368" s="201"/>
    </row>
    <row r="7369" spans="2:4">
      <c r="B7369" s="198"/>
      <c r="C7369" s="154"/>
      <c r="D7369" s="201"/>
    </row>
    <row r="7370" spans="2:4">
      <c r="B7370" s="198"/>
      <c r="C7370" s="154"/>
      <c r="D7370" s="201"/>
    </row>
    <row r="7371" spans="2:4">
      <c r="B7371" s="198"/>
      <c r="C7371" s="154"/>
      <c r="D7371" s="201"/>
    </row>
    <row r="7372" spans="2:4">
      <c r="B7372" s="198"/>
      <c r="C7372" s="154"/>
      <c r="D7372" s="201"/>
    </row>
    <row r="7373" spans="2:4">
      <c r="B7373" s="198"/>
      <c r="C7373" s="154"/>
      <c r="D7373" s="201"/>
    </row>
    <row r="7374" spans="2:4">
      <c r="B7374" s="198"/>
      <c r="C7374" s="154"/>
      <c r="D7374" s="201"/>
    </row>
    <row r="7375" spans="2:4">
      <c r="B7375" s="198"/>
      <c r="C7375" s="154"/>
      <c r="D7375" s="201"/>
    </row>
    <row r="7376" spans="2:4">
      <c r="B7376" s="198"/>
      <c r="C7376" s="154"/>
      <c r="D7376" s="201"/>
    </row>
    <row r="7377" spans="2:4">
      <c r="B7377" s="198"/>
      <c r="C7377" s="154"/>
      <c r="D7377" s="201"/>
    </row>
    <row r="7378" spans="2:4">
      <c r="B7378" s="198"/>
      <c r="C7378" s="154"/>
      <c r="D7378" s="201"/>
    </row>
    <row r="7379" spans="2:4">
      <c r="B7379" s="198"/>
      <c r="C7379" s="154"/>
      <c r="D7379" s="201"/>
    </row>
    <row r="7380" spans="2:4">
      <c r="B7380" s="198"/>
      <c r="C7380" s="154"/>
      <c r="D7380" s="201"/>
    </row>
    <row r="7381" spans="2:4">
      <c r="B7381" s="198"/>
      <c r="C7381" s="154"/>
      <c r="D7381" s="201"/>
    </row>
    <row r="7382" spans="2:4">
      <c r="B7382" s="198"/>
      <c r="C7382" s="154"/>
      <c r="D7382" s="201"/>
    </row>
    <row r="7383" spans="2:4">
      <c r="B7383" s="198"/>
      <c r="C7383" s="154"/>
      <c r="D7383" s="201"/>
    </row>
    <row r="7384" spans="2:4">
      <c r="B7384" s="198"/>
      <c r="C7384" s="154"/>
      <c r="D7384" s="201"/>
    </row>
    <row r="7385" spans="2:4">
      <c r="B7385" s="198"/>
      <c r="C7385" s="154"/>
      <c r="D7385" s="201"/>
    </row>
    <row r="7386" spans="2:4">
      <c r="B7386" s="198"/>
      <c r="C7386" s="154"/>
      <c r="D7386" s="201"/>
    </row>
    <row r="7387" spans="2:4">
      <c r="B7387" s="198"/>
      <c r="C7387" s="154"/>
      <c r="D7387" s="201"/>
    </row>
    <row r="7388" spans="2:4">
      <c r="B7388" s="198"/>
      <c r="C7388" s="154"/>
      <c r="D7388" s="201"/>
    </row>
    <row r="7389" spans="2:4">
      <c r="B7389" s="198"/>
      <c r="C7389" s="154"/>
      <c r="D7389" s="201"/>
    </row>
    <row r="7390" spans="2:4">
      <c r="B7390" s="198"/>
      <c r="C7390" s="154"/>
      <c r="D7390" s="201"/>
    </row>
    <row r="7391" spans="2:4">
      <c r="B7391" s="198"/>
      <c r="C7391" s="154"/>
      <c r="D7391" s="201"/>
    </row>
    <row r="7392" spans="2:4">
      <c r="B7392" s="198"/>
      <c r="C7392" s="154"/>
      <c r="D7392" s="201"/>
    </row>
    <row r="7393" spans="2:4">
      <c r="B7393" s="198"/>
      <c r="C7393" s="154"/>
      <c r="D7393" s="201"/>
    </row>
    <row r="7394" spans="2:4">
      <c r="B7394" s="198"/>
      <c r="C7394" s="154"/>
      <c r="D7394" s="201"/>
    </row>
    <row r="7395" spans="2:4">
      <c r="B7395" s="198"/>
      <c r="C7395" s="154"/>
      <c r="D7395" s="201"/>
    </row>
    <row r="7396" spans="2:4">
      <c r="B7396" s="198"/>
      <c r="C7396" s="154"/>
      <c r="D7396" s="201"/>
    </row>
    <row r="7397" spans="2:4">
      <c r="B7397" s="198"/>
      <c r="C7397" s="154"/>
      <c r="D7397" s="201"/>
    </row>
    <row r="7398" spans="2:4">
      <c r="B7398" s="198"/>
      <c r="C7398" s="154"/>
      <c r="D7398" s="201"/>
    </row>
    <row r="7399" spans="2:4">
      <c r="B7399" s="198"/>
      <c r="C7399" s="154"/>
      <c r="D7399" s="201"/>
    </row>
    <row r="7400" spans="2:4">
      <c r="B7400" s="198"/>
      <c r="C7400" s="154"/>
      <c r="D7400" s="201"/>
    </row>
    <row r="7401" spans="2:4">
      <c r="B7401" s="198"/>
      <c r="C7401" s="154"/>
      <c r="D7401" s="201"/>
    </row>
    <row r="7402" spans="2:4">
      <c r="B7402" s="198"/>
      <c r="C7402" s="154"/>
      <c r="D7402" s="201"/>
    </row>
    <row r="7403" spans="2:4">
      <c r="B7403" s="198"/>
      <c r="C7403" s="154"/>
      <c r="D7403" s="201"/>
    </row>
    <row r="7404" spans="2:4">
      <c r="B7404" s="198"/>
      <c r="C7404" s="154"/>
      <c r="D7404" s="201"/>
    </row>
    <row r="7405" spans="2:4">
      <c r="B7405" s="198"/>
      <c r="C7405" s="154"/>
      <c r="D7405" s="201"/>
    </row>
    <row r="7406" spans="2:4">
      <c r="B7406" s="198"/>
      <c r="C7406" s="154"/>
      <c r="D7406" s="201"/>
    </row>
    <row r="7407" spans="2:4">
      <c r="B7407" s="198"/>
      <c r="C7407" s="154"/>
      <c r="D7407" s="201"/>
    </row>
    <row r="7408" spans="2:4">
      <c r="B7408" s="198"/>
      <c r="C7408" s="154"/>
      <c r="D7408" s="201"/>
    </row>
    <row r="7409" spans="2:4">
      <c r="B7409" s="198"/>
      <c r="C7409" s="154"/>
      <c r="D7409" s="201"/>
    </row>
    <row r="7410" spans="2:4">
      <c r="B7410" s="198"/>
      <c r="C7410" s="154"/>
      <c r="D7410" s="201"/>
    </row>
    <row r="7411" spans="2:4">
      <c r="B7411" s="198"/>
      <c r="C7411" s="154"/>
      <c r="D7411" s="201"/>
    </row>
    <row r="7412" spans="2:4">
      <c r="B7412" s="198"/>
      <c r="C7412" s="154"/>
      <c r="D7412" s="201"/>
    </row>
    <row r="7413" spans="2:4">
      <c r="B7413" s="198"/>
      <c r="C7413" s="154"/>
      <c r="D7413" s="201"/>
    </row>
    <row r="7414" spans="2:4">
      <c r="B7414" s="198"/>
      <c r="C7414" s="154"/>
      <c r="D7414" s="201"/>
    </row>
    <row r="7415" spans="2:4">
      <c r="B7415" s="198"/>
      <c r="C7415" s="154"/>
      <c r="D7415" s="201"/>
    </row>
    <row r="7416" spans="2:4">
      <c r="B7416" s="198"/>
      <c r="C7416" s="154"/>
      <c r="D7416" s="201"/>
    </row>
    <row r="7417" spans="2:4">
      <c r="B7417" s="198"/>
      <c r="C7417" s="154"/>
      <c r="D7417" s="201"/>
    </row>
    <row r="7418" spans="2:4">
      <c r="B7418" s="198"/>
      <c r="C7418" s="154"/>
      <c r="D7418" s="201"/>
    </row>
    <row r="7419" spans="2:4">
      <c r="B7419" s="198"/>
      <c r="C7419" s="154"/>
      <c r="D7419" s="201"/>
    </row>
    <row r="7420" spans="2:4">
      <c r="B7420" s="198"/>
      <c r="C7420" s="154"/>
      <c r="D7420" s="201"/>
    </row>
    <row r="7421" spans="2:4">
      <c r="B7421" s="198"/>
      <c r="C7421" s="154"/>
      <c r="D7421" s="201"/>
    </row>
    <row r="7422" spans="2:4">
      <c r="B7422" s="198"/>
      <c r="C7422" s="154"/>
      <c r="D7422" s="201"/>
    </row>
    <row r="7423" spans="2:4">
      <c r="B7423" s="198"/>
      <c r="C7423" s="154"/>
      <c r="D7423" s="201"/>
    </row>
    <row r="7424" spans="2:4">
      <c r="B7424" s="198"/>
      <c r="C7424" s="154"/>
      <c r="D7424" s="201"/>
    </row>
    <row r="7425" spans="2:4">
      <c r="B7425" s="198"/>
      <c r="C7425" s="154"/>
      <c r="D7425" s="201"/>
    </row>
    <row r="7426" spans="2:4">
      <c r="B7426" s="198"/>
      <c r="C7426" s="154"/>
      <c r="D7426" s="201"/>
    </row>
    <row r="7427" spans="2:4">
      <c r="B7427" s="198"/>
      <c r="C7427" s="154"/>
      <c r="D7427" s="201"/>
    </row>
    <row r="7428" spans="2:4">
      <c r="B7428" s="198"/>
      <c r="C7428" s="154"/>
      <c r="D7428" s="201"/>
    </row>
    <row r="7429" spans="2:4">
      <c r="B7429" s="198"/>
      <c r="C7429" s="154"/>
      <c r="D7429" s="201"/>
    </row>
    <row r="7430" spans="2:4">
      <c r="B7430" s="198"/>
      <c r="C7430" s="154"/>
      <c r="D7430" s="201"/>
    </row>
    <row r="7431" spans="2:4">
      <c r="B7431" s="198"/>
      <c r="C7431" s="154"/>
      <c r="D7431" s="201"/>
    </row>
    <row r="7432" spans="2:4">
      <c r="B7432" s="198"/>
      <c r="C7432" s="154"/>
      <c r="D7432" s="201"/>
    </row>
    <row r="7433" spans="2:4">
      <c r="B7433" s="198"/>
      <c r="C7433" s="154"/>
      <c r="D7433" s="201"/>
    </row>
    <row r="7434" spans="2:4">
      <c r="B7434" s="198"/>
      <c r="C7434" s="154"/>
      <c r="D7434" s="201"/>
    </row>
    <row r="7435" spans="2:4">
      <c r="B7435" s="198"/>
      <c r="C7435" s="154"/>
      <c r="D7435" s="201"/>
    </row>
    <row r="7436" spans="2:4">
      <c r="B7436" s="198"/>
      <c r="C7436" s="154"/>
      <c r="D7436" s="201"/>
    </row>
    <row r="7437" spans="2:4">
      <c r="B7437" s="198"/>
      <c r="C7437" s="154"/>
      <c r="D7437" s="201"/>
    </row>
    <row r="7438" spans="2:4">
      <c r="B7438" s="198"/>
      <c r="C7438" s="154"/>
      <c r="D7438" s="201"/>
    </row>
    <row r="7439" spans="2:4">
      <c r="B7439" s="198"/>
      <c r="C7439" s="154"/>
      <c r="D7439" s="201"/>
    </row>
    <row r="7440" spans="2:4">
      <c r="B7440" s="198"/>
      <c r="C7440" s="154"/>
      <c r="D7440" s="201"/>
    </row>
    <row r="7441" spans="2:4">
      <c r="B7441" s="198"/>
      <c r="C7441" s="154"/>
      <c r="D7441" s="201"/>
    </row>
    <row r="7442" spans="2:4">
      <c r="B7442" s="198"/>
      <c r="C7442" s="154"/>
      <c r="D7442" s="201"/>
    </row>
    <row r="7443" spans="2:4">
      <c r="B7443" s="198"/>
      <c r="C7443" s="154"/>
      <c r="D7443" s="201"/>
    </row>
    <row r="7444" spans="2:4">
      <c r="B7444" s="198"/>
      <c r="C7444" s="154"/>
      <c r="D7444" s="201"/>
    </row>
    <row r="7445" spans="2:4">
      <c r="B7445" s="198"/>
      <c r="C7445" s="154"/>
      <c r="D7445" s="201"/>
    </row>
    <row r="7446" spans="2:4">
      <c r="B7446" s="198"/>
      <c r="C7446" s="154"/>
      <c r="D7446" s="201"/>
    </row>
    <row r="7447" spans="2:4">
      <c r="B7447" s="198"/>
      <c r="C7447" s="154"/>
      <c r="D7447" s="201"/>
    </row>
    <row r="7448" spans="2:4">
      <c r="B7448" s="198"/>
      <c r="C7448" s="154"/>
      <c r="D7448" s="201"/>
    </row>
    <row r="7449" spans="2:4">
      <c r="B7449" s="198"/>
      <c r="C7449" s="154"/>
      <c r="D7449" s="201"/>
    </row>
    <row r="7450" spans="2:4">
      <c r="B7450" s="198"/>
      <c r="C7450" s="154"/>
      <c r="D7450" s="201"/>
    </row>
    <row r="7451" spans="2:4">
      <c r="B7451" s="198"/>
      <c r="C7451" s="154"/>
      <c r="D7451" s="201"/>
    </row>
    <row r="7452" spans="2:4">
      <c r="B7452" s="198"/>
      <c r="C7452" s="154"/>
      <c r="D7452" s="201"/>
    </row>
    <row r="7453" spans="2:4">
      <c r="B7453" s="198"/>
      <c r="C7453" s="154"/>
      <c r="D7453" s="201"/>
    </row>
    <row r="7454" spans="2:4">
      <c r="B7454" s="198"/>
      <c r="C7454" s="154"/>
      <c r="D7454" s="201"/>
    </row>
    <row r="7455" spans="2:4">
      <c r="B7455" s="198"/>
      <c r="C7455" s="154"/>
      <c r="D7455" s="201"/>
    </row>
    <row r="7456" spans="2:4">
      <c r="B7456" s="198"/>
      <c r="C7456" s="154"/>
      <c r="D7456" s="201"/>
    </row>
    <row r="7457" spans="2:4">
      <c r="B7457" s="198"/>
      <c r="C7457" s="154"/>
      <c r="D7457" s="201"/>
    </row>
    <row r="7458" spans="2:4">
      <c r="B7458" s="198"/>
      <c r="C7458" s="154"/>
      <c r="D7458" s="201"/>
    </row>
    <row r="7459" spans="2:4">
      <c r="B7459" s="198"/>
      <c r="C7459" s="154"/>
      <c r="D7459" s="201"/>
    </row>
    <row r="7460" spans="2:4">
      <c r="B7460" s="198"/>
      <c r="C7460" s="154"/>
      <c r="D7460" s="201"/>
    </row>
    <row r="7461" spans="2:4">
      <c r="B7461" s="198"/>
      <c r="C7461" s="154"/>
      <c r="D7461" s="201"/>
    </row>
    <row r="7462" spans="2:4">
      <c r="B7462" s="198"/>
      <c r="C7462" s="154"/>
      <c r="D7462" s="201"/>
    </row>
    <row r="7463" spans="2:4">
      <c r="B7463" s="198"/>
      <c r="C7463" s="154"/>
      <c r="D7463" s="201"/>
    </row>
    <row r="7464" spans="2:4">
      <c r="B7464" s="198"/>
      <c r="C7464" s="154"/>
      <c r="D7464" s="201"/>
    </row>
    <row r="7465" spans="2:4">
      <c r="B7465" s="198"/>
      <c r="C7465" s="154"/>
      <c r="D7465" s="201"/>
    </row>
    <row r="7466" spans="2:4">
      <c r="B7466" s="198"/>
      <c r="C7466" s="154"/>
      <c r="D7466" s="201"/>
    </row>
    <row r="7467" spans="2:4">
      <c r="B7467" s="198"/>
      <c r="C7467" s="154"/>
      <c r="D7467" s="201"/>
    </row>
    <row r="7468" spans="2:4">
      <c r="B7468" s="198"/>
      <c r="C7468" s="154"/>
      <c r="D7468" s="201"/>
    </row>
    <row r="7469" spans="2:4">
      <c r="B7469" s="198"/>
      <c r="C7469" s="154"/>
      <c r="D7469" s="201"/>
    </row>
    <row r="7470" spans="2:4">
      <c r="B7470" s="198"/>
      <c r="C7470" s="154"/>
      <c r="D7470" s="201"/>
    </row>
    <row r="7471" spans="2:4">
      <c r="B7471" s="198"/>
      <c r="C7471" s="154"/>
      <c r="D7471" s="201"/>
    </row>
    <row r="7472" spans="2:4">
      <c r="B7472" s="198"/>
      <c r="C7472" s="154"/>
      <c r="D7472" s="201"/>
    </row>
    <row r="7473" spans="2:4">
      <c r="B7473" s="198"/>
      <c r="C7473" s="154"/>
      <c r="D7473" s="201"/>
    </row>
    <row r="7474" spans="2:4">
      <c r="B7474" s="198"/>
      <c r="C7474" s="154"/>
      <c r="D7474" s="201"/>
    </row>
    <row r="7475" spans="2:4">
      <c r="B7475" s="198"/>
      <c r="C7475" s="154"/>
      <c r="D7475" s="201"/>
    </row>
    <row r="7476" spans="2:4">
      <c r="B7476" s="198"/>
      <c r="C7476" s="154"/>
      <c r="D7476" s="201"/>
    </row>
    <row r="7477" spans="2:4">
      <c r="B7477" s="198"/>
      <c r="C7477" s="154"/>
      <c r="D7477" s="201"/>
    </row>
    <row r="7478" spans="2:4">
      <c r="B7478" s="198"/>
      <c r="C7478" s="154"/>
      <c r="D7478" s="201"/>
    </row>
    <row r="7479" spans="2:4">
      <c r="B7479" s="198"/>
      <c r="C7479" s="154"/>
      <c r="D7479" s="201"/>
    </row>
    <row r="7480" spans="2:4">
      <c r="B7480" s="198"/>
      <c r="C7480" s="154"/>
      <c r="D7480" s="201"/>
    </row>
    <row r="7481" spans="2:4">
      <c r="B7481" s="198"/>
      <c r="C7481" s="154"/>
      <c r="D7481" s="201"/>
    </row>
    <row r="7482" spans="2:4">
      <c r="B7482" s="198"/>
      <c r="C7482" s="154"/>
      <c r="D7482" s="201"/>
    </row>
    <row r="7483" spans="2:4">
      <c r="B7483" s="198"/>
      <c r="C7483" s="154"/>
      <c r="D7483" s="201"/>
    </row>
    <row r="7484" spans="2:4">
      <c r="B7484" s="198"/>
      <c r="C7484" s="154"/>
      <c r="D7484" s="201"/>
    </row>
    <row r="7485" spans="2:4">
      <c r="B7485" s="198"/>
      <c r="C7485" s="154"/>
      <c r="D7485" s="201"/>
    </row>
    <row r="7486" spans="2:4">
      <c r="B7486" s="198"/>
      <c r="C7486" s="154"/>
      <c r="D7486" s="201"/>
    </row>
    <row r="7487" spans="2:4">
      <c r="B7487" s="198"/>
      <c r="C7487" s="154"/>
      <c r="D7487" s="201"/>
    </row>
    <row r="7488" spans="2:4">
      <c r="B7488" s="198"/>
      <c r="C7488" s="154"/>
      <c r="D7488" s="201"/>
    </row>
    <row r="7489" spans="2:4">
      <c r="B7489" s="198"/>
      <c r="C7489" s="154"/>
      <c r="D7489" s="201"/>
    </row>
    <row r="7490" spans="2:4">
      <c r="B7490" s="198"/>
      <c r="C7490" s="154"/>
      <c r="D7490" s="201"/>
    </row>
    <row r="7491" spans="2:4">
      <c r="B7491" s="198"/>
      <c r="C7491" s="154"/>
      <c r="D7491" s="201"/>
    </row>
    <row r="7492" spans="2:4">
      <c r="B7492" s="198"/>
      <c r="C7492" s="154"/>
      <c r="D7492" s="201"/>
    </row>
    <row r="7493" spans="2:4">
      <c r="B7493" s="198"/>
      <c r="C7493" s="154"/>
      <c r="D7493" s="201"/>
    </row>
    <row r="7494" spans="2:4">
      <c r="B7494" s="198"/>
      <c r="C7494" s="154"/>
      <c r="D7494" s="201"/>
    </row>
    <row r="7495" spans="2:4">
      <c r="B7495" s="198"/>
      <c r="C7495" s="154"/>
      <c r="D7495" s="201"/>
    </row>
    <row r="7496" spans="2:4">
      <c r="B7496" s="198"/>
      <c r="C7496" s="154"/>
      <c r="D7496" s="201"/>
    </row>
    <row r="7497" spans="2:4">
      <c r="B7497" s="198"/>
      <c r="C7497" s="154"/>
      <c r="D7497" s="201"/>
    </row>
    <row r="7498" spans="2:4">
      <c r="B7498" s="198"/>
      <c r="C7498" s="154"/>
      <c r="D7498" s="201"/>
    </row>
    <row r="7499" spans="2:4">
      <c r="B7499" s="198"/>
      <c r="C7499" s="154"/>
      <c r="D7499" s="201"/>
    </row>
    <row r="7500" spans="2:4">
      <c r="B7500" s="198"/>
      <c r="C7500" s="154"/>
      <c r="D7500" s="201"/>
    </row>
    <row r="7501" spans="2:4">
      <c r="B7501" s="198"/>
      <c r="C7501" s="154"/>
      <c r="D7501" s="201"/>
    </row>
    <row r="7502" spans="2:4">
      <c r="B7502" s="198"/>
      <c r="C7502" s="154"/>
      <c r="D7502" s="201"/>
    </row>
    <row r="7503" spans="2:4">
      <c r="B7503" s="198"/>
      <c r="C7503" s="154"/>
      <c r="D7503" s="201"/>
    </row>
    <row r="7504" spans="2:4">
      <c r="B7504" s="198"/>
      <c r="C7504" s="154"/>
      <c r="D7504" s="201"/>
    </row>
    <row r="7505" spans="2:4">
      <c r="B7505" s="198"/>
      <c r="C7505" s="154"/>
      <c r="D7505" s="201"/>
    </row>
    <row r="7506" spans="2:4">
      <c r="B7506" s="198"/>
      <c r="C7506" s="154"/>
      <c r="D7506" s="201"/>
    </row>
    <row r="7507" spans="2:4">
      <c r="B7507" s="198"/>
      <c r="C7507" s="154"/>
      <c r="D7507" s="201"/>
    </row>
    <row r="7508" spans="2:4">
      <c r="B7508" s="198"/>
      <c r="C7508" s="154"/>
      <c r="D7508" s="201"/>
    </row>
    <row r="7509" spans="2:4">
      <c r="B7509" s="198"/>
      <c r="C7509" s="154"/>
      <c r="D7509" s="201"/>
    </row>
    <row r="7510" spans="2:4">
      <c r="B7510" s="198"/>
      <c r="C7510" s="154"/>
      <c r="D7510" s="201"/>
    </row>
    <row r="7511" spans="2:4">
      <c r="B7511" s="198"/>
      <c r="C7511" s="154"/>
      <c r="D7511" s="201"/>
    </row>
    <row r="7512" spans="2:4">
      <c r="B7512" s="198"/>
      <c r="C7512" s="154"/>
      <c r="D7512" s="201"/>
    </row>
    <row r="7513" spans="2:4">
      <c r="B7513" s="198"/>
      <c r="C7513" s="154"/>
      <c r="D7513" s="201"/>
    </row>
    <row r="7514" spans="2:4">
      <c r="B7514" s="198"/>
      <c r="C7514" s="154"/>
      <c r="D7514" s="201"/>
    </row>
    <row r="7515" spans="2:4">
      <c r="B7515" s="198"/>
      <c r="C7515" s="154"/>
      <c r="D7515" s="201"/>
    </row>
    <row r="7516" spans="2:4">
      <c r="B7516" s="198"/>
      <c r="C7516" s="154"/>
      <c r="D7516" s="201"/>
    </row>
    <row r="7517" spans="2:4">
      <c r="B7517" s="198"/>
      <c r="C7517" s="154"/>
      <c r="D7517" s="201"/>
    </row>
    <row r="7518" spans="2:4">
      <c r="B7518" s="198"/>
      <c r="C7518" s="154"/>
      <c r="D7518" s="201"/>
    </row>
    <row r="7519" spans="2:4">
      <c r="B7519" s="198"/>
      <c r="C7519" s="154"/>
      <c r="D7519" s="201"/>
    </row>
    <row r="7520" spans="2:4">
      <c r="B7520" s="198"/>
      <c r="C7520" s="154"/>
      <c r="D7520" s="201"/>
    </row>
    <row r="7521" spans="2:4">
      <c r="B7521" s="198"/>
      <c r="C7521" s="154"/>
      <c r="D7521" s="201"/>
    </row>
    <row r="7522" spans="2:4">
      <c r="B7522" s="198"/>
      <c r="C7522" s="154"/>
      <c r="D7522" s="201"/>
    </row>
    <row r="7523" spans="2:4">
      <c r="B7523" s="198"/>
      <c r="C7523" s="154"/>
      <c r="D7523" s="201"/>
    </row>
    <row r="7524" spans="2:4">
      <c r="B7524" s="198"/>
      <c r="C7524" s="154"/>
      <c r="D7524" s="201"/>
    </row>
    <row r="7525" spans="2:4">
      <c r="B7525" s="198"/>
      <c r="C7525" s="154"/>
      <c r="D7525" s="201"/>
    </row>
    <row r="7526" spans="2:4">
      <c r="B7526" s="198"/>
      <c r="C7526" s="154"/>
      <c r="D7526" s="201"/>
    </row>
    <row r="7527" spans="2:4">
      <c r="B7527" s="198"/>
      <c r="C7527" s="154"/>
      <c r="D7527" s="201"/>
    </row>
    <row r="7528" spans="2:4">
      <c r="B7528" s="198"/>
      <c r="C7528" s="154"/>
      <c r="D7528" s="201"/>
    </row>
    <row r="7529" spans="2:4">
      <c r="B7529" s="198"/>
      <c r="C7529" s="154"/>
      <c r="D7529" s="201"/>
    </row>
    <row r="7530" spans="2:4">
      <c r="B7530" s="198"/>
      <c r="C7530" s="154"/>
      <c r="D7530" s="201"/>
    </row>
    <row r="7531" spans="2:4">
      <c r="B7531" s="198"/>
      <c r="C7531" s="154"/>
      <c r="D7531" s="201"/>
    </row>
    <row r="7532" spans="2:4">
      <c r="B7532" s="198"/>
      <c r="C7532" s="154"/>
      <c r="D7532" s="201"/>
    </row>
    <row r="7533" spans="2:4">
      <c r="B7533" s="198"/>
      <c r="C7533" s="154"/>
      <c r="D7533" s="201"/>
    </row>
    <row r="7534" spans="2:4">
      <c r="B7534" s="198"/>
      <c r="C7534" s="154"/>
      <c r="D7534" s="201"/>
    </row>
    <row r="7535" spans="2:4">
      <c r="B7535" s="198"/>
      <c r="C7535" s="154"/>
      <c r="D7535" s="201"/>
    </row>
    <row r="7536" spans="2:4">
      <c r="B7536" s="198"/>
      <c r="C7536" s="154"/>
      <c r="D7536" s="201"/>
    </row>
    <row r="7537" spans="2:4">
      <c r="B7537" s="198"/>
      <c r="C7537" s="154"/>
      <c r="D7537" s="201"/>
    </row>
    <row r="7538" spans="2:4">
      <c r="B7538" s="198"/>
      <c r="C7538" s="154"/>
      <c r="D7538" s="201"/>
    </row>
    <row r="7539" spans="2:4">
      <c r="B7539" s="198"/>
      <c r="C7539" s="154"/>
      <c r="D7539" s="201"/>
    </row>
    <row r="7540" spans="2:4">
      <c r="B7540" s="198"/>
      <c r="C7540" s="154"/>
      <c r="D7540" s="201"/>
    </row>
    <row r="7541" spans="2:4">
      <c r="B7541" s="198"/>
      <c r="C7541" s="154"/>
      <c r="D7541" s="201"/>
    </row>
    <row r="7542" spans="2:4">
      <c r="B7542" s="198"/>
      <c r="C7542" s="154"/>
      <c r="D7542" s="201"/>
    </row>
    <row r="7543" spans="2:4">
      <c r="B7543" s="198"/>
      <c r="C7543" s="154"/>
      <c r="D7543" s="201"/>
    </row>
    <row r="7544" spans="2:4">
      <c r="B7544" s="198"/>
      <c r="C7544" s="154"/>
      <c r="D7544" s="201"/>
    </row>
    <row r="7545" spans="2:4">
      <c r="B7545" s="198"/>
      <c r="C7545" s="154"/>
      <c r="D7545" s="201"/>
    </row>
    <row r="7546" spans="2:4">
      <c r="B7546" s="198"/>
      <c r="C7546" s="154"/>
      <c r="D7546" s="201"/>
    </row>
    <row r="7547" spans="2:4">
      <c r="B7547" s="198"/>
      <c r="C7547" s="154"/>
      <c r="D7547" s="201"/>
    </row>
    <row r="7548" spans="2:4">
      <c r="B7548" s="198"/>
      <c r="C7548" s="154"/>
      <c r="D7548" s="201"/>
    </row>
    <row r="7549" spans="2:4">
      <c r="B7549" s="198"/>
      <c r="C7549" s="154"/>
      <c r="D7549" s="201"/>
    </row>
    <row r="7550" spans="2:4">
      <c r="B7550" s="198"/>
      <c r="C7550" s="154"/>
      <c r="D7550" s="201"/>
    </row>
    <row r="7551" spans="2:4">
      <c r="B7551" s="198"/>
      <c r="C7551" s="154"/>
      <c r="D7551" s="201"/>
    </row>
    <row r="7552" spans="2:4">
      <c r="B7552" s="198"/>
      <c r="C7552" s="154"/>
      <c r="D7552" s="201"/>
    </row>
    <row r="7553" spans="2:4">
      <c r="B7553" s="198"/>
      <c r="C7553" s="154"/>
      <c r="D7553" s="201"/>
    </row>
    <row r="7554" spans="2:4">
      <c r="B7554" s="198"/>
      <c r="C7554" s="154"/>
      <c r="D7554" s="201"/>
    </row>
    <row r="7555" spans="2:4">
      <c r="B7555" s="198"/>
      <c r="C7555" s="154"/>
      <c r="D7555" s="201"/>
    </row>
    <row r="7556" spans="2:4">
      <c r="B7556" s="198"/>
      <c r="C7556" s="154"/>
      <c r="D7556" s="201"/>
    </row>
    <row r="7557" spans="2:4">
      <c r="B7557" s="198"/>
      <c r="C7557" s="154"/>
      <c r="D7557" s="201"/>
    </row>
    <row r="7558" spans="2:4">
      <c r="B7558" s="198"/>
      <c r="C7558" s="154"/>
      <c r="D7558" s="201"/>
    </row>
    <row r="7559" spans="2:4">
      <c r="B7559" s="198"/>
      <c r="C7559" s="154"/>
      <c r="D7559" s="201"/>
    </row>
    <row r="7560" spans="2:4">
      <c r="B7560" s="198"/>
      <c r="C7560" s="154"/>
      <c r="D7560" s="201"/>
    </row>
    <row r="7561" spans="2:4">
      <c r="B7561" s="198"/>
      <c r="C7561" s="154"/>
      <c r="D7561" s="201"/>
    </row>
    <row r="7562" spans="2:4">
      <c r="B7562" s="198"/>
      <c r="C7562" s="154"/>
      <c r="D7562" s="201"/>
    </row>
    <row r="7563" spans="2:4">
      <c r="B7563" s="198"/>
      <c r="C7563" s="154"/>
      <c r="D7563" s="201"/>
    </row>
    <row r="7564" spans="2:4">
      <c r="B7564" s="198"/>
      <c r="C7564" s="154"/>
      <c r="D7564" s="201"/>
    </row>
    <row r="7565" spans="2:4">
      <c r="B7565" s="198"/>
      <c r="C7565" s="154"/>
      <c r="D7565" s="201"/>
    </row>
    <row r="7566" spans="2:4">
      <c r="B7566" s="198"/>
      <c r="C7566" s="154"/>
      <c r="D7566" s="201"/>
    </row>
    <row r="7567" spans="2:4">
      <c r="B7567" s="198"/>
      <c r="C7567" s="154"/>
      <c r="D7567" s="201"/>
    </row>
    <row r="7568" spans="2:4">
      <c r="B7568" s="198"/>
      <c r="C7568" s="154"/>
      <c r="D7568" s="201"/>
    </row>
    <row r="7569" spans="2:4">
      <c r="B7569" s="198"/>
      <c r="C7569" s="154"/>
      <c r="D7569" s="201"/>
    </row>
    <row r="7570" spans="2:4">
      <c r="B7570" s="198"/>
      <c r="C7570" s="154"/>
      <c r="D7570" s="201"/>
    </row>
    <row r="7571" spans="2:4">
      <c r="B7571" s="198"/>
      <c r="C7571" s="154"/>
      <c r="D7571" s="201"/>
    </row>
    <row r="7572" spans="2:4">
      <c r="B7572" s="198"/>
      <c r="C7572" s="154"/>
      <c r="D7572" s="201"/>
    </row>
    <row r="7573" spans="2:4">
      <c r="B7573" s="198"/>
      <c r="C7573" s="154"/>
      <c r="D7573" s="201"/>
    </row>
    <row r="7574" spans="2:4">
      <c r="B7574" s="198"/>
      <c r="C7574" s="154"/>
      <c r="D7574" s="201"/>
    </row>
    <row r="7575" spans="2:4">
      <c r="B7575" s="198"/>
      <c r="C7575" s="154"/>
      <c r="D7575" s="201"/>
    </row>
    <row r="7576" spans="2:4">
      <c r="B7576" s="198"/>
      <c r="C7576" s="154"/>
      <c r="D7576" s="201"/>
    </row>
    <row r="7577" spans="2:4">
      <c r="B7577" s="198"/>
      <c r="C7577" s="154"/>
      <c r="D7577" s="201"/>
    </row>
    <row r="7578" spans="2:4">
      <c r="B7578" s="198"/>
      <c r="C7578" s="154"/>
      <c r="D7578" s="201"/>
    </row>
    <row r="7579" spans="2:4">
      <c r="B7579" s="198"/>
      <c r="C7579" s="154"/>
      <c r="D7579" s="201"/>
    </row>
    <row r="7580" spans="2:4">
      <c r="B7580" s="198"/>
      <c r="C7580" s="154"/>
      <c r="D7580" s="201"/>
    </row>
    <row r="7581" spans="2:4">
      <c r="B7581" s="198"/>
      <c r="C7581" s="154"/>
      <c r="D7581" s="201"/>
    </row>
    <row r="7582" spans="2:4">
      <c r="B7582" s="198"/>
      <c r="C7582" s="154"/>
      <c r="D7582" s="201"/>
    </row>
    <row r="7583" spans="2:4">
      <c r="B7583" s="198"/>
      <c r="C7583" s="154"/>
      <c r="D7583" s="201"/>
    </row>
    <row r="7584" spans="2:4">
      <c r="B7584" s="198"/>
      <c r="C7584" s="154"/>
      <c r="D7584" s="201"/>
    </row>
    <row r="7585" spans="2:4">
      <c r="B7585" s="198"/>
      <c r="C7585" s="154"/>
      <c r="D7585" s="201"/>
    </row>
    <row r="7586" spans="2:4">
      <c r="B7586" s="198"/>
      <c r="C7586" s="154"/>
      <c r="D7586" s="201"/>
    </row>
    <row r="7587" spans="2:4">
      <c r="B7587" s="198"/>
      <c r="C7587" s="154"/>
      <c r="D7587" s="201"/>
    </row>
    <row r="7588" spans="2:4">
      <c r="B7588" s="198"/>
      <c r="C7588" s="154"/>
      <c r="D7588" s="201"/>
    </row>
    <row r="7589" spans="2:4">
      <c r="B7589" s="198"/>
      <c r="C7589" s="154"/>
      <c r="D7589" s="201"/>
    </row>
    <row r="7590" spans="2:4">
      <c r="B7590" s="198"/>
      <c r="C7590" s="154"/>
      <c r="D7590" s="201"/>
    </row>
    <row r="7591" spans="2:4">
      <c r="B7591" s="198"/>
      <c r="C7591" s="154"/>
      <c r="D7591" s="201"/>
    </row>
    <row r="7592" spans="2:4">
      <c r="B7592" s="198"/>
      <c r="C7592" s="154"/>
      <c r="D7592" s="201"/>
    </row>
    <row r="7593" spans="2:4">
      <c r="B7593" s="198"/>
      <c r="C7593" s="154"/>
      <c r="D7593" s="201"/>
    </row>
    <row r="7594" spans="2:4">
      <c r="B7594" s="198"/>
      <c r="C7594" s="154"/>
      <c r="D7594" s="201"/>
    </row>
    <row r="7595" spans="2:4">
      <c r="B7595" s="198"/>
      <c r="C7595" s="154"/>
      <c r="D7595" s="201"/>
    </row>
    <row r="7596" spans="2:4">
      <c r="B7596" s="198"/>
      <c r="C7596" s="154"/>
      <c r="D7596" s="201"/>
    </row>
    <row r="7597" spans="2:4">
      <c r="B7597" s="198"/>
      <c r="C7597" s="154"/>
      <c r="D7597" s="201"/>
    </row>
    <row r="7598" spans="2:4">
      <c r="B7598" s="198"/>
      <c r="C7598" s="154"/>
      <c r="D7598" s="201"/>
    </row>
    <row r="7599" spans="2:4">
      <c r="B7599" s="198"/>
      <c r="C7599" s="154"/>
      <c r="D7599" s="201"/>
    </row>
    <row r="7600" spans="2:4">
      <c r="B7600" s="198"/>
      <c r="C7600" s="154"/>
      <c r="D7600" s="201"/>
    </row>
    <row r="7601" spans="2:4">
      <c r="B7601" s="198"/>
      <c r="C7601" s="154"/>
      <c r="D7601" s="201"/>
    </row>
    <row r="7602" spans="2:4">
      <c r="B7602" s="198"/>
      <c r="C7602" s="154"/>
      <c r="D7602" s="201"/>
    </row>
    <row r="7603" spans="2:4">
      <c r="B7603" s="198"/>
      <c r="C7603" s="154"/>
      <c r="D7603" s="201"/>
    </row>
    <row r="7604" spans="2:4">
      <c r="B7604" s="198"/>
      <c r="C7604" s="154"/>
      <c r="D7604" s="201"/>
    </row>
    <row r="7605" spans="2:4">
      <c r="B7605" s="198"/>
      <c r="C7605" s="154"/>
      <c r="D7605" s="201"/>
    </row>
    <row r="7606" spans="2:4">
      <c r="B7606" s="198"/>
      <c r="C7606" s="154"/>
      <c r="D7606" s="201"/>
    </row>
    <row r="7607" spans="2:4">
      <c r="B7607" s="198"/>
      <c r="C7607" s="154"/>
      <c r="D7607" s="201"/>
    </row>
    <row r="7608" spans="2:4">
      <c r="B7608" s="198"/>
      <c r="C7608" s="154"/>
      <c r="D7608" s="201"/>
    </row>
    <row r="7609" spans="2:4">
      <c r="B7609" s="198"/>
      <c r="C7609" s="154"/>
      <c r="D7609" s="201"/>
    </row>
    <row r="7610" spans="2:4">
      <c r="B7610" s="198"/>
      <c r="C7610" s="154"/>
      <c r="D7610" s="201"/>
    </row>
    <row r="7611" spans="2:4">
      <c r="B7611" s="198"/>
      <c r="C7611" s="154"/>
      <c r="D7611" s="201"/>
    </row>
    <row r="7612" spans="2:4">
      <c r="B7612" s="198"/>
      <c r="C7612" s="154"/>
      <c r="D7612" s="201"/>
    </row>
    <row r="7613" spans="2:4">
      <c r="B7613" s="198"/>
      <c r="C7613" s="154"/>
      <c r="D7613" s="201"/>
    </row>
    <row r="7614" spans="2:4">
      <c r="B7614" s="198"/>
      <c r="C7614" s="154"/>
      <c r="D7614" s="201"/>
    </row>
    <row r="7615" spans="2:4">
      <c r="B7615" s="198"/>
      <c r="C7615" s="154"/>
      <c r="D7615" s="201"/>
    </row>
    <row r="7616" spans="2:4">
      <c r="B7616" s="198"/>
      <c r="C7616" s="154"/>
      <c r="D7616" s="201"/>
    </row>
    <row r="7617" spans="2:4">
      <c r="B7617" s="198"/>
      <c r="C7617" s="154"/>
      <c r="D7617" s="201"/>
    </row>
    <row r="7618" spans="2:4">
      <c r="B7618" s="198"/>
      <c r="C7618" s="154"/>
      <c r="D7618" s="201"/>
    </row>
    <row r="7619" spans="2:4">
      <c r="B7619" s="198"/>
      <c r="C7619" s="154"/>
      <c r="D7619" s="201"/>
    </row>
    <row r="7620" spans="2:4">
      <c r="B7620" s="198"/>
      <c r="C7620" s="154"/>
      <c r="D7620" s="201"/>
    </row>
    <row r="7621" spans="2:4">
      <c r="B7621" s="198"/>
      <c r="C7621" s="154"/>
      <c r="D7621" s="201"/>
    </row>
    <row r="7622" spans="2:4">
      <c r="B7622" s="198"/>
      <c r="C7622" s="154"/>
      <c r="D7622" s="201"/>
    </row>
    <row r="7623" spans="2:4">
      <c r="B7623" s="198"/>
      <c r="C7623" s="154"/>
      <c r="D7623" s="201"/>
    </row>
    <row r="7624" spans="2:4">
      <c r="B7624" s="198"/>
      <c r="C7624" s="154"/>
      <c r="D7624" s="201"/>
    </row>
    <row r="7625" spans="2:4">
      <c r="B7625" s="198"/>
      <c r="C7625" s="154"/>
      <c r="D7625" s="201"/>
    </row>
    <row r="7626" spans="2:4">
      <c r="B7626" s="198"/>
      <c r="C7626" s="154"/>
      <c r="D7626" s="201"/>
    </row>
    <row r="7627" spans="2:4">
      <c r="B7627" s="198"/>
      <c r="C7627" s="154"/>
      <c r="D7627" s="201"/>
    </row>
    <row r="7628" spans="2:4">
      <c r="B7628" s="198"/>
      <c r="C7628" s="154"/>
      <c r="D7628" s="201"/>
    </row>
    <row r="7629" spans="2:4">
      <c r="B7629" s="198"/>
      <c r="C7629" s="154"/>
      <c r="D7629" s="201"/>
    </row>
    <row r="7630" spans="2:4">
      <c r="B7630" s="198"/>
      <c r="C7630" s="154"/>
      <c r="D7630" s="201"/>
    </row>
    <row r="7631" spans="2:4">
      <c r="B7631" s="198"/>
      <c r="C7631" s="154"/>
      <c r="D7631" s="201"/>
    </row>
    <row r="7632" spans="2:4">
      <c r="B7632" s="198"/>
      <c r="C7632" s="154"/>
      <c r="D7632" s="201"/>
    </row>
    <row r="7633" spans="2:4">
      <c r="B7633" s="198"/>
      <c r="C7633" s="154"/>
      <c r="D7633" s="201"/>
    </row>
    <row r="7634" spans="2:4">
      <c r="B7634" s="198"/>
      <c r="C7634" s="154"/>
      <c r="D7634" s="201"/>
    </row>
    <row r="7635" spans="2:4">
      <c r="B7635" s="198"/>
      <c r="C7635" s="154"/>
      <c r="D7635" s="201"/>
    </row>
    <row r="7636" spans="2:4">
      <c r="B7636" s="198"/>
      <c r="C7636" s="154"/>
      <c r="D7636" s="201"/>
    </row>
    <row r="7637" spans="2:4">
      <c r="B7637" s="198"/>
      <c r="C7637" s="154"/>
      <c r="D7637" s="201"/>
    </row>
    <row r="7638" spans="2:4">
      <c r="B7638" s="198"/>
      <c r="C7638" s="154"/>
      <c r="D7638" s="201"/>
    </row>
    <row r="7639" spans="2:4">
      <c r="B7639" s="198"/>
      <c r="C7639" s="154"/>
      <c r="D7639" s="201"/>
    </row>
    <row r="7640" spans="2:4">
      <c r="B7640" s="198"/>
      <c r="C7640" s="154"/>
      <c r="D7640" s="201"/>
    </row>
    <row r="7641" spans="2:4">
      <c r="B7641" s="198"/>
      <c r="C7641" s="154"/>
      <c r="D7641" s="201"/>
    </row>
    <row r="7642" spans="2:4">
      <c r="B7642" s="198"/>
      <c r="C7642" s="154"/>
      <c r="D7642" s="201"/>
    </row>
    <row r="7643" spans="2:4">
      <c r="B7643" s="198"/>
      <c r="C7643" s="154"/>
      <c r="D7643" s="201"/>
    </row>
    <row r="7644" spans="2:4">
      <c r="B7644" s="198"/>
      <c r="C7644" s="154"/>
      <c r="D7644" s="201"/>
    </row>
    <row r="7645" spans="2:4">
      <c r="B7645" s="198"/>
      <c r="C7645" s="154"/>
      <c r="D7645" s="201"/>
    </row>
    <row r="7646" spans="2:4">
      <c r="B7646" s="198"/>
      <c r="C7646" s="154"/>
      <c r="D7646" s="201"/>
    </row>
    <row r="7647" spans="2:4">
      <c r="B7647" s="198"/>
      <c r="C7647" s="154"/>
      <c r="D7647" s="201"/>
    </row>
    <row r="7648" spans="2:4">
      <c r="B7648" s="198"/>
      <c r="C7648" s="154"/>
      <c r="D7648" s="201"/>
    </row>
    <row r="7649" spans="2:4">
      <c r="B7649" s="198"/>
      <c r="C7649" s="154"/>
      <c r="D7649" s="201"/>
    </row>
    <row r="7650" spans="2:4">
      <c r="B7650" s="198"/>
      <c r="C7650" s="154"/>
      <c r="D7650" s="201"/>
    </row>
    <row r="7651" spans="2:4">
      <c r="B7651" s="198"/>
      <c r="C7651" s="154"/>
      <c r="D7651" s="201"/>
    </row>
    <row r="7652" spans="2:4">
      <c r="B7652" s="198"/>
      <c r="C7652" s="154"/>
      <c r="D7652" s="201"/>
    </row>
    <row r="7653" spans="2:4">
      <c r="B7653" s="198"/>
      <c r="C7653" s="154"/>
      <c r="D7653" s="201"/>
    </row>
    <row r="7654" spans="2:4">
      <c r="B7654" s="198"/>
      <c r="C7654" s="154"/>
      <c r="D7654" s="201"/>
    </row>
    <row r="7655" spans="2:4">
      <c r="B7655" s="198"/>
      <c r="C7655" s="154"/>
      <c r="D7655" s="201"/>
    </row>
    <row r="7656" spans="2:4">
      <c r="B7656" s="198"/>
      <c r="C7656" s="154"/>
      <c r="D7656" s="201"/>
    </row>
    <row r="7657" spans="2:4">
      <c r="B7657" s="198"/>
      <c r="C7657" s="154"/>
      <c r="D7657" s="201"/>
    </row>
    <row r="7658" spans="2:4">
      <c r="B7658" s="198"/>
      <c r="C7658" s="154"/>
      <c r="D7658" s="201"/>
    </row>
    <row r="7659" spans="2:4">
      <c r="B7659" s="198"/>
      <c r="C7659" s="154"/>
      <c r="D7659" s="201"/>
    </row>
    <row r="7660" spans="2:4">
      <c r="B7660" s="198"/>
      <c r="C7660" s="154"/>
      <c r="D7660" s="201"/>
    </row>
    <row r="7661" spans="2:4">
      <c r="B7661" s="198"/>
      <c r="C7661" s="154"/>
      <c r="D7661" s="201"/>
    </row>
    <row r="7662" spans="2:4">
      <c r="B7662" s="198"/>
      <c r="C7662" s="154"/>
      <c r="D7662" s="201"/>
    </row>
    <row r="7663" spans="2:4">
      <c r="B7663" s="198"/>
      <c r="C7663" s="154"/>
      <c r="D7663" s="201"/>
    </row>
    <row r="7664" spans="2:4">
      <c r="B7664" s="198"/>
      <c r="C7664" s="154"/>
      <c r="D7664" s="201"/>
    </row>
    <row r="7665" spans="2:4">
      <c r="B7665" s="198"/>
      <c r="C7665" s="154"/>
      <c r="D7665" s="201"/>
    </row>
    <row r="7666" spans="2:4">
      <c r="B7666" s="198"/>
      <c r="C7666" s="154"/>
      <c r="D7666" s="201"/>
    </row>
    <row r="7667" spans="2:4">
      <c r="B7667" s="198"/>
      <c r="C7667" s="154"/>
      <c r="D7667" s="201"/>
    </row>
    <row r="7668" spans="2:4">
      <c r="B7668" s="198"/>
      <c r="C7668" s="154"/>
      <c r="D7668" s="201"/>
    </row>
    <row r="7669" spans="2:4">
      <c r="B7669" s="198"/>
      <c r="C7669" s="154"/>
      <c r="D7669" s="201"/>
    </row>
    <row r="7670" spans="2:4">
      <c r="B7670" s="198"/>
      <c r="C7670" s="154"/>
      <c r="D7670" s="201"/>
    </row>
    <row r="7671" spans="2:4">
      <c r="B7671" s="198"/>
      <c r="C7671" s="154"/>
      <c r="D7671" s="201"/>
    </row>
    <row r="7672" spans="2:4">
      <c r="B7672" s="198"/>
      <c r="C7672" s="154"/>
      <c r="D7672" s="201"/>
    </row>
    <row r="7673" spans="2:4">
      <c r="B7673" s="198"/>
      <c r="C7673" s="154"/>
      <c r="D7673" s="201"/>
    </row>
    <row r="7674" spans="2:4">
      <c r="B7674" s="198"/>
      <c r="C7674" s="154"/>
      <c r="D7674" s="201"/>
    </row>
    <row r="7675" spans="2:4">
      <c r="B7675" s="198"/>
      <c r="C7675" s="154"/>
      <c r="D7675" s="201"/>
    </row>
    <row r="7676" spans="2:4">
      <c r="B7676" s="198"/>
      <c r="C7676" s="154"/>
      <c r="D7676" s="201"/>
    </row>
    <row r="7677" spans="2:4">
      <c r="B7677" s="198"/>
      <c r="C7677" s="154"/>
      <c r="D7677" s="201"/>
    </row>
    <row r="7678" spans="2:4">
      <c r="B7678" s="198"/>
      <c r="C7678" s="154"/>
      <c r="D7678" s="201"/>
    </row>
    <row r="7679" spans="2:4">
      <c r="B7679" s="198"/>
      <c r="C7679" s="154"/>
      <c r="D7679" s="201"/>
    </row>
    <row r="7680" spans="2:4">
      <c r="B7680" s="198"/>
      <c r="C7680" s="154"/>
      <c r="D7680" s="201"/>
    </row>
    <row r="7681" spans="2:4">
      <c r="B7681" s="198"/>
      <c r="C7681" s="154"/>
      <c r="D7681" s="201"/>
    </row>
    <row r="7682" spans="2:4">
      <c r="B7682" s="198"/>
      <c r="C7682" s="154"/>
      <c r="D7682" s="201"/>
    </row>
    <row r="7683" spans="2:4">
      <c r="B7683" s="198"/>
      <c r="C7683" s="154"/>
      <c r="D7683" s="201"/>
    </row>
    <row r="7684" spans="2:4">
      <c r="B7684" s="198"/>
      <c r="C7684" s="154"/>
      <c r="D7684" s="201"/>
    </row>
    <row r="7685" spans="2:4">
      <c r="B7685" s="198"/>
      <c r="C7685" s="154"/>
      <c r="D7685" s="201"/>
    </row>
    <row r="7686" spans="2:4">
      <c r="B7686" s="198"/>
      <c r="C7686" s="154"/>
      <c r="D7686" s="201"/>
    </row>
    <row r="7687" spans="2:4">
      <c r="B7687" s="198"/>
      <c r="C7687" s="154"/>
      <c r="D7687" s="201"/>
    </row>
    <row r="7688" spans="2:4">
      <c r="B7688" s="198"/>
      <c r="C7688" s="154"/>
      <c r="D7688" s="201"/>
    </row>
    <row r="7689" spans="2:4">
      <c r="B7689" s="198"/>
      <c r="C7689" s="154"/>
      <c r="D7689" s="201"/>
    </row>
    <row r="7690" spans="2:4">
      <c r="B7690" s="198"/>
      <c r="C7690" s="154"/>
      <c r="D7690" s="201"/>
    </row>
    <row r="7691" spans="2:4">
      <c r="B7691" s="198"/>
      <c r="C7691" s="154"/>
      <c r="D7691" s="201"/>
    </row>
    <row r="7692" spans="2:4">
      <c r="B7692" s="198"/>
      <c r="C7692" s="154"/>
      <c r="D7692" s="201"/>
    </row>
    <row r="7693" spans="2:4">
      <c r="B7693" s="198"/>
      <c r="C7693" s="154"/>
      <c r="D7693" s="201"/>
    </row>
    <row r="7694" spans="2:4">
      <c r="B7694" s="198"/>
      <c r="C7694" s="154"/>
      <c r="D7694" s="201"/>
    </row>
    <row r="7695" spans="2:4">
      <c r="B7695" s="198"/>
      <c r="C7695" s="154"/>
      <c r="D7695" s="201"/>
    </row>
    <row r="7696" spans="2:4">
      <c r="B7696" s="198"/>
      <c r="C7696" s="154"/>
      <c r="D7696" s="201"/>
    </row>
    <row r="7697" spans="2:4">
      <c r="B7697" s="198"/>
      <c r="C7697" s="154"/>
      <c r="D7697" s="201"/>
    </row>
    <row r="7698" spans="2:4">
      <c r="B7698" s="198"/>
      <c r="C7698" s="154"/>
      <c r="D7698" s="201"/>
    </row>
    <row r="7699" spans="2:4">
      <c r="B7699" s="198"/>
      <c r="C7699" s="154"/>
      <c r="D7699" s="201"/>
    </row>
    <row r="7700" spans="2:4">
      <c r="B7700" s="198"/>
      <c r="C7700" s="154"/>
      <c r="D7700" s="201"/>
    </row>
    <row r="7701" spans="2:4">
      <c r="B7701" s="198"/>
      <c r="C7701" s="154"/>
      <c r="D7701" s="201"/>
    </row>
    <row r="7702" spans="2:4">
      <c r="B7702" s="198"/>
      <c r="C7702" s="154"/>
      <c r="D7702" s="201"/>
    </row>
    <row r="7703" spans="2:4">
      <c r="B7703" s="198"/>
      <c r="C7703" s="154"/>
      <c r="D7703" s="201"/>
    </row>
    <row r="7704" spans="2:4">
      <c r="B7704" s="198"/>
      <c r="C7704" s="154"/>
      <c r="D7704" s="201"/>
    </row>
    <row r="7705" spans="2:4">
      <c r="B7705" s="198"/>
      <c r="C7705" s="154"/>
      <c r="D7705" s="201"/>
    </row>
    <row r="7706" spans="2:4">
      <c r="B7706" s="198"/>
      <c r="C7706" s="154"/>
      <c r="D7706" s="201"/>
    </row>
    <row r="7707" spans="2:4">
      <c r="B7707" s="198"/>
      <c r="C7707" s="154"/>
      <c r="D7707" s="201"/>
    </row>
    <row r="7708" spans="2:4">
      <c r="B7708" s="198"/>
      <c r="C7708" s="154"/>
      <c r="D7708" s="201"/>
    </row>
    <row r="7709" spans="2:4">
      <c r="B7709" s="198"/>
      <c r="C7709" s="154"/>
      <c r="D7709" s="201"/>
    </row>
    <row r="7710" spans="2:4">
      <c r="B7710" s="198"/>
      <c r="C7710" s="154"/>
      <c r="D7710" s="201"/>
    </row>
    <row r="7711" spans="2:4">
      <c r="B7711" s="198"/>
      <c r="C7711" s="154"/>
      <c r="D7711" s="201"/>
    </row>
    <row r="7712" spans="2:4">
      <c r="B7712" s="198"/>
      <c r="C7712" s="154"/>
      <c r="D7712" s="201"/>
    </row>
    <row r="7713" spans="2:4">
      <c r="B7713" s="198"/>
      <c r="C7713" s="154"/>
      <c r="D7713" s="201"/>
    </row>
    <row r="7714" spans="2:4">
      <c r="B7714" s="198"/>
      <c r="C7714" s="154"/>
      <c r="D7714" s="201"/>
    </row>
    <row r="7715" spans="2:4">
      <c r="B7715" s="198"/>
      <c r="C7715" s="154"/>
      <c r="D7715" s="201"/>
    </row>
    <row r="7716" spans="2:4">
      <c r="B7716" s="198"/>
      <c r="C7716" s="154"/>
      <c r="D7716" s="201"/>
    </row>
    <row r="7717" spans="2:4">
      <c r="B7717" s="198"/>
      <c r="C7717" s="154"/>
      <c r="D7717" s="201"/>
    </row>
    <row r="7718" spans="2:4">
      <c r="B7718" s="198"/>
      <c r="C7718" s="154"/>
      <c r="D7718" s="201"/>
    </row>
    <row r="7719" spans="2:4">
      <c r="B7719" s="198"/>
      <c r="C7719" s="154"/>
      <c r="D7719" s="201"/>
    </row>
    <row r="7720" spans="2:4">
      <c r="B7720" s="198"/>
      <c r="C7720" s="154"/>
      <c r="D7720" s="201"/>
    </row>
    <row r="7721" spans="2:4">
      <c r="B7721" s="198"/>
      <c r="C7721" s="154"/>
      <c r="D7721" s="201"/>
    </row>
    <row r="7722" spans="2:4">
      <c r="B7722" s="198"/>
      <c r="C7722" s="154"/>
      <c r="D7722" s="201"/>
    </row>
    <row r="7723" spans="2:4">
      <c r="B7723" s="198"/>
      <c r="C7723" s="154"/>
      <c r="D7723" s="201"/>
    </row>
    <row r="7724" spans="2:4">
      <c r="B7724" s="198"/>
      <c r="C7724" s="154"/>
      <c r="D7724" s="201"/>
    </row>
    <row r="7725" spans="2:4">
      <c r="B7725" s="198"/>
      <c r="C7725" s="154"/>
      <c r="D7725" s="201"/>
    </row>
    <row r="7726" spans="2:4">
      <c r="B7726" s="198"/>
      <c r="C7726" s="154"/>
      <c r="D7726" s="201"/>
    </row>
    <row r="7727" spans="2:4">
      <c r="B7727" s="198"/>
      <c r="C7727" s="154"/>
      <c r="D7727" s="201"/>
    </row>
    <row r="7728" spans="2:4">
      <c r="B7728" s="198"/>
      <c r="C7728" s="154"/>
      <c r="D7728" s="201"/>
    </row>
    <row r="7729" spans="2:4">
      <c r="B7729" s="198"/>
      <c r="C7729" s="154"/>
      <c r="D7729" s="201"/>
    </row>
    <row r="7730" spans="2:4">
      <c r="B7730" s="198"/>
      <c r="C7730" s="154"/>
      <c r="D7730" s="201"/>
    </row>
    <row r="7731" spans="2:4">
      <c r="B7731" s="198"/>
      <c r="C7731" s="154"/>
      <c r="D7731" s="201"/>
    </row>
    <row r="7732" spans="2:4">
      <c r="B7732" s="198"/>
      <c r="C7732" s="154"/>
      <c r="D7732" s="201"/>
    </row>
    <row r="7733" spans="2:4">
      <c r="B7733" s="198"/>
      <c r="C7733" s="154"/>
      <c r="D7733" s="201"/>
    </row>
    <row r="7734" spans="2:4">
      <c r="B7734" s="198"/>
      <c r="C7734" s="154"/>
      <c r="D7734" s="201"/>
    </row>
    <row r="7735" spans="2:4">
      <c r="B7735" s="198"/>
      <c r="C7735" s="154"/>
      <c r="D7735" s="201"/>
    </row>
    <row r="7736" spans="2:4">
      <c r="B7736" s="198"/>
      <c r="C7736" s="154"/>
      <c r="D7736" s="201"/>
    </row>
    <row r="7737" spans="2:4">
      <c r="B7737" s="198"/>
      <c r="C7737" s="154"/>
      <c r="D7737" s="201"/>
    </row>
    <row r="7738" spans="2:4">
      <c r="B7738" s="198"/>
      <c r="C7738" s="154"/>
      <c r="D7738" s="201"/>
    </row>
    <row r="7739" spans="2:4">
      <c r="B7739" s="198"/>
      <c r="C7739" s="154"/>
      <c r="D7739" s="201"/>
    </row>
    <row r="7740" spans="2:4">
      <c r="B7740" s="198"/>
      <c r="C7740" s="154"/>
      <c r="D7740" s="201"/>
    </row>
    <row r="7741" spans="2:4">
      <c r="B7741" s="198"/>
      <c r="C7741" s="154"/>
      <c r="D7741" s="201"/>
    </row>
    <row r="7742" spans="2:4">
      <c r="B7742" s="198"/>
      <c r="C7742" s="154"/>
      <c r="D7742" s="201"/>
    </row>
    <row r="7743" spans="2:4">
      <c r="B7743" s="198"/>
      <c r="C7743" s="154"/>
      <c r="D7743" s="201"/>
    </row>
    <row r="7744" spans="2:4">
      <c r="B7744" s="198"/>
      <c r="C7744" s="154"/>
      <c r="D7744" s="201"/>
    </row>
    <row r="7745" spans="2:4">
      <c r="B7745" s="198"/>
      <c r="C7745" s="154"/>
      <c r="D7745" s="201"/>
    </row>
    <row r="7746" spans="2:4">
      <c r="B7746" s="198"/>
      <c r="C7746" s="154"/>
      <c r="D7746" s="201"/>
    </row>
    <row r="7747" spans="2:4">
      <c r="B7747" s="198"/>
      <c r="C7747" s="154"/>
      <c r="D7747" s="201"/>
    </row>
    <row r="7748" spans="2:4">
      <c r="B7748" s="198"/>
      <c r="C7748" s="154"/>
      <c r="D7748" s="201"/>
    </row>
    <row r="7749" spans="2:4">
      <c r="B7749" s="198"/>
      <c r="C7749" s="154"/>
      <c r="D7749" s="201"/>
    </row>
    <row r="7750" spans="2:4">
      <c r="B7750" s="198"/>
      <c r="C7750" s="154"/>
      <c r="D7750" s="201"/>
    </row>
    <row r="7751" spans="2:4">
      <c r="B7751" s="198"/>
      <c r="C7751" s="154"/>
      <c r="D7751" s="201"/>
    </row>
    <row r="7752" spans="2:4">
      <c r="B7752" s="198"/>
      <c r="C7752" s="154"/>
      <c r="D7752" s="201"/>
    </row>
    <row r="7753" spans="2:4">
      <c r="B7753" s="198"/>
      <c r="C7753" s="154"/>
      <c r="D7753" s="201"/>
    </row>
    <row r="7754" spans="2:4">
      <c r="B7754" s="198"/>
      <c r="C7754" s="154"/>
      <c r="D7754" s="201"/>
    </row>
    <row r="7755" spans="2:4">
      <c r="B7755" s="198"/>
      <c r="C7755" s="154"/>
      <c r="D7755" s="201"/>
    </row>
    <row r="7756" spans="2:4">
      <c r="B7756" s="198"/>
      <c r="C7756" s="154"/>
      <c r="D7756" s="201"/>
    </row>
    <row r="7757" spans="2:4">
      <c r="B7757" s="198"/>
      <c r="C7757" s="154"/>
      <c r="D7757" s="201"/>
    </row>
    <row r="7758" spans="2:4">
      <c r="B7758" s="198"/>
      <c r="C7758" s="154"/>
      <c r="D7758" s="201"/>
    </row>
    <row r="7759" spans="2:4">
      <c r="B7759" s="198"/>
      <c r="C7759" s="154"/>
      <c r="D7759" s="201"/>
    </row>
    <row r="7760" spans="2:4">
      <c r="B7760" s="198"/>
      <c r="C7760" s="154"/>
      <c r="D7760" s="201"/>
    </row>
    <row r="7761" spans="2:4">
      <c r="B7761" s="198"/>
      <c r="C7761" s="154"/>
      <c r="D7761" s="201"/>
    </row>
    <row r="7762" spans="2:4">
      <c r="B7762" s="198"/>
      <c r="C7762" s="154"/>
      <c r="D7762" s="201"/>
    </row>
    <row r="7763" spans="2:4">
      <c r="B7763" s="198"/>
      <c r="C7763" s="154"/>
      <c r="D7763" s="201"/>
    </row>
    <row r="7764" spans="2:4">
      <c r="B7764" s="198"/>
      <c r="C7764" s="154"/>
      <c r="D7764" s="201"/>
    </row>
    <row r="7765" spans="2:4">
      <c r="B7765" s="198"/>
      <c r="C7765" s="154"/>
      <c r="D7765" s="201"/>
    </row>
    <row r="7766" spans="2:4">
      <c r="B7766" s="198"/>
      <c r="C7766" s="154"/>
      <c r="D7766" s="201"/>
    </row>
    <row r="7767" spans="2:4">
      <c r="B7767" s="198"/>
      <c r="C7767" s="154"/>
      <c r="D7767" s="201"/>
    </row>
    <row r="7768" spans="2:4">
      <c r="B7768" s="198"/>
      <c r="C7768" s="154"/>
      <c r="D7768" s="201"/>
    </row>
    <row r="7769" spans="2:4">
      <c r="B7769" s="198"/>
      <c r="C7769" s="154"/>
      <c r="D7769" s="201"/>
    </row>
    <row r="7770" spans="2:4">
      <c r="B7770" s="198"/>
      <c r="C7770" s="154"/>
      <c r="D7770" s="201"/>
    </row>
    <row r="7771" spans="2:4">
      <c r="B7771" s="198"/>
      <c r="C7771" s="154"/>
      <c r="D7771" s="201"/>
    </row>
    <row r="7772" spans="2:4">
      <c r="B7772" s="198"/>
      <c r="C7772" s="154"/>
      <c r="D7772" s="201"/>
    </row>
    <row r="7773" spans="2:4">
      <c r="B7773" s="198"/>
      <c r="C7773" s="154"/>
      <c r="D7773" s="201"/>
    </row>
    <row r="7774" spans="2:4">
      <c r="B7774" s="198"/>
      <c r="C7774" s="154"/>
      <c r="D7774" s="201"/>
    </row>
    <row r="7775" spans="2:4">
      <c r="B7775" s="198"/>
      <c r="C7775" s="154"/>
      <c r="D7775" s="201"/>
    </row>
    <row r="7776" spans="2:4">
      <c r="B7776" s="198"/>
      <c r="C7776" s="154"/>
      <c r="D7776" s="201"/>
    </row>
    <row r="7777" spans="2:4">
      <c r="B7777" s="198"/>
      <c r="C7777" s="154"/>
      <c r="D7777" s="201"/>
    </row>
    <row r="7778" spans="2:4">
      <c r="B7778" s="198"/>
      <c r="C7778" s="154"/>
      <c r="D7778" s="201"/>
    </row>
    <row r="7779" spans="2:4">
      <c r="B7779" s="198"/>
      <c r="C7779" s="154"/>
      <c r="D7779" s="201"/>
    </row>
    <row r="7780" spans="2:4">
      <c r="B7780" s="198"/>
      <c r="C7780" s="154"/>
      <c r="D7780" s="201"/>
    </row>
    <row r="7781" spans="2:4">
      <c r="B7781" s="198"/>
      <c r="C7781" s="154"/>
      <c r="D7781" s="201"/>
    </row>
    <row r="7782" spans="2:4">
      <c r="B7782" s="198"/>
      <c r="C7782" s="154"/>
      <c r="D7782" s="201"/>
    </row>
    <row r="7783" spans="2:4">
      <c r="B7783" s="198"/>
      <c r="C7783" s="154"/>
      <c r="D7783" s="201"/>
    </row>
    <row r="7784" spans="2:4">
      <c r="B7784" s="198"/>
      <c r="C7784" s="154"/>
      <c r="D7784" s="201"/>
    </row>
    <row r="7785" spans="2:4">
      <c r="B7785" s="198"/>
      <c r="C7785" s="154"/>
      <c r="D7785" s="201"/>
    </row>
    <row r="7786" spans="2:4">
      <c r="B7786" s="198"/>
      <c r="C7786" s="154"/>
      <c r="D7786" s="201"/>
    </row>
    <row r="7787" spans="2:4">
      <c r="B7787" s="198"/>
      <c r="C7787" s="154"/>
      <c r="D7787" s="201"/>
    </row>
    <row r="7788" spans="2:4">
      <c r="B7788" s="198"/>
      <c r="C7788" s="154"/>
      <c r="D7788" s="201"/>
    </row>
    <row r="7789" spans="2:4">
      <c r="B7789" s="198"/>
      <c r="C7789" s="154"/>
      <c r="D7789" s="201"/>
    </row>
    <row r="7790" spans="2:4">
      <c r="B7790" s="198"/>
      <c r="C7790" s="154"/>
      <c r="D7790" s="201"/>
    </row>
    <row r="7791" spans="2:4">
      <c r="B7791" s="198"/>
      <c r="C7791" s="154"/>
      <c r="D7791" s="201"/>
    </row>
    <row r="7792" spans="2:4">
      <c r="B7792" s="198"/>
      <c r="C7792" s="154"/>
      <c r="D7792" s="201"/>
    </row>
    <row r="7793" spans="2:4">
      <c r="B7793" s="198"/>
      <c r="C7793" s="154"/>
      <c r="D7793" s="201"/>
    </row>
    <row r="7794" spans="2:4">
      <c r="B7794" s="198"/>
      <c r="C7794" s="154"/>
      <c r="D7794" s="201"/>
    </row>
    <row r="7795" spans="2:4">
      <c r="B7795" s="198"/>
      <c r="C7795" s="154"/>
      <c r="D7795" s="201"/>
    </row>
    <row r="7796" spans="2:4">
      <c r="B7796" s="198"/>
      <c r="C7796" s="154"/>
      <c r="D7796" s="201"/>
    </row>
    <row r="7797" spans="2:4">
      <c r="B7797" s="198"/>
      <c r="C7797" s="154"/>
      <c r="D7797" s="201"/>
    </row>
    <row r="7798" spans="2:4">
      <c r="B7798" s="198"/>
      <c r="C7798" s="154"/>
      <c r="D7798" s="201"/>
    </row>
    <row r="7799" spans="2:4">
      <c r="B7799" s="198"/>
      <c r="C7799" s="154"/>
      <c r="D7799" s="201"/>
    </row>
    <row r="7800" spans="2:4">
      <c r="B7800" s="198"/>
      <c r="C7800" s="154"/>
      <c r="D7800" s="201"/>
    </row>
    <row r="7801" spans="2:4">
      <c r="B7801" s="198"/>
      <c r="C7801" s="154"/>
      <c r="D7801" s="201"/>
    </row>
    <row r="7802" spans="2:4">
      <c r="B7802" s="198"/>
      <c r="C7802" s="154"/>
      <c r="D7802" s="201"/>
    </row>
    <row r="7803" spans="2:4">
      <c r="B7803" s="198"/>
      <c r="C7803" s="154"/>
      <c r="D7803" s="201"/>
    </row>
    <row r="7804" spans="2:4">
      <c r="B7804" s="198"/>
      <c r="C7804" s="154"/>
      <c r="D7804" s="201"/>
    </row>
    <row r="7805" spans="2:4">
      <c r="B7805" s="198"/>
      <c r="C7805" s="154"/>
      <c r="D7805" s="201"/>
    </row>
    <row r="7806" spans="2:4">
      <c r="B7806" s="198"/>
      <c r="C7806" s="154"/>
      <c r="D7806" s="201"/>
    </row>
    <row r="7807" spans="2:4">
      <c r="B7807" s="198"/>
      <c r="C7807" s="154"/>
      <c r="D7807" s="201"/>
    </row>
    <row r="7808" spans="2:4">
      <c r="B7808" s="198"/>
      <c r="C7808" s="154"/>
      <c r="D7808" s="201"/>
    </row>
    <row r="7809" spans="2:4">
      <c r="B7809" s="198"/>
      <c r="C7809" s="154"/>
      <c r="D7809" s="201"/>
    </row>
    <row r="7810" spans="2:4">
      <c r="B7810" s="198"/>
      <c r="C7810" s="154"/>
      <c r="D7810" s="201"/>
    </row>
    <row r="7811" spans="2:4">
      <c r="B7811" s="198"/>
      <c r="C7811" s="154"/>
      <c r="D7811" s="201"/>
    </row>
    <row r="7812" spans="2:4">
      <c r="B7812" s="198"/>
      <c r="C7812" s="154"/>
      <c r="D7812" s="201"/>
    </row>
    <row r="7813" spans="2:4">
      <c r="B7813" s="198"/>
      <c r="C7813" s="154"/>
      <c r="D7813" s="201"/>
    </row>
    <row r="7814" spans="2:4">
      <c r="B7814" s="198"/>
      <c r="C7814" s="154"/>
      <c r="D7814" s="201"/>
    </row>
    <row r="7815" spans="2:4">
      <c r="B7815" s="198"/>
      <c r="C7815" s="154"/>
      <c r="D7815" s="201"/>
    </row>
    <row r="7816" spans="2:4">
      <c r="B7816" s="198"/>
      <c r="C7816" s="154"/>
      <c r="D7816" s="201"/>
    </row>
    <row r="7817" spans="2:4">
      <c r="B7817" s="198"/>
      <c r="C7817" s="154"/>
      <c r="D7817" s="201"/>
    </row>
    <row r="7818" spans="2:4">
      <c r="B7818" s="198"/>
      <c r="C7818" s="154"/>
      <c r="D7818" s="201"/>
    </row>
    <row r="7819" spans="2:4">
      <c r="B7819" s="198"/>
      <c r="C7819" s="154"/>
      <c r="D7819" s="201"/>
    </row>
    <row r="7820" spans="2:4">
      <c r="B7820" s="198"/>
      <c r="C7820" s="154"/>
      <c r="D7820" s="201"/>
    </row>
    <row r="7821" spans="2:4">
      <c r="B7821" s="198"/>
      <c r="C7821" s="154"/>
      <c r="D7821" s="201"/>
    </row>
    <row r="7822" spans="2:4">
      <c r="B7822" s="198"/>
      <c r="C7822" s="154"/>
      <c r="D7822" s="201"/>
    </row>
    <row r="7823" spans="2:4">
      <c r="B7823" s="198"/>
      <c r="C7823" s="154"/>
      <c r="D7823" s="201"/>
    </row>
    <row r="7824" spans="2:4">
      <c r="B7824" s="198"/>
      <c r="C7824" s="154"/>
      <c r="D7824" s="201"/>
    </row>
    <row r="7825" spans="2:4">
      <c r="B7825" s="198"/>
      <c r="C7825" s="154"/>
      <c r="D7825" s="201"/>
    </row>
    <row r="7826" spans="2:4">
      <c r="B7826" s="198"/>
      <c r="C7826" s="154"/>
      <c r="D7826" s="201"/>
    </row>
    <row r="7827" spans="2:4">
      <c r="B7827" s="198"/>
      <c r="C7827" s="154"/>
      <c r="D7827" s="201"/>
    </row>
    <row r="7828" spans="2:4">
      <c r="B7828" s="198"/>
      <c r="C7828" s="154"/>
      <c r="D7828" s="201"/>
    </row>
    <row r="7829" spans="2:4">
      <c r="B7829" s="198"/>
      <c r="C7829" s="154"/>
      <c r="D7829" s="201"/>
    </row>
    <row r="7830" spans="2:4">
      <c r="B7830" s="198"/>
      <c r="C7830" s="154"/>
      <c r="D7830" s="201"/>
    </row>
    <row r="7831" spans="2:4">
      <c r="B7831" s="198"/>
      <c r="C7831" s="154"/>
      <c r="D7831" s="201"/>
    </row>
    <row r="7832" spans="2:4">
      <c r="B7832" s="198"/>
      <c r="C7832" s="154"/>
      <c r="D7832" s="201"/>
    </row>
    <row r="7833" spans="2:4">
      <c r="B7833" s="198"/>
      <c r="C7833" s="154"/>
      <c r="D7833" s="201"/>
    </row>
    <row r="7834" spans="2:4">
      <c r="B7834" s="198"/>
      <c r="C7834" s="154"/>
      <c r="D7834" s="201"/>
    </row>
    <row r="7835" spans="2:4">
      <c r="B7835" s="198"/>
      <c r="C7835" s="154"/>
      <c r="D7835" s="201"/>
    </row>
    <row r="7836" spans="2:4">
      <c r="B7836" s="198"/>
      <c r="C7836" s="154"/>
      <c r="D7836" s="201"/>
    </row>
    <row r="7837" spans="2:4">
      <c r="B7837" s="198"/>
      <c r="C7837" s="154"/>
      <c r="D7837" s="201"/>
    </row>
    <row r="7838" spans="2:4">
      <c r="B7838" s="198"/>
      <c r="C7838" s="154"/>
      <c r="D7838" s="201"/>
    </row>
    <row r="7839" spans="2:4">
      <c r="B7839" s="198"/>
      <c r="C7839" s="154"/>
      <c r="D7839" s="201"/>
    </row>
    <row r="7840" spans="2:4">
      <c r="B7840" s="198"/>
      <c r="C7840" s="154"/>
      <c r="D7840" s="201"/>
    </row>
    <row r="7841" spans="2:4">
      <c r="B7841" s="198"/>
      <c r="C7841" s="154"/>
      <c r="D7841" s="201"/>
    </row>
    <row r="7842" spans="2:4">
      <c r="B7842" s="198"/>
      <c r="C7842" s="154"/>
      <c r="D7842" s="201"/>
    </row>
    <row r="7843" spans="2:4">
      <c r="B7843" s="198"/>
      <c r="C7843" s="154"/>
      <c r="D7843" s="201"/>
    </row>
    <row r="7844" spans="2:4">
      <c r="B7844" s="198"/>
      <c r="C7844" s="154"/>
      <c r="D7844" s="201"/>
    </row>
    <row r="7845" spans="2:4">
      <c r="B7845" s="198"/>
      <c r="C7845" s="154"/>
      <c r="D7845" s="201"/>
    </row>
    <row r="7846" spans="2:4">
      <c r="B7846" s="198"/>
      <c r="C7846" s="154"/>
      <c r="D7846" s="201"/>
    </row>
    <row r="7847" spans="2:4">
      <c r="B7847" s="198"/>
      <c r="C7847" s="154"/>
      <c r="D7847" s="201"/>
    </row>
    <row r="7848" spans="2:4">
      <c r="B7848" s="198"/>
      <c r="C7848" s="154"/>
      <c r="D7848" s="201"/>
    </row>
    <row r="7849" spans="2:4">
      <c r="B7849" s="198"/>
      <c r="C7849" s="154"/>
      <c r="D7849" s="201"/>
    </row>
    <row r="7850" spans="2:4">
      <c r="B7850" s="198"/>
      <c r="C7850" s="154"/>
      <c r="D7850" s="201"/>
    </row>
    <row r="7851" spans="2:4">
      <c r="B7851" s="198"/>
      <c r="C7851" s="154"/>
      <c r="D7851" s="201"/>
    </row>
    <row r="7852" spans="2:4">
      <c r="B7852" s="198"/>
      <c r="C7852" s="154"/>
      <c r="D7852" s="201"/>
    </row>
    <row r="7853" spans="2:4">
      <c r="B7853" s="198"/>
      <c r="C7853" s="154"/>
      <c r="D7853" s="201"/>
    </row>
    <row r="7854" spans="2:4">
      <c r="B7854" s="198"/>
      <c r="C7854" s="154"/>
      <c r="D7854" s="201"/>
    </row>
    <row r="7855" spans="2:4">
      <c r="B7855" s="198"/>
      <c r="C7855" s="154"/>
      <c r="D7855" s="201"/>
    </row>
    <row r="7856" spans="2:4">
      <c r="B7856" s="198"/>
      <c r="C7856" s="154"/>
      <c r="D7856" s="201"/>
    </row>
    <row r="7857" spans="2:4">
      <c r="B7857" s="198"/>
      <c r="C7857" s="154"/>
      <c r="D7857" s="201"/>
    </row>
    <row r="7858" spans="2:4">
      <c r="B7858" s="198"/>
      <c r="C7858" s="154"/>
      <c r="D7858" s="201"/>
    </row>
    <row r="7859" spans="2:4">
      <c r="B7859" s="198"/>
      <c r="C7859" s="154"/>
      <c r="D7859" s="201"/>
    </row>
    <row r="7860" spans="2:4">
      <c r="B7860" s="198"/>
      <c r="C7860" s="154"/>
      <c r="D7860" s="201"/>
    </row>
    <row r="7861" spans="2:4">
      <c r="B7861" s="198"/>
      <c r="C7861" s="154"/>
      <c r="D7861" s="201"/>
    </row>
    <row r="7862" spans="2:4">
      <c r="B7862" s="198"/>
      <c r="C7862" s="154"/>
      <c r="D7862" s="201"/>
    </row>
    <row r="7863" spans="2:4">
      <c r="B7863" s="198"/>
      <c r="C7863" s="154"/>
      <c r="D7863" s="201"/>
    </row>
    <row r="7864" spans="2:4">
      <c r="B7864" s="198"/>
      <c r="C7864" s="154"/>
      <c r="D7864" s="201"/>
    </row>
    <row r="7865" spans="2:4">
      <c r="B7865" s="198"/>
      <c r="C7865" s="154"/>
      <c r="D7865" s="201"/>
    </row>
    <row r="7866" spans="2:4">
      <c r="B7866" s="198"/>
      <c r="C7866" s="154"/>
      <c r="D7866" s="201"/>
    </row>
    <row r="7867" spans="2:4">
      <c r="B7867" s="198"/>
      <c r="C7867" s="154"/>
      <c r="D7867" s="201"/>
    </row>
    <row r="7868" spans="2:4">
      <c r="B7868" s="198"/>
      <c r="C7868" s="154"/>
      <c r="D7868" s="201"/>
    </row>
    <row r="7869" spans="2:4">
      <c r="B7869" s="198"/>
      <c r="C7869" s="154"/>
      <c r="D7869" s="201"/>
    </row>
    <row r="7870" spans="2:4">
      <c r="B7870" s="198"/>
      <c r="C7870" s="154"/>
      <c r="D7870" s="201"/>
    </row>
    <row r="7871" spans="2:4">
      <c r="B7871" s="198"/>
      <c r="C7871" s="154"/>
      <c r="D7871" s="201"/>
    </row>
    <row r="7872" spans="2:4">
      <c r="B7872" s="198"/>
      <c r="C7872" s="154"/>
      <c r="D7872" s="201"/>
    </row>
    <row r="7873" spans="2:4">
      <c r="B7873" s="198"/>
      <c r="C7873" s="154"/>
      <c r="D7873" s="201"/>
    </row>
    <row r="7874" spans="2:4">
      <c r="B7874" s="198"/>
      <c r="C7874" s="154"/>
      <c r="D7874" s="201"/>
    </row>
    <row r="7875" spans="2:4">
      <c r="B7875" s="198"/>
      <c r="C7875" s="154"/>
      <c r="D7875" s="201"/>
    </row>
    <row r="7876" spans="2:4">
      <c r="B7876" s="198"/>
      <c r="C7876" s="154"/>
      <c r="D7876" s="201"/>
    </row>
    <row r="7877" spans="2:4">
      <c r="B7877" s="198"/>
      <c r="C7877" s="154"/>
      <c r="D7877" s="201"/>
    </row>
    <row r="7878" spans="2:4">
      <c r="B7878" s="198"/>
      <c r="C7878" s="154"/>
      <c r="D7878" s="201"/>
    </row>
    <row r="7879" spans="2:4">
      <c r="B7879" s="198"/>
      <c r="C7879" s="154"/>
      <c r="D7879" s="201"/>
    </row>
    <row r="7880" spans="2:4">
      <c r="B7880" s="198"/>
      <c r="C7880" s="154"/>
      <c r="D7880" s="201"/>
    </row>
    <row r="7881" spans="2:4">
      <c r="B7881" s="198"/>
      <c r="C7881" s="154"/>
      <c r="D7881" s="201"/>
    </row>
    <row r="7882" spans="2:4">
      <c r="B7882" s="198"/>
      <c r="C7882" s="154"/>
      <c r="D7882" s="201"/>
    </row>
    <row r="7883" spans="2:4">
      <c r="B7883" s="198"/>
      <c r="C7883" s="154"/>
      <c r="D7883" s="201"/>
    </row>
    <row r="7884" spans="2:4">
      <c r="B7884" s="198"/>
      <c r="C7884" s="154"/>
      <c r="D7884" s="201"/>
    </row>
    <row r="7885" spans="2:4">
      <c r="B7885" s="198"/>
      <c r="C7885" s="154"/>
      <c r="D7885" s="201"/>
    </row>
    <row r="7886" spans="2:4">
      <c r="B7886" s="198"/>
      <c r="C7886" s="154"/>
      <c r="D7886" s="201"/>
    </row>
    <row r="7887" spans="2:4">
      <c r="B7887" s="198"/>
      <c r="C7887" s="154"/>
      <c r="D7887" s="201"/>
    </row>
    <row r="7888" spans="2:4">
      <c r="B7888" s="198"/>
      <c r="C7888" s="154"/>
      <c r="D7888" s="201"/>
    </row>
    <row r="7889" spans="2:4">
      <c r="B7889" s="198"/>
      <c r="C7889" s="154"/>
      <c r="D7889" s="201"/>
    </row>
    <row r="7890" spans="2:4">
      <c r="B7890" s="198"/>
      <c r="C7890" s="154"/>
      <c r="D7890" s="201"/>
    </row>
    <row r="7891" spans="2:4">
      <c r="B7891" s="198"/>
      <c r="C7891" s="154"/>
      <c r="D7891" s="201"/>
    </row>
    <row r="7892" spans="2:4">
      <c r="B7892" s="198"/>
      <c r="C7892" s="154"/>
      <c r="D7892" s="201"/>
    </row>
    <row r="7893" spans="2:4">
      <c r="B7893" s="198"/>
      <c r="C7893" s="154"/>
      <c r="D7893" s="201"/>
    </row>
    <row r="7894" spans="2:4">
      <c r="B7894" s="198"/>
      <c r="C7894" s="154"/>
      <c r="D7894" s="201"/>
    </row>
    <row r="7895" spans="2:4">
      <c r="B7895" s="198"/>
      <c r="C7895" s="154"/>
      <c r="D7895" s="201"/>
    </row>
    <row r="7896" spans="2:4">
      <c r="B7896" s="198"/>
      <c r="C7896" s="154"/>
      <c r="D7896" s="201"/>
    </row>
    <row r="7897" spans="2:4">
      <c r="B7897" s="198"/>
      <c r="C7897" s="154"/>
      <c r="D7897" s="201"/>
    </row>
    <row r="7898" spans="2:4">
      <c r="B7898" s="198"/>
      <c r="C7898" s="154"/>
      <c r="D7898" s="201"/>
    </row>
    <row r="7899" spans="2:4">
      <c r="B7899" s="198"/>
      <c r="C7899" s="154"/>
      <c r="D7899" s="201"/>
    </row>
    <row r="7900" spans="2:4">
      <c r="B7900" s="198"/>
      <c r="C7900" s="154"/>
      <c r="D7900" s="201"/>
    </row>
    <row r="7901" spans="2:4">
      <c r="B7901" s="198"/>
      <c r="C7901" s="154"/>
      <c r="D7901" s="201"/>
    </row>
    <row r="7902" spans="2:4">
      <c r="B7902" s="198"/>
      <c r="C7902" s="154"/>
      <c r="D7902" s="201"/>
    </row>
    <row r="7903" spans="2:4">
      <c r="B7903" s="198"/>
      <c r="C7903" s="154"/>
      <c r="D7903" s="201"/>
    </row>
    <row r="7904" spans="2:4">
      <c r="B7904" s="198"/>
      <c r="C7904" s="154"/>
      <c r="D7904" s="201"/>
    </row>
    <row r="7905" spans="2:4">
      <c r="B7905" s="198"/>
      <c r="C7905" s="154"/>
      <c r="D7905" s="201"/>
    </row>
    <row r="7906" spans="2:4">
      <c r="B7906" s="198"/>
      <c r="C7906" s="154"/>
      <c r="D7906" s="201"/>
    </row>
    <row r="7907" spans="2:4">
      <c r="B7907" s="198"/>
      <c r="C7907" s="154"/>
      <c r="D7907" s="201"/>
    </row>
    <row r="7908" spans="2:4">
      <c r="B7908" s="198"/>
      <c r="C7908" s="154"/>
      <c r="D7908" s="201"/>
    </row>
    <row r="7909" spans="2:4">
      <c r="B7909" s="198"/>
      <c r="C7909" s="154"/>
      <c r="D7909" s="201"/>
    </row>
    <row r="7910" spans="2:4">
      <c r="B7910" s="198"/>
      <c r="C7910" s="154"/>
      <c r="D7910" s="201"/>
    </row>
    <row r="7911" spans="2:4">
      <c r="B7911" s="198"/>
      <c r="C7911" s="154"/>
      <c r="D7911" s="201"/>
    </row>
    <row r="7912" spans="2:4">
      <c r="B7912" s="198"/>
      <c r="C7912" s="154"/>
      <c r="D7912" s="201"/>
    </row>
    <row r="7913" spans="2:4">
      <c r="B7913" s="198"/>
      <c r="C7913" s="154"/>
      <c r="D7913" s="201"/>
    </row>
    <row r="7914" spans="2:4">
      <c r="B7914" s="198"/>
      <c r="C7914" s="154"/>
      <c r="D7914" s="201"/>
    </row>
    <row r="7915" spans="2:4">
      <c r="B7915" s="198"/>
      <c r="C7915" s="154"/>
      <c r="D7915" s="201"/>
    </row>
    <row r="7916" spans="2:4">
      <c r="B7916" s="198"/>
      <c r="C7916" s="154"/>
      <c r="D7916" s="201"/>
    </row>
    <row r="7917" spans="2:4">
      <c r="B7917" s="198"/>
      <c r="C7917" s="154"/>
      <c r="D7917" s="201"/>
    </row>
    <row r="7918" spans="2:4">
      <c r="B7918" s="198"/>
      <c r="C7918" s="154"/>
      <c r="D7918" s="201"/>
    </row>
    <row r="7919" spans="2:4">
      <c r="B7919" s="198"/>
      <c r="C7919" s="154"/>
      <c r="D7919" s="201"/>
    </row>
    <row r="7920" spans="2:4">
      <c r="B7920" s="198"/>
      <c r="C7920" s="154"/>
      <c r="D7920" s="201"/>
    </row>
    <row r="7921" spans="2:4">
      <c r="B7921" s="198"/>
      <c r="C7921" s="154"/>
      <c r="D7921" s="201"/>
    </row>
    <row r="7922" spans="2:4">
      <c r="B7922" s="198"/>
      <c r="C7922" s="154"/>
      <c r="D7922" s="201"/>
    </row>
    <row r="7923" spans="2:4">
      <c r="B7923" s="198"/>
      <c r="C7923" s="154"/>
      <c r="D7923" s="201"/>
    </row>
    <row r="7924" spans="2:4">
      <c r="B7924" s="198"/>
      <c r="C7924" s="154"/>
      <c r="D7924" s="201"/>
    </row>
    <row r="7925" spans="2:4">
      <c r="B7925" s="198"/>
      <c r="C7925" s="154"/>
      <c r="D7925" s="201"/>
    </row>
    <row r="7926" spans="2:4">
      <c r="B7926" s="198"/>
      <c r="C7926" s="154"/>
      <c r="D7926" s="201"/>
    </row>
    <row r="7927" spans="2:4">
      <c r="B7927" s="198"/>
      <c r="C7927" s="154"/>
      <c r="D7927" s="201"/>
    </row>
    <row r="7928" spans="2:4">
      <c r="B7928" s="198"/>
      <c r="C7928" s="154"/>
      <c r="D7928" s="201"/>
    </row>
    <row r="7929" spans="2:4">
      <c r="B7929" s="198"/>
      <c r="C7929" s="154"/>
      <c r="D7929" s="201"/>
    </row>
    <row r="7930" spans="2:4">
      <c r="B7930" s="198"/>
      <c r="C7930" s="154"/>
      <c r="D7930" s="201"/>
    </row>
    <row r="7931" spans="2:4">
      <c r="B7931" s="198"/>
      <c r="C7931" s="154"/>
      <c r="D7931" s="201"/>
    </row>
    <row r="7932" spans="2:4">
      <c r="B7932" s="198"/>
      <c r="C7932" s="154"/>
      <c r="D7932" s="201"/>
    </row>
    <row r="7933" spans="2:4">
      <c r="B7933" s="198"/>
      <c r="C7933" s="154"/>
      <c r="D7933" s="201"/>
    </row>
    <row r="7934" spans="2:4">
      <c r="B7934" s="198"/>
      <c r="C7934" s="154"/>
      <c r="D7934" s="201"/>
    </row>
    <row r="7935" spans="2:4">
      <c r="B7935" s="198"/>
      <c r="C7935" s="154"/>
      <c r="D7935" s="201"/>
    </row>
    <row r="7936" spans="2:4">
      <c r="B7936" s="198"/>
      <c r="C7936" s="154"/>
      <c r="D7936" s="201"/>
    </row>
    <row r="7937" spans="2:4">
      <c r="B7937" s="198"/>
      <c r="C7937" s="154"/>
      <c r="D7937" s="201"/>
    </row>
    <row r="7938" spans="2:4">
      <c r="B7938" s="198"/>
      <c r="C7938" s="154"/>
      <c r="D7938" s="201"/>
    </row>
    <row r="7939" spans="2:4">
      <c r="B7939" s="198"/>
      <c r="C7939" s="154"/>
      <c r="D7939" s="201"/>
    </row>
    <row r="7940" spans="2:4">
      <c r="B7940" s="198"/>
      <c r="C7940" s="154"/>
      <c r="D7940" s="201"/>
    </row>
    <row r="7941" spans="2:4">
      <c r="B7941" s="198"/>
      <c r="C7941" s="154"/>
      <c r="D7941" s="201"/>
    </row>
    <row r="7942" spans="2:4">
      <c r="B7942" s="198"/>
      <c r="C7942" s="154"/>
      <c r="D7942" s="201"/>
    </row>
    <row r="7943" spans="2:4">
      <c r="B7943" s="198"/>
      <c r="C7943" s="154"/>
      <c r="D7943" s="201"/>
    </row>
    <row r="7944" spans="2:4">
      <c r="B7944" s="198"/>
      <c r="C7944" s="154"/>
      <c r="D7944" s="201"/>
    </row>
    <row r="7945" spans="2:4">
      <c r="B7945" s="198"/>
      <c r="C7945" s="154"/>
      <c r="D7945" s="201"/>
    </row>
    <row r="7946" spans="2:4">
      <c r="B7946" s="198"/>
      <c r="C7946" s="154"/>
      <c r="D7946" s="201"/>
    </row>
    <row r="7947" spans="2:4">
      <c r="B7947" s="198"/>
      <c r="C7947" s="154"/>
      <c r="D7947" s="201"/>
    </row>
    <row r="7948" spans="2:4">
      <c r="B7948" s="198"/>
      <c r="C7948" s="154"/>
      <c r="D7948" s="201"/>
    </row>
    <row r="7949" spans="2:4">
      <c r="B7949" s="198"/>
      <c r="C7949" s="154"/>
      <c r="D7949" s="201"/>
    </row>
    <row r="7950" spans="2:4">
      <c r="B7950" s="198"/>
      <c r="C7950" s="154"/>
      <c r="D7950" s="201"/>
    </row>
    <row r="7951" spans="2:4">
      <c r="B7951" s="198"/>
      <c r="C7951" s="154"/>
      <c r="D7951" s="201"/>
    </row>
    <row r="7952" spans="2:4">
      <c r="B7952" s="198"/>
      <c r="C7952" s="154"/>
      <c r="D7952" s="201"/>
    </row>
    <row r="7953" spans="2:4">
      <c r="B7953" s="198"/>
      <c r="C7953" s="154"/>
      <c r="D7953" s="201"/>
    </row>
    <row r="7954" spans="2:4">
      <c r="B7954" s="198"/>
      <c r="C7954" s="154"/>
      <c r="D7954" s="201"/>
    </row>
    <row r="7955" spans="2:4">
      <c r="B7955" s="198"/>
      <c r="C7955" s="154"/>
      <c r="D7955" s="201"/>
    </row>
    <row r="7956" spans="2:4">
      <c r="B7956" s="198"/>
      <c r="C7956" s="154"/>
      <c r="D7956" s="201"/>
    </row>
    <row r="7957" spans="2:4">
      <c r="B7957" s="198"/>
      <c r="C7957" s="154"/>
      <c r="D7957" s="201"/>
    </row>
    <row r="7958" spans="2:4">
      <c r="B7958" s="198"/>
      <c r="C7958" s="154"/>
      <c r="D7958" s="201"/>
    </row>
    <row r="7959" spans="2:4">
      <c r="B7959" s="198"/>
      <c r="C7959" s="154"/>
      <c r="D7959" s="201"/>
    </row>
    <row r="7960" spans="2:4">
      <c r="B7960" s="198"/>
      <c r="C7960" s="154"/>
      <c r="D7960" s="201"/>
    </row>
    <row r="7961" spans="2:4">
      <c r="B7961" s="198"/>
      <c r="C7961" s="154"/>
      <c r="D7961" s="201"/>
    </row>
    <row r="7962" spans="2:4">
      <c r="B7962" s="198"/>
      <c r="C7962" s="154"/>
      <c r="D7962" s="201"/>
    </row>
    <row r="7963" spans="2:4">
      <c r="B7963" s="198"/>
      <c r="C7963" s="154"/>
      <c r="D7963" s="201"/>
    </row>
    <row r="7964" spans="2:4">
      <c r="B7964" s="198"/>
      <c r="C7964" s="154"/>
      <c r="D7964" s="201"/>
    </row>
    <row r="7965" spans="2:4">
      <c r="B7965" s="198"/>
      <c r="C7965" s="154"/>
      <c r="D7965" s="201"/>
    </row>
    <row r="7966" spans="2:4">
      <c r="B7966" s="198"/>
      <c r="C7966" s="154"/>
      <c r="D7966" s="201"/>
    </row>
    <row r="7967" spans="2:4">
      <c r="B7967" s="198"/>
      <c r="C7967" s="154"/>
      <c r="D7967" s="201"/>
    </row>
    <row r="7968" spans="2:4">
      <c r="B7968" s="198"/>
      <c r="C7968" s="154"/>
      <c r="D7968" s="201"/>
    </row>
    <row r="7969" spans="2:4">
      <c r="B7969" s="198"/>
      <c r="C7969" s="154"/>
      <c r="D7969" s="201"/>
    </row>
    <row r="7970" spans="2:4">
      <c r="B7970" s="198"/>
      <c r="C7970" s="154"/>
      <c r="D7970" s="201"/>
    </row>
    <row r="7971" spans="2:4">
      <c r="B7971" s="198"/>
      <c r="C7971" s="154"/>
      <c r="D7971" s="201"/>
    </row>
    <row r="7972" spans="2:4">
      <c r="B7972" s="198"/>
      <c r="C7972" s="154"/>
      <c r="D7972" s="201"/>
    </row>
    <row r="7973" spans="2:4">
      <c r="B7973" s="198"/>
      <c r="C7973" s="154"/>
      <c r="D7973" s="201"/>
    </row>
    <row r="7974" spans="2:4">
      <c r="B7974" s="198"/>
      <c r="C7974" s="154"/>
      <c r="D7974" s="201"/>
    </row>
    <row r="7975" spans="2:4">
      <c r="B7975" s="198"/>
      <c r="C7975" s="154"/>
      <c r="D7975" s="201"/>
    </row>
    <row r="7976" spans="2:4">
      <c r="B7976" s="198"/>
      <c r="C7976" s="154"/>
      <c r="D7976" s="201"/>
    </row>
    <row r="7977" spans="2:4">
      <c r="B7977" s="198"/>
      <c r="C7977" s="154"/>
      <c r="D7977" s="201"/>
    </row>
    <row r="7978" spans="2:4">
      <c r="B7978" s="198"/>
      <c r="C7978" s="154"/>
      <c r="D7978" s="201"/>
    </row>
    <row r="7979" spans="2:4">
      <c r="B7979" s="198"/>
      <c r="C7979" s="154"/>
      <c r="D7979" s="201"/>
    </row>
    <row r="7980" spans="2:4">
      <c r="B7980" s="198"/>
      <c r="C7980" s="154"/>
      <c r="D7980" s="201"/>
    </row>
    <row r="7981" spans="2:4">
      <c r="B7981" s="198"/>
      <c r="C7981" s="154"/>
      <c r="D7981" s="201"/>
    </row>
    <row r="7982" spans="2:4">
      <c r="B7982" s="198"/>
      <c r="C7982" s="154"/>
      <c r="D7982" s="201"/>
    </row>
    <row r="7983" spans="2:4">
      <c r="B7983" s="198"/>
      <c r="C7983" s="154"/>
      <c r="D7983" s="201"/>
    </row>
    <row r="7984" spans="2:4">
      <c r="B7984" s="198"/>
      <c r="C7984" s="154"/>
      <c r="D7984" s="201"/>
    </row>
    <row r="7985" spans="2:4">
      <c r="B7985" s="198"/>
      <c r="C7985" s="154"/>
      <c r="D7985" s="201"/>
    </row>
    <row r="7986" spans="2:4">
      <c r="B7986" s="198"/>
      <c r="C7986" s="154"/>
      <c r="D7986" s="201"/>
    </row>
    <row r="7987" spans="2:4">
      <c r="B7987" s="198"/>
      <c r="C7987" s="154"/>
      <c r="D7987" s="201"/>
    </row>
    <row r="7988" spans="2:4">
      <c r="B7988" s="198"/>
      <c r="C7988" s="154"/>
      <c r="D7988" s="201"/>
    </row>
    <row r="7989" spans="2:4">
      <c r="B7989" s="198"/>
      <c r="C7989" s="154"/>
      <c r="D7989" s="201"/>
    </row>
    <row r="7990" spans="2:4">
      <c r="B7990" s="198"/>
      <c r="C7990" s="154"/>
      <c r="D7990" s="201"/>
    </row>
    <row r="7991" spans="2:4">
      <c r="B7991" s="198"/>
      <c r="C7991" s="154"/>
      <c r="D7991" s="201"/>
    </row>
    <row r="7992" spans="2:4">
      <c r="B7992" s="198"/>
      <c r="C7992" s="154"/>
      <c r="D7992" s="201"/>
    </row>
    <row r="7993" spans="2:4">
      <c r="B7993" s="198"/>
      <c r="C7993" s="154"/>
      <c r="D7993" s="201"/>
    </row>
    <row r="7994" spans="2:4">
      <c r="B7994" s="198"/>
      <c r="C7994" s="154"/>
      <c r="D7994" s="201"/>
    </row>
    <row r="7995" spans="2:4">
      <c r="B7995" s="198"/>
      <c r="C7995" s="154"/>
      <c r="D7995" s="201"/>
    </row>
    <row r="7996" spans="2:4">
      <c r="B7996" s="198"/>
      <c r="C7996" s="154"/>
      <c r="D7996" s="201"/>
    </row>
    <row r="7997" spans="2:4">
      <c r="B7997" s="198"/>
      <c r="C7997" s="154"/>
      <c r="D7997" s="201"/>
    </row>
    <row r="7998" spans="2:4">
      <c r="B7998" s="198"/>
      <c r="C7998" s="154"/>
      <c r="D7998" s="201"/>
    </row>
    <row r="7999" spans="2:4">
      <c r="B7999" s="198"/>
      <c r="C7999" s="154"/>
      <c r="D7999" s="201"/>
    </row>
    <row r="8000" spans="2:4">
      <c r="B8000" s="198"/>
      <c r="C8000" s="154"/>
      <c r="D8000" s="201"/>
    </row>
    <row r="8001" spans="2:4">
      <c r="B8001" s="198"/>
      <c r="C8001" s="154"/>
      <c r="D8001" s="201"/>
    </row>
    <row r="8002" spans="2:4">
      <c r="B8002" s="198"/>
      <c r="C8002" s="154"/>
      <c r="D8002" s="201"/>
    </row>
    <row r="8003" spans="2:4">
      <c r="B8003" s="198"/>
      <c r="C8003" s="154"/>
      <c r="D8003" s="201"/>
    </row>
    <row r="8004" spans="2:4">
      <c r="B8004" s="198"/>
      <c r="C8004" s="154"/>
      <c r="D8004" s="201"/>
    </row>
    <row r="8005" spans="2:4">
      <c r="B8005" s="198"/>
      <c r="C8005" s="154"/>
      <c r="D8005" s="201"/>
    </row>
    <row r="8006" spans="2:4">
      <c r="B8006" s="198"/>
      <c r="C8006" s="154"/>
      <c r="D8006" s="201"/>
    </row>
    <row r="8007" spans="2:4">
      <c r="B8007" s="198"/>
      <c r="C8007" s="154"/>
      <c r="D8007" s="201"/>
    </row>
    <row r="8008" spans="2:4">
      <c r="B8008" s="198"/>
      <c r="C8008" s="154"/>
      <c r="D8008" s="201"/>
    </row>
    <row r="8009" spans="2:4">
      <c r="B8009" s="198"/>
      <c r="C8009" s="154"/>
      <c r="D8009" s="201"/>
    </row>
    <row r="8010" spans="2:4">
      <c r="B8010" s="198"/>
      <c r="C8010" s="154"/>
      <c r="D8010" s="201"/>
    </row>
    <row r="8011" spans="2:4">
      <c r="B8011" s="198"/>
      <c r="C8011" s="154"/>
      <c r="D8011" s="201"/>
    </row>
    <row r="8012" spans="2:4">
      <c r="B8012" s="198"/>
      <c r="C8012" s="154"/>
      <c r="D8012" s="201"/>
    </row>
    <row r="8013" spans="2:4">
      <c r="B8013" s="198"/>
      <c r="C8013" s="154"/>
      <c r="D8013" s="201"/>
    </row>
    <row r="8014" spans="2:4">
      <c r="B8014" s="198"/>
      <c r="C8014" s="154"/>
      <c r="D8014" s="201"/>
    </row>
    <row r="8015" spans="2:4">
      <c r="B8015" s="198"/>
      <c r="C8015" s="154"/>
      <c r="D8015" s="201"/>
    </row>
    <row r="8016" spans="2:4">
      <c r="B8016" s="198"/>
      <c r="C8016" s="154"/>
      <c r="D8016" s="201"/>
    </row>
    <row r="8017" spans="2:4">
      <c r="B8017" s="198"/>
      <c r="C8017" s="154"/>
      <c r="D8017" s="201"/>
    </row>
    <row r="8018" spans="2:4">
      <c r="B8018" s="198"/>
      <c r="C8018" s="154"/>
      <c r="D8018" s="201"/>
    </row>
    <row r="8019" spans="2:4">
      <c r="B8019" s="198"/>
      <c r="C8019" s="154"/>
      <c r="D8019" s="201"/>
    </row>
    <row r="8020" spans="2:4">
      <c r="B8020" s="198"/>
      <c r="C8020" s="154"/>
      <c r="D8020" s="201"/>
    </row>
    <row r="8021" spans="2:4">
      <c r="B8021" s="198"/>
      <c r="C8021" s="154"/>
      <c r="D8021" s="201"/>
    </row>
    <row r="8022" spans="2:4">
      <c r="B8022" s="198"/>
      <c r="C8022" s="154"/>
      <c r="D8022" s="201"/>
    </row>
    <row r="8023" spans="2:4">
      <c r="B8023" s="198"/>
      <c r="C8023" s="154"/>
      <c r="D8023" s="201"/>
    </row>
    <row r="8024" spans="2:4">
      <c r="B8024" s="198"/>
      <c r="C8024" s="154"/>
      <c r="D8024" s="201"/>
    </row>
    <row r="8025" spans="2:4">
      <c r="B8025" s="198"/>
      <c r="C8025" s="154"/>
      <c r="D8025" s="201"/>
    </row>
    <row r="8026" spans="2:4">
      <c r="B8026" s="198"/>
      <c r="C8026" s="154"/>
      <c r="D8026" s="201"/>
    </row>
    <row r="8027" spans="2:4">
      <c r="B8027" s="198"/>
      <c r="C8027" s="154"/>
      <c r="D8027" s="201"/>
    </row>
    <row r="8028" spans="2:4">
      <c r="B8028" s="198"/>
      <c r="C8028" s="154"/>
      <c r="D8028" s="201"/>
    </row>
    <row r="8029" spans="2:4">
      <c r="B8029" s="198"/>
      <c r="C8029" s="154"/>
      <c r="D8029" s="201"/>
    </row>
    <row r="8030" spans="2:4">
      <c r="B8030" s="198"/>
      <c r="C8030" s="154"/>
      <c r="D8030" s="201"/>
    </row>
    <row r="8031" spans="2:4">
      <c r="B8031" s="198"/>
      <c r="C8031" s="154"/>
      <c r="D8031" s="201"/>
    </row>
    <row r="8032" spans="2:4">
      <c r="B8032" s="198"/>
      <c r="C8032" s="154"/>
      <c r="D8032" s="201"/>
    </row>
    <row r="8033" spans="2:4">
      <c r="B8033" s="198"/>
      <c r="C8033" s="154"/>
      <c r="D8033" s="201"/>
    </row>
    <row r="8034" spans="2:4">
      <c r="B8034" s="198"/>
      <c r="C8034" s="154"/>
      <c r="D8034" s="201"/>
    </row>
    <row r="8035" spans="2:4">
      <c r="B8035" s="198"/>
      <c r="C8035" s="154"/>
      <c r="D8035" s="201"/>
    </row>
    <row r="8036" spans="2:4">
      <c r="B8036" s="198"/>
      <c r="C8036" s="154"/>
      <c r="D8036" s="201"/>
    </row>
    <row r="8037" spans="2:4">
      <c r="B8037" s="198"/>
      <c r="C8037" s="154"/>
      <c r="D8037" s="201"/>
    </row>
    <row r="8038" spans="2:4">
      <c r="B8038" s="198"/>
      <c r="C8038" s="154"/>
      <c r="D8038" s="201"/>
    </row>
    <row r="8039" spans="2:4">
      <c r="B8039" s="198"/>
      <c r="C8039" s="154"/>
      <c r="D8039" s="201"/>
    </row>
    <row r="8040" spans="2:4">
      <c r="B8040" s="198"/>
      <c r="C8040" s="154"/>
      <c r="D8040" s="201"/>
    </row>
    <row r="8041" spans="2:4">
      <c r="B8041" s="198"/>
      <c r="C8041" s="154"/>
      <c r="D8041" s="201"/>
    </row>
    <row r="8042" spans="2:4">
      <c r="B8042" s="198"/>
      <c r="C8042" s="154"/>
      <c r="D8042" s="201"/>
    </row>
    <row r="8043" spans="2:4">
      <c r="B8043" s="198"/>
      <c r="C8043" s="154"/>
      <c r="D8043" s="201"/>
    </row>
    <row r="8044" spans="2:4">
      <c r="B8044" s="198"/>
      <c r="C8044" s="154"/>
      <c r="D8044" s="201"/>
    </row>
    <row r="8045" spans="2:4">
      <c r="B8045" s="198"/>
      <c r="C8045" s="154"/>
      <c r="D8045" s="201"/>
    </row>
    <row r="8046" spans="2:4">
      <c r="B8046" s="198"/>
      <c r="C8046" s="154"/>
      <c r="D8046" s="201"/>
    </row>
    <row r="8047" spans="2:4">
      <c r="B8047" s="198"/>
      <c r="C8047" s="154"/>
      <c r="D8047" s="201"/>
    </row>
    <row r="8048" spans="2:4">
      <c r="B8048" s="198"/>
      <c r="C8048" s="154"/>
      <c r="D8048" s="201"/>
    </row>
    <row r="8049" spans="2:4">
      <c r="B8049" s="198"/>
      <c r="C8049" s="154"/>
      <c r="D8049" s="201"/>
    </row>
    <row r="8050" spans="2:4">
      <c r="B8050" s="198"/>
      <c r="C8050" s="154"/>
      <c r="D8050" s="201"/>
    </row>
    <row r="8051" spans="2:4">
      <c r="B8051" s="198"/>
      <c r="C8051" s="154"/>
      <c r="D8051" s="201"/>
    </row>
    <row r="8052" spans="2:4">
      <c r="B8052" s="198"/>
      <c r="C8052" s="154"/>
      <c r="D8052" s="201"/>
    </row>
    <row r="8053" spans="2:4">
      <c r="B8053" s="198"/>
      <c r="C8053" s="154"/>
      <c r="D8053" s="201"/>
    </row>
    <row r="8054" spans="2:4">
      <c r="B8054" s="198"/>
      <c r="C8054" s="154"/>
      <c r="D8054" s="201"/>
    </row>
    <row r="8055" spans="2:4">
      <c r="B8055" s="198"/>
      <c r="C8055" s="154"/>
      <c r="D8055" s="201"/>
    </row>
    <row r="8056" spans="2:4">
      <c r="B8056" s="198"/>
      <c r="C8056" s="154"/>
      <c r="D8056" s="201"/>
    </row>
    <row r="8057" spans="2:4">
      <c r="B8057" s="198"/>
      <c r="C8057" s="154"/>
      <c r="D8057" s="201"/>
    </row>
    <row r="8058" spans="2:4">
      <c r="B8058" s="198"/>
      <c r="C8058" s="154"/>
      <c r="D8058" s="201"/>
    </row>
    <row r="8059" spans="2:4">
      <c r="B8059" s="198"/>
      <c r="C8059" s="154"/>
      <c r="D8059" s="201"/>
    </row>
    <row r="8060" spans="2:4">
      <c r="B8060" s="198"/>
      <c r="C8060" s="154"/>
      <c r="D8060" s="201"/>
    </row>
    <row r="8061" spans="2:4">
      <c r="B8061" s="198"/>
      <c r="C8061" s="154"/>
      <c r="D8061" s="201"/>
    </row>
    <row r="8062" spans="2:4">
      <c r="B8062" s="198"/>
      <c r="C8062" s="154"/>
      <c r="D8062" s="201"/>
    </row>
    <row r="8063" spans="2:4">
      <c r="B8063" s="198"/>
      <c r="C8063" s="154"/>
      <c r="D8063" s="201"/>
    </row>
    <row r="8064" spans="2:4">
      <c r="B8064" s="198"/>
      <c r="C8064" s="154"/>
      <c r="D8064" s="201"/>
    </row>
    <row r="8065" spans="2:4">
      <c r="B8065" s="198"/>
      <c r="C8065" s="154"/>
      <c r="D8065" s="201"/>
    </row>
    <row r="8066" spans="2:4">
      <c r="B8066" s="198"/>
      <c r="C8066" s="154"/>
      <c r="D8066" s="201"/>
    </row>
    <row r="8067" spans="2:4">
      <c r="B8067" s="198"/>
      <c r="C8067" s="154"/>
      <c r="D8067" s="201"/>
    </row>
    <row r="8068" spans="2:4">
      <c r="B8068" s="198"/>
      <c r="C8068" s="154"/>
      <c r="D8068" s="201"/>
    </row>
    <row r="8069" spans="2:4">
      <c r="B8069" s="198"/>
      <c r="C8069" s="154"/>
      <c r="D8069" s="201"/>
    </row>
    <row r="8070" spans="2:4">
      <c r="B8070" s="198"/>
      <c r="C8070" s="154"/>
      <c r="D8070" s="201"/>
    </row>
    <row r="8071" spans="2:4">
      <c r="B8071" s="198"/>
      <c r="C8071" s="154"/>
      <c r="D8071" s="201"/>
    </row>
    <row r="8072" spans="2:4">
      <c r="B8072" s="198"/>
      <c r="C8072" s="154"/>
      <c r="D8072" s="201"/>
    </row>
    <row r="8073" spans="2:4">
      <c r="B8073" s="198"/>
      <c r="C8073" s="154"/>
      <c r="D8073" s="201"/>
    </row>
    <row r="8074" spans="2:4">
      <c r="B8074" s="198"/>
      <c r="C8074" s="154"/>
      <c r="D8074" s="201"/>
    </row>
    <row r="8075" spans="2:4">
      <c r="B8075" s="198"/>
      <c r="C8075" s="154"/>
      <c r="D8075" s="201"/>
    </row>
    <row r="8076" spans="2:4">
      <c r="B8076" s="198"/>
      <c r="C8076" s="154"/>
      <c r="D8076" s="201"/>
    </row>
    <row r="8077" spans="2:4">
      <c r="B8077" s="198"/>
      <c r="C8077" s="154"/>
      <c r="D8077" s="201"/>
    </row>
    <row r="8078" spans="2:4">
      <c r="B8078" s="198"/>
      <c r="C8078" s="154"/>
      <c r="D8078" s="201"/>
    </row>
    <row r="8079" spans="2:4">
      <c r="B8079" s="198"/>
      <c r="C8079" s="154"/>
      <c r="D8079" s="201"/>
    </row>
    <row r="8080" spans="2:4">
      <c r="B8080" s="198"/>
      <c r="C8080" s="154"/>
      <c r="D8080" s="201"/>
    </row>
    <row r="8081" spans="2:4">
      <c r="B8081" s="198"/>
      <c r="C8081" s="154"/>
      <c r="D8081" s="201"/>
    </row>
    <row r="8082" spans="2:4">
      <c r="B8082" s="198"/>
      <c r="C8082" s="154"/>
      <c r="D8082" s="201"/>
    </row>
    <row r="8083" spans="2:4">
      <c r="B8083" s="198"/>
      <c r="C8083" s="154"/>
      <c r="D8083" s="201"/>
    </row>
    <row r="8084" spans="2:4">
      <c r="B8084" s="198"/>
      <c r="C8084" s="154"/>
      <c r="D8084" s="201"/>
    </row>
    <row r="8085" spans="2:4">
      <c r="B8085" s="198"/>
      <c r="C8085" s="154"/>
      <c r="D8085" s="201"/>
    </row>
    <row r="8086" spans="2:4">
      <c r="B8086" s="198"/>
      <c r="C8086" s="154"/>
      <c r="D8086" s="201"/>
    </row>
    <row r="8087" spans="2:4">
      <c r="B8087" s="198"/>
      <c r="C8087" s="154"/>
      <c r="D8087" s="201"/>
    </row>
    <row r="8088" spans="2:4">
      <c r="B8088" s="198"/>
      <c r="C8088" s="154"/>
      <c r="D8088" s="201"/>
    </row>
    <row r="8089" spans="2:4">
      <c r="B8089" s="198"/>
      <c r="C8089" s="154"/>
      <c r="D8089" s="201"/>
    </row>
    <row r="8090" spans="2:4">
      <c r="B8090" s="198"/>
      <c r="C8090" s="154"/>
      <c r="D8090" s="201"/>
    </row>
    <row r="8091" spans="2:4">
      <c r="B8091" s="198"/>
      <c r="C8091" s="154"/>
      <c r="D8091" s="201"/>
    </row>
    <row r="8092" spans="2:4">
      <c r="B8092" s="198"/>
      <c r="C8092" s="154"/>
      <c r="D8092" s="201"/>
    </row>
    <row r="8093" spans="2:4">
      <c r="B8093" s="198"/>
      <c r="C8093" s="154"/>
      <c r="D8093" s="201"/>
    </row>
    <row r="8094" spans="2:4">
      <c r="B8094" s="198"/>
      <c r="C8094" s="154"/>
      <c r="D8094" s="201"/>
    </row>
    <row r="8095" spans="2:4">
      <c r="B8095" s="198"/>
      <c r="C8095" s="154"/>
      <c r="D8095" s="201"/>
    </row>
    <row r="8096" spans="2:4">
      <c r="B8096" s="198"/>
      <c r="C8096" s="154"/>
      <c r="D8096" s="201"/>
    </row>
    <row r="8097" spans="2:4">
      <c r="B8097" s="198"/>
      <c r="C8097" s="154"/>
      <c r="D8097" s="201"/>
    </row>
    <row r="8098" spans="2:4">
      <c r="B8098" s="198"/>
      <c r="C8098" s="154"/>
      <c r="D8098" s="201"/>
    </row>
    <row r="8099" spans="2:4">
      <c r="B8099" s="198"/>
      <c r="C8099" s="154"/>
      <c r="D8099" s="201"/>
    </row>
    <row r="8100" spans="2:4">
      <c r="B8100" s="198"/>
      <c r="C8100" s="154"/>
      <c r="D8100" s="201"/>
    </row>
    <row r="8101" spans="2:4">
      <c r="B8101" s="198"/>
      <c r="C8101" s="154"/>
      <c r="D8101" s="201"/>
    </row>
    <row r="8102" spans="2:4">
      <c r="B8102" s="198"/>
      <c r="C8102" s="154"/>
      <c r="D8102" s="201"/>
    </row>
    <row r="8103" spans="2:4">
      <c r="B8103" s="198"/>
      <c r="C8103" s="154"/>
      <c r="D8103" s="201"/>
    </row>
    <row r="8104" spans="2:4">
      <c r="B8104" s="198"/>
      <c r="C8104" s="154"/>
      <c r="D8104" s="201"/>
    </row>
    <row r="8105" spans="2:4">
      <c r="B8105" s="198"/>
      <c r="C8105" s="154"/>
      <c r="D8105" s="201"/>
    </row>
    <row r="8106" spans="2:4">
      <c r="B8106" s="198"/>
      <c r="C8106" s="154"/>
      <c r="D8106" s="201"/>
    </row>
    <row r="8107" spans="2:4">
      <c r="B8107" s="198"/>
      <c r="C8107" s="154"/>
      <c r="D8107" s="201"/>
    </row>
    <row r="8108" spans="2:4">
      <c r="B8108" s="198"/>
      <c r="C8108" s="154"/>
      <c r="D8108" s="201"/>
    </row>
    <row r="8109" spans="2:4">
      <c r="B8109" s="198"/>
      <c r="C8109" s="154"/>
      <c r="D8109" s="201"/>
    </row>
    <row r="8110" spans="2:4">
      <c r="B8110" s="198"/>
      <c r="C8110" s="154"/>
      <c r="D8110" s="201"/>
    </row>
    <row r="8111" spans="2:4">
      <c r="B8111" s="198"/>
      <c r="C8111" s="154"/>
      <c r="D8111" s="201"/>
    </row>
    <row r="8112" spans="2:4">
      <c r="B8112" s="198"/>
      <c r="C8112" s="154"/>
      <c r="D8112" s="201"/>
    </row>
    <row r="8113" spans="2:4">
      <c r="B8113" s="198"/>
      <c r="C8113" s="154"/>
      <c r="D8113" s="201"/>
    </row>
    <row r="8114" spans="2:4">
      <c r="B8114" s="198"/>
      <c r="C8114" s="154"/>
      <c r="D8114" s="201"/>
    </row>
    <row r="8115" spans="2:4">
      <c r="B8115" s="198"/>
      <c r="C8115" s="154"/>
      <c r="D8115" s="201"/>
    </row>
    <row r="8116" spans="2:4">
      <c r="B8116" s="198"/>
      <c r="C8116" s="154"/>
      <c r="D8116" s="201"/>
    </row>
    <row r="8117" spans="2:4">
      <c r="B8117" s="198"/>
      <c r="C8117" s="154"/>
      <c r="D8117" s="201"/>
    </row>
    <row r="8118" spans="2:4">
      <c r="B8118" s="198"/>
      <c r="C8118" s="154"/>
      <c r="D8118" s="201"/>
    </row>
    <row r="8119" spans="2:4">
      <c r="B8119" s="198"/>
      <c r="C8119" s="154"/>
      <c r="D8119" s="201"/>
    </row>
    <row r="8120" spans="2:4">
      <c r="B8120" s="198"/>
      <c r="C8120" s="154"/>
      <c r="D8120" s="201"/>
    </row>
    <row r="8121" spans="2:4">
      <c r="B8121" s="198"/>
      <c r="C8121" s="154"/>
      <c r="D8121" s="201"/>
    </row>
    <row r="8122" spans="2:4">
      <c r="B8122" s="198"/>
      <c r="C8122" s="154"/>
      <c r="D8122" s="201"/>
    </row>
    <row r="8123" spans="2:4">
      <c r="B8123" s="198"/>
      <c r="C8123" s="154"/>
      <c r="D8123" s="201"/>
    </row>
    <row r="8124" spans="2:4">
      <c r="B8124" s="198"/>
      <c r="C8124" s="154"/>
      <c r="D8124" s="201"/>
    </row>
    <row r="8125" spans="2:4">
      <c r="B8125" s="198"/>
      <c r="C8125" s="154"/>
      <c r="D8125" s="201"/>
    </row>
    <row r="8126" spans="2:4">
      <c r="B8126" s="198"/>
      <c r="C8126" s="154"/>
      <c r="D8126" s="201"/>
    </row>
    <row r="8127" spans="2:4">
      <c r="B8127" s="198"/>
      <c r="C8127" s="154"/>
      <c r="D8127" s="201"/>
    </row>
    <row r="8128" spans="2:4">
      <c r="B8128" s="198"/>
      <c r="C8128" s="154"/>
      <c r="D8128" s="201"/>
    </row>
    <row r="8129" spans="2:4">
      <c r="B8129" s="198"/>
      <c r="C8129" s="154"/>
      <c r="D8129" s="201"/>
    </row>
    <row r="8130" spans="2:4">
      <c r="B8130" s="198"/>
      <c r="C8130" s="154"/>
      <c r="D8130" s="201"/>
    </row>
    <row r="8131" spans="2:4">
      <c r="B8131" s="198"/>
      <c r="C8131" s="154"/>
      <c r="D8131" s="201"/>
    </row>
    <row r="8132" spans="2:4">
      <c r="B8132" s="198"/>
      <c r="C8132" s="154"/>
      <c r="D8132" s="201"/>
    </row>
    <row r="8133" spans="2:4">
      <c r="B8133" s="198"/>
      <c r="C8133" s="154"/>
      <c r="D8133" s="201"/>
    </row>
    <row r="8134" spans="2:4">
      <c r="B8134" s="198"/>
      <c r="C8134" s="154"/>
      <c r="D8134" s="201"/>
    </row>
    <row r="8135" spans="2:4">
      <c r="B8135" s="198"/>
      <c r="C8135" s="154"/>
      <c r="D8135" s="201"/>
    </row>
    <row r="8136" spans="2:4">
      <c r="B8136" s="198"/>
      <c r="C8136" s="154"/>
      <c r="D8136" s="201"/>
    </row>
    <row r="8137" spans="2:4">
      <c r="B8137" s="198"/>
      <c r="C8137" s="154"/>
      <c r="D8137" s="201"/>
    </row>
    <row r="8138" spans="2:4">
      <c r="B8138" s="198"/>
      <c r="C8138" s="154"/>
      <c r="D8138" s="201"/>
    </row>
    <row r="8139" spans="2:4">
      <c r="B8139" s="198"/>
      <c r="C8139" s="154"/>
      <c r="D8139" s="201"/>
    </row>
    <row r="8140" spans="2:4">
      <c r="B8140" s="198"/>
      <c r="C8140" s="154"/>
      <c r="D8140" s="201"/>
    </row>
    <row r="8141" spans="2:4">
      <c r="B8141" s="198"/>
      <c r="C8141" s="154"/>
      <c r="D8141" s="201"/>
    </row>
    <row r="8142" spans="2:4">
      <c r="B8142" s="198"/>
      <c r="C8142" s="154"/>
      <c r="D8142" s="201"/>
    </row>
    <row r="8143" spans="2:4">
      <c r="B8143" s="198"/>
      <c r="C8143" s="154"/>
      <c r="D8143" s="201"/>
    </row>
    <row r="8144" spans="2:4">
      <c r="B8144" s="198"/>
      <c r="C8144" s="154"/>
      <c r="D8144" s="201"/>
    </row>
    <row r="8145" spans="2:4">
      <c r="B8145" s="198"/>
      <c r="C8145" s="154"/>
      <c r="D8145" s="201"/>
    </row>
    <row r="8146" spans="2:4">
      <c r="B8146" s="198"/>
      <c r="C8146" s="154"/>
      <c r="D8146" s="201"/>
    </row>
    <row r="8147" spans="2:4">
      <c r="B8147" s="198"/>
      <c r="C8147" s="154"/>
      <c r="D8147" s="201"/>
    </row>
    <row r="8148" spans="2:4">
      <c r="B8148" s="198"/>
      <c r="C8148" s="154"/>
      <c r="D8148" s="201"/>
    </row>
    <row r="8149" spans="2:4">
      <c r="B8149" s="198"/>
      <c r="C8149" s="154"/>
      <c r="D8149" s="201"/>
    </row>
    <row r="8150" spans="2:4">
      <c r="B8150" s="198"/>
      <c r="C8150" s="154"/>
      <c r="D8150" s="201"/>
    </row>
    <row r="8151" spans="2:4">
      <c r="B8151" s="198"/>
      <c r="C8151" s="154"/>
      <c r="D8151" s="201"/>
    </row>
    <row r="8152" spans="2:4">
      <c r="B8152" s="198"/>
      <c r="C8152" s="154"/>
      <c r="D8152" s="201"/>
    </row>
    <row r="8153" spans="2:4">
      <c r="B8153" s="198"/>
      <c r="C8153" s="154"/>
      <c r="D8153" s="201"/>
    </row>
    <row r="8154" spans="2:4">
      <c r="B8154" s="198"/>
      <c r="C8154" s="154"/>
      <c r="D8154" s="201"/>
    </row>
    <row r="8155" spans="2:4">
      <c r="B8155" s="198"/>
      <c r="C8155" s="154"/>
      <c r="D8155" s="201"/>
    </row>
    <row r="8156" spans="2:4">
      <c r="B8156" s="198"/>
      <c r="C8156" s="154"/>
      <c r="D8156" s="201"/>
    </row>
    <row r="8157" spans="2:4">
      <c r="B8157" s="198"/>
      <c r="C8157" s="154"/>
      <c r="D8157" s="201"/>
    </row>
    <row r="8158" spans="2:4">
      <c r="B8158" s="198"/>
      <c r="C8158" s="154"/>
      <c r="D8158" s="201"/>
    </row>
    <row r="8159" spans="2:4">
      <c r="B8159" s="198"/>
      <c r="C8159" s="154"/>
      <c r="D8159" s="201"/>
    </row>
    <row r="8160" spans="2:4">
      <c r="B8160" s="198"/>
      <c r="C8160" s="154"/>
      <c r="D8160" s="201"/>
    </row>
    <row r="8161" spans="2:4">
      <c r="B8161" s="198"/>
      <c r="C8161" s="154"/>
      <c r="D8161" s="201"/>
    </row>
    <row r="8162" spans="2:4">
      <c r="B8162" s="198"/>
      <c r="C8162" s="154"/>
      <c r="D8162" s="201"/>
    </row>
    <row r="8163" spans="2:4">
      <c r="B8163" s="198"/>
      <c r="C8163" s="154"/>
      <c r="D8163" s="201"/>
    </row>
    <row r="8164" spans="2:4">
      <c r="B8164" s="198"/>
      <c r="C8164" s="154"/>
      <c r="D8164" s="201"/>
    </row>
    <row r="8165" spans="2:4">
      <c r="B8165" s="198"/>
      <c r="C8165" s="154"/>
      <c r="D8165" s="201"/>
    </row>
    <row r="8166" spans="2:4">
      <c r="B8166" s="198"/>
      <c r="C8166" s="154"/>
      <c r="D8166" s="201"/>
    </row>
    <row r="8167" spans="2:4">
      <c r="B8167" s="198"/>
      <c r="C8167" s="154"/>
      <c r="D8167" s="201"/>
    </row>
    <row r="8168" spans="2:4">
      <c r="B8168" s="198"/>
      <c r="C8168" s="154"/>
      <c r="D8168" s="201"/>
    </row>
    <row r="8169" spans="2:4">
      <c r="B8169" s="198"/>
      <c r="C8169" s="154"/>
      <c r="D8169" s="201"/>
    </row>
    <row r="8170" spans="2:4">
      <c r="B8170" s="198"/>
      <c r="C8170" s="154"/>
      <c r="D8170" s="201"/>
    </row>
    <row r="8171" spans="2:4">
      <c r="B8171" s="198"/>
      <c r="C8171" s="154"/>
      <c r="D8171" s="201"/>
    </row>
    <row r="8172" spans="2:4">
      <c r="B8172" s="198"/>
      <c r="C8172" s="154"/>
      <c r="D8172" s="201"/>
    </row>
    <row r="8173" spans="2:4">
      <c r="B8173" s="198"/>
      <c r="C8173" s="154"/>
      <c r="D8173" s="201"/>
    </row>
    <row r="8174" spans="2:4">
      <c r="B8174" s="198"/>
      <c r="C8174" s="154"/>
      <c r="D8174" s="201"/>
    </row>
    <row r="8175" spans="2:4">
      <c r="B8175" s="198"/>
      <c r="C8175" s="154"/>
      <c r="D8175" s="201"/>
    </row>
    <row r="8176" spans="2:4">
      <c r="B8176" s="198"/>
      <c r="C8176" s="154"/>
      <c r="D8176" s="201"/>
    </row>
    <row r="8177" spans="2:4">
      <c r="B8177" s="198"/>
      <c r="C8177" s="154"/>
      <c r="D8177" s="201"/>
    </row>
    <row r="8178" spans="2:4">
      <c r="B8178" s="198"/>
      <c r="C8178" s="154"/>
      <c r="D8178" s="201"/>
    </row>
    <row r="8179" spans="2:4">
      <c r="B8179" s="198"/>
      <c r="C8179" s="154"/>
      <c r="D8179" s="201"/>
    </row>
    <row r="8180" spans="2:4">
      <c r="B8180" s="198"/>
      <c r="C8180" s="154"/>
      <c r="D8180" s="201"/>
    </row>
    <row r="8181" spans="2:4">
      <c r="B8181" s="198"/>
      <c r="C8181" s="154"/>
      <c r="D8181" s="201"/>
    </row>
    <row r="8182" spans="2:4">
      <c r="B8182" s="198"/>
      <c r="C8182" s="154"/>
      <c r="D8182" s="201"/>
    </row>
    <row r="8183" spans="2:4">
      <c r="B8183" s="198"/>
      <c r="C8183" s="154"/>
      <c r="D8183" s="201"/>
    </row>
    <row r="8184" spans="2:4">
      <c r="B8184" s="198"/>
      <c r="C8184" s="154"/>
      <c r="D8184" s="201"/>
    </row>
    <row r="8185" spans="2:4">
      <c r="B8185" s="198"/>
      <c r="C8185" s="154"/>
      <c r="D8185" s="201"/>
    </row>
    <row r="8186" spans="2:4">
      <c r="B8186" s="198"/>
      <c r="C8186" s="154"/>
      <c r="D8186" s="201"/>
    </row>
    <row r="8187" spans="2:4">
      <c r="B8187" s="198"/>
      <c r="C8187" s="154"/>
      <c r="D8187" s="201"/>
    </row>
    <row r="8188" spans="2:4">
      <c r="B8188" s="198"/>
      <c r="C8188" s="154"/>
      <c r="D8188" s="201"/>
    </row>
    <row r="8189" spans="2:4">
      <c r="B8189" s="198"/>
      <c r="C8189" s="154"/>
      <c r="D8189" s="201"/>
    </row>
    <row r="8190" spans="2:4">
      <c r="B8190" s="198"/>
      <c r="C8190" s="154"/>
      <c r="D8190" s="201"/>
    </row>
    <row r="8191" spans="2:4">
      <c r="B8191" s="198"/>
      <c r="C8191" s="154"/>
      <c r="D8191" s="201"/>
    </row>
    <row r="8192" spans="2:4">
      <c r="B8192" s="198"/>
      <c r="C8192" s="154"/>
      <c r="D8192" s="201"/>
    </row>
    <row r="8193" spans="2:4">
      <c r="B8193" s="198"/>
      <c r="C8193" s="154"/>
      <c r="D8193" s="201"/>
    </row>
    <row r="8194" spans="2:4">
      <c r="B8194" s="198"/>
      <c r="C8194" s="154"/>
      <c r="D8194" s="201"/>
    </row>
    <row r="8195" spans="2:4">
      <c r="B8195" s="198"/>
      <c r="C8195" s="154"/>
      <c r="D8195" s="201"/>
    </row>
    <row r="8196" spans="2:4">
      <c r="B8196" s="198"/>
      <c r="C8196" s="154"/>
      <c r="D8196" s="201"/>
    </row>
    <row r="8197" spans="2:4">
      <c r="B8197" s="198"/>
      <c r="C8197" s="154"/>
      <c r="D8197" s="201"/>
    </row>
    <row r="8198" spans="2:4">
      <c r="B8198" s="198"/>
      <c r="C8198" s="154"/>
      <c r="D8198" s="201"/>
    </row>
    <row r="8199" spans="2:4">
      <c r="B8199" s="198"/>
      <c r="C8199" s="154"/>
      <c r="D8199" s="201"/>
    </row>
    <row r="8200" spans="2:4">
      <c r="B8200" s="198"/>
      <c r="C8200" s="154"/>
      <c r="D8200" s="201"/>
    </row>
    <row r="8201" spans="2:4">
      <c r="B8201" s="198"/>
      <c r="C8201" s="154"/>
      <c r="D8201" s="201"/>
    </row>
    <row r="8202" spans="2:4">
      <c r="B8202" s="198"/>
      <c r="C8202" s="154"/>
      <c r="D8202" s="201"/>
    </row>
    <row r="8203" spans="2:4">
      <c r="B8203" s="198"/>
      <c r="C8203" s="154"/>
      <c r="D8203" s="201"/>
    </row>
    <row r="8204" spans="2:4">
      <c r="B8204" s="198"/>
      <c r="C8204" s="154"/>
      <c r="D8204" s="201"/>
    </row>
    <row r="8205" spans="2:4">
      <c r="B8205" s="198"/>
      <c r="C8205" s="154"/>
      <c r="D8205" s="201"/>
    </row>
    <row r="8206" spans="2:4">
      <c r="B8206" s="198"/>
      <c r="C8206" s="154"/>
      <c r="D8206" s="201"/>
    </row>
    <row r="8207" spans="2:4">
      <c r="B8207" s="198"/>
      <c r="C8207" s="154"/>
      <c r="D8207" s="201"/>
    </row>
    <row r="8208" spans="2:4">
      <c r="B8208" s="198"/>
      <c r="C8208" s="154"/>
      <c r="D8208" s="201"/>
    </row>
    <row r="8209" spans="2:4">
      <c r="B8209" s="198"/>
      <c r="C8209" s="154"/>
      <c r="D8209" s="201"/>
    </row>
    <row r="8210" spans="2:4">
      <c r="B8210" s="198"/>
      <c r="C8210" s="154"/>
      <c r="D8210" s="201"/>
    </row>
    <row r="8211" spans="2:4">
      <c r="B8211" s="198"/>
      <c r="C8211" s="154"/>
      <c r="D8211" s="201"/>
    </row>
    <row r="8212" spans="2:4">
      <c r="B8212" s="198"/>
      <c r="C8212" s="154"/>
      <c r="D8212" s="201"/>
    </row>
    <row r="8213" spans="2:4">
      <c r="B8213" s="198"/>
      <c r="C8213" s="154"/>
      <c r="D8213" s="201"/>
    </row>
    <row r="8214" spans="2:4">
      <c r="B8214" s="198"/>
      <c r="C8214" s="154"/>
      <c r="D8214" s="201"/>
    </row>
    <row r="8215" spans="2:4">
      <c r="B8215" s="198"/>
      <c r="C8215" s="154"/>
      <c r="D8215" s="201"/>
    </row>
    <row r="8216" spans="2:4">
      <c r="B8216" s="198"/>
      <c r="C8216" s="154"/>
      <c r="D8216" s="201"/>
    </row>
    <row r="8217" spans="2:4">
      <c r="B8217" s="198"/>
      <c r="C8217" s="154"/>
      <c r="D8217" s="201"/>
    </row>
    <row r="8218" spans="2:4">
      <c r="B8218" s="198"/>
      <c r="C8218" s="154"/>
      <c r="D8218" s="201"/>
    </row>
    <row r="8219" spans="2:4">
      <c r="B8219" s="198"/>
      <c r="C8219" s="154"/>
      <c r="D8219" s="201"/>
    </row>
    <row r="8220" spans="2:4">
      <c r="B8220" s="198"/>
      <c r="C8220" s="154"/>
      <c r="D8220" s="201"/>
    </row>
    <row r="8221" spans="2:4">
      <c r="B8221" s="198"/>
      <c r="C8221" s="154"/>
      <c r="D8221" s="201"/>
    </row>
    <row r="8222" spans="2:4">
      <c r="B8222" s="198"/>
      <c r="C8222" s="154"/>
      <c r="D8222" s="201"/>
    </row>
    <row r="8223" spans="2:4">
      <c r="B8223" s="198"/>
      <c r="C8223" s="154"/>
      <c r="D8223" s="201"/>
    </row>
    <row r="8224" spans="2:4">
      <c r="B8224" s="198"/>
      <c r="C8224" s="154"/>
      <c r="D8224" s="201"/>
    </row>
    <row r="8225" spans="2:4">
      <c r="B8225" s="198"/>
      <c r="C8225" s="154"/>
      <c r="D8225" s="201"/>
    </row>
    <row r="8226" spans="2:4">
      <c r="B8226" s="198"/>
      <c r="C8226" s="154"/>
      <c r="D8226" s="201"/>
    </row>
    <row r="8227" spans="2:4">
      <c r="B8227" s="198"/>
      <c r="C8227" s="154"/>
      <c r="D8227" s="201"/>
    </row>
    <row r="8228" spans="2:4">
      <c r="B8228" s="198"/>
      <c r="C8228" s="154"/>
      <c r="D8228" s="201"/>
    </row>
    <row r="8229" spans="2:4">
      <c r="B8229" s="198"/>
      <c r="C8229" s="154"/>
      <c r="D8229" s="201"/>
    </row>
    <row r="8230" spans="2:4">
      <c r="B8230" s="198"/>
      <c r="C8230" s="154"/>
      <c r="D8230" s="201"/>
    </row>
    <row r="8231" spans="2:4">
      <c r="B8231" s="198"/>
      <c r="C8231" s="154"/>
      <c r="D8231" s="201"/>
    </row>
    <row r="8232" spans="2:4">
      <c r="B8232" s="198"/>
      <c r="C8232" s="154"/>
      <c r="D8232" s="201"/>
    </row>
    <row r="8233" spans="2:4">
      <c r="B8233" s="198"/>
      <c r="C8233" s="154"/>
      <c r="D8233" s="201"/>
    </row>
    <row r="8234" spans="2:4">
      <c r="B8234" s="198"/>
      <c r="C8234" s="154"/>
      <c r="D8234" s="201"/>
    </row>
    <row r="8235" spans="2:4">
      <c r="B8235" s="198"/>
      <c r="C8235" s="154"/>
      <c r="D8235" s="201"/>
    </row>
    <row r="8236" spans="2:4">
      <c r="B8236" s="198"/>
      <c r="C8236" s="154"/>
      <c r="D8236" s="201"/>
    </row>
    <row r="8237" spans="2:4">
      <c r="B8237" s="198"/>
      <c r="C8237" s="154"/>
      <c r="D8237" s="201"/>
    </row>
    <row r="8238" spans="2:4">
      <c r="B8238" s="198"/>
      <c r="C8238" s="154"/>
      <c r="D8238" s="201"/>
    </row>
    <row r="8239" spans="2:4">
      <c r="B8239" s="198"/>
      <c r="C8239" s="154"/>
      <c r="D8239" s="201"/>
    </row>
    <row r="8240" spans="2:4">
      <c r="B8240" s="198"/>
      <c r="C8240" s="154"/>
      <c r="D8240" s="201"/>
    </row>
    <row r="8241" spans="2:4">
      <c r="B8241" s="198"/>
      <c r="C8241" s="154"/>
      <c r="D8241" s="201"/>
    </row>
    <row r="8242" spans="2:4">
      <c r="B8242" s="198"/>
      <c r="C8242" s="154"/>
      <c r="D8242" s="201"/>
    </row>
    <row r="8243" spans="2:4">
      <c r="B8243" s="198"/>
      <c r="C8243" s="154"/>
      <c r="D8243" s="201"/>
    </row>
    <row r="8244" spans="2:4">
      <c r="B8244" s="198"/>
      <c r="C8244" s="154"/>
      <c r="D8244" s="201"/>
    </row>
    <row r="8245" spans="2:4">
      <c r="B8245" s="198"/>
      <c r="C8245" s="154"/>
      <c r="D8245" s="201"/>
    </row>
    <row r="8246" spans="2:4">
      <c r="B8246" s="198"/>
      <c r="C8246" s="154"/>
      <c r="D8246" s="201"/>
    </row>
    <row r="8247" spans="2:4">
      <c r="B8247" s="198"/>
      <c r="C8247" s="154"/>
      <c r="D8247" s="201"/>
    </row>
    <row r="8248" spans="2:4">
      <c r="B8248" s="198"/>
      <c r="C8248" s="154"/>
      <c r="D8248" s="201"/>
    </row>
    <row r="8249" spans="2:4">
      <c r="B8249" s="198"/>
      <c r="C8249" s="154"/>
      <c r="D8249" s="201"/>
    </row>
    <row r="8250" spans="2:4">
      <c r="B8250" s="198"/>
      <c r="C8250" s="154"/>
      <c r="D8250" s="201"/>
    </row>
    <row r="8251" spans="2:4">
      <c r="B8251" s="198"/>
      <c r="C8251" s="154"/>
      <c r="D8251" s="201"/>
    </row>
    <row r="8252" spans="2:4">
      <c r="B8252" s="198"/>
      <c r="C8252" s="154"/>
      <c r="D8252" s="201"/>
    </row>
    <row r="8253" spans="2:4">
      <c r="B8253" s="198"/>
      <c r="C8253" s="154"/>
      <c r="D8253" s="201"/>
    </row>
    <row r="8254" spans="2:4">
      <c r="B8254" s="198"/>
      <c r="C8254" s="154"/>
      <c r="D8254" s="201"/>
    </row>
    <row r="8255" spans="2:4">
      <c r="B8255" s="198"/>
      <c r="C8255" s="154"/>
      <c r="D8255" s="201"/>
    </row>
    <row r="8256" spans="2:4">
      <c r="B8256" s="198"/>
      <c r="C8256" s="154"/>
      <c r="D8256" s="201"/>
    </row>
    <row r="8257" spans="2:4">
      <c r="B8257" s="198"/>
      <c r="C8257" s="154"/>
      <c r="D8257" s="201"/>
    </row>
    <row r="8258" spans="2:4">
      <c r="B8258" s="198"/>
      <c r="C8258" s="154"/>
      <c r="D8258" s="201"/>
    </row>
    <row r="8259" spans="2:4">
      <c r="B8259" s="198"/>
      <c r="C8259" s="154"/>
      <c r="D8259" s="201"/>
    </row>
    <row r="8260" spans="2:4">
      <c r="B8260" s="198"/>
      <c r="C8260" s="154"/>
      <c r="D8260" s="201"/>
    </row>
    <row r="8261" spans="2:4">
      <c r="B8261" s="198"/>
      <c r="C8261" s="154"/>
      <c r="D8261" s="201"/>
    </row>
    <row r="8262" spans="2:4">
      <c r="B8262" s="198"/>
      <c r="C8262" s="154"/>
      <c r="D8262" s="201"/>
    </row>
    <row r="8263" spans="2:4">
      <c r="B8263" s="198"/>
      <c r="C8263" s="154"/>
      <c r="D8263" s="201"/>
    </row>
    <row r="8264" spans="2:4">
      <c r="B8264" s="198"/>
      <c r="C8264" s="154"/>
      <c r="D8264" s="201"/>
    </row>
    <row r="8265" spans="2:4">
      <c r="B8265" s="198"/>
      <c r="C8265" s="154"/>
      <c r="D8265" s="201"/>
    </row>
    <row r="8266" spans="2:4">
      <c r="B8266" s="198"/>
      <c r="C8266" s="154"/>
      <c r="D8266" s="201"/>
    </row>
    <row r="8267" spans="2:4">
      <c r="B8267" s="198"/>
      <c r="C8267" s="154"/>
      <c r="D8267" s="201"/>
    </row>
    <row r="8268" spans="2:4">
      <c r="B8268" s="198"/>
      <c r="C8268" s="154"/>
      <c r="D8268" s="201"/>
    </row>
    <row r="8269" spans="2:4">
      <c r="B8269" s="198"/>
      <c r="C8269" s="154"/>
      <c r="D8269" s="201"/>
    </row>
    <row r="8270" spans="2:4">
      <c r="B8270" s="198"/>
      <c r="C8270" s="154"/>
      <c r="D8270" s="201"/>
    </row>
    <row r="8271" spans="2:4">
      <c r="B8271" s="198"/>
      <c r="C8271" s="154"/>
      <c r="D8271" s="201"/>
    </row>
    <row r="8272" spans="2:4">
      <c r="B8272" s="198"/>
      <c r="C8272" s="154"/>
      <c r="D8272" s="201"/>
    </row>
    <row r="8273" spans="2:4">
      <c r="B8273" s="198"/>
      <c r="C8273" s="154"/>
      <c r="D8273" s="201"/>
    </row>
    <row r="8274" spans="2:4">
      <c r="B8274" s="198"/>
      <c r="C8274" s="154"/>
      <c r="D8274" s="201"/>
    </row>
    <row r="8275" spans="2:4">
      <c r="B8275" s="198"/>
      <c r="C8275" s="154"/>
      <c r="D8275" s="201"/>
    </row>
    <row r="8276" spans="2:4">
      <c r="B8276" s="198"/>
      <c r="C8276" s="154"/>
      <c r="D8276" s="201"/>
    </row>
    <row r="8277" spans="2:4">
      <c r="B8277" s="198"/>
      <c r="C8277" s="154"/>
      <c r="D8277" s="201"/>
    </row>
    <row r="8278" spans="2:4">
      <c r="B8278" s="198"/>
      <c r="C8278" s="154"/>
      <c r="D8278" s="201"/>
    </row>
    <row r="8279" spans="2:4">
      <c r="B8279" s="198"/>
      <c r="C8279" s="154"/>
      <c r="D8279" s="201"/>
    </row>
    <row r="8280" spans="2:4">
      <c r="B8280" s="198"/>
      <c r="C8280" s="154"/>
      <c r="D8280" s="201"/>
    </row>
    <row r="8281" spans="2:4">
      <c r="B8281" s="198"/>
      <c r="C8281" s="154"/>
      <c r="D8281" s="201"/>
    </row>
    <row r="8282" spans="2:4">
      <c r="B8282" s="198"/>
      <c r="C8282" s="154"/>
      <c r="D8282" s="201"/>
    </row>
    <row r="8283" spans="2:4">
      <c r="B8283" s="198"/>
      <c r="C8283" s="154"/>
      <c r="D8283" s="201"/>
    </row>
    <row r="8284" spans="2:4">
      <c r="B8284" s="198"/>
      <c r="C8284" s="154"/>
      <c r="D8284" s="201"/>
    </row>
    <row r="8285" spans="2:4">
      <c r="B8285" s="198"/>
      <c r="C8285" s="154"/>
      <c r="D8285" s="201"/>
    </row>
    <row r="8286" spans="2:4">
      <c r="B8286" s="198"/>
      <c r="C8286" s="154"/>
      <c r="D8286" s="201"/>
    </row>
    <row r="8287" spans="2:4">
      <c r="B8287" s="198"/>
      <c r="C8287" s="154"/>
      <c r="D8287" s="201"/>
    </row>
    <row r="8288" spans="2:4">
      <c r="B8288" s="198"/>
      <c r="C8288" s="154"/>
      <c r="D8288" s="201"/>
    </row>
    <row r="8289" spans="2:4">
      <c r="B8289" s="198"/>
      <c r="C8289" s="154"/>
      <c r="D8289" s="201"/>
    </row>
    <row r="8290" spans="2:4">
      <c r="B8290" s="198"/>
      <c r="C8290" s="154"/>
      <c r="D8290" s="201"/>
    </row>
    <row r="8291" spans="2:4">
      <c r="B8291" s="198"/>
      <c r="C8291" s="154"/>
      <c r="D8291" s="201"/>
    </row>
    <row r="8292" spans="2:4">
      <c r="B8292" s="198"/>
      <c r="C8292" s="154"/>
      <c r="D8292" s="201"/>
    </row>
    <row r="8293" spans="2:4">
      <c r="B8293" s="198"/>
      <c r="C8293" s="154"/>
      <c r="D8293" s="201"/>
    </row>
    <row r="8294" spans="2:4">
      <c r="B8294" s="198"/>
      <c r="C8294" s="154"/>
      <c r="D8294" s="201"/>
    </row>
    <row r="8295" spans="2:4">
      <c r="B8295" s="198"/>
      <c r="C8295" s="154"/>
      <c r="D8295" s="201"/>
    </row>
    <row r="8296" spans="2:4">
      <c r="B8296" s="198"/>
      <c r="C8296" s="154"/>
      <c r="D8296" s="201"/>
    </row>
    <row r="8297" spans="2:4">
      <c r="B8297" s="198"/>
      <c r="C8297" s="154"/>
      <c r="D8297" s="201"/>
    </row>
    <row r="8298" spans="2:4">
      <c r="B8298" s="198"/>
      <c r="C8298" s="154"/>
      <c r="D8298" s="201"/>
    </row>
    <row r="8299" spans="2:4">
      <c r="B8299" s="198"/>
      <c r="C8299" s="154"/>
      <c r="D8299" s="201"/>
    </row>
    <row r="8300" spans="2:4">
      <c r="B8300" s="198"/>
      <c r="C8300" s="154"/>
      <c r="D8300" s="201"/>
    </row>
    <row r="8301" spans="2:4">
      <c r="B8301" s="198"/>
      <c r="C8301" s="154"/>
      <c r="D8301" s="201"/>
    </row>
    <row r="8302" spans="2:4">
      <c r="B8302" s="198"/>
      <c r="C8302" s="154"/>
      <c r="D8302" s="201"/>
    </row>
    <row r="8303" spans="2:4">
      <c r="B8303" s="198"/>
      <c r="C8303" s="154"/>
      <c r="D8303" s="201"/>
    </row>
    <row r="8304" spans="2:4">
      <c r="B8304" s="198"/>
      <c r="C8304" s="154"/>
      <c r="D8304" s="201"/>
    </row>
    <row r="8305" spans="2:4">
      <c r="B8305" s="198"/>
      <c r="C8305" s="154"/>
      <c r="D8305" s="201"/>
    </row>
    <row r="8306" spans="2:4">
      <c r="B8306" s="198"/>
      <c r="C8306" s="154"/>
      <c r="D8306" s="201"/>
    </row>
    <row r="8307" spans="2:4">
      <c r="B8307" s="198"/>
      <c r="C8307" s="154"/>
      <c r="D8307" s="201"/>
    </row>
    <row r="8308" spans="2:4">
      <c r="B8308" s="198"/>
      <c r="C8308" s="154"/>
      <c r="D8308" s="201"/>
    </row>
    <row r="8309" spans="2:4">
      <c r="B8309" s="198"/>
      <c r="C8309" s="154"/>
      <c r="D8309" s="201"/>
    </row>
    <row r="8310" spans="2:4">
      <c r="B8310" s="198"/>
      <c r="C8310" s="154"/>
      <c r="D8310" s="201"/>
    </row>
    <row r="8311" spans="2:4">
      <c r="B8311" s="198"/>
      <c r="C8311" s="154"/>
      <c r="D8311" s="201"/>
    </row>
    <row r="8312" spans="2:4">
      <c r="B8312" s="198"/>
      <c r="C8312" s="154"/>
      <c r="D8312" s="201"/>
    </row>
    <row r="8313" spans="2:4">
      <c r="B8313" s="198"/>
      <c r="C8313" s="154"/>
      <c r="D8313" s="201"/>
    </row>
    <row r="8314" spans="2:4">
      <c r="B8314" s="198"/>
      <c r="C8314" s="154"/>
      <c r="D8314" s="201"/>
    </row>
    <row r="8315" spans="2:4">
      <c r="B8315" s="198"/>
      <c r="C8315" s="154"/>
      <c r="D8315" s="201"/>
    </row>
    <row r="8316" spans="2:4">
      <c r="B8316" s="198"/>
      <c r="C8316" s="154"/>
      <c r="D8316" s="201"/>
    </row>
    <row r="8317" spans="2:4">
      <c r="B8317" s="198"/>
      <c r="C8317" s="154"/>
      <c r="D8317" s="201"/>
    </row>
    <row r="8318" spans="2:4">
      <c r="B8318" s="198"/>
      <c r="C8318" s="154"/>
      <c r="D8318" s="201"/>
    </row>
    <row r="8319" spans="2:4">
      <c r="B8319" s="198"/>
      <c r="C8319" s="154"/>
      <c r="D8319" s="201"/>
    </row>
    <row r="8320" spans="2:4">
      <c r="B8320" s="198"/>
      <c r="C8320" s="154"/>
      <c r="D8320" s="201"/>
    </row>
    <row r="8321" spans="2:4">
      <c r="B8321" s="198"/>
      <c r="C8321" s="154"/>
      <c r="D8321" s="201"/>
    </row>
    <row r="8322" spans="2:4">
      <c r="B8322" s="198"/>
      <c r="C8322" s="154"/>
      <c r="D8322" s="201"/>
    </row>
    <row r="8323" spans="2:4">
      <c r="B8323" s="198"/>
      <c r="C8323" s="154"/>
      <c r="D8323" s="201"/>
    </row>
    <row r="8324" spans="2:4">
      <c r="B8324" s="198"/>
      <c r="C8324" s="154"/>
      <c r="D8324" s="201"/>
    </row>
    <row r="8325" spans="2:4">
      <c r="B8325" s="198"/>
      <c r="C8325" s="154"/>
      <c r="D8325" s="201"/>
    </row>
    <row r="8326" spans="2:4">
      <c r="B8326" s="198"/>
      <c r="C8326" s="154"/>
      <c r="D8326" s="201"/>
    </row>
    <row r="8327" spans="2:4">
      <c r="B8327" s="198"/>
      <c r="C8327" s="154"/>
      <c r="D8327" s="201"/>
    </row>
    <row r="8328" spans="2:4">
      <c r="B8328" s="198"/>
      <c r="C8328" s="154"/>
      <c r="D8328" s="201"/>
    </row>
    <row r="8329" spans="2:4">
      <c r="B8329" s="198"/>
      <c r="C8329" s="154"/>
      <c r="D8329" s="201"/>
    </row>
    <row r="8330" spans="2:4">
      <c r="B8330" s="198"/>
      <c r="C8330" s="154"/>
      <c r="D8330" s="201"/>
    </row>
    <row r="8331" spans="2:4">
      <c r="B8331" s="198"/>
      <c r="C8331" s="154"/>
      <c r="D8331" s="201"/>
    </row>
    <row r="8332" spans="2:4">
      <c r="B8332" s="198"/>
      <c r="C8332" s="154"/>
      <c r="D8332" s="201"/>
    </row>
    <row r="8333" spans="2:4">
      <c r="B8333" s="198"/>
      <c r="C8333" s="154"/>
      <c r="D8333" s="201"/>
    </row>
    <row r="8334" spans="2:4">
      <c r="B8334" s="198"/>
      <c r="C8334" s="154"/>
      <c r="D8334" s="201"/>
    </row>
    <row r="8335" spans="2:4">
      <c r="B8335" s="198"/>
      <c r="C8335" s="154"/>
      <c r="D8335" s="201"/>
    </row>
    <row r="8336" spans="2:4">
      <c r="B8336" s="198"/>
      <c r="C8336" s="154"/>
      <c r="D8336" s="201"/>
    </row>
    <row r="8337" spans="2:4">
      <c r="B8337" s="198"/>
      <c r="C8337" s="154"/>
      <c r="D8337" s="201"/>
    </row>
    <row r="8338" spans="2:4">
      <c r="B8338" s="198"/>
      <c r="C8338" s="154"/>
      <c r="D8338" s="201"/>
    </row>
    <row r="8339" spans="2:4">
      <c r="B8339" s="198"/>
      <c r="C8339" s="154"/>
      <c r="D8339" s="201"/>
    </row>
    <row r="8340" spans="2:4">
      <c r="B8340" s="198"/>
      <c r="C8340" s="154"/>
      <c r="D8340" s="201"/>
    </row>
    <row r="8341" spans="2:4">
      <c r="B8341" s="198"/>
      <c r="C8341" s="154"/>
      <c r="D8341" s="201"/>
    </row>
    <row r="8342" spans="2:4">
      <c r="B8342" s="198"/>
      <c r="C8342" s="154"/>
      <c r="D8342" s="201"/>
    </row>
    <row r="8343" spans="2:4">
      <c r="B8343" s="198"/>
      <c r="C8343" s="154"/>
      <c r="D8343" s="201"/>
    </row>
    <row r="8344" spans="2:4">
      <c r="B8344" s="198"/>
      <c r="C8344" s="154"/>
      <c r="D8344" s="201"/>
    </row>
    <row r="8345" spans="2:4">
      <c r="B8345" s="198"/>
      <c r="C8345" s="154"/>
      <c r="D8345" s="201"/>
    </row>
    <row r="8346" spans="2:4">
      <c r="B8346" s="198"/>
      <c r="C8346" s="154"/>
      <c r="D8346" s="201"/>
    </row>
    <row r="8347" spans="2:4">
      <c r="B8347" s="198"/>
      <c r="C8347" s="154"/>
      <c r="D8347" s="201"/>
    </row>
    <row r="8348" spans="2:4">
      <c r="B8348" s="198"/>
      <c r="C8348" s="154"/>
      <c r="D8348" s="201"/>
    </row>
    <row r="8349" spans="2:4">
      <c r="B8349" s="198"/>
      <c r="C8349" s="154"/>
      <c r="D8349" s="201"/>
    </row>
    <row r="8350" spans="2:4">
      <c r="B8350" s="198"/>
      <c r="C8350" s="154"/>
      <c r="D8350" s="201"/>
    </row>
    <row r="8351" spans="2:4">
      <c r="B8351" s="198"/>
      <c r="C8351" s="154"/>
      <c r="D8351" s="201"/>
    </row>
    <row r="8352" spans="2:4">
      <c r="B8352" s="198"/>
      <c r="C8352" s="154"/>
      <c r="D8352" s="201"/>
    </row>
    <row r="8353" spans="2:4">
      <c r="B8353" s="198"/>
      <c r="C8353" s="154"/>
      <c r="D8353" s="201"/>
    </row>
    <row r="8354" spans="2:4">
      <c r="B8354" s="198"/>
      <c r="C8354" s="154"/>
      <c r="D8354" s="201"/>
    </row>
    <row r="8355" spans="2:4">
      <c r="B8355" s="198"/>
      <c r="C8355" s="154"/>
      <c r="D8355" s="201"/>
    </row>
    <row r="8356" spans="2:4">
      <c r="B8356" s="198"/>
      <c r="C8356" s="154"/>
      <c r="D8356" s="201"/>
    </row>
    <row r="8357" spans="2:4">
      <c r="B8357" s="198"/>
      <c r="C8357" s="154"/>
      <c r="D8357" s="201"/>
    </row>
    <row r="8358" spans="2:4">
      <c r="B8358" s="198"/>
      <c r="C8358" s="154"/>
      <c r="D8358" s="201"/>
    </row>
    <row r="8359" spans="2:4">
      <c r="B8359" s="198"/>
      <c r="C8359" s="154"/>
      <c r="D8359" s="201"/>
    </row>
    <row r="8360" spans="2:4">
      <c r="B8360" s="198"/>
      <c r="C8360" s="154"/>
      <c r="D8360" s="201"/>
    </row>
    <row r="8361" spans="2:4">
      <c r="B8361" s="198"/>
      <c r="C8361" s="154"/>
      <c r="D8361" s="201"/>
    </row>
    <row r="8362" spans="2:4">
      <c r="B8362" s="198"/>
      <c r="C8362" s="154"/>
      <c r="D8362" s="201"/>
    </row>
    <row r="8363" spans="2:4">
      <c r="B8363" s="198"/>
      <c r="C8363" s="154"/>
      <c r="D8363" s="201"/>
    </row>
    <row r="8364" spans="2:4">
      <c r="B8364" s="198"/>
      <c r="C8364" s="154"/>
      <c r="D8364" s="201"/>
    </row>
    <row r="8365" spans="2:4">
      <c r="B8365" s="198"/>
      <c r="C8365" s="154"/>
      <c r="D8365" s="201"/>
    </row>
    <row r="8366" spans="2:4">
      <c r="B8366" s="198"/>
      <c r="C8366" s="154"/>
      <c r="D8366" s="201"/>
    </row>
    <row r="8367" spans="2:4">
      <c r="B8367" s="198"/>
      <c r="C8367" s="154"/>
      <c r="D8367" s="201"/>
    </row>
    <row r="8368" spans="2:4">
      <c r="B8368" s="198"/>
      <c r="C8368" s="154"/>
      <c r="D8368" s="201"/>
    </row>
    <row r="8369" spans="2:4">
      <c r="B8369" s="198"/>
      <c r="C8369" s="154"/>
      <c r="D8369" s="201"/>
    </row>
    <row r="8370" spans="2:4">
      <c r="B8370" s="198"/>
      <c r="C8370" s="154"/>
      <c r="D8370" s="201"/>
    </row>
    <row r="8371" spans="2:4">
      <c r="B8371" s="198"/>
      <c r="C8371" s="154"/>
      <c r="D8371" s="201"/>
    </row>
    <row r="8372" spans="2:4">
      <c r="B8372" s="198"/>
      <c r="C8372" s="154"/>
      <c r="D8372" s="201"/>
    </row>
    <row r="8373" spans="2:4">
      <c r="B8373" s="198"/>
      <c r="C8373" s="154"/>
      <c r="D8373" s="201"/>
    </row>
    <row r="8374" spans="2:4">
      <c r="B8374" s="198"/>
      <c r="C8374" s="154"/>
      <c r="D8374" s="201"/>
    </row>
    <row r="8375" spans="2:4">
      <c r="B8375" s="198"/>
      <c r="C8375" s="154"/>
      <c r="D8375" s="201"/>
    </row>
    <row r="8376" spans="2:4">
      <c r="B8376" s="198"/>
      <c r="C8376" s="154"/>
      <c r="D8376" s="201"/>
    </row>
    <row r="8377" spans="2:4">
      <c r="B8377" s="198"/>
      <c r="C8377" s="154"/>
      <c r="D8377" s="201"/>
    </row>
    <row r="8378" spans="2:4">
      <c r="B8378" s="198"/>
      <c r="C8378" s="154"/>
      <c r="D8378" s="201"/>
    </row>
    <row r="8379" spans="2:4">
      <c r="B8379" s="198"/>
      <c r="C8379" s="154"/>
      <c r="D8379" s="201"/>
    </row>
    <row r="8380" spans="2:4">
      <c r="B8380" s="198"/>
      <c r="C8380" s="154"/>
      <c r="D8380" s="201"/>
    </row>
    <row r="8381" spans="2:4">
      <c r="B8381" s="198"/>
      <c r="C8381" s="154"/>
      <c r="D8381" s="201"/>
    </row>
    <row r="8382" spans="2:4">
      <c r="B8382" s="198"/>
      <c r="C8382" s="154"/>
      <c r="D8382" s="201"/>
    </row>
    <row r="8383" spans="2:4">
      <c r="B8383" s="198"/>
      <c r="C8383" s="154"/>
      <c r="D8383" s="201"/>
    </row>
    <row r="8384" spans="2:4">
      <c r="B8384" s="198"/>
      <c r="C8384" s="154"/>
      <c r="D8384" s="201"/>
    </row>
    <row r="8385" spans="2:4">
      <c r="B8385" s="198"/>
      <c r="C8385" s="154"/>
      <c r="D8385" s="201"/>
    </row>
    <row r="8386" spans="2:4">
      <c r="B8386" s="198"/>
      <c r="C8386" s="154"/>
      <c r="D8386" s="201"/>
    </row>
    <row r="8387" spans="2:4">
      <c r="B8387" s="198"/>
      <c r="C8387" s="154"/>
      <c r="D8387" s="201"/>
    </row>
    <row r="8388" spans="2:4">
      <c r="B8388" s="198"/>
      <c r="C8388" s="154"/>
      <c r="D8388" s="201"/>
    </row>
    <row r="8389" spans="2:4">
      <c r="B8389" s="198"/>
      <c r="C8389" s="154"/>
      <c r="D8389" s="201"/>
    </row>
    <row r="8390" spans="2:4">
      <c r="B8390" s="198"/>
      <c r="C8390" s="154"/>
      <c r="D8390" s="201"/>
    </row>
    <row r="8391" spans="2:4">
      <c r="B8391" s="198"/>
      <c r="C8391" s="154"/>
      <c r="D8391" s="201"/>
    </row>
    <row r="8392" spans="2:4">
      <c r="B8392" s="198"/>
      <c r="C8392" s="154"/>
      <c r="D8392" s="201"/>
    </row>
    <row r="8393" spans="2:4">
      <c r="B8393" s="198"/>
      <c r="C8393" s="154"/>
      <c r="D8393" s="201"/>
    </row>
    <row r="8394" spans="2:4">
      <c r="B8394" s="198"/>
      <c r="C8394" s="154"/>
      <c r="D8394" s="201"/>
    </row>
    <row r="8395" spans="2:4">
      <c r="B8395" s="198"/>
      <c r="C8395" s="154"/>
      <c r="D8395" s="201"/>
    </row>
    <row r="8396" spans="2:4">
      <c r="B8396" s="198"/>
      <c r="C8396" s="154"/>
      <c r="D8396" s="201"/>
    </row>
    <row r="8397" spans="2:4">
      <c r="B8397" s="198"/>
      <c r="C8397" s="154"/>
      <c r="D8397" s="201"/>
    </row>
    <row r="8398" spans="2:4">
      <c r="B8398" s="198"/>
      <c r="C8398" s="154"/>
      <c r="D8398" s="201"/>
    </row>
    <row r="8399" spans="2:4">
      <c r="B8399" s="198"/>
      <c r="C8399" s="154"/>
      <c r="D8399" s="201"/>
    </row>
    <row r="8400" spans="2:4">
      <c r="B8400" s="198"/>
      <c r="C8400" s="154"/>
      <c r="D8400" s="201"/>
    </row>
    <row r="8401" spans="2:4">
      <c r="B8401" s="198"/>
      <c r="C8401" s="154"/>
      <c r="D8401" s="201"/>
    </row>
    <row r="8402" spans="2:4">
      <c r="B8402" s="198"/>
      <c r="C8402" s="154"/>
      <c r="D8402" s="201"/>
    </row>
    <row r="8403" spans="2:4">
      <c r="B8403" s="198"/>
      <c r="C8403" s="154"/>
      <c r="D8403" s="201"/>
    </row>
    <row r="8404" spans="2:4">
      <c r="B8404" s="198"/>
      <c r="C8404" s="154"/>
      <c r="D8404" s="201"/>
    </row>
    <row r="8405" spans="2:4">
      <c r="B8405" s="198"/>
      <c r="C8405" s="154"/>
      <c r="D8405" s="201"/>
    </row>
    <row r="8406" spans="2:4">
      <c r="B8406" s="198"/>
      <c r="C8406" s="154"/>
      <c r="D8406" s="201"/>
    </row>
    <row r="8407" spans="2:4">
      <c r="B8407" s="198"/>
      <c r="C8407" s="154"/>
      <c r="D8407" s="201"/>
    </row>
    <row r="8408" spans="2:4">
      <c r="B8408" s="198"/>
      <c r="C8408" s="154"/>
      <c r="D8408" s="201"/>
    </row>
    <row r="8409" spans="2:4">
      <c r="B8409" s="198"/>
      <c r="C8409" s="154"/>
      <c r="D8409" s="201"/>
    </row>
    <row r="8410" spans="2:4">
      <c r="B8410" s="198"/>
      <c r="C8410" s="154"/>
      <c r="D8410" s="201"/>
    </row>
    <row r="8411" spans="2:4">
      <c r="B8411" s="198"/>
      <c r="C8411" s="154"/>
      <c r="D8411" s="201"/>
    </row>
    <row r="8412" spans="2:4">
      <c r="B8412" s="198"/>
      <c r="C8412" s="154"/>
      <c r="D8412" s="201"/>
    </row>
    <row r="8413" spans="2:4">
      <c r="B8413" s="198"/>
      <c r="C8413" s="154"/>
      <c r="D8413" s="201"/>
    </row>
    <row r="8414" spans="2:4">
      <c r="B8414" s="198"/>
      <c r="C8414" s="154"/>
      <c r="D8414" s="201"/>
    </row>
    <row r="8415" spans="2:4">
      <c r="B8415" s="198"/>
      <c r="C8415" s="154"/>
      <c r="D8415" s="201"/>
    </row>
    <row r="8416" spans="2:4">
      <c r="B8416" s="198"/>
      <c r="C8416" s="154"/>
      <c r="D8416" s="201"/>
    </row>
    <row r="8417" spans="2:4">
      <c r="B8417" s="198"/>
      <c r="C8417" s="154"/>
      <c r="D8417" s="201"/>
    </row>
    <row r="8418" spans="2:4">
      <c r="B8418" s="198"/>
      <c r="C8418" s="154"/>
      <c r="D8418" s="201"/>
    </row>
    <row r="8419" spans="2:4">
      <c r="B8419" s="198"/>
      <c r="C8419" s="154"/>
      <c r="D8419" s="201"/>
    </row>
    <row r="8420" spans="2:4">
      <c r="B8420" s="198"/>
      <c r="C8420" s="154"/>
      <c r="D8420" s="201"/>
    </row>
    <row r="8421" spans="2:4">
      <c r="B8421" s="198"/>
      <c r="C8421" s="154"/>
      <c r="D8421" s="201"/>
    </row>
    <row r="8422" spans="2:4">
      <c r="B8422" s="198"/>
      <c r="C8422" s="154"/>
      <c r="D8422" s="201"/>
    </row>
    <row r="8423" spans="2:4">
      <c r="B8423" s="198"/>
      <c r="C8423" s="154"/>
      <c r="D8423" s="201"/>
    </row>
    <row r="8424" spans="2:4">
      <c r="B8424" s="198"/>
      <c r="C8424" s="154"/>
      <c r="D8424" s="201"/>
    </row>
    <row r="8425" spans="2:4">
      <c r="B8425" s="198"/>
      <c r="C8425" s="154"/>
      <c r="D8425" s="201"/>
    </row>
    <row r="8426" spans="2:4">
      <c r="B8426" s="198"/>
      <c r="C8426" s="154"/>
      <c r="D8426" s="201"/>
    </row>
    <row r="8427" spans="2:4">
      <c r="B8427" s="198"/>
      <c r="C8427" s="154"/>
      <c r="D8427" s="201"/>
    </row>
    <row r="8428" spans="2:4">
      <c r="B8428" s="198"/>
      <c r="C8428" s="154"/>
      <c r="D8428" s="201"/>
    </row>
    <row r="8429" spans="2:4">
      <c r="B8429" s="198"/>
      <c r="C8429" s="154"/>
      <c r="D8429" s="201"/>
    </row>
    <row r="8430" spans="2:4">
      <c r="B8430" s="198"/>
      <c r="C8430" s="154"/>
      <c r="D8430" s="201"/>
    </row>
    <row r="8431" spans="2:4">
      <c r="B8431" s="198"/>
      <c r="C8431" s="154"/>
      <c r="D8431" s="201"/>
    </row>
    <row r="8432" spans="2:4">
      <c r="B8432" s="198"/>
      <c r="C8432" s="154"/>
      <c r="D8432" s="201"/>
    </row>
    <row r="8433" spans="2:4">
      <c r="B8433" s="198"/>
      <c r="C8433" s="154"/>
      <c r="D8433" s="201"/>
    </row>
    <row r="8434" spans="2:4">
      <c r="B8434" s="198"/>
      <c r="C8434" s="154"/>
      <c r="D8434" s="201"/>
    </row>
    <row r="8435" spans="2:4">
      <c r="B8435" s="198"/>
      <c r="C8435" s="154"/>
      <c r="D8435" s="201"/>
    </row>
    <row r="8436" spans="2:4">
      <c r="B8436" s="198"/>
      <c r="C8436" s="154"/>
      <c r="D8436" s="201"/>
    </row>
    <row r="8437" spans="2:4">
      <c r="B8437" s="198"/>
      <c r="C8437" s="154"/>
      <c r="D8437" s="201"/>
    </row>
    <row r="8438" spans="2:4">
      <c r="B8438" s="198"/>
      <c r="C8438" s="154"/>
      <c r="D8438" s="201"/>
    </row>
    <row r="8439" spans="2:4">
      <c r="B8439" s="198"/>
      <c r="C8439" s="154"/>
      <c r="D8439" s="201"/>
    </row>
    <row r="8440" spans="2:4">
      <c r="B8440" s="198"/>
      <c r="C8440" s="154"/>
      <c r="D8440" s="201"/>
    </row>
    <row r="8441" spans="2:4">
      <c r="B8441" s="198"/>
      <c r="C8441" s="154"/>
      <c r="D8441" s="201"/>
    </row>
    <row r="8442" spans="2:4">
      <c r="B8442" s="198"/>
      <c r="C8442" s="154"/>
      <c r="D8442" s="201"/>
    </row>
    <row r="8443" spans="2:4">
      <c r="B8443" s="198"/>
      <c r="C8443" s="154"/>
      <c r="D8443" s="201"/>
    </row>
    <row r="8444" spans="2:4">
      <c r="B8444" s="198"/>
      <c r="C8444" s="154"/>
      <c r="D8444" s="201"/>
    </row>
    <row r="8445" spans="2:4">
      <c r="B8445" s="198"/>
      <c r="C8445" s="154"/>
      <c r="D8445" s="201"/>
    </row>
    <row r="8446" spans="2:4">
      <c r="B8446" s="198"/>
      <c r="C8446" s="154"/>
      <c r="D8446" s="201"/>
    </row>
    <row r="8447" spans="2:4">
      <c r="B8447" s="198"/>
      <c r="C8447" s="154"/>
      <c r="D8447" s="201"/>
    </row>
    <row r="8448" spans="2:4">
      <c r="B8448" s="198"/>
      <c r="C8448" s="154"/>
      <c r="D8448" s="201"/>
    </row>
    <row r="8449" spans="2:4">
      <c r="B8449" s="198"/>
      <c r="C8449" s="154"/>
      <c r="D8449" s="201"/>
    </row>
    <row r="8450" spans="2:4">
      <c r="B8450" s="198"/>
      <c r="C8450" s="154"/>
      <c r="D8450" s="201"/>
    </row>
    <row r="8451" spans="2:4">
      <c r="B8451" s="198"/>
      <c r="C8451" s="154"/>
      <c r="D8451" s="201"/>
    </row>
    <row r="8452" spans="2:4">
      <c r="B8452" s="198"/>
      <c r="C8452" s="154"/>
      <c r="D8452" s="201"/>
    </row>
    <row r="8453" spans="2:4">
      <c r="B8453" s="198"/>
      <c r="C8453" s="154"/>
      <c r="D8453" s="201"/>
    </row>
    <row r="8454" spans="2:4">
      <c r="B8454" s="198"/>
      <c r="C8454" s="154"/>
      <c r="D8454" s="201"/>
    </row>
    <row r="8455" spans="2:4">
      <c r="B8455" s="198"/>
      <c r="C8455" s="154"/>
      <c r="D8455" s="201"/>
    </row>
    <row r="8456" spans="2:4">
      <c r="B8456" s="198"/>
      <c r="C8456" s="154"/>
      <c r="D8456" s="201"/>
    </row>
    <row r="8457" spans="2:4">
      <c r="B8457" s="198"/>
      <c r="C8457" s="154"/>
      <c r="D8457" s="201"/>
    </row>
    <row r="8458" spans="2:4">
      <c r="B8458" s="198"/>
      <c r="C8458" s="154"/>
      <c r="D8458" s="201"/>
    </row>
    <row r="8459" spans="2:4">
      <c r="B8459" s="198"/>
      <c r="C8459" s="154"/>
      <c r="D8459" s="201"/>
    </row>
    <row r="8460" spans="2:4">
      <c r="B8460" s="198"/>
      <c r="C8460" s="154"/>
      <c r="D8460" s="201"/>
    </row>
    <row r="8461" spans="2:4">
      <c r="B8461" s="198"/>
      <c r="C8461" s="154"/>
      <c r="D8461" s="201"/>
    </row>
    <row r="8462" spans="2:4">
      <c r="B8462" s="198"/>
      <c r="C8462" s="154"/>
      <c r="D8462" s="201"/>
    </row>
    <row r="8463" spans="2:4">
      <c r="B8463" s="198"/>
      <c r="C8463" s="154"/>
      <c r="D8463" s="201"/>
    </row>
    <row r="8464" spans="2:4">
      <c r="B8464" s="198"/>
      <c r="C8464" s="154"/>
      <c r="D8464" s="201"/>
    </row>
    <row r="8465" spans="2:4">
      <c r="B8465" s="198"/>
      <c r="C8465" s="154"/>
      <c r="D8465" s="201"/>
    </row>
    <row r="8466" spans="2:4">
      <c r="B8466" s="198"/>
      <c r="C8466" s="154"/>
      <c r="D8466" s="201"/>
    </row>
    <row r="8467" spans="2:4">
      <c r="B8467" s="198"/>
      <c r="C8467" s="154"/>
      <c r="D8467" s="201"/>
    </row>
    <row r="8468" spans="2:4">
      <c r="B8468" s="198"/>
      <c r="C8468" s="154"/>
      <c r="D8468" s="201"/>
    </row>
    <row r="8469" spans="2:4">
      <c r="B8469" s="198"/>
      <c r="C8469" s="154"/>
      <c r="D8469" s="201"/>
    </row>
    <row r="8470" spans="2:4">
      <c r="B8470" s="198"/>
      <c r="C8470" s="154"/>
      <c r="D8470" s="201"/>
    </row>
    <row r="8471" spans="2:4">
      <c r="B8471" s="198"/>
      <c r="C8471" s="154"/>
      <c r="D8471" s="201"/>
    </row>
    <row r="8472" spans="2:4">
      <c r="B8472" s="198"/>
      <c r="C8472" s="154"/>
      <c r="D8472" s="201"/>
    </row>
    <row r="8473" spans="2:4">
      <c r="B8473" s="198"/>
      <c r="C8473" s="154"/>
      <c r="D8473" s="201"/>
    </row>
    <row r="8474" spans="2:4">
      <c r="B8474" s="198"/>
      <c r="C8474" s="154"/>
      <c r="D8474" s="201"/>
    </row>
    <row r="8475" spans="2:4">
      <c r="B8475" s="198"/>
      <c r="C8475" s="154"/>
      <c r="D8475" s="201"/>
    </row>
    <row r="8476" spans="2:4">
      <c r="B8476" s="198"/>
      <c r="C8476" s="154"/>
      <c r="D8476" s="201"/>
    </row>
    <row r="8477" spans="2:4">
      <c r="B8477" s="198"/>
      <c r="C8477" s="154"/>
      <c r="D8477" s="201"/>
    </row>
    <row r="8478" spans="2:4">
      <c r="B8478" s="198"/>
      <c r="C8478" s="154"/>
      <c r="D8478" s="201"/>
    </row>
    <row r="8479" spans="2:4">
      <c r="B8479" s="198"/>
      <c r="C8479" s="154"/>
      <c r="D8479" s="201"/>
    </row>
    <row r="8480" spans="2:4">
      <c r="B8480" s="198"/>
      <c r="C8480" s="154"/>
      <c r="D8480" s="201"/>
    </row>
    <row r="8481" spans="2:4">
      <c r="B8481" s="198"/>
      <c r="C8481" s="154"/>
      <c r="D8481" s="201"/>
    </row>
    <row r="8482" spans="2:4">
      <c r="B8482" s="198"/>
      <c r="C8482" s="154"/>
      <c r="D8482" s="201"/>
    </row>
    <row r="8483" spans="2:4">
      <c r="B8483" s="198"/>
      <c r="C8483" s="154"/>
      <c r="D8483" s="201"/>
    </row>
    <row r="8484" spans="2:4">
      <c r="B8484" s="198"/>
      <c r="C8484" s="154"/>
      <c r="D8484" s="201"/>
    </row>
    <row r="8485" spans="2:4">
      <c r="B8485" s="198"/>
      <c r="C8485" s="154"/>
      <c r="D8485" s="201"/>
    </row>
    <row r="8486" spans="2:4">
      <c r="B8486" s="198"/>
      <c r="C8486" s="154"/>
      <c r="D8486" s="201"/>
    </row>
    <row r="8487" spans="2:4">
      <c r="B8487" s="198"/>
      <c r="C8487" s="154"/>
      <c r="D8487" s="201"/>
    </row>
    <row r="8488" spans="2:4">
      <c r="B8488" s="198"/>
      <c r="C8488" s="154"/>
      <c r="D8488" s="201"/>
    </row>
    <row r="8489" spans="2:4">
      <c r="B8489" s="198"/>
      <c r="C8489" s="154"/>
      <c r="D8489" s="201"/>
    </row>
    <row r="8490" spans="2:4">
      <c r="B8490" s="198"/>
      <c r="C8490" s="154"/>
      <c r="D8490" s="201"/>
    </row>
    <row r="8491" spans="2:4">
      <c r="B8491" s="198"/>
      <c r="C8491" s="154"/>
      <c r="D8491" s="201"/>
    </row>
    <row r="8492" spans="2:4">
      <c r="B8492" s="198"/>
      <c r="C8492" s="154"/>
      <c r="D8492" s="201"/>
    </row>
    <row r="8493" spans="2:4">
      <c r="B8493" s="198"/>
      <c r="C8493" s="154"/>
      <c r="D8493" s="201"/>
    </row>
    <row r="8494" spans="2:4">
      <c r="B8494" s="198"/>
      <c r="C8494" s="154"/>
      <c r="D8494" s="201"/>
    </row>
    <row r="8495" spans="2:4">
      <c r="B8495" s="198"/>
      <c r="C8495" s="154"/>
      <c r="D8495" s="201"/>
    </row>
    <row r="8496" spans="2:4">
      <c r="B8496" s="198"/>
      <c r="C8496" s="154"/>
      <c r="D8496" s="201"/>
    </row>
    <row r="8497" spans="2:4">
      <c r="B8497" s="198"/>
      <c r="C8497" s="154"/>
      <c r="D8497" s="201"/>
    </row>
    <row r="8498" spans="2:4">
      <c r="B8498" s="198"/>
      <c r="C8498" s="154"/>
      <c r="D8498" s="201"/>
    </row>
    <row r="8499" spans="2:4">
      <c r="B8499" s="198"/>
      <c r="C8499" s="154"/>
      <c r="D8499" s="201"/>
    </row>
    <row r="8500" spans="2:4">
      <c r="B8500" s="198"/>
      <c r="C8500" s="154"/>
      <c r="D8500" s="201"/>
    </row>
    <row r="8501" spans="2:4">
      <c r="B8501" s="198"/>
      <c r="C8501" s="154"/>
      <c r="D8501" s="201"/>
    </row>
    <row r="8502" spans="2:4">
      <c r="B8502" s="198"/>
      <c r="C8502" s="154"/>
      <c r="D8502" s="201"/>
    </row>
    <row r="8503" spans="2:4">
      <c r="B8503" s="198"/>
      <c r="C8503" s="154"/>
      <c r="D8503" s="201"/>
    </row>
    <row r="8504" spans="2:4">
      <c r="B8504" s="198"/>
      <c r="C8504" s="154"/>
      <c r="D8504" s="201"/>
    </row>
    <row r="8505" spans="2:4">
      <c r="B8505" s="198"/>
      <c r="C8505" s="154"/>
      <c r="D8505" s="201"/>
    </row>
    <row r="8506" spans="2:4">
      <c r="B8506" s="198"/>
      <c r="C8506" s="154"/>
      <c r="D8506" s="201"/>
    </row>
    <row r="8507" spans="2:4">
      <c r="B8507" s="198"/>
      <c r="C8507" s="154"/>
      <c r="D8507" s="201"/>
    </row>
    <row r="8508" spans="2:4">
      <c r="B8508" s="198"/>
      <c r="C8508" s="154"/>
      <c r="D8508" s="201"/>
    </row>
    <row r="8509" spans="2:4">
      <c r="B8509" s="198"/>
      <c r="C8509" s="154"/>
      <c r="D8509" s="201"/>
    </row>
    <row r="8510" spans="2:4">
      <c r="B8510" s="198"/>
      <c r="C8510" s="154"/>
      <c r="D8510" s="201"/>
    </row>
    <row r="8511" spans="2:4">
      <c r="B8511" s="198"/>
      <c r="C8511" s="154"/>
      <c r="D8511" s="201"/>
    </row>
    <row r="8512" spans="2:4">
      <c r="B8512" s="198"/>
      <c r="C8512" s="154"/>
      <c r="D8512" s="201"/>
    </row>
    <row r="8513" spans="2:4">
      <c r="B8513" s="198"/>
      <c r="C8513" s="154"/>
      <c r="D8513" s="201"/>
    </row>
    <row r="8514" spans="2:4">
      <c r="B8514" s="198"/>
      <c r="C8514" s="154"/>
      <c r="D8514" s="201"/>
    </row>
    <row r="8515" spans="2:4">
      <c r="B8515" s="198"/>
      <c r="C8515" s="154"/>
      <c r="D8515" s="201"/>
    </row>
    <row r="8516" spans="2:4">
      <c r="B8516" s="198"/>
      <c r="C8516" s="154"/>
      <c r="D8516" s="201"/>
    </row>
    <row r="8517" spans="2:4">
      <c r="B8517" s="198"/>
      <c r="C8517" s="154"/>
      <c r="D8517" s="201"/>
    </row>
    <row r="8518" spans="2:4">
      <c r="B8518" s="198"/>
      <c r="C8518" s="154"/>
      <c r="D8518" s="201"/>
    </row>
    <row r="8519" spans="2:4">
      <c r="B8519" s="198"/>
      <c r="C8519" s="154"/>
      <c r="D8519" s="201"/>
    </row>
    <row r="8520" spans="2:4">
      <c r="B8520" s="198"/>
      <c r="C8520" s="154"/>
      <c r="D8520" s="201"/>
    </row>
    <row r="8521" spans="2:4">
      <c r="B8521" s="198"/>
      <c r="C8521" s="154"/>
      <c r="D8521" s="201"/>
    </row>
    <row r="8522" spans="2:4">
      <c r="B8522" s="198"/>
      <c r="C8522" s="154"/>
      <c r="D8522" s="201"/>
    </row>
    <row r="8523" spans="2:4">
      <c r="B8523" s="198"/>
      <c r="C8523" s="154"/>
      <c r="D8523" s="201"/>
    </row>
    <row r="8524" spans="2:4">
      <c r="B8524" s="198"/>
      <c r="C8524" s="154"/>
      <c r="D8524" s="201"/>
    </row>
    <row r="8525" spans="2:4">
      <c r="B8525" s="198"/>
      <c r="C8525" s="154"/>
      <c r="D8525" s="201"/>
    </row>
    <row r="8526" spans="2:4">
      <c r="B8526" s="198"/>
      <c r="C8526" s="154"/>
      <c r="D8526" s="201"/>
    </row>
    <row r="8527" spans="2:4">
      <c r="B8527" s="198"/>
      <c r="C8527" s="154"/>
      <c r="D8527" s="201"/>
    </row>
    <row r="8528" spans="2:4">
      <c r="B8528" s="198"/>
      <c r="C8528" s="154"/>
      <c r="D8528" s="201"/>
    </row>
    <row r="8529" spans="2:4">
      <c r="B8529" s="198"/>
      <c r="C8529" s="154"/>
      <c r="D8529" s="201"/>
    </row>
    <row r="8530" spans="2:4">
      <c r="B8530" s="198"/>
      <c r="C8530" s="154"/>
      <c r="D8530" s="201"/>
    </row>
    <row r="8531" spans="2:4">
      <c r="B8531" s="198"/>
      <c r="C8531" s="154"/>
      <c r="D8531" s="201"/>
    </row>
    <row r="8532" spans="2:4">
      <c r="B8532" s="198"/>
      <c r="C8532" s="154"/>
      <c r="D8532" s="201"/>
    </row>
    <row r="8533" spans="2:4">
      <c r="B8533" s="198"/>
      <c r="C8533" s="154"/>
      <c r="D8533" s="201"/>
    </row>
    <row r="8534" spans="2:4">
      <c r="B8534" s="198"/>
      <c r="C8534" s="154"/>
      <c r="D8534" s="201"/>
    </row>
    <row r="8535" spans="2:4">
      <c r="B8535" s="198"/>
      <c r="C8535" s="154"/>
      <c r="D8535" s="201"/>
    </row>
    <row r="8536" spans="2:4">
      <c r="B8536" s="198"/>
      <c r="C8536" s="154"/>
      <c r="D8536" s="201"/>
    </row>
    <row r="8537" spans="2:4">
      <c r="B8537" s="198"/>
      <c r="C8537" s="154"/>
      <c r="D8537" s="201"/>
    </row>
    <row r="8538" spans="2:4">
      <c r="B8538" s="198"/>
      <c r="C8538" s="154"/>
      <c r="D8538" s="201"/>
    </row>
    <row r="8539" spans="2:4">
      <c r="B8539" s="198"/>
      <c r="C8539" s="154"/>
      <c r="D8539" s="201"/>
    </row>
    <row r="8540" spans="2:4">
      <c r="B8540" s="198"/>
      <c r="C8540" s="154"/>
      <c r="D8540" s="201"/>
    </row>
    <row r="8541" spans="2:4">
      <c r="B8541" s="198"/>
      <c r="C8541" s="154"/>
      <c r="D8541" s="201"/>
    </row>
    <row r="8542" spans="2:4">
      <c r="B8542" s="198"/>
      <c r="C8542" s="154"/>
      <c r="D8542" s="201"/>
    </row>
    <row r="8543" spans="2:4">
      <c r="B8543" s="198"/>
      <c r="C8543" s="154"/>
      <c r="D8543" s="201"/>
    </row>
    <row r="8544" spans="2:4">
      <c r="B8544" s="198"/>
      <c r="C8544" s="154"/>
      <c r="D8544" s="201"/>
    </row>
    <row r="8545" spans="2:4">
      <c r="B8545" s="198"/>
      <c r="C8545" s="154"/>
      <c r="D8545" s="201"/>
    </row>
    <row r="8546" spans="2:4">
      <c r="B8546" s="198"/>
      <c r="C8546" s="154"/>
      <c r="D8546" s="201"/>
    </row>
    <row r="8547" spans="2:4">
      <c r="B8547" s="198"/>
      <c r="C8547" s="154"/>
      <c r="D8547" s="201"/>
    </row>
    <row r="8548" spans="2:4">
      <c r="B8548" s="198"/>
      <c r="C8548" s="154"/>
      <c r="D8548" s="201"/>
    </row>
    <row r="8549" spans="2:4">
      <c r="B8549" s="198"/>
      <c r="C8549" s="154"/>
      <c r="D8549" s="201"/>
    </row>
    <row r="8550" spans="2:4">
      <c r="B8550" s="198"/>
      <c r="C8550" s="154"/>
      <c r="D8550" s="201"/>
    </row>
    <row r="8551" spans="2:4">
      <c r="B8551" s="198"/>
      <c r="C8551" s="154"/>
      <c r="D8551" s="201"/>
    </row>
    <row r="8552" spans="2:4">
      <c r="B8552" s="198"/>
      <c r="C8552" s="154"/>
      <c r="D8552" s="201"/>
    </row>
    <row r="8553" spans="2:4">
      <c r="B8553" s="198"/>
      <c r="C8553" s="154"/>
      <c r="D8553" s="201"/>
    </row>
    <row r="8554" spans="2:4">
      <c r="B8554" s="198"/>
      <c r="C8554" s="154"/>
      <c r="D8554" s="201"/>
    </row>
    <row r="8555" spans="2:4">
      <c r="B8555" s="198"/>
      <c r="C8555" s="154"/>
      <c r="D8555" s="201"/>
    </row>
    <row r="8556" spans="2:4">
      <c r="B8556" s="198"/>
      <c r="C8556" s="154"/>
      <c r="D8556" s="201"/>
    </row>
    <row r="8557" spans="2:4">
      <c r="B8557" s="198"/>
      <c r="C8557" s="154"/>
      <c r="D8557" s="201"/>
    </row>
    <row r="8558" spans="2:4">
      <c r="B8558" s="198"/>
      <c r="C8558" s="154"/>
      <c r="D8558" s="201"/>
    </row>
    <row r="8559" spans="2:4">
      <c r="B8559" s="198"/>
      <c r="C8559" s="154"/>
      <c r="D8559" s="201"/>
    </row>
    <row r="8560" spans="2:4">
      <c r="B8560" s="198"/>
      <c r="C8560" s="154"/>
      <c r="D8560" s="201"/>
    </row>
    <row r="8561" spans="2:4">
      <c r="B8561" s="198"/>
      <c r="C8561" s="154"/>
      <c r="D8561" s="201"/>
    </row>
    <row r="8562" spans="2:4">
      <c r="B8562" s="198"/>
      <c r="C8562" s="154"/>
      <c r="D8562" s="201"/>
    </row>
    <row r="8563" spans="2:4">
      <c r="B8563" s="198"/>
      <c r="C8563" s="154"/>
      <c r="D8563" s="201"/>
    </row>
    <row r="8564" spans="2:4">
      <c r="B8564" s="198"/>
      <c r="C8564" s="154"/>
      <c r="D8564" s="201"/>
    </row>
    <row r="8565" spans="2:4">
      <c r="B8565" s="198"/>
      <c r="C8565" s="154"/>
      <c r="D8565" s="201"/>
    </row>
    <row r="8566" spans="2:4">
      <c r="B8566" s="198"/>
      <c r="C8566" s="154"/>
      <c r="D8566" s="201"/>
    </row>
    <row r="8567" spans="2:4">
      <c r="B8567" s="198"/>
      <c r="C8567" s="154"/>
      <c r="D8567" s="201"/>
    </row>
    <row r="8568" spans="2:4">
      <c r="B8568" s="198"/>
      <c r="C8568" s="154"/>
      <c r="D8568" s="201"/>
    </row>
    <row r="8569" spans="2:4">
      <c r="B8569" s="198"/>
      <c r="C8569" s="154"/>
      <c r="D8569" s="201"/>
    </row>
    <row r="8570" spans="2:4">
      <c r="B8570" s="198"/>
      <c r="C8570" s="154"/>
      <c r="D8570" s="201"/>
    </row>
    <row r="8571" spans="2:4">
      <c r="B8571" s="198"/>
      <c r="C8571" s="154"/>
      <c r="D8571" s="201"/>
    </row>
    <row r="8572" spans="2:4">
      <c r="B8572" s="198"/>
      <c r="C8572" s="154"/>
      <c r="D8572" s="201"/>
    </row>
    <row r="8573" spans="2:4">
      <c r="B8573" s="198"/>
      <c r="C8573" s="154"/>
      <c r="D8573" s="201"/>
    </row>
    <row r="8574" spans="2:4">
      <c r="B8574" s="198"/>
      <c r="C8574" s="154"/>
      <c r="D8574" s="201"/>
    </row>
    <row r="8575" spans="2:4">
      <c r="B8575" s="198"/>
      <c r="C8575" s="154"/>
      <c r="D8575" s="201"/>
    </row>
    <row r="8576" spans="2:4">
      <c r="B8576" s="198"/>
      <c r="C8576" s="154"/>
      <c r="D8576" s="201"/>
    </row>
    <row r="8577" spans="2:4">
      <c r="B8577" s="198"/>
      <c r="C8577" s="154"/>
      <c r="D8577" s="201"/>
    </row>
    <row r="8578" spans="2:4">
      <c r="B8578" s="198"/>
      <c r="C8578" s="154"/>
      <c r="D8578" s="201"/>
    </row>
    <row r="8579" spans="2:4">
      <c r="B8579" s="198"/>
      <c r="C8579" s="154"/>
      <c r="D8579" s="201"/>
    </row>
    <row r="8580" spans="2:4">
      <c r="B8580" s="198"/>
      <c r="C8580" s="154"/>
      <c r="D8580" s="201"/>
    </row>
    <row r="8581" spans="2:4">
      <c r="B8581" s="198"/>
      <c r="C8581" s="154"/>
      <c r="D8581" s="201"/>
    </row>
    <row r="8582" spans="2:4">
      <c r="B8582" s="198"/>
      <c r="C8582" s="154"/>
      <c r="D8582" s="201"/>
    </row>
    <row r="8583" spans="2:4">
      <c r="B8583" s="198"/>
      <c r="C8583" s="154"/>
      <c r="D8583" s="201"/>
    </row>
    <row r="8584" spans="2:4">
      <c r="B8584" s="198"/>
      <c r="C8584" s="154"/>
      <c r="D8584" s="201"/>
    </row>
    <row r="8585" spans="2:4">
      <c r="B8585" s="198"/>
      <c r="C8585" s="154"/>
      <c r="D8585" s="201"/>
    </row>
    <row r="8586" spans="2:4">
      <c r="B8586" s="198"/>
      <c r="C8586" s="154"/>
      <c r="D8586" s="201"/>
    </row>
    <row r="8587" spans="2:4">
      <c r="B8587" s="198"/>
      <c r="C8587" s="154"/>
      <c r="D8587" s="201"/>
    </row>
    <row r="8588" spans="2:4">
      <c r="B8588" s="198"/>
      <c r="C8588" s="154"/>
      <c r="D8588" s="201"/>
    </row>
    <row r="8589" spans="2:4">
      <c r="B8589" s="198"/>
      <c r="C8589" s="154"/>
      <c r="D8589" s="201"/>
    </row>
    <row r="8590" spans="2:4">
      <c r="B8590" s="198"/>
      <c r="C8590" s="154"/>
      <c r="D8590" s="201"/>
    </row>
    <row r="8591" spans="2:4">
      <c r="B8591" s="198"/>
      <c r="C8591" s="154"/>
      <c r="D8591" s="201"/>
    </row>
    <row r="8592" spans="2:4">
      <c r="B8592" s="198"/>
      <c r="C8592" s="154"/>
      <c r="D8592" s="201"/>
    </row>
    <row r="8593" spans="2:4">
      <c r="B8593" s="198"/>
      <c r="C8593" s="154"/>
      <c r="D8593" s="201"/>
    </row>
    <row r="8594" spans="2:4">
      <c r="B8594" s="198"/>
      <c r="C8594" s="154"/>
      <c r="D8594" s="201"/>
    </row>
    <row r="8595" spans="2:4">
      <c r="B8595" s="198"/>
      <c r="C8595" s="154"/>
      <c r="D8595" s="201"/>
    </row>
    <row r="8596" spans="2:4">
      <c r="B8596" s="198"/>
      <c r="C8596" s="154"/>
      <c r="D8596" s="201"/>
    </row>
    <row r="8597" spans="2:4">
      <c r="B8597" s="198"/>
      <c r="C8597" s="154"/>
      <c r="D8597" s="201"/>
    </row>
    <row r="8598" spans="2:4">
      <c r="B8598" s="198"/>
      <c r="C8598" s="154"/>
      <c r="D8598" s="201"/>
    </row>
    <row r="8599" spans="2:4">
      <c r="B8599" s="198"/>
      <c r="C8599" s="154"/>
      <c r="D8599" s="201"/>
    </row>
    <row r="8600" spans="2:4">
      <c r="B8600" s="198"/>
      <c r="C8600" s="154"/>
      <c r="D8600" s="201"/>
    </row>
    <row r="8601" spans="2:4">
      <c r="B8601" s="198"/>
      <c r="C8601" s="154"/>
      <c r="D8601" s="201"/>
    </row>
    <row r="8602" spans="2:4">
      <c r="B8602" s="198"/>
      <c r="C8602" s="154"/>
      <c r="D8602" s="201"/>
    </row>
    <row r="8603" spans="2:4">
      <c r="B8603" s="198"/>
      <c r="C8603" s="154"/>
      <c r="D8603" s="201"/>
    </row>
    <row r="8604" spans="2:4">
      <c r="B8604" s="198"/>
      <c r="C8604" s="154"/>
      <c r="D8604" s="201"/>
    </row>
    <row r="8605" spans="2:4">
      <c r="B8605" s="198"/>
      <c r="C8605" s="154"/>
      <c r="D8605" s="201"/>
    </row>
    <row r="8606" spans="2:4">
      <c r="B8606" s="198"/>
      <c r="C8606" s="154"/>
      <c r="D8606" s="201"/>
    </row>
    <row r="8607" spans="2:4">
      <c r="B8607" s="198"/>
      <c r="C8607" s="154"/>
      <c r="D8607" s="201"/>
    </row>
    <row r="8608" spans="2:4">
      <c r="B8608" s="198"/>
      <c r="C8608" s="154"/>
      <c r="D8608" s="201"/>
    </row>
    <row r="8609" spans="2:4">
      <c r="B8609" s="198"/>
      <c r="C8609" s="154"/>
      <c r="D8609" s="201"/>
    </row>
    <row r="8610" spans="2:4">
      <c r="B8610" s="198"/>
      <c r="C8610" s="154"/>
      <c r="D8610" s="201"/>
    </row>
    <row r="8611" spans="2:4">
      <c r="B8611" s="198"/>
      <c r="C8611" s="154"/>
      <c r="D8611" s="201"/>
    </row>
    <row r="8612" spans="2:4">
      <c r="B8612" s="198"/>
      <c r="C8612" s="154"/>
      <c r="D8612" s="201"/>
    </row>
    <row r="8613" spans="2:4">
      <c r="B8613" s="198"/>
      <c r="C8613" s="154"/>
      <c r="D8613" s="201"/>
    </row>
    <row r="8614" spans="2:4">
      <c r="B8614" s="198"/>
      <c r="C8614" s="154"/>
      <c r="D8614" s="201"/>
    </row>
    <row r="8615" spans="2:4">
      <c r="B8615" s="198"/>
      <c r="C8615" s="154"/>
      <c r="D8615" s="201"/>
    </row>
    <row r="8616" spans="2:4">
      <c r="B8616" s="198"/>
      <c r="C8616" s="154"/>
      <c r="D8616" s="201"/>
    </row>
    <row r="8617" spans="2:4">
      <c r="B8617" s="198"/>
      <c r="C8617" s="154"/>
      <c r="D8617" s="201"/>
    </row>
    <row r="8618" spans="2:4">
      <c r="B8618" s="198"/>
      <c r="C8618" s="154"/>
      <c r="D8618" s="201"/>
    </row>
    <row r="8619" spans="2:4">
      <c r="B8619" s="198"/>
      <c r="C8619" s="154"/>
      <c r="D8619" s="201"/>
    </row>
    <row r="8620" spans="2:4">
      <c r="B8620" s="198"/>
      <c r="C8620" s="154"/>
      <c r="D8620" s="201"/>
    </row>
    <row r="8621" spans="2:4">
      <c r="B8621" s="198"/>
      <c r="C8621" s="154"/>
      <c r="D8621" s="201"/>
    </row>
    <row r="8622" spans="2:4">
      <c r="B8622" s="198"/>
      <c r="C8622" s="154"/>
      <c r="D8622" s="201"/>
    </row>
    <row r="8623" spans="2:4">
      <c r="B8623" s="198"/>
      <c r="C8623" s="154"/>
      <c r="D8623" s="201"/>
    </row>
    <row r="8624" spans="2:4">
      <c r="B8624" s="198"/>
      <c r="C8624" s="154"/>
      <c r="D8624" s="201"/>
    </row>
    <row r="8625" spans="2:4">
      <c r="B8625" s="198"/>
      <c r="C8625" s="154"/>
      <c r="D8625" s="201"/>
    </row>
    <row r="8626" spans="2:4">
      <c r="B8626" s="198"/>
      <c r="C8626" s="154"/>
      <c r="D8626" s="201"/>
    </row>
    <row r="8627" spans="2:4">
      <c r="B8627" s="198"/>
      <c r="C8627" s="154"/>
      <c r="D8627" s="201"/>
    </row>
    <row r="8628" spans="2:4">
      <c r="B8628" s="198"/>
      <c r="C8628" s="154"/>
      <c r="D8628" s="201"/>
    </row>
    <row r="8629" spans="2:4">
      <c r="B8629" s="198"/>
      <c r="C8629" s="154"/>
      <c r="D8629" s="201"/>
    </row>
    <row r="8630" spans="2:4">
      <c r="B8630" s="198"/>
      <c r="C8630" s="154"/>
      <c r="D8630" s="201"/>
    </row>
    <row r="8631" spans="2:4">
      <c r="B8631" s="198"/>
      <c r="C8631" s="154"/>
      <c r="D8631" s="201"/>
    </row>
    <row r="8632" spans="2:4">
      <c r="B8632" s="198"/>
      <c r="C8632" s="154"/>
      <c r="D8632" s="201"/>
    </row>
    <row r="8633" spans="2:4">
      <c r="B8633" s="198"/>
      <c r="C8633" s="154"/>
      <c r="D8633" s="201"/>
    </row>
    <row r="8634" spans="2:4">
      <c r="B8634" s="198"/>
      <c r="C8634" s="154"/>
      <c r="D8634" s="201"/>
    </row>
    <row r="8635" spans="2:4">
      <c r="B8635" s="198"/>
      <c r="C8635" s="154"/>
      <c r="D8635" s="201"/>
    </row>
    <row r="8636" spans="2:4">
      <c r="B8636" s="198"/>
      <c r="C8636" s="154"/>
      <c r="D8636" s="201"/>
    </row>
    <row r="8637" spans="2:4">
      <c r="B8637" s="198"/>
      <c r="C8637" s="154"/>
      <c r="D8637" s="201"/>
    </row>
    <row r="8638" spans="2:4">
      <c r="B8638" s="198"/>
      <c r="C8638" s="154"/>
      <c r="D8638" s="201"/>
    </row>
    <row r="8639" spans="2:4">
      <c r="B8639" s="198"/>
      <c r="C8639" s="154"/>
      <c r="D8639" s="201"/>
    </row>
    <row r="8640" spans="2:4">
      <c r="B8640" s="198"/>
      <c r="C8640" s="154"/>
      <c r="D8640" s="201"/>
    </row>
    <row r="8641" spans="2:4">
      <c r="B8641" s="198"/>
      <c r="C8641" s="154"/>
      <c r="D8641" s="201"/>
    </row>
    <row r="8642" spans="2:4">
      <c r="B8642" s="198"/>
      <c r="C8642" s="154"/>
      <c r="D8642" s="201"/>
    </row>
    <row r="8643" spans="2:4">
      <c r="B8643" s="198"/>
      <c r="C8643" s="154"/>
      <c r="D8643" s="201"/>
    </row>
    <row r="8644" spans="2:4">
      <c r="B8644" s="198"/>
      <c r="C8644" s="154"/>
      <c r="D8644" s="201"/>
    </row>
    <row r="8645" spans="2:4">
      <c r="B8645" s="198"/>
      <c r="C8645" s="154"/>
      <c r="D8645" s="201"/>
    </row>
    <row r="8646" spans="2:4">
      <c r="B8646" s="198"/>
      <c r="C8646" s="154"/>
      <c r="D8646" s="201"/>
    </row>
    <row r="8647" spans="2:4">
      <c r="B8647" s="198"/>
      <c r="C8647" s="154"/>
      <c r="D8647" s="201"/>
    </row>
    <row r="8648" spans="2:4">
      <c r="B8648" s="198"/>
      <c r="C8648" s="154"/>
      <c r="D8648" s="201"/>
    </row>
    <row r="8649" spans="2:4">
      <c r="B8649" s="198"/>
      <c r="C8649" s="154"/>
      <c r="D8649" s="201"/>
    </row>
    <row r="8650" spans="2:4">
      <c r="B8650" s="198"/>
      <c r="C8650" s="154"/>
      <c r="D8650" s="201"/>
    </row>
    <row r="8651" spans="2:4">
      <c r="B8651" s="198"/>
      <c r="C8651" s="154"/>
      <c r="D8651" s="201"/>
    </row>
    <row r="8652" spans="2:4">
      <c r="B8652" s="198"/>
      <c r="C8652" s="154"/>
      <c r="D8652" s="201"/>
    </row>
    <row r="8653" spans="2:4">
      <c r="B8653" s="198"/>
      <c r="C8653" s="154"/>
      <c r="D8653" s="201"/>
    </row>
    <row r="8654" spans="2:4">
      <c r="B8654" s="198"/>
      <c r="C8654" s="154"/>
      <c r="D8654" s="201"/>
    </row>
    <row r="8655" spans="2:4">
      <c r="B8655" s="198"/>
      <c r="C8655" s="154"/>
      <c r="D8655" s="201"/>
    </row>
    <row r="8656" spans="2:4">
      <c r="B8656" s="198"/>
      <c r="C8656" s="154"/>
      <c r="D8656" s="201"/>
    </row>
    <row r="8657" spans="2:4">
      <c r="B8657" s="198"/>
      <c r="C8657" s="154"/>
      <c r="D8657" s="201"/>
    </row>
    <row r="8658" spans="2:4">
      <c r="B8658" s="198"/>
      <c r="C8658" s="154"/>
      <c r="D8658" s="201"/>
    </row>
    <row r="8659" spans="2:4">
      <c r="B8659" s="198"/>
      <c r="C8659" s="154"/>
      <c r="D8659" s="201"/>
    </row>
    <row r="8660" spans="2:4">
      <c r="B8660" s="198"/>
      <c r="C8660" s="154"/>
      <c r="D8660" s="201"/>
    </row>
    <row r="8661" spans="2:4">
      <c r="B8661" s="198"/>
      <c r="C8661" s="154"/>
      <c r="D8661" s="201"/>
    </row>
    <row r="8662" spans="2:4">
      <c r="B8662" s="198"/>
      <c r="C8662" s="154"/>
      <c r="D8662" s="201"/>
    </row>
    <row r="8663" spans="2:4">
      <c r="B8663" s="198"/>
      <c r="C8663" s="154"/>
      <c r="D8663" s="201"/>
    </row>
    <row r="8664" spans="2:4">
      <c r="B8664" s="198"/>
      <c r="C8664" s="154"/>
      <c r="D8664" s="201"/>
    </row>
    <row r="8665" spans="2:4">
      <c r="B8665" s="198"/>
      <c r="C8665" s="154"/>
      <c r="D8665" s="201"/>
    </row>
    <row r="8666" spans="2:4">
      <c r="B8666" s="198"/>
      <c r="C8666" s="154"/>
      <c r="D8666" s="201"/>
    </row>
    <row r="8667" spans="2:4">
      <c r="B8667" s="198"/>
      <c r="C8667" s="154"/>
      <c r="D8667" s="201"/>
    </row>
    <row r="8668" spans="2:4">
      <c r="B8668" s="198"/>
      <c r="C8668" s="154"/>
      <c r="D8668" s="201"/>
    </row>
    <row r="8669" spans="2:4">
      <c r="B8669" s="198"/>
      <c r="C8669" s="154"/>
      <c r="D8669" s="201"/>
    </row>
    <row r="8670" spans="2:4">
      <c r="B8670" s="198"/>
      <c r="C8670" s="154"/>
      <c r="D8670" s="201"/>
    </row>
    <row r="8671" spans="2:4">
      <c r="B8671" s="198"/>
      <c r="C8671" s="154"/>
      <c r="D8671" s="201"/>
    </row>
    <row r="8672" spans="2:4">
      <c r="B8672" s="198"/>
      <c r="C8672" s="154"/>
      <c r="D8672" s="201"/>
    </row>
    <row r="8673" spans="2:4">
      <c r="B8673" s="198"/>
      <c r="C8673" s="154"/>
      <c r="D8673" s="201"/>
    </row>
    <row r="8674" spans="2:4">
      <c r="B8674" s="198"/>
      <c r="C8674" s="154"/>
      <c r="D8674" s="201"/>
    </row>
    <row r="8675" spans="2:4">
      <c r="B8675" s="198"/>
      <c r="C8675" s="154"/>
      <c r="D8675" s="201"/>
    </row>
    <row r="8676" spans="2:4">
      <c r="B8676" s="198"/>
      <c r="C8676" s="154"/>
      <c r="D8676" s="201"/>
    </row>
    <row r="8677" spans="2:4">
      <c r="B8677" s="198"/>
      <c r="C8677" s="154"/>
      <c r="D8677" s="201"/>
    </row>
    <row r="8678" spans="2:4">
      <c r="B8678" s="198"/>
      <c r="C8678" s="154"/>
      <c r="D8678" s="201"/>
    </row>
    <row r="8679" spans="2:4">
      <c r="B8679" s="198"/>
      <c r="C8679" s="154"/>
      <c r="D8679" s="201"/>
    </row>
    <row r="8680" spans="2:4">
      <c r="B8680" s="198"/>
      <c r="C8680" s="154"/>
      <c r="D8680" s="201"/>
    </row>
    <row r="8681" spans="2:4">
      <c r="B8681" s="198"/>
      <c r="C8681" s="154"/>
      <c r="D8681" s="201"/>
    </row>
    <row r="8682" spans="2:4">
      <c r="B8682" s="198"/>
      <c r="C8682" s="154"/>
      <c r="D8682" s="201"/>
    </row>
    <row r="8683" spans="2:4">
      <c r="B8683" s="198"/>
      <c r="C8683" s="154"/>
      <c r="D8683" s="201"/>
    </row>
    <row r="8684" spans="2:4">
      <c r="B8684" s="198"/>
      <c r="C8684" s="154"/>
      <c r="D8684" s="201"/>
    </row>
    <row r="8685" spans="2:4">
      <c r="B8685" s="198"/>
      <c r="C8685" s="154"/>
      <c r="D8685" s="201"/>
    </row>
    <row r="8686" spans="2:4">
      <c r="B8686" s="198"/>
      <c r="C8686" s="154"/>
      <c r="D8686" s="201"/>
    </row>
    <row r="8687" spans="2:4">
      <c r="B8687" s="198"/>
      <c r="C8687" s="154"/>
      <c r="D8687" s="201"/>
    </row>
    <row r="8688" spans="2:4">
      <c r="B8688" s="198"/>
      <c r="C8688" s="154"/>
      <c r="D8688" s="201"/>
    </row>
    <row r="8689" spans="2:4">
      <c r="B8689" s="198"/>
      <c r="C8689" s="154"/>
      <c r="D8689" s="201"/>
    </row>
    <row r="8690" spans="2:4">
      <c r="B8690" s="198"/>
      <c r="C8690" s="154"/>
      <c r="D8690" s="201"/>
    </row>
    <row r="8691" spans="2:4">
      <c r="B8691" s="198"/>
      <c r="C8691" s="154"/>
      <c r="D8691" s="201"/>
    </row>
    <row r="8692" spans="2:4">
      <c r="B8692" s="198"/>
      <c r="C8692" s="154"/>
      <c r="D8692" s="201"/>
    </row>
    <row r="8693" spans="2:4">
      <c r="B8693" s="198"/>
      <c r="C8693" s="154"/>
      <c r="D8693" s="201"/>
    </row>
    <row r="8694" spans="2:4">
      <c r="B8694" s="198"/>
      <c r="C8694" s="154"/>
      <c r="D8694" s="201"/>
    </row>
    <row r="8695" spans="2:4">
      <c r="B8695" s="198"/>
      <c r="C8695" s="154"/>
      <c r="D8695" s="201"/>
    </row>
    <row r="8696" spans="2:4">
      <c r="B8696" s="198"/>
      <c r="C8696" s="154"/>
      <c r="D8696" s="201"/>
    </row>
    <row r="8697" spans="2:4">
      <c r="B8697" s="198"/>
      <c r="C8697" s="154"/>
      <c r="D8697" s="201"/>
    </row>
    <row r="8698" spans="2:4">
      <c r="B8698" s="198"/>
      <c r="C8698" s="154"/>
      <c r="D8698" s="201"/>
    </row>
    <row r="8699" spans="2:4">
      <c r="B8699" s="198"/>
      <c r="C8699" s="154"/>
      <c r="D8699" s="201"/>
    </row>
    <row r="8700" spans="2:4">
      <c r="B8700" s="198"/>
      <c r="C8700" s="154"/>
      <c r="D8700" s="201"/>
    </row>
    <row r="8701" spans="2:4">
      <c r="B8701" s="198"/>
      <c r="C8701" s="154"/>
      <c r="D8701" s="201"/>
    </row>
    <row r="8702" spans="2:4">
      <c r="B8702" s="198"/>
      <c r="C8702" s="154"/>
      <c r="D8702" s="201"/>
    </row>
    <row r="8703" spans="2:4">
      <c r="B8703" s="198"/>
      <c r="C8703" s="154"/>
      <c r="D8703" s="201"/>
    </row>
    <row r="8704" spans="2:4">
      <c r="B8704" s="198"/>
      <c r="C8704" s="154"/>
      <c r="D8704" s="201"/>
    </row>
    <row r="8705" spans="2:4">
      <c r="B8705" s="198"/>
      <c r="C8705" s="154"/>
      <c r="D8705" s="201"/>
    </row>
    <row r="8706" spans="2:4">
      <c r="B8706" s="198"/>
      <c r="C8706" s="154"/>
      <c r="D8706" s="201"/>
    </row>
    <row r="8707" spans="2:4">
      <c r="B8707" s="198"/>
      <c r="C8707" s="154"/>
      <c r="D8707" s="201"/>
    </row>
    <row r="8708" spans="2:4">
      <c r="B8708" s="198"/>
      <c r="C8708" s="154"/>
      <c r="D8708" s="201"/>
    </row>
    <row r="8709" spans="2:4">
      <c r="B8709" s="198"/>
      <c r="C8709" s="154"/>
      <c r="D8709" s="201"/>
    </row>
    <row r="8710" spans="2:4">
      <c r="B8710" s="198"/>
      <c r="C8710" s="154"/>
      <c r="D8710" s="201"/>
    </row>
    <row r="8711" spans="2:4">
      <c r="B8711" s="198"/>
      <c r="C8711" s="154"/>
      <c r="D8711" s="201"/>
    </row>
    <row r="8712" spans="2:4">
      <c r="B8712" s="198"/>
      <c r="C8712" s="154"/>
      <c r="D8712" s="201"/>
    </row>
    <row r="8713" spans="2:4">
      <c r="B8713" s="198"/>
      <c r="C8713" s="154"/>
      <c r="D8713" s="201"/>
    </row>
    <row r="8714" spans="2:4">
      <c r="B8714" s="198"/>
      <c r="C8714" s="154"/>
      <c r="D8714" s="201"/>
    </row>
    <row r="8715" spans="2:4">
      <c r="B8715" s="198"/>
      <c r="C8715" s="154"/>
      <c r="D8715" s="201"/>
    </row>
    <row r="8716" spans="2:4">
      <c r="B8716" s="198"/>
      <c r="C8716" s="154"/>
      <c r="D8716" s="201"/>
    </row>
    <row r="8717" spans="2:4">
      <c r="B8717" s="198"/>
      <c r="C8717" s="154"/>
      <c r="D8717" s="201"/>
    </row>
    <row r="8718" spans="2:4">
      <c r="B8718" s="198"/>
      <c r="C8718" s="154"/>
      <c r="D8718" s="201"/>
    </row>
    <row r="8719" spans="2:4">
      <c r="B8719" s="198"/>
      <c r="C8719" s="154"/>
      <c r="D8719" s="201"/>
    </row>
    <row r="8720" spans="2:4">
      <c r="B8720" s="198"/>
      <c r="C8720" s="154"/>
      <c r="D8720" s="201"/>
    </row>
    <row r="8721" spans="2:4">
      <c r="B8721" s="198"/>
      <c r="C8721" s="154"/>
      <c r="D8721" s="201"/>
    </row>
    <row r="8722" spans="2:4">
      <c r="B8722" s="198"/>
      <c r="C8722" s="154"/>
      <c r="D8722" s="201"/>
    </row>
    <row r="8723" spans="2:4">
      <c r="B8723" s="198"/>
      <c r="C8723" s="154"/>
      <c r="D8723" s="201"/>
    </row>
    <row r="8724" spans="2:4">
      <c r="B8724" s="198"/>
      <c r="C8724" s="154"/>
      <c r="D8724" s="201"/>
    </row>
    <row r="8725" spans="2:4">
      <c r="B8725" s="198"/>
      <c r="C8725" s="154"/>
      <c r="D8725" s="201"/>
    </row>
    <row r="8726" spans="2:4">
      <c r="B8726" s="198"/>
      <c r="C8726" s="154"/>
      <c r="D8726" s="201"/>
    </row>
    <row r="8727" spans="2:4">
      <c r="B8727" s="198"/>
      <c r="C8727" s="154"/>
      <c r="D8727" s="201"/>
    </row>
    <row r="8728" spans="2:4">
      <c r="B8728" s="198"/>
      <c r="C8728" s="154"/>
      <c r="D8728" s="201"/>
    </row>
    <row r="8729" spans="2:4">
      <c r="B8729" s="198"/>
      <c r="C8729" s="154"/>
      <c r="D8729" s="201"/>
    </row>
    <row r="8730" spans="2:4">
      <c r="B8730" s="198"/>
      <c r="C8730" s="154"/>
      <c r="D8730" s="201"/>
    </row>
    <row r="8731" spans="2:4">
      <c r="B8731" s="198"/>
      <c r="C8731" s="154"/>
      <c r="D8731" s="201"/>
    </row>
    <row r="8732" spans="2:4">
      <c r="B8732" s="198"/>
      <c r="C8732" s="154"/>
      <c r="D8732" s="201"/>
    </row>
    <row r="8733" spans="2:4">
      <c r="B8733" s="198"/>
      <c r="C8733" s="154"/>
      <c r="D8733" s="201"/>
    </row>
    <row r="8734" spans="2:4">
      <c r="B8734" s="198"/>
      <c r="C8734" s="154"/>
      <c r="D8734" s="201"/>
    </row>
    <row r="8735" spans="2:4">
      <c r="B8735" s="198"/>
      <c r="C8735" s="154"/>
      <c r="D8735" s="201"/>
    </row>
    <row r="8736" spans="2:4">
      <c r="B8736" s="198"/>
      <c r="C8736" s="154"/>
      <c r="D8736" s="201"/>
    </row>
    <row r="8737" spans="2:4">
      <c r="B8737" s="198"/>
      <c r="C8737" s="154"/>
      <c r="D8737" s="201"/>
    </row>
    <row r="8738" spans="2:4">
      <c r="B8738" s="198"/>
      <c r="C8738" s="154"/>
      <c r="D8738" s="201"/>
    </row>
    <row r="8739" spans="2:4">
      <c r="B8739" s="198"/>
      <c r="C8739" s="154"/>
      <c r="D8739" s="201"/>
    </row>
    <row r="8740" spans="2:4">
      <c r="B8740" s="198"/>
      <c r="C8740" s="154"/>
      <c r="D8740" s="201"/>
    </row>
    <row r="8741" spans="2:4">
      <c r="B8741" s="198"/>
      <c r="C8741" s="154"/>
      <c r="D8741" s="201"/>
    </row>
    <row r="8742" spans="2:4">
      <c r="B8742" s="198"/>
      <c r="C8742" s="154"/>
      <c r="D8742" s="201"/>
    </row>
    <row r="8743" spans="2:4">
      <c r="B8743" s="198"/>
      <c r="C8743" s="154"/>
      <c r="D8743" s="201"/>
    </row>
    <row r="8744" spans="2:4">
      <c r="B8744" s="198"/>
      <c r="C8744" s="154"/>
      <c r="D8744" s="201"/>
    </row>
    <row r="8745" spans="2:4">
      <c r="B8745" s="198"/>
      <c r="C8745" s="154"/>
      <c r="D8745" s="201"/>
    </row>
    <row r="8746" spans="2:4">
      <c r="B8746" s="198"/>
      <c r="C8746" s="154"/>
      <c r="D8746" s="201"/>
    </row>
    <row r="8747" spans="2:4">
      <c r="B8747" s="198"/>
      <c r="C8747" s="154"/>
      <c r="D8747" s="201"/>
    </row>
    <row r="8748" spans="2:4">
      <c r="B8748" s="198"/>
      <c r="C8748" s="154"/>
      <c r="D8748" s="201"/>
    </row>
    <row r="8749" spans="2:4">
      <c r="B8749" s="198"/>
      <c r="C8749" s="154"/>
      <c r="D8749" s="201"/>
    </row>
    <row r="8750" spans="2:4">
      <c r="B8750" s="198"/>
      <c r="C8750" s="154"/>
      <c r="D8750" s="201"/>
    </row>
    <row r="8751" spans="2:4">
      <c r="B8751" s="198"/>
      <c r="C8751" s="154"/>
      <c r="D8751" s="201"/>
    </row>
    <row r="8752" spans="2:4">
      <c r="B8752" s="198"/>
      <c r="C8752" s="154"/>
      <c r="D8752" s="201"/>
    </row>
    <row r="8753" spans="2:4">
      <c r="B8753" s="198"/>
      <c r="C8753" s="154"/>
      <c r="D8753" s="201"/>
    </row>
    <row r="8754" spans="2:4">
      <c r="B8754" s="198"/>
      <c r="C8754" s="154"/>
      <c r="D8754" s="201"/>
    </row>
    <row r="8755" spans="2:4">
      <c r="B8755" s="198"/>
      <c r="C8755" s="154"/>
      <c r="D8755" s="201"/>
    </row>
    <row r="8756" spans="2:4">
      <c r="B8756" s="198"/>
      <c r="C8756" s="154"/>
      <c r="D8756" s="201"/>
    </row>
    <row r="8757" spans="2:4">
      <c r="B8757" s="198"/>
      <c r="C8757" s="154"/>
      <c r="D8757" s="201"/>
    </row>
    <row r="8758" spans="2:4">
      <c r="B8758" s="198"/>
      <c r="C8758" s="154"/>
      <c r="D8758" s="201"/>
    </row>
    <row r="8759" spans="2:4">
      <c r="B8759" s="198"/>
      <c r="C8759" s="154"/>
      <c r="D8759" s="201"/>
    </row>
    <row r="8760" spans="2:4">
      <c r="B8760" s="198"/>
      <c r="C8760" s="154"/>
      <c r="D8760" s="201"/>
    </row>
    <row r="8761" spans="2:4">
      <c r="B8761" s="198"/>
      <c r="C8761" s="154"/>
      <c r="D8761" s="201"/>
    </row>
    <row r="8762" spans="2:4">
      <c r="B8762" s="198"/>
      <c r="C8762" s="154"/>
      <c r="D8762" s="201"/>
    </row>
    <row r="8763" spans="2:4">
      <c r="B8763" s="198"/>
      <c r="C8763" s="154"/>
      <c r="D8763" s="201"/>
    </row>
    <row r="8764" spans="2:4">
      <c r="B8764" s="198"/>
      <c r="C8764" s="154"/>
      <c r="D8764" s="201"/>
    </row>
    <row r="8765" spans="2:4">
      <c r="B8765" s="198"/>
      <c r="C8765" s="154"/>
      <c r="D8765" s="201"/>
    </row>
    <row r="8766" spans="2:4">
      <c r="B8766" s="198"/>
      <c r="C8766" s="154"/>
      <c r="D8766" s="201"/>
    </row>
    <row r="8767" spans="2:4">
      <c r="B8767" s="198"/>
      <c r="C8767" s="154"/>
      <c r="D8767" s="201"/>
    </row>
    <row r="8768" spans="2:4">
      <c r="B8768" s="198"/>
      <c r="C8768" s="154"/>
      <c r="D8768" s="201"/>
    </row>
    <row r="8769" spans="2:4">
      <c r="B8769" s="198"/>
      <c r="C8769" s="154"/>
      <c r="D8769" s="201"/>
    </row>
    <row r="8770" spans="2:4">
      <c r="B8770" s="198"/>
      <c r="C8770" s="154"/>
      <c r="D8770" s="201"/>
    </row>
    <row r="8771" spans="2:4">
      <c r="B8771" s="198"/>
      <c r="C8771" s="154"/>
      <c r="D8771" s="201"/>
    </row>
    <row r="8772" spans="2:4">
      <c r="B8772" s="198"/>
      <c r="C8772" s="154"/>
      <c r="D8772" s="201"/>
    </row>
    <row r="8773" spans="2:4">
      <c r="B8773" s="198"/>
      <c r="C8773" s="154"/>
      <c r="D8773" s="201"/>
    </row>
    <row r="8774" spans="2:4">
      <c r="B8774" s="198"/>
      <c r="C8774" s="154"/>
      <c r="D8774" s="201"/>
    </row>
    <row r="8775" spans="2:4">
      <c r="B8775" s="198"/>
      <c r="C8775" s="154"/>
      <c r="D8775" s="201"/>
    </row>
    <row r="8776" spans="2:4">
      <c r="B8776" s="198"/>
      <c r="C8776" s="154"/>
      <c r="D8776" s="201"/>
    </row>
    <row r="8777" spans="2:4">
      <c r="B8777" s="198"/>
      <c r="C8777" s="154"/>
      <c r="D8777" s="201"/>
    </row>
    <row r="8778" spans="2:4">
      <c r="B8778" s="198"/>
      <c r="C8778" s="154"/>
      <c r="D8778" s="201"/>
    </row>
    <row r="8779" spans="2:4">
      <c r="B8779" s="198"/>
      <c r="C8779" s="154"/>
      <c r="D8779" s="201"/>
    </row>
    <row r="8780" spans="2:4">
      <c r="B8780" s="198"/>
      <c r="C8780" s="154"/>
      <c r="D8780" s="201"/>
    </row>
    <row r="8781" spans="2:4">
      <c r="B8781" s="198"/>
      <c r="C8781" s="154"/>
      <c r="D8781" s="201"/>
    </row>
    <row r="8782" spans="2:4">
      <c r="B8782" s="198"/>
      <c r="C8782" s="154"/>
      <c r="D8782" s="201"/>
    </row>
    <row r="8783" spans="2:4">
      <c r="B8783" s="198"/>
      <c r="C8783" s="154"/>
      <c r="D8783" s="201"/>
    </row>
    <row r="8784" spans="2:4">
      <c r="B8784" s="198"/>
      <c r="C8784" s="154"/>
      <c r="D8784" s="201"/>
    </row>
    <row r="8785" spans="2:4">
      <c r="B8785" s="198"/>
      <c r="C8785" s="154"/>
      <c r="D8785" s="201"/>
    </row>
    <row r="8786" spans="2:4">
      <c r="B8786" s="198"/>
      <c r="C8786" s="154"/>
      <c r="D8786" s="201"/>
    </row>
    <row r="8787" spans="2:4">
      <c r="B8787" s="198"/>
      <c r="C8787" s="154"/>
      <c r="D8787" s="201"/>
    </row>
    <row r="8788" spans="2:4">
      <c r="B8788" s="198"/>
      <c r="C8788" s="154"/>
      <c r="D8788" s="201"/>
    </row>
    <row r="8789" spans="2:4">
      <c r="B8789" s="198"/>
      <c r="C8789" s="154"/>
      <c r="D8789" s="201"/>
    </row>
    <row r="8790" spans="2:4">
      <c r="B8790" s="198"/>
      <c r="C8790" s="154"/>
      <c r="D8790" s="201"/>
    </row>
    <row r="8791" spans="2:4">
      <c r="B8791" s="198"/>
      <c r="C8791" s="154"/>
      <c r="D8791" s="201"/>
    </row>
    <row r="8792" spans="2:4">
      <c r="B8792" s="198"/>
      <c r="C8792" s="154"/>
      <c r="D8792" s="201"/>
    </row>
    <row r="8793" spans="2:4">
      <c r="B8793" s="198"/>
      <c r="C8793" s="154"/>
      <c r="D8793" s="201"/>
    </row>
    <row r="8794" spans="2:4">
      <c r="B8794" s="198"/>
      <c r="C8794" s="154"/>
      <c r="D8794" s="201"/>
    </row>
    <row r="8795" spans="2:4">
      <c r="B8795" s="198"/>
      <c r="C8795" s="154"/>
      <c r="D8795" s="201"/>
    </row>
    <row r="8796" spans="2:4">
      <c r="B8796" s="198"/>
      <c r="C8796" s="154"/>
      <c r="D8796" s="201"/>
    </row>
    <row r="8797" spans="2:4">
      <c r="B8797" s="198"/>
      <c r="C8797" s="154"/>
      <c r="D8797" s="201"/>
    </row>
    <row r="8798" spans="2:4">
      <c r="B8798" s="198"/>
      <c r="C8798" s="154"/>
      <c r="D8798" s="201"/>
    </row>
    <row r="8799" spans="2:4">
      <c r="B8799" s="198"/>
      <c r="C8799" s="154"/>
      <c r="D8799" s="201"/>
    </row>
    <row r="8800" spans="2:4">
      <c r="B8800" s="198"/>
      <c r="C8800" s="154"/>
      <c r="D8800" s="201"/>
    </row>
    <row r="8801" spans="2:4">
      <c r="B8801" s="198"/>
      <c r="C8801" s="154"/>
      <c r="D8801" s="201"/>
    </row>
    <row r="8802" spans="2:4">
      <c r="B8802" s="198"/>
      <c r="C8802" s="154"/>
      <c r="D8802" s="201"/>
    </row>
    <row r="8803" spans="2:4">
      <c r="B8803" s="198"/>
      <c r="C8803" s="154"/>
      <c r="D8803" s="201"/>
    </row>
    <row r="8804" spans="2:4">
      <c r="B8804" s="198"/>
      <c r="C8804" s="154"/>
      <c r="D8804" s="201"/>
    </row>
    <row r="8805" spans="2:4">
      <c r="B8805" s="198"/>
      <c r="C8805" s="154"/>
      <c r="D8805" s="201"/>
    </row>
    <row r="8806" spans="2:4">
      <c r="B8806" s="198"/>
      <c r="C8806" s="154"/>
      <c r="D8806" s="201"/>
    </row>
    <row r="8807" spans="2:4">
      <c r="B8807" s="198"/>
      <c r="C8807" s="154"/>
      <c r="D8807" s="201"/>
    </row>
    <row r="8808" spans="2:4">
      <c r="B8808" s="198"/>
      <c r="C8808" s="154"/>
      <c r="D8808" s="201"/>
    </row>
    <row r="8809" spans="2:4">
      <c r="B8809" s="198"/>
      <c r="C8809" s="154"/>
      <c r="D8809" s="201"/>
    </row>
    <row r="8810" spans="2:4">
      <c r="B8810" s="198"/>
      <c r="C8810" s="154"/>
      <c r="D8810" s="201"/>
    </row>
    <row r="8811" spans="2:4">
      <c r="B8811" s="198"/>
      <c r="C8811" s="154"/>
      <c r="D8811" s="201"/>
    </row>
    <row r="8812" spans="2:4">
      <c r="B8812" s="198"/>
      <c r="C8812" s="154"/>
      <c r="D8812" s="201"/>
    </row>
    <row r="8813" spans="2:4">
      <c r="B8813" s="198"/>
      <c r="C8813" s="154"/>
      <c r="D8813" s="201"/>
    </row>
    <row r="8814" spans="2:4">
      <c r="B8814" s="198"/>
      <c r="C8814" s="154"/>
      <c r="D8814" s="201"/>
    </row>
    <row r="8815" spans="2:4">
      <c r="B8815" s="198"/>
      <c r="C8815" s="154"/>
      <c r="D8815" s="201"/>
    </row>
    <row r="8816" spans="2:4">
      <c r="B8816" s="198"/>
      <c r="C8816" s="154"/>
      <c r="D8816" s="201"/>
    </row>
    <row r="8817" spans="2:4">
      <c r="B8817" s="198"/>
      <c r="C8817" s="154"/>
      <c r="D8817" s="201"/>
    </row>
    <row r="8818" spans="2:4">
      <c r="B8818" s="198"/>
      <c r="C8818" s="154"/>
      <c r="D8818" s="201"/>
    </row>
    <row r="8819" spans="2:4">
      <c r="B8819" s="198"/>
      <c r="C8819" s="154"/>
      <c r="D8819" s="201"/>
    </row>
    <row r="8820" spans="2:4">
      <c r="B8820" s="198"/>
      <c r="C8820" s="154"/>
      <c r="D8820" s="201"/>
    </row>
    <row r="8821" spans="2:4">
      <c r="B8821" s="198"/>
      <c r="C8821" s="154"/>
      <c r="D8821" s="201"/>
    </row>
    <row r="8822" spans="2:4">
      <c r="B8822" s="198"/>
      <c r="C8822" s="154"/>
      <c r="D8822" s="201"/>
    </row>
    <row r="8823" spans="2:4">
      <c r="B8823" s="198"/>
      <c r="C8823" s="154"/>
      <c r="D8823" s="201"/>
    </row>
    <row r="8824" spans="2:4">
      <c r="B8824" s="198"/>
      <c r="C8824" s="154"/>
      <c r="D8824" s="201"/>
    </row>
    <row r="8825" spans="2:4">
      <c r="B8825" s="198"/>
      <c r="C8825" s="154"/>
      <c r="D8825" s="201"/>
    </row>
    <row r="8826" spans="2:4">
      <c r="B8826" s="198"/>
      <c r="C8826" s="154"/>
      <c r="D8826" s="201"/>
    </row>
    <row r="8827" spans="2:4">
      <c r="B8827" s="198"/>
      <c r="C8827" s="154"/>
      <c r="D8827" s="201"/>
    </row>
    <row r="8828" spans="2:4">
      <c r="B8828" s="198"/>
      <c r="C8828" s="154"/>
      <c r="D8828" s="201"/>
    </row>
    <row r="8829" spans="2:4">
      <c r="B8829" s="198"/>
      <c r="C8829" s="154"/>
      <c r="D8829" s="201"/>
    </row>
    <row r="8830" spans="2:4">
      <c r="B8830" s="198"/>
      <c r="C8830" s="154"/>
      <c r="D8830" s="201"/>
    </row>
    <row r="8831" spans="2:4">
      <c r="B8831" s="198"/>
      <c r="C8831" s="154"/>
      <c r="D8831" s="201"/>
    </row>
    <row r="8832" spans="2:4">
      <c r="B8832" s="198"/>
      <c r="C8832" s="154"/>
      <c r="D8832" s="201"/>
    </row>
    <row r="8833" spans="2:4">
      <c r="B8833" s="198"/>
      <c r="C8833" s="154"/>
      <c r="D8833" s="201"/>
    </row>
    <row r="8834" spans="2:4">
      <c r="B8834" s="198"/>
      <c r="C8834" s="154"/>
      <c r="D8834" s="201"/>
    </row>
    <row r="8835" spans="2:4">
      <c r="B8835" s="198"/>
      <c r="C8835" s="154"/>
      <c r="D8835" s="201"/>
    </row>
    <row r="8836" spans="2:4">
      <c r="B8836" s="198"/>
      <c r="C8836" s="154"/>
      <c r="D8836" s="201"/>
    </row>
    <row r="8837" spans="2:4">
      <c r="B8837" s="198"/>
      <c r="C8837" s="154"/>
      <c r="D8837" s="201"/>
    </row>
    <row r="8838" spans="2:4">
      <c r="B8838" s="198"/>
      <c r="C8838" s="154"/>
      <c r="D8838" s="201"/>
    </row>
    <row r="8839" spans="2:4">
      <c r="B8839" s="198"/>
      <c r="C8839" s="154"/>
      <c r="D8839" s="201"/>
    </row>
    <row r="8840" spans="2:4">
      <c r="B8840" s="198"/>
      <c r="C8840" s="154"/>
      <c r="D8840" s="201"/>
    </row>
    <row r="8841" spans="2:4">
      <c r="B8841" s="198"/>
      <c r="C8841" s="154"/>
      <c r="D8841" s="201"/>
    </row>
    <row r="8842" spans="2:4">
      <c r="B8842" s="198"/>
      <c r="C8842" s="154"/>
      <c r="D8842" s="201"/>
    </row>
    <row r="8843" spans="2:4">
      <c r="B8843" s="198"/>
      <c r="C8843" s="154"/>
      <c r="D8843" s="201"/>
    </row>
    <row r="8844" spans="2:4">
      <c r="B8844" s="198"/>
      <c r="C8844" s="154"/>
      <c r="D8844" s="201"/>
    </row>
    <row r="8845" spans="2:4">
      <c r="B8845" s="198"/>
      <c r="C8845" s="154"/>
      <c r="D8845" s="201"/>
    </row>
    <row r="8846" spans="2:4">
      <c r="B8846" s="198"/>
      <c r="C8846" s="154"/>
      <c r="D8846" s="201"/>
    </row>
    <row r="8847" spans="2:4">
      <c r="B8847" s="198"/>
      <c r="C8847" s="154"/>
      <c r="D8847" s="201"/>
    </row>
    <row r="8848" spans="2:4">
      <c r="B8848" s="198"/>
      <c r="C8848" s="154"/>
      <c r="D8848" s="201"/>
    </row>
    <row r="8849" spans="2:4">
      <c r="B8849" s="198"/>
      <c r="C8849" s="154"/>
      <c r="D8849" s="201"/>
    </row>
    <row r="8850" spans="2:4">
      <c r="B8850" s="198"/>
      <c r="C8850" s="154"/>
      <c r="D8850" s="201"/>
    </row>
    <row r="8851" spans="2:4">
      <c r="B8851" s="198"/>
      <c r="C8851" s="154"/>
      <c r="D8851" s="201"/>
    </row>
    <row r="8852" spans="2:4">
      <c r="B8852" s="198"/>
      <c r="C8852" s="154"/>
      <c r="D8852" s="201"/>
    </row>
    <row r="8853" spans="2:4">
      <c r="B8853" s="198"/>
      <c r="C8853" s="154"/>
      <c r="D8853" s="201"/>
    </row>
    <row r="8854" spans="2:4">
      <c r="B8854" s="198"/>
      <c r="C8854" s="154"/>
      <c r="D8854" s="201"/>
    </row>
    <row r="8855" spans="2:4">
      <c r="B8855" s="198"/>
      <c r="C8855" s="154"/>
      <c r="D8855" s="201"/>
    </row>
    <row r="8856" spans="2:4">
      <c r="B8856" s="198"/>
      <c r="C8856" s="154"/>
      <c r="D8856" s="201"/>
    </row>
    <row r="8857" spans="2:4">
      <c r="B8857" s="198"/>
      <c r="C8857" s="154"/>
      <c r="D8857" s="201"/>
    </row>
    <row r="8858" spans="2:4">
      <c r="B8858" s="198"/>
      <c r="C8858" s="154"/>
      <c r="D8858" s="201"/>
    </row>
    <row r="8859" spans="2:4">
      <c r="B8859" s="198"/>
      <c r="C8859" s="154"/>
      <c r="D8859" s="201"/>
    </row>
    <row r="8860" spans="2:4">
      <c r="B8860" s="198"/>
      <c r="C8860" s="154"/>
      <c r="D8860" s="201"/>
    </row>
    <row r="8861" spans="2:4">
      <c r="B8861" s="198"/>
      <c r="C8861" s="154"/>
      <c r="D8861" s="201"/>
    </row>
    <row r="8862" spans="2:4">
      <c r="B8862" s="198"/>
      <c r="C8862" s="154"/>
      <c r="D8862" s="201"/>
    </row>
    <row r="8863" spans="2:4">
      <c r="B8863" s="198"/>
      <c r="C8863" s="154"/>
      <c r="D8863" s="201"/>
    </row>
    <row r="8864" spans="2:4">
      <c r="B8864" s="198"/>
      <c r="C8864" s="154"/>
      <c r="D8864" s="201"/>
    </row>
    <row r="8865" spans="2:4">
      <c r="B8865" s="198"/>
      <c r="C8865" s="154"/>
      <c r="D8865" s="201"/>
    </row>
    <row r="8866" spans="2:4">
      <c r="B8866" s="198"/>
      <c r="C8866" s="154"/>
      <c r="D8866" s="201"/>
    </row>
    <row r="8867" spans="2:4">
      <c r="B8867" s="198"/>
      <c r="C8867" s="154"/>
      <c r="D8867" s="201"/>
    </row>
    <row r="8868" spans="2:4">
      <c r="B8868" s="198"/>
      <c r="C8868" s="154"/>
      <c r="D8868" s="201"/>
    </row>
    <row r="8869" spans="2:4">
      <c r="B8869" s="198"/>
      <c r="C8869" s="154"/>
      <c r="D8869" s="201"/>
    </row>
    <row r="8870" spans="2:4">
      <c r="B8870" s="198"/>
      <c r="C8870" s="154"/>
      <c r="D8870" s="201"/>
    </row>
    <row r="8871" spans="2:4">
      <c r="B8871" s="198"/>
      <c r="C8871" s="154"/>
      <c r="D8871" s="201"/>
    </row>
    <row r="8872" spans="2:4">
      <c r="B8872" s="198"/>
      <c r="C8872" s="154"/>
      <c r="D8872" s="201"/>
    </row>
    <row r="8873" spans="2:4">
      <c r="B8873" s="198"/>
      <c r="C8873" s="154"/>
      <c r="D8873" s="201"/>
    </row>
    <row r="8874" spans="2:4">
      <c r="B8874" s="198"/>
      <c r="C8874" s="154"/>
      <c r="D8874" s="201"/>
    </row>
    <row r="8875" spans="2:4">
      <c r="B8875" s="198"/>
      <c r="C8875" s="154"/>
      <c r="D8875" s="201"/>
    </row>
    <row r="8876" spans="2:4">
      <c r="B8876" s="198"/>
      <c r="C8876" s="154"/>
      <c r="D8876" s="201"/>
    </row>
    <row r="8877" spans="2:4">
      <c r="B8877" s="198"/>
      <c r="C8877" s="154"/>
      <c r="D8877" s="201"/>
    </row>
    <row r="8878" spans="2:4">
      <c r="B8878" s="198"/>
      <c r="C8878" s="154"/>
      <c r="D8878" s="201"/>
    </row>
    <row r="8879" spans="2:4">
      <c r="B8879" s="198"/>
      <c r="C8879" s="154"/>
      <c r="D8879" s="201"/>
    </row>
    <row r="8880" spans="2:4">
      <c r="B8880" s="198"/>
      <c r="C8880" s="154"/>
      <c r="D8880" s="201"/>
    </row>
    <row r="8881" spans="2:4">
      <c r="B8881" s="198"/>
      <c r="C8881" s="154"/>
      <c r="D8881" s="201"/>
    </row>
    <row r="8882" spans="2:4">
      <c r="B8882" s="198"/>
      <c r="C8882" s="154"/>
      <c r="D8882" s="201"/>
    </row>
    <row r="8883" spans="2:4">
      <c r="B8883" s="198"/>
      <c r="C8883" s="154"/>
      <c r="D8883" s="201"/>
    </row>
    <row r="8884" spans="2:4">
      <c r="B8884" s="198"/>
      <c r="C8884" s="154"/>
      <c r="D8884" s="201"/>
    </row>
    <row r="8885" spans="2:4">
      <c r="B8885" s="198"/>
      <c r="C8885" s="154"/>
      <c r="D8885" s="201"/>
    </row>
    <row r="8886" spans="2:4">
      <c r="B8886" s="198"/>
      <c r="C8886" s="154"/>
      <c r="D8886" s="201"/>
    </row>
    <row r="8887" spans="2:4">
      <c r="B8887" s="198"/>
      <c r="C8887" s="154"/>
      <c r="D8887" s="201"/>
    </row>
    <row r="8888" spans="2:4">
      <c r="B8888" s="198"/>
      <c r="C8888" s="154"/>
      <c r="D8888" s="201"/>
    </row>
    <row r="8889" spans="2:4">
      <c r="B8889" s="198"/>
      <c r="C8889" s="154"/>
      <c r="D8889" s="201"/>
    </row>
    <row r="8890" spans="2:4">
      <c r="B8890" s="198"/>
      <c r="C8890" s="154"/>
      <c r="D8890" s="201"/>
    </row>
    <row r="8891" spans="2:4">
      <c r="B8891" s="198"/>
      <c r="C8891" s="154"/>
      <c r="D8891" s="201"/>
    </row>
    <row r="8892" spans="2:4">
      <c r="B8892" s="198"/>
      <c r="C8892" s="154"/>
      <c r="D8892" s="201"/>
    </row>
    <row r="8893" spans="2:4">
      <c r="B8893" s="198"/>
      <c r="C8893" s="154"/>
      <c r="D8893" s="201"/>
    </row>
    <row r="8894" spans="2:4">
      <c r="B8894" s="198"/>
      <c r="C8894" s="154"/>
      <c r="D8894" s="201"/>
    </row>
    <row r="8895" spans="2:4">
      <c r="B8895" s="198"/>
      <c r="C8895" s="154"/>
      <c r="D8895" s="201"/>
    </row>
    <row r="8896" spans="2:4">
      <c r="B8896" s="198"/>
      <c r="C8896" s="154"/>
      <c r="D8896" s="201"/>
    </row>
    <row r="8897" spans="2:4">
      <c r="B8897" s="198"/>
      <c r="C8897" s="154"/>
      <c r="D8897" s="201"/>
    </row>
    <row r="8898" spans="2:4">
      <c r="B8898" s="198"/>
      <c r="C8898" s="154"/>
      <c r="D8898" s="201"/>
    </row>
    <row r="8899" spans="2:4">
      <c r="B8899" s="198"/>
      <c r="C8899" s="154"/>
      <c r="D8899" s="201"/>
    </row>
    <row r="8900" spans="2:4">
      <c r="B8900" s="198"/>
      <c r="C8900" s="154"/>
      <c r="D8900" s="201"/>
    </row>
    <row r="8901" spans="2:4">
      <c r="B8901" s="198"/>
      <c r="C8901" s="154"/>
      <c r="D8901" s="201"/>
    </row>
    <row r="8902" spans="2:4">
      <c r="B8902" s="198"/>
      <c r="C8902" s="154"/>
      <c r="D8902" s="201"/>
    </row>
    <row r="8903" spans="2:4">
      <c r="B8903" s="198"/>
      <c r="C8903" s="154"/>
      <c r="D8903" s="201"/>
    </row>
    <row r="8904" spans="2:4">
      <c r="B8904" s="198"/>
      <c r="C8904" s="154"/>
      <c r="D8904" s="201"/>
    </row>
    <row r="8905" spans="2:4">
      <c r="B8905" s="198"/>
      <c r="C8905" s="154"/>
      <c r="D8905" s="201"/>
    </row>
    <row r="8906" spans="2:4">
      <c r="B8906" s="198"/>
      <c r="C8906" s="154"/>
      <c r="D8906" s="201"/>
    </row>
    <row r="8907" spans="2:4">
      <c r="B8907" s="198"/>
      <c r="C8907" s="154"/>
      <c r="D8907" s="201"/>
    </row>
    <row r="8908" spans="2:4">
      <c r="B8908" s="198"/>
      <c r="C8908" s="154"/>
      <c r="D8908" s="201"/>
    </row>
    <row r="8909" spans="2:4">
      <c r="B8909" s="198"/>
      <c r="C8909" s="154"/>
      <c r="D8909" s="201"/>
    </row>
    <row r="8910" spans="2:4">
      <c r="B8910" s="198"/>
      <c r="C8910" s="154"/>
      <c r="D8910" s="201"/>
    </row>
    <row r="8911" spans="2:4">
      <c r="B8911" s="198"/>
      <c r="C8911" s="154"/>
      <c r="D8911" s="201"/>
    </row>
    <row r="8912" spans="2:4">
      <c r="B8912" s="198"/>
      <c r="C8912" s="154"/>
      <c r="D8912" s="201"/>
    </row>
    <row r="8913" spans="2:4">
      <c r="B8913" s="198"/>
      <c r="C8913" s="154"/>
      <c r="D8913" s="201"/>
    </row>
    <row r="8914" spans="2:4">
      <c r="B8914" s="198"/>
      <c r="C8914" s="154"/>
      <c r="D8914" s="201"/>
    </row>
    <row r="8915" spans="2:4">
      <c r="B8915" s="198"/>
      <c r="C8915" s="154"/>
      <c r="D8915" s="201"/>
    </row>
    <row r="8916" spans="2:4">
      <c r="B8916" s="198"/>
      <c r="C8916" s="154"/>
      <c r="D8916" s="201"/>
    </row>
    <row r="8917" spans="2:4">
      <c r="B8917" s="198"/>
      <c r="C8917" s="154"/>
      <c r="D8917" s="201"/>
    </row>
    <row r="8918" spans="2:4">
      <c r="B8918" s="198"/>
      <c r="C8918" s="154"/>
      <c r="D8918" s="201"/>
    </row>
    <row r="8919" spans="2:4">
      <c r="B8919" s="198"/>
      <c r="C8919" s="154"/>
      <c r="D8919" s="201"/>
    </row>
    <row r="8920" spans="2:4">
      <c r="B8920" s="198"/>
      <c r="C8920" s="154"/>
      <c r="D8920" s="201"/>
    </row>
    <row r="8921" spans="2:4">
      <c r="B8921" s="198"/>
      <c r="C8921" s="154"/>
      <c r="D8921" s="201"/>
    </row>
    <row r="8922" spans="2:4">
      <c r="B8922" s="198"/>
      <c r="C8922" s="154"/>
      <c r="D8922" s="201"/>
    </row>
    <row r="8923" spans="2:4">
      <c r="B8923" s="198"/>
      <c r="C8923" s="154"/>
      <c r="D8923" s="201"/>
    </row>
    <row r="8924" spans="2:4">
      <c r="B8924" s="198"/>
      <c r="C8924" s="154"/>
      <c r="D8924" s="201"/>
    </row>
    <row r="8925" spans="2:4">
      <c r="B8925" s="198"/>
      <c r="C8925" s="154"/>
      <c r="D8925" s="201"/>
    </row>
    <row r="8926" spans="2:4">
      <c r="B8926" s="198"/>
      <c r="C8926" s="154"/>
      <c r="D8926" s="201"/>
    </row>
    <row r="8927" spans="2:4">
      <c r="B8927" s="198"/>
      <c r="C8927" s="154"/>
      <c r="D8927" s="201"/>
    </row>
    <row r="8928" spans="2:4">
      <c r="B8928" s="198"/>
      <c r="C8928" s="154"/>
      <c r="D8928" s="201"/>
    </row>
    <row r="8929" spans="2:4">
      <c r="B8929" s="198"/>
      <c r="C8929" s="154"/>
      <c r="D8929" s="201"/>
    </row>
    <row r="8930" spans="2:4">
      <c r="B8930" s="198"/>
      <c r="C8930" s="154"/>
      <c r="D8930" s="201"/>
    </row>
    <row r="8931" spans="2:4">
      <c r="B8931" s="198"/>
      <c r="C8931" s="154"/>
      <c r="D8931" s="201"/>
    </row>
    <row r="8932" spans="2:4">
      <c r="B8932" s="198"/>
      <c r="C8932" s="154"/>
      <c r="D8932" s="201"/>
    </row>
    <row r="8933" spans="2:4">
      <c r="B8933" s="198"/>
      <c r="C8933" s="154"/>
      <c r="D8933" s="201"/>
    </row>
    <row r="8934" spans="2:4">
      <c r="B8934" s="198"/>
      <c r="C8934" s="154"/>
      <c r="D8934" s="201"/>
    </row>
    <row r="8935" spans="2:4">
      <c r="B8935" s="198"/>
      <c r="C8935" s="154"/>
      <c r="D8935" s="201"/>
    </row>
    <row r="8936" spans="2:4">
      <c r="B8936" s="198"/>
      <c r="C8936" s="154"/>
      <c r="D8936" s="201"/>
    </row>
    <row r="8937" spans="2:4">
      <c r="B8937" s="198"/>
      <c r="C8937" s="154"/>
      <c r="D8937" s="201"/>
    </row>
    <row r="8938" spans="2:4">
      <c r="B8938" s="198"/>
      <c r="C8938" s="154"/>
      <c r="D8938" s="201"/>
    </row>
    <row r="8939" spans="2:4">
      <c r="B8939" s="198"/>
      <c r="C8939" s="154"/>
      <c r="D8939" s="201"/>
    </row>
    <row r="8940" spans="2:4">
      <c r="B8940" s="198"/>
      <c r="C8940" s="154"/>
      <c r="D8940" s="201"/>
    </row>
    <row r="8941" spans="2:4">
      <c r="B8941" s="198"/>
      <c r="C8941" s="154"/>
      <c r="D8941" s="201"/>
    </row>
    <row r="8942" spans="2:4">
      <c r="B8942" s="198"/>
      <c r="C8942" s="154"/>
      <c r="D8942" s="201"/>
    </row>
    <row r="8943" spans="2:4">
      <c r="B8943" s="198"/>
      <c r="C8943" s="154"/>
      <c r="D8943" s="201"/>
    </row>
    <row r="8944" spans="2:4">
      <c r="B8944" s="198"/>
      <c r="C8944" s="154"/>
      <c r="D8944" s="201"/>
    </row>
    <row r="8945" spans="2:4">
      <c r="B8945" s="198"/>
      <c r="C8945" s="154"/>
      <c r="D8945" s="201"/>
    </row>
    <row r="8946" spans="2:4">
      <c r="B8946" s="198"/>
      <c r="C8946" s="154"/>
      <c r="D8946" s="201"/>
    </row>
    <row r="8947" spans="2:4">
      <c r="B8947" s="198"/>
      <c r="C8947" s="154"/>
      <c r="D8947" s="201"/>
    </row>
    <row r="8948" spans="2:4">
      <c r="B8948" s="198"/>
      <c r="C8948" s="154"/>
      <c r="D8948" s="201"/>
    </row>
    <row r="8949" spans="2:4">
      <c r="B8949" s="198"/>
      <c r="C8949" s="154"/>
      <c r="D8949" s="201"/>
    </row>
    <row r="8950" spans="2:4">
      <c r="B8950" s="198"/>
      <c r="C8950" s="154"/>
      <c r="D8950" s="201"/>
    </row>
    <row r="8951" spans="2:4">
      <c r="B8951" s="198"/>
      <c r="C8951" s="154"/>
      <c r="D8951" s="201"/>
    </row>
    <row r="8952" spans="2:4">
      <c r="B8952" s="198"/>
      <c r="C8952" s="154"/>
      <c r="D8952" s="201"/>
    </row>
    <row r="8953" spans="2:4">
      <c r="B8953" s="198"/>
      <c r="C8953" s="154"/>
      <c r="D8953" s="201"/>
    </row>
    <row r="8954" spans="2:4">
      <c r="B8954" s="198"/>
      <c r="C8954" s="154"/>
      <c r="D8954" s="201"/>
    </row>
    <row r="8955" spans="2:4">
      <c r="B8955" s="198"/>
      <c r="C8955" s="154"/>
      <c r="D8955" s="201"/>
    </row>
    <row r="8956" spans="2:4">
      <c r="B8956" s="198"/>
      <c r="C8956" s="154"/>
      <c r="D8956" s="201"/>
    </row>
    <row r="8957" spans="2:4">
      <c r="B8957" s="198"/>
      <c r="C8957" s="154"/>
      <c r="D8957" s="201"/>
    </row>
    <row r="8958" spans="2:4">
      <c r="B8958" s="198"/>
      <c r="C8958" s="154"/>
      <c r="D8958" s="201"/>
    </row>
    <row r="8959" spans="2:4">
      <c r="B8959" s="198"/>
      <c r="C8959" s="154"/>
      <c r="D8959" s="201"/>
    </row>
    <row r="8960" spans="2:4">
      <c r="B8960" s="198"/>
      <c r="C8960" s="154"/>
      <c r="D8960" s="201"/>
    </row>
    <row r="8961" spans="2:4">
      <c r="B8961" s="198"/>
      <c r="C8961" s="154"/>
      <c r="D8961" s="201"/>
    </row>
    <row r="8962" spans="2:4">
      <c r="B8962" s="198"/>
      <c r="C8962" s="154"/>
      <c r="D8962" s="201"/>
    </row>
    <row r="8963" spans="2:4">
      <c r="B8963" s="198"/>
      <c r="C8963" s="154"/>
      <c r="D8963" s="201"/>
    </row>
    <row r="8964" spans="2:4">
      <c r="B8964" s="198"/>
      <c r="C8964" s="154"/>
      <c r="D8964" s="201"/>
    </row>
    <row r="8965" spans="2:4">
      <c r="B8965" s="198"/>
      <c r="C8965" s="154"/>
      <c r="D8965" s="201"/>
    </row>
    <row r="8966" spans="2:4">
      <c r="B8966" s="198"/>
      <c r="C8966" s="154"/>
      <c r="D8966" s="201"/>
    </row>
    <row r="8967" spans="2:4">
      <c r="B8967" s="198"/>
      <c r="C8967" s="154"/>
      <c r="D8967" s="201"/>
    </row>
    <row r="8968" spans="2:4">
      <c r="B8968" s="198"/>
      <c r="C8968" s="154"/>
      <c r="D8968" s="201"/>
    </row>
    <row r="8969" spans="2:4">
      <c r="B8969" s="198"/>
      <c r="C8969" s="154"/>
      <c r="D8969" s="201"/>
    </row>
    <row r="8970" spans="2:4">
      <c r="B8970" s="198"/>
      <c r="C8970" s="154"/>
      <c r="D8970" s="201"/>
    </row>
    <row r="8971" spans="2:4">
      <c r="B8971" s="198"/>
      <c r="C8971" s="154"/>
      <c r="D8971" s="201"/>
    </row>
    <row r="8972" spans="2:4">
      <c r="B8972" s="198"/>
      <c r="C8972" s="154"/>
      <c r="D8972" s="201"/>
    </row>
    <row r="8973" spans="2:4">
      <c r="B8973" s="198"/>
      <c r="C8973" s="154"/>
      <c r="D8973" s="201"/>
    </row>
    <row r="8974" spans="2:4">
      <c r="B8974" s="198"/>
      <c r="C8974" s="154"/>
      <c r="D8974" s="201"/>
    </row>
    <row r="8975" spans="2:4">
      <c r="B8975" s="198"/>
      <c r="C8975" s="154"/>
      <c r="D8975" s="201"/>
    </row>
    <row r="8976" spans="2:4">
      <c r="B8976" s="198"/>
      <c r="C8976" s="154"/>
      <c r="D8976" s="201"/>
    </row>
    <row r="8977" spans="2:4">
      <c r="B8977" s="198"/>
      <c r="C8977" s="154"/>
      <c r="D8977" s="201"/>
    </row>
    <row r="8978" spans="2:4">
      <c r="B8978" s="198"/>
      <c r="C8978" s="154"/>
      <c r="D8978" s="201"/>
    </row>
    <row r="8979" spans="2:4">
      <c r="B8979" s="198"/>
      <c r="C8979" s="154"/>
      <c r="D8979" s="201"/>
    </row>
    <row r="8980" spans="2:4">
      <c r="B8980" s="198"/>
      <c r="C8980" s="154"/>
      <c r="D8980" s="201"/>
    </row>
    <row r="8981" spans="2:4">
      <c r="B8981" s="198"/>
      <c r="C8981" s="154"/>
      <c r="D8981" s="201"/>
    </row>
    <row r="8982" spans="2:4">
      <c r="B8982" s="198"/>
      <c r="C8982" s="154"/>
      <c r="D8982" s="201"/>
    </row>
    <row r="8983" spans="2:4">
      <c r="B8983" s="198"/>
      <c r="C8983" s="154"/>
      <c r="D8983" s="201"/>
    </row>
    <row r="8984" spans="2:4">
      <c r="B8984" s="198"/>
      <c r="C8984" s="154"/>
      <c r="D8984" s="201"/>
    </row>
    <row r="8985" spans="2:4">
      <c r="B8985" s="198"/>
      <c r="C8985" s="154"/>
      <c r="D8985" s="201"/>
    </row>
    <row r="8986" spans="2:4">
      <c r="B8986" s="198"/>
      <c r="C8986" s="154"/>
      <c r="D8986" s="201"/>
    </row>
    <row r="8987" spans="2:4">
      <c r="B8987" s="198"/>
      <c r="C8987" s="154"/>
      <c r="D8987" s="201"/>
    </row>
    <row r="8988" spans="2:4">
      <c r="B8988" s="198"/>
      <c r="C8988" s="154"/>
      <c r="D8988" s="201"/>
    </row>
    <row r="8989" spans="2:4">
      <c r="B8989" s="198"/>
      <c r="C8989" s="154"/>
      <c r="D8989" s="201"/>
    </row>
    <row r="8990" spans="2:4">
      <c r="B8990" s="198"/>
      <c r="C8990" s="154"/>
      <c r="D8990" s="201"/>
    </row>
    <row r="8991" spans="2:4">
      <c r="B8991" s="198"/>
      <c r="C8991" s="154"/>
      <c r="D8991" s="201"/>
    </row>
    <row r="8992" spans="2:4">
      <c r="B8992" s="198"/>
      <c r="C8992" s="154"/>
      <c r="D8992" s="201"/>
    </row>
    <row r="8993" spans="2:4">
      <c r="B8993" s="198"/>
      <c r="C8993" s="154"/>
      <c r="D8993" s="201"/>
    </row>
    <row r="8994" spans="2:4">
      <c r="B8994" s="198"/>
      <c r="C8994" s="154"/>
      <c r="D8994" s="201"/>
    </row>
    <row r="8995" spans="2:4">
      <c r="B8995" s="198"/>
      <c r="C8995" s="154"/>
      <c r="D8995" s="201"/>
    </row>
    <row r="8996" spans="2:4">
      <c r="B8996" s="198"/>
      <c r="C8996" s="154"/>
      <c r="D8996" s="201"/>
    </row>
    <row r="8997" spans="2:4">
      <c r="B8997" s="198"/>
      <c r="C8997" s="154"/>
      <c r="D8997" s="201"/>
    </row>
    <row r="8998" spans="2:4">
      <c r="B8998" s="198"/>
      <c r="C8998" s="154"/>
      <c r="D8998" s="201"/>
    </row>
    <row r="8999" spans="2:4">
      <c r="B8999" s="198"/>
      <c r="C8999" s="154"/>
      <c r="D8999" s="201"/>
    </row>
    <row r="9000" spans="2:4">
      <c r="B9000" s="198"/>
      <c r="C9000" s="154"/>
      <c r="D9000" s="201"/>
    </row>
    <row r="9001" spans="2:4">
      <c r="B9001" s="198"/>
      <c r="C9001" s="154"/>
      <c r="D9001" s="201"/>
    </row>
    <row r="9002" spans="2:4">
      <c r="B9002" s="198"/>
      <c r="C9002" s="154"/>
      <c r="D9002" s="201"/>
    </row>
    <row r="9003" spans="2:4">
      <c r="B9003" s="198"/>
      <c r="C9003" s="154"/>
      <c r="D9003" s="201"/>
    </row>
    <row r="9004" spans="2:4">
      <c r="B9004" s="198"/>
      <c r="C9004" s="154"/>
      <c r="D9004" s="201"/>
    </row>
    <row r="9005" spans="2:4">
      <c r="B9005" s="198"/>
      <c r="C9005" s="154"/>
      <c r="D9005" s="201"/>
    </row>
    <row r="9006" spans="2:4">
      <c r="B9006" s="198"/>
      <c r="C9006" s="154"/>
      <c r="D9006" s="201"/>
    </row>
    <row r="9007" spans="2:4">
      <c r="B9007" s="198"/>
      <c r="C9007" s="154"/>
      <c r="D9007" s="201"/>
    </row>
    <row r="9008" spans="2:4">
      <c r="B9008" s="198"/>
      <c r="C9008" s="154"/>
      <c r="D9008" s="201"/>
    </row>
    <row r="9009" spans="2:4">
      <c r="B9009" s="198"/>
      <c r="C9009" s="154"/>
      <c r="D9009" s="201"/>
    </row>
    <row r="9010" spans="2:4">
      <c r="B9010" s="198"/>
      <c r="C9010" s="154"/>
      <c r="D9010" s="201"/>
    </row>
    <row r="9011" spans="2:4">
      <c r="B9011" s="198"/>
      <c r="C9011" s="154"/>
      <c r="D9011" s="201"/>
    </row>
    <row r="9012" spans="2:4">
      <c r="B9012" s="198"/>
      <c r="C9012" s="154"/>
      <c r="D9012" s="201"/>
    </row>
    <row r="9013" spans="2:4">
      <c r="B9013" s="198"/>
      <c r="C9013" s="154"/>
      <c r="D9013" s="201"/>
    </row>
    <row r="9014" spans="2:4">
      <c r="B9014" s="198"/>
      <c r="C9014" s="154"/>
      <c r="D9014" s="201"/>
    </row>
    <row r="9015" spans="2:4">
      <c r="B9015" s="198"/>
      <c r="C9015" s="154"/>
      <c r="D9015" s="201"/>
    </row>
    <row r="9016" spans="2:4">
      <c r="B9016" s="198"/>
      <c r="C9016" s="154"/>
      <c r="D9016" s="201"/>
    </row>
    <row r="9017" spans="2:4">
      <c r="B9017" s="198"/>
      <c r="C9017" s="154"/>
      <c r="D9017" s="201"/>
    </row>
    <row r="9018" spans="2:4">
      <c r="B9018" s="198"/>
      <c r="C9018" s="154"/>
      <c r="D9018" s="201"/>
    </row>
    <row r="9019" spans="2:4">
      <c r="B9019" s="198"/>
      <c r="C9019" s="154"/>
      <c r="D9019" s="201"/>
    </row>
    <row r="9020" spans="2:4">
      <c r="B9020" s="198"/>
      <c r="C9020" s="154"/>
      <c r="D9020" s="201"/>
    </row>
    <row r="9021" spans="2:4">
      <c r="B9021" s="198"/>
      <c r="C9021" s="154"/>
      <c r="D9021" s="201"/>
    </row>
    <row r="9022" spans="2:4">
      <c r="B9022" s="198"/>
      <c r="C9022" s="154"/>
      <c r="D9022" s="201"/>
    </row>
    <row r="9023" spans="2:4">
      <c r="B9023" s="198"/>
      <c r="C9023" s="154"/>
      <c r="D9023" s="201"/>
    </row>
    <row r="9024" spans="2:4">
      <c r="B9024" s="198"/>
      <c r="C9024" s="154"/>
      <c r="D9024" s="201"/>
    </row>
    <row r="9025" spans="2:4">
      <c r="B9025" s="198"/>
      <c r="C9025" s="154"/>
      <c r="D9025" s="201"/>
    </row>
    <row r="9026" spans="2:4">
      <c r="B9026" s="198"/>
      <c r="C9026" s="154"/>
      <c r="D9026" s="201"/>
    </row>
    <row r="9027" spans="2:4">
      <c r="B9027" s="198"/>
      <c r="C9027" s="154"/>
      <c r="D9027" s="201"/>
    </row>
    <row r="9028" spans="2:4">
      <c r="B9028" s="198"/>
      <c r="C9028" s="154"/>
      <c r="D9028" s="201"/>
    </row>
    <row r="9029" spans="2:4">
      <c r="B9029" s="198"/>
      <c r="C9029" s="154"/>
      <c r="D9029" s="201"/>
    </row>
    <row r="9030" spans="2:4">
      <c r="B9030" s="198"/>
      <c r="C9030" s="154"/>
      <c r="D9030" s="201"/>
    </row>
    <row r="9031" spans="2:4">
      <c r="B9031" s="198"/>
      <c r="C9031" s="154"/>
      <c r="D9031" s="201"/>
    </row>
    <row r="9032" spans="2:4">
      <c r="B9032" s="198"/>
      <c r="C9032" s="154"/>
      <c r="D9032" s="201"/>
    </row>
    <row r="9033" spans="2:4">
      <c r="B9033" s="198"/>
      <c r="C9033" s="154"/>
      <c r="D9033" s="201"/>
    </row>
    <row r="9034" spans="2:4">
      <c r="B9034" s="198"/>
      <c r="C9034" s="154"/>
      <c r="D9034" s="201"/>
    </row>
    <row r="9035" spans="2:4">
      <c r="B9035" s="198"/>
      <c r="C9035" s="154"/>
      <c r="D9035" s="201"/>
    </row>
    <row r="9036" spans="2:4">
      <c r="B9036" s="198"/>
      <c r="C9036" s="154"/>
      <c r="D9036" s="201"/>
    </row>
    <row r="9037" spans="2:4">
      <c r="B9037" s="198"/>
      <c r="C9037" s="154"/>
      <c r="D9037" s="201"/>
    </row>
    <row r="9038" spans="2:4">
      <c r="B9038" s="198"/>
      <c r="C9038" s="154"/>
      <c r="D9038" s="201"/>
    </row>
    <row r="9039" spans="2:4">
      <c r="B9039" s="198"/>
      <c r="C9039" s="154"/>
      <c r="D9039" s="201"/>
    </row>
    <row r="9040" spans="2:4">
      <c r="B9040" s="198"/>
      <c r="C9040" s="154"/>
      <c r="D9040" s="201"/>
    </row>
    <row r="9041" spans="2:4">
      <c r="B9041" s="198"/>
      <c r="C9041" s="154"/>
      <c r="D9041" s="201"/>
    </row>
    <row r="9042" spans="2:4">
      <c r="B9042" s="198"/>
      <c r="C9042" s="154"/>
      <c r="D9042" s="201"/>
    </row>
    <row r="9043" spans="2:4">
      <c r="B9043" s="198"/>
      <c r="C9043" s="154"/>
      <c r="D9043" s="201"/>
    </row>
    <row r="9044" spans="2:4">
      <c r="B9044" s="198"/>
      <c r="C9044" s="154"/>
      <c r="D9044" s="201"/>
    </row>
    <row r="9045" spans="2:4">
      <c r="B9045" s="198"/>
      <c r="C9045" s="154"/>
      <c r="D9045" s="201"/>
    </row>
    <row r="9046" spans="2:4">
      <c r="B9046" s="198"/>
      <c r="C9046" s="154"/>
      <c r="D9046" s="201"/>
    </row>
    <row r="9047" spans="2:4">
      <c r="B9047" s="198"/>
      <c r="C9047" s="154"/>
      <c r="D9047" s="201"/>
    </row>
    <row r="9048" spans="2:4">
      <c r="B9048" s="198"/>
      <c r="C9048" s="154"/>
      <c r="D9048" s="201"/>
    </row>
    <row r="9049" spans="2:4">
      <c r="B9049" s="198"/>
      <c r="C9049" s="154"/>
      <c r="D9049" s="201"/>
    </row>
    <row r="9050" spans="2:4">
      <c r="B9050" s="198"/>
      <c r="C9050" s="154"/>
      <c r="D9050" s="201"/>
    </row>
    <row r="9051" spans="2:4">
      <c r="B9051" s="198"/>
      <c r="C9051" s="154"/>
      <c r="D9051" s="201"/>
    </row>
    <row r="9052" spans="2:4">
      <c r="B9052" s="198"/>
      <c r="C9052" s="154"/>
      <c r="D9052" s="201"/>
    </row>
    <row r="9053" spans="2:4">
      <c r="B9053" s="198"/>
      <c r="C9053" s="154"/>
      <c r="D9053" s="201"/>
    </row>
    <row r="9054" spans="2:4">
      <c r="B9054" s="198"/>
      <c r="C9054" s="154"/>
      <c r="D9054" s="201"/>
    </row>
    <row r="9055" spans="2:4">
      <c r="B9055" s="198"/>
      <c r="C9055" s="154"/>
      <c r="D9055" s="201"/>
    </row>
    <row r="9056" spans="2:4">
      <c r="B9056" s="198"/>
      <c r="C9056" s="154"/>
      <c r="D9056" s="201"/>
    </row>
    <row r="9057" spans="2:4">
      <c r="B9057" s="198"/>
      <c r="C9057" s="154"/>
      <c r="D9057" s="201"/>
    </row>
    <row r="9058" spans="2:4">
      <c r="B9058" s="198"/>
      <c r="C9058" s="154"/>
      <c r="D9058" s="201"/>
    </row>
    <row r="9059" spans="2:4">
      <c r="B9059" s="198"/>
      <c r="C9059" s="154"/>
      <c r="D9059" s="201"/>
    </row>
    <row r="9060" spans="2:4">
      <c r="B9060" s="198"/>
      <c r="C9060" s="154"/>
      <c r="D9060" s="201"/>
    </row>
    <row r="9061" spans="2:4">
      <c r="B9061" s="198"/>
      <c r="C9061" s="154"/>
      <c r="D9061" s="201"/>
    </row>
    <row r="9062" spans="2:4">
      <c r="B9062" s="198"/>
      <c r="C9062" s="154"/>
      <c r="D9062" s="201"/>
    </row>
    <row r="9063" spans="2:4">
      <c r="B9063" s="198"/>
      <c r="C9063" s="154"/>
      <c r="D9063" s="201"/>
    </row>
    <row r="9064" spans="2:4">
      <c r="B9064" s="198"/>
      <c r="C9064" s="154"/>
      <c r="D9064" s="201"/>
    </row>
    <row r="9065" spans="2:4">
      <c r="B9065" s="198"/>
      <c r="C9065" s="154"/>
      <c r="D9065" s="201"/>
    </row>
    <row r="9066" spans="2:4">
      <c r="B9066" s="198"/>
      <c r="C9066" s="154"/>
      <c r="D9066" s="201"/>
    </row>
    <row r="9067" spans="2:4">
      <c r="B9067" s="198"/>
      <c r="C9067" s="154"/>
      <c r="D9067" s="201"/>
    </row>
    <row r="9068" spans="2:4">
      <c r="B9068" s="198"/>
      <c r="C9068" s="154"/>
      <c r="D9068" s="201"/>
    </row>
    <row r="9069" spans="2:4">
      <c r="B9069" s="198"/>
      <c r="C9069" s="154"/>
      <c r="D9069" s="201"/>
    </row>
    <row r="9070" spans="2:4">
      <c r="B9070" s="198"/>
      <c r="C9070" s="154"/>
      <c r="D9070" s="201"/>
    </row>
    <row r="9071" spans="2:4">
      <c r="B9071" s="198"/>
      <c r="C9071" s="154"/>
      <c r="D9071" s="201"/>
    </row>
    <row r="9072" spans="2:4">
      <c r="B9072" s="198"/>
      <c r="C9072" s="154"/>
      <c r="D9072" s="201"/>
    </row>
    <row r="9073" spans="2:4">
      <c r="B9073" s="198"/>
      <c r="C9073" s="154"/>
      <c r="D9073" s="201"/>
    </row>
    <row r="9074" spans="2:4">
      <c r="B9074" s="198"/>
      <c r="C9074" s="154"/>
      <c r="D9074" s="201"/>
    </row>
    <row r="9075" spans="2:4">
      <c r="B9075" s="198"/>
      <c r="C9075" s="154"/>
      <c r="D9075" s="201"/>
    </row>
    <row r="9076" spans="2:4">
      <c r="B9076" s="198"/>
      <c r="C9076" s="154"/>
      <c r="D9076" s="201"/>
    </row>
    <row r="9077" spans="2:4">
      <c r="B9077" s="198"/>
      <c r="C9077" s="154"/>
      <c r="D9077" s="201"/>
    </row>
    <row r="9078" spans="2:4">
      <c r="B9078" s="198"/>
      <c r="C9078" s="154"/>
      <c r="D9078" s="201"/>
    </row>
    <row r="9079" spans="2:4">
      <c r="B9079" s="198"/>
      <c r="C9079" s="154"/>
      <c r="D9079" s="201"/>
    </row>
    <row r="9080" spans="2:4">
      <c r="B9080" s="198"/>
      <c r="C9080" s="154"/>
      <c r="D9080" s="201"/>
    </row>
    <row r="9081" spans="2:4">
      <c r="B9081" s="198"/>
      <c r="C9081" s="154"/>
      <c r="D9081" s="201"/>
    </row>
    <row r="9082" spans="2:4">
      <c r="B9082" s="198"/>
      <c r="C9082" s="154"/>
      <c r="D9082" s="201"/>
    </row>
    <row r="9083" spans="2:4">
      <c r="B9083" s="198"/>
      <c r="C9083" s="154"/>
      <c r="D9083" s="201"/>
    </row>
    <row r="9084" spans="2:4">
      <c r="B9084" s="198"/>
      <c r="C9084" s="154"/>
      <c r="D9084" s="201"/>
    </row>
    <row r="9085" spans="2:4">
      <c r="B9085" s="198"/>
      <c r="C9085" s="154"/>
      <c r="D9085" s="201"/>
    </row>
    <row r="9086" spans="2:4">
      <c r="B9086" s="198"/>
      <c r="C9086" s="154"/>
      <c r="D9086" s="201"/>
    </row>
    <row r="9087" spans="2:4">
      <c r="B9087" s="198"/>
      <c r="C9087" s="154"/>
      <c r="D9087" s="201"/>
    </row>
    <row r="9088" spans="2:4">
      <c r="B9088" s="198"/>
      <c r="C9088" s="154"/>
      <c r="D9088" s="201"/>
    </row>
    <row r="9089" spans="2:4">
      <c r="B9089" s="198"/>
      <c r="C9089" s="154"/>
      <c r="D9089" s="201"/>
    </row>
    <row r="9090" spans="2:4">
      <c r="B9090" s="198"/>
      <c r="C9090" s="154"/>
      <c r="D9090" s="201"/>
    </row>
    <row r="9091" spans="2:4">
      <c r="B9091" s="198"/>
      <c r="C9091" s="154"/>
      <c r="D9091" s="201"/>
    </row>
    <row r="9092" spans="2:4">
      <c r="B9092" s="198"/>
      <c r="C9092" s="154"/>
      <c r="D9092" s="201"/>
    </row>
    <row r="9093" spans="2:4">
      <c r="B9093" s="198"/>
      <c r="C9093" s="154"/>
      <c r="D9093" s="201"/>
    </row>
    <row r="9094" spans="2:4">
      <c r="B9094" s="198"/>
      <c r="C9094" s="154"/>
      <c r="D9094" s="201"/>
    </row>
    <row r="9095" spans="2:4">
      <c r="B9095" s="198"/>
      <c r="C9095" s="154"/>
      <c r="D9095" s="201"/>
    </row>
    <row r="9096" spans="2:4">
      <c r="B9096" s="198"/>
      <c r="C9096" s="154"/>
      <c r="D9096" s="201"/>
    </row>
    <row r="9097" spans="2:4">
      <c r="B9097" s="198"/>
      <c r="C9097" s="154"/>
      <c r="D9097" s="201"/>
    </row>
    <row r="9098" spans="2:4">
      <c r="B9098" s="198"/>
      <c r="C9098" s="154"/>
      <c r="D9098" s="201"/>
    </row>
    <row r="9099" spans="2:4">
      <c r="B9099" s="198"/>
      <c r="C9099" s="154"/>
      <c r="D9099" s="201"/>
    </row>
    <row r="9100" spans="2:4">
      <c r="B9100" s="198"/>
      <c r="C9100" s="154"/>
      <c r="D9100" s="201"/>
    </row>
    <row r="9101" spans="2:4">
      <c r="B9101" s="198"/>
      <c r="C9101" s="154"/>
      <c r="D9101" s="201"/>
    </row>
    <row r="9102" spans="2:4">
      <c r="B9102" s="198"/>
      <c r="C9102" s="154"/>
      <c r="D9102" s="201"/>
    </row>
    <row r="9103" spans="2:4">
      <c r="B9103" s="198"/>
      <c r="C9103" s="154"/>
      <c r="D9103" s="201"/>
    </row>
    <row r="9104" spans="2:4">
      <c r="B9104" s="198"/>
      <c r="C9104" s="154"/>
      <c r="D9104" s="201"/>
    </row>
    <row r="9105" spans="2:4">
      <c r="B9105" s="198"/>
      <c r="C9105" s="154"/>
      <c r="D9105" s="201"/>
    </row>
    <row r="9106" spans="2:4">
      <c r="B9106" s="198"/>
      <c r="C9106" s="154"/>
      <c r="D9106" s="201"/>
    </row>
    <row r="9107" spans="2:4">
      <c r="B9107" s="198"/>
      <c r="C9107" s="154"/>
      <c r="D9107" s="201"/>
    </row>
    <row r="9108" spans="2:4">
      <c r="B9108" s="198"/>
      <c r="C9108" s="154"/>
      <c r="D9108" s="201"/>
    </row>
    <row r="9109" spans="2:4">
      <c r="B9109" s="198"/>
      <c r="C9109" s="154"/>
      <c r="D9109" s="201"/>
    </row>
    <row r="9110" spans="2:4">
      <c r="B9110" s="198"/>
      <c r="C9110" s="154"/>
      <c r="D9110" s="201"/>
    </row>
    <row r="9111" spans="2:4">
      <c r="B9111" s="198"/>
      <c r="C9111" s="154"/>
      <c r="D9111" s="201"/>
    </row>
    <row r="9112" spans="2:4">
      <c r="B9112" s="198"/>
      <c r="C9112" s="154"/>
      <c r="D9112" s="201"/>
    </row>
    <row r="9113" spans="2:4">
      <c r="B9113" s="198"/>
      <c r="C9113" s="154"/>
      <c r="D9113" s="201"/>
    </row>
    <row r="9114" spans="2:4">
      <c r="B9114" s="198"/>
      <c r="C9114" s="154"/>
      <c r="D9114" s="201"/>
    </row>
    <row r="9115" spans="2:4">
      <c r="B9115" s="198"/>
      <c r="C9115" s="154"/>
      <c r="D9115" s="201"/>
    </row>
    <row r="9116" spans="2:4">
      <c r="B9116" s="198"/>
      <c r="C9116" s="154"/>
      <c r="D9116" s="201"/>
    </row>
    <row r="9117" spans="2:4">
      <c r="B9117" s="198"/>
      <c r="C9117" s="154"/>
      <c r="D9117" s="201"/>
    </row>
    <row r="9118" spans="2:4">
      <c r="B9118" s="198"/>
      <c r="C9118" s="154"/>
      <c r="D9118" s="201"/>
    </row>
    <row r="9119" spans="2:4">
      <c r="B9119" s="198"/>
      <c r="C9119" s="154"/>
      <c r="D9119" s="201"/>
    </row>
    <row r="9120" spans="2:4">
      <c r="B9120" s="198"/>
      <c r="C9120" s="154"/>
      <c r="D9120" s="201"/>
    </row>
    <row r="9121" spans="2:4">
      <c r="B9121" s="198"/>
      <c r="C9121" s="154"/>
      <c r="D9121" s="201"/>
    </row>
    <row r="9122" spans="2:4">
      <c r="B9122" s="198"/>
      <c r="C9122" s="154"/>
      <c r="D9122" s="201"/>
    </row>
    <row r="9123" spans="2:4">
      <c r="B9123" s="198"/>
      <c r="C9123" s="154"/>
      <c r="D9123" s="201"/>
    </row>
    <row r="9124" spans="2:4">
      <c r="B9124" s="198"/>
      <c r="C9124" s="154"/>
      <c r="D9124" s="201"/>
    </row>
    <row r="9125" spans="2:4">
      <c r="B9125" s="198"/>
      <c r="C9125" s="154"/>
      <c r="D9125" s="201"/>
    </row>
    <row r="9126" spans="2:4">
      <c r="B9126" s="198"/>
      <c r="C9126" s="154"/>
      <c r="D9126" s="201"/>
    </row>
    <row r="9127" spans="2:4">
      <c r="B9127" s="198"/>
      <c r="C9127" s="154"/>
      <c r="D9127" s="201"/>
    </row>
    <row r="9128" spans="2:4">
      <c r="B9128" s="198"/>
      <c r="C9128" s="154"/>
      <c r="D9128" s="201"/>
    </row>
    <row r="9129" spans="2:4">
      <c r="B9129" s="198"/>
      <c r="C9129" s="154"/>
      <c r="D9129" s="201"/>
    </row>
    <row r="9130" spans="2:4">
      <c r="B9130" s="198"/>
      <c r="C9130" s="154"/>
      <c r="D9130" s="201"/>
    </row>
    <row r="9131" spans="2:4">
      <c r="B9131" s="198"/>
      <c r="C9131" s="154"/>
      <c r="D9131" s="201"/>
    </row>
    <row r="9132" spans="2:4">
      <c r="B9132" s="198"/>
      <c r="C9132" s="154"/>
      <c r="D9132" s="201"/>
    </row>
    <row r="9133" spans="2:4">
      <c r="B9133" s="198"/>
      <c r="C9133" s="154"/>
      <c r="D9133" s="201"/>
    </row>
    <row r="9134" spans="2:4">
      <c r="B9134" s="198"/>
      <c r="C9134" s="154"/>
      <c r="D9134" s="201"/>
    </row>
    <row r="9135" spans="2:4">
      <c r="B9135" s="198"/>
      <c r="C9135" s="154"/>
      <c r="D9135" s="201"/>
    </row>
    <row r="9136" spans="2:4">
      <c r="B9136" s="198"/>
      <c r="C9136" s="154"/>
      <c r="D9136" s="201"/>
    </row>
    <row r="9137" spans="2:4">
      <c r="B9137" s="198"/>
      <c r="C9137" s="154"/>
      <c r="D9137" s="201"/>
    </row>
    <row r="9138" spans="2:4">
      <c r="B9138" s="198"/>
      <c r="C9138" s="154"/>
      <c r="D9138" s="201"/>
    </row>
    <row r="9139" spans="2:4">
      <c r="B9139" s="198"/>
      <c r="C9139" s="154"/>
      <c r="D9139" s="201"/>
    </row>
    <row r="9140" spans="2:4">
      <c r="B9140" s="198"/>
      <c r="C9140" s="154"/>
      <c r="D9140" s="201"/>
    </row>
    <row r="9141" spans="2:4">
      <c r="B9141" s="198"/>
      <c r="C9141" s="154"/>
      <c r="D9141" s="201"/>
    </row>
    <row r="9142" spans="2:4">
      <c r="B9142" s="198"/>
      <c r="C9142" s="154"/>
      <c r="D9142" s="201"/>
    </row>
    <row r="9143" spans="2:4">
      <c r="B9143" s="198"/>
      <c r="C9143" s="154"/>
      <c r="D9143" s="201"/>
    </row>
    <row r="9144" spans="2:4">
      <c r="B9144" s="198"/>
      <c r="C9144" s="154"/>
      <c r="D9144" s="201"/>
    </row>
    <row r="9145" spans="2:4">
      <c r="B9145" s="198"/>
      <c r="C9145" s="154"/>
      <c r="D9145" s="201"/>
    </row>
    <row r="9146" spans="2:4">
      <c r="B9146" s="198"/>
      <c r="C9146" s="154"/>
      <c r="D9146" s="201"/>
    </row>
    <row r="9147" spans="2:4">
      <c r="B9147" s="198"/>
      <c r="C9147" s="154"/>
      <c r="D9147" s="201"/>
    </row>
    <row r="9148" spans="2:4">
      <c r="B9148" s="198"/>
      <c r="C9148" s="154"/>
      <c r="D9148" s="201"/>
    </row>
    <row r="9149" spans="2:4">
      <c r="B9149" s="198"/>
      <c r="C9149" s="154"/>
      <c r="D9149" s="201"/>
    </row>
    <row r="9150" spans="2:4">
      <c r="B9150" s="198"/>
      <c r="C9150" s="154"/>
      <c r="D9150" s="201"/>
    </row>
    <row r="9151" spans="2:4">
      <c r="B9151" s="198"/>
      <c r="C9151" s="154"/>
      <c r="D9151" s="201"/>
    </row>
    <row r="9152" spans="2:4">
      <c r="B9152" s="198"/>
      <c r="C9152" s="154"/>
      <c r="D9152" s="201"/>
    </row>
    <row r="9153" spans="2:4">
      <c r="B9153" s="198"/>
      <c r="C9153" s="154"/>
      <c r="D9153" s="201"/>
    </row>
    <row r="9154" spans="2:4">
      <c r="B9154" s="198"/>
      <c r="C9154" s="154"/>
      <c r="D9154" s="201"/>
    </row>
    <row r="9155" spans="2:4">
      <c r="B9155" s="198"/>
      <c r="C9155" s="154"/>
      <c r="D9155" s="201"/>
    </row>
    <row r="9156" spans="2:4">
      <c r="B9156" s="198"/>
      <c r="C9156" s="154"/>
      <c r="D9156" s="201"/>
    </row>
    <row r="9157" spans="2:4">
      <c r="B9157" s="198"/>
      <c r="C9157" s="154"/>
      <c r="D9157" s="201"/>
    </row>
    <row r="9158" spans="2:4">
      <c r="B9158" s="198"/>
      <c r="C9158" s="154"/>
      <c r="D9158" s="201"/>
    </row>
    <row r="9159" spans="2:4">
      <c r="B9159" s="198"/>
      <c r="C9159" s="154"/>
      <c r="D9159" s="201"/>
    </row>
    <row r="9160" spans="2:4">
      <c r="B9160" s="198"/>
      <c r="C9160" s="154"/>
      <c r="D9160" s="201"/>
    </row>
    <row r="9161" spans="2:4">
      <c r="B9161" s="198"/>
      <c r="C9161" s="154"/>
      <c r="D9161" s="201"/>
    </row>
    <row r="9162" spans="2:4">
      <c r="B9162" s="198"/>
      <c r="C9162" s="154"/>
      <c r="D9162" s="201"/>
    </row>
    <row r="9163" spans="2:4">
      <c r="B9163" s="198"/>
      <c r="C9163" s="154"/>
      <c r="D9163" s="201"/>
    </row>
    <row r="9164" spans="2:4">
      <c r="B9164" s="198"/>
      <c r="C9164" s="154"/>
      <c r="D9164" s="201"/>
    </row>
    <row r="9165" spans="2:4">
      <c r="B9165" s="198"/>
      <c r="C9165" s="154"/>
      <c r="D9165" s="201"/>
    </row>
    <row r="9166" spans="2:4">
      <c r="B9166" s="198"/>
      <c r="C9166" s="154"/>
      <c r="D9166" s="201"/>
    </row>
    <row r="9167" spans="2:4">
      <c r="B9167" s="198"/>
      <c r="C9167" s="154"/>
      <c r="D9167" s="201"/>
    </row>
    <row r="9168" spans="2:4">
      <c r="B9168" s="198"/>
      <c r="C9168" s="154"/>
      <c r="D9168" s="201"/>
    </row>
    <row r="9169" spans="2:4">
      <c r="B9169" s="198"/>
      <c r="C9169" s="154"/>
      <c r="D9169" s="201"/>
    </row>
    <row r="9170" spans="2:4">
      <c r="B9170" s="198"/>
      <c r="C9170" s="154"/>
      <c r="D9170" s="201"/>
    </row>
    <row r="9171" spans="2:4">
      <c r="B9171" s="198"/>
      <c r="C9171" s="154"/>
      <c r="D9171" s="201"/>
    </row>
    <row r="9172" spans="2:4">
      <c r="B9172" s="198"/>
      <c r="C9172" s="154"/>
      <c r="D9172" s="201"/>
    </row>
    <row r="9173" spans="2:4">
      <c r="B9173" s="198"/>
      <c r="C9173" s="154"/>
      <c r="D9173" s="201"/>
    </row>
    <row r="9174" spans="2:4">
      <c r="B9174" s="198"/>
      <c r="C9174" s="154"/>
      <c r="D9174" s="201"/>
    </row>
    <row r="9175" spans="2:4">
      <c r="B9175" s="198"/>
      <c r="C9175" s="154"/>
      <c r="D9175" s="201"/>
    </row>
    <row r="9176" spans="2:4">
      <c r="B9176" s="198"/>
      <c r="C9176" s="154"/>
      <c r="D9176" s="201"/>
    </row>
    <row r="9177" spans="2:4">
      <c r="B9177" s="198"/>
      <c r="C9177" s="154"/>
      <c r="D9177" s="201"/>
    </row>
    <row r="9178" spans="2:4">
      <c r="B9178" s="198"/>
      <c r="C9178" s="154"/>
      <c r="D9178" s="201"/>
    </row>
    <row r="9179" spans="2:4">
      <c r="B9179" s="198"/>
      <c r="C9179" s="154"/>
      <c r="D9179" s="201"/>
    </row>
    <row r="9180" spans="2:4">
      <c r="B9180" s="198"/>
      <c r="C9180" s="154"/>
      <c r="D9180" s="201"/>
    </row>
    <row r="9181" spans="2:4">
      <c r="B9181" s="198"/>
      <c r="C9181" s="154"/>
      <c r="D9181" s="201"/>
    </row>
    <row r="9182" spans="2:4">
      <c r="B9182" s="198"/>
      <c r="C9182" s="154"/>
      <c r="D9182" s="201"/>
    </row>
    <row r="9183" spans="2:4">
      <c r="B9183" s="198"/>
      <c r="C9183" s="154"/>
      <c r="D9183" s="201"/>
    </row>
    <row r="9184" spans="2:4">
      <c r="B9184" s="198"/>
      <c r="C9184" s="154"/>
      <c r="D9184" s="201"/>
    </row>
    <row r="9185" spans="2:4">
      <c r="B9185" s="198"/>
      <c r="C9185" s="154"/>
      <c r="D9185" s="201"/>
    </row>
    <row r="9186" spans="2:4">
      <c r="B9186" s="198"/>
      <c r="C9186" s="154"/>
      <c r="D9186" s="201"/>
    </row>
    <row r="9187" spans="2:4">
      <c r="B9187" s="198"/>
      <c r="C9187" s="154"/>
      <c r="D9187" s="201"/>
    </row>
    <row r="9188" spans="2:4">
      <c r="B9188" s="198"/>
      <c r="C9188" s="154"/>
      <c r="D9188" s="201"/>
    </row>
    <row r="9189" spans="2:4">
      <c r="B9189" s="198"/>
      <c r="C9189" s="154"/>
      <c r="D9189" s="201"/>
    </row>
    <row r="9190" spans="2:4">
      <c r="B9190" s="198"/>
      <c r="C9190" s="154"/>
      <c r="D9190" s="201"/>
    </row>
    <row r="9191" spans="2:4">
      <c r="B9191" s="198"/>
      <c r="C9191" s="154"/>
      <c r="D9191" s="201"/>
    </row>
    <row r="9192" spans="2:4">
      <c r="B9192" s="198"/>
      <c r="C9192" s="154"/>
      <c r="D9192" s="201"/>
    </row>
    <row r="9193" spans="2:4">
      <c r="B9193" s="198"/>
      <c r="C9193" s="154"/>
      <c r="D9193" s="201"/>
    </row>
    <row r="9194" spans="2:4">
      <c r="B9194" s="198"/>
      <c r="C9194" s="154"/>
      <c r="D9194" s="201"/>
    </row>
    <row r="9195" spans="2:4">
      <c r="B9195" s="198"/>
      <c r="C9195" s="154"/>
      <c r="D9195" s="201"/>
    </row>
    <row r="9196" spans="2:4">
      <c r="B9196" s="198"/>
      <c r="C9196" s="154"/>
      <c r="D9196" s="201"/>
    </row>
    <row r="9197" spans="2:4">
      <c r="B9197" s="198"/>
      <c r="C9197" s="154"/>
      <c r="D9197" s="201"/>
    </row>
    <row r="9198" spans="2:4">
      <c r="B9198" s="198"/>
      <c r="C9198" s="154"/>
      <c r="D9198" s="201"/>
    </row>
    <row r="9199" spans="2:4">
      <c r="B9199" s="198"/>
      <c r="C9199" s="154"/>
      <c r="D9199" s="201"/>
    </row>
    <row r="9200" spans="2:4">
      <c r="B9200" s="198"/>
      <c r="C9200" s="154"/>
      <c r="D9200" s="201"/>
    </row>
    <row r="9201" spans="2:4">
      <c r="B9201" s="198"/>
      <c r="C9201" s="154"/>
      <c r="D9201" s="201"/>
    </row>
    <row r="9202" spans="2:4">
      <c r="B9202" s="198"/>
      <c r="C9202" s="154"/>
      <c r="D9202" s="201"/>
    </row>
    <row r="9203" spans="2:4">
      <c r="B9203" s="198"/>
      <c r="C9203" s="154"/>
      <c r="D9203" s="201"/>
    </row>
    <row r="9204" spans="2:4">
      <c r="B9204" s="198"/>
      <c r="C9204" s="154"/>
      <c r="D9204" s="201"/>
    </row>
    <row r="9205" spans="2:4">
      <c r="B9205" s="198"/>
      <c r="C9205" s="154"/>
      <c r="D9205" s="201"/>
    </row>
    <row r="9206" spans="2:4">
      <c r="B9206" s="198"/>
      <c r="C9206" s="154"/>
      <c r="D9206" s="201"/>
    </row>
    <row r="9207" spans="2:4">
      <c r="B9207" s="198"/>
      <c r="C9207" s="154"/>
      <c r="D9207" s="201"/>
    </row>
    <row r="9208" spans="2:4">
      <c r="B9208" s="198"/>
      <c r="C9208" s="154"/>
      <c r="D9208" s="201"/>
    </row>
    <row r="9209" spans="2:4">
      <c r="B9209" s="198"/>
      <c r="C9209" s="154"/>
      <c r="D9209" s="201"/>
    </row>
    <row r="9210" spans="2:4">
      <c r="B9210" s="198"/>
      <c r="C9210" s="154"/>
      <c r="D9210" s="201"/>
    </row>
    <row r="9211" spans="2:4">
      <c r="B9211" s="198"/>
      <c r="C9211" s="154"/>
      <c r="D9211" s="201"/>
    </row>
    <row r="9212" spans="2:4">
      <c r="B9212" s="198"/>
      <c r="C9212" s="154"/>
      <c r="D9212" s="201"/>
    </row>
    <row r="9213" spans="2:4">
      <c r="B9213" s="198"/>
      <c r="C9213" s="154"/>
      <c r="D9213" s="201"/>
    </row>
    <row r="9214" spans="2:4">
      <c r="B9214" s="198"/>
      <c r="C9214" s="154"/>
      <c r="D9214" s="201"/>
    </row>
    <row r="9215" spans="2:4">
      <c r="B9215" s="198"/>
      <c r="C9215" s="154"/>
      <c r="D9215" s="201"/>
    </row>
    <row r="9216" spans="2:4">
      <c r="B9216" s="198"/>
      <c r="C9216" s="154"/>
      <c r="D9216" s="201"/>
    </row>
    <row r="9217" spans="2:4">
      <c r="B9217" s="198"/>
      <c r="C9217" s="154"/>
      <c r="D9217" s="201"/>
    </row>
    <row r="9218" spans="2:4">
      <c r="B9218" s="198"/>
      <c r="C9218" s="154"/>
      <c r="D9218" s="201"/>
    </row>
    <row r="9219" spans="2:4">
      <c r="B9219" s="198"/>
      <c r="C9219" s="154"/>
      <c r="D9219" s="201"/>
    </row>
    <row r="9220" spans="2:4">
      <c r="B9220" s="198"/>
      <c r="C9220" s="154"/>
      <c r="D9220" s="201"/>
    </row>
    <row r="9221" spans="2:4">
      <c r="B9221" s="198"/>
      <c r="C9221" s="154"/>
      <c r="D9221" s="201"/>
    </row>
    <row r="9222" spans="2:4">
      <c r="B9222" s="198"/>
      <c r="C9222" s="154"/>
      <c r="D9222" s="201"/>
    </row>
    <row r="9223" spans="2:4">
      <c r="B9223" s="198"/>
      <c r="C9223" s="154"/>
      <c r="D9223" s="201"/>
    </row>
    <row r="9224" spans="2:4">
      <c r="B9224" s="198"/>
      <c r="C9224" s="154"/>
      <c r="D9224" s="201"/>
    </row>
    <row r="9225" spans="2:4">
      <c r="B9225" s="198"/>
      <c r="C9225" s="154"/>
      <c r="D9225" s="201"/>
    </row>
    <row r="9226" spans="2:4">
      <c r="B9226" s="198"/>
      <c r="C9226" s="154"/>
      <c r="D9226" s="201"/>
    </row>
    <row r="9227" spans="2:4">
      <c r="B9227" s="198"/>
      <c r="C9227" s="154"/>
      <c r="D9227" s="201"/>
    </row>
    <row r="9228" spans="2:4">
      <c r="B9228" s="198"/>
      <c r="C9228" s="154"/>
      <c r="D9228" s="201"/>
    </row>
    <row r="9229" spans="2:4">
      <c r="B9229" s="198"/>
      <c r="C9229" s="154"/>
      <c r="D9229" s="201"/>
    </row>
    <row r="9230" spans="2:4">
      <c r="B9230" s="198"/>
      <c r="C9230" s="154"/>
      <c r="D9230" s="201"/>
    </row>
    <row r="9231" spans="2:4">
      <c r="B9231" s="198"/>
      <c r="C9231" s="154"/>
      <c r="D9231" s="201"/>
    </row>
    <row r="9232" spans="2:4">
      <c r="B9232" s="198"/>
      <c r="C9232" s="154"/>
      <c r="D9232" s="201"/>
    </row>
    <row r="9233" spans="2:4">
      <c r="B9233" s="198"/>
      <c r="C9233" s="154"/>
      <c r="D9233" s="201"/>
    </row>
    <row r="9234" spans="2:4">
      <c r="B9234" s="198"/>
      <c r="C9234" s="154"/>
      <c r="D9234" s="201"/>
    </row>
    <row r="9235" spans="2:4">
      <c r="B9235" s="198"/>
      <c r="C9235" s="154"/>
      <c r="D9235" s="201"/>
    </row>
    <row r="9236" spans="2:4">
      <c r="B9236" s="198"/>
      <c r="C9236" s="154"/>
      <c r="D9236" s="201"/>
    </row>
    <row r="9237" spans="2:4">
      <c r="B9237" s="198"/>
      <c r="C9237" s="154"/>
      <c r="D9237" s="201"/>
    </row>
    <row r="9238" spans="2:4">
      <c r="B9238" s="198"/>
      <c r="C9238" s="154"/>
      <c r="D9238" s="201"/>
    </row>
    <row r="9239" spans="2:4">
      <c r="B9239" s="198"/>
      <c r="C9239" s="154"/>
      <c r="D9239" s="201"/>
    </row>
    <row r="9240" spans="2:4">
      <c r="B9240" s="198"/>
      <c r="C9240" s="154"/>
      <c r="D9240" s="201"/>
    </row>
    <row r="9241" spans="2:4">
      <c r="B9241" s="198"/>
      <c r="C9241" s="154"/>
      <c r="D9241" s="201"/>
    </row>
    <row r="9242" spans="2:4">
      <c r="B9242" s="198"/>
      <c r="C9242" s="154"/>
      <c r="D9242" s="201"/>
    </row>
    <row r="9243" spans="2:4">
      <c r="B9243" s="198"/>
      <c r="C9243" s="154"/>
      <c r="D9243" s="201"/>
    </row>
    <row r="9244" spans="2:4">
      <c r="B9244" s="198"/>
      <c r="C9244" s="154"/>
      <c r="D9244" s="201"/>
    </row>
    <row r="9245" spans="2:4">
      <c r="B9245" s="198"/>
      <c r="C9245" s="154"/>
      <c r="D9245" s="201"/>
    </row>
    <row r="9246" spans="2:4">
      <c r="B9246" s="198"/>
      <c r="C9246" s="154"/>
      <c r="D9246" s="201"/>
    </row>
    <row r="9247" spans="2:4">
      <c r="B9247" s="198"/>
      <c r="C9247" s="154"/>
      <c r="D9247" s="201"/>
    </row>
    <row r="9248" spans="2:4">
      <c r="B9248" s="198"/>
      <c r="C9248" s="154"/>
      <c r="D9248" s="201"/>
    </row>
    <row r="9249" spans="2:4">
      <c r="B9249" s="198"/>
      <c r="C9249" s="154"/>
      <c r="D9249" s="201"/>
    </row>
    <row r="9250" spans="2:4">
      <c r="B9250" s="198"/>
      <c r="C9250" s="154"/>
      <c r="D9250" s="201"/>
    </row>
    <row r="9251" spans="2:4">
      <c r="B9251" s="198"/>
      <c r="C9251" s="154"/>
      <c r="D9251" s="201"/>
    </row>
    <row r="9252" spans="2:4">
      <c r="B9252" s="198"/>
      <c r="C9252" s="154"/>
      <c r="D9252" s="201"/>
    </row>
    <row r="9253" spans="2:4">
      <c r="B9253" s="198"/>
      <c r="C9253" s="154"/>
      <c r="D9253" s="201"/>
    </row>
    <row r="9254" spans="2:4">
      <c r="B9254" s="198"/>
      <c r="C9254" s="154"/>
      <c r="D9254" s="201"/>
    </row>
    <row r="9255" spans="2:4">
      <c r="B9255" s="198"/>
      <c r="C9255" s="154"/>
      <c r="D9255" s="201"/>
    </row>
    <row r="9256" spans="2:4">
      <c r="B9256" s="198"/>
      <c r="C9256" s="154"/>
      <c r="D9256" s="201"/>
    </row>
    <row r="9257" spans="2:4">
      <c r="B9257" s="198"/>
      <c r="C9257" s="154"/>
      <c r="D9257" s="201"/>
    </row>
    <row r="9258" spans="2:4">
      <c r="B9258" s="198"/>
      <c r="C9258" s="154"/>
      <c r="D9258" s="201"/>
    </row>
    <row r="9259" spans="2:4">
      <c r="B9259" s="198"/>
      <c r="C9259" s="154"/>
      <c r="D9259" s="201"/>
    </row>
    <row r="9260" spans="2:4">
      <c r="B9260" s="198"/>
      <c r="C9260" s="154"/>
      <c r="D9260" s="201"/>
    </row>
    <row r="9261" spans="2:4">
      <c r="B9261" s="198"/>
      <c r="C9261" s="154"/>
      <c r="D9261" s="201"/>
    </row>
    <row r="9262" spans="2:4">
      <c r="B9262" s="198"/>
      <c r="C9262" s="154"/>
      <c r="D9262" s="201"/>
    </row>
    <row r="9263" spans="2:4">
      <c r="B9263" s="198"/>
      <c r="C9263" s="154"/>
      <c r="D9263" s="201"/>
    </row>
    <row r="9264" spans="2:4">
      <c r="B9264" s="198"/>
      <c r="C9264" s="154"/>
      <c r="D9264" s="201"/>
    </row>
    <row r="9265" spans="2:4">
      <c r="B9265" s="198"/>
      <c r="C9265" s="154"/>
      <c r="D9265" s="201"/>
    </row>
    <row r="9266" spans="2:4">
      <c r="B9266" s="198"/>
      <c r="C9266" s="154"/>
      <c r="D9266" s="201"/>
    </row>
    <row r="9267" spans="2:4">
      <c r="B9267" s="198"/>
      <c r="C9267" s="154"/>
      <c r="D9267" s="201"/>
    </row>
    <row r="9268" spans="2:4">
      <c r="B9268" s="198"/>
      <c r="C9268" s="154"/>
      <c r="D9268" s="201"/>
    </row>
    <row r="9269" spans="2:4">
      <c r="B9269" s="198"/>
      <c r="C9269" s="154"/>
      <c r="D9269" s="201"/>
    </row>
    <row r="9270" spans="2:4">
      <c r="B9270" s="198"/>
      <c r="C9270" s="154"/>
      <c r="D9270" s="201"/>
    </row>
    <row r="9271" spans="2:4">
      <c r="B9271" s="198"/>
      <c r="C9271" s="154"/>
      <c r="D9271" s="201"/>
    </row>
    <row r="9272" spans="2:4">
      <c r="B9272" s="198"/>
      <c r="C9272" s="154"/>
      <c r="D9272" s="201"/>
    </row>
    <row r="9273" spans="2:4">
      <c r="B9273" s="198"/>
      <c r="C9273" s="154"/>
      <c r="D9273" s="201"/>
    </row>
    <row r="9274" spans="2:4">
      <c r="B9274" s="198"/>
      <c r="C9274" s="154"/>
      <c r="D9274" s="201"/>
    </row>
    <row r="9275" spans="2:4">
      <c r="B9275" s="198"/>
      <c r="C9275" s="154"/>
      <c r="D9275" s="201"/>
    </row>
    <row r="9276" spans="2:4">
      <c r="B9276" s="198"/>
      <c r="C9276" s="154"/>
      <c r="D9276" s="201"/>
    </row>
    <row r="9277" spans="2:4">
      <c r="B9277" s="198"/>
      <c r="C9277" s="154"/>
      <c r="D9277" s="201"/>
    </row>
    <row r="9278" spans="2:4">
      <c r="B9278" s="198"/>
      <c r="C9278" s="154"/>
      <c r="D9278" s="201"/>
    </row>
    <row r="9279" spans="2:4">
      <c r="B9279" s="198"/>
      <c r="C9279" s="154"/>
      <c r="D9279" s="201"/>
    </row>
    <row r="9280" spans="2:4">
      <c r="B9280" s="198"/>
      <c r="C9280" s="154"/>
      <c r="D9280" s="201"/>
    </row>
    <row r="9281" spans="2:4">
      <c r="B9281" s="198"/>
      <c r="C9281" s="154"/>
      <c r="D9281" s="201"/>
    </row>
    <row r="9282" spans="2:4">
      <c r="B9282" s="198"/>
      <c r="C9282" s="154"/>
      <c r="D9282" s="201"/>
    </row>
    <row r="9283" spans="2:4">
      <c r="B9283" s="198"/>
      <c r="C9283" s="154"/>
      <c r="D9283" s="201"/>
    </row>
    <row r="9284" spans="2:4">
      <c r="B9284" s="198"/>
      <c r="C9284" s="154"/>
      <c r="D9284" s="201"/>
    </row>
    <row r="9285" spans="2:4">
      <c r="B9285" s="198"/>
      <c r="C9285" s="154"/>
      <c r="D9285" s="201"/>
    </row>
    <row r="9286" spans="2:4">
      <c r="B9286" s="198"/>
      <c r="C9286" s="154"/>
      <c r="D9286" s="201"/>
    </row>
    <row r="9287" spans="2:4">
      <c r="B9287" s="198"/>
      <c r="C9287" s="154"/>
      <c r="D9287" s="201"/>
    </row>
    <row r="9288" spans="2:4">
      <c r="B9288" s="198"/>
      <c r="C9288" s="154"/>
      <c r="D9288" s="201"/>
    </row>
    <row r="9289" spans="2:4">
      <c r="B9289" s="198"/>
      <c r="C9289" s="154"/>
      <c r="D9289" s="201"/>
    </row>
    <row r="9290" spans="2:4">
      <c r="B9290" s="198"/>
      <c r="C9290" s="154"/>
      <c r="D9290" s="201"/>
    </row>
    <row r="9291" spans="2:4">
      <c r="B9291" s="198"/>
      <c r="C9291" s="154"/>
      <c r="D9291" s="201"/>
    </row>
    <row r="9292" spans="2:4">
      <c r="B9292" s="198"/>
      <c r="C9292" s="154"/>
      <c r="D9292" s="201"/>
    </row>
    <row r="9293" spans="2:4">
      <c r="B9293" s="198"/>
      <c r="C9293" s="154"/>
      <c r="D9293" s="201"/>
    </row>
    <row r="9294" spans="2:4">
      <c r="B9294" s="198"/>
      <c r="C9294" s="154"/>
      <c r="D9294" s="201"/>
    </row>
    <row r="9295" spans="2:4">
      <c r="B9295" s="198"/>
      <c r="C9295" s="154"/>
      <c r="D9295" s="201"/>
    </row>
    <row r="9296" spans="2:4">
      <c r="B9296" s="198"/>
      <c r="C9296" s="154"/>
      <c r="D9296" s="201"/>
    </row>
    <row r="9297" spans="2:4">
      <c r="B9297" s="198"/>
      <c r="C9297" s="154"/>
      <c r="D9297" s="201"/>
    </row>
    <row r="9298" spans="2:4">
      <c r="B9298" s="198"/>
      <c r="C9298" s="154"/>
      <c r="D9298" s="201"/>
    </row>
    <row r="9299" spans="2:4">
      <c r="B9299" s="198"/>
      <c r="C9299" s="154"/>
      <c r="D9299" s="201"/>
    </row>
    <row r="9300" spans="2:4">
      <c r="B9300" s="198"/>
      <c r="C9300" s="154"/>
      <c r="D9300" s="201"/>
    </row>
    <row r="9301" spans="2:4">
      <c r="B9301" s="198"/>
      <c r="C9301" s="154"/>
      <c r="D9301" s="201"/>
    </row>
    <row r="9302" spans="2:4">
      <c r="B9302" s="198"/>
      <c r="C9302" s="154"/>
      <c r="D9302" s="201"/>
    </row>
    <row r="9303" spans="2:4">
      <c r="B9303" s="198"/>
      <c r="C9303" s="154"/>
      <c r="D9303" s="201"/>
    </row>
    <row r="9304" spans="2:4">
      <c r="B9304" s="198"/>
      <c r="C9304" s="154"/>
      <c r="D9304" s="201"/>
    </row>
    <row r="9305" spans="2:4">
      <c r="B9305" s="198"/>
      <c r="C9305" s="154"/>
      <c r="D9305" s="201"/>
    </row>
    <row r="9306" spans="2:4">
      <c r="B9306" s="198"/>
      <c r="C9306" s="154"/>
      <c r="D9306" s="201"/>
    </row>
    <row r="9307" spans="2:4">
      <c r="B9307" s="198"/>
      <c r="C9307" s="154"/>
      <c r="D9307" s="201"/>
    </row>
    <row r="9308" spans="2:4">
      <c r="B9308" s="198"/>
      <c r="C9308" s="154"/>
      <c r="D9308" s="201"/>
    </row>
    <row r="9309" spans="2:4">
      <c r="B9309" s="198"/>
      <c r="C9309" s="154"/>
      <c r="D9309" s="201"/>
    </row>
    <row r="9310" spans="2:4">
      <c r="B9310" s="198"/>
      <c r="C9310" s="154"/>
      <c r="D9310" s="201"/>
    </row>
    <row r="9311" spans="2:4">
      <c r="B9311" s="198"/>
      <c r="C9311" s="154"/>
      <c r="D9311" s="201"/>
    </row>
    <row r="9312" spans="2:4">
      <c r="B9312" s="198"/>
      <c r="C9312" s="154"/>
      <c r="D9312" s="201"/>
    </row>
    <row r="9313" spans="2:4">
      <c r="B9313" s="198"/>
      <c r="C9313" s="154"/>
      <c r="D9313" s="201"/>
    </row>
    <row r="9314" spans="2:4">
      <c r="B9314" s="198"/>
      <c r="C9314" s="154"/>
      <c r="D9314" s="201"/>
    </row>
    <row r="9315" spans="2:4">
      <c r="B9315" s="198"/>
      <c r="C9315" s="154"/>
      <c r="D9315" s="201"/>
    </row>
    <row r="9316" spans="2:4">
      <c r="B9316" s="198"/>
      <c r="C9316" s="154"/>
      <c r="D9316" s="201"/>
    </row>
    <row r="9317" spans="2:4">
      <c r="B9317" s="198"/>
      <c r="C9317" s="154"/>
      <c r="D9317" s="201"/>
    </row>
    <row r="9318" spans="2:4">
      <c r="B9318" s="198"/>
      <c r="C9318" s="154"/>
      <c r="D9318" s="201"/>
    </row>
    <row r="9319" spans="2:4">
      <c r="B9319" s="198"/>
      <c r="C9319" s="154"/>
      <c r="D9319" s="201"/>
    </row>
    <row r="9320" spans="2:4">
      <c r="B9320" s="198"/>
      <c r="C9320" s="154"/>
      <c r="D9320" s="201"/>
    </row>
    <row r="9321" spans="2:4">
      <c r="B9321" s="198"/>
      <c r="C9321" s="154"/>
      <c r="D9321" s="201"/>
    </row>
    <row r="9322" spans="2:4">
      <c r="B9322" s="198"/>
      <c r="C9322" s="154"/>
      <c r="D9322" s="201"/>
    </row>
    <row r="9323" spans="2:4">
      <c r="B9323" s="198"/>
      <c r="C9323" s="154"/>
      <c r="D9323" s="201"/>
    </row>
    <row r="9324" spans="2:4">
      <c r="B9324" s="198"/>
      <c r="C9324" s="154"/>
      <c r="D9324" s="201"/>
    </row>
    <row r="9325" spans="2:4">
      <c r="B9325" s="198"/>
      <c r="C9325" s="154"/>
      <c r="D9325" s="201"/>
    </row>
    <row r="9326" spans="2:4">
      <c r="B9326" s="198"/>
      <c r="C9326" s="154"/>
      <c r="D9326" s="201"/>
    </row>
    <row r="9327" spans="2:4">
      <c r="B9327" s="198"/>
      <c r="C9327" s="154"/>
      <c r="D9327" s="201"/>
    </row>
    <row r="9328" spans="2:4">
      <c r="B9328" s="198"/>
      <c r="C9328" s="154"/>
      <c r="D9328" s="201"/>
    </row>
    <row r="9329" spans="2:4">
      <c r="B9329" s="198"/>
      <c r="C9329" s="154"/>
      <c r="D9329" s="201"/>
    </row>
    <row r="9330" spans="2:4">
      <c r="B9330" s="198"/>
      <c r="C9330" s="154"/>
      <c r="D9330" s="201"/>
    </row>
    <row r="9331" spans="2:4">
      <c r="B9331" s="198"/>
      <c r="C9331" s="154"/>
      <c r="D9331" s="201"/>
    </row>
    <row r="9332" spans="2:4">
      <c r="B9332" s="198"/>
      <c r="C9332" s="154"/>
      <c r="D9332" s="201"/>
    </row>
    <row r="9333" spans="2:4">
      <c r="B9333" s="198"/>
      <c r="C9333" s="154"/>
      <c r="D9333" s="201"/>
    </row>
    <row r="9334" spans="2:4">
      <c r="B9334" s="198"/>
      <c r="C9334" s="154"/>
      <c r="D9334" s="201"/>
    </row>
    <row r="9335" spans="2:4">
      <c r="B9335" s="198"/>
      <c r="C9335" s="154"/>
      <c r="D9335" s="201"/>
    </row>
    <row r="9336" spans="2:4">
      <c r="B9336" s="198"/>
      <c r="C9336" s="154"/>
      <c r="D9336" s="201"/>
    </row>
    <row r="9337" spans="2:4">
      <c r="B9337" s="198"/>
      <c r="C9337" s="154"/>
      <c r="D9337" s="201"/>
    </row>
    <row r="9338" spans="2:4">
      <c r="B9338" s="198"/>
      <c r="C9338" s="154"/>
      <c r="D9338" s="201"/>
    </row>
    <row r="9339" spans="2:4">
      <c r="B9339" s="198"/>
      <c r="C9339" s="154"/>
      <c r="D9339" s="201"/>
    </row>
    <row r="9340" spans="2:4">
      <c r="B9340" s="198"/>
      <c r="C9340" s="154"/>
      <c r="D9340" s="201"/>
    </row>
    <row r="9341" spans="2:4">
      <c r="B9341" s="198"/>
      <c r="C9341" s="154"/>
      <c r="D9341" s="201"/>
    </row>
    <row r="9342" spans="2:4">
      <c r="B9342" s="198"/>
      <c r="C9342" s="154"/>
      <c r="D9342" s="201"/>
    </row>
    <row r="9343" spans="2:4">
      <c r="B9343" s="198"/>
      <c r="C9343" s="154"/>
      <c r="D9343" s="201"/>
    </row>
    <row r="9344" spans="2:4">
      <c r="B9344" s="198"/>
      <c r="C9344" s="154"/>
      <c r="D9344" s="201"/>
    </row>
    <row r="9345" spans="2:4">
      <c r="B9345" s="198"/>
      <c r="C9345" s="154"/>
      <c r="D9345" s="201"/>
    </row>
    <row r="9346" spans="2:4">
      <c r="B9346" s="198"/>
      <c r="C9346" s="154"/>
      <c r="D9346" s="201"/>
    </row>
    <row r="9347" spans="2:4">
      <c r="B9347" s="198"/>
      <c r="C9347" s="154"/>
      <c r="D9347" s="201"/>
    </row>
    <row r="9348" spans="2:4">
      <c r="B9348" s="198"/>
      <c r="C9348" s="154"/>
      <c r="D9348" s="201"/>
    </row>
    <row r="9349" spans="2:4">
      <c r="B9349" s="198"/>
      <c r="C9349" s="154"/>
      <c r="D9349" s="201"/>
    </row>
    <row r="9350" spans="2:4">
      <c r="B9350" s="198"/>
      <c r="C9350" s="154"/>
      <c r="D9350" s="201"/>
    </row>
    <row r="9351" spans="2:4">
      <c r="B9351" s="198"/>
      <c r="C9351" s="154"/>
      <c r="D9351" s="201"/>
    </row>
    <row r="9352" spans="2:4">
      <c r="B9352" s="198"/>
      <c r="C9352" s="154"/>
      <c r="D9352" s="201"/>
    </row>
    <row r="9353" spans="2:4">
      <c r="B9353" s="198"/>
      <c r="C9353" s="154"/>
      <c r="D9353" s="201"/>
    </row>
    <row r="9354" spans="2:4">
      <c r="B9354" s="198"/>
      <c r="C9354" s="154"/>
      <c r="D9354" s="201"/>
    </row>
    <row r="9355" spans="2:4">
      <c r="B9355" s="198"/>
      <c r="C9355" s="154"/>
      <c r="D9355" s="201"/>
    </row>
    <row r="9356" spans="2:4">
      <c r="B9356" s="198"/>
      <c r="C9356" s="154"/>
      <c r="D9356" s="201"/>
    </row>
    <row r="9357" spans="2:4">
      <c r="B9357" s="198"/>
      <c r="C9357" s="154"/>
      <c r="D9357" s="201"/>
    </row>
    <row r="9358" spans="2:4">
      <c r="B9358" s="198"/>
      <c r="C9358" s="154"/>
      <c r="D9358" s="201"/>
    </row>
    <row r="9359" spans="2:4">
      <c r="B9359" s="198"/>
      <c r="C9359" s="154"/>
      <c r="D9359" s="201"/>
    </row>
    <row r="9360" spans="2:4">
      <c r="B9360" s="198"/>
      <c r="C9360" s="154"/>
      <c r="D9360" s="201"/>
    </row>
    <row r="9361" spans="2:4">
      <c r="B9361" s="198"/>
      <c r="C9361" s="154"/>
      <c r="D9361" s="201"/>
    </row>
    <row r="9362" spans="2:4">
      <c r="B9362" s="198"/>
      <c r="C9362" s="154"/>
      <c r="D9362" s="201"/>
    </row>
    <row r="9363" spans="2:4">
      <c r="B9363" s="198"/>
      <c r="C9363" s="154"/>
      <c r="D9363" s="201"/>
    </row>
    <row r="9364" spans="2:4">
      <c r="B9364" s="198"/>
      <c r="C9364" s="154"/>
      <c r="D9364" s="201"/>
    </row>
    <row r="9365" spans="2:4">
      <c r="B9365" s="198"/>
      <c r="C9365" s="154"/>
      <c r="D9365" s="201"/>
    </row>
    <row r="9366" spans="2:4">
      <c r="B9366" s="198"/>
      <c r="C9366" s="154"/>
      <c r="D9366" s="201"/>
    </row>
    <row r="9367" spans="2:4">
      <c r="B9367" s="198"/>
      <c r="C9367" s="154"/>
      <c r="D9367" s="201"/>
    </row>
    <row r="9368" spans="2:4">
      <c r="B9368" s="198"/>
      <c r="C9368" s="154"/>
      <c r="D9368" s="201"/>
    </row>
    <row r="9369" spans="2:4">
      <c r="B9369" s="198"/>
      <c r="C9369" s="154"/>
      <c r="D9369" s="201"/>
    </row>
    <row r="9370" spans="2:4">
      <c r="B9370" s="198"/>
      <c r="C9370" s="154"/>
      <c r="D9370" s="201"/>
    </row>
    <row r="9371" spans="2:4">
      <c r="B9371" s="198"/>
      <c r="C9371" s="154"/>
      <c r="D9371" s="201"/>
    </row>
    <row r="9372" spans="2:4">
      <c r="B9372" s="198"/>
      <c r="C9372" s="154"/>
      <c r="D9372" s="201"/>
    </row>
    <row r="9373" spans="2:4">
      <c r="B9373" s="198"/>
      <c r="C9373" s="154"/>
      <c r="D9373" s="201"/>
    </row>
    <row r="9374" spans="2:4">
      <c r="B9374" s="198"/>
      <c r="C9374" s="154"/>
      <c r="D9374" s="201"/>
    </row>
    <row r="9375" spans="2:4">
      <c r="B9375" s="198"/>
      <c r="C9375" s="154"/>
      <c r="D9375" s="201"/>
    </row>
    <row r="9376" spans="2:4">
      <c r="B9376" s="198"/>
      <c r="C9376" s="154"/>
      <c r="D9376" s="201"/>
    </row>
    <row r="9377" spans="2:4">
      <c r="B9377" s="198"/>
      <c r="C9377" s="154"/>
      <c r="D9377" s="201"/>
    </row>
    <row r="9378" spans="2:4">
      <c r="B9378" s="198"/>
      <c r="C9378" s="154"/>
      <c r="D9378" s="201"/>
    </row>
    <row r="9379" spans="2:4">
      <c r="B9379" s="198"/>
      <c r="C9379" s="154"/>
      <c r="D9379" s="201"/>
    </row>
    <row r="9380" spans="2:4">
      <c r="B9380" s="198"/>
      <c r="C9380" s="154"/>
      <c r="D9380" s="201"/>
    </row>
    <row r="9381" spans="2:4">
      <c r="B9381" s="198"/>
      <c r="C9381" s="154"/>
      <c r="D9381" s="201"/>
    </row>
    <row r="9382" spans="2:4">
      <c r="B9382" s="198"/>
      <c r="C9382" s="154"/>
      <c r="D9382" s="201"/>
    </row>
    <row r="9383" spans="2:4">
      <c r="B9383" s="198"/>
      <c r="C9383" s="154"/>
      <c r="D9383" s="201"/>
    </row>
    <row r="9384" spans="2:4">
      <c r="B9384" s="198"/>
      <c r="C9384" s="154"/>
      <c r="D9384" s="201"/>
    </row>
    <row r="9385" spans="2:4">
      <c r="B9385" s="198"/>
      <c r="C9385" s="154"/>
      <c r="D9385" s="201"/>
    </row>
    <row r="9386" spans="2:4">
      <c r="B9386" s="198"/>
      <c r="C9386" s="154"/>
      <c r="D9386" s="201"/>
    </row>
    <row r="9387" spans="2:4">
      <c r="B9387" s="198"/>
      <c r="C9387" s="154"/>
      <c r="D9387" s="201"/>
    </row>
    <row r="9388" spans="2:4">
      <c r="B9388" s="198"/>
      <c r="C9388" s="154"/>
      <c r="D9388" s="201"/>
    </row>
    <row r="9389" spans="2:4">
      <c r="B9389" s="198"/>
      <c r="C9389" s="154"/>
      <c r="D9389" s="201"/>
    </row>
    <row r="9390" spans="2:4">
      <c r="B9390" s="198"/>
      <c r="C9390" s="154"/>
      <c r="D9390" s="201"/>
    </row>
    <row r="9391" spans="2:4">
      <c r="B9391" s="198"/>
      <c r="C9391" s="154"/>
      <c r="D9391" s="201"/>
    </row>
    <row r="9392" spans="2:4">
      <c r="B9392" s="198"/>
      <c r="C9392" s="154"/>
      <c r="D9392" s="201"/>
    </row>
    <row r="9393" spans="2:4">
      <c r="B9393" s="198"/>
      <c r="C9393" s="154"/>
      <c r="D9393" s="201"/>
    </row>
    <row r="9394" spans="2:4">
      <c r="B9394" s="198"/>
      <c r="C9394" s="154"/>
      <c r="D9394" s="201"/>
    </row>
    <row r="9395" spans="2:4">
      <c r="B9395" s="198"/>
      <c r="C9395" s="154"/>
      <c r="D9395" s="201"/>
    </row>
    <row r="9396" spans="2:4">
      <c r="B9396" s="198"/>
      <c r="C9396" s="154"/>
      <c r="D9396" s="201"/>
    </row>
    <row r="9397" spans="2:4">
      <c r="B9397" s="198"/>
      <c r="C9397" s="154"/>
      <c r="D9397" s="201"/>
    </row>
    <row r="9398" spans="2:4">
      <c r="B9398" s="198"/>
      <c r="C9398" s="154"/>
      <c r="D9398" s="201"/>
    </row>
    <row r="9399" spans="2:4">
      <c r="B9399" s="198"/>
      <c r="C9399" s="154"/>
      <c r="D9399" s="201"/>
    </row>
    <row r="9400" spans="2:4">
      <c r="B9400" s="198"/>
      <c r="C9400" s="154"/>
      <c r="D9400" s="201"/>
    </row>
    <row r="9401" spans="2:4">
      <c r="B9401" s="198"/>
      <c r="C9401" s="154"/>
      <c r="D9401" s="201"/>
    </row>
    <row r="9402" spans="2:4">
      <c r="B9402" s="198"/>
      <c r="C9402" s="154"/>
      <c r="D9402" s="201"/>
    </row>
    <row r="9403" spans="2:4">
      <c r="B9403" s="198"/>
      <c r="C9403" s="154"/>
      <c r="D9403" s="201"/>
    </row>
    <row r="9404" spans="2:4">
      <c r="B9404" s="198"/>
      <c r="C9404" s="154"/>
      <c r="D9404" s="201"/>
    </row>
    <row r="9405" spans="2:4">
      <c r="B9405" s="198"/>
      <c r="C9405" s="154"/>
      <c r="D9405" s="201"/>
    </row>
    <row r="9406" spans="2:4">
      <c r="B9406" s="198"/>
      <c r="C9406" s="154"/>
      <c r="D9406" s="201"/>
    </row>
    <row r="9407" spans="2:4">
      <c r="B9407" s="198"/>
      <c r="C9407" s="154"/>
      <c r="D9407" s="201"/>
    </row>
    <row r="9408" spans="2:4">
      <c r="B9408" s="198"/>
      <c r="C9408" s="154"/>
      <c r="D9408" s="201"/>
    </row>
    <row r="9409" spans="2:4">
      <c r="B9409" s="198"/>
      <c r="C9409" s="154"/>
      <c r="D9409" s="201"/>
    </row>
    <row r="9410" spans="2:4">
      <c r="B9410" s="198"/>
      <c r="C9410" s="154"/>
      <c r="D9410" s="201"/>
    </row>
    <row r="9411" spans="2:4">
      <c r="B9411" s="198"/>
      <c r="C9411" s="154"/>
      <c r="D9411" s="201"/>
    </row>
    <row r="9412" spans="2:4">
      <c r="B9412" s="198"/>
      <c r="C9412" s="154"/>
      <c r="D9412" s="201"/>
    </row>
    <row r="9413" spans="2:4">
      <c r="B9413" s="198"/>
      <c r="C9413" s="154"/>
      <c r="D9413" s="201"/>
    </row>
    <row r="9414" spans="2:4">
      <c r="B9414" s="198"/>
      <c r="C9414" s="154"/>
      <c r="D9414" s="201"/>
    </row>
    <row r="9415" spans="2:4">
      <c r="B9415" s="198"/>
      <c r="C9415" s="154"/>
      <c r="D9415" s="201"/>
    </row>
    <row r="9416" spans="2:4">
      <c r="B9416" s="198"/>
      <c r="C9416" s="154"/>
      <c r="D9416" s="201"/>
    </row>
    <row r="9417" spans="2:4">
      <c r="B9417" s="198"/>
      <c r="C9417" s="154"/>
      <c r="D9417" s="201"/>
    </row>
    <row r="9418" spans="2:4">
      <c r="B9418" s="198"/>
      <c r="C9418" s="154"/>
      <c r="D9418" s="201"/>
    </row>
    <row r="9419" spans="2:4">
      <c r="B9419" s="198"/>
      <c r="C9419" s="154"/>
      <c r="D9419" s="201"/>
    </row>
    <row r="9420" spans="2:4">
      <c r="B9420" s="198"/>
      <c r="C9420" s="154"/>
      <c r="D9420" s="201"/>
    </row>
    <row r="9421" spans="2:4">
      <c r="B9421" s="198"/>
      <c r="C9421" s="154"/>
      <c r="D9421" s="201"/>
    </row>
    <row r="9422" spans="2:4">
      <c r="B9422" s="198"/>
      <c r="C9422" s="154"/>
      <c r="D9422" s="201"/>
    </row>
    <row r="9423" spans="2:4">
      <c r="B9423" s="198"/>
      <c r="C9423" s="154"/>
      <c r="D9423" s="201"/>
    </row>
    <row r="9424" spans="2:4">
      <c r="B9424" s="198"/>
      <c r="C9424" s="154"/>
      <c r="D9424" s="201"/>
    </row>
    <row r="9425" spans="2:4">
      <c r="B9425" s="198"/>
      <c r="C9425" s="154"/>
      <c r="D9425" s="201"/>
    </row>
    <row r="9426" spans="2:4">
      <c r="B9426" s="198"/>
      <c r="C9426" s="154"/>
      <c r="D9426" s="201"/>
    </row>
    <row r="9427" spans="2:4">
      <c r="B9427" s="198"/>
      <c r="C9427" s="154"/>
      <c r="D9427" s="201"/>
    </row>
    <row r="9428" spans="2:4">
      <c r="B9428" s="198"/>
      <c r="C9428" s="154"/>
      <c r="D9428" s="201"/>
    </row>
    <row r="9429" spans="2:4">
      <c r="B9429" s="198"/>
      <c r="C9429" s="154"/>
      <c r="D9429" s="201"/>
    </row>
    <row r="9430" spans="2:4">
      <c r="B9430" s="198"/>
      <c r="C9430" s="154"/>
      <c r="D9430" s="201"/>
    </row>
    <row r="9431" spans="2:4">
      <c r="B9431" s="198"/>
      <c r="C9431" s="154"/>
      <c r="D9431" s="201"/>
    </row>
    <row r="9432" spans="2:4">
      <c r="B9432" s="198"/>
      <c r="C9432" s="154"/>
      <c r="D9432" s="201"/>
    </row>
    <row r="9433" spans="2:4">
      <c r="B9433" s="198"/>
      <c r="C9433" s="154"/>
      <c r="D9433" s="201"/>
    </row>
    <row r="9434" spans="2:4">
      <c r="B9434" s="198"/>
      <c r="C9434" s="154"/>
      <c r="D9434" s="201"/>
    </row>
    <row r="9435" spans="2:4">
      <c r="B9435" s="198"/>
      <c r="C9435" s="154"/>
      <c r="D9435" s="201"/>
    </row>
    <row r="9436" spans="2:4">
      <c r="B9436" s="198"/>
      <c r="C9436" s="154"/>
      <c r="D9436" s="201"/>
    </row>
    <row r="9437" spans="2:4">
      <c r="B9437" s="198"/>
      <c r="C9437" s="154"/>
      <c r="D9437" s="201"/>
    </row>
    <row r="9438" spans="2:4">
      <c r="B9438" s="198"/>
      <c r="C9438" s="154"/>
      <c r="D9438" s="201"/>
    </row>
    <row r="9439" spans="2:4">
      <c r="B9439" s="198"/>
      <c r="C9439" s="154"/>
      <c r="D9439" s="201"/>
    </row>
    <row r="9440" spans="2:4">
      <c r="B9440" s="198"/>
      <c r="C9440" s="154"/>
      <c r="D9440" s="201"/>
    </row>
    <row r="9441" spans="2:4">
      <c r="B9441" s="198"/>
      <c r="C9441" s="154"/>
      <c r="D9441" s="201"/>
    </row>
    <row r="9442" spans="2:4">
      <c r="B9442" s="198"/>
      <c r="C9442" s="154"/>
      <c r="D9442" s="201"/>
    </row>
    <row r="9443" spans="2:4">
      <c r="B9443" s="198"/>
      <c r="C9443" s="154"/>
      <c r="D9443" s="201"/>
    </row>
    <row r="9444" spans="2:4">
      <c r="B9444" s="198"/>
      <c r="C9444" s="154"/>
      <c r="D9444" s="201"/>
    </row>
    <row r="9445" spans="2:4">
      <c r="B9445" s="198"/>
      <c r="C9445" s="154"/>
      <c r="D9445" s="201"/>
    </row>
    <row r="9446" spans="2:4">
      <c r="B9446" s="198"/>
      <c r="C9446" s="154"/>
      <c r="D9446" s="201"/>
    </row>
    <row r="9447" spans="2:4">
      <c r="B9447" s="198"/>
      <c r="C9447" s="154"/>
      <c r="D9447" s="201"/>
    </row>
    <row r="9448" spans="2:4">
      <c r="B9448" s="198"/>
      <c r="C9448" s="154"/>
      <c r="D9448" s="201"/>
    </row>
    <row r="9449" spans="2:4">
      <c r="B9449" s="198"/>
      <c r="C9449" s="154"/>
      <c r="D9449" s="201"/>
    </row>
    <row r="9450" spans="2:4">
      <c r="B9450" s="198"/>
      <c r="C9450" s="154"/>
      <c r="D9450" s="201"/>
    </row>
    <row r="9451" spans="2:4">
      <c r="B9451" s="198"/>
      <c r="C9451" s="154"/>
      <c r="D9451" s="201"/>
    </row>
    <row r="9452" spans="2:4">
      <c r="B9452" s="198"/>
      <c r="C9452" s="154"/>
      <c r="D9452" s="201"/>
    </row>
    <row r="9453" spans="2:4">
      <c r="B9453" s="198"/>
      <c r="C9453" s="154"/>
      <c r="D9453" s="201"/>
    </row>
    <row r="9454" spans="2:4">
      <c r="B9454" s="198"/>
      <c r="C9454" s="154"/>
      <c r="D9454" s="201"/>
    </row>
    <row r="9455" spans="2:4">
      <c r="B9455" s="198"/>
      <c r="C9455" s="154"/>
      <c r="D9455" s="201"/>
    </row>
    <row r="9456" spans="2:4">
      <c r="B9456" s="198"/>
      <c r="C9456" s="154"/>
      <c r="D9456" s="201"/>
    </row>
    <row r="9457" spans="2:4">
      <c r="B9457" s="198"/>
      <c r="C9457" s="154"/>
      <c r="D9457" s="201"/>
    </row>
    <row r="9458" spans="2:4">
      <c r="B9458" s="198"/>
      <c r="C9458" s="154"/>
      <c r="D9458" s="201"/>
    </row>
    <row r="9459" spans="2:4">
      <c r="B9459" s="198"/>
      <c r="C9459" s="154"/>
      <c r="D9459" s="201"/>
    </row>
    <row r="9460" spans="2:4">
      <c r="B9460" s="198"/>
      <c r="C9460" s="154"/>
      <c r="D9460" s="201"/>
    </row>
    <row r="9461" spans="2:4">
      <c r="B9461" s="198"/>
      <c r="C9461" s="154"/>
      <c r="D9461" s="201"/>
    </row>
    <row r="9462" spans="2:4">
      <c r="B9462" s="198"/>
      <c r="C9462" s="154"/>
      <c r="D9462" s="201"/>
    </row>
    <row r="9463" spans="2:4">
      <c r="B9463" s="198"/>
      <c r="C9463" s="154"/>
      <c r="D9463" s="201"/>
    </row>
    <row r="9464" spans="2:4">
      <c r="B9464" s="198"/>
      <c r="C9464" s="154"/>
      <c r="D9464" s="201"/>
    </row>
    <row r="9465" spans="2:4">
      <c r="B9465" s="198"/>
      <c r="C9465" s="154"/>
      <c r="D9465" s="201"/>
    </row>
    <row r="9466" spans="2:4">
      <c r="B9466" s="198"/>
      <c r="C9466" s="154"/>
      <c r="D9466" s="201"/>
    </row>
    <row r="9467" spans="2:4">
      <c r="B9467" s="198"/>
      <c r="C9467" s="154"/>
      <c r="D9467" s="201"/>
    </row>
    <row r="9468" spans="2:4">
      <c r="B9468" s="198"/>
      <c r="C9468" s="154"/>
      <c r="D9468" s="201"/>
    </row>
    <row r="9469" spans="2:4">
      <c r="B9469" s="198"/>
      <c r="C9469" s="154"/>
      <c r="D9469" s="201"/>
    </row>
    <row r="9470" spans="2:4">
      <c r="B9470" s="198"/>
      <c r="C9470" s="154"/>
      <c r="D9470" s="201"/>
    </row>
    <row r="9471" spans="2:4">
      <c r="B9471" s="198"/>
      <c r="C9471" s="154"/>
      <c r="D9471" s="201"/>
    </row>
    <row r="9472" spans="2:4">
      <c r="B9472" s="198"/>
      <c r="C9472" s="154"/>
      <c r="D9472" s="201"/>
    </row>
    <row r="9473" spans="2:4">
      <c r="B9473" s="198"/>
      <c r="C9473" s="154"/>
      <c r="D9473" s="201"/>
    </row>
    <row r="9474" spans="2:4">
      <c r="B9474" s="198"/>
      <c r="C9474" s="154"/>
      <c r="D9474" s="201"/>
    </row>
    <row r="9475" spans="2:4">
      <c r="B9475" s="198"/>
      <c r="C9475" s="154"/>
      <c r="D9475" s="201"/>
    </row>
    <row r="9476" spans="2:4">
      <c r="B9476" s="198"/>
      <c r="C9476" s="154"/>
      <c r="D9476" s="201"/>
    </row>
    <row r="9477" spans="2:4">
      <c r="B9477" s="198"/>
      <c r="C9477" s="154"/>
      <c r="D9477" s="201"/>
    </row>
    <row r="9478" spans="2:4">
      <c r="B9478" s="198"/>
      <c r="C9478" s="154"/>
      <c r="D9478" s="201"/>
    </row>
    <row r="9479" spans="2:4">
      <c r="B9479" s="198"/>
      <c r="C9479" s="154"/>
      <c r="D9479" s="201"/>
    </row>
    <row r="9480" spans="2:4">
      <c r="B9480" s="198"/>
      <c r="C9480" s="154"/>
      <c r="D9480" s="201"/>
    </row>
    <row r="9481" spans="2:4">
      <c r="B9481" s="198"/>
      <c r="C9481" s="154"/>
      <c r="D9481" s="201"/>
    </row>
    <row r="9482" spans="2:4">
      <c r="B9482" s="198"/>
      <c r="C9482" s="154"/>
      <c r="D9482" s="201"/>
    </row>
    <row r="9483" spans="2:4">
      <c r="B9483" s="198"/>
      <c r="C9483" s="154"/>
      <c r="D9483" s="201"/>
    </row>
    <row r="9484" spans="2:4">
      <c r="B9484" s="198"/>
      <c r="C9484" s="154"/>
      <c r="D9484" s="201"/>
    </row>
    <row r="9485" spans="2:4">
      <c r="B9485" s="198"/>
      <c r="C9485" s="154"/>
      <c r="D9485" s="201"/>
    </row>
    <row r="9486" spans="2:4">
      <c r="B9486" s="198"/>
      <c r="C9486" s="154"/>
      <c r="D9486" s="201"/>
    </row>
    <row r="9487" spans="2:4">
      <c r="B9487" s="198"/>
      <c r="C9487" s="154"/>
      <c r="D9487" s="201"/>
    </row>
    <row r="9488" spans="2:4">
      <c r="B9488" s="198"/>
      <c r="C9488" s="154"/>
      <c r="D9488" s="201"/>
    </row>
    <row r="9489" spans="2:4">
      <c r="B9489" s="198"/>
      <c r="C9489" s="154"/>
      <c r="D9489" s="201"/>
    </row>
    <row r="9490" spans="2:4">
      <c r="B9490" s="198"/>
      <c r="C9490" s="154"/>
      <c r="D9490" s="201"/>
    </row>
    <row r="9491" spans="2:4">
      <c r="B9491" s="198"/>
      <c r="C9491" s="154"/>
      <c r="D9491" s="201"/>
    </row>
    <row r="9492" spans="2:4">
      <c r="B9492" s="198"/>
      <c r="C9492" s="154"/>
      <c r="D9492" s="201"/>
    </row>
    <row r="9493" spans="2:4">
      <c r="B9493" s="198"/>
      <c r="C9493" s="154"/>
      <c r="D9493" s="201"/>
    </row>
    <row r="9494" spans="2:4">
      <c r="B9494" s="198"/>
      <c r="C9494" s="154"/>
      <c r="D9494" s="201"/>
    </row>
    <row r="9495" spans="2:4">
      <c r="B9495" s="198"/>
      <c r="C9495" s="154"/>
      <c r="D9495" s="201"/>
    </row>
    <row r="9496" spans="2:4">
      <c r="B9496" s="198"/>
      <c r="C9496" s="154"/>
      <c r="D9496" s="201"/>
    </row>
    <row r="9497" spans="2:4">
      <c r="B9497" s="198"/>
      <c r="C9497" s="154"/>
      <c r="D9497" s="201"/>
    </row>
    <row r="9498" spans="2:4">
      <c r="B9498" s="198"/>
      <c r="C9498" s="154"/>
      <c r="D9498" s="201"/>
    </row>
    <row r="9499" spans="2:4">
      <c r="B9499" s="198"/>
      <c r="C9499" s="154"/>
      <c r="D9499" s="201"/>
    </row>
    <row r="9500" spans="2:4">
      <c r="B9500" s="198"/>
      <c r="C9500" s="154"/>
      <c r="D9500" s="201"/>
    </row>
    <row r="9501" spans="2:4">
      <c r="B9501" s="198"/>
      <c r="C9501" s="154"/>
      <c r="D9501" s="201"/>
    </row>
    <row r="9502" spans="2:4">
      <c r="B9502" s="198"/>
      <c r="C9502" s="154"/>
      <c r="D9502" s="201"/>
    </row>
    <row r="9503" spans="2:4">
      <c r="B9503" s="198"/>
      <c r="C9503" s="154"/>
      <c r="D9503" s="201"/>
    </row>
    <row r="9504" spans="2:4">
      <c r="B9504" s="198"/>
      <c r="C9504" s="154"/>
      <c r="D9504" s="201"/>
    </row>
    <row r="9505" spans="2:4">
      <c r="B9505" s="198"/>
      <c r="C9505" s="154"/>
      <c r="D9505" s="201"/>
    </row>
    <row r="9506" spans="2:4">
      <c r="B9506" s="198"/>
      <c r="C9506" s="154"/>
      <c r="D9506" s="201"/>
    </row>
    <row r="9507" spans="2:4">
      <c r="B9507" s="198"/>
      <c r="C9507" s="154"/>
      <c r="D9507" s="201"/>
    </row>
    <row r="9508" spans="2:4">
      <c r="B9508" s="198"/>
      <c r="C9508" s="154"/>
      <c r="D9508" s="201"/>
    </row>
    <row r="9509" spans="2:4">
      <c r="B9509" s="198"/>
      <c r="C9509" s="154"/>
      <c r="D9509" s="201"/>
    </row>
    <row r="9510" spans="2:4">
      <c r="B9510" s="198"/>
      <c r="C9510" s="154"/>
      <c r="D9510" s="201"/>
    </row>
    <row r="9511" spans="2:4">
      <c r="B9511" s="198"/>
      <c r="C9511" s="154"/>
      <c r="D9511" s="201"/>
    </row>
    <row r="9512" spans="2:4">
      <c r="B9512" s="198"/>
      <c r="C9512" s="154"/>
      <c r="D9512" s="201"/>
    </row>
    <row r="9513" spans="2:4">
      <c r="B9513" s="198"/>
      <c r="C9513" s="154"/>
      <c r="D9513" s="201"/>
    </row>
    <row r="9514" spans="2:4">
      <c r="B9514" s="198"/>
      <c r="C9514" s="154"/>
      <c r="D9514" s="201"/>
    </row>
    <row r="9515" spans="2:4">
      <c r="B9515" s="198"/>
      <c r="C9515" s="154"/>
      <c r="D9515" s="201"/>
    </row>
    <row r="9516" spans="2:4">
      <c r="B9516" s="198"/>
      <c r="C9516" s="154"/>
      <c r="D9516" s="201"/>
    </row>
    <row r="9517" spans="2:4">
      <c r="B9517" s="198"/>
      <c r="C9517" s="154"/>
      <c r="D9517" s="201"/>
    </row>
    <row r="9518" spans="2:4">
      <c r="B9518" s="198"/>
      <c r="C9518" s="154"/>
      <c r="D9518" s="201"/>
    </row>
    <row r="9519" spans="2:4">
      <c r="B9519" s="198"/>
      <c r="C9519" s="154"/>
      <c r="D9519" s="201"/>
    </row>
    <row r="9520" spans="2:4">
      <c r="B9520" s="198"/>
      <c r="C9520" s="154"/>
      <c r="D9520" s="201"/>
    </row>
    <row r="9521" spans="2:4">
      <c r="B9521" s="198"/>
      <c r="C9521" s="154"/>
      <c r="D9521" s="201"/>
    </row>
    <row r="9522" spans="2:4">
      <c r="B9522" s="198"/>
      <c r="C9522" s="154"/>
      <c r="D9522" s="201"/>
    </row>
    <row r="9523" spans="2:4">
      <c r="B9523" s="198"/>
      <c r="C9523" s="154"/>
      <c r="D9523" s="201"/>
    </row>
    <row r="9524" spans="2:4">
      <c r="B9524" s="198"/>
      <c r="C9524" s="154"/>
      <c r="D9524" s="201"/>
    </row>
    <row r="9525" spans="2:4">
      <c r="B9525" s="198"/>
      <c r="C9525" s="154"/>
      <c r="D9525" s="201"/>
    </row>
    <row r="9526" spans="2:4">
      <c r="B9526" s="198"/>
      <c r="C9526" s="154"/>
      <c r="D9526" s="201"/>
    </row>
    <row r="9527" spans="2:4">
      <c r="B9527" s="198"/>
      <c r="C9527" s="154"/>
      <c r="D9527" s="201"/>
    </row>
    <row r="9528" spans="2:4">
      <c r="B9528" s="198"/>
      <c r="C9528" s="154"/>
      <c r="D9528" s="201"/>
    </row>
    <row r="9529" spans="2:4">
      <c r="B9529" s="198"/>
      <c r="C9529" s="154"/>
      <c r="D9529" s="201"/>
    </row>
    <row r="9530" spans="2:4">
      <c r="B9530" s="198"/>
      <c r="C9530" s="154"/>
      <c r="D9530" s="201"/>
    </row>
    <row r="9531" spans="2:4">
      <c r="B9531" s="198"/>
      <c r="C9531" s="154"/>
      <c r="D9531" s="201"/>
    </row>
    <row r="9532" spans="2:4">
      <c r="B9532" s="198"/>
      <c r="C9532" s="154"/>
      <c r="D9532" s="201"/>
    </row>
    <row r="9533" spans="2:4">
      <c r="B9533" s="198"/>
      <c r="C9533" s="154"/>
      <c r="D9533" s="201"/>
    </row>
    <row r="9534" spans="2:4">
      <c r="B9534" s="198"/>
      <c r="C9534" s="154"/>
      <c r="D9534" s="201"/>
    </row>
    <row r="9535" spans="2:4">
      <c r="B9535" s="198"/>
      <c r="C9535" s="154"/>
      <c r="D9535" s="201"/>
    </row>
    <row r="9536" spans="2:4">
      <c r="B9536" s="198"/>
      <c r="C9536" s="154"/>
      <c r="D9536" s="201"/>
    </row>
    <row r="9537" spans="2:4">
      <c r="B9537" s="198"/>
      <c r="C9537" s="154"/>
      <c r="D9537" s="201"/>
    </row>
    <row r="9538" spans="2:4">
      <c r="B9538" s="198"/>
      <c r="C9538" s="154"/>
      <c r="D9538" s="201"/>
    </row>
    <row r="9539" spans="2:4">
      <c r="B9539" s="198"/>
      <c r="C9539" s="154"/>
      <c r="D9539" s="201"/>
    </row>
    <row r="9540" spans="2:4">
      <c r="B9540" s="198"/>
      <c r="C9540" s="154"/>
      <c r="D9540" s="201"/>
    </row>
    <row r="9541" spans="2:4">
      <c r="B9541" s="198"/>
      <c r="C9541" s="154"/>
      <c r="D9541" s="201"/>
    </row>
    <row r="9542" spans="2:4">
      <c r="B9542" s="198"/>
      <c r="C9542" s="154"/>
      <c r="D9542" s="201"/>
    </row>
    <row r="9543" spans="2:4">
      <c r="B9543" s="198"/>
      <c r="C9543" s="154"/>
      <c r="D9543" s="201"/>
    </row>
    <row r="9544" spans="2:4">
      <c r="B9544" s="198"/>
      <c r="C9544" s="154"/>
      <c r="D9544" s="201"/>
    </row>
    <row r="9545" spans="2:4">
      <c r="B9545" s="198"/>
      <c r="C9545" s="154"/>
      <c r="D9545" s="201"/>
    </row>
    <row r="9546" spans="2:4">
      <c r="B9546" s="198"/>
      <c r="C9546" s="154"/>
      <c r="D9546" s="201"/>
    </row>
    <row r="9547" spans="2:4">
      <c r="B9547" s="198"/>
      <c r="C9547" s="154"/>
      <c r="D9547" s="201"/>
    </row>
    <row r="9548" spans="2:4">
      <c r="B9548" s="198"/>
      <c r="C9548" s="154"/>
      <c r="D9548" s="201"/>
    </row>
    <row r="9549" spans="2:4">
      <c r="B9549" s="198"/>
      <c r="C9549" s="154"/>
      <c r="D9549" s="201"/>
    </row>
    <row r="9550" spans="2:4">
      <c r="B9550" s="198"/>
      <c r="C9550" s="154"/>
      <c r="D9550" s="201"/>
    </row>
    <row r="9551" spans="2:4">
      <c r="B9551" s="198"/>
      <c r="C9551" s="154"/>
      <c r="D9551" s="201"/>
    </row>
    <row r="9552" spans="2:4">
      <c r="B9552" s="198"/>
      <c r="C9552" s="154"/>
      <c r="D9552" s="201"/>
    </row>
    <row r="9553" spans="2:4">
      <c r="B9553" s="198"/>
      <c r="C9553" s="154"/>
      <c r="D9553" s="201"/>
    </row>
    <row r="9554" spans="2:4">
      <c r="B9554" s="198"/>
      <c r="C9554" s="154"/>
      <c r="D9554" s="201"/>
    </row>
    <row r="9555" spans="2:4">
      <c r="B9555" s="198"/>
      <c r="C9555" s="154"/>
      <c r="D9555" s="201"/>
    </row>
    <row r="9556" spans="2:4">
      <c r="B9556" s="198"/>
      <c r="C9556" s="154"/>
      <c r="D9556" s="201"/>
    </row>
    <row r="9557" spans="2:4">
      <c r="B9557" s="198"/>
      <c r="C9557" s="154"/>
      <c r="D9557" s="201"/>
    </row>
    <row r="9558" spans="2:4">
      <c r="B9558" s="198"/>
      <c r="C9558" s="154"/>
      <c r="D9558" s="201"/>
    </row>
    <row r="9559" spans="2:4">
      <c r="B9559" s="198"/>
      <c r="C9559" s="154"/>
      <c r="D9559" s="201"/>
    </row>
    <row r="9560" spans="2:4">
      <c r="B9560" s="198"/>
      <c r="C9560" s="154"/>
      <c r="D9560" s="201"/>
    </row>
    <row r="9561" spans="2:4">
      <c r="B9561" s="198"/>
      <c r="C9561" s="154"/>
      <c r="D9561" s="201"/>
    </row>
    <row r="9562" spans="2:4">
      <c r="B9562" s="198"/>
      <c r="C9562" s="154"/>
      <c r="D9562" s="201"/>
    </row>
    <row r="9563" spans="2:4">
      <c r="B9563" s="198"/>
      <c r="C9563" s="154"/>
      <c r="D9563" s="201"/>
    </row>
    <row r="9564" spans="2:4">
      <c r="B9564" s="198"/>
      <c r="C9564" s="154"/>
      <c r="D9564" s="201"/>
    </row>
    <row r="9565" spans="2:4">
      <c r="B9565" s="198"/>
      <c r="C9565" s="154"/>
      <c r="D9565" s="201"/>
    </row>
    <row r="9566" spans="2:4">
      <c r="B9566" s="198"/>
      <c r="C9566" s="154"/>
      <c r="D9566" s="201"/>
    </row>
    <row r="9567" spans="2:4">
      <c r="B9567" s="198"/>
      <c r="C9567" s="154"/>
      <c r="D9567" s="201"/>
    </row>
    <row r="9568" spans="2:4">
      <c r="B9568" s="198"/>
      <c r="C9568" s="154"/>
      <c r="D9568" s="201"/>
    </row>
    <row r="9569" spans="2:4">
      <c r="B9569" s="198"/>
      <c r="C9569" s="154"/>
      <c r="D9569" s="201"/>
    </row>
    <row r="9570" spans="2:4">
      <c r="B9570" s="198"/>
      <c r="C9570" s="154"/>
      <c r="D9570" s="201"/>
    </row>
    <row r="9571" spans="2:4">
      <c r="B9571" s="198"/>
      <c r="C9571" s="154"/>
      <c r="D9571" s="201"/>
    </row>
    <row r="9572" spans="2:4">
      <c r="B9572" s="198"/>
      <c r="C9572" s="154"/>
      <c r="D9572" s="201"/>
    </row>
    <row r="9573" spans="2:4">
      <c r="B9573" s="198"/>
      <c r="C9573" s="154"/>
      <c r="D9573" s="201"/>
    </row>
    <row r="9574" spans="2:4">
      <c r="B9574" s="198"/>
      <c r="C9574" s="154"/>
      <c r="D9574" s="201"/>
    </row>
    <row r="9575" spans="2:4">
      <c r="B9575" s="198"/>
      <c r="C9575" s="154"/>
      <c r="D9575" s="201"/>
    </row>
    <row r="9576" spans="2:4">
      <c r="B9576" s="198"/>
      <c r="C9576" s="154"/>
      <c r="D9576" s="201"/>
    </row>
    <row r="9577" spans="2:4">
      <c r="B9577" s="198"/>
      <c r="C9577" s="154"/>
      <c r="D9577" s="201"/>
    </row>
    <row r="9578" spans="2:4">
      <c r="B9578" s="198"/>
      <c r="C9578" s="154"/>
      <c r="D9578" s="201"/>
    </row>
    <row r="9579" spans="2:4">
      <c r="B9579" s="198"/>
      <c r="C9579" s="154"/>
      <c r="D9579" s="201"/>
    </row>
    <row r="9580" spans="2:4">
      <c r="B9580" s="198"/>
      <c r="C9580" s="154"/>
      <c r="D9580" s="201"/>
    </row>
    <row r="9581" spans="2:4">
      <c r="B9581" s="198"/>
      <c r="C9581" s="154"/>
      <c r="D9581" s="201"/>
    </row>
    <row r="9582" spans="2:4">
      <c r="B9582" s="198"/>
      <c r="C9582" s="154"/>
      <c r="D9582" s="201"/>
    </row>
    <row r="9583" spans="2:4">
      <c r="B9583" s="198"/>
      <c r="C9583" s="154"/>
      <c r="D9583" s="201"/>
    </row>
    <row r="9584" spans="2:4">
      <c r="B9584" s="198"/>
      <c r="C9584" s="154"/>
      <c r="D9584" s="201"/>
    </row>
    <row r="9585" spans="2:4">
      <c r="B9585" s="198"/>
      <c r="C9585" s="154"/>
      <c r="D9585" s="201"/>
    </row>
    <row r="9586" spans="2:4">
      <c r="B9586" s="198"/>
      <c r="C9586" s="154"/>
      <c r="D9586" s="201"/>
    </row>
    <row r="9587" spans="2:4">
      <c r="B9587" s="198"/>
      <c r="C9587" s="154"/>
      <c r="D9587" s="201"/>
    </row>
    <row r="9588" spans="2:4">
      <c r="B9588" s="198"/>
      <c r="C9588" s="154"/>
      <c r="D9588" s="201"/>
    </row>
    <row r="9589" spans="2:4">
      <c r="B9589" s="198"/>
      <c r="C9589" s="154"/>
      <c r="D9589" s="201"/>
    </row>
    <row r="9590" spans="2:4">
      <c r="B9590" s="198"/>
      <c r="C9590" s="154"/>
      <c r="D9590" s="201"/>
    </row>
    <row r="9591" spans="2:4">
      <c r="B9591" s="198"/>
      <c r="C9591" s="154"/>
      <c r="D9591" s="201"/>
    </row>
    <row r="9592" spans="2:4">
      <c r="B9592" s="198"/>
      <c r="C9592" s="154"/>
      <c r="D9592" s="201"/>
    </row>
    <row r="9593" spans="2:4">
      <c r="B9593" s="198"/>
      <c r="C9593" s="154"/>
      <c r="D9593" s="201"/>
    </row>
    <row r="9594" spans="2:4">
      <c r="B9594" s="198"/>
      <c r="C9594" s="154"/>
      <c r="D9594" s="201"/>
    </row>
    <row r="9595" spans="2:4">
      <c r="B9595" s="198"/>
      <c r="C9595" s="154"/>
      <c r="D9595" s="201"/>
    </row>
    <row r="9596" spans="2:4">
      <c r="B9596" s="198"/>
      <c r="C9596" s="154"/>
      <c r="D9596" s="201"/>
    </row>
    <row r="9597" spans="2:4">
      <c r="B9597" s="198"/>
      <c r="C9597" s="154"/>
      <c r="D9597" s="201"/>
    </row>
    <row r="9598" spans="2:4">
      <c r="B9598" s="198"/>
      <c r="C9598" s="154"/>
      <c r="D9598" s="201"/>
    </row>
    <row r="9599" spans="2:4">
      <c r="B9599" s="198"/>
      <c r="C9599" s="154"/>
      <c r="D9599" s="201"/>
    </row>
    <row r="9600" spans="2:4">
      <c r="B9600" s="198"/>
      <c r="C9600" s="154"/>
      <c r="D9600" s="201"/>
    </row>
    <row r="9601" spans="2:4">
      <c r="B9601" s="198"/>
      <c r="C9601" s="154"/>
      <c r="D9601" s="201"/>
    </row>
    <row r="9602" spans="2:4">
      <c r="B9602" s="198"/>
      <c r="C9602" s="154"/>
      <c r="D9602" s="201"/>
    </row>
    <row r="9603" spans="2:4">
      <c r="B9603" s="198"/>
      <c r="C9603" s="154"/>
      <c r="D9603" s="201"/>
    </row>
    <row r="9604" spans="2:4">
      <c r="B9604" s="198"/>
      <c r="C9604" s="154"/>
      <c r="D9604" s="201"/>
    </row>
    <row r="9605" spans="2:4">
      <c r="B9605" s="198"/>
      <c r="C9605" s="154"/>
      <c r="D9605" s="201"/>
    </row>
    <row r="9606" spans="2:4">
      <c r="B9606" s="198"/>
      <c r="C9606" s="154"/>
      <c r="D9606" s="201"/>
    </row>
    <row r="9607" spans="2:4">
      <c r="B9607" s="198"/>
      <c r="C9607" s="154"/>
      <c r="D9607" s="201"/>
    </row>
    <row r="9608" spans="2:4">
      <c r="B9608" s="198"/>
      <c r="C9608" s="154"/>
      <c r="D9608" s="201"/>
    </row>
    <row r="9609" spans="2:4">
      <c r="B9609" s="198"/>
      <c r="C9609" s="154"/>
      <c r="D9609" s="201"/>
    </row>
    <row r="9610" spans="2:4">
      <c r="B9610" s="198"/>
      <c r="C9610" s="154"/>
      <c r="D9610" s="201"/>
    </row>
    <row r="9611" spans="2:4">
      <c r="B9611" s="198"/>
      <c r="C9611" s="154"/>
      <c r="D9611" s="201"/>
    </row>
    <row r="9612" spans="2:4">
      <c r="B9612" s="198"/>
      <c r="C9612" s="154"/>
      <c r="D9612" s="201"/>
    </row>
    <row r="9613" spans="2:4">
      <c r="B9613" s="198"/>
      <c r="C9613" s="154"/>
      <c r="D9613" s="201"/>
    </row>
    <row r="9614" spans="2:4">
      <c r="B9614" s="198"/>
      <c r="C9614" s="154"/>
      <c r="D9614" s="201"/>
    </row>
    <row r="9615" spans="2:4">
      <c r="B9615" s="198"/>
      <c r="C9615" s="154"/>
      <c r="D9615" s="201"/>
    </row>
    <row r="9616" spans="2:4">
      <c r="B9616" s="198"/>
      <c r="C9616" s="154"/>
      <c r="D9616" s="201"/>
    </row>
    <row r="9617" spans="2:4">
      <c r="B9617" s="198"/>
      <c r="C9617" s="154"/>
      <c r="D9617" s="201"/>
    </row>
    <row r="9618" spans="2:4">
      <c r="B9618" s="198"/>
      <c r="C9618" s="154"/>
      <c r="D9618" s="201"/>
    </row>
    <row r="9619" spans="2:4">
      <c r="B9619" s="198"/>
      <c r="C9619" s="154"/>
      <c r="D9619" s="201"/>
    </row>
    <row r="9620" spans="2:4">
      <c r="B9620" s="198"/>
      <c r="C9620" s="154"/>
      <c r="D9620" s="201"/>
    </row>
    <row r="9621" spans="2:4">
      <c r="B9621" s="198"/>
      <c r="C9621" s="154"/>
      <c r="D9621" s="201"/>
    </row>
    <row r="9622" spans="2:4">
      <c r="B9622" s="198"/>
      <c r="C9622" s="154"/>
      <c r="D9622" s="201"/>
    </row>
    <row r="9623" spans="2:4">
      <c r="B9623" s="198"/>
      <c r="C9623" s="154"/>
      <c r="D9623" s="201"/>
    </row>
    <row r="9624" spans="2:4">
      <c r="B9624" s="198"/>
      <c r="C9624" s="154"/>
      <c r="D9624" s="201"/>
    </row>
    <row r="9625" spans="2:4">
      <c r="B9625" s="198"/>
      <c r="C9625" s="154"/>
      <c r="D9625" s="201"/>
    </row>
    <row r="9626" spans="2:4">
      <c r="B9626" s="198"/>
      <c r="C9626" s="154"/>
      <c r="D9626" s="201"/>
    </row>
    <row r="9627" spans="2:4">
      <c r="B9627" s="198"/>
      <c r="C9627" s="154"/>
      <c r="D9627" s="201"/>
    </row>
    <row r="9628" spans="2:4">
      <c r="B9628" s="198"/>
      <c r="C9628" s="154"/>
      <c r="D9628" s="201"/>
    </row>
    <row r="9629" spans="2:4">
      <c r="B9629" s="198"/>
      <c r="C9629" s="154"/>
      <c r="D9629" s="201"/>
    </row>
    <row r="9630" spans="2:4">
      <c r="B9630" s="198"/>
      <c r="C9630" s="154"/>
      <c r="D9630" s="201"/>
    </row>
    <row r="9631" spans="2:4">
      <c r="B9631" s="198"/>
      <c r="C9631" s="154"/>
      <c r="D9631" s="201"/>
    </row>
    <row r="9632" spans="2:4">
      <c r="B9632" s="198"/>
      <c r="C9632" s="154"/>
      <c r="D9632" s="201"/>
    </row>
    <row r="9633" spans="2:4">
      <c r="B9633" s="198"/>
      <c r="C9633" s="154"/>
      <c r="D9633" s="201"/>
    </row>
    <row r="9634" spans="2:4">
      <c r="B9634" s="198"/>
      <c r="C9634" s="154"/>
      <c r="D9634" s="201"/>
    </row>
    <row r="9635" spans="2:4">
      <c r="B9635" s="198"/>
      <c r="C9635" s="154"/>
      <c r="D9635" s="201"/>
    </row>
    <row r="9636" spans="2:4">
      <c r="B9636" s="198"/>
      <c r="C9636" s="154"/>
      <c r="D9636" s="201"/>
    </row>
    <row r="9637" spans="2:4">
      <c r="B9637" s="198"/>
      <c r="C9637" s="154"/>
      <c r="D9637" s="201"/>
    </row>
    <row r="9638" spans="2:4">
      <c r="B9638" s="198"/>
      <c r="C9638" s="154"/>
      <c r="D9638" s="201"/>
    </row>
    <row r="9639" spans="2:4">
      <c r="B9639" s="198"/>
      <c r="C9639" s="154"/>
      <c r="D9639" s="201"/>
    </row>
    <row r="9640" spans="2:4">
      <c r="B9640" s="198"/>
      <c r="C9640" s="154"/>
      <c r="D9640" s="201"/>
    </row>
    <row r="9641" spans="2:4">
      <c r="B9641" s="198"/>
      <c r="C9641" s="154"/>
      <c r="D9641" s="201"/>
    </row>
    <row r="9642" spans="2:4">
      <c r="B9642" s="198"/>
      <c r="C9642" s="154"/>
      <c r="D9642" s="201"/>
    </row>
    <row r="9643" spans="2:4">
      <c r="B9643" s="198"/>
      <c r="C9643" s="154"/>
      <c r="D9643" s="201"/>
    </row>
    <row r="9644" spans="2:4">
      <c r="B9644" s="198"/>
      <c r="C9644" s="154"/>
      <c r="D9644" s="201"/>
    </row>
    <row r="9645" spans="2:4">
      <c r="B9645" s="198"/>
      <c r="C9645" s="154"/>
      <c r="D9645" s="201"/>
    </row>
    <row r="9646" spans="2:4">
      <c r="B9646" s="198"/>
      <c r="C9646" s="154"/>
      <c r="D9646" s="201"/>
    </row>
    <row r="9647" spans="2:4">
      <c r="B9647" s="198"/>
      <c r="C9647" s="154"/>
      <c r="D9647" s="201"/>
    </row>
    <row r="9648" spans="2:4">
      <c r="B9648" s="198"/>
      <c r="C9648" s="154"/>
      <c r="D9648" s="201"/>
    </row>
    <row r="9649" spans="2:4">
      <c r="B9649" s="198"/>
      <c r="C9649" s="154"/>
      <c r="D9649" s="201"/>
    </row>
    <row r="9650" spans="2:4">
      <c r="B9650" s="198"/>
      <c r="C9650" s="154"/>
      <c r="D9650" s="201"/>
    </row>
    <row r="9651" spans="2:4">
      <c r="B9651" s="198"/>
      <c r="C9651" s="154"/>
      <c r="D9651" s="201"/>
    </row>
    <row r="9652" spans="2:4">
      <c r="B9652" s="198"/>
      <c r="C9652" s="154"/>
      <c r="D9652" s="201"/>
    </row>
    <row r="9653" spans="2:4">
      <c r="B9653" s="198"/>
      <c r="C9653" s="154"/>
      <c r="D9653" s="201"/>
    </row>
    <row r="9654" spans="2:4">
      <c r="B9654" s="198"/>
      <c r="C9654" s="154"/>
      <c r="D9654" s="201"/>
    </row>
    <row r="9655" spans="2:4">
      <c r="B9655" s="198"/>
      <c r="C9655" s="154"/>
      <c r="D9655" s="201"/>
    </row>
    <row r="9656" spans="2:4">
      <c r="B9656" s="198"/>
      <c r="C9656" s="154"/>
      <c r="D9656" s="201"/>
    </row>
    <row r="9657" spans="2:4">
      <c r="B9657" s="198"/>
      <c r="C9657" s="154"/>
      <c r="D9657" s="201"/>
    </row>
    <row r="9658" spans="2:4">
      <c r="B9658" s="198"/>
      <c r="C9658" s="154"/>
      <c r="D9658" s="201"/>
    </row>
    <row r="9659" spans="2:4">
      <c r="B9659" s="198"/>
      <c r="C9659" s="154"/>
      <c r="D9659" s="201"/>
    </row>
    <row r="9660" spans="2:4">
      <c r="B9660" s="198"/>
      <c r="C9660" s="154"/>
      <c r="D9660" s="201"/>
    </row>
    <row r="9661" spans="2:4">
      <c r="B9661" s="198"/>
      <c r="C9661" s="154"/>
      <c r="D9661" s="201"/>
    </row>
    <row r="9662" spans="2:4">
      <c r="B9662" s="198"/>
      <c r="C9662" s="154"/>
      <c r="D9662" s="201"/>
    </row>
    <row r="9663" spans="2:4">
      <c r="B9663" s="198"/>
      <c r="C9663" s="154"/>
      <c r="D9663" s="201"/>
    </row>
    <row r="9664" spans="2:4">
      <c r="B9664" s="198"/>
      <c r="C9664" s="154"/>
      <c r="D9664" s="201"/>
    </row>
    <row r="9665" spans="2:4">
      <c r="B9665" s="198"/>
      <c r="C9665" s="154"/>
      <c r="D9665" s="201"/>
    </row>
    <row r="9666" spans="2:4">
      <c r="B9666" s="198"/>
      <c r="C9666" s="154"/>
      <c r="D9666" s="201"/>
    </row>
    <row r="9667" spans="2:4">
      <c r="B9667" s="198"/>
      <c r="C9667" s="154"/>
      <c r="D9667" s="201"/>
    </row>
    <row r="9668" spans="2:4">
      <c r="B9668" s="198"/>
      <c r="C9668" s="154"/>
      <c r="D9668" s="201"/>
    </row>
    <row r="9669" spans="2:4">
      <c r="B9669" s="198"/>
      <c r="C9669" s="154"/>
      <c r="D9669" s="201"/>
    </row>
    <row r="9670" spans="2:4">
      <c r="B9670" s="198"/>
      <c r="C9670" s="154"/>
      <c r="D9670" s="201"/>
    </row>
    <row r="9671" spans="2:4">
      <c r="B9671" s="198"/>
      <c r="C9671" s="154"/>
      <c r="D9671" s="201"/>
    </row>
    <row r="9672" spans="2:4">
      <c r="B9672" s="198"/>
      <c r="C9672" s="154"/>
      <c r="D9672" s="201"/>
    </row>
    <row r="9673" spans="2:4">
      <c r="B9673" s="198"/>
      <c r="C9673" s="154"/>
      <c r="D9673" s="201"/>
    </row>
    <row r="9674" spans="2:4">
      <c r="B9674" s="198"/>
      <c r="C9674" s="154"/>
      <c r="D9674" s="201"/>
    </row>
    <row r="9675" spans="2:4">
      <c r="B9675" s="198"/>
      <c r="C9675" s="154"/>
      <c r="D9675" s="201"/>
    </row>
    <row r="9676" spans="2:4">
      <c r="B9676" s="198"/>
      <c r="C9676" s="154"/>
      <c r="D9676" s="201"/>
    </row>
    <row r="9677" spans="2:4">
      <c r="B9677" s="198"/>
      <c r="C9677" s="154"/>
      <c r="D9677" s="201"/>
    </row>
    <row r="9678" spans="2:4">
      <c r="B9678" s="198"/>
      <c r="C9678" s="154"/>
      <c r="D9678" s="201"/>
    </row>
    <row r="9679" spans="2:4">
      <c r="B9679" s="198"/>
      <c r="C9679" s="154"/>
      <c r="D9679" s="201"/>
    </row>
    <row r="9680" spans="2:4">
      <c r="B9680" s="198"/>
      <c r="C9680" s="154"/>
      <c r="D9680" s="201"/>
    </row>
    <row r="9681" spans="2:4">
      <c r="B9681" s="198"/>
      <c r="C9681" s="154"/>
      <c r="D9681" s="201"/>
    </row>
    <row r="9682" spans="2:4">
      <c r="B9682" s="198"/>
      <c r="C9682" s="154"/>
      <c r="D9682" s="201"/>
    </row>
    <row r="9683" spans="2:4">
      <c r="B9683" s="198"/>
      <c r="C9683" s="154"/>
      <c r="D9683" s="201"/>
    </row>
    <row r="9684" spans="2:4">
      <c r="B9684" s="198"/>
      <c r="C9684" s="154"/>
      <c r="D9684" s="201"/>
    </row>
    <row r="9685" spans="2:4">
      <c r="B9685" s="198"/>
      <c r="C9685" s="154"/>
      <c r="D9685" s="201"/>
    </row>
    <row r="9686" spans="2:4">
      <c r="B9686" s="198"/>
      <c r="C9686" s="154"/>
      <c r="D9686" s="201"/>
    </row>
    <row r="9687" spans="2:4">
      <c r="B9687" s="198"/>
      <c r="C9687" s="154"/>
      <c r="D9687" s="201"/>
    </row>
    <row r="9688" spans="2:4">
      <c r="B9688" s="198"/>
      <c r="C9688" s="154"/>
      <c r="D9688" s="201"/>
    </row>
    <row r="9689" spans="2:4">
      <c r="B9689" s="198"/>
      <c r="C9689" s="154"/>
      <c r="D9689" s="201"/>
    </row>
    <row r="9690" spans="2:4">
      <c r="B9690" s="198"/>
      <c r="C9690" s="154"/>
      <c r="D9690" s="201"/>
    </row>
    <row r="9691" spans="2:4">
      <c r="B9691" s="198"/>
      <c r="C9691" s="154"/>
      <c r="D9691" s="201"/>
    </row>
    <row r="9692" spans="2:4">
      <c r="B9692" s="198"/>
      <c r="C9692" s="154"/>
      <c r="D9692" s="201"/>
    </row>
    <row r="9693" spans="2:4">
      <c r="B9693" s="198"/>
      <c r="C9693" s="154"/>
      <c r="D9693" s="201"/>
    </row>
    <row r="9694" spans="2:4">
      <c r="B9694" s="198"/>
      <c r="C9694" s="154"/>
      <c r="D9694" s="201"/>
    </row>
    <row r="9695" spans="2:4">
      <c r="B9695" s="198"/>
      <c r="C9695" s="154"/>
      <c r="D9695" s="201"/>
    </row>
    <row r="9696" spans="2:4">
      <c r="B9696" s="198"/>
      <c r="C9696" s="154"/>
      <c r="D9696" s="201"/>
    </row>
    <row r="9697" spans="2:4">
      <c r="B9697" s="198"/>
      <c r="C9697" s="154"/>
      <c r="D9697" s="201"/>
    </row>
    <row r="9698" spans="2:4">
      <c r="B9698" s="198"/>
      <c r="C9698" s="154"/>
      <c r="D9698" s="201"/>
    </row>
    <row r="9699" spans="2:4">
      <c r="B9699" s="198"/>
      <c r="C9699" s="154"/>
      <c r="D9699" s="201"/>
    </row>
    <row r="9700" spans="2:4">
      <c r="B9700" s="198"/>
      <c r="C9700" s="154"/>
      <c r="D9700" s="201"/>
    </row>
    <row r="9701" spans="2:4">
      <c r="B9701" s="198"/>
      <c r="C9701" s="154"/>
      <c r="D9701" s="201"/>
    </row>
    <row r="9702" spans="2:4">
      <c r="B9702" s="198"/>
      <c r="C9702" s="154"/>
      <c r="D9702" s="201"/>
    </row>
    <row r="9703" spans="2:4">
      <c r="B9703" s="198"/>
      <c r="C9703" s="154"/>
      <c r="D9703" s="201"/>
    </row>
    <row r="9704" spans="2:4">
      <c r="B9704" s="198"/>
      <c r="C9704" s="154"/>
      <c r="D9704" s="201"/>
    </row>
    <row r="9705" spans="2:4">
      <c r="B9705" s="198"/>
      <c r="C9705" s="154"/>
      <c r="D9705" s="201"/>
    </row>
    <row r="9706" spans="2:4">
      <c r="B9706" s="198"/>
      <c r="C9706" s="154"/>
      <c r="D9706" s="201"/>
    </row>
    <row r="9707" spans="2:4">
      <c r="B9707" s="198"/>
      <c r="C9707" s="154"/>
      <c r="D9707" s="201"/>
    </row>
    <row r="9708" spans="2:4">
      <c r="B9708" s="198"/>
      <c r="C9708" s="154"/>
      <c r="D9708" s="201"/>
    </row>
    <row r="9709" spans="2:4">
      <c r="B9709" s="198"/>
      <c r="C9709" s="154"/>
      <c r="D9709" s="201"/>
    </row>
    <row r="9710" spans="2:4">
      <c r="B9710" s="198"/>
      <c r="C9710" s="154"/>
      <c r="D9710" s="201"/>
    </row>
    <row r="9711" spans="2:4">
      <c r="B9711" s="198"/>
      <c r="C9711" s="154"/>
      <c r="D9711" s="201"/>
    </row>
    <row r="9712" spans="2:4">
      <c r="B9712" s="198"/>
      <c r="C9712" s="154"/>
      <c r="D9712" s="201"/>
    </row>
    <row r="9713" spans="2:4">
      <c r="B9713" s="198"/>
      <c r="C9713" s="154"/>
      <c r="D9713" s="201"/>
    </row>
    <row r="9714" spans="2:4">
      <c r="B9714" s="198"/>
      <c r="C9714" s="154"/>
      <c r="D9714" s="201"/>
    </row>
    <row r="9715" spans="2:4">
      <c r="B9715" s="198"/>
      <c r="C9715" s="154"/>
      <c r="D9715" s="201"/>
    </row>
    <row r="9716" spans="2:4">
      <c r="B9716" s="198"/>
      <c r="C9716" s="154"/>
      <c r="D9716" s="201"/>
    </row>
    <row r="9717" spans="2:4">
      <c r="B9717" s="198"/>
      <c r="C9717" s="154"/>
      <c r="D9717" s="201"/>
    </row>
    <row r="9718" spans="2:4">
      <c r="B9718" s="198"/>
      <c r="C9718" s="154"/>
      <c r="D9718" s="201"/>
    </row>
    <row r="9719" spans="2:4">
      <c r="B9719" s="198"/>
      <c r="C9719" s="154"/>
      <c r="D9719" s="201"/>
    </row>
    <row r="9720" spans="2:4">
      <c r="B9720" s="198"/>
      <c r="C9720" s="154"/>
      <c r="D9720" s="201"/>
    </row>
    <row r="9721" spans="2:4">
      <c r="B9721" s="198"/>
      <c r="C9721" s="154"/>
      <c r="D9721" s="201"/>
    </row>
    <row r="9722" spans="2:4">
      <c r="B9722" s="198"/>
      <c r="C9722" s="154"/>
      <c r="D9722" s="201"/>
    </row>
    <row r="9723" spans="2:4">
      <c r="B9723" s="198"/>
      <c r="C9723" s="154"/>
      <c r="D9723" s="201"/>
    </row>
    <row r="9724" spans="2:4">
      <c r="B9724" s="198"/>
      <c r="C9724" s="154"/>
      <c r="D9724" s="201"/>
    </row>
    <row r="9725" spans="2:4">
      <c r="B9725" s="198"/>
      <c r="C9725" s="154"/>
      <c r="D9725" s="201"/>
    </row>
    <row r="9726" spans="2:4">
      <c r="B9726" s="198"/>
      <c r="C9726" s="154"/>
      <c r="D9726" s="201"/>
    </row>
    <row r="9727" spans="2:4">
      <c r="B9727" s="198"/>
      <c r="C9727" s="154"/>
      <c r="D9727" s="201"/>
    </row>
    <row r="9728" spans="2:4">
      <c r="B9728" s="198"/>
      <c r="C9728" s="154"/>
      <c r="D9728" s="201"/>
    </row>
    <row r="9729" spans="2:4">
      <c r="B9729" s="198"/>
      <c r="C9729" s="154"/>
      <c r="D9729" s="201"/>
    </row>
    <row r="9730" spans="2:4">
      <c r="B9730" s="198"/>
      <c r="C9730" s="154"/>
      <c r="D9730" s="201"/>
    </row>
    <row r="9731" spans="2:4">
      <c r="B9731" s="198"/>
      <c r="C9731" s="154"/>
      <c r="D9731" s="201"/>
    </row>
    <row r="9732" spans="2:4">
      <c r="B9732" s="198"/>
      <c r="C9732" s="154"/>
      <c r="D9732" s="201"/>
    </row>
    <row r="9733" spans="2:4">
      <c r="B9733" s="198"/>
      <c r="C9733" s="154"/>
      <c r="D9733" s="201"/>
    </row>
    <row r="9734" spans="2:4">
      <c r="B9734" s="198"/>
      <c r="C9734" s="154"/>
      <c r="D9734" s="201"/>
    </row>
    <row r="9735" spans="2:4">
      <c r="B9735" s="198"/>
      <c r="C9735" s="154"/>
      <c r="D9735" s="201"/>
    </row>
    <row r="9736" spans="2:4">
      <c r="B9736" s="198"/>
      <c r="C9736" s="154"/>
      <c r="D9736" s="201"/>
    </row>
    <row r="9737" spans="2:4">
      <c r="B9737" s="198"/>
      <c r="C9737" s="154"/>
      <c r="D9737" s="201"/>
    </row>
    <row r="9738" spans="2:4">
      <c r="B9738" s="198"/>
      <c r="C9738" s="154"/>
      <c r="D9738" s="201"/>
    </row>
    <row r="9739" spans="2:4">
      <c r="B9739" s="198"/>
      <c r="C9739" s="154"/>
      <c r="D9739" s="201"/>
    </row>
    <row r="9740" spans="2:4">
      <c r="B9740" s="198"/>
      <c r="C9740" s="154"/>
      <c r="D9740" s="201"/>
    </row>
    <row r="9741" spans="2:4">
      <c r="B9741" s="198"/>
      <c r="C9741" s="154"/>
      <c r="D9741" s="201"/>
    </row>
    <row r="9742" spans="2:4">
      <c r="B9742" s="198"/>
      <c r="C9742" s="154"/>
      <c r="D9742" s="201"/>
    </row>
    <row r="9743" spans="2:4">
      <c r="B9743" s="198"/>
      <c r="C9743" s="154"/>
      <c r="D9743" s="201"/>
    </row>
    <row r="9744" spans="2:4">
      <c r="B9744" s="198"/>
      <c r="C9744" s="154"/>
      <c r="D9744" s="201"/>
    </row>
    <row r="9745" spans="2:4">
      <c r="B9745" s="198"/>
      <c r="C9745" s="154"/>
      <c r="D9745" s="201"/>
    </row>
    <row r="9746" spans="2:4">
      <c r="B9746" s="198"/>
      <c r="C9746" s="154"/>
      <c r="D9746" s="201"/>
    </row>
    <row r="9747" spans="2:4">
      <c r="B9747" s="198"/>
      <c r="C9747" s="154"/>
      <c r="D9747" s="201"/>
    </row>
    <row r="9748" spans="2:4">
      <c r="B9748" s="198"/>
      <c r="C9748" s="154"/>
      <c r="D9748" s="201"/>
    </row>
    <row r="9749" spans="2:4">
      <c r="B9749" s="198"/>
      <c r="C9749" s="154"/>
      <c r="D9749" s="201"/>
    </row>
    <row r="9750" spans="2:4">
      <c r="B9750" s="198"/>
      <c r="C9750" s="154"/>
      <c r="D9750" s="201"/>
    </row>
    <row r="9751" spans="2:4">
      <c r="B9751" s="198"/>
      <c r="C9751" s="154"/>
      <c r="D9751" s="201"/>
    </row>
    <row r="9752" spans="2:4">
      <c r="B9752" s="198"/>
      <c r="C9752" s="154"/>
      <c r="D9752" s="201"/>
    </row>
    <row r="9753" spans="2:4">
      <c r="B9753" s="198"/>
      <c r="C9753" s="154"/>
      <c r="D9753" s="201"/>
    </row>
    <row r="9754" spans="2:4">
      <c r="B9754" s="198"/>
      <c r="C9754" s="154"/>
      <c r="D9754" s="201"/>
    </row>
    <row r="9755" spans="2:4">
      <c r="B9755" s="198"/>
      <c r="C9755" s="154"/>
      <c r="D9755" s="201"/>
    </row>
    <row r="9756" spans="2:4">
      <c r="B9756" s="198"/>
      <c r="C9756" s="154"/>
      <c r="D9756" s="201"/>
    </row>
    <row r="9757" spans="2:4">
      <c r="B9757" s="198"/>
      <c r="C9757" s="154"/>
      <c r="D9757" s="201"/>
    </row>
    <row r="9758" spans="2:4">
      <c r="B9758" s="198"/>
      <c r="C9758" s="154"/>
      <c r="D9758" s="201"/>
    </row>
    <row r="9759" spans="2:4">
      <c r="B9759" s="198"/>
      <c r="C9759" s="154"/>
      <c r="D9759" s="201"/>
    </row>
    <row r="9760" spans="2:4">
      <c r="B9760" s="198"/>
      <c r="C9760" s="154"/>
      <c r="D9760" s="201"/>
    </row>
    <row r="9761" spans="2:4">
      <c r="B9761" s="198"/>
      <c r="C9761" s="154"/>
      <c r="D9761" s="201"/>
    </row>
    <row r="9762" spans="2:4">
      <c r="B9762" s="198"/>
      <c r="C9762" s="154"/>
      <c r="D9762" s="201"/>
    </row>
    <row r="9763" spans="2:4">
      <c r="B9763" s="198"/>
      <c r="C9763" s="154"/>
      <c r="D9763" s="201"/>
    </row>
    <row r="9764" spans="2:4">
      <c r="B9764" s="198"/>
      <c r="C9764" s="154"/>
      <c r="D9764" s="201"/>
    </row>
    <row r="9765" spans="2:4">
      <c r="B9765" s="198"/>
      <c r="C9765" s="154"/>
      <c r="D9765" s="201"/>
    </row>
    <row r="9766" spans="2:4">
      <c r="B9766" s="198"/>
      <c r="C9766" s="154"/>
      <c r="D9766" s="201"/>
    </row>
    <row r="9767" spans="2:4">
      <c r="B9767" s="198"/>
      <c r="C9767" s="154"/>
      <c r="D9767" s="201"/>
    </row>
    <row r="9768" spans="2:4">
      <c r="B9768" s="198"/>
      <c r="C9768" s="154"/>
      <c r="D9768" s="201"/>
    </row>
    <row r="9769" spans="2:4">
      <c r="B9769" s="198"/>
      <c r="C9769" s="154"/>
      <c r="D9769" s="201"/>
    </row>
    <row r="9770" spans="2:4">
      <c r="B9770" s="198"/>
      <c r="C9770" s="154"/>
      <c r="D9770" s="201"/>
    </row>
    <row r="9771" spans="2:4">
      <c r="B9771" s="198"/>
      <c r="C9771" s="154"/>
      <c r="D9771" s="201"/>
    </row>
    <row r="9772" spans="2:4">
      <c r="B9772" s="198"/>
      <c r="C9772" s="154"/>
      <c r="D9772" s="201"/>
    </row>
    <row r="9773" spans="2:4">
      <c r="B9773" s="198"/>
      <c r="C9773" s="154"/>
      <c r="D9773" s="201"/>
    </row>
    <row r="9774" spans="2:4">
      <c r="B9774" s="198"/>
      <c r="C9774" s="154"/>
      <c r="D9774" s="201"/>
    </row>
    <row r="9775" spans="2:4">
      <c r="B9775" s="198"/>
      <c r="C9775" s="154"/>
      <c r="D9775" s="201"/>
    </row>
    <row r="9776" spans="2:4">
      <c r="B9776" s="198"/>
      <c r="C9776" s="154"/>
      <c r="D9776" s="201"/>
    </row>
    <row r="9777" spans="2:4">
      <c r="B9777" s="198"/>
      <c r="C9777" s="154"/>
      <c r="D9777" s="201"/>
    </row>
    <row r="9778" spans="2:4">
      <c r="B9778" s="198"/>
      <c r="C9778" s="154"/>
      <c r="D9778" s="201"/>
    </row>
    <row r="9779" spans="2:4">
      <c r="B9779" s="198"/>
      <c r="C9779" s="154"/>
      <c r="D9779" s="201"/>
    </row>
    <row r="9780" spans="2:4">
      <c r="B9780" s="198"/>
      <c r="C9780" s="154"/>
      <c r="D9780" s="201"/>
    </row>
    <row r="9781" spans="2:4">
      <c r="B9781" s="198"/>
      <c r="C9781" s="154"/>
      <c r="D9781" s="201"/>
    </row>
    <row r="9782" spans="2:4">
      <c r="B9782" s="198"/>
      <c r="C9782" s="154"/>
      <c r="D9782" s="201"/>
    </row>
    <row r="9783" spans="2:4">
      <c r="B9783" s="208"/>
      <c r="C9783" s="209"/>
      <c r="D9783" s="210"/>
    </row>
    <row r="9784" spans="2:4">
      <c r="B9784" s="216" t="s">
        <v>5157</v>
      </c>
      <c r="C9784" s="209" t="s">
        <v>5175</v>
      </c>
      <c r="D9784" s="210" t="s">
        <v>2216</v>
      </c>
    </row>
    <row r="9785" spans="2:4">
      <c r="B9785" s="216" t="s">
        <v>5158</v>
      </c>
      <c r="C9785" s="209" t="s">
        <v>3081</v>
      </c>
      <c r="D9785" s="210" t="s">
        <v>1957</v>
      </c>
    </row>
    <row r="9786" spans="2:4">
      <c r="B9786" s="216" t="s">
        <v>5159</v>
      </c>
      <c r="C9786" s="217" t="s">
        <v>3081</v>
      </c>
      <c r="D9786" s="218" t="s">
        <v>1957</v>
      </c>
    </row>
    <row r="9787" spans="2:4">
      <c r="B9787" s="216" t="s">
        <v>5160</v>
      </c>
      <c r="C9787" s="217" t="s">
        <v>3081</v>
      </c>
      <c r="D9787" s="218" t="s">
        <v>1957</v>
      </c>
    </row>
    <row r="9788" spans="2:4">
      <c r="B9788" s="216" t="s">
        <v>5161</v>
      </c>
      <c r="C9788" s="217" t="s">
        <v>3081</v>
      </c>
      <c r="D9788" s="218" t="s">
        <v>1957</v>
      </c>
    </row>
    <row r="9789" spans="2:4">
      <c r="B9789" s="216" t="s">
        <v>5162</v>
      </c>
      <c r="C9789" s="217" t="s">
        <v>3081</v>
      </c>
      <c r="D9789" s="218" t="s">
        <v>1957</v>
      </c>
    </row>
    <row r="9790" spans="2:4">
      <c r="B9790" s="216" t="s">
        <v>5163</v>
      </c>
      <c r="C9790" s="217" t="s">
        <v>3081</v>
      </c>
      <c r="D9790" s="218" t="s">
        <v>1957</v>
      </c>
    </row>
    <row r="9791" spans="2:4">
      <c r="B9791" s="216" t="s">
        <v>5164</v>
      </c>
      <c r="C9791" s="217" t="s">
        <v>3081</v>
      </c>
      <c r="D9791" s="218" t="s">
        <v>1957</v>
      </c>
    </row>
    <row r="9792" spans="2:4">
      <c r="B9792" s="216" t="s">
        <v>5165</v>
      </c>
      <c r="C9792" s="209" t="s">
        <v>5174</v>
      </c>
      <c r="D9792" s="210" t="s">
        <v>1956</v>
      </c>
    </row>
    <row r="9793" spans="2:4">
      <c r="B9793" s="216" t="s">
        <v>5166</v>
      </c>
      <c r="C9793" s="217" t="s">
        <v>3081</v>
      </c>
      <c r="D9793" s="218" t="s">
        <v>1957</v>
      </c>
    </row>
    <row r="9794" spans="2:4">
      <c r="B9794" s="216" t="s">
        <v>5167</v>
      </c>
      <c r="C9794" s="217" t="s">
        <v>3081</v>
      </c>
      <c r="D9794" s="218" t="s">
        <v>1957</v>
      </c>
    </row>
    <row r="9795" spans="2:4">
      <c r="B9795" s="216" t="s">
        <v>5168</v>
      </c>
      <c r="C9795" s="217" t="s">
        <v>3081</v>
      </c>
      <c r="D9795" s="218" t="s">
        <v>1957</v>
      </c>
    </row>
    <row r="9796" spans="2:4">
      <c r="B9796" s="216" t="s">
        <v>5169</v>
      </c>
      <c r="C9796" s="209" t="s">
        <v>4554</v>
      </c>
      <c r="D9796" s="210" t="s">
        <v>1956</v>
      </c>
    </row>
    <row r="9797" spans="2:4">
      <c r="B9797" s="216" t="s">
        <v>5170</v>
      </c>
      <c r="C9797" s="217" t="s">
        <v>3081</v>
      </c>
      <c r="D9797" s="218" t="s">
        <v>1957</v>
      </c>
    </row>
    <row r="9798" spans="2:4">
      <c r="B9798" s="208" t="s">
        <v>5171</v>
      </c>
      <c r="C9798" s="209" t="s">
        <v>4262</v>
      </c>
      <c r="D9798" s="210" t="s">
        <v>1956</v>
      </c>
    </row>
    <row r="9799" spans="2:4">
      <c r="B9799" s="216" t="s">
        <v>5172</v>
      </c>
      <c r="C9799" s="209" t="s">
        <v>3279</v>
      </c>
      <c r="D9799" s="210" t="s">
        <v>2216</v>
      </c>
    </row>
    <row r="9800" spans="2:4">
      <c r="B9800" s="216" t="s">
        <v>5173</v>
      </c>
      <c r="C9800" s="209" t="s">
        <v>3547</v>
      </c>
      <c r="D9800" s="210" t="s">
        <v>2220</v>
      </c>
    </row>
  </sheetData>
  <sortState xmlns:xlrd2="http://schemas.microsoft.com/office/spreadsheetml/2017/richdata2" ref="B3:D2652">
    <sortCondition ref="B3:B2652"/>
    <sortCondition ref="C3:C2652"/>
  </sortState>
  <conditionalFormatting sqref="B1:B571 B2338:B2565 B2567 B2613:B2624 B2636:B2644 B2647 B2649:B2787 B2789:B3111 B3113:B3114 B3116:B3119 B3121:B3184 B3189:B3322 B3326:B3362 B3364:B3366 B3368:B3386 B3388:B3405 B3407:B3430 B3432:B3438 B3441:B3466 B3468:B3469 B3471:B3630 B3632:B3634 B3643:B3712 B3726:B3750 B3763:B3916 B3918:B4066 B4068:B4191 B4193:B4260 B4262:B4263 B4265:B4269 B4274:B4329 B4331:B4416 B4418:B4419 B4423:B4430 B4432 B4435:B4443 B4447:B4455 B4458:B4460 B4463:B4464 B4466:B4549 B4551:B4582 B4711:B4842 B4844:B4846 B4848:B4864 B4866:B4960 B4963:B4971 B4989:B5017 B5021:B5024 B5026:B5040 B5043:B5056 B5058:B5063 B5067:B5074 B5078:B5097 B5109 B5113:B5134 B5137 B4590:B4676 B5139:B5168 B5170:B5278 B5280:B5285 B5288:B5328 B5331:B5418 B5420:B5713 B573:B2325 B5715:B5770 B5790:B5795 B5834:B5863 B5879:B5890 B5894 B5935:B6022 B6081:B6082 B6084:B6159 B6161:B6183 B6186:B6189 B6191:B6237 B6244:B6250 B6265:B6503 B6530:B1048576">
    <cfRule type="duplicateValues" dxfId="513" priority="515"/>
  </conditionalFormatting>
  <conditionalFormatting sqref="B1:B571 B3918:B4066 B4068:B4191 B4193:B4260 B4262:B4263 B4265:B4269 B4274:B4329 B4331:B4416 B4418:B4419 B4423:B4430 B4432 B4435:B4443 B4447:B4455 B4458:B4460 B4463:B4464 B4466:B4549 B4551:B4582 B4711:B4842 B4844:B4846 B4848:B4864 B4866:B4960 B4963:B4971 B4989:B5017 B5021:B5024 B5026:B5040 B5043:B5056 B5058:B5063 B5067:B5074 B5078:B5097 B5109 B5113:B5134 B5137 B4590:B4676 B5139:B5168 B5170:B5278 B5280:B5285 B5288:B5328 B5331:B5418 B5420:B5713 B573:B3916 B5715:B5770 B5790:B5795 B5834:B5863 B5879:B5890 B5894 B5935:B6022 B6081:B6082 B6084:B6159 B6161:B6183 B6186:B6189 B6191:B6237 B6244:B6250 B6265:B6503 B6530:B1048576">
    <cfRule type="duplicateValues" dxfId="512" priority="362"/>
    <cfRule type="duplicateValues" dxfId="511" priority="361"/>
  </conditionalFormatting>
  <conditionalFormatting sqref="B3:B571 B3918:B4066 B4068:B4191 B4193:B4260 B4262:B4263 B4265:B4269 B4274:B4329 B4331:B4416 B4418:B4419 B4423:B4430 B4432 B4435:B4443 B4447:B4455 B4458:B4460 B4463:B4464 B4466:B4549 B4551:B4582 B4711:B4842 B4844:B4846 B4848:B4864 B4866:B4960 B4963:B4971 B4989:B5017 B5021:B5024 B5026:B5040 B5043:B5056 B5058:B5063 B5067:B5074 B5078:B5097 B5109 B5113:B5134 B5137 B4590:B4676 B5139:B5168 B5170:B5278 B5280:B5285 B5288:B5328 B5331:B5418 B5420:B5713 B573:B3916 B5715:B5770 B5790:B5795 B5834:B5863 B5879:B5890 B5894 B5935:B6022 B6081:B6082 B6084:B6159 B6161:B6183 B6186:B6189 B6191:B6237 B6244:B6250 B6265:B6503 B6530:B9800">
    <cfRule type="duplicateValues" dxfId="510" priority="11758"/>
  </conditionalFormatting>
  <conditionalFormatting sqref="B572">
    <cfRule type="duplicateValues" dxfId="509" priority="59"/>
    <cfRule type="duplicateValues" dxfId="508" priority="56"/>
    <cfRule type="duplicateValues" dxfId="507" priority="57"/>
    <cfRule type="duplicateValues" dxfId="506" priority="58"/>
  </conditionalFormatting>
  <conditionalFormatting sqref="B1431:B1436 B1:B2 B1934:B2325 B2338:B2565 B2567 B2613:B2624 B2636:B2644 B2647 B2649:B2787 B2789:B3111 B3113:B3114 B3116:B3119 B3121:B3184 B3189:B3322 B3326:B3362 B3364:B3366 B3368:B3386 B3388:B3405 B3407:B3430 B3432:B3438 B3441:B3466 B3468:B3469 B3471:B3630 B3632:B3634 B3643:B3712 B3726:B3750 B3763:B3916 B3918:B4066 B4068:B4191 B4193:B4260 B4262:B4263 B4265:B4269 B4274:B4329 B4331:B4416 B4418:B4419 B4423:B4430 B4432 B4435:B4443 B4447:B4455 B4458:B4460 B4463:B4464 B4466:B4549 B4551:B4582 B4711:B4842 B4844:B4846 B4848:B4864 B4866:B4960 B4963:B4971 B4989:B5017 B5021:B5024 B5026:B5040 B5043:B5056 B5058:B5063 B5067:B5074 B5078:B5097 B5109 B5113:B5134 B5137 B4590:B4676 B5139:B5168 B5170:B5278 B5280:B5285 B5288:B5328 B5331:B5418 B5420:B5713 B5715:B5770 B5790:B5795 B5834:B5863 B5879:B5890 B5894 B5935:B6022 B6081:B6082 B6084:B6159 B6161:B6183 B6186:B6189 B6191:B6237 B6244:B6250 B6265:B6503 B6530:B1048576">
    <cfRule type="duplicateValues" dxfId="505" priority="487"/>
  </conditionalFormatting>
  <conditionalFormatting sqref="B2326">
    <cfRule type="duplicateValues" dxfId="504" priority="482"/>
    <cfRule type="duplicateValues" dxfId="503" priority="481"/>
  </conditionalFormatting>
  <conditionalFormatting sqref="B2566">
    <cfRule type="duplicateValues" dxfId="502" priority="478"/>
    <cfRule type="duplicateValues" dxfId="501" priority="477"/>
  </conditionalFormatting>
  <conditionalFormatting sqref="B2568">
    <cfRule type="duplicateValues" dxfId="500" priority="476"/>
    <cfRule type="duplicateValues" dxfId="499" priority="475"/>
  </conditionalFormatting>
  <conditionalFormatting sqref="B2569">
    <cfRule type="duplicateValues" dxfId="498" priority="474"/>
    <cfRule type="duplicateValues" dxfId="497" priority="473"/>
  </conditionalFormatting>
  <conditionalFormatting sqref="B2570:B2571">
    <cfRule type="duplicateValues" dxfId="496" priority="472"/>
    <cfRule type="duplicateValues" dxfId="495" priority="471"/>
  </conditionalFormatting>
  <conditionalFormatting sqref="B2572">
    <cfRule type="duplicateValues" dxfId="494" priority="470"/>
    <cfRule type="duplicateValues" dxfId="493" priority="469"/>
  </conditionalFormatting>
  <conditionalFormatting sqref="B2573">
    <cfRule type="duplicateValues" dxfId="492" priority="468"/>
    <cfRule type="duplicateValues" dxfId="491" priority="467"/>
  </conditionalFormatting>
  <conditionalFormatting sqref="B2574">
    <cfRule type="duplicateValues" dxfId="490" priority="466"/>
    <cfRule type="duplicateValues" dxfId="489" priority="465"/>
  </conditionalFormatting>
  <conditionalFormatting sqref="B2575">
    <cfRule type="duplicateValues" dxfId="488" priority="463"/>
    <cfRule type="duplicateValues" dxfId="487" priority="464"/>
  </conditionalFormatting>
  <conditionalFormatting sqref="B2576">
    <cfRule type="duplicateValues" dxfId="486" priority="461"/>
    <cfRule type="duplicateValues" dxfId="485" priority="462"/>
  </conditionalFormatting>
  <conditionalFormatting sqref="B2577:B2588">
    <cfRule type="duplicateValues" dxfId="484" priority="459"/>
    <cfRule type="duplicateValues" dxfId="483" priority="460"/>
  </conditionalFormatting>
  <conditionalFormatting sqref="B2589:B2590">
    <cfRule type="duplicateValues" dxfId="482" priority="458"/>
    <cfRule type="duplicateValues" dxfId="481" priority="457"/>
  </conditionalFormatting>
  <conditionalFormatting sqref="B2591">
    <cfRule type="duplicateValues" dxfId="480" priority="456"/>
    <cfRule type="duplicateValues" dxfId="479" priority="455"/>
  </conditionalFormatting>
  <conditionalFormatting sqref="B2592">
    <cfRule type="duplicateValues" dxfId="478" priority="453"/>
    <cfRule type="duplicateValues" dxfId="477" priority="454"/>
  </conditionalFormatting>
  <conditionalFormatting sqref="B2593">
    <cfRule type="duplicateValues" dxfId="476" priority="452"/>
    <cfRule type="duplicateValues" dxfId="475" priority="451"/>
  </conditionalFormatting>
  <conditionalFormatting sqref="B2594">
    <cfRule type="duplicateValues" dxfId="474" priority="450"/>
    <cfRule type="duplicateValues" dxfId="473" priority="449"/>
  </conditionalFormatting>
  <conditionalFormatting sqref="B2595">
    <cfRule type="duplicateValues" dxfId="472" priority="447"/>
    <cfRule type="duplicateValues" dxfId="471" priority="448"/>
  </conditionalFormatting>
  <conditionalFormatting sqref="B2596">
    <cfRule type="duplicateValues" dxfId="470" priority="446"/>
    <cfRule type="duplicateValues" dxfId="469" priority="445"/>
  </conditionalFormatting>
  <conditionalFormatting sqref="B2597:B2600">
    <cfRule type="duplicateValues" dxfId="468" priority="444"/>
    <cfRule type="duplicateValues" dxfId="467" priority="443"/>
  </conditionalFormatting>
  <conditionalFormatting sqref="B2601">
    <cfRule type="duplicateValues" dxfId="466" priority="419"/>
    <cfRule type="duplicateValues" dxfId="465" priority="420"/>
  </conditionalFormatting>
  <conditionalFormatting sqref="B2602">
    <cfRule type="duplicateValues" dxfId="464" priority="417"/>
    <cfRule type="duplicateValues" dxfId="463" priority="418"/>
  </conditionalFormatting>
  <conditionalFormatting sqref="B2603">
    <cfRule type="duplicateValues" dxfId="462" priority="415"/>
    <cfRule type="duplicateValues" dxfId="461" priority="416"/>
  </conditionalFormatting>
  <conditionalFormatting sqref="B2604">
    <cfRule type="duplicateValues" dxfId="460" priority="413"/>
    <cfRule type="duplicateValues" dxfId="459" priority="414"/>
  </conditionalFormatting>
  <conditionalFormatting sqref="B2605">
    <cfRule type="duplicateValues" dxfId="458" priority="411"/>
    <cfRule type="duplicateValues" dxfId="457" priority="412"/>
  </conditionalFormatting>
  <conditionalFormatting sqref="B2606">
    <cfRule type="duplicateValues" dxfId="456" priority="410"/>
    <cfRule type="duplicateValues" dxfId="455" priority="409"/>
  </conditionalFormatting>
  <conditionalFormatting sqref="B2607">
    <cfRule type="duplicateValues" dxfId="454" priority="408"/>
    <cfRule type="duplicateValues" dxfId="453" priority="407"/>
  </conditionalFormatting>
  <conditionalFormatting sqref="B2608 B2611">
    <cfRule type="duplicateValues" dxfId="452" priority="406"/>
  </conditionalFormatting>
  <conditionalFormatting sqref="B2608">
    <cfRule type="duplicateValues" dxfId="451" priority="405"/>
  </conditionalFormatting>
  <conditionalFormatting sqref="B2609:B2610">
    <cfRule type="duplicateValues" dxfId="450" priority="404"/>
    <cfRule type="duplicateValues" dxfId="449" priority="403"/>
  </conditionalFormatting>
  <conditionalFormatting sqref="B2612">
    <cfRule type="duplicateValues" dxfId="448" priority="402"/>
    <cfRule type="duplicateValues" dxfId="447" priority="401"/>
  </conditionalFormatting>
  <conditionalFormatting sqref="B2625">
    <cfRule type="duplicateValues" dxfId="446" priority="442"/>
    <cfRule type="duplicateValues" dxfId="445" priority="441"/>
  </conditionalFormatting>
  <conditionalFormatting sqref="B2626">
    <cfRule type="duplicateValues" dxfId="444" priority="439"/>
    <cfRule type="duplicateValues" dxfId="443" priority="440"/>
  </conditionalFormatting>
  <conditionalFormatting sqref="B2627">
    <cfRule type="duplicateValues" dxfId="442" priority="437"/>
    <cfRule type="duplicateValues" dxfId="441" priority="438"/>
  </conditionalFormatting>
  <conditionalFormatting sqref="B2628">
    <cfRule type="duplicateValues" dxfId="440" priority="435"/>
    <cfRule type="duplicateValues" dxfId="439" priority="436"/>
  </conditionalFormatting>
  <conditionalFormatting sqref="B2629">
    <cfRule type="duplicateValues" dxfId="438" priority="433"/>
    <cfRule type="duplicateValues" dxfId="437" priority="434"/>
  </conditionalFormatting>
  <conditionalFormatting sqref="B2630">
    <cfRule type="duplicateValues" dxfId="436" priority="431"/>
    <cfRule type="duplicateValues" dxfId="435" priority="432"/>
  </conditionalFormatting>
  <conditionalFormatting sqref="B2631 B2634">
    <cfRule type="duplicateValues" dxfId="434" priority="426"/>
  </conditionalFormatting>
  <conditionalFormatting sqref="B2631">
    <cfRule type="duplicateValues" dxfId="433" priority="425"/>
  </conditionalFormatting>
  <conditionalFormatting sqref="B2632:B2633">
    <cfRule type="duplicateValues" dxfId="432" priority="424"/>
    <cfRule type="duplicateValues" dxfId="431" priority="423"/>
  </conditionalFormatting>
  <conditionalFormatting sqref="B2635">
    <cfRule type="duplicateValues" dxfId="430" priority="422"/>
    <cfRule type="duplicateValues" dxfId="429" priority="421"/>
  </conditionalFormatting>
  <conditionalFormatting sqref="B2645:B2646">
    <cfRule type="duplicateValues" dxfId="428" priority="429"/>
    <cfRule type="duplicateValues" dxfId="427" priority="430"/>
  </conditionalFormatting>
  <conditionalFormatting sqref="B2648">
    <cfRule type="duplicateValues" dxfId="426" priority="427"/>
    <cfRule type="duplicateValues" dxfId="425" priority="428"/>
  </conditionalFormatting>
  <conditionalFormatting sqref="B2788">
    <cfRule type="duplicateValues" dxfId="424" priority="400"/>
    <cfRule type="duplicateValues" dxfId="423" priority="399"/>
  </conditionalFormatting>
  <conditionalFormatting sqref="B3112">
    <cfRule type="duplicateValues" dxfId="422" priority="398"/>
    <cfRule type="duplicateValues" dxfId="421" priority="397"/>
  </conditionalFormatting>
  <conditionalFormatting sqref="B3115">
    <cfRule type="duplicateValues" dxfId="420" priority="395"/>
    <cfRule type="duplicateValues" dxfId="419" priority="396"/>
  </conditionalFormatting>
  <conditionalFormatting sqref="B3120">
    <cfRule type="duplicateValues" dxfId="418" priority="394"/>
    <cfRule type="duplicateValues" dxfId="417" priority="393"/>
  </conditionalFormatting>
  <conditionalFormatting sqref="B3185">
    <cfRule type="duplicateValues" dxfId="416" priority="392"/>
    <cfRule type="duplicateValues" dxfId="415" priority="391"/>
  </conditionalFormatting>
  <conditionalFormatting sqref="B3186:B3188">
    <cfRule type="duplicateValues" dxfId="414" priority="389"/>
    <cfRule type="duplicateValues" dxfId="413" priority="390"/>
  </conditionalFormatting>
  <conditionalFormatting sqref="B3323:B3324">
    <cfRule type="duplicateValues" dxfId="412" priority="388"/>
    <cfRule type="duplicateValues" dxfId="411" priority="387"/>
  </conditionalFormatting>
  <conditionalFormatting sqref="B3325">
    <cfRule type="duplicateValues" dxfId="410" priority="385"/>
    <cfRule type="duplicateValues" dxfId="409" priority="386"/>
  </conditionalFormatting>
  <conditionalFormatting sqref="B3363">
    <cfRule type="duplicateValues" dxfId="408" priority="384"/>
    <cfRule type="duplicateValues" dxfId="407" priority="383"/>
  </conditionalFormatting>
  <conditionalFormatting sqref="B3367">
    <cfRule type="duplicateValues" dxfId="406" priority="381"/>
    <cfRule type="duplicateValues" dxfId="405" priority="382"/>
  </conditionalFormatting>
  <conditionalFormatting sqref="B3387">
    <cfRule type="duplicateValues" dxfId="404" priority="380"/>
    <cfRule type="duplicateValues" dxfId="403" priority="379"/>
  </conditionalFormatting>
  <conditionalFormatting sqref="B3406">
    <cfRule type="duplicateValues" dxfId="402" priority="377"/>
    <cfRule type="duplicateValues" dxfId="401" priority="378"/>
  </conditionalFormatting>
  <conditionalFormatting sqref="B3431">
    <cfRule type="duplicateValues" dxfId="400" priority="376"/>
    <cfRule type="duplicateValues" dxfId="399" priority="375"/>
  </conditionalFormatting>
  <conditionalFormatting sqref="B3439:B3440">
    <cfRule type="duplicateValues" dxfId="398" priority="374"/>
    <cfRule type="duplicateValues" dxfId="397" priority="373"/>
  </conditionalFormatting>
  <conditionalFormatting sqref="B3467">
    <cfRule type="duplicateValues" dxfId="396" priority="372"/>
    <cfRule type="duplicateValues" dxfId="395" priority="371"/>
  </conditionalFormatting>
  <conditionalFormatting sqref="B3470">
    <cfRule type="duplicateValues" dxfId="394" priority="369"/>
    <cfRule type="duplicateValues" dxfId="393" priority="370"/>
  </conditionalFormatting>
  <conditionalFormatting sqref="B3631">
    <cfRule type="duplicateValues" dxfId="392" priority="368"/>
    <cfRule type="duplicateValues" dxfId="391" priority="367"/>
  </conditionalFormatting>
  <conditionalFormatting sqref="B3635:B3642">
    <cfRule type="duplicateValues" dxfId="390" priority="363"/>
    <cfRule type="duplicateValues" dxfId="389" priority="364"/>
  </conditionalFormatting>
  <conditionalFormatting sqref="B4067">
    <cfRule type="duplicateValues" dxfId="388" priority="359"/>
    <cfRule type="duplicateValues" dxfId="387" priority="358"/>
    <cfRule type="duplicateValues" dxfId="386" priority="357"/>
    <cfRule type="duplicateValues" dxfId="385" priority="356"/>
    <cfRule type="duplicateValues" dxfId="384" priority="355"/>
  </conditionalFormatting>
  <conditionalFormatting sqref="B4261">
    <cfRule type="duplicateValues" dxfId="383" priority="354"/>
    <cfRule type="duplicateValues" dxfId="382" priority="353"/>
    <cfRule type="duplicateValues" dxfId="381" priority="352"/>
    <cfRule type="duplicateValues" dxfId="380" priority="351"/>
    <cfRule type="duplicateValues" dxfId="379" priority="350"/>
  </conditionalFormatting>
  <conditionalFormatting sqref="B4264">
    <cfRule type="duplicateValues" dxfId="378" priority="349"/>
    <cfRule type="duplicateValues" dxfId="377" priority="348"/>
    <cfRule type="duplicateValues" dxfId="376" priority="347"/>
    <cfRule type="duplicateValues" dxfId="375" priority="346"/>
    <cfRule type="duplicateValues" dxfId="374" priority="345"/>
  </conditionalFormatting>
  <conditionalFormatting sqref="B4270">
    <cfRule type="duplicateValues" dxfId="373" priority="344"/>
    <cfRule type="duplicateValues" dxfId="372" priority="343"/>
    <cfRule type="duplicateValues" dxfId="371" priority="342"/>
    <cfRule type="duplicateValues" dxfId="370" priority="341"/>
    <cfRule type="duplicateValues" dxfId="369" priority="340"/>
  </conditionalFormatting>
  <conditionalFormatting sqref="B4271">
    <cfRule type="duplicateValues" dxfId="368" priority="338"/>
    <cfRule type="duplicateValues" dxfId="367" priority="337"/>
    <cfRule type="duplicateValues" dxfId="366" priority="336"/>
    <cfRule type="duplicateValues" dxfId="365" priority="335"/>
    <cfRule type="duplicateValues" dxfId="364" priority="339"/>
  </conditionalFormatting>
  <conditionalFormatting sqref="B4272:B4273">
    <cfRule type="duplicateValues" dxfId="363" priority="333"/>
    <cfRule type="duplicateValues" dxfId="362" priority="332"/>
    <cfRule type="duplicateValues" dxfId="361" priority="331"/>
    <cfRule type="duplicateValues" dxfId="360" priority="330"/>
    <cfRule type="duplicateValues" dxfId="359" priority="334"/>
  </conditionalFormatting>
  <conditionalFormatting sqref="B4330">
    <cfRule type="duplicateValues" dxfId="358" priority="329"/>
    <cfRule type="duplicateValues" dxfId="357" priority="328"/>
    <cfRule type="duplicateValues" dxfId="356" priority="327"/>
    <cfRule type="duplicateValues" dxfId="355" priority="326"/>
    <cfRule type="duplicateValues" dxfId="354" priority="325"/>
  </conditionalFormatting>
  <conditionalFormatting sqref="B4417">
    <cfRule type="duplicateValues" dxfId="353" priority="324"/>
    <cfRule type="duplicateValues" dxfId="352" priority="323"/>
    <cfRule type="duplicateValues" dxfId="351" priority="322"/>
    <cfRule type="duplicateValues" dxfId="350" priority="320"/>
    <cfRule type="duplicateValues" dxfId="349" priority="321"/>
  </conditionalFormatting>
  <conditionalFormatting sqref="B4420:B4422">
    <cfRule type="duplicateValues" dxfId="348" priority="319"/>
    <cfRule type="duplicateValues" dxfId="347" priority="318"/>
    <cfRule type="duplicateValues" dxfId="346" priority="317"/>
    <cfRule type="duplicateValues" dxfId="345" priority="316"/>
    <cfRule type="duplicateValues" dxfId="344" priority="315"/>
  </conditionalFormatting>
  <conditionalFormatting sqref="B4431">
    <cfRule type="duplicateValues" dxfId="343" priority="314"/>
    <cfRule type="duplicateValues" dxfId="342" priority="313"/>
    <cfRule type="duplicateValues" dxfId="341" priority="312"/>
    <cfRule type="duplicateValues" dxfId="340" priority="311"/>
    <cfRule type="duplicateValues" dxfId="339" priority="310"/>
  </conditionalFormatting>
  <conditionalFormatting sqref="B4433:B4434">
    <cfRule type="duplicateValues" dxfId="338" priority="309"/>
    <cfRule type="duplicateValues" dxfId="337" priority="308"/>
    <cfRule type="duplicateValues" dxfId="336" priority="306"/>
    <cfRule type="duplicateValues" dxfId="335" priority="305"/>
    <cfRule type="duplicateValues" dxfId="334" priority="307"/>
  </conditionalFormatting>
  <conditionalFormatting sqref="B4444:B4446">
    <cfRule type="duplicateValues" dxfId="333" priority="303"/>
    <cfRule type="duplicateValues" dxfId="332" priority="302"/>
    <cfRule type="duplicateValues" dxfId="331" priority="301"/>
    <cfRule type="duplicateValues" dxfId="330" priority="300"/>
    <cfRule type="duplicateValues" dxfId="329" priority="304"/>
  </conditionalFormatting>
  <conditionalFormatting sqref="B4456:B4457">
    <cfRule type="duplicateValues" dxfId="328" priority="299"/>
    <cfRule type="duplicateValues" dxfId="327" priority="298"/>
    <cfRule type="duplicateValues" dxfId="326" priority="297"/>
    <cfRule type="duplicateValues" dxfId="325" priority="296"/>
    <cfRule type="duplicateValues" dxfId="324" priority="295"/>
  </conditionalFormatting>
  <conditionalFormatting sqref="B4461:B4462">
    <cfRule type="duplicateValues" dxfId="323" priority="294"/>
    <cfRule type="duplicateValues" dxfId="322" priority="293"/>
    <cfRule type="duplicateValues" dxfId="321" priority="292"/>
    <cfRule type="duplicateValues" dxfId="320" priority="291"/>
    <cfRule type="duplicateValues" dxfId="319" priority="290"/>
  </conditionalFormatting>
  <conditionalFormatting sqref="B4583">
    <cfRule type="duplicateValues" dxfId="318" priority="289"/>
    <cfRule type="duplicateValues" dxfId="317" priority="288"/>
    <cfRule type="duplicateValues" dxfId="316" priority="287"/>
    <cfRule type="duplicateValues" dxfId="315" priority="286"/>
    <cfRule type="duplicateValues" dxfId="314" priority="285"/>
  </conditionalFormatting>
  <conditionalFormatting sqref="B4584:B4585">
    <cfRule type="duplicateValues" dxfId="313" priority="284"/>
    <cfRule type="duplicateValues" dxfId="312" priority="283"/>
    <cfRule type="duplicateValues" dxfId="311" priority="282"/>
    <cfRule type="duplicateValues" dxfId="310" priority="281"/>
    <cfRule type="duplicateValues" dxfId="309" priority="280"/>
  </conditionalFormatting>
  <conditionalFormatting sqref="B4586:B4589">
    <cfRule type="duplicateValues" dxfId="308" priority="279"/>
    <cfRule type="duplicateValues" dxfId="307" priority="277"/>
    <cfRule type="duplicateValues" dxfId="306" priority="276"/>
    <cfRule type="duplicateValues" dxfId="305" priority="275"/>
    <cfRule type="duplicateValues" dxfId="304" priority="278"/>
  </conditionalFormatting>
  <conditionalFormatting sqref="B4677:B4710">
    <cfRule type="duplicateValues" dxfId="303" priority="273"/>
    <cfRule type="duplicateValues" dxfId="302" priority="272"/>
    <cfRule type="duplicateValues" dxfId="301" priority="271"/>
    <cfRule type="duplicateValues" dxfId="300" priority="270"/>
    <cfRule type="duplicateValues" dxfId="299" priority="274"/>
  </conditionalFormatting>
  <conditionalFormatting sqref="B4843">
    <cfRule type="duplicateValues" dxfId="298" priority="269"/>
    <cfRule type="duplicateValues" dxfId="297" priority="268"/>
    <cfRule type="duplicateValues" dxfId="296" priority="267"/>
    <cfRule type="duplicateValues" dxfId="295" priority="266"/>
    <cfRule type="duplicateValues" dxfId="294" priority="265"/>
  </conditionalFormatting>
  <conditionalFormatting sqref="B4847">
    <cfRule type="duplicateValues" dxfId="293" priority="264"/>
    <cfRule type="duplicateValues" dxfId="292" priority="262"/>
    <cfRule type="duplicateValues" dxfId="291" priority="261"/>
    <cfRule type="duplicateValues" dxfId="290" priority="260"/>
    <cfRule type="duplicateValues" dxfId="289" priority="263"/>
  </conditionalFormatting>
  <conditionalFormatting sqref="B4865">
    <cfRule type="duplicateValues" dxfId="288" priority="259"/>
    <cfRule type="duplicateValues" dxfId="287" priority="258"/>
    <cfRule type="duplicateValues" dxfId="286" priority="257"/>
    <cfRule type="duplicateValues" dxfId="285" priority="256"/>
    <cfRule type="duplicateValues" dxfId="284" priority="255"/>
  </conditionalFormatting>
  <conditionalFormatting sqref="B4961">
    <cfRule type="duplicateValues" dxfId="283" priority="254"/>
    <cfRule type="duplicateValues" dxfId="282" priority="253"/>
    <cfRule type="duplicateValues" dxfId="281" priority="252"/>
    <cfRule type="duplicateValues" dxfId="280" priority="251"/>
    <cfRule type="duplicateValues" dxfId="279" priority="250"/>
  </conditionalFormatting>
  <conditionalFormatting sqref="B4962">
    <cfRule type="duplicateValues" dxfId="278" priority="246"/>
    <cfRule type="duplicateValues" dxfId="277" priority="247"/>
    <cfRule type="duplicateValues" dxfId="276" priority="248"/>
    <cfRule type="duplicateValues" dxfId="275" priority="249"/>
    <cfRule type="duplicateValues" dxfId="274" priority="245"/>
  </conditionalFormatting>
  <conditionalFormatting sqref="B4972:B4973">
    <cfRule type="duplicateValues" dxfId="273" priority="243"/>
    <cfRule type="duplicateValues" dxfId="272" priority="242"/>
    <cfRule type="duplicateValues" dxfId="271" priority="241"/>
    <cfRule type="duplicateValues" dxfId="270" priority="240"/>
    <cfRule type="duplicateValues" dxfId="269" priority="244"/>
  </conditionalFormatting>
  <conditionalFormatting sqref="B4974:B4979">
    <cfRule type="duplicateValues" dxfId="268" priority="239"/>
    <cfRule type="duplicateValues" dxfId="267" priority="238"/>
    <cfRule type="duplicateValues" dxfId="266" priority="237"/>
    <cfRule type="duplicateValues" dxfId="265" priority="236"/>
    <cfRule type="duplicateValues" dxfId="264" priority="235"/>
  </conditionalFormatting>
  <conditionalFormatting sqref="B4980:B4981">
    <cfRule type="duplicateValues" dxfId="263" priority="234"/>
    <cfRule type="duplicateValues" dxfId="262" priority="233"/>
    <cfRule type="duplicateValues" dxfId="261" priority="232"/>
    <cfRule type="duplicateValues" dxfId="260" priority="231"/>
    <cfRule type="duplicateValues" dxfId="259" priority="230"/>
  </conditionalFormatting>
  <conditionalFormatting sqref="B4982:B4987">
    <cfRule type="duplicateValues" dxfId="258" priority="229"/>
    <cfRule type="duplicateValues" dxfId="257" priority="228"/>
    <cfRule type="duplicateValues" dxfId="256" priority="227"/>
    <cfRule type="duplicateValues" dxfId="255" priority="226"/>
    <cfRule type="duplicateValues" dxfId="254" priority="225"/>
  </conditionalFormatting>
  <conditionalFormatting sqref="B4988">
    <cfRule type="duplicateValues" dxfId="253" priority="224"/>
    <cfRule type="duplicateValues" dxfId="252" priority="223"/>
    <cfRule type="duplicateValues" dxfId="251" priority="222"/>
    <cfRule type="duplicateValues" dxfId="250" priority="221"/>
    <cfRule type="duplicateValues" dxfId="249" priority="220"/>
  </conditionalFormatting>
  <conditionalFormatting sqref="B5018">
    <cfRule type="duplicateValues" dxfId="248" priority="218"/>
    <cfRule type="duplicateValues" dxfId="247" priority="217"/>
    <cfRule type="duplicateValues" dxfId="246" priority="216"/>
    <cfRule type="duplicateValues" dxfId="245" priority="215"/>
    <cfRule type="duplicateValues" dxfId="244" priority="219"/>
  </conditionalFormatting>
  <conditionalFormatting sqref="B5019">
    <cfRule type="duplicateValues" dxfId="243" priority="213"/>
    <cfRule type="duplicateValues" dxfId="242" priority="212"/>
    <cfRule type="duplicateValues" dxfId="241" priority="211"/>
    <cfRule type="duplicateValues" dxfId="240" priority="210"/>
    <cfRule type="duplicateValues" dxfId="239" priority="214"/>
  </conditionalFormatting>
  <conditionalFormatting sqref="B5020">
    <cfRule type="duplicateValues" dxfId="238" priority="209"/>
    <cfRule type="duplicateValues" dxfId="237" priority="208"/>
    <cfRule type="duplicateValues" dxfId="236" priority="207"/>
    <cfRule type="duplicateValues" dxfId="235" priority="206"/>
    <cfRule type="duplicateValues" dxfId="234" priority="205"/>
  </conditionalFormatting>
  <conditionalFormatting sqref="B5025">
    <cfRule type="duplicateValues" dxfId="233" priority="204"/>
    <cfRule type="duplicateValues" dxfId="232" priority="203"/>
    <cfRule type="duplicateValues" dxfId="231" priority="202"/>
    <cfRule type="duplicateValues" dxfId="230" priority="200"/>
    <cfRule type="duplicateValues" dxfId="229" priority="201"/>
  </conditionalFormatting>
  <conditionalFormatting sqref="B5041">
    <cfRule type="duplicateValues" dxfId="228" priority="199"/>
    <cfRule type="duplicateValues" dxfId="227" priority="198"/>
    <cfRule type="duplicateValues" dxfId="226" priority="197"/>
    <cfRule type="duplicateValues" dxfId="225" priority="196"/>
    <cfRule type="duplicateValues" dxfId="224" priority="195"/>
  </conditionalFormatting>
  <conditionalFormatting sqref="B5042">
    <cfRule type="duplicateValues" dxfId="223" priority="194"/>
    <cfRule type="duplicateValues" dxfId="222" priority="193"/>
    <cfRule type="duplicateValues" dxfId="221" priority="192"/>
    <cfRule type="duplicateValues" dxfId="220" priority="191"/>
    <cfRule type="duplicateValues" dxfId="219" priority="190"/>
  </conditionalFormatting>
  <conditionalFormatting sqref="B5057">
    <cfRule type="duplicateValues" dxfId="218" priority="188"/>
    <cfRule type="duplicateValues" dxfId="217" priority="187"/>
    <cfRule type="duplicateValues" dxfId="216" priority="186"/>
    <cfRule type="duplicateValues" dxfId="215" priority="185"/>
    <cfRule type="duplicateValues" dxfId="214" priority="189"/>
  </conditionalFormatting>
  <conditionalFormatting sqref="B5064">
    <cfRule type="duplicateValues" dxfId="213" priority="183"/>
    <cfRule type="duplicateValues" dxfId="212" priority="182"/>
    <cfRule type="duplicateValues" dxfId="211" priority="181"/>
    <cfRule type="duplicateValues" dxfId="210" priority="180"/>
    <cfRule type="duplicateValues" dxfId="209" priority="184"/>
  </conditionalFormatting>
  <conditionalFormatting sqref="B5065">
    <cfRule type="duplicateValues" dxfId="208" priority="179"/>
    <cfRule type="duplicateValues" dxfId="207" priority="178"/>
    <cfRule type="duplicateValues" dxfId="206" priority="177"/>
    <cfRule type="duplicateValues" dxfId="205" priority="176"/>
    <cfRule type="duplicateValues" dxfId="204" priority="175"/>
  </conditionalFormatting>
  <conditionalFormatting sqref="B5066">
    <cfRule type="duplicateValues" dxfId="203" priority="174"/>
    <cfRule type="duplicateValues" dxfId="202" priority="173"/>
    <cfRule type="duplicateValues" dxfId="201" priority="172"/>
    <cfRule type="duplicateValues" dxfId="200" priority="171"/>
    <cfRule type="duplicateValues" dxfId="199" priority="170"/>
  </conditionalFormatting>
  <conditionalFormatting sqref="B5075">
    <cfRule type="duplicateValues" dxfId="198" priority="140"/>
    <cfRule type="duplicateValues" dxfId="197" priority="141"/>
    <cfRule type="duplicateValues" dxfId="196" priority="142"/>
    <cfRule type="duplicateValues" dxfId="195" priority="143"/>
    <cfRule type="duplicateValues" dxfId="194" priority="144"/>
  </conditionalFormatting>
  <conditionalFormatting sqref="B5076:B5077">
    <cfRule type="duplicateValues" dxfId="193" priority="137"/>
    <cfRule type="duplicateValues" dxfId="192" priority="136"/>
    <cfRule type="duplicateValues" dxfId="191" priority="135"/>
    <cfRule type="duplicateValues" dxfId="190" priority="139"/>
    <cfRule type="duplicateValues" dxfId="189" priority="138"/>
  </conditionalFormatting>
  <conditionalFormatting sqref="B5098">
    <cfRule type="duplicateValues" dxfId="188" priority="134"/>
    <cfRule type="duplicateValues" dxfId="187" priority="133"/>
    <cfRule type="duplicateValues" dxfId="186" priority="132"/>
    <cfRule type="duplicateValues" dxfId="185" priority="131"/>
    <cfRule type="duplicateValues" dxfId="184" priority="130"/>
  </conditionalFormatting>
  <conditionalFormatting sqref="B5099">
    <cfRule type="duplicateValues" dxfId="183" priority="169"/>
    <cfRule type="duplicateValues" dxfId="182" priority="168"/>
    <cfRule type="duplicateValues" dxfId="181" priority="167"/>
    <cfRule type="duplicateValues" dxfId="180" priority="166"/>
    <cfRule type="duplicateValues" dxfId="179" priority="165"/>
  </conditionalFormatting>
  <conditionalFormatting sqref="B5100">
    <cfRule type="duplicateValues" dxfId="178" priority="164"/>
    <cfRule type="duplicateValues" dxfId="177" priority="163"/>
    <cfRule type="duplicateValues" dxfId="176" priority="160"/>
    <cfRule type="duplicateValues" dxfId="175" priority="161"/>
    <cfRule type="duplicateValues" dxfId="174" priority="162"/>
  </conditionalFormatting>
  <conditionalFormatting sqref="B5101">
    <cfRule type="duplicateValues" dxfId="173" priority="158"/>
    <cfRule type="duplicateValues" dxfId="172" priority="159"/>
    <cfRule type="duplicateValues" dxfId="171" priority="155"/>
    <cfRule type="duplicateValues" dxfId="170" priority="156"/>
    <cfRule type="duplicateValues" dxfId="169" priority="157"/>
  </conditionalFormatting>
  <conditionalFormatting sqref="B5102:B5104">
    <cfRule type="duplicateValues" dxfId="168" priority="151"/>
    <cfRule type="duplicateValues" dxfId="167" priority="150"/>
    <cfRule type="duplicateValues" dxfId="166" priority="154"/>
    <cfRule type="duplicateValues" dxfId="165" priority="153"/>
    <cfRule type="duplicateValues" dxfId="164" priority="152"/>
  </conditionalFormatting>
  <conditionalFormatting sqref="B5105:B5107">
    <cfRule type="duplicateValues" dxfId="163" priority="149"/>
    <cfRule type="duplicateValues" dxfId="162" priority="148"/>
    <cfRule type="duplicateValues" dxfId="161" priority="147"/>
    <cfRule type="duplicateValues" dxfId="160" priority="146"/>
    <cfRule type="duplicateValues" dxfId="159" priority="145"/>
  </conditionalFormatting>
  <conditionalFormatting sqref="B5108">
    <cfRule type="duplicateValues" dxfId="158" priority="128"/>
    <cfRule type="duplicateValues" dxfId="157" priority="127"/>
    <cfRule type="duplicateValues" dxfId="156" priority="126"/>
    <cfRule type="duplicateValues" dxfId="155" priority="125"/>
    <cfRule type="duplicateValues" dxfId="154" priority="129"/>
  </conditionalFormatting>
  <conditionalFormatting sqref="B5110">
    <cfRule type="duplicateValues" dxfId="153" priority="123"/>
    <cfRule type="duplicateValues" dxfId="152" priority="122"/>
    <cfRule type="duplicateValues" dxfId="151" priority="121"/>
    <cfRule type="duplicateValues" dxfId="150" priority="120"/>
    <cfRule type="duplicateValues" dxfId="149" priority="124"/>
  </conditionalFormatting>
  <conditionalFormatting sqref="B5111">
    <cfRule type="duplicateValues" dxfId="148" priority="119"/>
    <cfRule type="duplicateValues" dxfId="147" priority="118"/>
    <cfRule type="duplicateValues" dxfId="146" priority="117"/>
    <cfRule type="duplicateValues" dxfId="145" priority="116"/>
    <cfRule type="duplicateValues" dxfId="144" priority="115"/>
  </conditionalFormatting>
  <conditionalFormatting sqref="B5112">
    <cfRule type="duplicateValues" dxfId="143" priority="114"/>
    <cfRule type="duplicateValues" dxfId="142" priority="113"/>
    <cfRule type="duplicateValues" dxfId="141" priority="112"/>
    <cfRule type="duplicateValues" dxfId="140" priority="111"/>
    <cfRule type="duplicateValues" dxfId="139" priority="110"/>
  </conditionalFormatting>
  <conditionalFormatting sqref="B5135:B5136">
    <cfRule type="duplicateValues" dxfId="138" priority="109"/>
    <cfRule type="duplicateValues" dxfId="137" priority="108"/>
    <cfRule type="duplicateValues" dxfId="136" priority="107"/>
    <cfRule type="duplicateValues" dxfId="135" priority="106"/>
    <cfRule type="duplicateValues" dxfId="134" priority="105"/>
  </conditionalFormatting>
  <conditionalFormatting sqref="B5138">
    <cfRule type="duplicateValues" dxfId="133" priority="104"/>
    <cfRule type="duplicateValues" dxfId="132" priority="103"/>
    <cfRule type="duplicateValues" dxfId="131" priority="102"/>
    <cfRule type="duplicateValues" dxfId="130" priority="101"/>
    <cfRule type="duplicateValues" dxfId="129" priority="100"/>
  </conditionalFormatting>
  <conditionalFormatting sqref="B5169">
    <cfRule type="duplicateValues" dxfId="128" priority="98"/>
    <cfRule type="duplicateValues" dxfId="127" priority="97"/>
    <cfRule type="duplicateValues" dxfId="126" priority="96"/>
    <cfRule type="duplicateValues" dxfId="125" priority="95"/>
    <cfRule type="duplicateValues" dxfId="124" priority="99"/>
  </conditionalFormatting>
  <conditionalFormatting sqref="B5279">
    <cfRule type="duplicateValues" dxfId="123" priority="88"/>
    <cfRule type="duplicateValues" dxfId="122" priority="87"/>
    <cfRule type="duplicateValues" dxfId="121" priority="86"/>
    <cfRule type="duplicateValues" dxfId="120" priority="85"/>
    <cfRule type="duplicateValues" dxfId="119" priority="89"/>
  </conditionalFormatting>
  <conditionalFormatting sqref="B5286:B5287">
    <cfRule type="duplicateValues" dxfId="118" priority="79"/>
    <cfRule type="duplicateValues" dxfId="117" priority="78"/>
    <cfRule type="duplicateValues" dxfId="116" priority="77"/>
    <cfRule type="duplicateValues" dxfId="115" priority="76"/>
    <cfRule type="duplicateValues" dxfId="114" priority="75"/>
  </conditionalFormatting>
  <conditionalFormatting sqref="B5329">
    <cfRule type="duplicateValues" dxfId="113" priority="74"/>
    <cfRule type="duplicateValues" dxfId="112" priority="73"/>
    <cfRule type="duplicateValues" dxfId="111" priority="72"/>
    <cfRule type="duplicateValues" dxfId="110" priority="70"/>
    <cfRule type="duplicateValues" dxfId="109" priority="71"/>
  </conditionalFormatting>
  <conditionalFormatting sqref="B5330">
    <cfRule type="duplicateValues" dxfId="108" priority="69"/>
    <cfRule type="duplicateValues" dxfId="107" priority="68"/>
    <cfRule type="duplicateValues" dxfId="106" priority="67"/>
    <cfRule type="duplicateValues" dxfId="105" priority="66"/>
    <cfRule type="duplicateValues" dxfId="104" priority="65"/>
  </conditionalFormatting>
  <conditionalFormatting sqref="B5419">
    <cfRule type="duplicateValues" dxfId="103" priority="64"/>
    <cfRule type="duplicateValues" dxfId="102" priority="63"/>
    <cfRule type="duplicateValues" dxfId="101" priority="62"/>
    <cfRule type="duplicateValues" dxfId="100" priority="60"/>
    <cfRule type="duplicateValues" dxfId="99" priority="61"/>
  </conditionalFormatting>
  <conditionalFormatting sqref="B5771:B5789">
    <cfRule type="duplicateValues" dxfId="98" priority="54"/>
    <cfRule type="duplicateValues" dxfId="97" priority="53"/>
    <cfRule type="duplicateValues" dxfId="96" priority="52"/>
    <cfRule type="duplicateValues" dxfId="95" priority="51"/>
    <cfRule type="duplicateValues" dxfId="94" priority="55"/>
  </conditionalFormatting>
  <conditionalFormatting sqref="B5796:B5833">
    <cfRule type="duplicateValues" dxfId="93" priority="49"/>
    <cfRule type="duplicateValues" dxfId="92" priority="48"/>
    <cfRule type="duplicateValues" dxfId="91" priority="47"/>
    <cfRule type="duplicateValues" dxfId="90" priority="46"/>
    <cfRule type="duplicateValues" dxfId="89" priority="50"/>
  </conditionalFormatting>
  <conditionalFormatting sqref="B5864:B5878">
    <cfRule type="duplicateValues" dxfId="88" priority="45"/>
    <cfRule type="duplicateValues" dxfId="87" priority="44"/>
    <cfRule type="duplicateValues" dxfId="86" priority="43"/>
    <cfRule type="duplicateValues" dxfId="85" priority="42"/>
    <cfRule type="duplicateValues" dxfId="84" priority="41"/>
  </conditionalFormatting>
  <conditionalFormatting sqref="B5891:B5893">
    <cfRule type="duplicateValues" dxfId="83" priority="40"/>
    <cfRule type="duplicateValues" dxfId="82" priority="39"/>
    <cfRule type="duplicateValues" dxfId="81" priority="38"/>
    <cfRule type="duplicateValues" dxfId="80" priority="37"/>
    <cfRule type="duplicateValues" dxfId="79" priority="36"/>
  </conditionalFormatting>
  <conditionalFormatting sqref="B5895:B5907 B5909:B5934">
    <cfRule type="duplicateValues" dxfId="78" priority="35"/>
    <cfRule type="duplicateValues" dxfId="77" priority="34"/>
    <cfRule type="duplicateValues" dxfId="76" priority="33"/>
    <cfRule type="duplicateValues" dxfId="75" priority="32"/>
    <cfRule type="duplicateValues" dxfId="74" priority="31"/>
  </conditionalFormatting>
  <conditionalFormatting sqref="B5908">
    <cfRule type="duplicateValues" dxfId="73" priority="30"/>
    <cfRule type="duplicateValues" dxfId="72" priority="29"/>
    <cfRule type="duplicateValues" dxfId="71" priority="28"/>
    <cfRule type="duplicateValues" dxfId="70" priority="27"/>
    <cfRule type="duplicateValues" dxfId="69" priority="26"/>
  </conditionalFormatting>
  <conditionalFormatting sqref="B6023:B6026">
    <cfRule type="duplicateValues" dxfId="68" priority="24"/>
    <cfRule type="duplicateValues" dxfId="67" priority="23"/>
    <cfRule type="duplicateValues" dxfId="66" priority="22"/>
    <cfRule type="duplicateValues" dxfId="65" priority="21"/>
    <cfRule type="duplicateValues" dxfId="64" priority="25"/>
  </conditionalFormatting>
  <conditionalFormatting sqref="B6027:B6069">
    <cfRule type="duplicateValues" dxfId="63" priority="19"/>
    <cfRule type="duplicateValues" dxfId="62" priority="18"/>
    <cfRule type="duplicateValues" dxfId="61" priority="17"/>
    <cfRule type="duplicateValues" dxfId="60" priority="16"/>
    <cfRule type="duplicateValues" dxfId="59" priority="20"/>
  </conditionalFormatting>
  <conditionalFormatting sqref="B6070:B6080">
    <cfRule type="duplicateValues" dxfId="58" priority="15"/>
    <cfRule type="duplicateValues" dxfId="57" priority="14"/>
    <cfRule type="duplicateValues" dxfId="56" priority="13"/>
    <cfRule type="duplicateValues" dxfId="55" priority="11"/>
    <cfRule type="duplicateValues" dxfId="54" priority="12"/>
  </conditionalFormatting>
  <conditionalFormatting sqref="B6238:B6246">
    <cfRule type="duplicateValues" dxfId="53" priority="9"/>
    <cfRule type="duplicateValues" dxfId="52" priority="8"/>
    <cfRule type="duplicateValues" dxfId="51" priority="7"/>
    <cfRule type="duplicateValues" dxfId="50" priority="6"/>
    <cfRule type="duplicateValues" dxfId="49" priority="10"/>
  </conditionalFormatting>
  <conditionalFormatting sqref="B6251:B6261 B6264">
    <cfRule type="duplicateValues" dxfId="48" priority="1"/>
    <cfRule type="duplicateValues" dxfId="47" priority="5"/>
    <cfRule type="duplicateValues" dxfId="46" priority="4"/>
    <cfRule type="duplicateValues" dxfId="45" priority="3"/>
    <cfRule type="duplicateValues" dxfId="44" priority="2"/>
  </conditionalFormatting>
  <conditionalFormatting sqref="B2327:D2337">
    <cfRule type="duplicateValues" dxfId="43" priority="480"/>
    <cfRule type="duplicateValues" dxfId="42" priority="479"/>
  </conditionalFormatting>
  <pageMargins left="0.511811024" right="0.511811024" top="0.78740157499999996" bottom="0.78740157499999996" header="0.31496062000000002" footer="0.31496062000000002"/>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B316"/>
  <sheetViews>
    <sheetView zoomScale="111" zoomScaleNormal="111" workbookViewId="0">
      <selection activeCell="G464" sqref="G464"/>
    </sheetView>
  </sheetViews>
  <sheetFormatPr defaultRowHeight="14.4"/>
  <cols>
    <col min="1" max="1" width="12" style="92" customWidth="1"/>
    <col min="2" max="2" width="12" customWidth="1"/>
    <col min="4" max="4" width="17.109375" customWidth="1"/>
  </cols>
  <sheetData>
    <row r="3" spans="1:2">
      <c r="A3" s="73" t="s">
        <v>42</v>
      </c>
    </row>
    <row r="4" spans="1:2">
      <c r="A4" s="74" t="s">
        <v>40</v>
      </c>
      <c r="B4" s="38" t="s">
        <v>41</v>
      </c>
    </row>
    <row r="5" spans="1:2">
      <c r="A5" s="75"/>
      <c r="B5" s="39"/>
    </row>
    <row r="6" spans="1:2">
      <c r="A6" s="76">
        <v>8812288263</v>
      </c>
      <c r="B6" s="40" t="s">
        <v>16</v>
      </c>
    </row>
    <row r="7" spans="1:2">
      <c r="A7" s="76">
        <v>8812288264</v>
      </c>
      <c r="B7" s="40">
        <v>7.02</v>
      </c>
    </row>
    <row r="8" spans="1:2">
      <c r="A8" s="76">
        <v>8812288265</v>
      </c>
      <c r="B8" s="40">
        <v>7.02</v>
      </c>
    </row>
    <row r="9" spans="1:2">
      <c r="A9" s="76">
        <v>8812288266</v>
      </c>
      <c r="B9" s="40">
        <v>7.02</v>
      </c>
    </row>
    <row r="10" spans="1:2">
      <c r="A10" s="76">
        <v>8812288267</v>
      </c>
      <c r="B10" s="40" t="s">
        <v>16</v>
      </c>
    </row>
    <row r="11" spans="1:2">
      <c r="A11" s="76">
        <v>8812288268</v>
      </c>
      <c r="B11" s="40" t="s">
        <v>16</v>
      </c>
    </row>
    <row r="12" spans="1:2">
      <c r="A12" s="76">
        <v>8812288269</v>
      </c>
      <c r="B12" s="40" t="s">
        <v>16</v>
      </c>
    </row>
    <row r="13" spans="1:2">
      <c r="A13" s="76">
        <v>8812288270</v>
      </c>
      <c r="B13" s="40" t="s">
        <v>16</v>
      </c>
    </row>
    <row r="14" spans="1:2">
      <c r="A14" s="76">
        <v>8812288271</v>
      </c>
      <c r="B14" s="40" t="s">
        <v>16</v>
      </c>
    </row>
    <row r="15" spans="1:2">
      <c r="A15" s="76">
        <v>8812288272</v>
      </c>
      <c r="B15" s="40" t="s">
        <v>16</v>
      </c>
    </row>
    <row r="16" spans="1:2">
      <c r="A16" s="77"/>
      <c r="B16" s="41"/>
    </row>
    <row r="17" spans="1:2">
      <c r="A17" s="78">
        <v>8812288273</v>
      </c>
      <c r="B17" s="40" t="s">
        <v>16</v>
      </c>
    </row>
    <row r="18" spans="1:2">
      <c r="A18" s="79">
        <v>8812288274</v>
      </c>
      <c r="B18" s="42" t="s">
        <v>16</v>
      </c>
    </row>
    <row r="19" spans="1:2">
      <c r="A19" s="80">
        <v>8812288275</v>
      </c>
      <c r="B19" s="42" t="s">
        <v>16</v>
      </c>
    </row>
    <row r="20" spans="1:2">
      <c r="A20" s="78">
        <v>8812288276</v>
      </c>
      <c r="B20" s="40" t="s">
        <v>16</v>
      </c>
    </row>
    <row r="21" spans="1:2">
      <c r="A21" s="78">
        <v>8812288277</v>
      </c>
      <c r="B21" s="40" t="s">
        <v>16</v>
      </c>
    </row>
    <row r="22" spans="1:2">
      <c r="A22" s="78">
        <v>8812288278</v>
      </c>
      <c r="B22" s="40" t="s">
        <v>16</v>
      </c>
    </row>
    <row r="23" spans="1:2">
      <c r="A23" s="80">
        <v>8812288279</v>
      </c>
      <c r="B23" s="42" t="s">
        <v>16</v>
      </c>
    </row>
    <row r="24" spans="1:2">
      <c r="A24" s="78">
        <v>8812288280</v>
      </c>
      <c r="B24" s="40" t="s">
        <v>16</v>
      </c>
    </row>
    <row r="25" spans="1:2">
      <c r="A25" s="80">
        <v>8812288281</v>
      </c>
      <c r="B25" s="42" t="s">
        <v>16</v>
      </c>
    </row>
    <row r="26" spans="1:2">
      <c r="A26" s="80">
        <v>8812288282</v>
      </c>
      <c r="B26" s="42" t="s">
        <v>16</v>
      </c>
    </row>
    <row r="27" spans="1:2">
      <c r="A27" s="80">
        <v>8812288283</v>
      </c>
      <c r="B27" s="42" t="s">
        <v>16</v>
      </c>
    </row>
    <row r="28" spans="1:2">
      <c r="A28" s="81">
        <v>8812288284</v>
      </c>
      <c r="B28" s="42" t="s">
        <v>16</v>
      </c>
    </row>
    <row r="29" spans="1:2">
      <c r="A29" s="81">
        <v>8812288285</v>
      </c>
      <c r="B29" s="42" t="s">
        <v>16</v>
      </c>
    </row>
    <row r="30" spans="1:2">
      <c r="A30" s="78">
        <v>8812288286</v>
      </c>
      <c r="B30" s="40" t="s">
        <v>16</v>
      </c>
    </row>
    <row r="31" spans="1:2">
      <c r="A31" s="78">
        <v>8812288287</v>
      </c>
      <c r="B31" s="40" t="s">
        <v>16</v>
      </c>
    </row>
    <row r="32" spans="1:2">
      <c r="A32" s="78">
        <v>8812288288</v>
      </c>
      <c r="B32" s="42" t="s">
        <v>16</v>
      </c>
    </row>
    <row r="33" spans="1:2">
      <c r="A33" s="78">
        <v>8812288289</v>
      </c>
      <c r="B33" s="40" t="s">
        <v>16</v>
      </c>
    </row>
    <row r="34" spans="1:2">
      <c r="A34" s="82"/>
      <c r="B34" s="41"/>
    </row>
    <row r="35" spans="1:2">
      <c r="A35" s="78">
        <v>8818188292</v>
      </c>
      <c r="B35" s="40" t="s">
        <v>16</v>
      </c>
    </row>
    <row r="36" spans="1:2">
      <c r="A36" s="78">
        <v>8818188293</v>
      </c>
      <c r="B36" s="40" t="s">
        <v>16</v>
      </c>
    </row>
    <row r="37" spans="1:2">
      <c r="A37" s="78">
        <v>8818188294</v>
      </c>
      <c r="B37" s="40" t="s">
        <v>16</v>
      </c>
    </row>
    <row r="38" spans="1:2">
      <c r="A38" s="78">
        <v>8818188295</v>
      </c>
      <c r="B38" s="40" t="s">
        <v>16</v>
      </c>
    </row>
    <row r="39" spans="1:2">
      <c r="A39" s="78">
        <v>8818188296</v>
      </c>
      <c r="B39" s="40" t="s">
        <v>16</v>
      </c>
    </row>
    <row r="40" spans="1:2">
      <c r="A40" s="78">
        <v>8818188297</v>
      </c>
      <c r="B40" s="40" t="s">
        <v>16</v>
      </c>
    </row>
    <row r="41" spans="1:2">
      <c r="A41" s="78">
        <v>8818188298</v>
      </c>
      <c r="B41" s="40" t="s">
        <v>16</v>
      </c>
    </row>
    <row r="42" spans="1:2">
      <c r="A42" s="82"/>
      <c r="B42" s="41"/>
    </row>
    <row r="43" spans="1:2">
      <c r="A43" s="83">
        <v>8812288290</v>
      </c>
      <c r="B43" s="40" t="s">
        <v>16</v>
      </c>
    </row>
    <row r="44" spans="1:2">
      <c r="A44" s="83">
        <v>8812288291</v>
      </c>
      <c r="B44" s="40" t="s">
        <v>16</v>
      </c>
    </row>
    <row r="45" spans="1:2">
      <c r="A45" s="83">
        <v>8812288292</v>
      </c>
      <c r="B45" s="40" t="s">
        <v>16</v>
      </c>
    </row>
    <row r="46" spans="1:2">
      <c r="A46" s="83">
        <v>8812288293</v>
      </c>
      <c r="B46" s="40" t="s">
        <v>16</v>
      </c>
    </row>
    <row r="47" spans="1:2">
      <c r="A47" s="83">
        <v>8812288294</v>
      </c>
      <c r="B47" s="40" t="s">
        <v>16</v>
      </c>
    </row>
    <row r="48" spans="1:2">
      <c r="A48" s="83">
        <v>8812288295</v>
      </c>
      <c r="B48" s="40" t="s">
        <v>16</v>
      </c>
    </row>
    <row r="49" spans="1:2">
      <c r="A49" s="83">
        <v>8812288296</v>
      </c>
      <c r="B49" s="40" t="s">
        <v>16</v>
      </c>
    </row>
    <row r="50" spans="1:2">
      <c r="A50" s="78">
        <v>8812288297</v>
      </c>
      <c r="B50" s="40" t="s">
        <v>16</v>
      </c>
    </row>
    <row r="51" spans="1:2">
      <c r="A51" s="78">
        <v>8812288298</v>
      </c>
      <c r="B51" s="40" t="s">
        <v>16</v>
      </c>
    </row>
    <row r="52" spans="1:2">
      <c r="A52" s="78">
        <v>8812288299</v>
      </c>
      <c r="B52" s="40" t="s">
        <v>16</v>
      </c>
    </row>
    <row r="53" spans="1:2">
      <c r="A53" s="78">
        <v>8812288300</v>
      </c>
      <c r="B53" s="40" t="s">
        <v>16</v>
      </c>
    </row>
    <row r="54" spans="1:2">
      <c r="A54" s="78">
        <v>8812288301</v>
      </c>
      <c r="B54" s="40" t="s">
        <v>16</v>
      </c>
    </row>
    <row r="55" spans="1:2">
      <c r="A55" s="83">
        <v>8812288302</v>
      </c>
      <c r="B55" s="40" t="s">
        <v>16</v>
      </c>
    </row>
    <row r="56" spans="1:2">
      <c r="A56" s="83">
        <v>8812288303</v>
      </c>
      <c r="B56" s="40" t="s">
        <v>16</v>
      </c>
    </row>
    <row r="57" spans="1:2">
      <c r="A57" s="78">
        <v>8812288304</v>
      </c>
      <c r="B57" s="40" t="s">
        <v>16</v>
      </c>
    </row>
    <row r="58" spans="1:2">
      <c r="A58" s="78">
        <v>8812288305</v>
      </c>
      <c r="B58" s="40" t="s">
        <v>16</v>
      </c>
    </row>
    <row r="59" spans="1:2">
      <c r="A59" s="83">
        <v>8812288306</v>
      </c>
      <c r="B59" s="40" t="s">
        <v>16</v>
      </c>
    </row>
    <row r="60" spans="1:2">
      <c r="A60" s="83">
        <v>8812288307</v>
      </c>
      <c r="B60" s="40" t="s">
        <v>16</v>
      </c>
    </row>
    <row r="61" spans="1:2">
      <c r="A61" s="82"/>
      <c r="B61" s="41"/>
    </row>
    <row r="62" spans="1:2">
      <c r="A62" s="78">
        <v>8812288308</v>
      </c>
      <c r="B62" s="42" t="s">
        <v>16</v>
      </c>
    </row>
    <row r="63" spans="1:2">
      <c r="A63" s="78">
        <v>8812288309</v>
      </c>
      <c r="B63" s="42" t="s">
        <v>16</v>
      </c>
    </row>
    <row r="64" spans="1:2">
      <c r="A64" s="78">
        <v>8812288310</v>
      </c>
      <c r="B64" s="42" t="s">
        <v>16</v>
      </c>
    </row>
    <row r="65" spans="1:2">
      <c r="A65" s="78">
        <v>8812288311</v>
      </c>
      <c r="B65" s="42" t="s">
        <v>16</v>
      </c>
    </row>
    <row r="66" spans="1:2">
      <c r="A66" s="80">
        <v>8812288312</v>
      </c>
      <c r="B66" s="42" t="s">
        <v>16</v>
      </c>
    </row>
    <row r="67" spans="1:2">
      <c r="A67" s="80">
        <v>8812288313</v>
      </c>
      <c r="B67" s="42" t="s">
        <v>16</v>
      </c>
    </row>
    <row r="68" spans="1:2">
      <c r="A68" s="83">
        <v>8812288314</v>
      </c>
      <c r="B68" s="40" t="s">
        <v>16</v>
      </c>
    </row>
    <row r="69" spans="1:2">
      <c r="A69" s="82"/>
      <c r="B69" s="41"/>
    </row>
    <row r="70" spans="1:2">
      <c r="A70" s="80">
        <v>8812288315</v>
      </c>
      <c r="B70" s="42" t="s">
        <v>16</v>
      </c>
    </row>
    <row r="71" spans="1:2">
      <c r="A71" s="83">
        <v>8812288316</v>
      </c>
      <c r="B71" s="40" t="s">
        <v>16</v>
      </c>
    </row>
    <row r="72" spans="1:2">
      <c r="A72" s="78">
        <v>8812288317</v>
      </c>
      <c r="B72" s="40" t="s">
        <v>16</v>
      </c>
    </row>
    <row r="73" spans="1:2">
      <c r="A73" s="78">
        <v>8812288318</v>
      </c>
      <c r="B73" s="40" t="s">
        <v>16</v>
      </c>
    </row>
    <row r="74" spans="1:2">
      <c r="A74" s="78">
        <v>8812288319</v>
      </c>
      <c r="B74" s="42" t="s">
        <v>16</v>
      </c>
    </row>
    <row r="75" spans="1:2">
      <c r="A75" s="78">
        <v>8812288320</v>
      </c>
      <c r="B75" s="42" t="s">
        <v>16</v>
      </c>
    </row>
    <row r="76" spans="1:2">
      <c r="A76" s="78">
        <v>8812288321</v>
      </c>
      <c r="B76" s="42" t="s">
        <v>16</v>
      </c>
    </row>
    <row r="77" spans="1:2">
      <c r="A77" s="78">
        <v>8812288322</v>
      </c>
      <c r="B77" s="42" t="s">
        <v>16</v>
      </c>
    </row>
    <row r="78" spans="1:2">
      <c r="A78" s="82"/>
      <c r="B78" s="41"/>
    </row>
    <row r="79" spans="1:2">
      <c r="A79" s="81">
        <v>8812288323</v>
      </c>
      <c r="B79" s="42" t="s">
        <v>16</v>
      </c>
    </row>
    <row r="80" spans="1:2">
      <c r="A80" s="78">
        <v>8812288324</v>
      </c>
      <c r="B80" s="42" t="s">
        <v>16</v>
      </c>
    </row>
    <row r="81" spans="1:2">
      <c r="A81" s="78">
        <v>8812288325</v>
      </c>
      <c r="B81" s="42" t="s">
        <v>16</v>
      </c>
    </row>
    <row r="82" spans="1:2">
      <c r="A82" s="78">
        <v>8812288326</v>
      </c>
      <c r="B82" s="42" t="s">
        <v>16</v>
      </c>
    </row>
    <row r="83" spans="1:2">
      <c r="A83" s="78">
        <v>8812288327</v>
      </c>
      <c r="B83" s="42" t="s">
        <v>16</v>
      </c>
    </row>
    <row r="84" spans="1:2">
      <c r="A84" s="78">
        <v>8812288328</v>
      </c>
      <c r="B84" s="42" t="s">
        <v>16</v>
      </c>
    </row>
    <row r="85" spans="1:2">
      <c r="A85" s="78">
        <v>8812288329</v>
      </c>
      <c r="B85" s="42" t="s">
        <v>16</v>
      </c>
    </row>
    <row r="86" spans="1:2">
      <c r="A86" s="78">
        <v>8812288330</v>
      </c>
      <c r="B86" s="42" t="s">
        <v>16</v>
      </c>
    </row>
    <row r="87" spans="1:2">
      <c r="A87" s="77"/>
      <c r="B87" s="41"/>
    </row>
    <row r="88" spans="1:2">
      <c r="A88" s="78">
        <v>8812288331</v>
      </c>
      <c r="B88" s="42" t="s">
        <v>16</v>
      </c>
    </row>
    <row r="89" spans="1:2">
      <c r="A89" s="78">
        <v>8812288332</v>
      </c>
      <c r="B89" s="42" t="s">
        <v>16</v>
      </c>
    </row>
    <row r="90" spans="1:2">
      <c r="A90" s="78">
        <v>8812288333</v>
      </c>
      <c r="B90" s="42" t="s">
        <v>16</v>
      </c>
    </row>
    <row r="91" spans="1:2">
      <c r="A91" s="78">
        <v>8812288334</v>
      </c>
      <c r="B91" s="42" t="s">
        <v>16</v>
      </c>
    </row>
    <row r="92" spans="1:2">
      <c r="A92" s="78">
        <v>8812288335</v>
      </c>
      <c r="B92" s="42" t="s">
        <v>16</v>
      </c>
    </row>
    <row r="93" spans="1:2">
      <c r="A93" s="78">
        <v>8812288336</v>
      </c>
      <c r="B93" s="42" t="s">
        <v>16</v>
      </c>
    </row>
    <row r="94" spans="1:2">
      <c r="A94" s="78">
        <v>8812288337</v>
      </c>
      <c r="B94" s="42" t="s">
        <v>16</v>
      </c>
    </row>
    <row r="95" spans="1:2">
      <c r="A95" s="78">
        <v>8812288338</v>
      </c>
      <c r="B95" s="42" t="s">
        <v>16</v>
      </c>
    </row>
    <row r="96" spans="1:2">
      <c r="A96" s="77"/>
      <c r="B96" s="41"/>
    </row>
    <row r="97" spans="1:2">
      <c r="A97" s="78">
        <v>8812288339</v>
      </c>
      <c r="B97" s="43" t="s">
        <v>17</v>
      </c>
    </row>
    <row r="98" spans="1:2">
      <c r="A98" s="78">
        <v>8812288340</v>
      </c>
      <c r="B98" s="43" t="s">
        <v>17</v>
      </c>
    </row>
    <row r="99" spans="1:2">
      <c r="A99" s="78">
        <v>8812288341</v>
      </c>
      <c r="B99" s="43" t="s">
        <v>17</v>
      </c>
    </row>
    <row r="100" spans="1:2">
      <c r="A100" s="78">
        <v>8812288342</v>
      </c>
      <c r="B100" s="43" t="s">
        <v>17</v>
      </c>
    </row>
    <row r="101" spans="1:2">
      <c r="A101" s="78">
        <v>8812288343</v>
      </c>
      <c r="B101" s="43" t="s">
        <v>17</v>
      </c>
    </row>
    <row r="102" spans="1:2">
      <c r="A102" s="78">
        <v>8812288344</v>
      </c>
      <c r="B102" s="43" t="s">
        <v>17</v>
      </c>
    </row>
    <row r="103" spans="1:2">
      <c r="A103" s="78">
        <v>8812288345</v>
      </c>
      <c r="B103" s="43" t="s">
        <v>17</v>
      </c>
    </row>
    <row r="104" spans="1:2">
      <c r="A104" s="84">
        <v>8812288346</v>
      </c>
      <c r="B104" s="43" t="s">
        <v>17</v>
      </c>
    </row>
    <row r="105" spans="1:2">
      <c r="A105" s="85"/>
      <c r="B105" s="44"/>
    </row>
    <row r="106" spans="1:2">
      <c r="A106" s="78">
        <v>8818188299</v>
      </c>
      <c r="B106" s="43" t="s">
        <v>17</v>
      </c>
    </row>
    <row r="107" spans="1:2">
      <c r="A107" s="78">
        <v>8818188300</v>
      </c>
      <c r="B107" s="43" t="s">
        <v>17</v>
      </c>
    </row>
    <row r="108" spans="1:2">
      <c r="A108" s="78">
        <v>8818188301</v>
      </c>
      <c r="B108" s="43" t="s">
        <v>17</v>
      </c>
    </row>
    <row r="109" spans="1:2">
      <c r="A109" s="78">
        <v>8818188302</v>
      </c>
      <c r="B109" s="43" t="s">
        <v>17</v>
      </c>
    </row>
    <row r="110" spans="1:2">
      <c r="A110" s="78">
        <v>8818188303</v>
      </c>
      <c r="B110" s="43" t="s">
        <v>17</v>
      </c>
    </row>
    <row r="111" spans="1:2">
      <c r="A111" s="78">
        <v>8818188304</v>
      </c>
      <c r="B111" s="43" t="s">
        <v>17</v>
      </c>
    </row>
    <row r="112" spans="1:2">
      <c r="A112" s="78">
        <v>8818188305</v>
      </c>
      <c r="B112" s="43" t="s">
        <v>17</v>
      </c>
    </row>
    <row r="113" spans="1:2">
      <c r="A113" s="78">
        <v>8818188306</v>
      </c>
      <c r="B113" s="43" t="s">
        <v>17</v>
      </c>
    </row>
    <row r="114" spans="1:2">
      <c r="A114" s="78">
        <v>8818188307</v>
      </c>
      <c r="B114" s="43" t="s">
        <v>17</v>
      </c>
    </row>
    <row r="115" spans="1:2">
      <c r="A115" s="82"/>
      <c r="B115" s="41"/>
    </row>
    <row r="116" spans="1:2">
      <c r="A116" s="78">
        <v>8818188308</v>
      </c>
      <c r="B116" s="40" t="s">
        <v>16</v>
      </c>
    </row>
    <row r="117" spans="1:2">
      <c r="A117" s="78">
        <v>8818188309</v>
      </c>
      <c r="B117" s="40" t="s">
        <v>16</v>
      </c>
    </row>
    <row r="118" spans="1:2">
      <c r="A118" s="78">
        <v>8818188310</v>
      </c>
      <c r="B118" s="40" t="s">
        <v>16</v>
      </c>
    </row>
    <row r="120" spans="1:2">
      <c r="A120" s="73" t="s">
        <v>43</v>
      </c>
    </row>
    <row r="121" spans="1:2">
      <c r="A121" s="86" t="s">
        <v>44</v>
      </c>
      <c r="B121" s="45" t="s">
        <v>41</v>
      </c>
    </row>
    <row r="122" spans="1:2">
      <c r="A122" s="87"/>
      <c r="B122" s="46"/>
    </row>
    <row r="123" spans="1:2">
      <c r="A123" s="88">
        <v>8812288355</v>
      </c>
      <c r="B123" s="47" t="s">
        <v>16</v>
      </c>
    </row>
    <row r="124" spans="1:2">
      <c r="A124" s="88">
        <v>8812288356</v>
      </c>
      <c r="B124" s="47" t="s">
        <v>16</v>
      </c>
    </row>
    <row r="125" spans="1:2">
      <c r="A125" s="88">
        <v>8812288357</v>
      </c>
      <c r="B125" s="47" t="s">
        <v>16</v>
      </c>
    </row>
    <row r="126" spans="1:2">
      <c r="A126" s="88">
        <v>8812288358</v>
      </c>
      <c r="B126" s="47" t="s">
        <v>16</v>
      </c>
    </row>
    <row r="127" spans="1:2">
      <c r="A127" s="88">
        <v>8812288359</v>
      </c>
      <c r="B127" s="47" t="s">
        <v>16</v>
      </c>
    </row>
    <row r="128" spans="1:2">
      <c r="A128" s="88">
        <v>8812288360</v>
      </c>
      <c r="B128" s="47" t="s">
        <v>16</v>
      </c>
    </row>
    <row r="129" spans="1:2">
      <c r="A129" s="88">
        <v>8812288361</v>
      </c>
      <c r="B129" s="47" t="s">
        <v>16</v>
      </c>
    </row>
    <row r="130" spans="1:2">
      <c r="A130" s="87"/>
      <c r="B130" s="48"/>
    </row>
    <row r="131" spans="1:2">
      <c r="A131" s="88">
        <v>8812288362</v>
      </c>
      <c r="B131" s="47" t="s">
        <v>16</v>
      </c>
    </row>
    <row r="132" spans="1:2">
      <c r="A132" s="88">
        <v>8812288363</v>
      </c>
      <c r="B132" s="47" t="s">
        <v>16</v>
      </c>
    </row>
    <row r="133" spans="1:2">
      <c r="A133" s="88">
        <v>8812288364</v>
      </c>
      <c r="B133" s="47" t="s">
        <v>16</v>
      </c>
    </row>
    <row r="134" spans="1:2">
      <c r="A134" s="88">
        <v>8812288365</v>
      </c>
      <c r="B134" s="47" t="s">
        <v>16</v>
      </c>
    </row>
    <row r="135" spans="1:2">
      <c r="A135" s="88">
        <v>8812288366</v>
      </c>
      <c r="B135" s="47" t="s">
        <v>16</v>
      </c>
    </row>
    <row r="136" spans="1:2">
      <c r="A136" s="88">
        <v>8812288367</v>
      </c>
      <c r="B136" s="47" t="s">
        <v>16</v>
      </c>
    </row>
    <row r="137" spans="1:2">
      <c r="A137" s="88">
        <v>8812288368</v>
      </c>
      <c r="B137" s="47" t="s">
        <v>16</v>
      </c>
    </row>
    <row r="138" spans="1:2">
      <c r="A138" s="87"/>
      <c r="B138" s="48"/>
    </row>
    <row r="139" spans="1:2">
      <c r="A139" s="88">
        <v>8812288369</v>
      </c>
      <c r="B139" s="47" t="s">
        <v>17</v>
      </c>
    </row>
    <row r="140" spans="1:2">
      <c r="A140" s="88">
        <v>8812288370</v>
      </c>
      <c r="B140" s="47" t="s">
        <v>16</v>
      </c>
    </row>
    <row r="141" spans="1:2">
      <c r="A141" s="87"/>
      <c r="B141" s="48"/>
    </row>
    <row r="142" spans="1:2">
      <c r="A142" s="88">
        <v>8812288371</v>
      </c>
      <c r="B142" s="49" t="s">
        <v>16</v>
      </c>
    </row>
    <row r="143" spans="1:2">
      <c r="A143" s="88">
        <v>8812288372</v>
      </c>
      <c r="B143" s="49" t="s">
        <v>16</v>
      </c>
    </row>
    <row r="144" spans="1:2">
      <c r="A144" s="87"/>
      <c r="B144" s="48"/>
    </row>
    <row r="145" spans="1:2">
      <c r="A145" s="88">
        <v>8812288373</v>
      </c>
      <c r="B145" s="47" t="s">
        <v>16</v>
      </c>
    </row>
    <row r="146" spans="1:2">
      <c r="A146" s="88">
        <v>8812288374</v>
      </c>
      <c r="B146" s="47" t="s">
        <v>16</v>
      </c>
    </row>
    <row r="147" spans="1:2">
      <c r="A147" s="87"/>
      <c r="B147" s="48"/>
    </row>
    <row r="148" spans="1:2">
      <c r="A148" s="88">
        <v>8812288375</v>
      </c>
      <c r="B148" s="47" t="s">
        <v>16</v>
      </c>
    </row>
    <row r="149" spans="1:2">
      <c r="A149" s="88">
        <v>8812288376</v>
      </c>
      <c r="B149" s="47" t="s">
        <v>16</v>
      </c>
    </row>
    <row r="150" spans="1:2">
      <c r="A150" s="87"/>
      <c r="B150" s="48"/>
    </row>
    <row r="151" spans="1:2">
      <c r="A151" s="88">
        <v>8812288377</v>
      </c>
      <c r="B151" s="47" t="s">
        <v>17</v>
      </c>
    </row>
    <row r="152" spans="1:2">
      <c r="A152" s="88">
        <v>8812288378</v>
      </c>
      <c r="B152" s="47" t="s">
        <v>17</v>
      </c>
    </row>
    <row r="153" spans="1:2">
      <c r="A153" s="88">
        <v>8818188929</v>
      </c>
      <c r="B153" s="47" t="s">
        <v>17</v>
      </c>
    </row>
    <row r="154" spans="1:2">
      <c r="A154" s="88">
        <v>8818188930</v>
      </c>
      <c r="B154" s="47" t="s">
        <v>17</v>
      </c>
    </row>
    <row r="155" spans="1:2">
      <c r="A155" s="88">
        <v>8818188931</v>
      </c>
      <c r="B155" s="47" t="s">
        <v>17</v>
      </c>
    </row>
    <row r="156" spans="1:2">
      <c r="A156" s="88">
        <v>8818188932</v>
      </c>
      <c r="B156" s="47" t="s">
        <v>17</v>
      </c>
    </row>
    <row r="157" spans="1:2">
      <c r="A157" s="88">
        <v>8818188942</v>
      </c>
      <c r="B157" s="47" t="s">
        <v>17</v>
      </c>
    </row>
    <row r="158" spans="1:2">
      <c r="A158" s="88">
        <v>8818188933</v>
      </c>
      <c r="B158" s="47" t="s">
        <v>17</v>
      </c>
    </row>
    <row r="159" spans="1:2">
      <c r="A159" s="88">
        <v>8818188934</v>
      </c>
      <c r="B159" s="47" t="s">
        <v>17</v>
      </c>
    </row>
    <row r="160" spans="1:2">
      <c r="A160" s="88">
        <v>8818188935</v>
      </c>
      <c r="B160" s="47" t="s">
        <v>17</v>
      </c>
    </row>
    <row r="161" spans="1:2">
      <c r="A161" s="88">
        <v>8818188936</v>
      </c>
      <c r="B161" s="47" t="s">
        <v>17</v>
      </c>
    </row>
    <row r="162" spans="1:2">
      <c r="A162" s="87"/>
      <c r="B162" s="48"/>
    </row>
    <row r="163" spans="1:2">
      <c r="A163" s="88">
        <v>8812288380</v>
      </c>
      <c r="B163" s="47" t="s">
        <v>16</v>
      </c>
    </row>
    <row r="164" spans="1:2">
      <c r="A164" s="88">
        <v>8812288381</v>
      </c>
      <c r="B164" s="47" t="s">
        <v>16</v>
      </c>
    </row>
    <row r="165" spans="1:2">
      <c r="A165" s="88">
        <v>8812288382</v>
      </c>
      <c r="B165" s="47" t="s">
        <v>16</v>
      </c>
    </row>
    <row r="166" spans="1:2">
      <c r="A166" s="88">
        <v>8812288383</v>
      </c>
      <c r="B166" s="47" t="s">
        <v>16</v>
      </c>
    </row>
    <row r="167" spans="1:2">
      <c r="A167" s="88">
        <v>8812288384</v>
      </c>
      <c r="B167" s="47" t="s">
        <v>16</v>
      </c>
    </row>
    <row r="168" spans="1:2">
      <c r="A168" s="88">
        <v>8812288385</v>
      </c>
      <c r="B168" s="47" t="s">
        <v>16</v>
      </c>
    </row>
    <row r="169" spans="1:2">
      <c r="A169" s="88">
        <v>8812288386</v>
      </c>
      <c r="B169" s="47" t="s">
        <v>16</v>
      </c>
    </row>
    <row r="170" spans="1:2">
      <c r="A170" s="88">
        <v>8812288387</v>
      </c>
      <c r="B170" s="47" t="s">
        <v>16</v>
      </c>
    </row>
    <row r="171" spans="1:2">
      <c r="A171" s="88">
        <v>8812288388</v>
      </c>
      <c r="B171" s="47" t="s">
        <v>16</v>
      </c>
    </row>
    <row r="172" spans="1:2">
      <c r="A172" s="88">
        <v>8812288389</v>
      </c>
      <c r="B172" s="47" t="s">
        <v>16</v>
      </c>
    </row>
    <row r="173" spans="1:2">
      <c r="A173" s="88">
        <v>8812288390</v>
      </c>
      <c r="B173" s="47" t="s">
        <v>16</v>
      </c>
    </row>
    <row r="174" spans="1:2">
      <c r="A174" s="88">
        <v>8812288391</v>
      </c>
      <c r="B174" s="47" t="s">
        <v>16</v>
      </c>
    </row>
    <row r="175" spans="1:2">
      <c r="A175" s="88">
        <v>8812288392</v>
      </c>
      <c r="B175" s="47" t="s">
        <v>16</v>
      </c>
    </row>
    <row r="176" spans="1:2">
      <c r="A176" s="88">
        <v>8812288393</v>
      </c>
      <c r="B176" s="47" t="s">
        <v>16</v>
      </c>
    </row>
    <row r="177" spans="1:2">
      <c r="A177" s="88">
        <v>8812288394</v>
      </c>
      <c r="B177" s="47" t="s">
        <v>16</v>
      </c>
    </row>
    <row r="178" spans="1:2">
      <c r="A178" s="88">
        <v>8812288395</v>
      </c>
      <c r="B178" s="47" t="s">
        <v>16</v>
      </c>
    </row>
    <row r="179" spans="1:2">
      <c r="A179" s="88">
        <v>8812288396</v>
      </c>
      <c r="B179" s="47" t="s">
        <v>16</v>
      </c>
    </row>
    <row r="180" spans="1:2">
      <c r="A180" s="88">
        <v>8812288397</v>
      </c>
      <c r="B180" s="47" t="s">
        <v>16</v>
      </c>
    </row>
    <row r="181" spans="1:2">
      <c r="A181" s="88">
        <v>8812288398</v>
      </c>
      <c r="B181" s="47" t="s">
        <v>16</v>
      </c>
    </row>
    <row r="182" spans="1:2">
      <c r="A182" s="88">
        <v>8812288399</v>
      </c>
      <c r="B182" s="47" t="s">
        <v>16</v>
      </c>
    </row>
    <row r="183" spans="1:2">
      <c r="A183" s="88">
        <v>8812288400</v>
      </c>
      <c r="B183" s="47" t="s">
        <v>16</v>
      </c>
    </row>
    <row r="184" spans="1:2">
      <c r="A184" s="88">
        <v>8812288401</v>
      </c>
      <c r="B184" s="47" t="s">
        <v>16</v>
      </c>
    </row>
    <row r="186" spans="1:2">
      <c r="A186" s="73" t="s">
        <v>45</v>
      </c>
    </row>
    <row r="187" spans="1:2">
      <c r="A187" s="89" t="s">
        <v>40</v>
      </c>
      <c r="B187" s="50" t="s">
        <v>41</v>
      </c>
    </row>
    <row r="188" spans="1:2">
      <c r="A188" s="51"/>
      <c r="B188" s="51"/>
    </row>
    <row r="189" spans="1:2">
      <c r="A189" s="90">
        <v>8818188174</v>
      </c>
      <c r="B189" s="52" t="s">
        <v>16</v>
      </c>
    </row>
    <row r="190" spans="1:2">
      <c r="A190" s="90">
        <v>8818188175</v>
      </c>
      <c r="B190" s="52" t="s">
        <v>16</v>
      </c>
    </row>
    <row r="191" spans="1:2">
      <c r="A191" s="90">
        <v>8818188176</v>
      </c>
      <c r="B191" s="52" t="s">
        <v>16</v>
      </c>
    </row>
    <row r="192" spans="1:2">
      <c r="A192" s="90">
        <v>8818188177</v>
      </c>
      <c r="B192" s="52" t="s">
        <v>16</v>
      </c>
    </row>
    <row r="193" spans="1:2">
      <c r="A193" s="90">
        <v>8818188178</v>
      </c>
      <c r="B193" s="52" t="s">
        <v>16</v>
      </c>
    </row>
    <row r="194" spans="1:2">
      <c r="A194" s="90">
        <v>8818188179</v>
      </c>
      <c r="B194" s="52" t="s">
        <v>16</v>
      </c>
    </row>
    <row r="195" spans="1:2">
      <c r="A195" s="90">
        <v>8818188180</v>
      </c>
      <c r="B195" s="52" t="s">
        <v>16</v>
      </c>
    </row>
    <row r="196" spans="1:2">
      <c r="A196" s="90">
        <v>8818188181</v>
      </c>
      <c r="B196" s="52" t="s">
        <v>16</v>
      </c>
    </row>
    <row r="197" spans="1:2">
      <c r="A197" s="90">
        <v>8818188182</v>
      </c>
      <c r="B197" s="52" t="s">
        <v>16</v>
      </c>
    </row>
    <row r="198" spans="1:2">
      <c r="A198" s="90">
        <v>8818188183</v>
      </c>
      <c r="B198" s="52" t="s">
        <v>16</v>
      </c>
    </row>
    <row r="199" spans="1:2">
      <c r="A199" s="90">
        <v>8818188184</v>
      </c>
      <c r="B199" s="52" t="s">
        <v>16</v>
      </c>
    </row>
    <row r="200" spans="1:2">
      <c r="A200" s="90">
        <v>8818188185</v>
      </c>
      <c r="B200" s="52" t="s">
        <v>16</v>
      </c>
    </row>
    <row r="201" spans="1:2">
      <c r="A201" s="90">
        <v>8818188186</v>
      </c>
      <c r="B201" s="52" t="s">
        <v>16</v>
      </c>
    </row>
    <row r="202" spans="1:2">
      <c r="A202" s="90">
        <v>8818188187</v>
      </c>
      <c r="B202" s="52" t="s">
        <v>16</v>
      </c>
    </row>
    <row r="203" spans="1:2">
      <c r="A203" s="90">
        <v>8818188188</v>
      </c>
      <c r="B203" s="52" t="s">
        <v>16</v>
      </c>
    </row>
    <row r="204" spans="1:2">
      <c r="A204" s="90">
        <v>8818188189</v>
      </c>
      <c r="B204" s="52" t="s">
        <v>16</v>
      </c>
    </row>
    <row r="205" spans="1:2">
      <c r="A205" s="90">
        <v>8818188190</v>
      </c>
      <c r="B205" s="52" t="s">
        <v>16</v>
      </c>
    </row>
    <row r="206" spans="1:2">
      <c r="A206" s="90">
        <v>8818188191</v>
      </c>
      <c r="B206" s="52" t="s">
        <v>16</v>
      </c>
    </row>
    <row r="207" spans="1:2">
      <c r="A207" s="90">
        <v>8818188192</v>
      </c>
      <c r="B207" s="52" t="s">
        <v>16</v>
      </c>
    </row>
    <row r="208" spans="1:2">
      <c r="A208" s="90">
        <v>8818188193</v>
      </c>
      <c r="B208" s="52" t="s">
        <v>16</v>
      </c>
    </row>
    <row r="209" spans="1:2">
      <c r="A209" s="90">
        <v>8818188194</v>
      </c>
      <c r="B209" s="52" t="s">
        <v>16</v>
      </c>
    </row>
    <row r="210" spans="1:2">
      <c r="A210" s="90">
        <v>8818188195</v>
      </c>
      <c r="B210" s="52" t="s">
        <v>16</v>
      </c>
    </row>
    <row r="211" spans="1:2">
      <c r="A211" s="90">
        <v>8818188196</v>
      </c>
      <c r="B211" s="52" t="s">
        <v>16</v>
      </c>
    </row>
    <row r="212" spans="1:2">
      <c r="A212" s="90">
        <v>8818188197</v>
      </c>
      <c r="B212" s="52" t="s">
        <v>16</v>
      </c>
    </row>
    <row r="213" spans="1:2">
      <c r="A213" s="90">
        <v>8818188198</v>
      </c>
      <c r="B213" s="52" t="s">
        <v>16</v>
      </c>
    </row>
    <row r="214" spans="1:2">
      <c r="A214" s="90">
        <v>8818188199</v>
      </c>
      <c r="B214" s="52" t="s">
        <v>16</v>
      </c>
    </row>
    <row r="215" spans="1:2">
      <c r="A215" s="90">
        <v>8818188200</v>
      </c>
      <c r="B215" s="52" t="s">
        <v>16</v>
      </c>
    </row>
    <row r="216" spans="1:2">
      <c r="A216" s="90">
        <v>8818188201</v>
      </c>
      <c r="B216" s="52" t="s">
        <v>16</v>
      </c>
    </row>
    <row r="217" spans="1:2">
      <c r="A217" s="90">
        <v>8818188202</v>
      </c>
      <c r="B217" s="52" t="s">
        <v>16</v>
      </c>
    </row>
    <row r="218" spans="1:2">
      <c r="A218" s="90">
        <v>8818188203</v>
      </c>
      <c r="B218" s="52" t="s">
        <v>16</v>
      </c>
    </row>
    <row r="219" spans="1:2">
      <c r="A219" s="90">
        <v>8818188204</v>
      </c>
      <c r="B219" s="52" t="s">
        <v>16</v>
      </c>
    </row>
    <row r="220" spans="1:2">
      <c r="A220" s="51"/>
      <c r="B220" s="51"/>
    </row>
    <row r="221" spans="1:2">
      <c r="A221" s="90">
        <v>8818188205</v>
      </c>
      <c r="B221" s="52" t="s">
        <v>16</v>
      </c>
    </row>
    <row r="222" spans="1:2">
      <c r="A222" s="90">
        <v>8818188206</v>
      </c>
      <c r="B222" s="52" t="s">
        <v>16</v>
      </c>
    </row>
    <row r="223" spans="1:2">
      <c r="A223" s="90">
        <v>8818188207</v>
      </c>
      <c r="B223" s="52" t="s">
        <v>16</v>
      </c>
    </row>
    <row r="224" spans="1:2">
      <c r="A224" s="90">
        <v>8818188208</v>
      </c>
      <c r="B224" s="52" t="s">
        <v>16</v>
      </c>
    </row>
    <row r="225" spans="1:2">
      <c r="A225" s="90">
        <v>8818188209</v>
      </c>
      <c r="B225" s="52" t="s">
        <v>16</v>
      </c>
    </row>
    <row r="226" spans="1:2">
      <c r="A226" s="51"/>
      <c r="B226" s="51"/>
    </row>
    <row r="227" spans="1:2">
      <c r="A227" s="90">
        <v>8818188210</v>
      </c>
      <c r="B227" s="52" t="s">
        <v>16</v>
      </c>
    </row>
    <row r="228" spans="1:2">
      <c r="A228" s="90">
        <v>8818188211</v>
      </c>
      <c r="B228" s="52" t="s">
        <v>16</v>
      </c>
    </row>
    <row r="229" spans="1:2">
      <c r="A229" s="90">
        <v>8818188212</v>
      </c>
      <c r="B229" s="52" t="s">
        <v>16</v>
      </c>
    </row>
    <row r="230" spans="1:2">
      <c r="A230" s="90">
        <v>8818188213</v>
      </c>
      <c r="B230" s="52" t="s">
        <v>16</v>
      </c>
    </row>
    <row r="231" spans="1:2">
      <c r="A231" s="90">
        <v>8818188214</v>
      </c>
      <c r="B231" s="52" t="s">
        <v>16</v>
      </c>
    </row>
    <row r="232" spans="1:2">
      <c r="A232" s="90">
        <v>8818188215</v>
      </c>
      <c r="B232" s="52" t="s">
        <v>16</v>
      </c>
    </row>
    <row r="233" spans="1:2">
      <c r="A233" s="90">
        <v>8818188216</v>
      </c>
      <c r="B233" s="52" t="s">
        <v>16</v>
      </c>
    </row>
    <row r="234" spans="1:2">
      <c r="A234" s="51"/>
      <c r="B234" s="51"/>
    </row>
    <row r="235" spans="1:2">
      <c r="A235" s="90">
        <v>8818188217</v>
      </c>
      <c r="B235" s="52" t="s">
        <v>16</v>
      </c>
    </row>
    <row r="236" spans="1:2">
      <c r="A236" s="90">
        <v>8818188218</v>
      </c>
      <c r="B236" s="52" t="s">
        <v>16</v>
      </c>
    </row>
    <row r="237" spans="1:2">
      <c r="A237" s="90">
        <v>8818188219</v>
      </c>
      <c r="B237" s="52" t="s">
        <v>16</v>
      </c>
    </row>
    <row r="238" spans="1:2">
      <c r="A238" s="90">
        <v>8818188220</v>
      </c>
      <c r="B238" s="52" t="s">
        <v>16</v>
      </c>
    </row>
    <row r="239" spans="1:2">
      <c r="A239" s="90">
        <v>8818188221</v>
      </c>
      <c r="B239" s="52" t="s">
        <v>16</v>
      </c>
    </row>
    <row r="240" spans="1:2">
      <c r="A240" s="90">
        <v>8818188222</v>
      </c>
      <c r="B240" s="52" t="s">
        <v>16</v>
      </c>
    </row>
    <row r="241" spans="1:2">
      <c r="A241" s="90">
        <v>8818188223</v>
      </c>
      <c r="B241" s="52" t="s">
        <v>16</v>
      </c>
    </row>
    <row r="242" spans="1:2">
      <c r="A242" s="90">
        <v>8818188224</v>
      </c>
      <c r="B242" s="52" t="s">
        <v>16</v>
      </c>
    </row>
    <row r="243" spans="1:2">
      <c r="A243" s="90">
        <v>8818188225</v>
      </c>
      <c r="B243" s="52" t="s">
        <v>16</v>
      </c>
    </row>
    <row r="244" spans="1:2">
      <c r="A244" s="90">
        <v>8818188226</v>
      </c>
      <c r="B244" s="52" t="s">
        <v>16</v>
      </c>
    </row>
    <row r="245" spans="1:2">
      <c r="A245" s="90">
        <v>8818188227</v>
      </c>
      <c r="B245" s="52" t="s">
        <v>16</v>
      </c>
    </row>
    <row r="246" spans="1:2">
      <c r="A246" s="90">
        <v>8818188228</v>
      </c>
      <c r="B246" s="52" t="s">
        <v>16</v>
      </c>
    </row>
    <row r="247" spans="1:2">
      <c r="A247" s="90">
        <v>8818188229</v>
      </c>
      <c r="B247" s="52" t="s">
        <v>16</v>
      </c>
    </row>
    <row r="248" spans="1:2">
      <c r="A248" s="90">
        <v>8818188230</v>
      </c>
      <c r="B248" s="52" t="s">
        <v>16</v>
      </c>
    </row>
    <row r="249" spans="1:2">
      <c r="A249" s="90">
        <v>8818188231</v>
      </c>
      <c r="B249" s="52" t="s">
        <v>16</v>
      </c>
    </row>
    <row r="250" spans="1:2">
      <c r="A250" s="90">
        <v>8818188232</v>
      </c>
      <c r="B250" s="52" t="s">
        <v>16</v>
      </c>
    </row>
    <row r="251" spans="1:2">
      <c r="A251" s="90">
        <v>8818188233</v>
      </c>
      <c r="B251" s="52" t="s">
        <v>16</v>
      </c>
    </row>
    <row r="252" spans="1:2">
      <c r="A252" s="51"/>
      <c r="B252" s="51"/>
    </row>
    <row r="253" spans="1:2">
      <c r="A253" s="90">
        <v>8818188234</v>
      </c>
      <c r="B253" s="53" t="s">
        <v>16</v>
      </c>
    </row>
    <row r="254" spans="1:2">
      <c r="A254" s="90">
        <v>8818188235</v>
      </c>
      <c r="B254" s="53" t="s">
        <v>16</v>
      </c>
    </row>
    <row r="255" spans="1:2">
      <c r="A255" s="90">
        <v>8818188236</v>
      </c>
      <c r="B255" s="52" t="s">
        <v>16</v>
      </c>
    </row>
    <row r="256" spans="1:2">
      <c r="A256" s="90">
        <v>8818188237</v>
      </c>
      <c r="B256" s="52" t="s">
        <v>16</v>
      </c>
    </row>
    <row r="257" spans="1:2">
      <c r="A257" s="90">
        <v>8818188238</v>
      </c>
      <c r="B257" s="52" t="s">
        <v>16</v>
      </c>
    </row>
    <row r="258" spans="1:2">
      <c r="A258" s="90">
        <v>8818188239</v>
      </c>
      <c r="B258" s="52" t="s">
        <v>16</v>
      </c>
    </row>
    <row r="259" spans="1:2">
      <c r="A259" s="90">
        <v>8818188240</v>
      </c>
      <c r="B259" s="52" t="s">
        <v>16</v>
      </c>
    </row>
    <row r="260" spans="1:2">
      <c r="A260" s="90">
        <v>8818188241</v>
      </c>
      <c r="B260" s="52" t="s">
        <v>16</v>
      </c>
    </row>
    <row r="261" spans="1:2">
      <c r="A261" s="90">
        <v>8818188242</v>
      </c>
      <c r="B261" s="52" t="s">
        <v>16</v>
      </c>
    </row>
    <row r="262" spans="1:2">
      <c r="A262" s="90">
        <v>8818188243</v>
      </c>
      <c r="B262" s="52" t="s">
        <v>16</v>
      </c>
    </row>
    <row r="263" spans="1:2">
      <c r="A263" s="90">
        <v>8818188244</v>
      </c>
      <c r="B263" s="52" t="s">
        <v>16</v>
      </c>
    </row>
    <row r="264" spans="1:2">
      <c r="A264" s="90">
        <v>8818188245</v>
      </c>
      <c r="B264" s="52" t="s">
        <v>16</v>
      </c>
    </row>
    <row r="265" spans="1:2">
      <c r="A265" s="90">
        <v>8818188246</v>
      </c>
      <c r="B265" s="52" t="s">
        <v>16</v>
      </c>
    </row>
    <row r="266" spans="1:2">
      <c r="A266" s="90">
        <v>8818188247</v>
      </c>
      <c r="B266" s="52" t="s">
        <v>16</v>
      </c>
    </row>
    <row r="267" spans="1:2">
      <c r="A267" s="90">
        <v>8818188248</v>
      </c>
      <c r="B267" s="52" t="s">
        <v>16</v>
      </c>
    </row>
    <row r="268" spans="1:2">
      <c r="A268" s="90">
        <v>8818188249</v>
      </c>
      <c r="B268" s="52" t="s">
        <v>16</v>
      </c>
    </row>
    <row r="269" spans="1:2">
      <c r="A269" s="90">
        <v>8818188250</v>
      </c>
      <c r="B269" s="52" t="s">
        <v>16</v>
      </c>
    </row>
    <row r="270" spans="1:2">
      <c r="A270" s="90">
        <v>8818188251</v>
      </c>
      <c r="B270" s="52" t="s">
        <v>16</v>
      </c>
    </row>
    <row r="271" spans="1:2">
      <c r="A271" s="90">
        <v>8818188252</v>
      </c>
      <c r="B271" s="52" t="s">
        <v>16</v>
      </c>
    </row>
    <row r="272" spans="1:2">
      <c r="A272" s="90">
        <v>8818188253</v>
      </c>
      <c r="B272" s="52" t="s">
        <v>16</v>
      </c>
    </row>
    <row r="273" spans="1:2">
      <c r="A273" s="90">
        <v>8818188254</v>
      </c>
      <c r="B273" s="52" t="s">
        <v>16</v>
      </c>
    </row>
    <row r="274" spans="1:2">
      <c r="A274" s="90">
        <v>8818188255</v>
      </c>
      <c r="B274" s="52" t="s">
        <v>16</v>
      </c>
    </row>
    <row r="275" spans="1:2">
      <c r="A275" s="90">
        <v>8818188256</v>
      </c>
      <c r="B275" s="52" t="s">
        <v>16</v>
      </c>
    </row>
    <row r="276" spans="1:2">
      <c r="A276" s="90">
        <v>8818188257</v>
      </c>
      <c r="B276" s="52" t="s">
        <v>16</v>
      </c>
    </row>
    <row r="277" spans="1:2">
      <c r="A277" s="90">
        <v>8818188258</v>
      </c>
      <c r="B277" s="52" t="s">
        <v>16</v>
      </c>
    </row>
    <row r="278" spans="1:2">
      <c r="A278" s="90">
        <v>8818188259</v>
      </c>
      <c r="B278" s="52" t="s">
        <v>16</v>
      </c>
    </row>
    <row r="279" spans="1:2">
      <c r="A279" s="90">
        <v>8818188260</v>
      </c>
      <c r="B279" s="52" t="s">
        <v>16</v>
      </c>
    </row>
    <row r="280" spans="1:2">
      <c r="A280" s="90">
        <v>8818188261</v>
      </c>
      <c r="B280" s="52" t="s">
        <v>16</v>
      </c>
    </row>
    <row r="281" spans="1:2">
      <c r="A281" s="90">
        <v>8818188262</v>
      </c>
      <c r="B281" s="52" t="s">
        <v>16</v>
      </c>
    </row>
    <row r="282" spans="1:2">
      <c r="A282" s="90">
        <v>8818188263</v>
      </c>
      <c r="B282" s="52" t="s">
        <v>16</v>
      </c>
    </row>
    <row r="283" spans="1:2">
      <c r="A283" s="90">
        <v>8818188264</v>
      </c>
      <c r="B283" s="52" t="s">
        <v>16</v>
      </c>
    </row>
    <row r="284" spans="1:2">
      <c r="A284" s="90">
        <v>8818188265</v>
      </c>
      <c r="B284" s="52" t="s">
        <v>16</v>
      </c>
    </row>
    <row r="285" spans="1:2">
      <c r="A285" s="90">
        <v>8818188266</v>
      </c>
      <c r="B285" s="52" t="s">
        <v>16</v>
      </c>
    </row>
    <row r="286" spans="1:2">
      <c r="A286" s="90">
        <v>8818188267</v>
      </c>
      <c r="B286" s="52" t="s">
        <v>16</v>
      </c>
    </row>
    <row r="287" spans="1:2">
      <c r="A287" s="90">
        <v>8818188268</v>
      </c>
      <c r="B287" s="52" t="s">
        <v>16</v>
      </c>
    </row>
    <row r="288" spans="1:2">
      <c r="A288" s="90">
        <v>8818188269</v>
      </c>
      <c r="B288" s="52" t="s">
        <v>16</v>
      </c>
    </row>
    <row r="289" spans="1:2">
      <c r="A289" s="90">
        <v>8818188270</v>
      </c>
      <c r="B289" s="52" t="s">
        <v>16</v>
      </c>
    </row>
    <row r="290" spans="1:2">
      <c r="A290" s="90">
        <v>8818188271</v>
      </c>
      <c r="B290" s="52" t="s">
        <v>16</v>
      </c>
    </row>
    <row r="291" spans="1:2">
      <c r="A291" s="90">
        <v>8818188272</v>
      </c>
      <c r="B291" s="52" t="s">
        <v>16</v>
      </c>
    </row>
    <row r="292" spans="1:2">
      <c r="A292" s="90">
        <v>8818188273</v>
      </c>
      <c r="B292" s="52" t="s">
        <v>16</v>
      </c>
    </row>
    <row r="293" spans="1:2">
      <c r="A293" s="90">
        <v>8818188274</v>
      </c>
      <c r="B293" s="52" t="s">
        <v>16</v>
      </c>
    </row>
    <row r="294" spans="1:2">
      <c r="A294" s="90">
        <v>8818188275</v>
      </c>
      <c r="B294" s="52" t="s">
        <v>16</v>
      </c>
    </row>
    <row r="295" spans="1:2">
      <c r="A295" s="90">
        <v>8818188276</v>
      </c>
      <c r="B295" s="52" t="s">
        <v>16</v>
      </c>
    </row>
    <row r="296" spans="1:2">
      <c r="A296" s="90">
        <v>8818188277</v>
      </c>
      <c r="B296" s="52" t="s">
        <v>16</v>
      </c>
    </row>
    <row r="297" spans="1:2">
      <c r="A297" s="90">
        <v>8818188278</v>
      </c>
      <c r="B297" s="52" t="s">
        <v>16</v>
      </c>
    </row>
    <row r="298" spans="1:2">
      <c r="A298" s="90">
        <v>8818188279</v>
      </c>
      <c r="B298" s="52" t="s">
        <v>16</v>
      </c>
    </row>
    <row r="299" spans="1:2">
      <c r="A299" s="90">
        <v>8818188280</v>
      </c>
      <c r="B299" s="52" t="s">
        <v>16</v>
      </c>
    </row>
    <row r="300" spans="1:2">
      <c r="A300" s="90">
        <v>8818188281</v>
      </c>
      <c r="B300" s="52" t="s">
        <v>16</v>
      </c>
    </row>
    <row r="301" spans="1:2">
      <c r="A301" s="90">
        <v>8818188282</v>
      </c>
      <c r="B301" s="52" t="s">
        <v>16</v>
      </c>
    </row>
    <row r="302" spans="1:2">
      <c r="A302" s="90">
        <v>8818188283</v>
      </c>
      <c r="B302" s="52" t="s">
        <v>16</v>
      </c>
    </row>
    <row r="303" spans="1:2">
      <c r="A303" s="90">
        <v>8818188284</v>
      </c>
      <c r="B303" s="52" t="s">
        <v>16</v>
      </c>
    </row>
    <row r="304" spans="1:2">
      <c r="A304" s="51"/>
      <c r="B304" s="51"/>
    </row>
    <row r="305" spans="1:2">
      <c r="A305" s="91">
        <v>8818188285</v>
      </c>
      <c r="B305" s="54" t="s">
        <v>17</v>
      </c>
    </row>
    <row r="306" spans="1:2">
      <c r="A306" s="91">
        <v>8818188286</v>
      </c>
      <c r="B306" s="54" t="s">
        <v>17</v>
      </c>
    </row>
    <row r="307" spans="1:2">
      <c r="A307" s="91">
        <v>8818188287</v>
      </c>
      <c r="B307" s="52" t="s">
        <v>16</v>
      </c>
    </row>
    <row r="308" spans="1:2">
      <c r="A308" s="91">
        <v>8818188288</v>
      </c>
      <c r="B308" s="52" t="s">
        <v>16</v>
      </c>
    </row>
    <row r="309" spans="1:2">
      <c r="A309" s="91">
        <v>8818188289</v>
      </c>
      <c r="B309" s="52" t="s">
        <v>16</v>
      </c>
    </row>
    <row r="310" spans="1:2">
      <c r="A310" s="91">
        <v>8818188290</v>
      </c>
      <c r="B310" s="52" t="s">
        <v>16</v>
      </c>
    </row>
    <row r="311" spans="1:2">
      <c r="A311" s="91">
        <v>8818188291</v>
      </c>
      <c r="B311" s="52" t="s">
        <v>16</v>
      </c>
    </row>
    <row r="313" spans="1:2">
      <c r="A313" s="91">
        <v>8812326193</v>
      </c>
      <c r="B313" s="52" t="s">
        <v>16</v>
      </c>
    </row>
    <row r="316" spans="1:2">
      <c r="A316" s="91">
        <v>88940461</v>
      </c>
      <c r="B316" s="52" t="s">
        <v>16</v>
      </c>
    </row>
  </sheetData>
  <conditionalFormatting sqref="A6:A7">
    <cfRule type="duplicateValues" dxfId="41" priority="3"/>
    <cfRule type="duplicateValues" dxfId="40" priority="4"/>
  </conditionalFormatting>
  <conditionalFormatting sqref="A8:A13">
    <cfRule type="duplicateValues" dxfId="39" priority="5"/>
    <cfRule type="duplicateValues" dxfId="38" priority="6"/>
  </conditionalFormatting>
  <conditionalFormatting sqref="A14:A15">
    <cfRule type="duplicateValues" dxfId="37" priority="1"/>
    <cfRule type="duplicateValues" dxfId="36" priority="2"/>
  </conditionalFormatting>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H494"/>
  <sheetViews>
    <sheetView topLeftCell="A400" workbookViewId="0">
      <selection activeCell="B428" sqref="B428"/>
    </sheetView>
  </sheetViews>
  <sheetFormatPr defaultRowHeight="14.4"/>
  <cols>
    <col min="1" max="1" width="72" customWidth="1"/>
    <col min="2" max="2" width="29.6640625" customWidth="1"/>
    <col min="3" max="3" width="16.44140625" customWidth="1"/>
    <col min="4" max="5" width="19.5546875" customWidth="1"/>
    <col min="6" max="6" width="14.88671875" customWidth="1"/>
    <col min="7" max="7" width="9.109375" customWidth="1"/>
  </cols>
  <sheetData>
    <row r="2" spans="1:8">
      <c r="A2" s="100" t="s">
        <v>129</v>
      </c>
      <c r="B2" s="101" t="s">
        <v>2263</v>
      </c>
      <c r="C2" s="101" t="s">
        <v>154</v>
      </c>
      <c r="D2" s="101" t="s">
        <v>2436</v>
      </c>
      <c r="E2" s="101" t="s">
        <v>33</v>
      </c>
      <c r="F2" s="101" t="s">
        <v>0</v>
      </c>
      <c r="G2" s="101" t="s">
        <v>130</v>
      </c>
      <c r="H2" s="102" t="s">
        <v>131</v>
      </c>
    </row>
    <row r="3" spans="1:8">
      <c r="A3" s="119" t="e">
        <f>'BASE FINANCEIRO'!#REF!</f>
        <v>#REF!</v>
      </c>
      <c r="B3" s="24" t="e">
        <f>MID(A3,36,14)</f>
        <v>#REF!</v>
      </c>
      <c r="C3" s="24" t="s">
        <v>3045</v>
      </c>
      <c r="D3" s="24" t="e">
        <f>IF(VLOOKUP('BASE FINANCEIRO'!#REF!,'COD. PROJETOS'!B:D,3,0)="VIVO",MID('BASE FINANCEIRO'!#REF!,36,3),IF(VLOOKUP('BASE FINANCEIRO'!#REF!,'COD. PROJETOS'!B:D,3,0),MID('BASE FINANCEIRO'!#REF!,36,7),IF(VLOOKUP('BASE FINANCEIRO'!#REF!,'COD. PROJETOS'!B:D,3,0),MID('BASE FINANCEIRO'!#REF!,36,9),"PROJETO?")))</f>
        <v>#REF!</v>
      </c>
      <c r="E3" s="24" t="e">
        <f>VLOOKUP(D3,'BASE MUNICÍPIO'!B1:C24719,2,0)</f>
        <v>#REF!</v>
      </c>
      <c r="F3" s="98" t="e">
        <f>VLOOKUP(D3,'BASE MUNICÍPIO'!B1:D24719,3,0)</f>
        <v>#REF!</v>
      </c>
      <c r="G3" s="118" t="str">
        <f>IF(Tabela4[[#This Row],[PROJETO]]="CLARO",LEFT(Tabela4[[#This Row],[SITE2]],2),IF(Tabela4[[#This Row],[PROJETO]]="VIVO",RIGHT(LEFT(Tabela4[[#This Row],[SITE2]],10),2),""))</f>
        <v/>
      </c>
      <c r="H3" s="99"/>
    </row>
    <row r="4" spans="1:8">
      <c r="A4" s="119" t="str">
        <f>'BASE FINANCEIRO'!BI4</f>
        <v>200043946543000&lt;!&gt;20250326476411&lt;!&gt;CEAQU07_KEY@CEAQU07_GNODEB_MAIN_00D0772592030U_CE</v>
      </c>
      <c r="B4" s="24" t="str">
        <f t="shared" ref="B4:B67" si="0">MID(A4,36,14)</f>
        <v>CEAQU07_KEY@CE</v>
      </c>
      <c r="C4" s="24" t="s">
        <v>2453</v>
      </c>
      <c r="D4" s="24" t="e">
        <f>IF(VLOOKUP('BASE FINANCEIRO'!BC4,'COD. PROJETOS'!B:D,3,0)="VIVO",MID('BASE FINANCEIRO'!BI4,36,3),IF(VLOOKUP('BASE FINANCEIRO'!BC4,'COD. PROJETOS'!B:D,3,0),MID('BASE FINANCEIRO'!BI4,36,7),IF(VLOOKUP('BASE FINANCEIRO'!BC4,'COD. PROJETOS'!B:D,3,0),MID('BASE FINANCEIRO'!BI4,36,9),"PROJETO?")))</f>
        <v>#VALUE!</v>
      </c>
      <c r="E4" s="24" t="e">
        <f>VLOOKUP(D4,'BASE MUNICÍPIO'!B2:C24720,2,0)</f>
        <v>#VALUE!</v>
      </c>
      <c r="F4" s="98" t="e">
        <f>VLOOKUP(D4,'BASE MUNICÍPIO'!B2:D24720,3,0)</f>
        <v>#VALUE!</v>
      </c>
      <c r="G4" s="118" t="str">
        <f>IF(Tabela4[[#This Row],[PROJETO]]="CLARO",LEFT(Tabela4[[#This Row],[SITE2]],2),IF(Tabela4[[#This Row],[PROJETO]]="VIVO",RIGHT(LEFT(Tabela4[[#This Row],[SITE2]],10),2),""))</f>
        <v>KE</v>
      </c>
      <c r="H4" s="99"/>
    </row>
    <row r="5" spans="1:8">
      <c r="A5" s="119">
        <f>'BASE FINANCEIRO'!BI46</f>
        <v>0</v>
      </c>
      <c r="B5" s="24" t="str">
        <f t="shared" si="0"/>
        <v/>
      </c>
      <c r="C5" s="24" t="s">
        <v>2453</v>
      </c>
      <c r="D5" s="24" t="e">
        <f>IF(VLOOKUP('BASE FINANCEIRO'!BC46,'COD. PROJETOS'!B:D,3,0)="VIVO",MID('BASE FINANCEIRO'!BI46,36,3),IF(VLOOKUP('BASE FINANCEIRO'!BC46,'COD. PROJETOS'!B:D,3,0),MID('BASE FINANCEIRO'!BI46,36,7),IF(VLOOKUP('BASE FINANCEIRO'!BC46,'COD. PROJETOS'!B:D,3,0),MID('BASE FINANCEIRO'!BI46,36,9),"PROJETO?")))</f>
        <v>#N/A</v>
      </c>
      <c r="E5" s="24" t="e">
        <f>VLOOKUP(D5,'BASE MUNICÍPIO'!B3:C24721,2,0)</f>
        <v>#N/A</v>
      </c>
      <c r="F5" s="98" t="e">
        <f>VLOOKUP(D5,'BASE MUNICÍPIO'!B3:D24721,3,0)</f>
        <v>#N/A</v>
      </c>
      <c r="G5" s="118" t="str">
        <f>IF(Tabela4[[#This Row],[PROJETO]]="CLARO",LEFT(Tabela4[[#This Row],[SITE2]],2),IF(Tabela4[[#This Row],[PROJETO]]="VIVO",RIGHT(LEFT(Tabela4[[#This Row],[SITE2]],10),2),""))</f>
        <v/>
      </c>
      <c r="H5" s="99"/>
    </row>
    <row r="6" spans="1:8">
      <c r="A6" s="119">
        <f>'BASE FINANCEIRO'!BI47</f>
        <v>0</v>
      </c>
      <c r="B6" s="24" t="str">
        <f t="shared" si="0"/>
        <v/>
      </c>
      <c r="C6" s="24" t="s">
        <v>2453</v>
      </c>
      <c r="D6" s="24" t="e">
        <f>IF(VLOOKUP('BASE FINANCEIRO'!BC47,'COD. PROJETOS'!B:D,3,0)="VIVO",MID('BASE FINANCEIRO'!BI47,36,3),IF(VLOOKUP('BASE FINANCEIRO'!BC47,'COD. PROJETOS'!B:D,3,0),MID('BASE FINANCEIRO'!BI47,36,7),IF(VLOOKUP('BASE FINANCEIRO'!BC47,'COD. PROJETOS'!B:D,3,0),MID('BASE FINANCEIRO'!BI47,36,9),"PROJETO?")))</f>
        <v>#N/A</v>
      </c>
      <c r="E6" s="24" t="e">
        <f>VLOOKUP(D6,'BASE MUNICÍPIO'!B3:C24722,2,0)</f>
        <v>#N/A</v>
      </c>
      <c r="F6" s="98" t="e">
        <f>VLOOKUP(D6,'BASE MUNICÍPIO'!B3:D24722,3,0)</f>
        <v>#N/A</v>
      </c>
      <c r="G6" s="118" t="str">
        <f>IF(Tabela4[[#This Row],[PROJETO]]="CLARO",LEFT(Tabela4[[#This Row],[SITE2]],2),IF(Tabela4[[#This Row],[PROJETO]]="VIVO",RIGHT(LEFT(Tabela4[[#This Row],[SITE2]],10),2),""))</f>
        <v/>
      </c>
      <c r="H6" s="99"/>
    </row>
    <row r="7" spans="1:8">
      <c r="A7" s="119">
        <f>'BASE FINANCEIRO'!BI48</f>
        <v>0</v>
      </c>
      <c r="B7" s="24" t="str">
        <f t="shared" si="0"/>
        <v/>
      </c>
      <c r="C7" s="24" t="s">
        <v>2453</v>
      </c>
      <c r="D7" s="24" t="e">
        <f>IF(VLOOKUP('BASE FINANCEIRO'!BC48,'COD. PROJETOS'!B:D,3,0)="VIVO",MID('BASE FINANCEIRO'!BI48,36,3),IF(VLOOKUP('BASE FINANCEIRO'!BC48,'COD. PROJETOS'!B:D,3,0),MID('BASE FINANCEIRO'!BI48,36,7),IF(VLOOKUP('BASE FINANCEIRO'!BC48,'COD. PROJETOS'!B:D,3,0),MID('BASE FINANCEIRO'!BI48,36,9),"PROJETO?")))</f>
        <v>#N/A</v>
      </c>
      <c r="E7" s="24" t="e">
        <f>VLOOKUP(D7,'BASE MUNICÍPIO'!B4:C24723,2,0)</f>
        <v>#N/A</v>
      </c>
      <c r="F7" s="98" t="e">
        <f>VLOOKUP(D7,'BASE MUNICÍPIO'!B4:D24723,3,0)</f>
        <v>#N/A</v>
      </c>
      <c r="G7" s="118" t="str">
        <f>IF(Tabela4[[#This Row],[PROJETO]]="CLARO",LEFT(Tabela4[[#This Row],[SITE2]],2),IF(Tabela4[[#This Row],[PROJETO]]="VIVO",RIGHT(LEFT(Tabela4[[#This Row],[SITE2]],10),2),""))</f>
        <v/>
      </c>
      <c r="H7" s="99"/>
    </row>
    <row r="8" spans="1:8">
      <c r="A8" s="119">
        <f>'BASE FINANCEIRO'!BI49</f>
        <v>0</v>
      </c>
      <c r="B8" s="24" t="str">
        <f t="shared" si="0"/>
        <v/>
      </c>
      <c r="C8" s="24" t="s">
        <v>2453</v>
      </c>
      <c r="D8" s="24" t="e">
        <f>IF(VLOOKUP('BASE FINANCEIRO'!BC49,'COD. PROJETOS'!B:D,3,0)="VIVO",MID('BASE FINANCEIRO'!BI49,36,3),IF(VLOOKUP('BASE FINANCEIRO'!BC49,'COD. PROJETOS'!B:D,3,0),MID('BASE FINANCEIRO'!BI49,36,7),IF(VLOOKUP('BASE FINANCEIRO'!BC49,'COD. PROJETOS'!B:D,3,0),MID('BASE FINANCEIRO'!BI49,36,9),"PROJETO?")))</f>
        <v>#N/A</v>
      </c>
      <c r="E8" s="24" t="e">
        <f>VLOOKUP(D8,'BASE MUNICÍPIO'!B5:C24724,2,0)</f>
        <v>#N/A</v>
      </c>
      <c r="F8" s="98" t="e">
        <f>VLOOKUP(D8,'BASE MUNICÍPIO'!B5:D24724,3,0)</f>
        <v>#N/A</v>
      </c>
      <c r="G8" s="118" t="str">
        <f>IF(Tabela4[[#This Row],[PROJETO]]="CLARO",LEFT(Tabela4[[#This Row],[SITE2]],2),IF(Tabela4[[#This Row],[PROJETO]]="VIVO",RIGHT(LEFT(Tabela4[[#This Row],[SITE2]],10),2),""))</f>
        <v/>
      </c>
      <c r="H8" s="99"/>
    </row>
    <row r="9" spans="1:8">
      <c r="A9" s="119">
        <f>'BASE FINANCEIRO'!BI50</f>
        <v>0</v>
      </c>
      <c r="B9" s="24" t="str">
        <f t="shared" si="0"/>
        <v/>
      </c>
      <c r="C9" s="24" t="s">
        <v>2455</v>
      </c>
      <c r="D9" s="24" t="e">
        <f>IF(VLOOKUP('BASE FINANCEIRO'!BC50,'COD. PROJETOS'!B:D,3,0)="VIVO",MID('BASE FINANCEIRO'!BI50,36,3),IF(VLOOKUP('BASE FINANCEIRO'!BC50,'COD. PROJETOS'!B:D,3,0),MID('BASE FINANCEIRO'!BI50,36,7),IF(VLOOKUP('BASE FINANCEIRO'!BC50,'COD. PROJETOS'!B:D,3,0),MID('BASE FINANCEIRO'!BI50,36,9),"PROJETO?")))</f>
        <v>#N/A</v>
      </c>
      <c r="E9" s="24" t="e">
        <f>VLOOKUP(D9,'BASE MUNICÍPIO'!B6:C24725,2,0)</f>
        <v>#N/A</v>
      </c>
      <c r="F9" s="98" t="e">
        <f>VLOOKUP(D9,'BASE MUNICÍPIO'!B6:D24725,3,0)</f>
        <v>#N/A</v>
      </c>
      <c r="G9" s="118" t="str">
        <f>IF(Tabela4[[#This Row],[PROJETO]]="CLARO",LEFT(Tabela4[[#This Row],[SITE2]],2),IF(Tabela4[[#This Row],[PROJETO]]="VIVO",RIGHT(LEFT(Tabela4[[#This Row],[SITE2]],10),2),""))</f>
        <v/>
      </c>
      <c r="H9" s="99"/>
    </row>
    <row r="10" spans="1:8">
      <c r="A10" s="119">
        <f>'BASE FINANCEIRO'!BI51</f>
        <v>0</v>
      </c>
      <c r="B10" s="24" t="str">
        <f t="shared" si="0"/>
        <v/>
      </c>
      <c r="C10" s="24" t="s">
        <v>2453</v>
      </c>
      <c r="D10" s="24" t="e">
        <f>IF(VLOOKUP('BASE FINANCEIRO'!BC51,'COD. PROJETOS'!B:D,3,0)="VIVO",MID('BASE FINANCEIRO'!BI51,36,3),IF(VLOOKUP('BASE FINANCEIRO'!BC51,'COD. PROJETOS'!B:D,3,0),MID('BASE FINANCEIRO'!BI51,36,7),IF(VLOOKUP('BASE FINANCEIRO'!BC51,'COD. PROJETOS'!B:D,3,0),MID('BASE FINANCEIRO'!BI51,36,9),"PROJETO?")))</f>
        <v>#N/A</v>
      </c>
      <c r="E10" s="24" t="e">
        <f>VLOOKUP(D10,'BASE MUNICÍPIO'!B7:C24726,2,0)</f>
        <v>#N/A</v>
      </c>
      <c r="F10" s="98" t="e">
        <f>VLOOKUP(D10,'BASE MUNICÍPIO'!B7:D24726,3,0)</f>
        <v>#N/A</v>
      </c>
      <c r="G10" s="118" t="str">
        <f>IF(Tabela4[[#This Row],[PROJETO]]="CLARO",LEFT(Tabela4[[#This Row],[SITE2]],2),IF(Tabela4[[#This Row],[PROJETO]]="VIVO",RIGHT(LEFT(Tabela4[[#This Row],[SITE2]],10),2),""))</f>
        <v/>
      </c>
      <c r="H10" s="99"/>
    </row>
    <row r="11" spans="1:8">
      <c r="A11" s="119">
        <f>'BASE FINANCEIRO'!BI52</f>
        <v>0</v>
      </c>
      <c r="B11" s="24" t="str">
        <f t="shared" si="0"/>
        <v/>
      </c>
      <c r="C11" s="24" t="s">
        <v>2453</v>
      </c>
      <c r="D11" s="24" t="e">
        <f>IF(VLOOKUP('BASE FINANCEIRO'!BC52,'COD. PROJETOS'!B:D,3,0)="VIVO",MID('BASE FINANCEIRO'!BI52,36,3),IF(VLOOKUP('BASE FINANCEIRO'!BC52,'COD. PROJETOS'!B:D,3,0),MID('BASE FINANCEIRO'!BI52,36,7),IF(VLOOKUP('BASE FINANCEIRO'!BC52,'COD. PROJETOS'!B:D,3,0),MID('BASE FINANCEIRO'!BI52,36,9),"PROJETO?")))</f>
        <v>#N/A</v>
      </c>
      <c r="E11" s="24" t="e">
        <f>VLOOKUP(D11,'BASE MUNICÍPIO'!B8:C24727,2,0)</f>
        <v>#N/A</v>
      </c>
      <c r="F11" s="98" t="e">
        <f>VLOOKUP(D11,'BASE MUNICÍPIO'!B8:D24727,3,0)</f>
        <v>#N/A</v>
      </c>
      <c r="G11" s="118" t="str">
        <f>IF(Tabela4[[#This Row],[PROJETO]]="CLARO",LEFT(Tabela4[[#This Row],[SITE2]],2),IF(Tabela4[[#This Row],[PROJETO]]="VIVO",RIGHT(LEFT(Tabela4[[#This Row],[SITE2]],10),2),""))</f>
        <v/>
      </c>
      <c r="H11" s="99"/>
    </row>
    <row r="12" spans="1:8">
      <c r="A12" s="119">
        <f>'BASE FINANCEIRO'!BI53</f>
        <v>0</v>
      </c>
      <c r="B12" s="24" t="str">
        <f t="shared" si="0"/>
        <v/>
      </c>
      <c r="C12" s="24" t="s">
        <v>2453</v>
      </c>
      <c r="D12" s="24" t="e">
        <f>IF(VLOOKUP('BASE FINANCEIRO'!BC53,'COD. PROJETOS'!B:D,3,0)="VIVO",MID('BASE FINANCEIRO'!BI53,36,3),IF(VLOOKUP('BASE FINANCEIRO'!BC53,'COD. PROJETOS'!B:D,3,0),MID('BASE FINANCEIRO'!BI53,36,7),IF(VLOOKUP('BASE FINANCEIRO'!BC53,'COD. PROJETOS'!B:D,3,0),MID('BASE FINANCEIRO'!BI53,36,9),"PROJETO?")))</f>
        <v>#N/A</v>
      </c>
      <c r="E12" s="24" t="e">
        <f>VLOOKUP(D12,'BASE MUNICÍPIO'!B9:C24728,2,0)</f>
        <v>#N/A</v>
      </c>
      <c r="F12" s="98" t="e">
        <f>VLOOKUP(D12,'BASE MUNICÍPIO'!B9:D24728,3,0)</f>
        <v>#N/A</v>
      </c>
      <c r="G12" s="118" t="str">
        <f>IF(Tabela4[[#This Row],[PROJETO]]="CLARO",LEFT(Tabela4[[#This Row],[SITE2]],2),IF(Tabela4[[#This Row],[PROJETO]]="VIVO",RIGHT(LEFT(Tabela4[[#This Row],[SITE2]],10),2),""))</f>
        <v/>
      </c>
      <c r="H12" s="99"/>
    </row>
    <row r="13" spans="1:8">
      <c r="A13" s="119">
        <f>'BASE FINANCEIRO'!BI54</f>
        <v>0</v>
      </c>
      <c r="B13" s="24" t="str">
        <f t="shared" si="0"/>
        <v/>
      </c>
      <c r="C13" s="24" t="s">
        <v>2453</v>
      </c>
      <c r="D13" s="24" t="e">
        <f>IF(VLOOKUP('BASE FINANCEIRO'!BC54,'COD. PROJETOS'!B:D,3,0)="VIVO",MID('BASE FINANCEIRO'!BI54,36,3),IF(VLOOKUP('BASE FINANCEIRO'!BC54,'COD. PROJETOS'!B:D,3,0),MID('BASE FINANCEIRO'!BI54,36,7),IF(VLOOKUP('BASE FINANCEIRO'!BC54,'COD. PROJETOS'!B:D,3,0),MID('BASE FINANCEIRO'!BI54,36,9),"PROJETO?")))</f>
        <v>#N/A</v>
      </c>
      <c r="E13" s="24" t="e">
        <f>VLOOKUP(D13,'BASE MUNICÍPIO'!B10:C24729,2,0)</f>
        <v>#N/A</v>
      </c>
      <c r="F13" s="98" t="e">
        <f>VLOOKUP(D13,'BASE MUNICÍPIO'!B10:D24729,3,0)</f>
        <v>#N/A</v>
      </c>
      <c r="G13" s="118" t="str">
        <f>IF(Tabela4[[#This Row],[PROJETO]]="CLARO",LEFT(Tabela4[[#This Row],[SITE2]],2),IF(Tabela4[[#This Row],[PROJETO]]="VIVO",RIGHT(LEFT(Tabela4[[#This Row],[SITE2]],10),2),""))</f>
        <v/>
      </c>
      <c r="H13" s="99"/>
    </row>
    <row r="14" spans="1:8">
      <c r="A14" s="119">
        <f>'BASE FINANCEIRO'!BI55</f>
        <v>0</v>
      </c>
      <c r="B14" s="24" t="str">
        <f t="shared" si="0"/>
        <v/>
      </c>
      <c r="C14" s="24" t="s">
        <v>2453</v>
      </c>
      <c r="D14" s="24" t="e">
        <f>IF(VLOOKUP('BASE FINANCEIRO'!BC55,'COD. PROJETOS'!B:D,3,0)="VIVO",MID('BASE FINANCEIRO'!BI55,36,3),IF(VLOOKUP('BASE FINANCEIRO'!BC55,'COD. PROJETOS'!B:D,3,0),MID('BASE FINANCEIRO'!BI55,36,7),IF(VLOOKUP('BASE FINANCEIRO'!BC55,'COD. PROJETOS'!B:D,3,0),MID('BASE FINANCEIRO'!BI55,36,9),"PROJETO?")))</f>
        <v>#N/A</v>
      </c>
      <c r="E14" s="24" t="e">
        <f>VLOOKUP(D14,'BASE MUNICÍPIO'!B11:C24730,2,0)</f>
        <v>#N/A</v>
      </c>
      <c r="F14" s="98" t="e">
        <f>VLOOKUP(D14,'BASE MUNICÍPIO'!B11:D24730,3,0)</f>
        <v>#N/A</v>
      </c>
      <c r="G14" s="118" t="str">
        <f>IF(Tabela4[[#This Row],[PROJETO]]="CLARO",LEFT(Tabela4[[#This Row],[SITE2]],2),IF(Tabela4[[#This Row],[PROJETO]]="VIVO",RIGHT(LEFT(Tabela4[[#This Row],[SITE2]],10),2),""))</f>
        <v/>
      </c>
      <c r="H14" s="99"/>
    </row>
    <row r="15" spans="1:8">
      <c r="A15" s="119">
        <f>'BASE FINANCEIRO'!BI56</f>
        <v>0</v>
      </c>
      <c r="B15" s="24" t="str">
        <f t="shared" si="0"/>
        <v/>
      </c>
      <c r="C15" s="24" t="s">
        <v>2453</v>
      </c>
      <c r="D15" s="24" t="e">
        <f>IF(VLOOKUP('BASE FINANCEIRO'!BC56,'COD. PROJETOS'!B:D,3,0)="VIVO",MID('BASE FINANCEIRO'!BI56,36,3),IF(VLOOKUP('BASE FINANCEIRO'!BC56,'COD. PROJETOS'!B:D,3,0),MID('BASE FINANCEIRO'!BI56,36,7),IF(VLOOKUP('BASE FINANCEIRO'!BC56,'COD. PROJETOS'!B:D,3,0),MID('BASE FINANCEIRO'!BI56,36,9),"PROJETO?")))</f>
        <v>#N/A</v>
      </c>
      <c r="E15" s="24" t="e">
        <f>VLOOKUP(D15,'BASE MUNICÍPIO'!B12:C24731,2,0)</f>
        <v>#N/A</v>
      </c>
      <c r="F15" s="98" t="e">
        <f>VLOOKUP(D15,'BASE MUNICÍPIO'!B12:D24731,3,0)</f>
        <v>#N/A</v>
      </c>
      <c r="G15" s="118" t="str">
        <f>IF(Tabela4[[#This Row],[PROJETO]]="CLARO",LEFT(Tabela4[[#This Row],[SITE2]],2),IF(Tabela4[[#This Row],[PROJETO]]="VIVO",RIGHT(LEFT(Tabela4[[#This Row],[SITE2]],10),2),""))</f>
        <v/>
      </c>
      <c r="H15" s="99"/>
    </row>
    <row r="16" spans="1:8">
      <c r="A16" s="119">
        <f>'BASE FINANCEIRO'!BI57</f>
        <v>0</v>
      </c>
      <c r="B16" s="24" t="str">
        <f t="shared" si="0"/>
        <v/>
      </c>
      <c r="C16" s="24" t="s">
        <v>2453</v>
      </c>
      <c r="D16" s="24" t="e">
        <f>IF(VLOOKUP('BASE FINANCEIRO'!BC57,'COD. PROJETOS'!B:D,3,0)="VIVO",MID('BASE FINANCEIRO'!BI57,36,3),IF(VLOOKUP('BASE FINANCEIRO'!BC57,'COD. PROJETOS'!B:D,3,0),MID('BASE FINANCEIRO'!BI57,36,7),IF(VLOOKUP('BASE FINANCEIRO'!BC57,'COD. PROJETOS'!B:D,3,0),MID('BASE FINANCEIRO'!BI57,36,9),"PROJETO?")))</f>
        <v>#N/A</v>
      </c>
      <c r="E16" s="24" t="e">
        <f>VLOOKUP(D16,'BASE MUNICÍPIO'!B13:C24732,2,0)</f>
        <v>#N/A</v>
      </c>
      <c r="F16" s="98" t="e">
        <f>VLOOKUP(D16,'BASE MUNICÍPIO'!B13:D24732,3,0)</f>
        <v>#N/A</v>
      </c>
      <c r="G16" s="118" t="str">
        <f>IF(Tabela4[[#This Row],[PROJETO]]="CLARO",LEFT(Tabela4[[#This Row],[SITE2]],2),IF(Tabela4[[#This Row],[PROJETO]]="VIVO",RIGHT(LEFT(Tabela4[[#This Row],[SITE2]],10),2),""))</f>
        <v/>
      </c>
      <c r="H16" s="99"/>
    </row>
    <row r="17" spans="1:8">
      <c r="A17" s="119">
        <f>'BASE FINANCEIRO'!BI58</f>
        <v>0</v>
      </c>
      <c r="B17" s="24" t="str">
        <f t="shared" si="0"/>
        <v/>
      </c>
      <c r="C17" s="24" t="s">
        <v>2453</v>
      </c>
      <c r="D17" s="24" t="e">
        <f>IF(VLOOKUP('BASE FINANCEIRO'!BC58,'COD. PROJETOS'!B:D,3,0)="VIVO",MID('BASE FINANCEIRO'!BI58,36,3),IF(VLOOKUP('BASE FINANCEIRO'!BC58,'COD. PROJETOS'!B:D,3,0),MID('BASE FINANCEIRO'!BI58,36,7),IF(VLOOKUP('BASE FINANCEIRO'!BC58,'COD. PROJETOS'!B:D,3,0),MID('BASE FINANCEIRO'!BI58,36,9),"PROJETO?")))</f>
        <v>#N/A</v>
      </c>
      <c r="E17" s="24" t="e">
        <f>VLOOKUP(D17,'BASE MUNICÍPIO'!B14:C24733,2,0)</f>
        <v>#N/A</v>
      </c>
      <c r="F17" s="98" t="e">
        <f>VLOOKUP(D17,'BASE MUNICÍPIO'!B14:D24733,3,0)</f>
        <v>#N/A</v>
      </c>
      <c r="G17" s="118" t="str">
        <f>IF(Tabela4[[#This Row],[PROJETO]]="CLARO",LEFT(Tabela4[[#This Row],[SITE2]],2),IF(Tabela4[[#This Row],[PROJETO]]="VIVO",RIGHT(LEFT(Tabela4[[#This Row],[SITE2]],10),2),""))</f>
        <v/>
      </c>
      <c r="H17" s="99"/>
    </row>
    <row r="18" spans="1:8">
      <c r="A18" s="119" t="e">
        <f>'BASE FINANCEIRO'!#REF!</f>
        <v>#REF!</v>
      </c>
      <c r="B18" s="24" t="e">
        <f t="shared" si="0"/>
        <v>#REF!</v>
      </c>
      <c r="C18" s="24" t="s">
        <v>2453</v>
      </c>
      <c r="D18" s="24" t="e">
        <f>IF(VLOOKUP('BASE FINANCEIRO'!#REF!,'COD. PROJETOS'!B:D,3,0)="VIVO",MID('BASE FINANCEIRO'!#REF!,36,3),IF(VLOOKUP('BASE FINANCEIRO'!#REF!,'COD. PROJETOS'!B:D,3,0),MID('BASE FINANCEIRO'!#REF!,36,7),IF(VLOOKUP('BASE FINANCEIRO'!#REF!,'COD. PROJETOS'!B:D,3,0),MID('BASE FINANCEIRO'!#REF!,36,9),"PROJETO?")))</f>
        <v>#REF!</v>
      </c>
      <c r="E18" s="24" t="e">
        <f>VLOOKUP(D18,'BASE MUNICÍPIO'!B15:C24734,2,0)</f>
        <v>#REF!</v>
      </c>
      <c r="F18" s="98" t="e">
        <f>VLOOKUP(D18,'BASE MUNICÍPIO'!B15:D24734,3,0)</f>
        <v>#REF!</v>
      </c>
      <c r="G18" s="118" t="e">
        <f>IF(Tabela4[[#This Row],[PROJETO]]="CLARO",LEFT(Tabela4[[#This Row],[SITE2]],2),IF(Tabela4[[#This Row],[PROJETO]]="VIVO",RIGHT(LEFT(Tabela4[[#This Row],[SITE2]],10),2),""))</f>
        <v>#REF!</v>
      </c>
      <c r="H18" s="99"/>
    </row>
    <row r="19" spans="1:8">
      <c r="A19" s="119">
        <f>'BASE FINANCEIRO'!BI59</f>
        <v>0</v>
      </c>
      <c r="B19" s="24" t="str">
        <f t="shared" si="0"/>
        <v/>
      </c>
      <c r="C19" s="24" t="s">
        <v>2453</v>
      </c>
      <c r="D19" s="24" t="e">
        <f>IF(VLOOKUP('BASE FINANCEIRO'!BC59,'COD. PROJETOS'!B:D,3,0)="VIVO",MID('BASE FINANCEIRO'!BI59,36,3),IF(VLOOKUP('BASE FINANCEIRO'!BC59,'COD. PROJETOS'!B:D,3,0),MID('BASE FINANCEIRO'!BI59,36,7),IF(VLOOKUP('BASE FINANCEIRO'!BC59,'COD. PROJETOS'!B:D,3,0),MID('BASE FINANCEIRO'!BI59,36,9),"PROJETO?")))</f>
        <v>#N/A</v>
      </c>
      <c r="E19" s="24" t="e">
        <f>VLOOKUP(D19,'BASE MUNICÍPIO'!B16:C24735,2,0)</f>
        <v>#N/A</v>
      </c>
      <c r="F19" s="98" t="e">
        <f>VLOOKUP(D19,'BASE MUNICÍPIO'!B16:D24735,3,0)</f>
        <v>#N/A</v>
      </c>
      <c r="G19" s="118" t="str">
        <f>IF(Tabela4[[#This Row],[PROJETO]]="CLARO",LEFT(Tabela4[[#This Row],[SITE2]],2),IF(Tabela4[[#This Row],[PROJETO]]="VIVO",RIGHT(LEFT(Tabela4[[#This Row],[SITE2]],10),2),""))</f>
        <v/>
      </c>
      <c r="H19" s="99"/>
    </row>
    <row r="20" spans="1:8">
      <c r="A20" s="119">
        <f>'BASE FINANCEIRO'!BI60</f>
        <v>0</v>
      </c>
      <c r="B20" s="24" t="str">
        <f t="shared" si="0"/>
        <v/>
      </c>
      <c r="C20" s="24" t="s">
        <v>2453</v>
      </c>
      <c r="D20" s="24" t="e">
        <f>IF(VLOOKUP('BASE FINANCEIRO'!BC60,'COD. PROJETOS'!B:D,3,0)="VIVO",MID('BASE FINANCEIRO'!BI60,36,3),IF(VLOOKUP('BASE FINANCEIRO'!BC60,'COD. PROJETOS'!B:D,3,0),MID('BASE FINANCEIRO'!BI60,36,7),IF(VLOOKUP('BASE FINANCEIRO'!BC60,'COD. PROJETOS'!B:D,3,0),MID('BASE FINANCEIRO'!BI60,36,9),"PROJETO?")))</f>
        <v>#N/A</v>
      </c>
      <c r="E20" s="24" t="e">
        <f>VLOOKUP(D20,'BASE MUNICÍPIO'!B17:C24736,2,0)</f>
        <v>#N/A</v>
      </c>
      <c r="F20" s="98" t="e">
        <f>VLOOKUP(D20,'BASE MUNICÍPIO'!B17:D24736,3,0)</f>
        <v>#N/A</v>
      </c>
      <c r="G20" s="118" t="str">
        <f>IF(Tabela4[[#This Row],[PROJETO]]="CLARO",LEFT(Tabela4[[#This Row],[SITE2]],2),IF(Tabela4[[#This Row],[PROJETO]]="VIVO",RIGHT(LEFT(Tabela4[[#This Row],[SITE2]],10),2),""))</f>
        <v/>
      </c>
      <c r="H20" s="99"/>
    </row>
    <row r="21" spans="1:8">
      <c r="A21" s="119">
        <f>'BASE FINANCEIRO'!BI61</f>
        <v>0</v>
      </c>
      <c r="B21" s="24" t="str">
        <f t="shared" si="0"/>
        <v/>
      </c>
      <c r="C21" s="24" t="s">
        <v>2453</v>
      </c>
      <c r="D21" s="24" t="e">
        <f>IF(VLOOKUP('BASE FINANCEIRO'!BC61,'COD. PROJETOS'!B:D,3,0)="VIVO",MID('BASE FINANCEIRO'!BI61,36,3),IF(VLOOKUP('BASE FINANCEIRO'!BC61,'COD. PROJETOS'!B:D,3,0),MID('BASE FINANCEIRO'!BI61,36,7),IF(VLOOKUP('BASE FINANCEIRO'!BC61,'COD. PROJETOS'!B:D,3,0),MID('BASE FINANCEIRO'!BI61,36,9),"PROJETO?")))</f>
        <v>#N/A</v>
      </c>
      <c r="E21" s="24" t="e">
        <f>VLOOKUP(D21,'BASE MUNICÍPIO'!B18:C24737,2,0)</f>
        <v>#N/A</v>
      </c>
      <c r="F21" s="98" t="e">
        <f>VLOOKUP(D21,'BASE MUNICÍPIO'!B18:D24737,3,0)</f>
        <v>#N/A</v>
      </c>
      <c r="G21" s="118" t="str">
        <f>IF(Tabela4[[#This Row],[PROJETO]]="CLARO",LEFT(Tabela4[[#This Row],[SITE2]],2),IF(Tabela4[[#This Row],[PROJETO]]="VIVO",RIGHT(LEFT(Tabela4[[#This Row],[SITE2]],10),2),""))</f>
        <v/>
      </c>
      <c r="H21" s="99"/>
    </row>
    <row r="22" spans="1:8">
      <c r="A22" s="119">
        <f>'BASE FINANCEIRO'!BI62</f>
        <v>0</v>
      </c>
      <c r="B22" s="24" t="str">
        <f t="shared" si="0"/>
        <v/>
      </c>
      <c r="C22" s="24" t="s">
        <v>2453</v>
      </c>
      <c r="D22" s="24" t="e">
        <f>IF(VLOOKUP('BASE FINANCEIRO'!BC62,'COD. PROJETOS'!B:D,3,0)="VIVO",MID('BASE FINANCEIRO'!BI62,36,3),IF(VLOOKUP('BASE FINANCEIRO'!BC62,'COD. PROJETOS'!B:D,3,0),MID('BASE FINANCEIRO'!BI62,36,7),IF(VLOOKUP('BASE FINANCEIRO'!BC62,'COD. PROJETOS'!B:D,3,0),MID('BASE FINANCEIRO'!BI62,36,9),"PROJETO?")))</f>
        <v>#N/A</v>
      </c>
      <c r="E22" s="24" t="e">
        <f>VLOOKUP(D22,'BASE MUNICÍPIO'!B19:C24738,2,0)</f>
        <v>#N/A</v>
      </c>
      <c r="F22" s="98" t="e">
        <f>VLOOKUP(D22,'BASE MUNICÍPIO'!B19:D24738,3,0)</f>
        <v>#N/A</v>
      </c>
      <c r="G22" s="118" t="str">
        <f>IF(Tabela4[[#This Row],[PROJETO]]="CLARO",LEFT(Tabela4[[#This Row],[SITE2]],2),IF(Tabela4[[#This Row],[PROJETO]]="VIVO",RIGHT(LEFT(Tabela4[[#This Row],[SITE2]],10),2),""))</f>
        <v/>
      </c>
      <c r="H22" s="99"/>
    </row>
    <row r="23" spans="1:8">
      <c r="A23" s="119">
        <f>'BASE FINANCEIRO'!BI63</f>
        <v>0</v>
      </c>
      <c r="B23" s="24" t="str">
        <f t="shared" si="0"/>
        <v/>
      </c>
      <c r="C23" s="24" t="s">
        <v>2453</v>
      </c>
      <c r="D23" s="24" t="e">
        <f>IF(VLOOKUP('BASE FINANCEIRO'!BC63,'COD. PROJETOS'!B:D,3,0)="VIVO",MID('BASE FINANCEIRO'!BI63,36,3),IF(VLOOKUP('BASE FINANCEIRO'!BC63,'COD. PROJETOS'!B:D,3,0),MID('BASE FINANCEIRO'!BI63,36,7),IF(VLOOKUP('BASE FINANCEIRO'!BC63,'COD. PROJETOS'!B:D,3,0),MID('BASE FINANCEIRO'!BI63,36,9),"PROJETO?")))</f>
        <v>#N/A</v>
      </c>
      <c r="E23" s="24" t="e">
        <f>VLOOKUP(D23,'BASE MUNICÍPIO'!B20:C24739,2,0)</f>
        <v>#N/A</v>
      </c>
      <c r="F23" s="98" t="e">
        <f>VLOOKUP(D23,'BASE MUNICÍPIO'!B20:D24739,3,0)</f>
        <v>#N/A</v>
      </c>
      <c r="G23" s="118" t="str">
        <f>IF(Tabela4[[#This Row],[PROJETO]]="CLARO",LEFT(Tabela4[[#This Row],[SITE2]],2),IF(Tabela4[[#This Row],[PROJETO]]="VIVO",RIGHT(LEFT(Tabela4[[#This Row],[SITE2]],10),2),""))</f>
        <v/>
      </c>
      <c r="H23" s="99"/>
    </row>
    <row r="24" spans="1:8">
      <c r="A24" s="119">
        <f>'BASE FINANCEIRO'!BI64</f>
        <v>0</v>
      </c>
      <c r="B24" s="24" t="str">
        <f t="shared" si="0"/>
        <v/>
      </c>
      <c r="C24" s="24" t="s">
        <v>2453</v>
      </c>
      <c r="D24" s="24" t="e">
        <f>IF(VLOOKUP('BASE FINANCEIRO'!BC64,'COD. PROJETOS'!B:D,3,0)="VIVO",MID('BASE FINANCEIRO'!BI64,36,3),IF(VLOOKUP('BASE FINANCEIRO'!BC64,'COD. PROJETOS'!B:D,3,0),MID('BASE FINANCEIRO'!BI64,36,7),IF(VLOOKUP('BASE FINANCEIRO'!BC64,'COD. PROJETOS'!B:D,3,0),MID('BASE FINANCEIRO'!BI64,36,9),"PROJETO?")))</f>
        <v>#N/A</v>
      </c>
      <c r="E24" s="24" t="e">
        <f>VLOOKUP(D24,'BASE MUNICÍPIO'!B21:C24740,2,0)</f>
        <v>#N/A</v>
      </c>
      <c r="F24" s="98" t="e">
        <f>VLOOKUP(D24,'BASE MUNICÍPIO'!B21:D24740,3,0)</f>
        <v>#N/A</v>
      </c>
      <c r="G24" s="118" t="str">
        <f>IF(Tabela4[[#This Row],[PROJETO]]="CLARO",LEFT(Tabela4[[#This Row],[SITE2]],2),IF(Tabela4[[#This Row],[PROJETO]]="VIVO",RIGHT(LEFT(Tabela4[[#This Row],[SITE2]],10),2),""))</f>
        <v/>
      </c>
      <c r="H24" s="99"/>
    </row>
    <row r="25" spans="1:8">
      <c r="A25" s="119">
        <f>'BASE FINANCEIRO'!BI65</f>
        <v>0</v>
      </c>
      <c r="B25" s="24" t="str">
        <f t="shared" si="0"/>
        <v/>
      </c>
      <c r="C25" s="24" t="s">
        <v>2453</v>
      </c>
      <c r="D25" s="24" t="e">
        <f>IF(VLOOKUP('BASE FINANCEIRO'!BC65,'COD. PROJETOS'!B:D,3,0)="VIVO",MID('BASE FINANCEIRO'!BI65,36,3),IF(VLOOKUP('BASE FINANCEIRO'!BC65,'COD. PROJETOS'!B:D,3,0),MID('BASE FINANCEIRO'!BI65,36,7),IF(VLOOKUP('BASE FINANCEIRO'!BC65,'COD. PROJETOS'!B:D,3,0),MID('BASE FINANCEIRO'!BI65,36,9),"PROJETO?")))</f>
        <v>#N/A</v>
      </c>
      <c r="E25" s="24" t="e">
        <f>VLOOKUP(D25,'BASE MUNICÍPIO'!B22:C24741,2,0)</f>
        <v>#N/A</v>
      </c>
      <c r="F25" s="98" t="e">
        <f>VLOOKUP(D25,'BASE MUNICÍPIO'!B22:D24741,3,0)</f>
        <v>#N/A</v>
      </c>
      <c r="G25" s="118" t="str">
        <f>IF(Tabela4[[#This Row],[PROJETO]]="CLARO",LEFT(Tabela4[[#This Row],[SITE2]],2),IF(Tabela4[[#This Row],[PROJETO]]="VIVO",RIGHT(LEFT(Tabela4[[#This Row],[SITE2]],10),2),""))</f>
        <v/>
      </c>
      <c r="H25" s="99"/>
    </row>
    <row r="26" spans="1:8">
      <c r="A26" s="119">
        <f>'BASE FINANCEIRO'!BI66</f>
        <v>0</v>
      </c>
      <c r="B26" s="24" t="str">
        <f t="shared" si="0"/>
        <v/>
      </c>
      <c r="C26" s="24" t="s">
        <v>2453</v>
      </c>
      <c r="D26" s="24" t="e">
        <f>IF(VLOOKUP('BASE FINANCEIRO'!BC66,'COD. PROJETOS'!B:D,3,0)="VIVO",MID('BASE FINANCEIRO'!BI66,36,3),IF(VLOOKUP('BASE FINANCEIRO'!BC66,'COD. PROJETOS'!B:D,3,0),MID('BASE FINANCEIRO'!BI66,36,7),IF(VLOOKUP('BASE FINANCEIRO'!BC66,'COD. PROJETOS'!B:D,3,0),MID('BASE FINANCEIRO'!BI66,36,9),"PROJETO?")))</f>
        <v>#N/A</v>
      </c>
      <c r="E26" s="24" t="e">
        <f>VLOOKUP(D26,'BASE MUNICÍPIO'!B23:C24742,2,0)</f>
        <v>#N/A</v>
      </c>
      <c r="F26" s="98" t="e">
        <f>VLOOKUP(D26,'BASE MUNICÍPIO'!B23:D24742,3,0)</f>
        <v>#N/A</v>
      </c>
      <c r="G26" s="118" t="str">
        <f>IF(Tabela4[[#This Row],[PROJETO]]="CLARO",LEFT(Tabela4[[#This Row],[SITE2]],2),IF(Tabela4[[#This Row],[PROJETO]]="VIVO",RIGHT(LEFT(Tabela4[[#This Row],[SITE2]],10),2),""))</f>
        <v/>
      </c>
      <c r="H26" s="99"/>
    </row>
    <row r="27" spans="1:8">
      <c r="A27" s="119">
        <f>'BASE FINANCEIRO'!BI67</f>
        <v>0</v>
      </c>
      <c r="B27" s="24" t="str">
        <f t="shared" si="0"/>
        <v/>
      </c>
      <c r="C27" s="24" t="s">
        <v>2453</v>
      </c>
      <c r="D27" s="24" t="e">
        <f>IF(VLOOKUP('BASE FINANCEIRO'!BC67,'COD. PROJETOS'!B:D,3,0)="VIVO",MID('BASE FINANCEIRO'!BI67,36,3),IF(VLOOKUP('BASE FINANCEIRO'!BC67,'COD. PROJETOS'!B:D,3,0),MID('BASE FINANCEIRO'!BI67,36,7),IF(VLOOKUP('BASE FINANCEIRO'!BC67,'COD. PROJETOS'!B:D,3,0),MID('BASE FINANCEIRO'!BI67,36,9),"PROJETO?")))</f>
        <v>#N/A</v>
      </c>
      <c r="E27" s="24" t="e">
        <f>VLOOKUP(D27,'BASE MUNICÍPIO'!B23:C24743,2,0)</f>
        <v>#N/A</v>
      </c>
      <c r="F27" s="98" t="e">
        <f>VLOOKUP(D27,'BASE MUNICÍPIO'!B23:D24743,3,0)</f>
        <v>#N/A</v>
      </c>
      <c r="G27" s="118" t="str">
        <f>IF(Tabela4[[#This Row],[PROJETO]]="CLARO",LEFT(Tabela4[[#This Row],[SITE2]],2),IF(Tabela4[[#This Row],[PROJETO]]="VIVO",RIGHT(LEFT(Tabela4[[#This Row],[SITE2]],10),2),""))</f>
        <v/>
      </c>
      <c r="H27" s="99"/>
    </row>
    <row r="28" spans="1:8">
      <c r="A28" s="119">
        <f>'BASE FINANCEIRO'!BI68</f>
        <v>0</v>
      </c>
      <c r="B28" s="24" t="str">
        <f t="shared" si="0"/>
        <v/>
      </c>
      <c r="C28" s="24" t="s">
        <v>2453</v>
      </c>
      <c r="D28" s="24" t="e">
        <f>IF(VLOOKUP('BASE FINANCEIRO'!BC68,'COD. PROJETOS'!B:D,3,0)="VIVO",MID('BASE FINANCEIRO'!BI68,36,3),IF(VLOOKUP('BASE FINANCEIRO'!BC68,'COD. PROJETOS'!B:D,3,0),MID('BASE FINANCEIRO'!BI68,36,7),IF(VLOOKUP('BASE FINANCEIRO'!BC68,'COD. PROJETOS'!B:D,3,0),MID('BASE FINANCEIRO'!BI68,36,9),"PROJETO?")))</f>
        <v>#N/A</v>
      </c>
      <c r="E28" s="24" t="e">
        <f>VLOOKUP(D28,'BASE MUNICÍPIO'!B23:C24744,2,0)</f>
        <v>#N/A</v>
      </c>
      <c r="F28" s="98" t="e">
        <f>VLOOKUP(D28,'BASE MUNICÍPIO'!B23:D24744,3,0)</f>
        <v>#N/A</v>
      </c>
      <c r="G28" s="118" t="str">
        <f>IF(Tabela4[[#This Row],[PROJETO]]="CLARO",LEFT(Tabela4[[#This Row],[SITE2]],2),IF(Tabela4[[#This Row],[PROJETO]]="VIVO",RIGHT(LEFT(Tabela4[[#This Row],[SITE2]],10),2),""))</f>
        <v/>
      </c>
      <c r="H28" s="99"/>
    </row>
    <row r="29" spans="1:8">
      <c r="A29" s="119">
        <f>'BASE FINANCEIRO'!BI69</f>
        <v>0</v>
      </c>
      <c r="B29" s="24" t="str">
        <f t="shared" si="0"/>
        <v/>
      </c>
      <c r="C29" s="24" t="s">
        <v>2453</v>
      </c>
      <c r="D29" s="24" t="e">
        <f>IF(VLOOKUP('BASE FINANCEIRO'!BC69,'COD. PROJETOS'!B:D,3,0)="VIVO",MID('BASE FINANCEIRO'!BI69,36,3),IF(VLOOKUP('BASE FINANCEIRO'!BC69,'COD. PROJETOS'!B:D,3,0),MID('BASE FINANCEIRO'!BI69,36,7),IF(VLOOKUP('BASE FINANCEIRO'!BC69,'COD. PROJETOS'!B:D,3,0),MID('BASE FINANCEIRO'!BI69,36,9),"PROJETO?")))</f>
        <v>#N/A</v>
      </c>
      <c r="E29" s="24" t="e">
        <f>VLOOKUP(D29,'BASE MUNICÍPIO'!B24:C24745,2,0)</f>
        <v>#N/A</v>
      </c>
      <c r="F29" s="98" t="e">
        <f>VLOOKUP(D29,'BASE MUNICÍPIO'!B24:D24745,3,0)</f>
        <v>#N/A</v>
      </c>
      <c r="G29" s="118" t="str">
        <f>IF(Tabela4[[#This Row],[PROJETO]]="CLARO",LEFT(Tabela4[[#This Row],[SITE2]],2),IF(Tabela4[[#This Row],[PROJETO]]="VIVO",RIGHT(LEFT(Tabela4[[#This Row],[SITE2]],10),2),""))</f>
        <v/>
      </c>
      <c r="H29" s="99"/>
    </row>
    <row r="30" spans="1:8">
      <c r="A30" s="119">
        <f>'BASE FINANCEIRO'!BI70</f>
        <v>0</v>
      </c>
      <c r="B30" s="24" t="str">
        <f t="shared" si="0"/>
        <v/>
      </c>
      <c r="C30" s="24" t="s">
        <v>2453</v>
      </c>
      <c r="D30" s="24" t="e">
        <f>IF(VLOOKUP('BASE FINANCEIRO'!BC70,'COD. PROJETOS'!B:D,3,0)="VIVO",MID('BASE FINANCEIRO'!BI70,36,3),IF(VLOOKUP('BASE FINANCEIRO'!BC70,'COD. PROJETOS'!B:D,3,0),MID('BASE FINANCEIRO'!BI70,36,7),IF(VLOOKUP('BASE FINANCEIRO'!BC70,'COD. PROJETOS'!B:D,3,0),MID('BASE FINANCEIRO'!BI70,36,9),"PROJETO?")))</f>
        <v>#N/A</v>
      </c>
      <c r="E30" s="24" t="e">
        <f>VLOOKUP(D30,'BASE MUNICÍPIO'!B24:C24746,2,0)</f>
        <v>#N/A</v>
      </c>
      <c r="F30" s="98" t="e">
        <f>VLOOKUP(D30,'BASE MUNICÍPIO'!B24:D24746,3,0)</f>
        <v>#N/A</v>
      </c>
      <c r="G30" s="118" t="str">
        <f>IF(Tabela4[[#This Row],[PROJETO]]="CLARO",LEFT(Tabela4[[#This Row],[SITE2]],2),IF(Tabela4[[#This Row],[PROJETO]]="VIVO",RIGHT(LEFT(Tabela4[[#This Row],[SITE2]],10),2),""))</f>
        <v/>
      </c>
      <c r="H30" s="99"/>
    </row>
    <row r="31" spans="1:8">
      <c r="A31" s="119" t="e">
        <f>'BASE FINANCEIRO'!#REF!</f>
        <v>#REF!</v>
      </c>
      <c r="B31" s="24" t="e">
        <f t="shared" si="0"/>
        <v>#REF!</v>
      </c>
      <c r="C31" s="24" t="s">
        <v>2453</v>
      </c>
      <c r="D31" s="24" t="e">
        <f>IF(VLOOKUP('BASE FINANCEIRO'!#REF!,'COD. PROJETOS'!B:D,3,0)="VIVO",MID('BASE FINANCEIRO'!#REF!,36,3),IF(VLOOKUP('BASE FINANCEIRO'!#REF!,'COD. PROJETOS'!B:D,3,0),MID('BASE FINANCEIRO'!#REF!,36,7),IF(VLOOKUP('BASE FINANCEIRO'!#REF!,'COD. PROJETOS'!B:D,3,0),MID('BASE FINANCEIRO'!#REF!,36,9),"PROJETO?")))</f>
        <v>#REF!</v>
      </c>
      <c r="E31" s="24" t="e">
        <f>VLOOKUP(D31,'BASE MUNICÍPIO'!B25:C24747,2,0)</f>
        <v>#REF!</v>
      </c>
      <c r="F31" s="98" t="e">
        <f>VLOOKUP(D31,'BASE MUNICÍPIO'!B25:D24747,3,0)</f>
        <v>#REF!</v>
      </c>
      <c r="G31" s="118" t="e">
        <f>IF(Tabela4[[#This Row],[PROJETO]]="CLARO",LEFT(Tabela4[[#This Row],[SITE2]],2),IF(Tabela4[[#This Row],[PROJETO]]="VIVO",RIGHT(LEFT(Tabela4[[#This Row],[SITE2]],10),2),""))</f>
        <v>#REF!</v>
      </c>
      <c r="H31" s="99"/>
    </row>
    <row r="32" spans="1:8">
      <c r="A32" s="119">
        <f>'BASE FINANCEIRO'!BI71</f>
        <v>0</v>
      </c>
      <c r="B32" s="24" t="str">
        <f t="shared" si="0"/>
        <v/>
      </c>
      <c r="C32" s="24" t="s">
        <v>2453</v>
      </c>
      <c r="D32" s="24" t="e">
        <f>IF(VLOOKUP('BASE FINANCEIRO'!BC71,'COD. PROJETOS'!B:D,3,0)="VIVO",MID('BASE FINANCEIRO'!BI71,36,3),IF(VLOOKUP('BASE FINANCEIRO'!BC71,'COD. PROJETOS'!B:D,3,0),MID('BASE FINANCEIRO'!BI71,36,7),IF(VLOOKUP('BASE FINANCEIRO'!BC71,'COD. PROJETOS'!B:D,3,0),MID('BASE FINANCEIRO'!BI71,36,9),"PROJETO?")))</f>
        <v>#N/A</v>
      </c>
      <c r="E32" s="24" t="e">
        <f>VLOOKUP(D32,'BASE MUNICÍPIO'!B26:C24748,2,0)</f>
        <v>#N/A</v>
      </c>
      <c r="F32" s="98" t="e">
        <f>VLOOKUP(D32,'BASE MUNICÍPIO'!B26:D24748,3,0)</f>
        <v>#N/A</v>
      </c>
      <c r="G32" s="118" t="str">
        <f>IF(Tabela4[[#This Row],[PROJETO]]="CLARO",LEFT(Tabela4[[#This Row],[SITE2]],2),IF(Tabela4[[#This Row],[PROJETO]]="VIVO",RIGHT(LEFT(Tabela4[[#This Row],[SITE2]],10),2),""))</f>
        <v/>
      </c>
      <c r="H32" s="99"/>
    </row>
    <row r="33" spans="1:8">
      <c r="A33" s="119">
        <f>'BASE FINANCEIRO'!BI72</f>
        <v>0</v>
      </c>
      <c r="B33" s="24" t="str">
        <f t="shared" si="0"/>
        <v/>
      </c>
      <c r="C33" s="24" t="s">
        <v>2453</v>
      </c>
      <c r="D33" s="24" t="e">
        <f>IF(VLOOKUP('BASE FINANCEIRO'!BC72,'COD. PROJETOS'!B:D,3,0)="VIVO",MID('BASE FINANCEIRO'!BI72,36,3),IF(VLOOKUP('BASE FINANCEIRO'!BC72,'COD. PROJETOS'!B:D,3,0),MID('BASE FINANCEIRO'!BI72,36,7),IF(VLOOKUP('BASE FINANCEIRO'!BC72,'COD. PROJETOS'!B:D,3,0),MID('BASE FINANCEIRO'!BI72,36,9),"PROJETO?")))</f>
        <v>#N/A</v>
      </c>
      <c r="E33" s="24" t="e">
        <f>VLOOKUP(D33,'BASE MUNICÍPIO'!B27:C24749,2,0)</f>
        <v>#N/A</v>
      </c>
      <c r="F33" s="98" t="e">
        <f>VLOOKUP(D33,'BASE MUNICÍPIO'!B27:D24749,3,0)</f>
        <v>#N/A</v>
      </c>
      <c r="G33" s="118" t="str">
        <f>IF(Tabela4[[#This Row],[PROJETO]]="CLARO",LEFT(Tabela4[[#This Row],[SITE2]],2),IF(Tabela4[[#This Row],[PROJETO]]="VIVO",RIGHT(LEFT(Tabela4[[#This Row],[SITE2]],10),2),""))</f>
        <v/>
      </c>
      <c r="H33" s="99"/>
    </row>
    <row r="34" spans="1:8">
      <c r="A34" s="119">
        <f>'BASE FINANCEIRO'!BI73</f>
        <v>0</v>
      </c>
      <c r="B34" s="24" t="str">
        <f t="shared" si="0"/>
        <v/>
      </c>
      <c r="C34" s="24" t="s">
        <v>2453</v>
      </c>
      <c r="D34" s="24" t="e">
        <f>IF(VLOOKUP('BASE FINANCEIRO'!BC73,'COD. PROJETOS'!B:D,3,0)="VIVO",MID('BASE FINANCEIRO'!BI73,36,3),IF(VLOOKUP('BASE FINANCEIRO'!BC73,'COD. PROJETOS'!B:D,3,0),MID('BASE FINANCEIRO'!BI73,36,7),IF(VLOOKUP('BASE FINANCEIRO'!BC73,'COD. PROJETOS'!B:D,3,0),MID('BASE FINANCEIRO'!BI73,36,9),"PROJETO?")))</f>
        <v>#N/A</v>
      </c>
      <c r="E34" s="24" t="e">
        <f>VLOOKUP(D34,'BASE MUNICÍPIO'!B28:C24750,2,0)</f>
        <v>#N/A</v>
      </c>
      <c r="F34" s="98" t="e">
        <f>VLOOKUP(D34,'BASE MUNICÍPIO'!B28:D24750,3,0)</f>
        <v>#N/A</v>
      </c>
      <c r="G34" s="118" t="str">
        <f>IF(Tabela4[[#This Row],[PROJETO]]="CLARO",LEFT(Tabela4[[#This Row],[SITE2]],2),IF(Tabela4[[#This Row],[PROJETO]]="VIVO",RIGHT(LEFT(Tabela4[[#This Row],[SITE2]],10),2),""))</f>
        <v/>
      </c>
      <c r="H34" s="99"/>
    </row>
    <row r="35" spans="1:8">
      <c r="A35" s="119">
        <f>'BASE FINANCEIRO'!BI74</f>
        <v>0</v>
      </c>
      <c r="B35" s="24" t="str">
        <f t="shared" si="0"/>
        <v/>
      </c>
      <c r="C35" s="24" t="s">
        <v>2453</v>
      </c>
      <c r="D35" s="24" t="e">
        <f>IF(VLOOKUP('BASE FINANCEIRO'!BC74,'COD. PROJETOS'!B:D,3,0)="VIVO",MID('BASE FINANCEIRO'!BI74,36,3),IF(VLOOKUP('BASE FINANCEIRO'!BC74,'COD. PROJETOS'!B:D,3,0),MID('BASE FINANCEIRO'!BI74,36,7),IF(VLOOKUP('BASE FINANCEIRO'!BC74,'COD. PROJETOS'!B:D,3,0),MID('BASE FINANCEIRO'!BI74,36,9),"PROJETO?")))</f>
        <v>#N/A</v>
      </c>
      <c r="E35" s="24" t="e">
        <f>VLOOKUP(D35,'BASE MUNICÍPIO'!B28:C24751,2,0)</f>
        <v>#N/A</v>
      </c>
      <c r="F35" s="98" t="e">
        <f>VLOOKUP(D35,'BASE MUNICÍPIO'!B28:D24751,3,0)</f>
        <v>#N/A</v>
      </c>
      <c r="G35" s="118" t="str">
        <f>IF(Tabela4[[#This Row],[PROJETO]]="CLARO",LEFT(Tabela4[[#This Row],[SITE2]],2),IF(Tabela4[[#This Row],[PROJETO]]="VIVO",RIGHT(LEFT(Tabela4[[#This Row],[SITE2]],10),2),""))</f>
        <v/>
      </c>
      <c r="H35" s="99"/>
    </row>
    <row r="36" spans="1:8">
      <c r="A36" s="119">
        <f>'BASE FINANCEIRO'!BI75</f>
        <v>0</v>
      </c>
      <c r="B36" s="24" t="str">
        <f t="shared" si="0"/>
        <v/>
      </c>
      <c r="C36" s="24" t="s">
        <v>2453</v>
      </c>
      <c r="D36" s="24" t="e">
        <f>IF(VLOOKUP('BASE FINANCEIRO'!BC75,'COD. PROJETOS'!B:D,3,0)="VIVO",MID('BASE FINANCEIRO'!BI75,36,3),IF(VLOOKUP('BASE FINANCEIRO'!BC75,'COD. PROJETOS'!B:D,3,0),MID('BASE FINANCEIRO'!BI75,36,7),IF(VLOOKUP('BASE FINANCEIRO'!BC75,'COD. PROJETOS'!B:D,3,0),MID('BASE FINANCEIRO'!BI75,36,9),"PROJETO?")))</f>
        <v>#N/A</v>
      </c>
      <c r="E36" s="24" t="e">
        <f>VLOOKUP(D36,'BASE MUNICÍPIO'!B29:C24752,2,0)</f>
        <v>#N/A</v>
      </c>
      <c r="F36" s="98" t="e">
        <f>VLOOKUP(D36,'BASE MUNICÍPIO'!B29:D24752,3,0)</f>
        <v>#N/A</v>
      </c>
      <c r="G36" s="118" t="str">
        <f>IF(Tabela4[[#This Row],[PROJETO]]="CLARO",LEFT(Tabela4[[#This Row],[SITE2]],2),IF(Tabela4[[#This Row],[PROJETO]]="VIVO",RIGHT(LEFT(Tabela4[[#This Row],[SITE2]],10),2),""))</f>
        <v/>
      </c>
      <c r="H36" s="99"/>
    </row>
    <row r="37" spans="1:8">
      <c r="A37" s="119">
        <f>'BASE FINANCEIRO'!BI76</f>
        <v>0</v>
      </c>
      <c r="B37" s="24" t="str">
        <f t="shared" si="0"/>
        <v/>
      </c>
      <c r="C37" s="24" t="s">
        <v>2453</v>
      </c>
      <c r="D37" s="24" t="e">
        <f>IF(VLOOKUP('BASE FINANCEIRO'!BC76,'COD. PROJETOS'!B:D,3,0)="VIVO",MID('BASE FINANCEIRO'!BI76,36,3),IF(VLOOKUP('BASE FINANCEIRO'!BC76,'COD. PROJETOS'!B:D,3,0),MID('BASE FINANCEIRO'!BI76,36,7),IF(VLOOKUP('BASE FINANCEIRO'!BC76,'COD. PROJETOS'!B:D,3,0),MID('BASE FINANCEIRO'!BI76,36,9),"PROJETO?")))</f>
        <v>#N/A</v>
      </c>
      <c r="E37" s="24" t="e">
        <f>VLOOKUP(D37,'BASE MUNICÍPIO'!B30:C24753,2,0)</f>
        <v>#N/A</v>
      </c>
      <c r="F37" s="98" t="e">
        <f>VLOOKUP(D37,'BASE MUNICÍPIO'!B30:D24753,3,0)</f>
        <v>#N/A</v>
      </c>
      <c r="G37" s="118" t="str">
        <f>IF(Tabela4[[#This Row],[PROJETO]]="CLARO",LEFT(Tabela4[[#This Row],[SITE2]],2),IF(Tabela4[[#This Row],[PROJETO]]="VIVO",RIGHT(LEFT(Tabela4[[#This Row],[SITE2]],10),2),""))</f>
        <v/>
      </c>
      <c r="H37" s="99"/>
    </row>
    <row r="38" spans="1:8">
      <c r="A38" s="119">
        <f>'BASE FINANCEIRO'!BI77</f>
        <v>0</v>
      </c>
      <c r="B38" s="24" t="str">
        <f t="shared" si="0"/>
        <v/>
      </c>
      <c r="C38" s="24" t="s">
        <v>2453</v>
      </c>
      <c r="D38" s="24" t="e">
        <f>IF(VLOOKUP('BASE FINANCEIRO'!BC77,'COD. PROJETOS'!B:D,3,0)="VIVO",MID('BASE FINANCEIRO'!BI77,36,3),IF(VLOOKUP('BASE FINANCEIRO'!BC77,'COD. PROJETOS'!B:D,3,0),MID('BASE FINANCEIRO'!BI77,36,7),IF(VLOOKUP('BASE FINANCEIRO'!BC77,'COD. PROJETOS'!B:D,3,0),MID('BASE FINANCEIRO'!BI77,36,9),"PROJETO?")))</f>
        <v>#N/A</v>
      </c>
      <c r="E38" s="24" t="e">
        <f>VLOOKUP(D38,'BASE MUNICÍPIO'!B31:C24754,2,0)</f>
        <v>#N/A</v>
      </c>
      <c r="F38" s="98" t="e">
        <f>VLOOKUP(D38,'BASE MUNICÍPIO'!B31:D24754,3,0)</f>
        <v>#N/A</v>
      </c>
      <c r="G38" s="118" t="str">
        <f>IF(Tabela4[[#This Row],[PROJETO]]="CLARO",LEFT(Tabela4[[#This Row],[SITE2]],2),IF(Tabela4[[#This Row],[PROJETO]]="VIVO",RIGHT(LEFT(Tabela4[[#This Row],[SITE2]],10),2),""))</f>
        <v/>
      </c>
      <c r="H38" s="99"/>
    </row>
    <row r="39" spans="1:8">
      <c r="A39" s="119">
        <f>'BASE FINANCEIRO'!BI78</f>
        <v>0</v>
      </c>
      <c r="B39" s="24" t="str">
        <f t="shared" si="0"/>
        <v/>
      </c>
      <c r="C39" s="24" t="s">
        <v>2453</v>
      </c>
      <c r="D39" s="24" t="e">
        <f>IF(VLOOKUP('BASE FINANCEIRO'!BC78,'COD. PROJETOS'!B:D,3,0)="VIVO",MID('BASE FINANCEIRO'!BI78,36,3),IF(VLOOKUP('BASE FINANCEIRO'!BC78,'COD. PROJETOS'!B:D,3,0),MID('BASE FINANCEIRO'!BI78,36,7),IF(VLOOKUP('BASE FINANCEIRO'!BC78,'COD. PROJETOS'!B:D,3,0),MID('BASE FINANCEIRO'!BI78,36,9),"PROJETO?")))</f>
        <v>#N/A</v>
      </c>
      <c r="E39" s="24" t="e">
        <f>VLOOKUP(D39,'BASE MUNICÍPIO'!B31:C24755,2,0)</f>
        <v>#N/A</v>
      </c>
      <c r="F39" s="98" t="e">
        <f>VLOOKUP(D39,'BASE MUNICÍPIO'!B31:D24755,3,0)</f>
        <v>#N/A</v>
      </c>
      <c r="G39" s="118" t="str">
        <f>IF(Tabela4[[#This Row],[PROJETO]]="CLARO",LEFT(Tabela4[[#This Row],[SITE2]],2),IF(Tabela4[[#This Row],[PROJETO]]="VIVO",RIGHT(LEFT(Tabela4[[#This Row],[SITE2]],10),2),""))</f>
        <v/>
      </c>
      <c r="H39" s="99"/>
    </row>
    <row r="40" spans="1:8">
      <c r="A40" s="119">
        <f>'BASE FINANCEIRO'!BI79</f>
        <v>0</v>
      </c>
      <c r="B40" s="24" t="str">
        <f t="shared" si="0"/>
        <v/>
      </c>
      <c r="C40" s="24" t="s">
        <v>2453</v>
      </c>
      <c r="D40" s="24" t="e">
        <f>IF(VLOOKUP('BASE FINANCEIRO'!BC79,'COD. PROJETOS'!B:D,3,0)="VIVO",MID('BASE FINANCEIRO'!BI79,36,3),IF(VLOOKUP('BASE FINANCEIRO'!BC79,'COD. PROJETOS'!B:D,3,0),MID('BASE FINANCEIRO'!BI79,36,7),IF(VLOOKUP('BASE FINANCEIRO'!BC79,'COD. PROJETOS'!B:D,3,0),MID('BASE FINANCEIRO'!BI79,36,9),"PROJETO?")))</f>
        <v>#N/A</v>
      </c>
      <c r="E40" s="24" t="e">
        <f>VLOOKUP(D40,'BASE MUNICÍPIO'!B31:C24756,2,0)</f>
        <v>#N/A</v>
      </c>
      <c r="F40" s="98" t="e">
        <f>VLOOKUP(D40,'BASE MUNICÍPIO'!B31:D24756,3,0)</f>
        <v>#N/A</v>
      </c>
      <c r="G40" s="118" t="str">
        <f>IF(Tabela4[[#This Row],[PROJETO]]="CLARO",LEFT(Tabela4[[#This Row],[SITE2]],2),IF(Tabela4[[#This Row],[PROJETO]]="VIVO",RIGHT(LEFT(Tabela4[[#This Row],[SITE2]],10),2),""))</f>
        <v/>
      </c>
      <c r="H40" s="99"/>
    </row>
    <row r="41" spans="1:8">
      <c r="A41" s="119">
        <f>'BASE FINANCEIRO'!BI80</f>
        <v>0</v>
      </c>
      <c r="B41" s="24" t="str">
        <f t="shared" si="0"/>
        <v/>
      </c>
      <c r="C41" s="24" t="s">
        <v>2453</v>
      </c>
      <c r="D41" s="24" t="e">
        <f>IF(VLOOKUP('BASE FINANCEIRO'!BC80,'COD. PROJETOS'!B:D,3,0)="VIVO",MID('BASE FINANCEIRO'!BI80,36,3),IF(VLOOKUP('BASE FINANCEIRO'!BC80,'COD. PROJETOS'!B:D,3,0),MID('BASE FINANCEIRO'!BI80,36,7),IF(VLOOKUP('BASE FINANCEIRO'!BC80,'COD. PROJETOS'!B:D,3,0),MID('BASE FINANCEIRO'!BI80,36,9),"PROJETO?")))</f>
        <v>#N/A</v>
      </c>
      <c r="E41" s="24" t="e">
        <f>VLOOKUP(D41,'BASE MUNICÍPIO'!B32:C24757,2,0)</f>
        <v>#N/A</v>
      </c>
      <c r="F41" s="98" t="e">
        <f>VLOOKUP(D41,'BASE MUNICÍPIO'!B32:D24757,3,0)</f>
        <v>#N/A</v>
      </c>
      <c r="G41" s="118" t="str">
        <f>IF(Tabela4[[#This Row],[PROJETO]]="CLARO",LEFT(Tabela4[[#This Row],[SITE2]],2),IF(Tabela4[[#This Row],[PROJETO]]="VIVO",RIGHT(LEFT(Tabela4[[#This Row],[SITE2]],10),2),""))</f>
        <v/>
      </c>
      <c r="H41" s="99"/>
    </row>
    <row r="42" spans="1:8">
      <c r="A42" s="119">
        <f>'BASE FINANCEIRO'!BI81</f>
        <v>0</v>
      </c>
      <c r="B42" s="24" t="str">
        <f t="shared" si="0"/>
        <v/>
      </c>
      <c r="C42" s="24" t="s">
        <v>2453</v>
      </c>
      <c r="D42" s="24" t="e">
        <f>IF(VLOOKUP('BASE FINANCEIRO'!BC81,'COD. PROJETOS'!B:D,3,0)="VIVO",MID('BASE FINANCEIRO'!BI81,36,3),IF(VLOOKUP('BASE FINANCEIRO'!BC81,'COD. PROJETOS'!B:D,3,0),MID('BASE FINANCEIRO'!BI81,36,7),IF(VLOOKUP('BASE FINANCEIRO'!BC81,'COD. PROJETOS'!B:D,3,0),MID('BASE FINANCEIRO'!BI81,36,9),"PROJETO?")))</f>
        <v>#N/A</v>
      </c>
      <c r="E42" s="24" t="e">
        <f>VLOOKUP(D42,'BASE MUNICÍPIO'!B33:C24758,2,0)</f>
        <v>#N/A</v>
      </c>
      <c r="F42" s="98" t="e">
        <f>VLOOKUP(D42,'BASE MUNICÍPIO'!B33:D24758,3,0)</f>
        <v>#N/A</v>
      </c>
      <c r="G42" s="118" t="str">
        <f>IF(Tabela4[[#This Row],[PROJETO]]="CLARO",LEFT(Tabela4[[#This Row],[SITE2]],2),IF(Tabela4[[#This Row],[PROJETO]]="VIVO",RIGHT(LEFT(Tabela4[[#This Row],[SITE2]],10),2),""))</f>
        <v/>
      </c>
      <c r="H42" s="99"/>
    </row>
    <row r="43" spans="1:8">
      <c r="A43" s="119">
        <f>'BASE FINANCEIRO'!BI82</f>
        <v>0</v>
      </c>
      <c r="B43" s="24" t="str">
        <f t="shared" si="0"/>
        <v/>
      </c>
      <c r="C43" s="24" t="s">
        <v>2453</v>
      </c>
      <c r="D43" s="24" t="e">
        <f>IF(VLOOKUP('BASE FINANCEIRO'!BC82,'COD. PROJETOS'!B:D,3,0)="VIVO",MID('BASE FINANCEIRO'!BI82,36,3),IF(VLOOKUP('BASE FINANCEIRO'!BC82,'COD. PROJETOS'!B:D,3,0),MID('BASE FINANCEIRO'!BI82,36,7),IF(VLOOKUP('BASE FINANCEIRO'!BC82,'COD. PROJETOS'!B:D,3,0),MID('BASE FINANCEIRO'!BI82,36,9),"PROJETO?")))</f>
        <v>#N/A</v>
      </c>
      <c r="E43" s="24" t="e">
        <f>VLOOKUP(D43,'BASE MUNICÍPIO'!B33:C24759,2,0)</f>
        <v>#N/A</v>
      </c>
      <c r="F43" s="98" t="e">
        <f>VLOOKUP(D43,'BASE MUNICÍPIO'!B33:D24759,3,0)</f>
        <v>#N/A</v>
      </c>
      <c r="G43" s="118" t="str">
        <f>IF(Tabela4[[#This Row],[PROJETO]]="CLARO",LEFT(Tabela4[[#This Row],[SITE2]],2),IF(Tabela4[[#This Row],[PROJETO]]="VIVO",RIGHT(LEFT(Tabela4[[#This Row],[SITE2]],10),2),""))</f>
        <v/>
      </c>
      <c r="H43" s="99"/>
    </row>
    <row r="44" spans="1:8">
      <c r="A44" s="119">
        <f>'BASE FINANCEIRO'!BI83</f>
        <v>0</v>
      </c>
      <c r="B44" s="24" t="str">
        <f t="shared" si="0"/>
        <v/>
      </c>
      <c r="C44" s="24" t="s">
        <v>2453</v>
      </c>
      <c r="D44" s="24" t="e">
        <f>IF(VLOOKUP('BASE FINANCEIRO'!BC83,'COD. PROJETOS'!B:D,3,0)="VIVO",MID('BASE FINANCEIRO'!BI83,36,3),IF(VLOOKUP('BASE FINANCEIRO'!BC83,'COD. PROJETOS'!B:D,3,0),MID('BASE FINANCEIRO'!BI83,36,7),IF(VLOOKUP('BASE FINANCEIRO'!BC83,'COD. PROJETOS'!B:D,3,0),MID('BASE FINANCEIRO'!BI83,36,9),"PROJETO?")))</f>
        <v>#N/A</v>
      </c>
      <c r="E44" s="24" t="e">
        <f>VLOOKUP(D44,'BASE MUNICÍPIO'!B34:C24760,2,0)</f>
        <v>#N/A</v>
      </c>
      <c r="F44" s="98" t="e">
        <f>VLOOKUP(D44,'BASE MUNICÍPIO'!B34:D24760,3,0)</f>
        <v>#N/A</v>
      </c>
      <c r="G44" s="118" t="str">
        <f>IF(Tabela4[[#This Row],[PROJETO]]="CLARO",LEFT(Tabela4[[#This Row],[SITE2]],2),IF(Tabela4[[#This Row],[PROJETO]]="VIVO",RIGHT(LEFT(Tabela4[[#This Row],[SITE2]],10),2),""))</f>
        <v/>
      </c>
      <c r="H44" s="99"/>
    </row>
    <row r="45" spans="1:8">
      <c r="A45" s="119">
        <f>'BASE FINANCEIRO'!BI84</f>
        <v>0</v>
      </c>
      <c r="B45" s="24" t="str">
        <f t="shared" si="0"/>
        <v/>
      </c>
      <c r="C45" s="24" t="s">
        <v>2453</v>
      </c>
      <c r="D45" s="24" t="e">
        <f>IF(VLOOKUP('BASE FINANCEIRO'!BC84,'COD. PROJETOS'!B:D,3,0)="VIVO",MID('BASE FINANCEIRO'!BI84,36,3),IF(VLOOKUP('BASE FINANCEIRO'!BC84,'COD. PROJETOS'!B:D,3,0),MID('BASE FINANCEIRO'!BI84,36,7),IF(VLOOKUP('BASE FINANCEIRO'!BC84,'COD. PROJETOS'!B:D,3,0),MID('BASE FINANCEIRO'!BI84,36,9),"PROJETO?")))</f>
        <v>#N/A</v>
      </c>
      <c r="E45" s="24" t="e">
        <f>VLOOKUP(D45,'BASE MUNICÍPIO'!B35:C24761,2,0)</f>
        <v>#N/A</v>
      </c>
      <c r="F45" s="98" t="e">
        <f>VLOOKUP(D45,'BASE MUNICÍPIO'!B35:D24761,3,0)</f>
        <v>#N/A</v>
      </c>
      <c r="G45" s="118" t="str">
        <f>IF(Tabela4[[#This Row],[PROJETO]]="CLARO",LEFT(Tabela4[[#This Row],[SITE2]],2),IF(Tabela4[[#This Row],[PROJETO]]="VIVO",RIGHT(LEFT(Tabela4[[#This Row],[SITE2]],10),2),""))</f>
        <v/>
      </c>
      <c r="H45" s="99"/>
    </row>
    <row r="46" spans="1:8">
      <c r="A46" s="119">
        <f>'BASE FINANCEIRO'!BI85</f>
        <v>0</v>
      </c>
      <c r="B46" s="24" t="str">
        <f t="shared" si="0"/>
        <v/>
      </c>
      <c r="C46" s="24" t="s">
        <v>2453</v>
      </c>
      <c r="D46" s="24" t="e">
        <f>IF(VLOOKUP('BASE FINANCEIRO'!BC85,'COD. PROJETOS'!B:D,3,0)="VIVO",MID('BASE FINANCEIRO'!BI85,36,3),IF(VLOOKUP('BASE FINANCEIRO'!BC85,'COD. PROJETOS'!B:D,3,0),MID('BASE FINANCEIRO'!BI85,36,7),IF(VLOOKUP('BASE FINANCEIRO'!BC85,'COD. PROJETOS'!B:D,3,0),MID('BASE FINANCEIRO'!BI85,36,9),"PROJETO?")))</f>
        <v>#N/A</v>
      </c>
      <c r="E46" s="24" t="e">
        <f>VLOOKUP(D46,'BASE MUNICÍPIO'!B36:C24762,2,0)</f>
        <v>#N/A</v>
      </c>
      <c r="F46" s="98" t="e">
        <f>VLOOKUP(D46,'BASE MUNICÍPIO'!B36:D24762,3,0)</f>
        <v>#N/A</v>
      </c>
      <c r="G46" s="118" t="str">
        <f>IF(Tabela4[[#This Row],[PROJETO]]="CLARO",LEFT(Tabela4[[#This Row],[SITE2]],2),IF(Tabela4[[#This Row],[PROJETO]]="VIVO",RIGHT(LEFT(Tabela4[[#This Row],[SITE2]],10),2),""))</f>
        <v/>
      </c>
      <c r="H46" s="99"/>
    </row>
    <row r="47" spans="1:8">
      <c r="A47" s="119">
        <f>'BASE FINANCEIRO'!BI86</f>
        <v>0</v>
      </c>
      <c r="B47" s="24" t="str">
        <f t="shared" si="0"/>
        <v/>
      </c>
      <c r="C47" s="24" t="s">
        <v>2453</v>
      </c>
      <c r="D47" s="24" t="e">
        <f>IF(VLOOKUP('BASE FINANCEIRO'!BC86,'COD. PROJETOS'!B:D,3,0)="VIVO",MID('BASE FINANCEIRO'!BI86,36,3),IF(VLOOKUP('BASE FINANCEIRO'!BC86,'COD. PROJETOS'!B:D,3,0),MID('BASE FINANCEIRO'!BI86,36,7),IF(VLOOKUP('BASE FINANCEIRO'!BC86,'COD. PROJETOS'!B:D,3,0),MID('BASE FINANCEIRO'!BI86,36,9),"PROJETO?")))</f>
        <v>#N/A</v>
      </c>
      <c r="E47" s="24" t="e">
        <f>VLOOKUP(D47,'BASE MUNICÍPIO'!B36:C24763,2,0)</f>
        <v>#N/A</v>
      </c>
      <c r="F47" s="98" t="e">
        <f>VLOOKUP(D47,'BASE MUNICÍPIO'!B36:D24763,3,0)</f>
        <v>#N/A</v>
      </c>
      <c r="G47" s="118" t="str">
        <f>IF(Tabela4[[#This Row],[PROJETO]]="CLARO",LEFT(Tabela4[[#This Row],[SITE2]],2),IF(Tabela4[[#This Row],[PROJETO]]="VIVO",RIGHT(LEFT(Tabela4[[#This Row],[SITE2]],10),2),""))</f>
        <v/>
      </c>
      <c r="H47" s="99"/>
    </row>
    <row r="48" spans="1:8">
      <c r="A48" s="119">
        <f>'BASE FINANCEIRO'!BI87</f>
        <v>0</v>
      </c>
      <c r="B48" s="24" t="str">
        <f t="shared" si="0"/>
        <v/>
      </c>
      <c r="C48" s="24" t="s">
        <v>2453</v>
      </c>
      <c r="D48" s="24" t="e">
        <f>IF(VLOOKUP('BASE FINANCEIRO'!BC87,'COD. PROJETOS'!B:D,3,0)="VIVO",MID('BASE FINANCEIRO'!BI87,36,3),IF(VLOOKUP('BASE FINANCEIRO'!BC87,'COD. PROJETOS'!B:D,3,0),MID('BASE FINANCEIRO'!BI87,36,7),IF(VLOOKUP('BASE FINANCEIRO'!BC87,'COD. PROJETOS'!B:D,3,0),MID('BASE FINANCEIRO'!BI87,36,9),"PROJETO?")))</f>
        <v>#N/A</v>
      </c>
      <c r="E48" s="24" t="e">
        <f>VLOOKUP(D48,'BASE MUNICÍPIO'!B36:C24764,2,0)</f>
        <v>#N/A</v>
      </c>
      <c r="F48" s="98" t="e">
        <f>VLOOKUP(D48,'BASE MUNICÍPIO'!B36:D24764,3,0)</f>
        <v>#N/A</v>
      </c>
      <c r="G48" s="118" t="str">
        <f>IF(Tabela4[[#This Row],[PROJETO]]="CLARO",LEFT(Tabela4[[#This Row],[SITE2]],2),IF(Tabela4[[#This Row],[PROJETO]]="VIVO",RIGHT(LEFT(Tabela4[[#This Row],[SITE2]],10),2),""))</f>
        <v/>
      </c>
      <c r="H48" s="99"/>
    </row>
    <row r="49" spans="1:8">
      <c r="A49" s="119">
        <f>'BASE FINANCEIRO'!BI88</f>
        <v>0</v>
      </c>
      <c r="B49" s="24" t="str">
        <f t="shared" si="0"/>
        <v/>
      </c>
      <c r="C49" s="24" t="s">
        <v>2453</v>
      </c>
      <c r="D49" s="24" t="e">
        <f>IF(VLOOKUP('BASE FINANCEIRO'!BC88,'COD. PROJETOS'!B:D,3,0)="VIVO",MID('BASE FINANCEIRO'!BI88,36,3),IF(VLOOKUP('BASE FINANCEIRO'!BC88,'COD. PROJETOS'!B:D,3,0),MID('BASE FINANCEIRO'!BI88,36,7),IF(VLOOKUP('BASE FINANCEIRO'!BC88,'COD. PROJETOS'!B:D,3,0),MID('BASE FINANCEIRO'!BI88,36,9),"PROJETO?")))</f>
        <v>#N/A</v>
      </c>
      <c r="E49" s="24" t="e">
        <f>VLOOKUP(D49,'BASE MUNICÍPIO'!B37:C24765,2,0)</f>
        <v>#N/A</v>
      </c>
      <c r="F49" s="98" t="e">
        <f>VLOOKUP(D49,'BASE MUNICÍPIO'!B37:D24765,3,0)</f>
        <v>#N/A</v>
      </c>
      <c r="G49" s="118" t="str">
        <f>IF(Tabela4[[#This Row],[PROJETO]]="CLARO",LEFT(Tabela4[[#This Row],[SITE2]],2),IF(Tabela4[[#This Row],[PROJETO]]="VIVO",RIGHT(LEFT(Tabela4[[#This Row],[SITE2]],10),2),""))</f>
        <v/>
      </c>
      <c r="H49" s="99"/>
    </row>
    <row r="50" spans="1:8">
      <c r="A50" s="119">
        <f>'BASE FINANCEIRO'!BI89</f>
        <v>0</v>
      </c>
      <c r="B50" s="24" t="str">
        <f t="shared" si="0"/>
        <v/>
      </c>
      <c r="C50" s="24" t="s">
        <v>2453</v>
      </c>
      <c r="D50" s="24" t="e">
        <f>IF(VLOOKUP('BASE FINANCEIRO'!BC89,'COD. PROJETOS'!B:D,3,0)="VIVO",MID('BASE FINANCEIRO'!BI89,36,3),IF(VLOOKUP('BASE FINANCEIRO'!BC89,'COD. PROJETOS'!B:D,3,0),MID('BASE FINANCEIRO'!BI89,36,7),IF(VLOOKUP('BASE FINANCEIRO'!BC89,'COD. PROJETOS'!B:D,3,0),MID('BASE FINANCEIRO'!BI89,36,9),"PROJETO?")))</f>
        <v>#N/A</v>
      </c>
      <c r="E50" s="24" t="e">
        <f>VLOOKUP(D50,'BASE MUNICÍPIO'!B37:C24766,2,0)</f>
        <v>#N/A</v>
      </c>
      <c r="F50" s="98" t="e">
        <f>VLOOKUP(D50,'BASE MUNICÍPIO'!B37:D24766,3,0)</f>
        <v>#N/A</v>
      </c>
      <c r="G50" s="118" t="str">
        <f>IF(Tabela4[[#This Row],[PROJETO]]="CLARO",LEFT(Tabela4[[#This Row],[SITE2]],2),IF(Tabela4[[#This Row],[PROJETO]]="VIVO",RIGHT(LEFT(Tabela4[[#This Row],[SITE2]],10),2),""))</f>
        <v/>
      </c>
      <c r="H50" s="99"/>
    </row>
    <row r="51" spans="1:8">
      <c r="A51" s="119">
        <f>'BASE FINANCEIRO'!BI90</f>
        <v>0</v>
      </c>
      <c r="B51" s="24" t="str">
        <f t="shared" si="0"/>
        <v/>
      </c>
      <c r="C51" s="24" t="s">
        <v>2453</v>
      </c>
      <c r="D51" s="24" t="e">
        <f>IF(VLOOKUP('BASE FINANCEIRO'!BC90,'COD. PROJETOS'!B:D,3,0)="VIVO",MID('BASE FINANCEIRO'!BI90,36,3),IF(VLOOKUP('BASE FINANCEIRO'!BC90,'COD. PROJETOS'!B:D,3,0),MID('BASE FINANCEIRO'!BI90,36,7),IF(VLOOKUP('BASE FINANCEIRO'!BC90,'COD. PROJETOS'!B:D,3,0),MID('BASE FINANCEIRO'!BI90,36,9),"PROJETO?")))</f>
        <v>#N/A</v>
      </c>
      <c r="E51" s="24" t="e">
        <f>VLOOKUP(D51,'BASE MUNICÍPIO'!B38:C24767,2,0)</f>
        <v>#N/A</v>
      </c>
      <c r="F51" s="98" t="e">
        <f>VLOOKUP(D51,'BASE MUNICÍPIO'!B38:D24767,3,0)</f>
        <v>#N/A</v>
      </c>
      <c r="G51" s="97" t="str">
        <f>IF(Tabela4[[#This Row],[PROJETO]]="CLARO",LEFT(Tabela4[[#This Row],[SITE2]],2),IF(Tabela4[[#This Row],[PROJETO]]="VIVO",RIGHT(LEFT(Tabela4[[#This Row],[SITE2]],10),2),""))</f>
        <v/>
      </c>
      <c r="H51" s="99"/>
    </row>
    <row r="52" spans="1:8">
      <c r="A52" s="119">
        <f>'BASE FINANCEIRO'!BI91</f>
        <v>0</v>
      </c>
      <c r="B52" s="24" t="str">
        <f t="shared" si="0"/>
        <v/>
      </c>
      <c r="C52" s="24" t="s">
        <v>2453</v>
      </c>
      <c r="D52" s="24" t="e">
        <f>IF(VLOOKUP('BASE FINANCEIRO'!BC91,'COD. PROJETOS'!B:D,3,0)="VIVO",MID('BASE FINANCEIRO'!BI91,36,3),IF(VLOOKUP('BASE FINANCEIRO'!BC91,'COD. PROJETOS'!B:D,3,0),MID('BASE FINANCEIRO'!BI91,36,7),IF(VLOOKUP('BASE FINANCEIRO'!BC91,'COD. PROJETOS'!B:D,3,0),MID('BASE FINANCEIRO'!BI91,36,9),"PROJETO?")))</f>
        <v>#N/A</v>
      </c>
      <c r="E52" s="24" t="e">
        <f>VLOOKUP(D52,'BASE MUNICÍPIO'!B39:C24768,2,0)</f>
        <v>#N/A</v>
      </c>
      <c r="F52" s="98" t="e">
        <f>VLOOKUP(D52,'BASE MUNICÍPIO'!B39:D24768,3,0)</f>
        <v>#N/A</v>
      </c>
      <c r="G52" s="97" t="str">
        <f>IF(Tabela4[[#This Row],[PROJETO]]="CLARO",LEFT(Tabela4[[#This Row],[SITE2]],2),IF(Tabela4[[#This Row],[PROJETO]]="VIVO",RIGHT(LEFT(Tabela4[[#This Row],[SITE2]],10),2),""))</f>
        <v/>
      </c>
      <c r="H52" s="99"/>
    </row>
    <row r="53" spans="1:8">
      <c r="A53" s="119">
        <f>'BASE FINANCEIRO'!BI92</f>
        <v>0</v>
      </c>
      <c r="B53" s="24" t="str">
        <f t="shared" si="0"/>
        <v/>
      </c>
      <c r="C53" s="24" t="s">
        <v>2453</v>
      </c>
      <c r="D53" s="24" t="e">
        <f>IF(VLOOKUP('BASE FINANCEIRO'!BC92,'COD. PROJETOS'!B:D,3,0)="VIVO",MID('BASE FINANCEIRO'!BI92,36,3),IF(VLOOKUP('BASE FINANCEIRO'!BC92,'COD. PROJETOS'!B:D,3,0),MID('BASE FINANCEIRO'!BI92,36,7),IF(VLOOKUP('BASE FINANCEIRO'!BC92,'COD. PROJETOS'!B:D,3,0),MID('BASE FINANCEIRO'!BI92,36,9),"PROJETO?")))</f>
        <v>#N/A</v>
      </c>
      <c r="E53" s="24" t="e">
        <f>VLOOKUP(D53,'BASE MUNICÍPIO'!B39:C24769,2,0)</f>
        <v>#N/A</v>
      </c>
      <c r="F53" s="98" t="e">
        <f>VLOOKUP(D53,'BASE MUNICÍPIO'!B39:D24769,3,0)</f>
        <v>#N/A</v>
      </c>
      <c r="G53" s="97" t="str">
        <f>IF(Tabela4[[#This Row],[PROJETO]]="CLARO",LEFT(Tabela4[[#This Row],[SITE2]],2),IF(Tabela4[[#This Row],[PROJETO]]="VIVO",RIGHT(LEFT(Tabela4[[#This Row],[SITE2]],10),2),""))</f>
        <v/>
      </c>
      <c r="H53" s="99"/>
    </row>
    <row r="54" spans="1:8">
      <c r="A54" s="119">
        <f>'BASE FINANCEIRO'!BI93</f>
        <v>0</v>
      </c>
      <c r="B54" s="24" t="str">
        <f t="shared" si="0"/>
        <v/>
      </c>
      <c r="C54" s="24" t="s">
        <v>2453</v>
      </c>
      <c r="D54" s="24" t="e">
        <f>IF(VLOOKUP('BASE FINANCEIRO'!BC93,'COD. PROJETOS'!B:D,3,0)="VIVO",MID('BASE FINANCEIRO'!BI93,36,3),IF(VLOOKUP('BASE FINANCEIRO'!BC93,'COD. PROJETOS'!B:D,3,0),MID('BASE FINANCEIRO'!BI93,36,7),IF(VLOOKUP('BASE FINANCEIRO'!BC93,'COD. PROJETOS'!B:D,3,0),MID('BASE FINANCEIRO'!BI93,36,9),"PROJETO?")))</f>
        <v>#N/A</v>
      </c>
      <c r="E54" s="24" t="e">
        <f>VLOOKUP(D54,'BASE MUNICÍPIO'!B40:C24770,2,0)</f>
        <v>#N/A</v>
      </c>
      <c r="F54" s="98" t="e">
        <f>VLOOKUP(D54,'BASE MUNICÍPIO'!B40:D24770,3,0)</f>
        <v>#N/A</v>
      </c>
      <c r="G54" s="97" t="str">
        <f>IF(Tabela4[[#This Row],[PROJETO]]="CLARO",LEFT(Tabela4[[#This Row],[SITE2]],2),IF(Tabela4[[#This Row],[PROJETO]]="VIVO",RIGHT(LEFT(Tabela4[[#This Row],[SITE2]],10),2),""))</f>
        <v/>
      </c>
      <c r="H54" s="99"/>
    </row>
    <row r="55" spans="1:8">
      <c r="A55" s="119">
        <f>'BASE FINANCEIRO'!BI94</f>
        <v>0</v>
      </c>
      <c r="B55" s="24" t="str">
        <f t="shared" si="0"/>
        <v/>
      </c>
      <c r="C55" s="24" t="s">
        <v>2453</v>
      </c>
      <c r="D55" s="24" t="e">
        <f>IF(VLOOKUP('BASE FINANCEIRO'!BC94,'COD. PROJETOS'!B:D,3,0)="VIVO",MID('BASE FINANCEIRO'!BI94,36,3),IF(VLOOKUP('BASE FINANCEIRO'!BC94,'COD. PROJETOS'!B:D,3,0),MID('BASE FINANCEIRO'!BI94,36,7),IF(VLOOKUP('BASE FINANCEIRO'!BC94,'COD. PROJETOS'!B:D,3,0),MID('BASE FINANCEIRO'!BI94,36,9),"PROJETO?")))</f>
        <v>#N/A</v>
      </c>
      <c r="E55" s="24" t="e">
        <f>VLOOKUP(D55,'BASE MUNICÍPIO'!B40:C24771,2,0)</f>
        <v>#N/A</v>
      </c>
      <c r="F55" s="98" t="e">
        <f>VLOOKUP(D55,'BASE MUNICÍPIO'!B40:D24771,3,0)</f>
        <v>#N/A</v>
      </c>
      <c r="G55" s="97" t="str">
        <f>IF(Tabela4[[#This Row],[PROJETO]]="CLARO",LEFT(Tabela4[[#This Row],[SITE2]],2),IF(Tabela4[[#This Row],[PROJETO]]="VIVO",RIGHT(LEFT(Tabela4[[#This Row],[SITE2]],10),2),""))</f>
        <v/>
      </c>
      <c r="H55" s="99"/>
    </row>
    <row r="56" spans="1:8">
      <c r="A56" s="119">
        <f>'BASE FINANCEIRO'!BI95</f>
        <v>0</v>
      </c>
      <c r="B56" s="24" t="str">
        <f t="shared" si="0"/>
        <v/>
      </c>
      <c r="C56" s="24" t="s">
        <v>2453</v>
      </c>
      <c r="D56" s="24" t="e">
        <f>IF(VLOOKUP('BASE FINANCEIRO'!BC95,'COD. PROJETOS'!B:D,3,0)="VIVO",MID('BASE FINANCEIRO'!BI95,36,3),IF(VLOOKUP('BASE FINANCEIRO'!BC95,'COD. PROJETOS'!B:D,3,0),MID('BASE FINANCEIRO'!BI95,36,7),IF(VLOOKUP('BASE FINANCEIRO'!BC95,'COD. PROJETOS'!B:D,3,0),MID('BASE FINANCEIRO'!BI95,36,9),"PROJETO?")))</f>
        <v>#N/A</v>
      </c>
      <c r="E56" s="24" t="e">
        <f>VLOOKUP(D56,'BASE MUNICÍPIO'!B41:C24772,2,0)</f>
        <v>#N/A</v>
      </c>
      <c r="F56" s="98" t="e">
        <f>VLOOKUP(D56,'BASE MUNICÍPIO'!B41:D24772,3,0)</f>
        <v>#N/A</v>
      </c>
      <c r="G56" s="97" t="str">
        <f>IF(Tabela4[[#This Row],[PROJETO]]="CLARO",LEFT(Tabela4[[#This Row],[SITE2]],2),IF(Tabela4[[#This Row],[PROJETO]]="VIVO",RIGHT(LEFT(Tabela4[[#This Row],[SITE2]],10),2),""))</f>
        <v/>
      </c>
      <c r="H56" s="99"/>
    </row>
    <row r="57" spans="1:8">
      <c r="A57" s="119">
        <f>'BASE FINANCEIRO'!BI96</f>
        <v>0</v>
      </c>
      <c r="B57" s="24" t="str">
        <f t="shared" si="0"/>
        <v/>
      </c>
      <c r="C57" s="24" t="s">
        <v>2453</v>
      </c>
      <c r="D57" s="24" t="e">
        <f>IF(VLOOKUP('BASE FINANCEIRO'!BC96,'COD. PROJETOS'!B:D,3,0)="VIVO",MID('BASE FINANCEIRO'!BI96,36,3),IF(VLOOKUP('BASE FINANCEIRO'!BC96,'COD. PROJETOS'!B:D,3,0),MID('BASE FINANCEIRO'!BI96,36,7),IF(VLOOKUP('BASE FINANCEIRO'!BC96,'COD. PROJETOS'!B:D,3,0),MID('BASE FINANCEIRO'!BI96,36,9),"PROJETO?")))</f>
        <v>#N/A</v>
      </c>
      <c r="E57" s="24" t="e">
        <f>VLOOKUP(D57,'BASE MUNICÍPIO'!B41:C24773,2,0)</f>
        <v>#N/A</v>
      </c>
      <c r="F57" s="98" t="e">
        <f>VLOOKUP(D57,'BASE MUNICÍPIO'!B41:D24773,3,0)</f>
        <v>#N/A</v>
      </c>
      <c r="G57" s="97" t="str">
        <f>IF(Tabela4[[#This Row],[PROJETO]]="CLARO",LEFT(Tabela4[[#This Row],[SITE2]],2),IF(Tabela4[[#This Row],[PROJETO]]="VIVO",RIGHT(LEFT(Tabela4[[#This Row],[SITE2]],10),2),""))</f>
        <v/>
      </c>
      <c r="H57" s="99"/>
    </row>
    <row r="58" spans="1:8">
      <c r="A58" s="119">
        <f>'BASE FINANCEIRO'!BI97</f>
        <v>0</v>
      </c>
      <c r="B58" s="24" t="str">
        <f t="shared" si="0"/>
        <v/>
      </c>
      <c r="C58" s="24" t="s">
        <v>2453</v>
      </c>
      <c r="D58" s="24" t="e">
        <f>IF(VLOOKUP('BASE FINANCEIRO'!BC97,'COD. PROJETOS'!B:D,3,0)="VIVO",MID('BASE FINANCEIRO'!BI97,36,3),IF(VLOOKUP('BASE FINANCEIRO'!BC97,'COD. PROJETOS'!B:D,3,0),MID('BASE FINANCEIRO'!BI97,36,7),IF(VLOOKUP('BASE FINANCEIRO'!BC97,'COD. PROJETOS'!B:D,3,0),MID('BASE FINANCEIRO'!BI97,36,9),"PROJETO?")))</f>
        <v>#N/A</v>
      </c>
      <c r="E58" s="24" t="e">
        <f>VLOOKUP(D58,'BASE MUNICÍPIO'!B42:C24774,2,0)</f>
        <v>#N/A</v>
      </c>
      <c r="F58" s="98" t="e">
        <f>VLOOKUP(D58,'BASE MUNICÍPIO'!B42:D24774,3,0)</f>
        <v>#N/A</v>
      </c>
      <c r="G58" s="97" t="str">
        <f>IF(Tabela4[[#This Row],[PROJETO]]="CLARO",LEFT(Tabela4[[#This Row],[SITE2]],2),IF(Tabela4[[#This Row],[PROJETO]]="VIVO",RIGHT(LEFT(Tabela4[[#This Row],[SITE2]],10),2),""))</f>
        <v/>
      </c>
      <c r="H58" s="99"/>
    </row>
    <row r="59" spans="1:8">
      <c r="A59" s="119">
        <f>'BASE FINANCEIRO'!BI98</f>
        <v>0</v>
      </c>
      <c r="B59" s="24" t="str">
        <f t="shared" si="0"/>
        <v/>
      </c>
      <c r="C59" s="24" t="s">
        <v>2453</v>
      </c>
      <c r="D59" s="24" t="e">
        <f>IF(VLOOKUP('BASE FINANCEIRO'!BC99,'COD. PROJETOS'!B:D,3,0)="VIVO",MID('BASE FINANCEIRO'!BI98,36,3),IF(VLOOKUP('BASE FINANCEIRO'!BC99,'COD. PROJETOS'!B:D,3,0),MID('BASE FINANCEIRO'!BI98,36,7),IF(VLOOKUP('BASE FINANCEIRO'!BC99,'COD. PROJETOS'!B:D,3,0),MID('BASE FINANCEIRO'!BI98,36,9),"PROJETO?")))</f>
        <v>#N/A</v>
      </c>
      <c r="E59" s="24" t="e">
        <f>VLOOKUP(D59,'BASE MUNICÍPIO'!B42:C24775,2,0)</f>
        <v>#N/A</v>
      </c>
      <c r="F59" s="98" t="e">
        <f>VLOOKUP(D59,'BASE MUNICÍPIO'!B42:D24775,3,0)</f>
        <v>#N/A</v>
      </c>
      <c r="G59" s="97" t="str">
        <f>IF(Tabela4[[#This Row],[PROJETO]]="CLARO",LEFT(Tabela4[[#This Row],[SITE2]],2),IF(Tabela4[[#This Row],[PROJETO]]="VIVO",RIGHT(LEFT(Tabela4[[#This Row],[SITE2]],10),2),""))</f>
        <v/>
      </c>
      <c r="H59" s="99"/>
    </row>
    <row r="60" spans="1:8">
      <c r="A60" s="119">
        <f>'BASE FINANCEIRO'!BI99</f>
        <v>0</v>
      </c>
      <c r="B60" s="24" t="str">
        <f t="shared" si="0"/>
        <v/>
      </c>
      <c r="C60" s="24" t="s">
        <v>2453</v>
      </c>
      <c r="D60" s="24" t="e">
        <f>IF(VLOOKUP('BASE FINANCEIRO'!#REF!,'COD. PROJETOS'!B:D,3,0)="VIVO",MID('BASE FINANCEIRO'!BI99,36,3),IF(VLOOKUP('BASE FINANCEIRO'!#REF!,'COD. PROJETOS'!B:D,3,0),MID('BASE FINANCEIRO'!BI99,36,7),IF(VLOOKUP('BASE FINANCEIRO'!#REF!,'COD. PROJETOS'!B:D,3,0),MID('BASE FINANCEIRO'!BI99,36,9),"PROJETO?")))</f>
        <v>#REF!</v>
      </c>
      <c r="E60" s="24" t="e">
        <f>VLOOKUP(D60,'BASE MUNICÍPIO'!B43:C24776,2,0)</f>
        <v>#REF!</v>
      </c>
      <c r="F60" s="98" t="e">
        <f>VLOOKUP(D60,'BASE MUNICÍPIO'!B43:D24776,3,0)</f>
        <v>#REF!</v>
      </c>
      <c r="G60" s="97" t="str">
        <f>IF(Tabela4[[#This Row],[PROJETO]]="CLARO",LEFT(Tabela4[[#This Row],[SITE2]],2),IF(Tabela4[[#This Row],[PROJETO]]="VIVO",RIGHT(LEFT(Tabela4[[#This Row],[SITE2]],10),2),""))</f>
        <v/>
      </c>
      <c r="H60" s="99"/>
    </row>
    <row r="61" spans="1:8">
      <c r="A61" s="119">
        <f>'BASE FINANCEIRO'!BI100</f>
        <v>0</v>
      </c>
      <c r="B61" s="24" t="str">
        <f t="shared" si="0"/>
        <v/>
      </c>
      <c r="C61" s="24" t="s">
        <v>2453</v>
      </c>
      <c r="D61" s="24" t="e">
        <f>IF(VLOOKUP('BASE FINANCEIRO'!BC100,'COD. PROJETOS'!B:D,3,0)="VIVO",MID('BASE FINANCEIRO'!BI100,36,3),IF(VLOOKUP('BASE FINANCEIRO'!BC100,'COD. PROJETOS'!B:D,3,0),MID('BASE FINANCEIRO'!BI100,36,7),IF(VLOOKUP('BASE FINANCEIRO'!BC100,'COD. PROJETOS'!B:D,3,0),MID('BASE FINANCEIRO'!BI100,36,9),"PROJETO?")))</f>
        <v>#N/A</v>
      </c>
      <c r="E61" s="24" t="e">
        <f>VLOOKUP(D61,'BASE MUNICÍPIO'!B44:C24777,2,0)</f>
        <v>#N/A</v>
      </c>
      <c r="F61" s="98" t="e">
        <f>VLOOKUP(D61,'BASE MUNICÍPIO'!B44:D24777,3,0)</f>
        <v>#N/A</v>
      </c>
      <c r="G61" s="97" t="str">
        <f>IF(Tabela4[[#This Row],[PROJETO]]="CLARO",LEFT(Tabela4[[#This Row],[SITE2]],2),IF(Tabela4[[#This Row],[PROJETO]]="VIVO",RIGHT(LEFT(Tabela4[[#This Row],[SITE2]],10),2),""))</f>
        <v/>
      </c>
      <c r="H61" s="99"/>
    </row>
    <row r="62" spans="1:8">
      <c r="A62" s="119">
        <f>'BASE FINANCEIRO'!BI101</f>
        <v>0</v>
      </c>
      <c r="B62" s="24" t="str">
        <f t="shared" si="0"/>
        <v/>
      </c>
      <c r="C62" s="24" t="s">
        <v>2453</v>
      </c>
      <c r="D62" s="24" t="e">
        <f>IF(VLOOKUP('BASE FINANCEIRO'!BC101,'COD. PROJETOS'!B:D,3,0)="VIVO",MID('BASE FINANCEIRO'!BI101,36,3),IF(VLOOKUP('BASE FINANCEIRO'!BC101,'COD. PROJETOS'!B:D,3,0),MID('BASE FINANCEIRO'!BI101,36,7),IF(VLOOKUP('BASE FINANCEIRO'!BC101,'COD. PROJETOS'!B:D,3,0),MID('BASE FINANCEIRO'!BI101,36,9),"PROJETO?")))</f>
        <v>#N/A</v>
      </c>
      <c r="E62" s="24" t="e">
        <f>VLOOKUP(D62,'BASE MUNICÍPIO'!B44:C24778,2,0)</f>
        <v>#N/A</v>
      </c>
      <c r="F62" s="98" t="e">
        <f>VLOOKUP(D62,'BASE MUNICÍPIO'!B44:D24778,3,0)</f>
        <v>#N/A</v>
      </c>
      <c r="G62" s="97" t="str">
        <f>IF(Tabela4[[#This Row],[PROJETO]]="CLARO",LEFT(Tabela4[[#This Row],[SITE2]],2),IF(Tabela4[[#This Row],[PROJETO]]="VIVO",RIGHT(LEFT(Tabela4[[#This Row],[SITE2]],10),2),""))</f>
        <v/>
      </c>
      <c r="H62" s="99"/>
    </row>
    <row r="63" spans="1:8">
      <c r="A63" s="119">
        <f>'BASE FINANCEIRO'!BI102</f>
        <v>0</v>
      </c>
      <c r="B63" s="24" t="str">
        <f t="shared" si="0"/>
        <v/>
      </c>
      <c r="C63" s="24" t="s">
        <v>2453</v>
      </c>
      <c r="D63" s="24" t="e">
        <f>IF(VLOOKUP('BASE FINANCEIRO'!BC102,'COD. PROJETOS'!B:D,3,0)="VIVO",MID('BASE FINANCEIRO'!BI102,36,3),IF(VLOOKUP('BASE FINANCEIRO'!BC102,'COD. PROJETOS'!B:D,3,0),MID('BASE FINANCEIRO'!BI102,36,7),IF(VLOOKUP('BASE FINANCEIRO'!BC102,'COD. PROJETOS'!B:D,3,0),MID('BASE FINANCEIRO'!BI102,36,9),"PROJETO?")))</f>
        <v>#N/A</v>
      </c>
      <c r="E63" s="24" t="e">
        <f>VLOOKUP(D63,'BASE MUNICÍPIO'!B45:C24779,2,0)</f>
        <v>#N/A</v>
      </c>
      <c r="F63" s="98" t="e">
        <f>VLOOKUP(D63,'BASE MUNICÍPIO'!B45:D24779,3,0)</f>
        <v>#N/A</v>
      </c>
      <c r="G63" s="97" t="str">
        <f>IF(Tabela4[[#This Row],[PROJETO]]="CLARO",LEFT(Tabela4[[#This Row],[SITE2]],2),IF(Tabela4[[#This Row],[PROJETO]]="VIVO",RIGHT(LEFT(Tabela4[[#This Row],[SITE2]],10),2),""))</f>
        <v/>
      </c>
      <c r="H63" s="99"/>
    </row>
    <row r="64" spans="1:8">
      <c r="A64" s="119">
        <f>'BASE FINANCEIRO'!BI103</f>
        <v>0</v>
      </c>
      <c r="B64" s="24" t="str">
        <f t="shared" si="0"/>
        <v/>
      </c>
      <c r="C64" s="24" t="s">
        <v>2453</v>
      </c>
      <c r="D64" s="24" t="e">
        <f>IF(VLOOKUP('BASE FINANCEIRO'!BC103,'COD. PROJETOS'!B:D,3,0)="VIVO",MID('BASE FINANCEIRO'!BI103,36,3),IF(VLOOKUP('BASE FINANCEIRO'!BC103,'COD. PROJETOS'!B:D,3,0),MID('BASE FINANCEIRO'!BI103,36,7),IF(VLOOKUP('BASE FINANCEIRO'!BC103,'COD. PROJETOS'!B:D,3,0),MID('BASE FINANCEIRO'!BI103,36,9),"PROJETO?")))</f>
        <v>#N/A</v>
      </c>
      <c r="E64" s="24" t="e">
        <f>VLOOKUP(D64,'BASE MUNICÍPIO'!B45:C24780,2,0)</f>
        <v>#N/A</v>
      </c>
      <c r="F64" s="98" t="e">
        <f>VLOOKUP(D64,'BASE MUNICÍPIO'!B45:D24780,3,0)</f>
        <v>#N/A</v>
      </c>
      <c r="G64" s="97" t="str">
        <f>IF(Tabela4[[#This Row],[PROJETO]]="CLARO",LEFT(Tabela4[[#This Row],[SITE2]],2),IF(Tabela4[[#This Row],[PROJETO]]="VIVO",RIGHT(LEFT(Tabela4[[#This Row],[SITE2]],10),2),""))</f>
        <v/>
      </c>
      <c r="H64" s="99"/>
    </row>
    <row r="65" spans="1:8">
      <c r="A65" s="119" t="e">
        <f>'BASE FINANCEIRO'!#REF!</f>
        <v>#REF!</v>
      </c>
      <c r="B65" s="24" t="e">
        <f t="shared" si="0"/>
        <v>#REF!</v>
      </c>
      <c r="C65" s="24" t="s">
        <v>2453</v>
      </c>
      <c r="D65" s="24" t="e">
        <f>IF(VLOOKUP('BASE FINANCEIRO'!#REF!,'COD. PROJETOS'!B:D,3,0)="VIVO",MID('BASE FINANCEIRO'!#REF!,36,3),IF(VLOOKUP('BASE FINANCEIRO'!#REF!,'COD. PROJETOS'!B:D,3,0),MID('BASE FINANCEIRO'!#REF!,36,7),IF(VLOOKUP('BASE FINANCEIRO'!#REF!,'COD. PROJETOS'!B:D,3,0),MID('BASE FINANCEIRO'!#REF!,36,9),"PROJETO?")))</f>
        <v>#REF!</v>
      </c>
      <c r="E65" s="24" t="e">
        <f>VLOOKUP(D65,'BASE MUNICÍPIO'!B46:C24781,2,0)</f>
        <v>#REF!</v>
      </c>
      <c r="F65" s="98" t="e">
        <f>VLOOKUP(D65,'BASE MUNICÍPIO'!B46:D24781,3,0)</f>
        <v>#REF!</v>
      </c>
      <c r="G65" s="97" t="e">
        <f>IF(Tabela4[[#This Row],[PROJETO]]="CLARO",LEFT(Tabela4[[#This Row],[SITE2]],2),IF(Tabela4[[#This Row],[PROJETO]]="VIVO",RIGHT(LEFT(Tabela4[[#This Row],[SITE2]],10),2),""))</f>
        <v>#REF!</v>
      </c>
      <c r="H65" s="99"/>
    </row>
    <row r="66" spans="1:8">
      <c r="A66" s="119">
        <f>'BASE FINANCEIRO'!BI104</f>
        <v>0</v>
      </c>
      <c r="B66" s="24" t="str">
        <f t="shared" si="0"/>
        <v/>
      </c>
      <c r="C66" s="24" t="s">
        <v>2453</v>
      </c>
      <c r="D66" s="24" t="e">
        <f>IF(VLOOKUP('BASE FINANCEIRO'!BC104,'COD. PROJETOS'!B:D,3,0)="VIVO",MID('BASE FINANCEIRO'!BI104,36,3),IF(VLOOKUP('BASE FINANCEIRO'!BC104,'COD. PROJETOS'!B:D,3,0),MID('BASE FINANCEIRO'!BI104,36,7),IF(VLOOKUP('BASE FINANCEIRO'!BC104,'COD. PROJETOS'!B:D,3,0),MID('BASE FINANCEIRO'!BI104,36,9),"PROJETO?")))</f>
        <v>#N/A</v>
      </c>
      <c r="E66" s="24" t="e">
        <f>VLOOKUP(D66,'BASE MUNICÍPIO'!B47:C24782,2,0)</f>
        <v>#N/A</v>
      </c>
      <c r="F66" s="98" t="e">
        <f>VLOOKUP(D66,'BASE MUNICÍPIO'!B47:D24782,3,0)</f>
        <v>#N/A</v>
      </c>
      <c r="G66" s="97" t="str">
        <f>IF(Tabela4[[#This Row],[PROJETO]]="CLARO",LEFT(Tabela4[[#This Row],[SITE2]],2),IF(Tabela4[[#This Row],[PROJETO]]="VIVO",RIGHT(LEFT(Tabela4[[#This Row],[SITE2]],10),2),""))</f>
        <v/>
      </c>
      <c r="H66" s="99"/>
    </row>
    <row r="67" spans="1:8">
      <c r="A67" s="119">
        <f>'BASE FINANCEIRO'!BI105</f>
        <v>0</v>
      </c>
      <c r="B67" s="24" t="str">
        <f t="shared" si="0"/>
        <v/>
      </c>
      <c r="C67" s="24" t="s">
        <v>2453</v>
      </c>
      <c r="D67" s="24" t="e">
        <f>IF(VLOOKUP('BASE FINANCEIRO'!BC105,'COD. PROJETOS'!B:D,3,0)="VIVO",MID('BASE FINANCEIRO'!BI105,36,3),IF(VLOOKUP('BASE FINANCEIRO'!BC105,'COD. PROJETOS'!B:D,3,0),MID('BASE FINANCEIRO'!BI105,36,7),IF(VLOOKUP('BASE FINANCEIRO'!BC105,'COD. PROJETOS'!B:D,3,0),MID('BASE FINANCEIRO'!BI105,36,9),"PROJETO?")))</f>
        <v>#N/A</v>
      </c>
      <c r="E67" s="24" t="e">
        <f>VLOOKUP(D67,'BASE MUNICÍPIO'!B48:C24783,2,0)</f>
        <v>#N/A</v>
      </c>
      <c r="F67" s="98" t="e">
        <f>VLOOKUP(D67,'BASE MUNICÍPIO'!B48:D24783,3,0)</f>
        <v>#N/A</v>
      </c>
      <c r="G67" s="97" t="str">
        <f>IF(Tabela4[[#This Row],[PROJETO]]="CLARO",LEFT(Tabela4[[#This Row],[SITE2]],2),IF(Tabela4[[#This Row],[PROJETO]]="VIVO",RIGHT(LEFT(Tabela4[[#This Row],[SITE2]],10),2),""))</f>
        <v/>
      </c>
      <c r="H67" s="99"/>
    </row>
    <row r="68" spans="1:8">
      <c r="A68" s="119">
        <f>'BASE FINANCEIRO'!BI106</f>
        <v>0</v>
      </c>
      <c r="B68" s="24" t="str">
        <f t="shared" ref="B68:B131" si="1">MID(A68,36,14)</f>
        <v/>
      </c>
      <c r="C68" s="24" t="s">
        <v>2453</v>
      </c>
      <c r="D68" s="24" t="e">
        <f>IF(VLOOKUP('BASE FINANCEIRO'!BC106,'COD. PROJETOS'!B:D,3,0)="VIVO",MID('BASE FINANCEIRO'!BI106,36,3),IF(VLOOKUP('BASE FINANCEIRO'!BC106,'COD. PROJETOS'!B:D,3,0),MID('BASE FINANCEIRO'!BI106,36,7),IF(VLOOKUP('BASE FINANCEIRO'!BC106,'COD. PROJETOS'!B:D,3,0),MID('BASE FINANCEIRO'!BI106,36,9),"PROJETO?")))</f>
        <v>#N/A</v>
      </c>
      <c r="E68" s="24" t="e">
        <f>VLOOKUP(D68,'BASE MUNICÍPIO'!B49:C24784,2,0)</f>
        <v>#N/A</v>
      </c>
      <c r="F68" s="98" t="e">
        <f>VLOOKUP(D68,'BASE MUNICÍPIO'!B49:D24784,3,0)</f>
        <v>#N/A</v>
      </c>
      <c r="G68" s="97" t="str">
        <f>IF(Tabela4[[#This Row],[PROJETO]]="CLARO",LEFT(Tabela4[[#This Row],[SITE2]],2),IF(Tabela4[[#This Row],[PROJETO]]="VIVO",RIGHT(LEFT(Tabela4[[#This Row],[SITE2]],10),2),""))</f>
        <v/>
      </c>
      <c r="H68" s="99"/>
    </row>
    <row r="69" spans="1:8">
      <c r="A69" s="119">
        <f>'BASE FINANCEIRO'!BI107</f>
        <v>0</v>
      </c>
      <c r="B69" s="24" t="str">
        <f t="shared" si="1"/>
        <v/>
      </c>
      <c r="C69" s="24" t="s">
        <v>2453</v>
      </c>
      <c r="D69" s="24" t="e">
        <f>IF(VLOOKUP('BASE FINANCEIRO'!BC107,'COD. PROJETOS'!B:D,3,0)="VIVO",MID('BASE FINANCEIRO'!BI107,36,3),IF(VLOOKUP('BASE FINANCEIRO'!BC107,'COD. PROJETOS'!B:D,3,0),MID('BASE FINANCEIRO'!BI107,36,7),IF(VLOOKUP('BASE FINANCEIRO'!BC107,'COD. PROJETOS'!B:D,3,0),MID('BASE FINANCEIRO'!BI107,36,9),"PROJETO?")))</f>
        <v>#N/A</v>
      </c>
      <c r="E69" s="24" t="e">
        <f>VLOOKUP(D69,'BASE MUNICÍPIO'!B50:C24785,2,0)</f>
        <v>#N/A</v>
      </c>
      <c r="F69" s="98" t="e">
        <f>VLOOKUP(D69,'BASE MUNICÍPIO'!B50:D24785,3,0)</f>
        <v>#N/A</v>
      </c>
      <c r="G69" s="97" t="str">
        <f>IF(Tabela4[[#This Row],[PROJETO]]="CLARO",LEFT(Tabela4[[#This Row],[SITE2]],2),IF(Tabela4[[#This Row],[PROJETO]]="VIVO",RIGHT(LEFT(Tabela4[[#This Row],[SITE2]],10),2),""))</f>
        <v/>
      </c>
      <c r="H69" s="99"/>
    </row>
    <row r="70" spans="1:8">
      <c r="A70" s="119">
        <f>'BASE FINANCEIRO'!BI108</f>
        <v>0</v>
      </c>
      <c r="B70" s="24" t="str">
        <f t="shared" si="1"/>
        <v/>
      </c>
      <c r="C70" s="24" t="s">
        <v>2453</v>
      </c>
      <c r="D70" s="24" t="e">
        <f>IF(VLOOKUP('BASE FINANCEIRO'!BC108,'COD. PROJETOS'!B:D,3,0)="VIVO",MID('BASE FINANCEIRO'!BI108,36,3),IF(VLOOKUP('BASE FINANCEIRO'!BC108,'COD. PROJETOS'!B:D,3,0),MID('BASE FINANCEIRO'!BI108,36,7),IF(VLOOKUP('BASE FINANCEIRO'!BC108,'COD. PROJETOS'!B:D,3,0),MID('BASE FINANCEIRO'!BI108,36,9),"PROJETO?")))</f>
        <v>#N/A</v>
      </c>
      <c r="E70" s="24" t="e">
        <f>VLOOKUP(D70,'BASE MUNICÍPIO'!B51:C24786,2,0)</f>
        <v>#N/A</v>
      </c>
      <c r="F70" s="98" t="e">
        <f>VLOOKUP(D70,'BASE MUNICÍPIO'!B51:D24786,3,0)</f>
        <v>#N/A</v>
      </c>
      <c r="G70" s="97" t="str">
        <f>IF(Tabela4[[#This Row],[PROJETO]]="CLARO",LEFT(Tabela4[[#This Row],[SITE2]],2),IF(Tabela4[[#This Row],[PROJETO]]="VIVO",RIGHT(LEFT(Tabela4[[#This Row],[SITE2]],10),2),""))</f>
        <v/>
      </c>
      <c r="H70" s="99"/>
    </row>
    <row r="71" spans="1:8">
      <c r="A71" s="119">
        <f>'BASE FINANCEIRO'!BI109</f>
        <v>0</v>
      </c>
      <c r="B71" s="24" t="str">
        <f t="shared" si="1"/>
        <v/>
      </c>
      <c r="C71" s="24" t="s">
        <v>2453</v>
      </c>
      <c r="D71" s="24" t="e">
        <f>IF(VLOOKUP('BASE FINANCEIRO'!BC109,'COD. PROJETOS'!B:D,3,0)="VIVO",MID('BASE FINANCEIRO'!BI109,36,3),IF(VLOOKUP('BASE FINANCEIRO'!BC109,'COD. PROJETOS'!B:D,3,0),MID('BASE FINANCEIRO'!BI109,36,7),IF(VLOOKUP('BASE FINANCEIRO'!BC109,'COD. PROJETOS'!B:D,3,0),MID('BASE FINANCEIRO'!BI109,36,9),"PROJETO?")))</f>
        <v>#N/A</v>
      </c>
      <c r="E71" s="24" t="e">
        <f>VLOOKUP(D71,'BASE MUNICÍPIO'!B52:C24787,2,0)</f>
        <v>#N/A</v>
      </c>
      <c r="F71" s="98" t="e">
        <f>VLOOKUP(D71,'BASE MUNICÍPIO'!B52:D24787,3,0)</f>
        <v>#N/A</v>
      </c>
      <c r="G71" s="97" t="str">
        <f>IF(Tabela4[[#This Row],[PROJETO]]="CLARO",LEFT(Tabela4[[#This Row],[SITE2]],2),IF(Tabela4[[#This Row],[PROJETO]]="VIVO",RIGHT(LEFT(Tabela4[[#This Row],[SITE2]],10),2),""))</f>
        <v/>
      </c>
      <c r="H71" s="99"/>
    </row>
    <row r="72" spans="1:8">
      <c r="A72" s="119">
        <f>'BASE FINANCEIRO'!BI110</f>
        <v>0</v>
      </c>
      <c r="B72" s="24" t="str">
        <f t="shared" si="1"/>
        <v/>
      </c>
      <c r="C72" s="24" t="s">
        <v>2453</v>
      </c>
      <c r="D72" s="24" t="e">
        <f>IF(VLOOKUP('BASE FINANCEIRO'!BC110,'COD. PROJETOS'!B:D,3,0)="VIVO",MID('BASE FINANCEIRO'!BI110,36,3),IF(VLOOKUP('BASE FINANCEIRO'!BC110,'COD. PROJETOS'!B:D,3,0),MID('BASE FINANCEIRO'!BI110,36,7),IF(VLOOKUP('BASE FINANCEIRO'!BC110,'COD. PROJETOS'!B:D,3,0),MID('BASE FINANCEIRO'!BI110,36,9),"PROJETO?")))</f>
        <v>#N/A</v>
      </c>
      <c r="E72" s="24" t="e">
        <f>VLOOKUP(D72,'BASE MUNICÍPIO'!B53:C24788,2,0)</f>
        <v>#N/A</v>
      </c>
      <c r="F72" s="98" t="e">
        <f>VLOOKUP(D72,'BASE MUNICÍPIO'!B53:D24788,3,0)</f>
        <v>#N/A</v>
      </c>
      <c r="G72" s="97" t="str">
        <f>IF(Tabela4[[#This Row],[PROJETO]]="CLARO",LEFT(Tabela4[[#This Row],[SITE2]],2),IF(Tabela4[[#This Row],[PROJETO]]="VIVO",RIGHT(LEFT(Tabela4[[#This Row],[SITE2]],10),2),""))</f>
        <v/>
      </c>
      <c r="H72" s="99"/>
    </row>
    <row r="73" spans="1:8">
      <c r="A73" s="119">
        <f>'BASE FINANCEIRO'!BI111</f>
        <v>0</v>
      </c>
      <c r="B73" s="24" t="str">
        <f t="shared" si="1"/>
        <v/>
      </c>
      <c r="C73" s="24" t="s">
        <v>2453</v>
      </c>
      <c r="D73" s="24" t="e">
        <f>IF(VLOOKUP('BASE FINANCEIRO'!BC111,'COD. PROJETOS'!B:D,3,0)="VIVO",MID('BASE FINANCEIRO'!BI111,36,3),IF(VLOOKUP('BASE FINANCEIRO'!BC111,'COD. PROJETOS'!B:D,3,0),MID('BASE FINANCEIRO'!BI111,36,7),IF(VLOOKUP('BASE FINANCEIRO'!BC111,'COD. PROJETOS'!B:D,3,0),MID('BASE FINANCEIRO'!BI111,36,9),"PROJETO?")))</f>
        <v>#N/A</v>
      </c>
      <c r="E73" s="24" t="e">
        <f>VLOOKUP(D73,'BASE MUNICÍPIO'!B54:C24789,2,0)</f>
        <v>#N/A</v>
      </c>
      <c r="F73" s="98" t="e">
        <f>VLOOKUP(D73,'BASE MUNICÍPIO'!B54:D24789,3,0)</f>
        <v>#N/A</v>
      </c>
      <c r="G73" s="97" t="str">
        <f>IF(Tabela4[[#This Row],[PROJETO]]="CLARO",LEFT(Tabela4[[#This Row],[SITE2]],2),IF(Tabela4[[#This Row],[PROJETO]]="VIVO",RIGHT(LEFT(Tabela4[[#This Row],[SITE2]],10),2),""))</f>
        <v/>
      </c>
      <c r="H73" s="99"/>
    </row>
    <row r="74" spans="1:8">
      <c r="A74" s="119">
        <f>'BASE FINANCEIRO'!BI112</f>
        <v>0</v>
      </c>
      <c r="B74" s="24" t="str">
        <f t="shared" si="1"/>
        <v/>
      </c>
      <c r="C74" s="24" t="s">
        <v>2453</v>
      </c>
      <c r="D74" s="24" t="e">
        <f>IF(VLOOKUP('BASE FINANCEIRO'!BC112,'COD. PROJETOS'!B:D,3,0)="VIVO",MID('BASE FINANCEIRO'!BI112,36,3),IF(VLOOKUP('BASE FINANCEIRO'!BC112,'COD. PROJETOS'!B:D,3,0),MID('BASE FINANCEIRO'!BI112,36,7),IF(VLOOKUP('BASE FINANCEIRO'!BC112,'COD. PROJETOS'!B:D,3,0),MID('BASE FINANCEIRO'!BI112,36,9),"PROJETO?")))</f>
        <v>#N/A</v>
      </c>
      <c r="E74" s="24" t="e">
        <f>VLOOKUP(D74,'BASE MUNICÍPIO'!B55:C24790,2,0)</f>
        <v>#N/A</v>
      </c>
      <c r="F74" s="98" t="e">
        <f>VLOOKUP(D74,'BASE MUNICÍPIO'!B55:D24790,3,0)</f>
        <v>#N/A</v>
      </c>
      <c r="G74" s="97" t="str">
        <f>IF(Tabela4[[#This Row],[PROJETO]]="CLARO",LEFT(Tabela4[[#This Row],[SITE2]],2),IF(Tabela4[[#This Row],[PROJETO]]="VIVO",RIGHT(LEFT(Tabela4[[#This Row],[SITE2]],10),2),""))</f>
        <v/>
      </c>
      <c r="H74" s="99"/>
    </row>
    <row r="75" spans="1:8">
      <c r="A75" s="119">
        <f>'BASE FINANCEIRO'!BI113</f>
        <v>0</v>
      </c>
      <c r="B75" s="24" t="str">
        <f t="shared" si="1"/>
        <v/>
      </c>
      <c r="C75" s="24" t="s">
        <v>2453</v>
      </c>
      <c r="D75" s="24" t="e">
        <f>IF(VLOOKUP('BASE FINANCEIRO'!BC113,'COD. PROJETOS'!B:D,3,0)="VIVO",MID('BASE FINANCEIRO'!BI113,36,3),IF(VLOOKUP('BASE FINANCEIRO'!BC113,'COD. PROJETOS'!B:D,3,0),MID('BASE FINANCEIRO'!BI113,36,7),IF(VLOOKUP('BASE FINANCEIRO'!BC113,'COD. PROJETOS'!B:D,3,0),MID('BASE FINANCEIRO'!BI113,36,9),"PROJETO?")))</f>
        <v>#N/A</v>
      </c>
      <c r="E75" s="24" t="e">
        <f>VLOOKUP(D75,'BASE MUNICÍPIO'!B56:C24791,2,0)</f>
        <v>#N/A</v>
      </c>
      <c r="F75" s="98" t="e">
        <f>VLOOKUP(D75,'BASE MUNICÍPIO'!B56:D24791,3,0)</f>
        <v>#N/A</v>
      </c>
      <c r="G75" s="97" t="str">
        <f>IF(Tabela4[[#This Row],[PROJETO]]="CLARO",LEFT(Tabela4[[#This Row],[SITE2]],2),IF(Tabela4[[#This Row],[PROJETO]]="VIVO",RIGHT(LEFT(Tabela4[[#This Row],[SITE2]],10),2),""))</f>
        <v/>
      </c>
      <c r="H75" s="99"/>
    </row>
    <row r="76" spans="1:8">
      <c r="A76" s="119">
        <f>'BASE FINANCEIRO'!BI114</f>
        <v>0</v>
      </c>
      <c r="B76" s="24" t="str">
        <f t="shared" si="1"/>
        <v/>
      </c>
      <c r="C76" s="24" t="s">
        <v>2453</v>
      </c>
      <c r="D76" s="24" t="e">
        <f>IF(VLOOKUP('BASE FINANCEIRO'!BC114,'COD. PROJETOS'!B:D,3,0)="VIVO",MID('BASE FINANCEIRO'!BI114,36,3),IF(VLOOKUP('BASE FINANCEIRO'!BC114,'COD. PROJETOS'!B:D,3,0),MID('BASE FINANCEIRO'!BI114,36,7),IF(VLOOKUP('BASE FINANCEIRO'!BC114,'COD. PROJETOS'!B:D,3,0),MID('BASE FINANCEIRO'!BI114,36,9),"PROJETO?")))</f>
        <v>#N/A</v>
      </c>
      <c r="E76" s="24" t="e">
        <f>VLOOKUP(D76,'BASE MUNICÍPIO'!B57:C24792,2,0)</f>
        <v>#N/A</v>
      </c>
      <c r="F76" s="98" t="e">
        <f>VLOOKUP(D76,'BASE MUNICÍPIO'!B57:D24792,3,0)</f>
        <v>#N/A</v>
      </c>
      <c r="G76" s="97" t="str">
        <f>IF(Tabela4[[#This Row],[PROJETO]]="CLARO",LEFT(Tabela4[[#This Row],[SITE2]],2),IF(Tabela4[[#This Row],[PROJETO]]="VIVO",RIGHT(LEFT(Tabela4[[#This Row],[SITE2]],10),2),""))</f>
        <v/>
      </c>
      <c r="H76" s="99"/>
    </row>
    <row r="77" spans="1:8">
      <c r="A77" s="119">
        <f>'BASE FINANCEIRO'!BI115</f>
        <v>0</v>
      </c>
      <c r="B77" s="24" t="str">
        <f t="shared" si="1"/>
        <v/>
      </c>
      <c r="C77" s="24" t="s">
        <v>2453</v>
      </c>
      <c r="D77" s="24" t="e">
        <f>IF(VLOOKUP('BASE FINANCEIRO'!BC115,'COD. PROJETOS'!B:D,3,0)="VIVO",MID('BASE FINANCEIRO'!BI115,36,3),IF(VLOOKUP('BASE FINANCEIRO'!BC115,'COD. PROJETOS'!B:D,3,0),MID('BASE FINANCEIRO'!BI115,36,7),IF(VLOOKUP('BASE FINANCEIRO'!BC115,'COD. PROJETOS'!B:D,3,0),MID('BASE FINANCEIRO'!BI115,36,9),"PROJETO?")))</f>
        <v>#N/A</v>
      </c>
      <c r="E77" s="24" t="e">
        <f>VLOOKUP(D77,'BASE MUNICÍPIO'!B58:C24793,2,0)</f>
        <v>#N/A</v>
      </c>
      <c r="F77" s="98" t="e">
        <f>VLOOKUP(D77,'BASE MUNICÍPIO'!B58:D24793,3,0)</f>
        <v>#N/A</v>
      </c>
      <c r="G77" s="97" t="str">
        <f>IF(Tabela4[[#This Row],[PROJETO]]="CLARO",LEFT(Tabela4[[#This Row],[SITE2]],2),IF(Tabela4[[#This Row],[PROJETO]]="VIVO",RIGHT(LEFT(Tabela4[[#This Row],[SITE2]],10),2),""))</f>
        <v/>
      </c>
      <c r="H77" s="99"/>
    </row>
    <row r="78" spans="1:8">
      <c r="A78" s="119">
        <f>'BASE FINANCEIRO'!BI116</f>
        <v>0</v>
      </c>
      <c r="B78" s="24" t="str">
        <f t="shared" si="1"/>
        <v/>
      </c>
      <c r="C78" s="24" t="s">
        <v>2453</v>
      </c>
      <c r="D78" s="24" t="e">
        <f>IF(VLOOKUP('BASE FINANCEIRO'!BC116,'COD. PROJETOS'!B:D,3,0)="VIVO",MID('BASE FINANCEIRO'!BI116,36,3),IF(VLOOKUP('BASE FINANCEIRO'!BC116,'COD. PROJETOS'!B:D,3,0),MID('BASE FINANCEIRO'!BI116,36,7),IF(VLOOKUP('BASE FINANCEIRO'!BC116,'COD. PROJETOS'!B:D,3,0),MID('BASE FINANCEIRO'!BI116,36,9),"PROJETO?")))</f>
        <v>#N/A</v>
      </c>
      <c r="E78" s="24" t="e">
        <f>VLOOKUP(D78,'BASE MUNICÍPIO'!B59:C24794,2,0)</f>
        <v>#N/A</v>
      </c>
      <c r="F78" s="98" t="e">
        <f>VLOOKUP(D78,'BASE MUNICÍPIO'!B59:D24794,3,0)</f>
        <v>#N/A</v>
      </c>
      <c r="G78" s="97" t="str">
        <f>IF(Tabela4[[#This Row],[PROJETO]]="CLARO",LEFT(Tabela4[[#This Row],[SITE2]],2),IF(Tabela4[[#This Row],[PROJETO]]="VIVO",RIGHT(LEFT(Tabela4[[#This Row],[SITE2]],10),2),""))</f>
        <v/>
      </c>
      <c r="H78" s="99"/>
    </row>
    <row r="79" spans="1:8">
      <c r="A79" s="119">
        <f>'BASE FINANCEIRO'!BI117</f>
        <v>0</v>
      </c>
      <c r="B79" s="24" t="str">
        <f t="shared" si="1"/>
        <v/>
      </c>
      <c r="C79" s="24" t="s">
        <v>2453</v>
      </c>
      <c r="D79" s="24" t="e">
        <f>IF(VLOOKUP('BASE FINANCEIRO'!BC117,'COD. PROJETOS'!B:D,3,0)="VIVO",MID('BASE FINANCEIRO'!BI117,36,3),IF(VLOOKUP('BASE FINANCEIRO'!BC117,'COD. PROJETOS'!B:D,3,0),MID('BASE FINANCEIRO'!BI117,36,7),IF(VLOOKUP('BASE FINANCEIRO'!BC117,'COD. PROJETOS'!B:D,3,0),MID('BASE FINANCEIRO'!BI117,36,9),"PROJETO?")))</f>
        <v>#N/A</v>
      </c>
      <c r="E79" s="24" t="e">
        <f>VLOOKUP(D79,'BASE MUNICÍPIO'!B60:C24795,2,0)</f>
        <v>#N/A</v>
      </c>
      <c r="F79" s="98" t="e">
        <f>VLOOKUP(D79,'BASE MUNICÍPIO'!B60:D24795,3,0)</f>
        <v>#N/A</v>
      </c>
      <c r="G79" s="97" t="str">
        <f>IF(Tabela4[[#This Row],[PROJETO]]="CLARO",LEFT(Tabela4[[#This Row],[SITE2]],2),IF(Tabela4[[#This Row],[PROJETO]]="VIVO",RIGHT(LEFT(Tabela4[[#This Row],[SITE2]],10),2),""))</f>
        <v/>
      </c>
      <c r="H79" s="99"/>
    </row>
    <row r="80" spans="1:8">
      <c r="A80" s="119">
        <f>'BASE FINANCEIRO'!BI118</f>
        <v>0</v>
      </c>
      <c r="B80" s="24" t="str">
        <f t="shared" si="1"/>
        <v/>
      </c>
      <c r="C80" s="24" t="s">
        <v>2453</v>
      </c>
      <c r="D80" s="24" t="e">
        <f>IF(VLOOKUP('BASE FINANCEIRO'!BC118,'COD. PROJETOS'!B:D,3,0)="VIVO",MID('BASE FINANCEIRO'!BI118,36,3),IF(VLOOKUP('BASE FINANCEIRO'!BC118,'COD. PROJETOS'!B:D,3,0),MID('BASE FINANCEIRO'!BI118,36,7),IF(VLOOKUP('BASE FINANCEIRO'!BC118,'COD. PROJETOS'!B:D,3,0),MID('BASE FINANCEIRO'!BI118,36,9),"PROJETO?")))</f>
        <v>#N/A</v>
      </c>
      <c r="E80" s="24" t="e">
        <f>VLOOKUP(D80,'BASE MUNICÍPIO'!B61:C24796,2,0)</f>
        <v>#N/A</v>
      </c>
      <c r="F80" s="98" t="e">
        <f>VLOOKUP(D80,'BASE MUNICÍPIO'!B61:D24796,3,0)</f>
        <v>#N/A</v>
      </c>
      <c r="G80" s="97" t="str">
        <f>IF(Tabela4[[#This Row],[PROJETO]]="CLARO",LEFT(Tabela4[[#This Row],[SITE2]],2),IF(Tabela4[[#This Row],[PROJETO]]="VIVO",RIGHT(LEFT(Tabela4[[#This Row],[SITE2]],10),2),""))</f>
        <v/>
      </c>
      <c r="H80" s="99"/>
    </row>
    <row r="81" spans="1:8">
      <c r="A81" s="119">
        <f>'BASE FINANCEIRO'!BI119</f>
        <v>0</v>
      </c>
      <c r="B81" s="24" t="str">
        <f t="shared" si="1"/>
        <v/>
      </c>
      <c r="C81" s="24" t="s">
        <v>2453</v>
      </c>
      <c r="D81" s="24" t="e">
        <f>IF(VLOOKUP('BASE FINANCEIRO'!BC119,'COD. PROJETOS'!B:D,3,0)="VIVO",MID('BASE FINANCEIRO'!BI119,36,3),IF(VLOOKUP('BASE FINANCEIRO'!BC119,'COD. PROJETOS'!B:D,3,0),MID('BASE FINANCEIRO'!BI119,36,7),IF(VLOOKUP('BASE FINANCEIRO'!BC119,'COD. PROJETOS'!B:D,3,0),MID('BASE FINANCEIRO'!BI119,36,9),"PROJETO?")))</f>
        <v>#N/A</v>
      </c>
      <c r="E81" s="24" t="e">
        <f>VLOOKUP(D81,'BASE MUNICÍPIO'!B62:C24797,2,0)</f>
        <v>#N/A</v>
      </c>
      <c r="F81" s="98" t="e">
        <f>VLOOKUP(D81,'BASE MUNICÍPIO'!B62:D24797,3,0)</f>
        <v>#N/A</v>
      </c>
      <c r="G81" s="97" t="str">
        <f>IF(Tabela4[[#This Row],[PROJETO]]="CLARO",LEFT(Tabela4[[#This Row],[SITE2]],2),IF(Tabela4[[#This Row],[PROJETO]]="VIVO",RIGHT(LEFT(Tabela4[[#This Row],[SITE2]],10),2),""))</f>
        <v/>
      </c>
      <c r="H81" s="99"/>
    </row>
    <row r="82" spans="1:8">
      <c r="A82" s="119">
        <f>'BASE FINANCEIRO'!BI120</f>
        <v>0</v>
      </c>
      <c r="B82" s="24" t="str">
        <f t="shared" si="1"/>
        <v/>
      </c>
      <c r="C82" s="24" t="s">
        <v>2453</v>
      </c>
      <c r="D82" s="24" t="e">
        <f>IF(VLOOKUP('BASE FINANCEIRO'!BC120,'COD. PROJETOS'!B:D,3,0)="VIVO",MID('BASE FINANCEIRO'!BI120,36,3),IF(VLOOKUP('BASE FINANCEIRO'!BC120,'COD. PROJETOS'!B:D,3,0),MID('BASE FINANCEIRO'!BI120,36,7),IF(VLOOKUP('BASE FINANCEIRO'!BC120,'COD. PROJETOS'!B:D,3,0),MID('BASE FINANCEIRO'!BI120,36,9),"PROJETO?")))</f>
        <v>#N/A</v>
      </c>
      <c r="E82" s="24" t="e">
        <f>VLOOKUP(D82,'BASE MUNICÍPIO'!B63:C24798,2,0)</f>
        <v>#N/A</v>
      </c>
      <c r="F82" s="98" t="e">
        <f>VLOOKUP(D82,'BASE MUNICÍPIO'!B63:D24798,3,0)</f>
        <v>#N/A</v>
      </c>
      <c r="G82" s="97" t="str">
        <f>IF(Tabela4[[#This Row],[PROJETO]]="CLARO",LEFT(Tabela4[[#This Row],[SITE2]],2),IF(Tabela4[[#This Row],[PROJETO]]="VIVO",RIGHT(LEFT(Tabela4[[#This Row],[SITE2]],10),2),""))</f>
        <v/>
      </c>
      <c r="H82" s="99"/>
    </row>
    <row r="83" spans="1:8">
      <c r="A83" s="119">
        <f>'BASE FINANCEIRO'!BI121</f>
        <v>0</v>
      </c>
      <c r="B83" s="24" t="str">
        <f t="shared" si="1"/>
        <v/>
      </c>
      <c r="C83" s="24" t="s">
        <v>2453</v>
      </c>
      <c r="D83" s="24" t="e">
        <f>IF(VLOOKUP('BASE FINANCEIRO'!BC121,'COD. PROJETOS'!B:D,3,0)="VIVO",MID('BASE FINANCEIRO'!BI121,36,3),IF(VLOOKUP('BASE FINANCEIRO'!BC121,'COD. PROJETOS'!B:D,3,0),MID('BASE FINANCEIRO'!BI121,36,7),IF(VLOOKUP('BASE FINANCEIRO'!BC121,'COD. PROJETOS'!B:D,3,0),MID('BASE FINANCEIRO'!BI121,36,9),"PROJETO?")))</f>
        <v>#N/A</v>
      </c>
      <c r="E83" s="24" t="e">
        <f>VLOOKUP(D83,'BASE MUNICÍPIO'!B64:C24799,2,0)</f>
        <v>#N/A</v>
      </c>
      <c r="F83" s="98" t="e">
        <f>VLOOKUP(D83,'BASE MUNICÍPIO'!B64:D24799,3,0)</f>
        <v>#N/A</v>
      </c>
      <c r="G83" s="97" t="str">
        <f>IF(Tabela4[[#This Row],[PROJETO]]="CLARO",LEFT(Tabela4[[#This Row],[SITE2]],2),IF(Tabela4[[#This Row],[PROJETO]]="VIVO",RIGHT(LEFT(Tabela4[[#This Row],[SITE2]],10),2),""))</f>
        <v/>
      </c>
      <c r="H83" s="99"/>
    </row>
    <row r="84" spans="1:8">
      <c r="A84" s="119">
        <f>'BASE FINANCEIRO'!BI122</f>
        <v>0</v>
      </c>
      <c r="B84" s="24" t="str">
        <f t="shared" si="1"/>
        <v/>
      </c>
      <c r="C84" s="24" t="s">
        <v>2453</v>
      </c>
      <c r="D84" s="24" t="e">
        <f>IF(VLOOKUP('BASE FINANCEIRO'!BC122,'COD. PROJETOS'!B:D,3,0)="VIVO",MID('BASE FINANCEIRO'!BI122,36,3),IF(VLOOKUP('BASE FINANCEIRO'!BC122,'COD. PROJETOS'!B:D,3,0),MID('BASE FINANCEIRO'!BI122,36,7),IF(VLOOKUP('BASE FINANCEIRO'!BC122,'COD. PROJETOS'!B:D,3,0),MID('BASE FINANCEIRO'!BI122,36,9),"PROJETO?")))</f>
        <v>#N/A</v>
      </c>
      <c r="E84" s="24" t="e">
        <f>VLOOKUP(D84,'BASE MUNICÍPIO'!B65:C24800,2,0)</f>
        <v>#N/A</v>
      </c>
      <c r="F84" s="98" t="e">
        <f>VLOOKUP(D84,'BASE MUNICÍPIO'!B65:D24800,3,0)</f>
        <v>#N/A</v>
      </c>
      <c r="G84" s="97" t="str">
        <f>IF(Tabela4[[#This Row],[PROJETO]]="CLARO",LEFT(Tabela4[[#This Row],[SITE2]],2),IF(Tabela4[[#This Row],[PROJETO]]="VIVO",RIGHT(LEFT(Tabela4[[#This Row],[SITE2]],10),2),""))</f>
        <v/>
      </c>
      <c r="H84" s="99"/>
    </row>
    <row r="85" spans="1:8">
      <c r="A85" s="119">
        <f>'BASE FINANCEIRO'!BI123</f>
        <v>0</v>
      </c>
      <c r="B85" s="24" t="str">
        <f t="shared" si="1"/>
        <v/>
      </c>
      <c r="C85" s="24" t="s">
        <v>2453</v>
      </c>
      <c r="D85" s="24" t="e">
        <f>IF(VLOOKUP('BASE FINANCEIRO'!BC123,'COD. PROJETOS'!B:D,3,0)="VIVO",MID('BASE FINANCEIRO'!BI123,36,3),IF(VLOOKUP('BASE FINANCEIRO'!BC123,'COD. PROJETOS'!B:D,3,0),MID('BASE FINANCEIRO'!BI123,36,7),IF(VLOOKUP('BASE FINANCEIRO'!BC123,'COD. PROJETOS'!B:D,3,0),MID('BASE FINANCEIRO'!BI123,36,9),"PROJETO?")))</f>
        <v>#N/A</v>
      </c>
      <c r="E85" s="24" t="e">
        <f>VLOOKUP(D85,'BASE MUNICÍPIO'!B66:C24801,2,0)</f>
        <v>#N/A</v>
      </c>
      <c r="F85" s="98" t="e">
        <f>VLOOKUP(D85,'BASE MUNICÍPIO'!B66:D24801,3,0)</f>
        <v>#N/A</v>
      </c>
      <c r="G85" s="97" t="str">
        <f>IF(Tabela4[[#This Row],[PROJETO]]="CLARO",LEFT(Tabela4[[#This Row],[SITE2]],2),IF(Tabela4[[#This Row],[PROJETO]]="VIVO",RIGHT(LEFT(Tabela4[[#This Row],[SITE2]],10),2),""))</f>
        <v/>
      </c>
      <c r="H85" s="99"/>
    </row>
    <row r="86" spans="1:8">
      <c r="A86" s="119">
        <f>'BASE FINANCEIRO'!BI124</f>
        <v>0</v>
      </c>
      <c r="B86" s="24" t="str">
        <f t="shared" si="1"/>
        <v/>
      </c>
      <c r="C86" s="24" t="s">
        <v>2453</v>
      </c>
      <c r="D86" s="24" t="e">
        <f>IF(VLOOKUP('BASE FINANCEIRO'!BC124,'COD. PROJETOS'!B:D,3,0)="VIVO",MID('BASE FINANCEIRO'!BI124,36,3),IF(VLOOKUP('BASE FINANCEIRO'!BC124,'COD. PROJETOS'!B:D,3,0),MID('BASE FINANCEIRO'!BI124,36,7),IF(VLOOKUP('BASE FINANCEIRO'!BC124,'COD. PROJETOS'!B:D,3,0),MID('BASE FINANCEIRO'!BI124,36,9),"PROJETO?")))</f>
        <v>#N/A</v>
      </c>
      <c r="E86" s="24" t="e">
        <f>VLOOKUP(D86,'BASE MUNICÍPIO'!B67:C24802,2,0)</f>
        <v>#N/A</v>
      </c>
      <c r="F86" s="98" t="e">
        <f>VLOOKUP(D86,'BASE MUNICÍPIO'!B67:D24802,3,0)</f>
        <v>#N/A</v>
      </c>
      <c r="G86" s="97" t="str">
        <f>IF(Tabela4[[#This Row],[PROJETO]]="CLARO",LEFT(Tabela4[[#This Row],[SITE2]],2),IF(Tabela4[[#This Row],[PROJETO]]="VIVO",RIGHT(LEFT(Tabela4[[#This Row],[SITE2]],10),2),""))</f>
        <v/>
      </c>
      <c r="H86" s="99"/>
    </row>
    <row r="87" spans="1:8">
      <c r="A87" s="119">
        <f>'BASE FINANCEIRO'!BI125</f>
        <v>0</v>
      </c>
      <c r="B87" s="24" t="str">
        <f t="shared" si="1"/>
        <v/>
      </c>
      <c r="C87" s="24" t="s">
        <v>2453</v>
      </c>
      <c r="D87" s="24" t="e">
        <f>IF(VLOOKUP('BASE FINANCEIRO'!BC125,'COD. PROJETOS'!B:D,3,0)="VIVO",MID('BASE FINANCEIRO'!BI125,36,3),IF(VLOOKUP('BASE FINANCEIRO'!BC125,'COD. PROJETOS'!B:D,3,0),MID('BASE FINANCEIRO'!BI125,36,7),IF(VLOOKUP('BASE FINANCEIRO'!BC125,'COD. PROJETOS'!B:D,3,0),MID('BASE FINANCEIRO'!BI125,36,9),"PROJETO?")))</f>
        <v>#N/A</v>
      </c>
      <c r="E87" s="24" t="e">
        <f>VLOOKUP(D87,'BASE MUNICÍPIO'!B68:C24803,2,0)</f>
        <v>#N/A</v>
      </c>
      <c r="F87" s="98" t="e">
        <f>VLOOKUP(D87,'BASE MUNICÍPIO'!B68:D24803,3,0)</f>
        <v>#N/A</v>
      </c>
      <c r="G87" s="97" t="str">
        <f>IF(Tabela4[[#This Row],[PROJETO]]="CLARO",LEFT(Tabela4[[#This Row],[SITE2]],2),IF(Tabela4[[#This Row],[PROJETO]]="VIVO",RIGHT(LEFT(Tabela4[[#This Row],[SITE2]],10),2),""))</f>
        <v/>
      </c>
      <c r="H87" s="99"/>
    </row>
    <row r="88" spans="1:8">
      <c r="A88" s="119">
        <f>'BASE FINANCEIRO'!BI126</f>
        <v>0</v>
      </c>
      <c r="B88" s="24" t="str">
        <f t="shared" si="1"/>
        <v/>
      </c>
      <c r="C88" s="24" t="s">
        <v>2453</v>
      </c>
      <c r="D88" s="24" t="e">
        <f>IF(VLOOKUP('BASE FINANCEIRO'!BC126,'COD. PROJETOS'!B:D,3,0)="VIVO",MID('BASE FINANCEIRO'!BI126,36,3),IF(VLOOKUP('BASE FINANCEIRO'!BC126,'COD. PROJETOS'!B:D,3,0),MID('BASE FINANCEIRO'!BI126,36,7),IF(VLOOKUP('BASE FINANCEIRO'!BC126,'COD. PROJETOS'!B:D,3,0),MID('BASE FINANCEIRO'!BI126,36,9),"PROJETO?")))</f>
        <v>#N/A</v>
      </c>
      <c r="E88" s="24" t="e">
        <f>VLOOKUP(D88,'BASE MUNICÍPIO'!B69:C24804,2,0)</f>
        <v>#N/A</v>
      </c>
      <c r="F88" s="98" t="e">
        <f>VLOOKUP(D88,'BASE MUNICÍPIO'!B69:D24804,3,0)</f>
        <v>#N/A</v>
      </c>
      <c r="G88" s="97" t="str">
        <f>IF(Tabela4[[#This Row],[PROJETO]]="CLARO",LEFT(Tabela4[[#This Row],[SITE2]],2),IF(Tabela4[[#This Row],[PROJETO]]="VIVO",RIGHT(LEFT(Tabela4[[#This Row],[SITE2]],10),2),""))</f>
        <v/>
      </c>
      <c r="H88" s="99"/>
    </row>
    <row r="89" spans="1:8">
      <c r="A89" s="119">
        <f>'BASE FINANCEIRO'!BI127</f>
        <v>0</v>
      </c>
      <c r="B89" s="24" t="str">
        <f t="shared" si="1"/>
        <v/>
      </c>
      <c r="C89" s="24" t="s">
        <v>2453</v>
      </c>
      <c r="D89" s="24" t="e">
        <f>IF(VLOOKUP('BASE FINANCEIRO'!BC127,'COD. PROJETOS'!B:D,3,0)="VIVO",MID('BASE FINANCEIRO'!BI127,36,3),IF(VLOOKUP('BASE FINANCEIRO'!BC127,'COD. PROJETOS'!B:D,3,0),MID('BASE FINANCEIRO'!BI127,36,7),IF(VLOOKUP('BASE FINANCEIRO'!BC127,'COD. PROJETOS'!B:D,3,0),MID('BASE FINANCEIRO'!BI127,36,9),"PROJETO?")))</f>
        <v>#N/A</v>
      </c>
      <c r="E89" s="24" t="e">
        <f>VLOOKUP(D89,'BASE MUNICÍPIO'!B70:C24805,2,0)</f>
        <v>#N/A</v>
      </c>
      <c r="F89" s="98" t="e">
        <f>VLOOKUP(D89,'BASE MUNICÍPIO'!B70:D24805,3,0)</f>
        <v>#N/A</v>
      </c>
      <c r="G89" s="97" t="str">
        <f>IF(Tabela4[[#This Row],[PROJETO]]="CLARO",LEFT(Tabela4[[#This Row],[SITE2]],2),IF(Tabela4[[#This Row],[PROJETO]]="VIVO",RIGHT(LEFT(Tabela4[[#This Row],[SITE2]],10),2),""))</f>
        <v/>
      </c>
      <c r="H89" s="99"/>
    </row>
    <row r="90" spans="1:8">
      <c r="A90" s="119">
        <f>'BASE FINANCEIRO'!BI128</f>
        <v>0</v>
      </c>
      <c r="B90" s="24" t="str">
        <f t="shared" si="1"/>
        <v/>
      </c>
      <c r="C90" s="24" t="s">
        <v>2453</v>
      </c>
      <c r="D90" s="24" t="e">
        <f>IF(VLOOKUP('BASE FINANCEIRO'!BC128,'COD. PROJETOS'!B:D,3,0)="VIVO",MID('BASE FINANCEIRO'!BI128,36,3),IF(VLOOKUP('BASE FINANCEIRO'!BC128,'COD. PROJETOS'!B:D,3,0),MID('BASE FINANCEIRO'!BI128,36,7),IF(VLOOKUP('BASE FINANCEIRO'!BC128,'COD. PROJETOS'!B:D,3,0),MID('BASE FINANCEIRO'!BI128,36,9),"PROJETO?")))</f>
        <v>#N/A</v>
      </c>
      <c r="E90" s="24" t="e">
        <f>VLOOKUP(D90,'BASE MUNICÍPIO'!B71:C24806,2,0)</f>
        <v>#N/A</v>
      </c>
      <c r="F90" s="98" t="e">
        <f>VLOOKUP(D90,'BASE MUNICÍPIO'!B71:D24806,3,0)</f>
        <v>#N/A</v>
      </c>
      <c r="G90" s="97" t="str">
        <f>IF(Tabela4[[#This Row],[PROJETO]]="CLARO",LEFT(Tabela4[[#This Row],[SITE2]],2),IF(Tabela4[[#This Row],[PROJETO]]="VIVO",RIGHT(LEFT(Tabela4[[#This Row],[SITE2]],10),2),""))</f>
        <v/>
      </c>
      <c r="H90" s="99"/>
    </row>
    <row r="91" spans="1:8">
      <c r="A91" s="119">
        <f>'BASE FINANCEIRO'!BI129</f>
        <v>0</v>
      </c>
      <c r="B91" s="24" t="str">
        <f t="shared" si="1"/>
        <v/>
      </c>
      <c r="C91" s="24" t="s">
        <v>2453</v>
      </c>
      <c r="D91" s="24" t="e">
        <f>IF(VLOOKUP('BASE FINANCEIRO'!BC129,'COD. PROJETOS'!B:D,3,0)="VIVO",MID('BASE FINANCEIRO'!BI129,36,3),IF(VLOOKUP('BASE FINANCEIRO'!BC129,'COD. PROJETOS'!B:D,3,0),MID('BASE FINANCEIRO'!BI129,36,7),IF(VLOOKUP('BASE FINANCEIRO'!BC129,'COD. PROJETOS'!B:D,3,0),MID('BASE FINANCEIRO'!BI129,36,9),"PROJETO?")))</f>
        <v>#N/A</v>
      </c>
      <c r="E91" s="24" t="e">
        <f>VLOOKUP(D91,'BASE MUNICÍPIO'!B72:C24807,2,0)</f>
        <v>#N/A</v>
      </c>
      <c r="F91" s="98" t="e">
        <f>VLOOKUP(D91,'BASE MUNICÍPIO'!B72:D24807,3,0)</f>
        <v>#N/A</v>
      </c>
      <c r="G91" s="97" t="str">
        <f>IF(Tabela4[[#This Row],[PROJETO]]="CLARO",LEFT(Tabela4[[#This Row],[SITE2]],2),IF(Tabela4[[#This Row],[PROJETO]]="VIVO",RIGHT(LEFT(Tabela4[[#This Row],[SITE2]],10),2),""))</f>
        <v/>
      </c>
      <c r="H91" s="99"/>
    </row>
    <row r="92" spans="1:8">
      <c r="A92" s="119" t="e">
        <f>'BASE FINANCEIRO'!#REF!</f>
        <v>#REF!</v>
      </c>
      <c r="B92" s="24" t="e">
        <f t="shared" si="1"/>
        <v>#REF!</v>
      </c>
      <c r="C92" s="24" t="s">
        <v>2453</v>
      </c>
      <c r="D92" s="24" t="e">
        <f>IF(VLOOKUP('BASE FINANCEIRO'!#REF!,'COD. PROJETOS'!B:D,3,0)="VIVO",MID('BASE FINANCEIRO'!#REF!,36,3),IF(VLOOKUP('BASE FINANCEIRO'!#REF!,'COD. PROJETOS'!B:D,3,0),MID('BASE FINANCEIRO'!#REF!,36,7),IF(VLOOKUP('BASE FINANCEIRO'!#REF!,'COD. PROJETOS'!B:D,3,0),MID('BASE FINANCEIRO'!#REF!,36,9),"PROJETO?")))</f>
        <v>#REF!</v>
      </c>
      <c r="E92" s="24" t="e">
        <f>VLOOKUP(D92,'BASE MUNICÍPIO'!B73:C24808,2,0)</f>
        <v>#REF!</v>
      </c>
      <c r="F92" s="98" t="e">
        <f>VLOOKUP(D92,'BASE MUNICÍPIO'!B73:D24808,3,0)</f>
        <v>#REF!</v>
      </c>
      <c r="G92" s="97" t="e">
        <f>IF(Tabela4[[#This Row],[PROJETO]]="CLARO",LEFT(Tabela4[[#This Row],[SITE2]],2),IF(Tabela4[[#This Row],[PROJETO]]="VIVO",RIGHT(LEFT(Tabela4[[#This Row],[SITE2]],10),2),""))</f>
        <v>#REF!</v>
      </c>
      <c r="H92" s="99"/>
    </row>
    <row r="93" spans="1:8">
      <c r="A93" s="119">
        <f>'BASE FINANCEIRO'!BI130</f>
        <v>0</v>
      </c>
      <c r="B93" s="24" t="str">
        <f t="shared" si="1"/>
        <v/>
      </c>
      <c r="C93" s="24" t="s">
        <v>2453</v>
      </c>
      <c r="D93" s="24" t="e">
        <f>IF(VLOOKUP('BASE FINANCEIRO'!BC130,'COD. PROJETOS'!B:D,3,0)="VIVO",MID('BASE FINANCEIRO'!BI130,36,3),IF(VLOOKUP('BASE FINANCEIRO'!BC130,'COD. PROJETOS'!B:D,3,0),MID('BASE FINANCEIRO'!BI130,36,7),IF(VLOOKUP('BASE FINANCEIRO'!BC130,'COD. PROJETOS'!B:D,3,0),MID('BASE FINANCEIRO'!BI130,36,9),"PROJETO?")))</f>
        <v>#N/A</v>
      </c>
      <c r="E93" s="24" t="e">
        <f>VLOOKUP(D93,'BASE MUNICÍPIO'!B74:C24809,2,0)</f>
        <v>#N/A</v>
      </c>
      <c r="F93" s="98" t="e">
        <f>VLOOKUP(D93,'BASE MUNICÍPIO'!B74:D24809,3,0)</f>
        <v>#N/A</v>
      </c>
      <c r="G93" s="97" t="str">
        <f>IF(Tabela4[[#This Row],[PROJETO]]="CLARO",LEFT(Tabela4[[#This Row],[SITE2]],2),IF(Tabela4[[#This Row],[PROJETO]]="VIVO",RIGHT(LEFT(Tabela4[[#This Row],[SITE2]],10),2),""))</f>
        <v/>
      </c>
      <c r="H93" s="99"/>
    </row>
    <row r="94" spans="1:8">
      <c r="A94" s="119">
        <f>'BASE FINANCEIRO'!BI131</f>
        <v>0</v>
      </c>
      <c r="B94" s="24" t="str">
        <f t="shared" si="1"/>
        <v/>
      </c>
      <c r="C94" s="24" t="s">
        <v>2453</v>
      </c>
      <c r="D94" s="24" t="e">
        <f>IF(VLOOKUP('BASE FINANCEIRO'!BC131,'COD. PROJETOS'!B:D,3,0)="VIVO",MID('BASE FINANCEIRO'!BI131,36,3),IF(VLOOKUP('BASE FINANCEIRO'!BC131,'COD. PROJETOS'!B:D,3,0),MID('BASE FINANCEIRO'!BI131,36,7),IF(VLOOKUP('BASE FINANCEIRO'!BC131,'COD. PROJETOS'!B:D,3,0),MID('BASE FINANCEIRO'!BI131,36,9),"PROJETO?")))</f>
        <v>#N/A</v>
      </c>
      <c r="E94" s="24" t="e">
        <f>VLOOKUP(D94,'BASE MUNICÍPIO'!B75:C24810,2,0)</f>
        <v>#N/A</v>
      </c>
      <c r="F94" s="98" t="e">
        <f>VLOOKUP(D94,'BASE MUNICÍPIO'!B75:D24810,3,0)</f>
        <v>#N/A</v>
      </c>
      <c r="G94" s="97" t="str">
        <f>IF(Tabela4[[#This Row],[PROJETO]]="CLARO",LEFT(Tabela4[[#This Row],[SITE2]],2),IF(Tabela4[[#This Row],[PROJETO]]="VIVO",RIGHT(LEFT(Tabela4[[#This Row],[SITE2]],10),2),""))</f>
        <v/>
      </c>
      <c r="H94" s="99"/>
    </row>
    <row r="95" spans="1:8">
      <c r="A95" s="119">
        <f>'BASE FINANCEIRO'!BI132</f>
        <v>0</v>
      </c>
      <c r="B95" s="24" t="str">
        <f t="shared" si="1"/>
        <v/>
      </c>
      <c r="C95" s="24" t="s">
        <v>2453</v>
      </c>
      <c r="D95" s="24" t="e">
        <f>IF(VLOOKUP('BASE FINANCEIRO'!BC132,'COD. PROJETOS'!B:D,3,0)="VIVO",MID('BASE FINANCEIRO'!BI132,36,3),IF(VLOOKUP('BASE FINANCEIRO'!BC132,'COD. PROJETOS'!B:D,3,0),MID('BASE FINANCEIRO'!BI132,36,7),IF(VLOOKUP('BASE FINANCEIRO'!BC132,'COD. PROJETOS'!B:D,3,0),MID('BASE FINANCEIRO'!BI132,36,9),"PROJETO?")))</f>
        <v>#N/A</v>
      </c>
      <c r="E95" s="24" t="e">
        <f>VLOOKUP(D95,'BASE MUNICÍPIO'!B76:C24811,2,0)</f>
        <v>#N/A</v>
      </c>
      <c r="F95" s="98" t="e">
        <f>VLOOKUP(D95,'BASE MUNICÍPIO'!B76:D24811,3,0)</f>
        <v>#N/A</v>
      </c>
      <c r="G95" s="97" t="str">
        <f>IF(Tabela4[[#This Row],[PROJETO]]="CLARO",LEFT(Tabela4[[#This Row],[SITE2]],2),IF(Tabela4[[#This Row],[PROJETO]]="VIVO",RIGHT(LEFT(Tabela4[[#This Row],[SITE2]],10),2),""))</f>
        <v/>
      </c>
      <c r="H95" s="99"/>
    </row>
    <row r="96" spans="1:8">
      <c r="A96" s="119">
        <f>'BASE FINANCEIRO'!BI133</f>
        <v>0</v>
      </c>
      <c r="B96" s="24" t="str">
        <f t="shared" si="1"/>
        <v/>
      </c>
      <c r="C96" s="24" t="s">
        <v>2453</v>
      </c>
      <c r="D96" s="24" t="e">
        <f>IF(VLOOKUP('BASE FINANCEIRO'!BC133,'COD. PROJETOS'!B:D,3,0)="VIVO",MID('BASE FINANCEIRO'!BI133,36,3),IF(VLOOKUP('BASE FINANCEIRO'!BC133,'COD. PROJETOS'!B:D,3,0),MID('BASE FINANCEIRO'!BI133,36,7),IF(VLOOKUP('BASE FINANCEIRO'!BC133,'COD. PROJETOS'!B:D,3,0),MID('BASE FINANCEIRO'!BI133,36,9),"PROJETO?")))</f>
        <v>#N/A</v>
      </c>
      <c r="E96" s="24" t="e">
        <f>VLOOKUP(D96,'BASE MUNICÍPIO'!B77:C24812,2,0)</f>
        <v>#N/A</v>
      </c>
      <c r="F96" s="98" t="e">
        <f>VLOOKUP(D96,'BASE MUNICÍPIO'!B77:D24812,3,0)</f>
        <v>#N/A</v>
      </c>
      <c r="G96" s="97" t="str">
        <f>IF(Tabela4[[#This Row],[PROJETO]]="CLARO",LEFT(Tabela4[[#This Row],[SITE2]],2),IF(Tabela4[[#This Row],[PROJETO]]="VIVO",RIGHT(LEFT(Tabela4[[#This Row],[SITE2]],10),2),""))</f>
        <v/>
      </c>
      <c r="H96" s="99"/>
    </row>
    <row r="97" spans="1:8">
      <c r="A97" s="119">
        <f>'BASE FINANCEIRO'!BI134</f>
        <v>0</v>
      </c>
      <c r="B97" s="24" t="str">
        <f t="shared" si="1"/>
        <v/>
      </c>
      <c r="C97" s="24" t="s">
        <v>2453</v>
      </c>
      <c r="D97" s="24" t="e">
        <f>IF(VLOOKUP('BASE FINANCEIRO'!BC134,'COD. PROJETOS'!B:D,3,0)="VIVO",MID('BASE FINANCEIRO'!BI134,36,3),IF(VLOOKUP('BASE FINANCEIRO'!BC134,'COD. PROJETOS'!B:D,3,0),MID('BASE FINANCEIRO'!BI134,36,7),IF(VLOOKUP('BASE FINANCEIRO'!BC134,'COD. PROJETOS'!B:D,3,0),MID('BASE FINANCEIRO'!BI134,36,9),"PROJETO?")))</f>
        <v>#N/A</v>
      </c>
      <c r="E97" s="24" t="e">
        <f>VLOOKUP(D97,'BASE MUNICÍPIO'!B78:C24813,2,0)</f>
        <v>#N/A</v>
      </c>
      <c r="F97" s="98" t="e">
        <f>VLOOKUP(D97,'BASE MUNICÍPIO'!B78:D24813,3,0)</f>
        <v>#N/A</v>
      </c>
      <c r="G97" s="97" t="str">
        <f>IF(Tabela4[[#This Row],[PROJETO]]="CLARO",LEFT(Tabela4[[#This Row],[SITE2]],2),IF(Tabela4[[#This Row],[PROJETO]]="VIVO",RIGHT(LEFT(Tabela4[[#This Row],[SITE2]],10),2),""))</f>
        <v/>
      </c>
      <c r="H97" s="99"/>
    </row>
    <row r="98" spans="1:8">
      <c r="A98" s="119">
        <f>'BASE FINANCEIRO'!BI135</f>
        <v>0</v>
      </c>
      <c r="B98" s="24" t="str">
        <f t="shared" si="1"/>
        <v/>
      </c>
      <c r="C98" s="24" t="s">
        <v>2453</v>
      </c>
      <c r="D98" s="24" t="e">
        <f>IF(VLOOKUP('BASE FINANCEIRO'!BC135,'COD. PROJETOS'!B:D,3,0)="VIVO",MID('BASE FINANCEIRO'!BI135,36,3),IF(VLOOKUP('BASE FINANCEIRO'!BC135,'COD. PROJETOS'!B:D,3,0),MID('BASE FINANCEIRO'!BI135,36,7),IF(VLOOKUP('BASE FINANCEIRO'!BC135,'COD. PROJETOS'!B:D,3,0),MID('BASE FINANCEIRO'!BI135,36,9),"PROJETO?")))</f>
        <v>#N/A</v>
      </c>
      <c r="E98" s="24" t="e">
        <f>VLOOKUP(D98,'BASE MUNICÍPIO'!B79:C24814,2,0)</f>
        <v>#N/A</v>
      </c>
      <c r="F98" s="98" t="e">
        <f>VLOOKUP(D98,'BASE MUNICÍPIO'!B79:D24814,3,0)</f>
        <v>#N/A</v>
      </c>
      <c r="G98" s="97" t="str">
        <f>IF(Tabela4[[#This Row],[PROJETO]]="CLARO",LEFT(Tabela4[[#This Row],[SITE2]],2),IF(Tabela4[[#This Row],[PROJETO]]="VIVO",RIGHT(LEFT(Tabela4[[#This Row],[SITE2]],10),2),""))</f>
        <v/>
      </c>
      <c r="H98" s="99"/>
    </row>
    <row r="99" spans="1:8">
      <c r="A99" s="119">
        <f>'BASE FINANCEIRO'!BI136</f>
        <v>0</v>
      </c>
      <c r="B99" s="24" t="str">
        <f t="shared" si="1"/>
        <v/>
      </c>
      <c r="C99" s="24" t="s">
        <v>2453</v>
      </c>
      <c r="D99" s="24" t="e">
        <f>IF(VLOOKUP('BASE FINANCEIRO'!BC136,'COD. PROJETOS'!B:D,3,0)="VIVO",MID('BASE FINANCEIRO'!BI136,36,3),IF(VLOOKUP('BASE FINANCEIRO'!BC136,'COD. PROJETOS'!B:D,3,0),MID('BASE FINANCEIRO'!BI136,36,7),IF(VLOOKUP('BASE FINANCEIRO'!BC136,'COD. PROJETOS'!B:D,3,0),MID('BASE FINANCEIRO'!BI136,36,9),"PROJETO?")))</f>
        <v>#N/A</v>
      </c>
      <c r="E99" s="24" t="e">
        <f>VLOOKUP(D99,'BASE MUNICÍPIO'!B80:C24815,2,0)</f>
        <v>#N/A</v>
      </c>
      <c r="F99" s="98" t="e">
        <f>VLOOKUP(D99,'BASE MUNICÍPIO'!B80:D24815,3,0)</f>
        <v>#N/A</v>
      </c>
      <c r="G99" s="97" t="str">
        <f>IF(Tabela4[[#This Row],[PROJETO]]="CLARO",LEFT(Tabela4[[#This Row],[SITE2]],2),IF(Tabela4[[#This Row],[PROJETO]]="VIVO",RIGHT(LEFT(Tabela4[[#This Row],[SITE2]],10),2),""))</f>
        <v/>
      </c>
      <c r="H99" s="99"/>
    </row>
    <row r="100" spans="1:8">
      <c r="A100" s="119">
        <f>'BASE FINANCEIRO'!BI137</f>
        <v>0</v>
      </c>
      <c r="B100" s="24" t="str">
        <f t="shared" si="1"/>
        <v/>
      </c>
      <c r="C100" s="24" t="s">
        <v>2453</v>
      </c>
      <c r="D100" s="24" t="e">
        <f>IF(VLOOKUP('BASE FINANCEIRO'!BC137,'COD. PROJETOS'!B:D,3,0)="VIVO",MID('BASE FINANCEIRO'!BI137,36,3),IF(VLOOKUP('BASE FINANCEIRO'!BC137,'COD. PROJETOS'!B:D,3,0),MID('BASE FINANCEIRO'!BI137,36,7),IF(VLOOKUP('BASE FINANCEIRO'!BC137,'COD. PROJETOS'!B:D,3,0),MID('BASE FINANCEIRO'!BI137,36,9),"PROJETO?")))</f>
        <v>#N/A</v>
      </c>
      <c r="E100" s="24" t="e">
        <f>VLOOKUP(D100,'BASE MUNICÍPIO'!B81:C24816,2,0)</f>
        <v>#N/A</v>
      </c>
      <c r="F100" s="98" t="e">
        <f>VLOOKUP(D100,'BASE MUNICÍPIO'!B81:D24816,3,0)</f>
        <v>#N/A</v>
      </c>
      <c r="G100" s="97" t="str">
        <f>IF(Tabela4[[#This Row],[PROJETO]]="CLARO",LEFT(Tabela4[[#This Row],[SITE2]],2),IF(Tabela4[[#This Row],[PROJETO]]="VIVO",RIGHT(LEFT(Tabela4[[#This Row],[SITE2]],10),2),""))</f>
        <v/>
      </c>
      <c r="H100" s="99"/>
    </row>
    <row r="101" spans="1:8">
      <c r="A101" s="119">
        <f>'BASE FINANCEIRO'!BI138</f>
        <v>0</v>
      </c>
      <c r="B101" s="24" t="str">
        <f t="shared" si="1"/>
        <v/>
      </c>
      <c r="C101" s="24" t="s">
        <v>2453</v>
      </c>
      <c r="D101" s="24" t="e">
        <f>IF(VLOOKUP('BASE FINANCEIRO'!BC138,'COD. PROJETOS'!B:D,3,0)="VIVO",MID('BASE FINANCEIRO'!BI138,36,3),IF(VLOOKUP('BASE FINANCEIRO'!BC138,'COD. PROJETOS'!B:D,3,0),MID('BASE FINANCEIRO'!BI138,36,7),IF(VLOOKUP('BASE FINANCEIRO'!BC138,'COD. PROJETOS'!B:D,3,0),MID('BASE FINANCEIRO'!BI138,36,9),"PROJETO?")))</f>
        <v>#N/A</v>
      </c>
      <c r="E101" s="24" t="e">
        <f>VLOOKUP(D101,'BASE MUNICÍPIO'!B82:C24817,2,0)</f>
        <v>#N/A</v>
      </c>
      <c r="F101" s="98" t="e">
        <f>VLOOKUP(D101,'BASE MUNICÍPIO'!B82:D24817,3,0)</f>
        <v>#N/A</v>
      </c>
      <c r="G101" s="97" t="str">
        <f>IF(Tabela4[[#This Row],[PROJETO]]="CLARO",LEFT(Tabela4[[#This Row],[SITE2]],2),IF(Tabela4[[#This Row],[PROJETO]]="VIVO",RIGHT(LEFT(Tabela4[[#This Row],[SITE2]],10),2),""))</f>
        <v/>
      </c>
      <c r="H101" s="99"/>
    </row>
    <row r="102" spans="1:8">
      <c r="A102" s="119">
        <f>'BASE FINANCEIRO'!BI139</f>
        <v>0</v>
      </c>
      <c r="B102" s="24" t="str">
        <f t="shared" si="1"/>
        <v/>
      </c>
      <c r="C102" s="24" t="s">
        <v>2453</v>
      </c>
      <c r="D102" s="24" t="e">
        <f>IF(VLOOKUP('BASE FINANCEIRO'!BC139,'COD. PROJETOS'!B:D,3,0)="VIVO",MID('BASE FINANCEIRO'!BI139,36,3),IF(VLOOKUP('BASE FINANCEIRO'!BC139,'COD. PROJETOS'!B:D,3,0),MID('BASE FINANCEIRO'!BI139,36,7),IF(VLOOKUP('BASE FINANCEIRO'!BC139,'COD. PROJETOS'!B:D,3,0),MID('BASE FINANCEIRO'!BI139,36,9),"PROJETO?")))</f>
        <v>#N/A</v>
      </c>
      <c r="E102" s="24" t="e">
        <f>VLOOKUP(D102,'BASE MUNICÍPIO'!B83:C24818,2,0)</f>
        <v>#N/A</v>
      </c>
      <c r="F102" s="98" t="e">
        <f>VLOOKUP(D102,'BASE MUNICÍPIO'!B83:D24818,3,0)</f>
        <v>#N/A</v>
      </c>
      <c r="G102" s="97" t="str">
        <f>IF(Tabela4[[#This Row],[PROJETO]]="CLARO",LEFT(Tabela4[[#This Row],[SITE2]],2),IF(Tabela4[[#This Row],[PROJETO]]="VIVO",RIGHT(LEFT(Tabela4[[#This Row],[SITE2]],10),2),""))</f>
        <v/>
      </c>
      <c r="H102" s="99"/>
    </row>
    <row r="103" spans="1:8">
      <c r="A103" s="119">
        <f>'BASE FINANCEIRO'!BI140</f>
        <v>0</v>
      </c>
      <c r="B103" s="24" t="str">
        <f t="shared" si="1"/>
        <v/>
      </c>
      <c r="C103" s="24" t="s">
        <v>2453</v>
      </c>
      <c r="D103" s="24" t="e">
        <f>IF(VLOOKUP('BASE FINANCEIRO'!BC140,'COD. PROJETOS'!B:D,3,0)="VIVO",MID('BASE FINANCEIRO'!BI140,36,3),IF(VLOOKUP('BASE FINANCEIRO'!BC140,'COD. PROJETOS'!B:D,3,0),MID('BASE FINANCEIRO'!BI140,36,7),IF(VLOOKUP('BASE FINANCEIRO'!BC140,'COD. PROJETOS'!B:D,3,0),MID('BASE FINANCEIRO'!BI140,36,9),"PROJETO?")))</f>
        <v>#N/A</v>
      </c>
      <c r="E103" s="24" t="e">
        <f>VLOOKUP(D103,'BASE MUNICÍPIO'!B84:C24819,2,0)</f>
        <v>#N/A</v>
      </c>
      <c r="F103" s="98" t="e">
        <f>VLOOKUP(D103,'BASE MUNICÍPIO'!B84:D24819,3,0)</f>
        <v>#N/A</v>
      </c>
      <c r="G103" s="97" t="str">
        <f>IF(Tabela4[[#This Row],[PROJETO]]="CLARO",LEFT(Tabela4[[#This Row],[SITE2]],2),IF(Tabela4[[#This Row],[PROJETO]]="VIVO",RIGHT(LEFT(Tabela4[[#This Row],[SITE2]],10),2),""))</f>
        <v/>
      </c>
      <c r="H103" s="99"/>
    </row>
    <row r="104" spans="1:8">
      <c r="A104" s="119">
        <f>'BASE FINANCEIRO'!BI141</f>
        <v>0</v>
      </c>
      <c r="B104" s="24" t="str">
        <f t="shared" si="1"/>
        <v/>
      </c>
      <c r="C104" s="24" t="s">
        <v>2453</v>
      </c>
      <c r="D104" s="24" t="e">
        <f>IF(VLOOKUP('BASE FINANCEIRO'!BC141,'COD. PROJETOS'!B:D,3,0)="VIVO",MID('BASE FINANCEIRO'!BI141,36,3),IF(VLOOKUP('BASE FINANCEIRO'!BC141,'COD. PROJETOS'!B:D,3,0),MID('BASE FINANCEIRO'!BI141,36,7),IF(VLOOKUP('BASE FINANCEIRO'!BC141,'COD. PROJETOS'!B:D,3,0),MID('BASE FINANCEIRO'!BI141,36,9),"PROJETO?")))</f>
        <v>#N/A</v>
      </c>
      <c r="E104" s="24" t="e">
        <f>VLOOKUP(D104,'BASE MUNICÍPIO'!B85:C24820,2,0)</f>
        <v>#N/A</v>
      </c>
      <c r="F104" s="98" t="e">
        <f>VLOOKUP(D104,'BASE MUNICÍPIO'!B85:D24820,3,0)</f>
        <v>#N/A</v>
      </c>
      <c r="G104" s="97" t="str">
        <f>IF(Tabela4[[#This Row],[PROJETO]]="CLARO",LEFT(Tabela4[[#This Row],[SITE2]],2),IF(Tabela4[[#This Row],[PROJETO]]="VIVO",RIGHT(LEFT(Tabela4[[#This Row],[SITE2]],10),2),""))</f>
        <v/>
      </c>
      <c r="H104" s="99"/>
    </row>
    <row r="105" spans="1:8">
      <c r="A105" s="119">
        <f>'BASE FINANCEIRO'!BI142</f>
        <v>0</v>
      </c>
      <c r="B105" s="24" t="str">
        <f t="shared" si="1"/>
        <v/>
      </c>
      <c r="C105" s="24" t="s">
        <v>2453</v>
      </c>
      <c r="D105" s="24" t="e">
        <f>IF(VLOOKUP('BASE FINANCEIRO'!BC142,'COD. PROJETOS'!B:D,3,0)="VIVO",MID('BASE FINANCEIRO'!BI142,36,3),IF(VLOOKUP('BASE FINANCEIRO'!BC142,'COD. PROJETOS'!B:D,3,0),MID('BASE FINANCEIRO'!BI142,36,7),IF(VLOOKUP('BASE FINANCEIRO'!BC142,'COD. PROJETOS'!B:D,3,0),MID('BASE FINANCEIRO'!BI142,36,9),"PROJETO?")))</f>
        <v>#N/A</v>
      </c>
      <c r="E105" s="24" t="e">
        <f>VLOOKUP(D105,'BASE MUNICÍPIO'!B86:C24821,2,0)</f>
        <v>#N/A</v>
      </c>
      <c r="F105" s="98" t="e">
        <f>VLOOKUP(D105,'BASE MUNICÍPIO'!B86:D24821,3,0)</f>
        <v>#N/A</v>
      </c>
      <c r="G105" s="97" t="str">
        <f>IF(Tabela4[[#This Row],[PROJETO]]="CLARO",LEFT(Tabela4[[#This Row],[SITE2]],2),IF(Tabela4[[#This Row],[PROJETO]]="VIVO",RIGHT(LEFT(Tabela4[[#This Row],[SITE2]],10),2),""))</f>
        <v/>
      </c>
      <c r="H105" s="99"/>
    </row>
    <row r="106" spans="1:8">
      <c r="A106" s="119">
        <f>'BASE FINANCEIRO'!BI143</f>
        <v>0</v>
      </c>
      <c r="B106" s="24" t="str">
        <f t="shared" si="1"/>
        <v/>
      </c>
      <c r="C106" s="24" t="s">
        <v>2453</v>
      </c>
      <c r="D106" s="24" t="e">
        <f>IF(VLOOKUP('BASE FINANCEIRO'!BC143,'COD. PROJETOS'!B:D,3,0)="VIVO",MID('BASE FINANCEIRO'!BI143,36,3),IF(VLOOKUP('BASE FINANCEIRO'!BC143,'COD. PROJETOS'!B:D,3,0),MID('BASE FINANCEIRO'!BI143,36,7),IF(VLOOKUP('BASE FINANCEIRO'!BC143,'COD. PROJETOS'!B:D,3,0),MID('BASE FINANCEIRO'!BI143,36,9),"PROJETO?")))</f>
        <v>#N/A</v>
      </c>
      <c r="E106" s="24" t="e">
        <f>VLOOKUP(D106,'BASE MUNICÍPIO'!B87:C24822,2,0)</f>
        <v>#N/A</v>
      </c>
      <c r="F106" s="98" t="e">
        <f>VLOOKUP(D106,'BASE MUNICÍPIO'!B87:D24822,3,0)</f>
        <v>#N/A</v>
      </c>
      <c r="G106" s="97" t="str">
        <f>IF(Tabela4[[#This Row],[PROJETO]]="CLARO",LEFT(Tabela4[[#This Row],[SITE2]],2),IF(Tabela4[[#This Row],[PROJETO]]="VIVO",RIGHT(LEFT(Tabela4[[#This Row],[SITE2]],10),2),""))</f>
        <v/>
      </c>
      <c r="H106" s="99"/>
    </row>
    <row r="107" spans="1:8">
      <c r="A107" s="119">
        <f>'BASE FINANCEIRO'!BI144</f>
        <v>0</v>
      </c>
      <c r="B107" s="24" t="str">
        <f t="shared" si="1"/>
        <v/>
      </c>
      <c r="C107" s="24" t="s">
        <v>2453</v>
      </c>
      <c r="D107" s="24" t="e">
        <f>IF(VLOOKUP('BASE FINANCEIRO'!BC144,'COD. PROJETOS'!B:D,3,0)="VIVO",MID('BASE FINANCEIRO'!BI144,36,3),IF(VLOOKUP('BASE FINANCEIRO'!BC144,'COD. PROJETOS'!B:D,3,0),MID('BASE FINANCEIRO'!BI144,36,7),IF(VLOOKUP('BASE FINANCEIRO'!BC144,'COD. PROJETOS'!B:D,3,0),MID('BASE FINANCEIRO'!BI144,36,9),"PROJETO?")))</f>
        <v>#N/A</v>
      </c>
      <c r="E107" s="24" t="e">
        <f>VLOOKUP(D107,'BASE MUNICÍPIO'!B88:C24823,2,0)</f>
        <v>#N/A</v>
      </c>
      <c r="F107" s="98" t="e">
        <f>VLOOKUP(D107,'BASE MUNICÍPIO'!B88:D24823,3,0)</f>
        <v>#N/A</v>
      </c>
      <c r="G107" s="97" t="str">
        <f>IF(Tabela4[[#This Row],[PROJETO]]="CLARO",LEFT(Tabela4[[#This Row],[SITE2]],2),IF(Tabela4[[#This Row],[PROJETO]]="VIVO",RIGHT(LEFT(Tabela4[[#This Row],[SITE2]],10),2),""))</f>
        <v/>
      </c>
      <c r="H107" s="99"/>
    </row>
    <row r="108" spans="1:8">
      <c r="A108" s="119">
        <f>'BASE FINANCEIRO'!BI145</f>
        <v>0</v>
      </c>
      <c r="B108" s="24" t="str">
        <f t="shared" si="1"/>
        <v/>
      </c>
      <c r="C108" s="24" t="s">
        <v>2453</v>
      </c>
      <c r="D108" s="24" t="e">
        <f>IF(VLOOKUP('BASE FINANCEIRO'!BC145,'COD. PROJETOS'!B:D,3,0)="VIVO",MID('BASE FINANCEIRO'!BI145,36,3),IF(VLOOKUP('BASE FINANCEIRO'!BC145,'COD. PROJETOS'!B:D,3,0),MID('BASE FINANCEIRO'!BI145,36,7),IF(VLOOKUP('BASE FINANCEIRO'!BC145,'COD. PROJETOS'!B:D,3,0),MID('BASE FINANCEIRO'!BI145,36,9),"PROJETO?")))</f>
        <v>#N/A</v>
      </c>
      <c r="E108" s="24" t="e">
        <f>VLOOKUP(D108,'BASE MUNICÍPIO'!B89:C24824,2,0)</f>
        <v>#N/A</v>
      </c>
      <c r="F108" s="98" t="e">
        <f>VLOOKUP(D108,'BASE MUNICÍPIO'!B89:D24824,3,0)</f>
        <v>#N/A</v>
      </c>
      <c r="G108" s="97" t="str">
        <f>IF(Tabela4[[#This Row],[PROJETO]]="CLARO",LEFT(Tabela4[[#This Row],[SITE2]],2),IF(Tabela4[[#This Row],[PROJETO]]="VIVO",RIGHT(LEFT(Tabela4[[#This Row],[SITE2]],10),2),""))</f>
        <v/>
      </c>
      <c r="H108" s="99"/>
    </row>
    <row r="109" spans="1:8">
      <c r="A109" s="119">
        <f>'BASE FINANCEIRO'!BI146</f>
        <v>0</v>
      </c>
      <c r="B109" s="24" t="str">
        <f t="shared" si="1"/>
        <v/>
      </c>
      <c r="C109" s="24" t="s">
        <v>2453</v>
      </c>
      <c r="D109" s="24" t="e">
        <f>IF(VLOOKUP('BASE FINANCEIRO'!BC146,'COD. PROJETOS'!B:D,3,0)="VIVO",MID('BASE FINANCEIRO'!BI146,36,3),IF(VLOOKUP('BASE FINANCEIRO'!BC146,'COD. PROJETOS'!B:D,3,0),MID('BASE FINANCEIRO'!BI146,36,7),IF(VLOOKUP('BASE FINANCEIRO'!BC146,'COD. PROJETOS'!B:D,3,0),MID('BASE FINANCEIRO'!BI146,36,9),"PROJETO?")))</f>
        <v>#N/A</v>
      </c>
      <c r="E109" s="24" t="e">
        <f>VLOOKUP(D109,'BASE MUNICÍPIO'!B90:C24825,2,0)</f>
        <v>#N/A</v>
      </c>
      <c r="F109" s="98" t="e">
        <f>VLOOKUP(D109,'BASE MUNICÍPIO'!B90:D24825,3,0)</f>
        <v>#N/A</v>
      </c>
      <c r="G109" s="97" t="str">
        <f>IF(Tabela4[[#This Row],[PROJETO]]="CLARO",LEFT(Tabela4[[#This Row],[SITE2]],2),IF(Tabela4[[#This Row],[PROJETO]]="VIVO",RIGHT(LEFT(Tabela4[[#This Row],[SITE2]],10),2),""))</f>
        <v/>
      </c>
      <c r="H109" s="99"/>
    </row>
    <row r="110" spans="1:8">
      <c r="A110" s="119">
        <f>'BASE FINANCEIRO'!BI147</f>
        <v>0</v>
      </c>
      <c r="B110" s="24" t="str">
        <f t="shared" si="1"/>
        <v/>
      </c>
      <c r="C110" s="24" t="s">
        <v>2453</v>
      </c>
      <c r="D110" s="24" t="e">
        <f>IF(VLOOKUP('BASE FINANCEIRO'!BC147,'COD. PROJETOS'!B:D,3,0)="VIVO",MID('BASE FINANCEIRO'!BI147,36,3),IF(VLOOKUP('BASE FINANCEIRO'!BC147,'COD. PROJETOS'!B:D,3,0),MID('BASE FINANCEIRO'!BI147,36,7),IF(VLOOKUP('BASE FINANCEIRO'!BC147,'COD. PROJETOS'!B:D,3,0),MID('BASE FINANCEIRO'!BI147,36,9),"PROJETO?")))</f>
        <v>#N/A</v>
      </c>
      <c r="E110" s="24" t="e">
        <f>VLOOKUP(D110,'BASE MUNICÍPIO'!B91:C24826,2,0)</f>
        <v>#N/A</v>
      </c>
      <c r="F110" s="98" t="e">
        <f>VLOOKUP(D110,'BASE MUNICÍPIO'!B91:D24826,3,0)</f>
        <v>#N/A</v>
      </c>
      <c r="G110" s="97" t="str">
        <f>IF(Tabela4[[#This Row],[PROJETO]]="CLARO",LEFT(Tabela4[[#This Row],[SITE2]],2),IF(Tabela4[[#This Row],[PROJETO]]="VIVO",RIGHT(LEFT(Tabela4[[#This Row],[SITE2]],10),2),""))</f>
        <v/>
      </c>
      <c r="H110" s="99"/>
    </row>
    <row r="111" spans="1:8">
      <c r="A111" s="119">
        <f>'BASE FINANCEIRO'!BI148</f>
        <v>0</v>
      </c>
      <c r="B111" s="24" t="str">
        <f t="shared" si="1"/>
        <v/>
      </c>
      <c r="C111" s="24" t="s">
        <v>2453</v>
      </c>
      <c r="D111" s="24" t="e">
        <f>IF(VLOOKUP('BASE FINANCEIRO'!BC148,'COD. PROJETOS'!B:D,3,0)="VIVO",MID('BASE FINANCEIRO'!BI148,36,3),IF(VLOOKUP('BASE FINANCEIRO'!BC148,'COD. PROJETOS'!B:D,3,0),MID('BASE FINANCEIRO'!BI148,36,7),IF(VLOOKUP('BASE FINANCEIRO'!BC148,'COD. PROJETOS'!B:D,3,0),MID('BASE FINANCEIRO'!BI148,36,9),"PROJETO?")))</f>
        <v>#N/A</v>
      </c>
      <c r="E111" s="24" t="e">
        <f>VLOOKUP(D111,'BASE MUNICÍPIO'!B92:C24827,2,0)</f>
        <v>#N/A</v>
      </c>
      <c r="F111" s="98" t="e">
        <f>VLOOKUP(D111,'BASE MUNICÍPIO'!B92:D24827,3,0)</f>
        <v>#N/A</v>
      </c>
      <c r="G111" s="97" t="str">
        <f>IF(Tabela4[[#This Row],[PROJETO]]="CLARO",LEFT(Tabela4[[#This Row],[SITE2]],2),IF(Tabela4[[#This Row],[PROJETO]]="VIVO",RIGHT(LEFT(Tabela4[[#This Row],[SITE2]],10),2),""))</f>
        <v/>
      </c>
      <c r="H111" s="99"/>
    </row>
    <row r="112" spans="1:8">
      <c r="A112" s="119">
        <f>'BASE FINANCEIRO'!BI149</f>
        <v>0</v>
      </c>
      <c r="B112" s="24" t="str">
        <f t="shared" si="1"/>
        <v/>
      </c>
      <c r="C112" s="24" t="s">
        <v>2453</v>
      </c>
      <c r="D112" s="24" t="e">
        <f>IF(VLOOKUP('BASE FINANCEIRO'!BC149,'COD. PROJETOS'!B:D,3,0)="VIVO",MID('BASE FINANCEIRO'!BI149,36,3),IF(VLOOKUP('BASE FINANCEIRO'!BC149,'COD. PROJETOS'!B:D,3,0),MID('BASE FINANCEIRO'!BI149,36,7),IF(VLOOKUP('BASE FINANCEIRO'!BC149,'COD. PROJETOS'!B:D,3,0),MID('BASE FINANCEIRO'!BI149,36,9),"PROJETO?")))</f>
        <v>#N/A</v>
      </c>
      <c r="E112" s="24" t="e">
        <f>VLOOKUP(D112,'BASE MUNICÍPIO'!B93:C24828,2,0)</f>
        <v>#N/A</v>
      </c>
      <c r="F112" s="98" t="e">
        <f>VLOOKUP(D112,'BASE MUNICÍPIO'!B93:D24828,3,0)</f>
        <v>#N/A</v>
      </c>
      <c r="G112" s="97" t="str">
        <f>IF(Tabela4[[#This Row],[PROJETO]]="CLARO",LEFT(Tabela4[[#This Row],[SITE2]],2),IF(Tabela4[[#This Row],[PROJETO]]="VIVO",RIGHT(LEFT(Tabela4[[#This Row],[SITE2]],10),2),""))</f>
        <v/>
      </c>
      <c r="H112" s="99"/>
    </row>
    <row r="113" spans="1:8">
      <c r="A113" s="119">
        <f>'BASE FINANCEIRO'!BI150</f>
        <v>0</v>
      </c>
      <c r="B113" s="24" t="str">
        <f t="shared" si="1"/>
        <v/>
      </c>
      <c r="C113" s="24" t="s">
        <v>2453</v>
      </c>
      <c r="D113" s="24" t="e">
        <f>IF(VLOOKUP('BASE FINANCEIRO'!BC150,'COD. PROJETOS'!B:D,3,0)="VIVO",MID('BASE FINANCEIRO'!BI150,36,3),IF(VLOOKUP('BASE FINANCEIRO'!BC150,'COD. PROJETOS'!B:D,3,0),MID('BASE FINANCEIRO'!BI150,36,7),IF(VLOOKUP('BASE FINANCEIRO'!BC150,'COD. PROJETOS'!B:D,3,0),MID('BASE FINANCEIRO'!BI150,36,9),"PROJETO?")))</f>
        <v>#N/A</v>
      </c>
      <c r="E113" s="24" t="e">
        <f>VLOOKUP(D113,'BASE MUNICÍPIO'!B94:C24829,2,0)</f>
        <v>#N/A</v>
      </c>
      <c r="F113" s="98" t="e">
        <f>VLOOKUP(D113,'BASE MUNICÍPIO'!B94:D24829,3,0)</f>
        <v>#N/A</v>
      </c>
      <c r="G113" s="97" t="str">
        <f>IF(Tabela4[[#This Row],[PROJETO]]="CLARO",LEFT(Tabela4[[#This Row],[SITE2]],2),IF(Tabela4[[#This Row],[PROJETO]]="VIVO",RIGHT(LEFT(Tabela4[[#This Row],[SITE2]],10),2),""))</f>
        <v/>
      </c>
      <c r="H113" s="99"/>
    </row>
    <row r="114" spans="1:8">
      <c r="A114" s="119">
        <f>'BASE FINANCEIRO'!BI151</f>
        <v>0</v>
      </c>
      <c r="B114" s="24" t="str">
        <f t="shared" si="1"/>
        <v/>
      </c>
      <c r="C114" s="24" t="s">
        <v>2453</v>
      </c>
      <c r="D114" s="24" t="e">
        <f>IF(VLOOKUP('BASE FINANCEIRO'!BC151,'COD. PROJETOS'!B:D,3,0)="VIVO",MID('BASE FINANCEIRO'!BI151,36,3),IF(VLOOKUP('BASE FINANCEIRO'!BC151,'COD. PROJETOS'!B:D,3,0),MID('BASE FINANCEIRO'!BI151,36,7),IF(VLOOKUP('BASE FINANCEIRO'!BC151,'COD. PROJETOS'!B:D,3,0),MID('BASE FINANCEIRO'!BI151,36,9),"PROJETO?")))</f>
        <v>#N/A</v>
      </c>
      <c r="E114" s="24" t="e">
        <f>VLOOKUP(D114,'BASE MUNICÍPIO'!B95:C24830,2,0)</f>
        <v>#N/A</v>
      </c>
      <c r="F114" s="98" t="e">
        <f>VLOOKUP(D114,'BASE MUNICÍPIO'!B95:D24830,3,0)</f>
        <v>#N/A</v>
      </c>
      <c r="G114" s="97" t="str">
        <f>IF(Tabela4[[#This Row],[PROJETO]]="CLARO",LEFT(Tabela4[[#This Row],[SITE2]],2),IF(Tabela4[[#This Row],[PROJETO]]="VIVO",RIGHT(LEFT(Tabela4[[#This Row],[SITE2]],10),2),""))</f>
        <v/>
      </c>
      <c r="H114" s="99"/>
    </row>
    <row r="115" spans="1:8">
      <c r="A115" s="119">
        <f>'BASE FINANCEIRO'!BI152</f>
        <v>0</v>
      </c>
      <c r="B115" s="24" t="str">
        <f t="shared" si="1"/>
        <v/>
      </c>
      <c r="C115" s="24" t="s">
        <v>2453</v>
      </c>
      <c r="D115" s="24" t="e">
        <f>IF(VLOOKUP('BASE FINANCEIRO'!BC152,'COD. PROJETOS'!B:D,3,0)="VIVO",MID('BASE FINANCEIRO'!BI152,36,3),IF(VLOOKUP('BASE FINANCEIRO'!BC152,'COD. PROJETOS'!B:D,3,0),MID('BASE FINANCEIRO'!BI152,36,7),IF(VLOOKUP('BASE FINANCEIRO'!BC152,'COD. PROJETOS'!B:D,3,0),MID('BASE FINANCEIRO'!BI152,36,9),"PROJETO?")))</f>
        <v>#N/A</v>
      </c>
      <c r="E115" s="24" t="e">
        <f>VLOOKUP(D115,'BASE MUNICÍPIO'!B96:C24831,2,0)</f>
        <v>#N/A</v>
      </c>
      <c r="F115" s="98" t="e">
        <f>VLOOKUP(D115,'BASE MUNICÍPIO'!B96:D24831,3,0)</f>
        <v>#N/A</v>
      </c>
      <c r="G115" s="97" t="str">
        <f>IF(Tabela4[[#This Row],[PROJETO]]="CLARO",LEFT(Tabela4[[#This Row],[SITE2]],2),IF(Tabela4[[#This Row],[PROJETO]]="VIVO",RIGHT(LEFT(Tabela4[[#This Row],[SITE2]],10),2),""))</f>
        <v/>
      </c>
      <c r="H115" s="99"/>
    </row>
    <row r="116" spans="1:8">
      <c r="A116" s="119">
        <f>'BASE FINANCEIRO'!BI153</f>
        <v>0</v>
      </c>
      <c r="B116" s="24" t="str">
        <f t="shared" si="1"/>
        <v/>
      </c>
      <c r="C116" s="24" t="s">
        <v>2453</v>
      </c>
      <c r="D116" s="24" t="e">
        <f>IF(VLOOKUP('BASE FINANCEIRO'!BC153,'COD. PROJETOS'!B:D,3,0)="VIVO",MID('BASE FINANCEIRO'!BI153,36,3),IF(VLOOKUP('BASE FINANCEIRO'!BC153,'COD. PROJETOS'!B:D,3,0),MID('BASE FINANCEIRO'!BI153,36,7),IF(VLOOKUP('BASE FINANCEIRO'!BC153,'COD. PROJETOS'!B:D,3,0),MID('BASE FINANCEIRO'!BI153,36,9),"PROJETO?")))</f>
        <v>#N/A</v>
      </c>
      <c r="E116" s="24" t="e">
        <f>VLOOKUP(D116,'BASE MUNICÍPIO'!B97:C24832,2,0)</f>
        <v>#N/A</v>
      </c>
      <c r="F116" s="98" t="e">
        <f>VLOOKUP(D116,'BASE MUNICÍPIO'!B97:D24832,3,0)</f>
        <v>#N/A</v>
      </c>
      <c r="G116" s="97" t="str">
        <f>IF(Tabela4[[#This Row],[PROJETO]]="CLARO",LEFT(Tabela4[[#This Row],[SITE2]],2),IF(Tabela4[[#This Row],[PROJETO]]="VIVO",RIGHT(LEFT(Tabela4[[#This Row],[SITE2]],10),2),""))</f>
        <v/>
      </c>
      <c r="H116" s="99"/>
    </row>
    <row r="117" spans="1:8">
      <c r="A117" s="119">
        <f>'BASE FINANCEIRO'!BI154</f>
        <v>0</v>
      </c>
      <c r="B117" s="24" t="str">
        <f t="shared" si="1"/>
        <v/>
      </c>
      <c r="C117" s="24" t="s">
        <v>2453</v>
      </c>
      <c r="D117" s="24" t="e">
        <f>IF(VLOOKUP('BASE FINANCEIRO'!BC154,'COD. PROJETOS'!B:D,3,0)="VIVO",MID('BASE FINANCEIRO'!BI154,36,3),IF(VLOOKUP('BASE FINANCEIRO'!BC154,'COD. PROJETOS'!B:D,3,0),MID('BASE FINANCEIRO'!BI154,36,7),IF(VLOOKUP('BASE FINANCEIRO'!BC154,'COD. PROJETOS'!B:D,3,0),MID('BASE FINANCEIRO'!BI154,36,9),"PROJETO?")))</f>
        <v>#N/A</v>
      </c>
      <c r="E117" s="24" t="e">
        <f>VLOOKUP(D117,'BASE MUNICÍPIO'!B98:C24833,2,0)</f>
        <v>#N/A</v>
      </c>
      <c r="F117" s="98" t="e">
        <f>VLOOKUP(D117,'BASE MUNICÍPIO'!B98:D24833,3,0)</f>
        <v>#N/A</v>
      </c>
      <c r="G117" s="97" t="str">
        <f>IF(Tabela4[[#This Row],[PROJETO]]="CLARO",LEFT(Tabela4[[#This Row],[SITE2]],2),IF(Tabela4[[#This Row],[PROJETO]]="VIVO",RIGHT(LEFT(Tabela4[[#This Row],[SITE2]],10),2),""))</f>
        <v/>
      </c>
      <c r="H117" s="99"/>
    </row>
    <row r="118" spans="1:8">
      <c r="A118" s="119">
        <f>'BASE FINANCEIRO'!BI155</f>
        <v>0</v>
      </c>
      <c r="B118" s="24" t="str">
        <f t="shared" si="1"/>
        <v/>
      </c>
      <c r="C118" s="24" t="s">
        <v>2453</v>
      </c>
      <c r="D118" s="24" t="e">
        <f>IF(VLOOKUP('BASE FINANCEIRO'!BC155,'COD. PROJETOS'!B:D,3,0)="VIVO",MID('BASE FINANCEIRO'!BI155,36,3),IF(VLOOKUP('BASE FINANCEIRO'!BC155,'COD. PROJETOS'!B:D,3,0),MID('BASE FINANCEIRO'!BI155,36,7),IF(VLOOKUP('BASE FINANCEIRO'!BC155,'COD. PROJETOS'!B:D,3,0),MID('BASE FINANCEIRO'!BI155,36,9),"PROJETO?")))</f>
        <v>#N/A</v>
      </c>
      <c r="E118" s="24" t="e">
        <f>VLOOKUP(D118,'BASE MUNICÍPIO'!B99:C24834,2,0)</f>
        <v>#N/A</v>
      </c>
      <c r="F118" s="98" t="e">
        <f>VLOOKUP(D118,'BASE MUNICÍPIO'!B99:D24834,3,0)</f>
        <v>#N/A</v>
      </c>
      <c r="G118" s="97" t="str">
        <f>IF(Tabela4[[#This Row],[PROJETO]]="CLARO",LEFT(Tabela4[[#This Row],[SITE2]],2),IF(Tabela4[[#This Row],[PROJETO]]="VIVO",RIGHT(LEFT(Tabela4[[#This Row],[SITE2]],10),2),""))</f>
        <v/>
      </c>
      <c r="H118" s="99"/>
    </row>
    <row r="119" spans="1:8">
      <c r="A119" s="119">
        <f>'BASE FINANCEIRO'!BI156</f>
        <v>0</v>
      </c>
      <c r="B119" s="24" t="str">
        <f t="shared" si="1"/>
        <v/>
      </c>
      <c r="C119" s="24" t="s">
        <v>2453</v>
      </c>
      <c r="D119" s="24" t="e">
        <f>IF(VLOOKUP('BASE FINANCEIRO'!BC156,'COD. PROJETOS'!B:D,3,0)="VIVO",MID('BASE FINANCEIRO'!BI156,36,3),IF(VLOOKUP('BASE FINANCEIRO'!BC156,'COD. PROJETOS'!B:D,3,0),MID('BASE FINANCEIRO'!BI156,36,7),IF(VLOOKUP('BASE FINANCEIRO'!BC156,'COD. PROJETOS'!B:D,3,0),MID('BASE FINANCEIRO'!BI156,36,9),"PROJETO?")))</f>
        <v>#N/A</v>
      </c>
      <c r="E119" s="24" t="e">
        <f>VLOOKUP(D119,'BASE MUNICÍPIO'!B100:C24835,2,0)</f>
        <v>#N/A</v>
      </c>
      <c r="F119" s="98" t="e">
        <f>VLOOKUP(D119,'BASE MUNICÍPIO'!B100:D24835,3,0)</f>
        <v>#N/A</v>
      </c>
      <c r="G119" s="97" t="str">
        <f>IF(Tabela4[[#This Row],[PROJETO]]="CLARO",LEFT(Tabela4[[#This Row],[SITE2]],2),IF(Tabela4[[#This Row],[PROJETO]]="VIVO",RIGHT(LEFT(Tabela4[[#This Row],[SITE2]],10),2),""))</f>
        <v/>
      </c>
      <c r="H119" s="99"/>
    </row>
    <row r="120" spans="1:8">
      <c r="A120" s="119">
        <f>'BASE FINANCEIRO'!BI157</f>
        <v>0</v>
      </c>
      <c r="B120" s="24" t="str">
        <f t="shared" si="1"/>
        <v/>
      </c>
      <c r="C120" s="24" t="s">
        <v>2453</v>
      </c>
      <c r="D120" s="24" t="e">
        <f>IF(VLOOKUP('BASE FINANCEIRO'!BC157,'COD. PROJETOS'!B:D,3,0)="VIVO",MID('BASE FINANCEIRO'!BI157,36,3),IF(VLOOKUP('BASE FINANCEIRO'!BC157,'COD. PROJETOS'!B:D,3,0),MID('BASE FINANCEIRO'!BI157,36,7),IF(VLOOKUP('BASE FINANCEIRO'!BC157,'COD. PROJETOS'!B:D,3,0),MID('BASE FINANCEIRO'!BI157,36,9),"PROJETO?")))</f>
        <v>#N/A</v>
      </c>
      <c r="E120" s="24" t="e">
        <f>VLOOKUP(D120,'BASE MUNICÍPIO'!B101:C24836,2,0)</f>
        <v>#N/A</v>
      </c>
      <c r="F120" s="98" t="e">
        <f>VLOOKUP(D120,'BASE MUNICÍPIO'!B101:D24836,3,0)</f>
        <v>#N/A</v>
      </c>
      <c r="G120" s="97" t="str">
        <f>IF(Tabela4[[#This Row],[PROJETO]]="CLARO",LEFT(Tabela4[[#This Row],[SITE2]],2),IF(Tabela4[[#This Row],[PROJETO]]="VIVO",RIGHT(LEFT(Tabela4[[#This Row],[SITE2]],10),2),""))</f>
        <v/>
      </c>
      <c r="H120" s="99"/>
    </row>
    <row r="121" spans="1:8">
      <c r="A121" s="119">
        <f>'BASE FINANCEIRO'!BI158</f>
        <v>0</v>
      </c>
      <c r="B121" s="24" t="str">
        <f t="shared" si="1"/>
        <v/>
      </c>
      <c r="C121" s="24" t="s">
        <v>2453</v>
      </c>
      <c r="D121" s="24" t="e">
        <f>IF(VLOOKUP('BASE FINANCEIRO'!BC158,'COD. PROJETOS'!B:D,3,0)="VIVO",MID('BASE FINANCEIRO'!BI158,36,3),IF(VLOOKUP('BASE FINANCEIRO'!BC158,'COD. PROJETOS'!B:D,3,0),MID('BASE FINANCEIRO'!BI158,36,7),IF(VLOOKUP('BASE FINANCEIRO'!BC158,'COD. PROJETOS'!B:D,3,0),MID('BASE FINANCEIRO'!BI158,36,9),"PROJETO?")))</f>
        <v>#N/A</v>
      </c>
      <c r="E121" s="24" t="e">
        <f>VLOOKUP(D121,'BASE MUNICÍPIO'!B102:C24837,2,0)</f>
        <v>#N/A</v>
      </c>
      <c r="F121" s="98" t="e">
        <f>VLOOKUP(D121,'BASE MUNICÍPIO'!B102:D24837,3,0)</f>
        <v>#N/A</v>
      </c>
      <c r="G121" s="97" t="str">
        <f>IF(Tabela4[[#This Row],[PROJETO]]="CLARO",LEFT(Tabela4[[#This Row],[SITE2]],2),IF(Tabela4[[#This Row],[PROJETO]]="VIVO",RIGHT(LEFT(Tabela4[[#This Row],[SITE2]],10),2),""))</f>
        <v/>
      </c>
      <c r="H121" s="99"/>
    </row>
    <row r="122" spans="1:8">
      <c r="A122" s="119">
        <f>'BASE FINANCEIRO'!BI159</f>
        <v>0</v>
      </c>
      <c r="B122" s="24" t="str">
        <f t="shared" si="1"/>
        <v/>
      </c>
      <c r="C122" s="24" t="s">
        <v>2453</v>
      </c>
      <c r="D122" s="24" t="e">
        <f>IF(VLOOKUP('BASE FINANCEIRO'!BC159,'COD. PROJETOS'!B:D,3,0)="VIVO",MID('BASE FINANCEIRO'!BI159,36,3),IF(VLOOKUP('BASE FINANCEIRO'!BC159,'COD. PROJETOS'!B:D,3,0),MID('BASE FINANCEIRO'!BI159,36,7),IF(VLOOKUP('BASE FINANCEIRO'!BC159,'COD. PROJETOS'!B:D,3,0),MID('BASE FINANCEIRO'!BI159,36,9),"PROJETO?")))</f>
        <v>#N/A</v>
      </c>
      <c r="E122" s="24" t="e">
        <f>VLOOKUP(D122,'BASE MUNICÍPIO'!B103:C24838,2,0)</f>
        <v>#N/A</v>
      </c>
      <c r="F122" s="98" t="e">
        <f>VLOOKUP(D122,'BASE MUNICÍPIO'!B103:D24838,3,0)</f>
        <v>#N/A</v>
      </c>
      <c r="G122" s="97" t="str">
        <f>IF(Tabela4[[#This Row],[PROJETO]]="CLARO",LEFT(Tabela4[[#This Row],[SITE2]],2),IF(Tabela4[[#This Row],[PROJETO]]="VIVO",RIGHT(LEFT(Tabela4[[#This Row],[SITE2]],10),2),""))</f>
        <v/>
      </c>
      <c r="H122" s="99"/>
    </row>
    <row r="123" spans="1:8">
      <c r="A123" s="119">
        <f>'BASE FINANCEIRO'!BI160</f>
        <v>0</v>
      </c>
      <c r="B123" s="24" t="str">
        <f t="shared" si="1"/>
        <v/>
      </c>
      <c r="C123" s="24" t="s">
        <v>2453</v>
      </c>
      <c r="D123" s="24" t="e">
        <f>IF(VLOOKUP('BASE FINANCEIRO'!BC160,'COD. PROJETOS'!B:D,3,0)="VIVO",MID('BASE FINANCEIRO'!BI160,36,3),IF(VLOOKUP('BASE FINANCEIRO'!BC160,'COD. PROJETOS'!B:D,3,0),MID('BASE FINANCEIRO'!BI160,36,7),IF(VLOOKUP('BASE FINANCEIRO'!BC160,'COD. PROJETOS'!B:D,3,0),MID('BASE FINANCEIRO'!BI160,36,9),"PROJETO?")))</f>
        <v>#N/A</v>
      </c>
      <c r="E123" s="24" t="e">
        <f>VLOOKUP(D123,'BASE MUNICÍPIO'!B104:C24839,2,0)</f>
        <v>#N/A</v>
      </c>
      <c r="F123" s="98" t="e">
        <f>VLOOKUP(D123,'BASE MUNICÍPIO'!B104:D24839,3,0)</f>
        <v>#N/A</v>
      </c>
      <c r="G123" s="97" t="str">
        <f>IF(Tabela4[[#This Row],[PROJETO]]="CLARO",LEFT(Tabela4[[#This Row],[SITE2]],2),IF(Tabela4[[#This Row],[PROJETO]]="VIVO",RIGHT(LEFT(Tabela4[[#This Row],[SITE2]],10),2),""))</f>
        <v/>
      </c>
      <c r="H123" s="99"/>
    </row>
    <row r="124" spans="1:8">
      <c r="A124" s="119">
        <f>'BASE FINANCEIRO'!BI161</f>
        <v>0</v>
      </c>
      <c r="B124" s="24" t="str">
        <f t="shared" si="1"/>
        <v/>
      </c>
      <c r="C124" s="24" t="s">
        <v>2453</v>
      </c>
      <c r="D124" s="24" t="e">
        <f>IF(VLOOKUP('BASE FINANCEIRO'!BC161,'COD. PROJETOS'!B:D,3,0)="VIVO",MID('BASE FINANCEIRO'!BI161,36,3),IF(VLOOKUP('BASE FINANCEIRO'!BC161,'COD. PROJETOS'!B:D,3,0),MID('BASE FINANCEIRO'!BI161,36,7),IF(VLOOKUP('BASE FINANCEIRO'!BC161,'COD. PROJETOS'!B:D,3,0),MID('BASE FINANCEIRO'!BI161,36,9),"PROJETO?")))</f>
        <v>#N/A</v>
      </c>
      <c r="E124" s="24" t="e">
        <f>VLOOKUP(D124,'BASE MUNICÍPIO'!B105:C24840,2,0)</f>
        <v>#N/A</v>
      </c>
      <c r="F124" s="98" t="e">
        <f>VLOOKUP(D124,'BASE MUNICÍPIO'!B105:D24840,3,0)</f>
        <v>#N/A</v>
      </c>
      <c r="G124" s="97" t="str">
        <f>IF(Tabela4[[#This Row],[PROJETO]]="CLARO",LEFT(Tabela4[[#This Row],[SITE2]],2),IF(Tabela4[[#This Row],[PROJETO]]="VIVO",RIGHT(LEFT(Tabela4[[#This Row],[SITE2]],10),2),""))</f>
        <v/>
      </c>
      <c r="H124" s="99"/>
    </row>
    <row r="125" spans="1:8">
      <c r="A125" s="119">
        <f>'BASE FINANCEIRO'!BI162</f>
        <v>0</v>
      </c>
      <c r="B125" s="24" t="str">
        <f t="shared" si="1"/>
        <v/>
      </c>
      <c r="C125" s="24" t="s">
        <v>2453</v>
      </c>
      <c r="D125" s="24" t="e">
        <f>IF(VLOOKUP('BASE FINANCEIRO'!BC162,'COD. PROJETOS'!B:D,3,0)="VIVO",MID('BASE FINANCEIRO'!BI162,36,3),IF(VLOOKUP('BASE FINANCEIRO'!BC162,'COD. PROJETOS'!B:D,3,0),MID('BASE FINANCEIRO'!BI162,36,7),IF(VLOOKUP('BASE FINANCEIRO'!BC162,'COD. PROJETOS'!B:D,3,0),MID('BASE FINANCEIRO'!BI162,36,9),"PROJETO?")))</f>
        <v>#N/A</v>
      </c>
      <c r="E125" s="24" t="e">
        <f>VLOOKUP(D125,'BASE MUNICÍPIO'!B106:C24841,2,0)</f>
        <v>#N/A</v>
      </c>
      <c r="F125" s="98" t="e">
        <f>VLOOKUP(D125,'BASE MUNICÍPIO'!B106:D24841,3,0)</f>
        <v>#N/A</v>
      </c>
      <c r="G125" s="97" t="str">
        <f>IF(Tabela4[[#This Row],[PROJETO]]="CLARO",LEFT(Tabela4[[#This Row],[SITE2]],2),IF(Tabela4[[#This Row],[PROJETO]]="VIVO",RIGHT(LEFT(Tabela4[[#This Row],[SITE2]],10),2),""))</f>
        <v/>
      </c>
      <c r="H125" s="99"/>
    </row>
    <row r="126" spans="1:8">
      <c r="A126" s="119">
        <f>'BASE FINANCEIRO'!BI163</f>
        <v>0</v>
      </c>
      <c r="B126" s="24" t="str">
        <f t="shared" si="1"/>
        <v/>
      </c>
      <c r="C126" s="24" t="s">
        <v>2453</v>
      </c>
      <c r="D126" s="24" t="e">
        <f>IF(VLOOKUP('BASE FINANCEIRO'!BC163,'COD. PROJETOS'!B:D,3,0)="VIVO",MID('BASE FINANCEIRO'!BI163,36,3),IF(VLOOKUP('BASE FINANCEIRO'!BC163,'COD. PROJETOS'!B:D,3,0),MID('BASE FINANCEIRO'!BI163,36,7),IF(VLOOKUP('BASE FINANCEIRO'!BC163,'COD. PROJETOS'!B:D,3,0),MID('BASE FINANCEIRO'!BI163,36,9),"PROJETO?")))</f>
        <v>#N/A</v>
      </c>
      <c r="E126" s="24" t="e">
        <f>VLOOKUP(D126,'BASE MUNICÍPIO'!B107:C24842,2,0)</f>
        <v>#N/A</v>
      </c>
      <c r="F126" s="98" t="e">
        <f>VLOOKUP(D126,'BASE MUNICÍPIO'!B107:D24842,3,0)</f>
        <v>#N/A</v>
      </c>
      <c r="G126" s="97" t="str">
        <f>IF(Tabela4[[#This Row],[PROJETO]]="CLARO",LEFT(Tabela4[[#This Row],[SITE2]],2),IF(Tabela4[[#This Row],[PROJETO]]="VIVO",RIGHT(LEFT(Tabela4[[#This Row],[SITE2]],10),2),""))</f>
        <v/>
      </c>
      <c r="H126" s="99"/>
    </row>
    <row r="127" spans="1:8">
      <c r="A127" s="119">
        <f>'BASE FINANCEIRO'!BI164</f>
        <v>0</v>
      </c>
      <c r="B127" s="24" t="str">
        <f t="shared" si="1"/>
        <v/>
      </c>
      <c r="C127" s="24" t="s">
        <v>2453</v>
      </c>
      <c r="D127" s="24" t="e">
        <f>IF(VLOOKUP('BASE FINANCEIRO'!BC164,'COD. PROJETOS'!B:D,3,0)="VIVO",MID('BASE FINANCEIRO'!BI164,36,3),IF(VLOOKUP('BASE FINANCEIRO'!BC164,'COD. PROJETOS'!B:D,3,0),MID('BASE FINANCEIRO'!BI164,36,7),IF(VLOOKUP('BASE FINANCEIRO'!BC164,'COD. PROJETOS'!B:D,3,0),MID('BASE FINANCEIRO'!BI164,36,9),"PROJETO?")))</f>
        <v>#N/A</v>
      </c>
      <c r="E127" s="24" t="e">
        <f>VLOOKUP(D127,'BASE MUNICÍPIO'!B108:C24843,2,0)</f>
        <v>#N/A</v>
      </c>
      <c r="F127" s="98" t="e">
        <f>VLOOKUP(D127,'BASE MUNICÍPIO'!B108:D24843,3,0)</f>
        <v>#N/A</v>
      </c>
      <c r="G127" s="97" t="str">
        <f>IF(Tabela4[[#This Row],[PROJETO]]="CLARO",LEFT(Tabela4[[#This Row],[SITE2]],2),IF(Tabela4[[#This Row],[PROJETO]]="VIVO",RIGHT(LEFT(Tabela4[[#This Row],[SITE2]],10),2),""))</f>
        <v/>
      </c>
      <c r="H127" s="99"/>
    </row>
    <row r="128" spans="1:8">
      <c r="A128" s="119">
        <f>'BASE FINANCEIRO'!BI165</f>
        <v>0</v>
      </c>
      <c r="B128" s="24" t="str">
        <f t="shared" si="1"/>
        <v/>
      </c>
      <c r="C128" s="24" t="s">
        <v>2453</v>
      </c>
      <c r="D128" s="24" t="e">
        <f>IF(VLOOKUP('BASE FINANCEIRO'!BC165,'COD. PROJETOS'!B:D,3,0)="VIVO",MID('BASE FINANCEIRO'!BI165,36,3),IF(VLOOKUP('BASE FINANCEIRO'!BC165,'COD. PROJETOS'!B:D,3,0),MID('BASE FINANCEIRO'!BI165,36,7),IF(VLOOKUP('BASE FINANCEIRO'!BC165,'COD. PROJETOS'!B:D,3,0),MID('BASE FINANCEIRO'!BI165,36,9),"PROJETO?")))</f>
        <v>#N/A</v>
      </c>
      <c r="E128" s="24" t="e">
        <f>VLOOKUP(D128,'BASE MUNICÍPIO'!B109:C24844,2,0)</f>
        <v>#N/A</v>
      </c>
      <c r="F128" s="98" t="e">
        <f>VLOOKUP(D128,'BASE MUNICÍPIO'!B109:D24844,3,0)</f>
        <v>#N/A</v>
      </c>
      <c r="G128" s="97" t="str">
        <f>IF(Tabela4[[#This Row],[PROJETO]]="CLARO",LEFT(Tabela4[[#This Row],[SITE2]],2),IF(Tabela4[[#This Row],[PROJETO]]="VIVO",RIGHT(LEFT(Tabela4[[#This Row],[SITE2]],10),2),""))</f>
        <v/>
      </c>
      <c r="H128" s="99"/>
    </row>
    <row r="129" spans="1:8">
      <c r="A129" s="119">
        <f>'BASE FINANCEIRO'!BI166</f>
        <v>0</v>
      </c>
      <c r="B129" s="24" t="str">
        <f t="shared" si="1"/>
        <v/>
      </c>
      <c r="C129" s="24" t="s">
        <v>2453</v>
      </c>
      <c r="D129" s="24" t="e">
        <f>IF(VLOOKUP('BASE FINANCEIRO'!BC166,'COD. PROJETOS'!B:D,3,0)="VIVO",MID('BASE FINANCEIRO'!BI166,36,3),IF(VLOOKUP('BASE FINANCEIRO'!BC166,'COD. PROJETOS'!B:D,3,0),MID('BASE FINANCEIRO'!BI166,36,7),IF(VLOOKUP('BASE FINANCEIRO'!BC166,'COD. PROJETOS'!B:D,3,0),MID('BASE FINANCEIRO'!BI166,36,9),"PROJETO?")))</f>
        <v>#N/A</v>
      </c>
      <c r="E129" s="24" t="e">
        <f>VLOOKUP(D129,'BASE MUNICÍPIO'!B110:C24845,2,0)</f>
        <v>#N/A</v>
      </c>
      <c r="F129" s="98" t="e">
        <f>VLOOKUP(D129,'BASE MUNICÍPIO'!B110:D24845,3,0)</f>
        <v>#N/A</v>
      </c>
      <c r="G129" s="97" t="str">
        <f>IF(Tabela4[[#This Row],[PROJETO]]="CLARO",LEFT(Tabela4[[#This Row],[SITE2]],2),IF(Tabela4[[#This Row],[PROJETO]]="VIVO",RIGHT(LEFT(Tabela4[[#This Row],[SITE2]],10),2),""))</f>
        <v/>
      </c>
      <c r="H129" s="99"/>
    </row>
    <row r="130" spans="1:8">
      <c r="A130" s="119">
        <f>'BASE FINANCEIRO'!BI167</f>
        <v>0</v>
      </c>
      <c r="B130" s="24" t="str">
        <f t="shared" si="1"/>
        <v/>
      </c>
      <c r="C130" s="24" t="s">
        <v>2453</v>
      </c>
      <c r="D130" s="24" t="e">
        <f>IF(VLOOKUP('BASE FINANCEIRO'!BC167,'COD. PROJETOS'!B:D,3,0)="VIVO",MID('BASE FINANCEIRO'!BI167,36,3),IF(VLOOKUP('BASE FINANCEIRO'!BC167,'COD. PROJETOS'!B:D,3,0),MID('BASE FINANCEIRO'!BI167,36,7),IF(VLOOKUP('BASE FINANCEIRO'!BC167,'COD. PROJETOS'!B:D,3,0),MID('BASE FINANCEIRO'!BI167,36,9),"PROJETO?")))</f>
        <v>#N/A</v>
      </c>
      <c r="E130" s="24" t="e">
        <f>VLOOKUP(D130,'BASE MUNICÍPIO'!B111:C24846,2,0)</f>
        <v>#N/A</v>
      </c>
      <c r="F130" s="98" t="e">
        <f>VLOOKUP(D130,'BASE MUNICÍPIO'!B111:D24846,3,0)</f>
        <v>#N/A</v>
      </c>
      <c r="G130" s="97" t="str">
        <f>IF(Tabela4[[#This Row],[PROJETO]]="CLARO",LEFT(Tabela4[[#This Row],[SITE2]],2),IF(Tabela4[[#This Row],[PROJETO]]="VIVO",RIGHT(LEFT(Tabela4[[#This Row],[SITE2]],10),2),""))</f>
        <v/>
      </c>
      <c r="H130" s="99"/>
    </row>
    <row r="131" spans="1:8">
      <c r="A131" s="119">
        <f>'BASE FINANCEIRO'!BI168</f>
        <v>0</v>
      </c>
      <c r="B131" s="24" t="str">
        <f t="shared" si="1"/>
        <v/>
      </c>
      <c r="C131" s="24" t="s">
        <v>2453</v>
      </c>
      <c r="D131" s="24" t="e">
        <f>IF(VLOOKUP('BASE FINANCEIRO'!BC168,'COD. PROJETOS'!B:D,3,0)="VIVO",MID('BASE FINANCEIRO'!BI168,36,3),IF(VLOOKUP('BASE FINANCEIRO'!BC168,'COD. PROJETOS'!B:D,3,0),MID('BASE FINANCEIRO'!BI168,36,7),IF(VLOOKUP('BASE FINANCEIRO'!BC168,'COD. PROJETOS'!B:D,3,0),MID('BASE FINANCEIRO'!BI168,36,9),"PROJETO?")))</f>
        <v>#N/A</v>
      </c>
      <c r="E131" s="24" t="e">
        <f>VLOOKUP(D131,'BASE MUNICÍPIO'!B112:C24847,2,0)</f>
        <v>#N/A</v>
      </c>
      <c r="F131" s="98" t="e">
        <f>VLOOKUP(D131,'BASE MUNICÍPIO'!B112:D24847,3,0)</f>
        <v>#N/A</v>
      </c>
      <c r="G131" s="97" t="str">
        <f>IF(Tabela4[[#This Row],[PROJETO]]="CLARO",LEFT(Tabela4[[#This Row],[SITE2]],2),IF(Tabela4[[#This Row],[PROJETO]]="VIVO",RIGHT(LEFT(Tabela4[[#This Row],[SITE2]],10),2),""))</f>
        <v/>
      </c>
      <c r="H131" s="99"/>
    </row>
    <row r="132" spans="1:8">
      <c r="A132" s="119">
        <f>'BASE FINANCEIRO'!BI169</f>
        <v>0</v>
      </c>
      <c r="B132" s="24" t="str">
        <f t="shared" ref="B132:B195" si="2">MID(A132,36,14)</f>
        <v/>
      </c>
      <c r="C132" s="24" t="s">
        <v>2453</v>
      </c>
      <c r="D132" s="24" t="e">
        <f>IF(VLOOKUP('BASE FINANCEIRO'!BC169,'COD. PROJETOS'!B:D,3,0)="VIVO",MID('BASE FINANCEIRO'!BI169,36,3),IF(VLOOKUP('BASE FINANCEIRO'!BC169,'COD. PROJETOS'!B:D,3,0),MID('BASE FINANCEIRO'!BI169,36,7),IF(VLOOKUP('BASE FINANCEIRO'!BC169,'COD. PROJETOS'!B:D,3,0),MID('BASE FINANCEIRO'!BI169,36,9),"PROJETO?")))</f>
        <v>#N/A</v>
      </c>
      <c r="E132" s="24" t="e">
        <f>VLOOKUP(D132,'BASE MUNICÍPIO'!B113:C24848,2,0)</f>
        <v>#N/A</v>
      </c>
      <c r="F132" s="98" t="e">
        <f>VLOOKUP(D132,'BASE MUNICÍPIO'!B113:D24848,3,0)</f>
        <v>#N/A</v>
      </c>
      <c r="G132" s="97" t="str">
        <f>IF(Tabela4[[#This Row],[PROJETO]]="CLARO",LEFT(Tabela4[[#This Row],[SITE2]],2),IF(Tabela4[[#This Row],[PROJETO]]="VIVO",RIGHT(LEFT(Tabela4[[#This Row],[SITE2]],10),2),""))</f>
        <v/>
      </c>
      <c r="H132" s="99"/>
    </row>
    <row r="133" spans="1:8">
      <c r="A133" s="119">
        <f>'BASE FINANCEIRO'!BI170</f>
        <v>0</v>
      </c>
      <c r="B133" s="24" t="str">
        <f t="shared" si="2"/>
        <v/>
      </c>
      <c r="C133" s="24" t="s">
        <v>2453</v>
      </c>
      <c r="D133" s="24" t="e">
        <f>IF(VLOOKUP('BASE FINANCEIRO'!BC170,'COD. PROJETOS'!B:D,3,0)="VIVO",MID('BASE FINANCEIRO'!BI170,36,3),IF(VLOOKUP('BASE FINANCEIRO'!BC170,'COD. PROJETOS'!B:D,3,0),MID('BASE FINANCEIRO'!BI170,36,7),IF(VLOOKUP('BASE FINANCEIRO'!BC170,'COD. PROJETOS'!B:D,3,0),MID('BASE FINANCEIRO'!BI170,36,9),"PROJETO?")))</f>
        <v>#N/A</v>
      </c>
      <c r="E133" s="24" t="e">
        <f>VLOOKUP(D133,'BASE MUNICÍPIO'!B114:C24849,2,0)</f>
        <v>#N/A</v>
      </c>
      <c r="F133" s="98" t="e">
        <f>VLOOKUP(D133,'BASE MUNICÍPIO'!B114:D24849,3,0)</f>
        <v>#N/A</v>
      </c>
      <c r="G133" s="97" t="str">
        <f>IF(Tabela4[[#This Row],[PROJETO]]="CLARO",LEFT(Tabela4[[#This Row],[SITE2]],2),IF(Tabela4[[#This Row],[PROJETO]]="VIVO",RIGHT(LEFT(Tabela4[[#This Row],[SITE2]],10),2),""))</f>
        <v/>
      </c>
      <c r="H133" s="99"/>
    </row>
    <row r="134" spans="1:8">
      <c r="A134" s="119">
        <f>'BASE FINANCEIRO'!BI171</f>
        <v>0</v>
      </c>
      <c r="B134" s="24" t="str">
        <f t="shared" si="2"/>
        <v/>
      </c>
      <c r="C134" s="24" t="s">
        <v>2453</v>
      </c>
      <c r="D134" s="24" t="e">
        <f>IF(VLOOKUP('BASE FINANCEIRO'!BC171,'COD. PROJETOS'!B:D,3,0)="VIVO",MID('BASE FINANCEIRO'!BI171,36,3),IF(VLOOKUP('BASE FINANCEIRO'!BC171,'COD. PROJETOS'!B:D,3,0),MID('BASE FINANCEIRO'!BI171,36,7),IF(VLOOKUP('BASE FINANCEIRO'!BC171,'COD. PROJETOS'!B:D,3,0),MID('BASE FINANCEIRO'!BI171,36,9),"PROJETO?")))</f>
        <v>#N/A</v>
      </c>
      <c r="E134" s="24" t="e">
        <f>VLOOKUP(D134,'BASE MUNICÍPIO'!B115:C24850,2,0)</f>
        <v>#N/A</v>
      </c>
      <c r="F134" s="98" t="e">
        <f>VLOOKUP(D134,'BASE MUNICÍPIO'!B115:D24850,3,0)</f>
        <v>#N/A</v>
      </c>
      <c r="G134" s="97" t="str">
        <f>IF(Tabela4[[#This Row],[PROJETO]]="CLARO",LEFT(Tabela4[[#This Row],[SITE2]],2),IF(Tabela4[[#This Row],[PROJETO]]="VIVO",RIGHT(LEFT(Tabela4[[#This Row],[SITE2]],10),2),""))</f>
        <v/>
      </c>
      <c r="H134" s="99"/>
    </row>
    <row r="135" spans="1:8">
      <c r="A135" s="119">
        <f>'BASE FINANCEIRO'!BI172</f>
        <v>0</v>
      </c>
      <c r="B135" s="24" t="str">
        <f t="shared" si="2"/>
        <v/>
      </c>
      <c r="C135" s="24" t="s">
        <v>2453</v>
      </c>
      <c r="D135" s="24" t="e">
        <f>IF(VLOOKUP('BASE FINANCEIRO'!BC172,'COD. PROJETOS'!B:D,3,0)="VIVO",MID('BASE FINANCEIRO'!BI172,36,3),IF(VLOOKUP('BASE FINANCEIRO'!BC172,'COD. PROJETOS'!B:D,3,0),MID('BASE FINANCEIRO'!BI172,36,7),IF(VLOOKUP('BASE FINANCEIRO'!BC172,'COD. PROJETOS'!B:D,3,0),MID('BASE FINANCEIRO'!BI172,36,9),"PROJETO?")))</f>
        <v>#N/A</v>
      </c>
      <c r="E135" s="24" t="e">
        <f>VLOOKUP(D135,'BASE MUNICÍPIO'!B116:C24851,2,0)</f>
        <v>#N/A</v>
      </c>
      <c r="F135" s="98" t="e">
        <f>VLOOKUP(D135,'BASE MUNICÍPIO'!B116:D24851,3,0)</f>
        <v>#N/A</v>
      </c>
      <c r="G135" s="97" t="str">
        <f>IF(Tabela4[[#This Row],[PROJETO]]="CLARO",LEFT(Tabela4[[#This Row],[SITE2]],2),IF(Tabela4[[#This Row],[PROJETO]]="VIVO",RIGHT(LEFT(Tabela4[[#This Row],[SITE2]],10),2),""))</f>
        <v/>
      </c>
      <c r="H135" s="99"/>
    </row>
    <row r="136" spans="1:8">
      <c r="A136" s="119">
        <f>'BASE FINANCEIRO'!BI173</f>
        <v>0</v>
      </c>
      <c r="B136" s="24" t="str">
        <f t="shared" si="2"/>
        <v/>
      </c>
      <c r="C136" s="24" t="s">
        <v>2453</v>
      </c>
      <c r="D136" s="24" t="e">
        <f>IF(VLOOKUP('BASE FINANCEIRO'!BC173,'COD. PROJETOS'!B:D,3,0)="VIVO",MID('BASE FINANCEIRO'!BI173,36,3),IF(VLOOKUP('BASE FINANCEIRO'!BC173,'COD. PROJETOS'!B:D,3,0),MID('BASE FINANCEIRO'!BI173,36,7),IF(VLOOKUP('BASE FINANCEIRO'!BC173,'COD. PROJETOS'!B:D,3,0),MID('BASE FINANCEIRO'!BI173,36,9),"PROJETO?")))</f>
        <v>#N/A</v>
      </c>
      <c r="E136" s="24" t="e">
        <f>VLOOKUP(D136,'BASE MUNICÍPIO'!B117:C24852,2,0)</f>
        <v>#N/A</v>
      </c>
      <c r="F136" s="98" t="e">
        <f>VLOOKUP(D136,'BASE MUNICÍPIO'!B117:D24852,3,0)</f>
        <v>#N/A</v>
      </c>
      <c r="G136" s="97" t="str">
        <f>IF(Tabela4[[#This Row],[PROJETO]]="CLARO",LEFT(Tabela4[[#This Row],[SITE2]],2),IF(Tabela4[[#This Row],[PROJETO]]="VIVO",RIGHT(LEFT(Tabela4[[#This Row],[SITE2]],10),2),""))</f>
        <v/>
      </c>
      <c r="H136" s="99"/>
    </row>
    <row r="137" spans="1:8">
      <c r="A137" s="119">
        <f>'BASE FINANCEIRO'!BI174</f>
        <v>0</v>
      </c>
      <c r="B137" s="24" t="str">
        <f t="shared" si="2"/>
        <v/>
      </c>
      <c r="C137" s="24" t="s">
        <v>2453</v>
      </c>
      <c r="D137" s="24" t="e">
        <f>IF(VLOOKUP('BASE FINANCEIRO'!BC174,'COD. PROJETOS'!B:D,3,0)="VIVO",MID('BASE FINANCEIRO'!BI174,36,3),IF(VLOOKUP('BASE FINANCEIRO'!BC174,'COD. PROJETOS'!B:D,3,0),MID('BASE FINANCEIRO'!BI174,36,7),IF(VLOOKUP('BASE FINANCEIRO'!BC174,'COD. PROJETOS'!B:D,3,0),MID('BASE FINANCEIRO'!BI174,36,9),"PROJETO?")))</f>
        <v>#N/A</v>
      </c>
      <c r="E137" s="24" t="e">
        <f>VLOOKUP(D137,'BASE MUNICÍPIO'!B118:C24853,2,0)</f>
        <v>#N/A</v>
      </c>
      <c r="F137" s="98" t="e">
        <f>VLOOKUP(D137,'BASE MUNICÍPIO'!B118:D24853,3,0)</f>
        <v>#N/A</v>
      </c>
      <c r="G137" s="97" t="str">
        <f>IF(Tabela4[[#This Row],[PROJETO]]="CLARO",LEFT(Tabela4[[#This Row],[SITE2]],2),IF(Tabela4[[#This Row],[PROJETO]]="VIVO",RIGHT(LEFT(Tabela4[[#This Row],[SITE2]],10),2),""))</f>
        <v/>
      </c>
      <c r="H137" s="99"/>
    </row>
    <row r="138" spans="1:8">
      <c r="A138" s="119">
        <f>'BASE FINANCEIRO'!BI175</f>
        <v>0</v>
      </c>
      <c r="B138" s="24" t="str">
        <f t="shared" si="2"/>
        <v/>
      </c>
      <c r="C138" s="24" t="s">
        <v>2453</v>
      </c>
      <c r="D138" s="24" t="e">
        <f>IF(VLOOKUP('BASE FINANCEIRO'!BC175,'COD. PROJETOS'!B:D,3,0)="VIVO",MID('BASE FINANCEIRO'!BI175,36,3),IF(VLOOKUP('BASE FINANCEIRO'!BC175,'COD. PROJETOS'!B:D,3,0),MID('BASE FINANCEIRO'!BI175,36,7),IF(VLOOKUP('BASE FINANCEIRO'!BC175,'COD. PROJETOS'!B:D,3,0),MID('BASE FINANCEIRO'!BI175,36,9),"PROJETO?")))</f>
        <v>#N/A</v>
      </c>
      <c r="E138" s="24" t="e">
        <f>VLOOKUP(D138,'BASE MUNICÍPIO'!B119:C24854,2,0)</f>
        <v>#N/A</v>
      </c>
      <c r="F138" s="98" t="e">
        <f>VLOOKUP(D138,'BASE MUNICÍPIO'!B119:D24854,3,0)</f>
        <v>#N/A</v>
      </c>
      <c r="G138" s="97" t="str">
        <f>IF(Tabela4[[#This Row],[PROJETO]]="CLARO",LEFT(Tabela4[[#This Row],[SITE2]],2),IF(Tabela4[[#This Row],[PROJETO]]="VIVO",RIGHT(LEFT(Tabela4[[#This Row],[SITE2]],10),2),""))</f>
        <v/>
      </c>
      <c r="H138" s="99"/>
    </row>
    <row r="139" spans="1:8">
      <c r="A139" s="119">
        <f>'BASE FINANCEIRO'!BI176</f>
        <v>0</v>
      </c>
      <c r="B139" s="24" t="str">
        <f t="shared" si="2"/>
        <v/>
      </c>
      <c r="C139" s="24" t="s">
        <v>2453</v>
      </c>
      <c r="D139" s="24" t="e">
        <f>IF(VLOOKUP('BASE FINANCEIRO'!BC176,'COD. PROJETOS'!B:D,3,0)="VIVO",MID('BASE FINANCEIRO'!BI176,36,3),IF(VLOOKUP('BASE FINANCEIRO'!BC176,'COD. PROJETOS'!B:D,3,0),MID('BASE FINANCEIRO'!BI176,36,7),IF(VLOOKUP('BASE FINANCEIRO'!BC176,'COD. PROJETOS'!B:D,3,0),MID('BASE FINANCEIRO'!BI176,36,9),"PROJETO?")))</f>
        <v>#N/A</v>
      </c>
      <c r="E139" s="24" t="e">
        <f>VLOOKUP(D139,'BASE MUNICÍPIO'!B120:C24855,2,0)</f>
        <v>#N/A</v>
      </c>
      <c r="F139" s="98" t="e">
        <f>VLOOKUP(D139,'BASE MUNICÍPIO'!B120:D24855,3,0)</f>
        <v>#N/A</v>
      </c>
      <c r="G139" s="97" t="str">
        <f>IF(Tabela4[[#This Row],[PROJETO]]="CLARO",LEFT(Tabela4[[#This Row],[SITE2]],2),IF(Tabela4[[#This Row],[PROJETO]]="VIVO",RIGHT(LEFT(Tabela4[[#This Row],[SITE2]],10),2),""))</f>
        <v/>
      </c>
      <c r="H139" s="99"/>
    </row>
    <row r="140" spans="1:8">
      <c r="A140" s="119">
        <f>'BASE FINANCEIRO'!BI177</f>
        <v>0</v>
      </c>
      <c r="B140" s="24" t="str">
        <f t="shared" si="2"/>
        <v/>
      </c>
      <c r="C140" s="24" t="s">
        <v>2453</v>
      </c>
      <c r="D140" s="24" t="e">
        <f>IF(VLOOKUP('BASE FINANCEIRO'!BC177,'COD. PROJETOS'!B:D,3,0)="VIVO",MID('BASE FINANCEIRO'!BI177,36,3),IF(VLOOKUP('BASE FINANCEIRO'!BC177,'COD. PROJETOS'!B:D,3,0),MID('BASE FINANCEIRO'!BI177,36,7),IF(VLOOKUP('BASE FINANCEIRO'!BC177,'COD. PROJETOS'!B:D,3,0),MID('BASE FINANCEIRO'!BI177,36,9),"PROJETO?")))</f>
        <v>#N/A</v>
      </c>
      <c r="E140" s="24" t="e">
        <f>VLOOKUP(D140,'BASE MUNICÍPIO'!B121:C24856,2,0)</f>
        <v>#N/A</v>
      </c>
      <c r="F140" s="98" t="e">
        <f>VLOOKUP(D140,'BASE MUNICÍPIO'!B121:D24856,3,0)</f>
        <v>#N/A</v>
      </c>
      <c r="G140" s="97" t="str">
        <f>IF(Tabela4[[#This Row],[PROJETO]]="CLARO",LEFT(Tabela4[[#This Row],[SITE2]],2),IF(Tabela4[[#This Row],[PROJETO]]="VIVO",RIGHT(LEFT(Tabela4[[#This Row],[SITE2]],10),2),""))</f>
        <v/>
      </c>
      <c r="H140" s="99"/>
    </row>
    <row r="141" spans="1:8">
      <c r="A141" s="119">
        <f>'BASE FINANCEIRO'!BI178</f>
        <v>0</v>
      </c>
      <c r="B141" s="24" t="str">
        <f t="shared" si="2"/>
        <v/>
      </c>
      <c r="C141" s="24" t="s">
        <v>2453</v>
      </c>
      <c r="D141" s="24" t="e">
        <f>IF(VLOOKUP('BASE FINANCEIRO'!BC178,'COD. PROJETOS'!B:D,3,0)="VIVO",MID('BASE FINANCEIRO'!BI178,36,3),IF(VLOOKUP('BASE FINANCEIRO'!BC178,'COD. PROJETOS'!B:D,3,0),MID('BASE FINANCEIRO'!BI178,36,7),IF(VLOOKUP('BASE FINANCEIRO'!BC178,'COD. PROJETOS'!B:D,3,0),MID('BASE FINANCEIRO'!BI178,36,9),"PROJETO?")))</f>
        <v>#N/A</v>
      </c>
      <c r="E141" s="24" t="e">
        <f>VLOOKUP(D141,'BASE MUNICÍPIO'!B122:C24857,2,0)</f>
        <v>#N/A</v>
      </c>
      <c r="F141" s="98" t="e">
        <f>VLOOKUP(D141,'BASE MUNICÍPIO'!B122:D24857,3,0)</f>
        <v>#N/A</v>
      </c>
      <c r="G141" s="97" t="str">
        <f>IF(Tabela4[[#This Row],[PROJETO]]="CLARO",LEFT(Tabela4[[#This Row],[SITE2]],2),IF(Tabela4[[#This Row],[PROJETO]]="VIVO",RIGHT(LEFT(Tabela4[[#This Row],[SITE2]],10),2),""))</f>
        <v/>
      </c>
      <c r="H141" s="99"/>
    </row>
    <row r="142" spans="1:8">
      <c r="A142" s="119">
        <f>'BASE FINANCEIRO'!BI179</f>
        <v>0</v>
      </c>
      <c r="B142" s="24" t="str">
        <f t="shared" si="2"/>
        <v/>
      </c>
      <c r="C142" s="24" t="s">
        <v>2453</v>
      </c>
      <c r="D142" s="24" t="e">
        <f>IF(VLOOKUP('BASE FINANCEIRO'!BC179,'COD. PROJETOS'!B:D,3,0)="VIVO",MID('BASE FINANCEIRO'!BI179,36,3),IF(VLOOKUP('BASE FINANCEIRO'!BC179,'COD. PROJETOS'!B:D,3,0),MID('BASE FINANCEIRO'!BI179,36,7),IF(VLOOKUP('BASE FINANCEIRO'!BC179,'COD. PROJETOS'!B:D,3,0),MID('BASE FINANCEIRO'!BI179,36,9),"PROJETO?")))</f>
        <v>#N/A</v>
      </c>
      <c r="E142" s="24" t="e">
        <f>VLOOKUP(D142,'BASE MUNICÍPIO'!B123:C24858,2,0)</f>
        <v>#N/A</v>
      </c>
      <c r="F142" s="98" t="e">
        <f>VLOOKUP(D142,'BASE MUNICÍPIO'!B123:D24858,3,0)</f>
        <v>#N/A</v>
      </c>
      <c r="G142" s="97" t="str">
        <f>IF(Tabela4[[#This Row],[PROJETO]]="CLARO",LEFT(Tabela4[[#This Row],[SITE2]],2),IF(Tabela4[[#This Row],[PROJETO]]="VIVO",RIGHT(LEFT(Tabela4[[#This Row],[SITE2]],10),2),""))</f>
        <v/>
      </c>
      <c r="H142" s="99"/>
    </row>
    <row r="143" spans="1:8">
      <c r="A143" s="119">
        <f>'BASE FINANCEIRO'!BI180</f>
        <v>0</v>
      </c>
      <c r="B143" s="24" t="str">
        <f t="shared" si="2"/>
        <v/>
      </c>
      <c r="C143" s="24" t="s">
        <v>2453</v>
      </c>
      <c r="D143" s="24" t="e">
        <f>IF(VLOOKUP('BASE FINANCEIRO'!BC180,'COD. PROJETOS'!B:D,3,0)="VIVO",MID('BASE FINANCEIRO'!BI180,36,3),IF(VLOOKUP('BASE FINANCEIRO'!BC180,'COD. PROJETOS'!B:D,3,0),MID('BASE FINANCEIRO'!BI180,36,7),IF(VLOOKUP('BASE FINANCEIRO'!BC180,'COD. PROJETOS'!B:D,3,0),MID('BASE FINANCEIRO'!BI180,36,9),"PROJETO?")))</f>
        <v>#N/A</v>
      </c>
      <c r="E143" s="24" t="e">
        <f>VLOOKUP(D143,'BASE MUNICÍPIO'!B124:C24859,2,0)</f>
        <v>#N/A</v>
      </c>
      <c r="F143" s="98" t="e">
        <f>VLOOKUP(D143,'BASE MUNICÍPIO'!B124:D24859,3,0)</f>
        <v>#N/A</v>
      </c>
      <c r="G143" s="97" t="str">
        <f>IF(Tabela4[[#This Row],[PROJETO]]="CLARO",LEFT(Tabela4[[#This Row],[SITE2]],2),IF(Tabela4[[#This Row],[PROJETO]]="VIVO",RIGHT(LEFT(Tabela4[[#This Row],[SITE2]],10),2),""))</f>
        <v/>
      </c>
      <c r="H143" s="99"/>
    </row>
    <row r="144" spans="1:8">
      <c r="A144" s="119">
        <f>'BASE FINANCEIRO'!BI181</f>
        <v>0</v>
      </c>
      <c r="B144" s="24" t="str">
        <f t="shared" si="2"/>
        <v/>
      </c>
      <c r="C144" s="24" t="s">
        <v>2453</v>
      </c>
      <c r="D144" s="24" t="e">
        <f>IF(VLOOKUP('BASE FINANCEIRO'!BC181,'COD. PROJETOS'!B:D,3,0)="VIVO",MID('BASE FINANCEIRO'!BI181,36,3),IF(VLOOKUP('BASE FINANCEIRO'!BC181,'COD. PROJETOS'!B:D,3,0),MID('BASE FINANCEIRO'!BI181,36,7),IF(VLOOKUP('BASE FINANCEIRO'!BC181,'COD. PROJETOS'!B:D,3,0),MID('BASE FINANCEIRO'!BI181,36,9),"PROJETO?")))</f>
        <v>#N/A</v>
      </c>
      <c r="E144" s="24" t="e">
        <f>VLOOKUP(D144,'BASE MUNICÍPIO'!B125:C24860,2,0)</f>
        <v>#N/A</v>
      </c>
      <c r="F144" s="98" t="e">
        <f>VLOOKUP(D144,'BASE MUNICÍPIO'!B125:D24860,3,0)</f>
        <v>#N/A</v>
      </c>
      <c r="G144" s="97" t="str">
        <f>IF(Tabela4[[#This Row],[PROJETO]]="CLARO",LEFT(Tabela4[[#This Row],[SITE2]],2),IF(Tabela4[[#This Row],[PROJETO]]="VIVO",RIGHT(LEFT(Tabela4[[#This Row],[SITE2]],10),2),""))</f>
        <v/>
      </c>
      <c r="H144" s="99"/>
    </row>
    <row r="145" spans="1:8">
      <c r="A145" s="119">
        <f>'BASE FINANCEIRO'!BI182</f>
        <v>0</v>
      </c>
      <c r="B145" s="24" t="str">
        <f t="shared" si="2"/>
        <v/>
      </c>
      <c r="C145" s="24" t="s">
        <v>2453</v>
      </c>
      <c r="D145" s="24" t="e">
        <f>IF(VLOOKUP('BASE FINANCEIRO'!BC182,'COD. PROJETOS'!B:D,3,0)="VIVO",MID('BASE FINANCEIRO'!BI182,36,3),IF(VLOOKUP('BASE FINANCEIRO'!BC182,'COD. PROJETOS'!B:D,3,0),MID('BASE FINANCEIRO'!BI182,36,7),IF(VLOOKUP('BASE FINANCEIRO'!BC182,'COD. PROJETOS'!B:D,3,0),MID('BASE FINANCEIRO'!BI182,36,9),"PROJETO?")))</f>
        <v>#N/A</v>
      </c>
      <c r="E145" s="24" t="e">
        <f>VLOOKUP(D145,'BASE MUNICÍPIO'!B126:C24861,2,0)</f>
        <v>#N/A</v>
      </c>
      <c r="F145" s="98" t="e">
        <f>VLOOKUP(D145,'BASE MUNICÍPIO'!B126:D24861,3,0)</f>
        <v>#N/A</v>
      </c>
      <c r="G145" s="97" t="str">
        <f>IF(Tabela4[[#This Row],[PROJETO]]="CLARO",LEFT(Tabela4[[#This Row],[SITE2]],2),IF(Tabela4[[#This Row],[PROJETO]]="VIVO",RIGHT(LEFT(Tabela4[[#This Row],[SITE2]],10),2),""))</f>
        <v/>
      </c>
      <c r="H145" s="99"/>
    </row>
    <row r="146" spans="1:8">
      <c r="A146" s="119">
        <f>'BASE FINANCEIRO'!BI183</f>
        <v>0</v>
      </c>
      <c r="B146" s="24" t="str">
        <f t="shared" si="2"/>
        <v/>
      </c>
      <c r="C146" s="24" t="s">
        <v>2453</v>
      </c>
      <c r="D146" s="24" t="e">
        <f>IF(VLOOKUP('BASE FINANCEIRO'!BC183,'COD. PROJETOS'!B:D,3,0)="VIVO",MID('BASE FINANCEIRO'!BI183,36,3),IF(VLOOKUP('BASE FINANCEIRO'!BC183,'COD. PROJETOS'!B:D,3,0),MID('BASE FINANCEIRO'!BI183,36,7),IF(VLOOKUP('BASE FINANCEIRO'!BC183,'COD. PROJETOS'!B:D,3,0),MID('BASE FINANCEIRO'!BI183,36,9),"PROJETO?")))</f>
        <v>#N/A</v>
      </c>
      <c r="E146" s="24" t="e">
        <f>VLOOKUP(D146,'BASE MUNICÍPIO'!B127:C24862,2,0)</f>
        <v>#N/A</v>
      </c>
      <c r="F146" s="98" t="e">
        <f>VLOOKUP(D146,'BASE MUNICÍPIO'!B127:D24862,3,0)</f>
        <v>#N/A</v>
      </c>
      <c r="G146" s="97" t="str">
        <f>IF(Tabela4[[#This Row],[PROJETO]]="CLARO",LEFT(Tabela4[[#This Row],[SITE2]],2),IF(Tabela4[[#This Row],[PROJETO]]="VIVO",RIGHT(LEFT(Tabela4[[#This Row],[SITE2]],10),2),""))</f>
        <v/>
      </c>
      <c r="H146" s="99"/>
    </row>
    <row r="147" spans="1:8">
      <c r="A147" s="119">
        <f>'BASE FINANCEIRO'!BI184</f>
        <v>0</v>
      </c>
      <c r="B147" s="24" t="str">
        <f t="shared" si="2"/>
        <v/>
      </c>
      <c r="C147" s="24" t="s">
        <v>2453</v>
      </c>
      <c r="D147" s="24" t="e">
        <f>IF(VLOOKUP('BASE FINANCEIRO'!BC184,'COD. PROJETOS'!B:D,3,0)="VIVO",MID('BASE FINANCEIRO'!BI184,36,3),IF(VLOOKUP('BASE FINANCEIRO'!BC184,'COD. PROJETOS'!B:D,3,0),MID('BASE FINANCEIRO'!BI184,36,7),IF(VLOOKUP('BASE FINANCEIRO'!BC184,'COD. PROJETOS'!B:D,3,0),MID('BASE FINANCEIRO'!BI184,36,9),"PROJETO?")))</f>
        <v>#N/A</v>
      </c>
      <c r="E147" s="24" t="e">
        <f>VLOOKUP(D147,'BASE MUNICÍPIO'!B128:C24863,2,0)</f>
        <v>#N/A</v>
      </c>
      <c r="F147" s="98" t="e">
        <f>VLOOKUP(D147,'BASE MUNICÍPIO'!B128:D24863,3,0)</f>
        <v>#N/A</v>
      </c>
      <c r="G147" s="97" t="str">
        <f>IF(Tabela4[[#This Row],[PROJETO]]="CLARO",LEFT(Tabela4[[#This Row],[SITE2]],2),IF(Tabela4[[#This Row],[PROJETO]]="VIVO",RIGHT(LEFT(Tabela4[[#This Row],[SITE2]],10),2),""))</f>
        <v/>
      </c>
      <c r="H147" s="99"/>
    </row>
    <row r="148" spans="1:8">
      <c r="A148" s="119">
        <f>'BASE FINANCEIRO'!BI185</f>
        <v>0</v>
      </c>
      <c r="B148" s="24" t="str">
        <f t="shared" si="2"/>
        <v/>
      </c>
      <c r="C148" s="24" t="s">
        <v>2453</v>
      </c>
      <c r="D148" s="24" t="e">
        <f>IF(VLOOKUP('BASE FINANCEIRO'!BC185,'COD. PROJETOS'!B:D,3,0)="VIVO",MID('BASE FINANCEIRO'!BI185,36,3),IF(VLOOKUP('BASE FINANCEIRO'!BC185,'COD. PROJETOS'!B:D,3,0),MID('BASE FINANCEIRO'!BI185,36,7),IF(VLOOKUP('BASE FINANCEIRO'!BC185,'COD. PROJETOS'!B:D,3,0),MID('BASE FINANCEIRO'!BI185,36,9),"PROJETO?")))</f>
        <v>#N/A</v>
      </c>
      <c r="E148" s="24" t="e">
        <f>VLOOKUP(D148,'BASE MUNICÍPIO'!B129:C24864,2,0)</f>
        <v>#N/A</v>
      </c>
      <c r="F148" s="98" t="e">
        <f>VLOOKUP(D148,'BASE MUNICÍPIO'!B129:D24864,3,0)</f>
        <v>#N/A</v>
      </c>
      <c r="G148" s="97" t="str">
        <f>IF(Tabela4[[#This Row],[PROJETO]]="CLARO",LEFT(Tabela4[[#This Row],[SITE2]],2),IF(Tabela4[[#This Row],[PROJETO]]="VIVO",RIGHT(LEFT(Tabela4[[#This Row],[SITE2]],10),2),""))</f>
        <v/>
      </c>
      <c r="H148" s="99"/>
    </row>
    <row r="149" spans="1:8">
      <c r="A149" s="119">
        <f>'BASE FINANCEIRO'!BI186</f>
        <v>0</v>
      </c>
      <c r="B149" s="24" t="str">
        <f t="shared" si="2"/>
        <v/>
      </c>
      <c r="C149" s="24" t="s">
        <v>2453</v>
      </c>
      <c r="D149" s="24" t="e">
        <f>IF(VLOOKUP('BASE FINANCEIRO'!BC186,'COD. PROJETOS'!B:D,3,0)="VIVO",MID('BASE FINANCEIRO'!BI186,36,3),IF(VLOOKUP('BASE FINANCEIRO'!BC186,'COD. PROJETOS'!B:D,3,0),MID('BASE FINANCEIRO'!BI186,36,7),IF(VLOOKUP('BASE FINANCEIRO'!BC186,'COD. PROJETOS'!B:D,3,0),MID('BASE FINANCEIRO'!BI186,36,9),"PROJETO?")))</f>
        <v>#N/A</v>
      </c>
      <c r="E149" s="24" t="e">
        <f>VLOOKUP(D149,'BASE MUNICÍPIO'!B130:C24865,2,0)</f>
        <v>#N/A</v>
      </c>
      <c r="F149" s="98" t="e">
        <f>VLOOKUP(D149,'BASE MUNICÍPIO'!B130:D24865,3,0)</f>
        <v>#N/A</v>
      </c>
      <c r="G149" s="97" t="str">
        <f>IF(Tabela4[[#This Row],[PROJETO]]="CLARO",LEFT(Tabela4[[#This Row],[SITE2]],2),IF(Tabela4[[#This Row],[PROJETO]]="VIVO",RIGHT(LEFT(Tabela4[[#This Row],[SITE2]],10),2),""))</f>
        <v/>
      </c>
      <c r="H149" s="99"/>
    </row>
    <row r="150" spans="1:8">
      <c r="A150" s="119">
        <f>'BASE FINANCEIRO'!BI187</f>
        <v>0</v>
      </c>
      <c r="B150" s="24" t="str">
        <f t="shared" si="2"/>
        <v/>
      </c>
      <c r="C150" s="24" t="s">
        <v>2453</v>
      </c>
      <c r="D150" s="24" t="e">
        <f>IF(VLOOKUP('BASE FINANCEIRO'!BC187,'COD. PROJETOS'!B:D,3,0)="VIVO",MID('BASE FINANCEIRO'!BI187,36,3),IF(VLOOKUP('BASE FINANCEIRO'!BC187,'COD. PROJETOS'!B:D,3,0),MID('BASE FINANCEIRO'!BI187,36,7),IF(VLOOKUP('BASE FINANCEIRO'!BC187,'COD. PROJETOS'!B:D,3,0),MID('BASE FINANCEIRO'!BI187,36,9),"PROJETO?")))</f>
        <v>#N/A</v>
      </c>
      <c r="E150" s="24" t="e">
        <f>VLOOKUP(D150,'BASE MUNICÍPIO'!B131:C24866,2,0)</f>
        <v>#N/A</v>
      </c>
      <c r="F150" s="98" t="e">
        <f>VLOOKUP(D150,'BASE MUNICÍPIO'!B131:D24866,3,0)</f>
        <v>#N/A</v>
      </c>
      <c r="G150" s="97" t="str">
        <f>IF(Tabela4[[#This Row],[PROJETO]]="CLARO",LEFT(Tabela4[[#This Row],[SITE2]],2),IF(Tabela4[[#This Row],[PROJETO]]="VIVO",RIGHT(LEFT(Tabela4[[#This Row],[SITE2]],10),2),""))</f>
        <v/>
      </c>
      <c r="H150" s="99"/>
    </row>
    <row r="151" spans="1:8">
      <c r="A151" s="119">
        <f>'BASE FINANCEIRO'!BI188</f>
        <v>0</v>
      </c>
      <c r="B151" s="24" t="str">
        <f t="shared" si="2"/>
        <v/>
      </c>
      <c r="C151" s="24" t="s">
        <v>2453</v>
      </c>
      <c r="D151" s="24" t="e">
        <f>IF(VLOOKUP('BASE FINANCEIRO'!BC188,'COD. PROJETOS'!B:D,3,0)="VIVO",MID('BASE FINANCEIRO'!BI188,36,3),IF(VLOOKUP('BASE FINANCEIRO'!BC188,'COD. PROJETOS'!B:D,3,0),MID('BASE FINANCEIRO'!BI188,36,7),IF(VLOOKUP('BASE FINANCEIRO'!BC188,'COD. PROJETOS'!B:D,3,0),MID('BASE FINANCEIRO'!BI188,36,9),"PROJETO?")))</f>
        <v>#N/A</v>
      </c>
      <c r="E151" s="24" t="e">
        <f>VLOOKUP(D151,'BASE MUNICÍPIO'!B132:C24867,2,0)</f>
        <v>#N/A</v>
      </c>
      <c r="F151" s="98" t="e">
        <f>VLOOKUP(D151,'BASE MUNICÍPIO'!B132:D24867,3,0)</f>
        <v>#N/A</v>
      </c>
      <c r="G151" s="97" t="str">
        <f>IF(Tabela4[[#This Row],[PROJETO]]="CLARO",LEFT(Tabela4[[#This Row],[SITE2]],2),IF(Tabela4[[#This Row],[PROJETO]]="VIVO",RIGHT(LEFT(Tabela4[[#This Row],[SITE2]],10),2),""))</f>
        <v/>
      </c>
      <c r="H151" s="99"/>
    </row>
    <row r="152" spans="1:8">
      <c r="A152" s="119">
        <f>'BASE FINANCEIRO'!BI189</f>
        <v>0</v>
      </c>
      <c r="B152" s="24" t="str">
        <f t="shared" si="2"/>
        <v/>
      </c>
      <c r="C152" s="24" t="s">
        <v>2453</v>
      </c>
      <c r="D152" s="24" t="e">
        <f>IF(VLOOKUP('BASE FINANCEIRO'!BC189,'COD. PROJETOS'!B:D,3,0)="VIVO",MID('BASE FINANCEIRO'!BI189,36,3),IF(VLOOKUP('BASE FINANCEIRO'!BC189,'COD. PROJETOS'!B:D,3,0),MID('BASE FINANCEIRO'!BI189,36,7),IF(VLOOKUP('BASE FINANCEIRO'!BC189,'COD. PROJETOS'!B:D,3,0),MID('BASE FINANCEIRO'!BI189,36,9),"PROJETO?")))</f>
        <v>#N/A</v>
      </c>
      <c r="E152" s="24" t="e">
        <f>VLOOKUP(D152,'BASE MUNICÍPIO'!B133:C24868,2,0)</f>
        <v>#N/A</v>
      </c>
      <c r="F152" s="98" t="e">
        <f>VLOOKUP(D152,'BASE MUNICÍPIO'!B133:D24868,3,0)</f>
        <v>#N/A</v>
      </c>
      <c r="G152" s="97" t="str">
        <f>IF(Tabela4[[#This Row],[PROJETO]]="CLARO",LEFT(Tabela4[[#This Row],[SITE2]],2),IF(Tabela4[[#This Row],[PROJETO]]="VIVO",RIGHT(LEFT(Tabela4[[#This Row],[SITE2]],10),2),""))</f>
        <v/>
      </c>
      <c r="H152" s="99"/>
    </row>
    <row r="153" spans="1:8">
      <c r="A153" s="119">
        <f>'BASE FINANCEIRO'!BI190</f>
        <v>0</v>
      </c>
      <c r="B153" s="24" t="str">
        <f t="shared" si="2"/>
        <v/>
      </c>
      <c r="C153" s="24" t="s">
        <v>2453</v>
      </c>
      <c r="D153" s="24" t="e">
        <f>IF(VLOOKUP('BASE FINANCEIRO'!BC190,'COD. PROJETOS'!B:D,3,0)="VIVO",MID('BASE FINANCEIRO'!BI190,36,3),IF(VLOOKUP('BASE FINANCEIRO'!BC190,'COD. PROJETOS'!B:D,3,0),MID('BASE FINANCEIRO'!BI190,36,7),IF(VLOOKUP('BASE FINANCEIRO'!BC190,'COD. PROJETOS'!B:D,3,0),MID('BASE FINANCEIRO'!BI190,36,9),"PROJETO?")))</f>
        <v>#N/A</v>
      </c>
      <c r="E153" s="24" t="e">
        <f>VLOOKUP(D153,'BASE MUNICÍPIO'!B134:C24869,2,0)</f>
        <v>#N/A</v>
      </c>
      <c r="F153" s="98" t="e">
        <f>VLOOKUP(D153,'BASE MUNICÍPIO'!B134:D24869,3,0)</f>
        <v>#N/A</v>
      </c>
      <c r="G153" s="97" t="str">
        <f>IF(Tabela4[[#This Row],[PROJETO]]="CLARO",LEFT(Tabela4[[#This Row],[SITE2]],2),IF(Tabela4[[#This Row],[PROJETO]]="VIVO",RIGHT(LEFT(Tabela4[[#This Row],[SITE2]],10),2),""))</f>
        <v/>
      </c>
      <c r="H153" s="99"/>
    </row>
    <row r="154" spans="1:8">
      <c r="A154" s="119">
        <f>'BASE FINANCEIRO'!BI191</f>
        <v>0</v>
      </c>
      <c r="B154" s="24" t="str">
        <f t="shared" si="2"/>
        <v/>
      </c>
      <c r="C154" s="24" t="s">
        <v>2453</v>
      </c>
      <c r="D154" s="24" t="e">
        <f>IF(VLOOKUP('BASE FINANCEIRO'!BC191,'COD. PROJETOS'!B:D,3,0)="VIVO",MID('BASE FINANCEIRO'!BI191,36,3),IF(VLOOKUP('BASE FINANCEIRO'!BC191,'COD. PROJETOS'!B:D,3,0),MID('BASE FINANCEIRO'!BI191,36,7),IF(VLOOKUP('BASE FINANCEIRO'!BC191,'COD. PROJETOS'!B:D,3,0),MID('BASE FINANCEIRO'!BI191,36,9),"PROJETO?")))</f>
        <v>#N/A</v>
      </c>
      <c r="E154" s="24" t="e">
        <f>VLOOKUP(D154,'BASE MUNICÍPIO'!B135:C24870,2,0)</f>
        <v>#N/A</v>
      </c>
      <c r="F154" s="98" t="e">
        <f>VLOOKUP(D154,'BASE MUNICÍPIO'!B135:D24870,3,0)</f>
        <v>#N/A</v>
      </c>
      <c r="G154" s="97" t="str">
        <f>IF(Tabela4[[#This Row],[PROJETO]]="CLARO",LEFT(Tabela4[[#This Row],[SITE2]],2),IF(Tabela4[[#This Row],[PROJETO]]="VIVO",RIGHT(LEFT(Tabela4[[#This Row],[SITE2]],10),2),""))</f>
        <v/>
      </c>
      <c r="H154" s="99"/>
    </row>
    <row r="155" spans="1:8">
      <c r="A155" s="119">
        <f>'BASE FINANCEIRO'!BI192</f>
        <v>0</v>
      </c>
      <c r="B155" s="24" t="str">
        <f t="shared" si="2"/>
        <v/>
      </c>
      <c r="C155" s="24" t="s">
        <v>2453</v>
      </c>
      <c r="D155" s="24" t="e">
        <f>IF(VLOOKUP('BASE FINANCEIRO'!BC192,'COD. PROJETOS'!B:D,3,0)="VIVO",MID('BASE FINANCEIRO'!BI192,36,3),IF(VLOOKUP('BASE FINANCEIRO'!BC192,'COD. PROJETOS'!B:D,3,0),MID('BASE FINANCEIRO'!BI192,36,7),IF(VLOOKUP('BASE FINANCEIRO'!BC192,'COD. PROJETOS'!B:D,3,0),MID('BASE FINANCEIRO'!BI192,36,9),"PROJETO?")))</f>
        <v>#N/A</v>
      </c>
      <c r="E155" s="24" t="e">
        <f>VLOOKUP(D155,'BASE MUNICÍPIO'!B136:C24871,2,0)</f>
        <v>#N/A</v>
      </c>
      <c r="F155" s="98" t="e">
        <f>VLOOKUP(D155,'BASE MUNICÍPIO'!B136:D24871,3,0)</f>
        <v>#N/A</v>
      </c>
      <c r="G155" s="97" t="str">
        <f>IF(Tabela4[[#This Row],[PROJETO]]="CLARO",LEFT(Tabela4[[#This Row],[SITE2]],2),IF(Tabela4[[#This Row],[PROJETO]]="VIVO",RIGHT(LEFT(Tabela4[[#This Row],[SITE2]],10),2),""))</f>
        <v/>
      </c>
      <c r="H155" s="99"/>
    </row>
    <row r="156" spans="1:8">
      <c r="A156" s="119">
        <f>'BASE FINANCEIRO'!BI193</f>
        <v>0</v>
      </c>
      <c r="B156" s="24" t="str">
        <f t="shared" si="2"/>
        <v/>
      </c>
      <c r="C156" s="24" t="s">
        <v>2453</v>
      </c>
      <c r="D156" s="24" t="e">
        <f>IF(VLOOKUP('BASE FINANCEIRO'!BC193,'COD. PROJETOS'!B:D,3,0)="VIVO",MID('BASE FINANCEIRO'!BI193,36,3),IF(VLOOKUP('BASE FINANCEIRO'!BC193,'COD. PROJETOS'!B:D,3,0),MID('BASE FINANCEIRO'!BI193,36,7),IF(VLOOKUP('BASE FINANCEIRO'!BC193,'COD. PROJETOS'!B:D,3,0),MID('BASE FINANCEIRO'!BI193,36,9),"PROJETO?")))</f>
        <v>#N/A</v>
      </c>
      <c r="E156" s="24" t="e">
        <f>VLOOKUP(D156,'BASE MUNICÍPIO'!B137:C24872,2,0)</f>
        <v>#N/A</v>
      </c>
      <c r="F156" s="98" t="e">
        <f>VLOOKUP(D156,'BASE MUNICÍPIO'!B137:D24872,3,0)</f>
        <v>#N/A</v>
      </c>
      <c r="G156" s="97" t="str">
        <f>IF(Tabela4[[#This Row],[PROJETO]]="CLARO",LEFT(Tabela4[[#This Row],[SITE2]],2),IF(Tabela4[[#This Row],[PROJETO]]="VIVO",RIGHT(LEFT(Tabela4[[#This Row],[SITE2]],10),2),""))</f>
        <v/>
      </c>
      <c r="H156" s="99"/>
    </row>
    <row r="157" spans="1:8">
      <c r="A157" s="119">
        <f>'BASE FINANCEIRO'!BI194</f>
        <v>0</v>
      </c>
      <c r="B157" s="24" t="str">
        <f t="shared" si="2"/>
        <v/>
      </c>
      <c r="C157" s="24" t="s">
        <v>2453</v>
      </c>
      <c r="D157" s="24" t="e">
        <f>IF(VLOOKUP('BASE FINANCEIRO'!BC194,'COD. PROJETOS'!B:D,3,0)="VIVO",MID('BASE FINANCEIRO'!BI194,36,3),IF(VLOOKUP('BASE FINANCEIRO'!BC194,'COD. PROJETOS'!B:D,3,0),MID('BASE FINANCEIRO'!BI194,36,7),IF(VLOOKUP('BASE FINANCEIRO'!BC194,'COD. PROJETOS'!B:D,3,0),MID('BASE FINANCEIRO'!BI194,36,9),"PROJETO?")))</f>
        <v>#N/A</v>
      </c>
      <c r="E157" s="24" t="e">
        <f>VLOOKUP(D157,'BASE MUNICÍPIO'!B138:C24873,2,0)</f>
        <v>#N/A</v>
      </c>
      <c r="F157" s="98" t="e">
        <f>VLOOKUP(D157,'BASE MUNICÍPIO'!B138:D24873,3,0)</f>
        <v>#N/A</v>
      </c>
      <c r="G157" s="97" t="str">
        <f>IF(Tabela4[[#This Row],[PROJETO]]="CLARO",LEFT(Tabela4[[#This Row],[SITE2]],2),IF(Tabela4[[#This Row],[PROJETO]]="VIVO",RIGHT(LEFT(Tabela4[[#This Row],[SITE2]],10),2),""))</f>
        <v/>
      </c>
      <c r="H157" s="99"/>
    </row>
    <row r="158" spans="1:8">
      <c r="A158" s="119">
        <f>'BASE FINANCEIRO'!BI195</f>
        <v>0</v>
      </c>
      <c r="B158" s="24" t="str">
        <f t="shared" si="2"/>
        <v/>
      </c>
      <c r="C158" s="24" t="s">
        <v>2453</v>
      </c>
      <c r="D158" s="24" t="e">
        <f>IF(VLOOKUP('BASE FINANCEIRO'!BC195,'COD. PROJETOS'!B:D,3,0)="VIVO",MID('BASE FINANCEIRO'!BI195,36,3),IF(VLOOKUP('BASE FINANCEIRO'!BC195,'COD. PROJETOS'!B:D,3,0),MID('BASE FINANCEIRO'!BI195,36,7),IF(VLOOKUP('BASE FINANCEIRO'!BC195,'COD. PROJETOS'!B:D,3,0),MID('BASE FINANCEIRO'!BI195,36,9),"PROJETO?")))</f>
        <v>#N/A</v>
      </c>
      <c r="E158" s="24" t="e">
        <f>VLOOKUP(D158,'BASE MUNICÍPIO'!B139:C24874,2,0)</f>
        <v>#N/A</v>
      </c>
      <c r="F158" s="98" t="e">
        <f>VLOOKUP(D158,'BASE MUNICÍPIO'!B139:D24874,3,0)</f>
        <v>#N/A</v>
      </c>
      <c r="G158" s="97" t="str">
        <f>IF(Tabela4[[#This Row],[PROJETO]]="CLARO",LEFT(Tabela4[[#This Row],[SITE2]],2),IF(Tabela4[[#This Row],[PROJETO]]="VIVO",RIGHT(LEFT(Tabela4[[#This Row],[SITE2]],10),2),""))</f>
        <v/>
      </c>
      <c r="H158" s="99"/>
    </row>
    <row r="159" spans="1:8">
      <c r="A159" s="119">
        <f>'BASE FINANCEIRO'!BI196</f>
        <v>0</v>
      </c>
      <c r="B159" s="24" t="str">
        <f t="shared" si="2"/>
        <v/>
      </c>
      <c r="C159" s="24" t="s">
        <v>2453</v>
      </c>
      <c r="D159" s="24" t="e">
        <f>IF(VLOOKUP('BASE FINANCEIRO'!BC196,'COD. PROJETOS'!B:D,3,0)="VIVO",MID('BASE FINANCEIRO'!BI196,36,3),IF(VLOOKUP('BASE FINANCEIRO'!BC196,'COD. PROJETOS'!B:D,3,0),MID('BASE FINANCEIRO'!BI196,36,7),IF(VLOOKUP('BASE FINANCEIRO'!BC196,'COD. PROJETOS'!B:D,3,0),MID('BASE FINANCEIRO'!BI196,36,9),"PROJETO?")))</f>
        <v>#N/A</v>
      </c>
      <c r="E159" s="24" t="e">
        <f>VLOOKUP(D159,'BASE MUNICÍPIO'!B140:C24875,2,0)</f>
        <v>#N/A</v>
      </c>
      <c r="F159" s="98" t="e">
        <f>VLOOKUP(D159,'BASE MUNICÍPIO'!B140:D24875,3,0)</f>
        <v>#N/A</v>
      </c>
      <c r="G159" s="97" t="str">
        <f>IF(Tabela4[[#This Row],[PROJETO]]="CLARO",LEFT(Tabela4[[#This Row],[SITE2]],2),IF(Tabela4[[#This Row],[PROJETO]]="VIVO",RIGHT(LEFT(Tabela4[[#This Row],[SITE2]],10),2),""))</f>
        <v/>
      </c>
      <c r="H159" s="99"/>
    </row>
    <row r="160" spans="1:8">
      <c r="A160" s="119">
        <f>'BASE FINANCEIRO'!BI197</f>
        <v>0</v>
      </c>
      <c r="B160" s="24" t="str">
        <f t="shared" si="2"/>
        <v/>
      </c>
      <c r="C160" s="24" t="s">
        <v>2453</v>
      </c>
      <c r="D160" s="24" t="e">
        <f>IF(VLOOKUP('BASE FINANCEIRO'!BC197,'COD. PROJETOS'!B:D,3,0)="VIVO",MID('BASE FINANCEIRO'!BI197,36,3),IF(VLOOKUP('BASE FINANCEIRO'!BC197,'COD. PROJETOS'!B:D,3,0),MID('BASE FINANCEIRO'!BI197,36,7),IF(VLOOKUP('BASE FINANCEIRO'!BC197,'COD. PROJETOS'!B:D,3,0),MID('BASE FINANCEIRO'!BI197,36,9),"PROJETO?")))</f>
        <v>#N/A</v>
      </c>
      <c r="E160" s="24" t="e">
        <f>VLOOKUP(D160,'BASE MUNICÍPIO'!B141:C24876,2,0)</f>
        <v>#N/A</v>
      </c>
      <c r="F160" s="98" t="e">
        <f>VLOOKUP(D160,'BASE MUNICÍPIO'!B141:D24876,3,0)</f>
        <v>#N/A</v>
      </c>
      <c r="G160" s="97" t="str">
        <f>IF(Tabela4[[#This Row],[PROJETO]]="CLARO",LEFT(Tabela4[[#This Row],[SITE2]],2),IF(Tabela4[[#This Row],[PROJETO]]="VIVO",RIGHT(LEFT(Tabela4[[#This Row],[SITE2]],10),2),""))</f>
        <v/>
      </c>
      <c r="H160" s="99"/>
    </row>
    <row r="161" spans="1:8">
      <c r="A161" s="119">
        <f>'BASE FINANCEIRO'!BI198</f>
        <v>0</v>
      </c>
      <c r="B161" s="24" t="str">
        <f t="shared" si="2"/>
        <v/>
      </c>
      <c r="C161" s="24" t="s">
        <v>2453</v>
      </c>
      <c r="D161" s="24" t="e">
        <f>IF(VLOOKUP('BASE FINANCEIRO'!BC198,'COD. PROJETOS'!B:D,3,0)="VIVO",MID('BASE FINANCEIRO'!BI198,36,3),IF(VLOOKUP('BASE FINANCEIRO'!BC198,'COD. PROJETOS'!B:D,3,0),MID('BASE FINANCEIRO'!BI198,36,7),IF(VLOOKUP('BASE FINANCEIRO'!BC198,'COD. PROJETOS'!B:D,3,0),MID('BASE FINANCEIRO'!BI198,36,9),"PROJETO?")))</f>
        <v>#N/A</v>
      </c>
      <c r="E161" s="24" t="e">
        <f>VLOOKUP(D161,'BASE MUNICÍPIO'!B142:C24877,2,0)</f>
        <v>#N/A</v>
      </c>
      <c r="F161" s="98" t="e">
        <f>VLOOKUP(D161,'BASE MUNICÍPIO'!B142:D24877,3,0)</f>
        <v>#N/A</v>
      </c>
      <c r="G161" s="97" t="str">
        <f>IF(Tabela4[[#This Row],[PROJETO]]="CLARO",LEFT(Tabela4[[#This Row],[SITE2]],2),IF(Tabela4[[#This Row],[PROJETO]]="VIVO",RIGHT(LEFT(Tabela4[[#This Row],[SITE2]],10),2),""))</f>
        <v/>
      </c>
      <c r="H161" s="99"/>
    </row>
    <row r="162" spans="1:8">
      <c r="A162" s="119">
        <f>'BASE FINANCEIRO'!BI199</f>
        <v>0</v>
      </c>
      <c r="B162" s="24" t="str">
        <f t="shared" si="2"/>
        <v/>
      </c>
      <c r="C162" s="24" t="s">
        <v>2453</v>
      </c>
      <c r="D162" s="24" t="e">
        <f>IF(VLOOKUP('BASE FINANCEIRO'!BC199,'COD. PROJETOS'!B:D,3,0)="VIVO",MID('BASE FINANCEIRO'!BI199,36,3),IF(VLOOKUP('BASE FINANCEIRO'!BC199,'COD. PROJETOS'!B:D,3,0),MID('BASE FINANCEIRO'!BI199,36,7),IF(VLOOKUP('BASE FINANCEIRO'!BC199,'COD. PROJETOS'!B:D,3,0),MID('BASE FINANCEIRO'!BI199,36,9),"PROJETO?")))</f>
        <v>#N/A</v>
      </c>
      <c r="E162" s="24" t="e">
        <f>VLOOKUP(D162,'BASE MUNICÍPIO'!B143:C24878,2,0)</f>
        <v>#N/A</v>
      </c>
      <c r="F162" s="98" t="e">
        <f>VLOOKUP(D162,'BASE MUNICÍPIO'!B143:D24878,3,0)</f>
        <v>#N/A</v>
      </c>
      <c r="G162" s="97" t="str">
        <f>IF(Tabela4[[#This Row],[PROJETO]]="CLARO",LEFT(Tabela4[[#This Row],[SITE2]],2),IF(Tabela4[[#This Row],[PROJETO]]="VIVO",RIGHT(LEFT(Tabela4[[#This Row],[SITE2]],10),2),""))</f>
        <v/>
      </c>
      <c r="H162" s="99"/>
    </row>
    <row r="163" spans="1:8">
      <c r="A163" s="119">
        <f>'BASE FINANCEIRO'!BI200</f>
        <v>0</v>
      </c>
      <c r="B163" s="24" t="str">
        <f t="shared" si="2"/>
        <v/>
      </c>
      <c r="C163" s="24" t="s">
        <v>2453</v>
      </c>
      <c r="D163" s="24" t="e">
        <f>IF(VLOOKUP('BASE FINANCEIRO'!BC200,'COD. PROJETOS'!B:D,3,0)="VIVO",MID('BASE FINANCEIRO'!BI200,36,3),IF(VLOOKUP('BASE FINANCEIRO'!BC200,'COD. PROJETOS'!B:D,3,0),MID('BASE FINANCEIRO'!BI200,36,7),IF(VLOOKUP('BASE FINANCEIRO'!BC200,'COD. PROJETOS'!B:D,3,0),MID('BASE FINANCEIRO'!BI200,36,9),"PROJETO?")))</f>
        <v>#N/A</v>
      </c>
      <c r="E163" s="24" t="e">
        <f>VLOOKUP(D163,'BASE MUNICÍPIO'!B144:C24879,2,0)</f>
        <v>#N/A</v>
      </c>
      <c r="F163" s="98" t="e">
        <f>VLOOKUP(D163,'BASE MUNICÍPIO'!B144:D24879,3,0)</f>
        <v>#N/A</v>
      </c>
      <c r="G163" s="97" t="str">
        <f>IF(Tabela4[[#This Row],[PROJETO]]="CLARO",LEFT(Tabela4[[#This Row],[SITE2]],2),IF(Tabela4[[#This Row],[PROJETO]]="VIVO",RIGHT(LEFT(Tabela4[[#This Row],[SITE2]],10),2),""))</f>
        <v/>
      </c>
      <c r="H163" s="99"/>
    </row>
    <row r="164" spans="1:8">
      <c r="A164" s="119">
        <f>'BASE FINANCEIRO'!BI201</f>
        <v>0</v>
      </c>
      <c r="B164" s="24" t="str">
        <f t="shared" si="2"/>
        <v/>
      </c>
      <c r="C164" s="24" t="s">
        <v>2453</v>
      </c>
      <c r="D164" s="24" t="e">
        <f>IF(VLOOKUP('BASE FINANCEIRO'!BC201,'COD. PROJETOS'!B:D,3,0)="VIVO",MID('BASE FINANCEIRO'!BI201,36,3),IF(VLOOKUP('BASE FINANCEIRO'!BC201,'COD. PROJETOS'!B:D,3,0),MID('BASE FINANCEIRO'!BI201,36,7),IF(VLOOKUP('BASE FINANCEIRO'!BC201,'COD. PROJETOS'!B:D,3,0),MID('BASE FINANCEIRO'!BI201,36,9),"PROJETO?")))</f>
        <v>#N/A</v>
      </c>
      <c r="E164" s="24" t="e">
        <f>VLOOKUP(D164,'BASE MUNICÍPIO'!B145:C24880,2,0)</f>
        <v>#N/A</v>
      </c>
      <c r="F164" s="98" t="e">
        <f>VLOOKUP(D164,'BASE MUNICÍPIO'!B145:D24880,3,0)</f>
        <v>#N/A</v>
      </c>
      <c r="G164" s="97" t="str">
        <f>IF(Tabela4[[#This Row],[PROJETO]]="CLARO",LEFT(Tabela4[[#This Row],[SITE2]],2),IF(Tabela4[[#This Row],[PROJETO]]="VIVO",RIGHT(LEFT(Tabela4[[#This Row],[SITE2]],10),2),""))</f>
        <v/>
      </c>
      <c r="H164" s="99"/>
    </row>
    <row r="165" spans="1:8">
      <c r="A165" s="119">
        <f>'BASE FINANCEIRO'!BI202</f>
        <v>0</v>
      </c>
      <c r="B165" s="24" t="str">
        <f t="shared" si="2"/>
        <v/>
      </c>
      <c r="C165" s="24" t="s">
        <v>2453</v>
      </c>
      <c r="D165" s="24" t="e">
        <f>IF(VLOOKUP('BASE FINANCEIRO'!BC202,'COD. PROJETOS'!B:D,3,0)="VIVO",MID('BASE FINANCEIRO'!BI202,36,3),IF(VLOOKUP('BASE FINANCEIRO'!BC202,'COD. PROJETOS'!B:D,3,0),MID('BASE FINANCEIRO'!BI202,36,7),IF(VLOOKUP('BASE FINANCEIRO'!BC202,'COD. PROJETOS'!B:D,3,0),MID('BASE FINANCEIRO'!BI202,36,9),"PROJETO?")))</f>
        <v>#N/A</v>
      </c>
      <c r="E165" s="24" t="e">
        <f>VLOOKUP(D165,'BASE MUNICÍPIO'!B146:C24881,2,0)</f>
        <v>#N/A</v>
      </c>
      <c r="F165" s="98" t="e">
        <f>VLOOKUP(D165,'BASE MUNICÍPIO'!B146:D24881,3,0)</f>
        <v>#N/A</v>
      </c>
      <c r="G165" s="97" t="str">
        <f>IF(Tabela4[[#This Row],[PROJETO]]="CLARO",LEFT(Tabela4[[#This Row],[SITE2]],2),IF(Tabela4[[#This Row],[PROJETO]]="VIVO",RIGHT(LEFT(Tabela4[[#This Row],[SITE2]],10),2),""))</f>
        <v/>
      </c>
      <c r="H165" s="99"/>
    </row>
    <row r="166" spans="1:8">
      <c r="A166" s="119">
        <f>'BASE FINANCEIRO'!BI203</f>
        <v>0</v>
      </c>
      <c r="B166" s="24" t="str">
        <f t="shared" si="2"/>
        <v/>
      </c>
      <c r="C166" s="24" t="s">
        <v>2453</v>
      </c>
      <c r="D166" s="24" t="e">
        <f>IF(VLOOKUP('BASE FINANCEIRO'!BC203,'COD. PROJETOS'!B:D,3,0)="VIVO",MID('BASE FINANCEIRO'!BI203,36,3),IF(VLOOKUP('BASE FINANCEIRO'!BC203,'COD. PROJETOS'!B:D,3,0),MID('BASE FINANCEIRO'!BI203,36,7),IF(VLOOKUP('BASE FINANCEIRO'!BC203,'COD. PROJETOS'!B:D,3,0),MID('BASE FINANCEIRO'!BI203,36,9),"PROJETO?")))</f>
        <v>#N/A</v>
      </c>
      <c r="E166" s="24" t="e">
        <f>VLOOKUP(D166,'BASE MUNICÍPIO'!B147:C24882,2,0)</f>
        <v>#N/A</v>
      </c>
      <c r="F166" s="98" t="e">
        <f>VLOOKUP(D166,'BASE MUNICÍPIO'!B147:D24882,3,0)</f>
        <v>#N/A</v>
      </c>
      <c r="G166" s="97" t="str">
        <f>IF(Tabela4[[#This Row],[PROJETO]]="CLARO",LEFT(Tabela4[[#This Row],[SITE2]],2),IF(Tabela4[[#This Row],[PROJETO]]="VIVO",RIGHT(LEFT(Tabela4[[#This Row],[SITE2]],10),2),""))</f>
        <v/>
      </c>
      <c r="H166" s="99"/>
    </row>
    <row r="167" spans="1:8">
      <c r="A167" s="119" t="e">
        <f>'BASE FINANCEIRO'!#REF!</f>
        <v>#REF!</v>
      </c>
      <c r="B167" s="24" t="e">
        <f t="shared" si="2"/>
        <v>#REF!</v>
      </c>
      <c r="C167" s="24" t="s">
        <v>2453</v>
      </c>
      <c r="D167" s="24" t="e">
        <f>IF(VLOOKUP('BASE FINANCEIRO'!#REF!,'COD. PROJETOS'!B:D,3,0)="VIVO",MID('BASE FINANCEIRO'!#REF!,36,3),IF(VLOOKUP('BASE FINANCEIRO'!#REF!,'COD. PROJETOS'!B:D,3,0),MID('BASE FINANCEIRO'!#REF!,36,7),IF(VLOOKUP('BASE FINANCEIRO'!#REF!,'COD. PROJETOS'!B:D,3,0),MID('BASE FINANCEIRO'!#REF!,36,9),"PROJETO?")))</f>
        <v>#REF!</v>
      </c>
      <c r="E167" s="24" t="e">
        <f>VLOOKUP(D167,'BASE MUNICÍPIO'!B148:C24883,2,0)</f>
        <v>#REF!</v>
      </c>
      <c r="F167" s="98" t="e">
        <f>VLOOKUP(D167,'BASE MUNICÍPIO'!B148:D24883,3,0)</f>
        <v>#REF!</v>
      </c>
      <c r="G167" s="97" t="e">
        <f>IF(Tabela4[[#This Row],[PROJETO]]="CLARO",LEFT(Tabela4[[#This Row],[SITE2]],2),IF(Tabela4[[#This Row],[PROJETO]]="VIVO",RIGHT(LEFT(Tabela4[[#This Row],[SITE2]],10),2),""))</f>
        <v>#REF!</v>
      </c>
      <c r="H167" s="99"/>
    </row>
    <row r="168" spans="1:8">
      <c r="A168" s="119">
        <f>'BASE FINANCEIRO'!BI204</f>
        <v>0</v>
      </c>
      <c r="B168" s="24" t="str">
        <f t="shared" si="2"/>
        <v/>
      </c>
      <c r="C168" s="24" t="s">
        <v>2453</v>
      </c>
      <c r="D168" s="24" t="e">
        <f>IF(VLOOKUP('BASE FINANCEIRO'!BC204,'COD. PROJETOS'!B:D,3,0)="VIVO",MID('BASE FINANCEIRO'!BI204,36,3),IF(VLOOKUP('BASE FINANCEIRO'!BC204,'COD. PROJETOS'!B:D,3,0),MID('BASE FINANCEIRO'!BI204,36,7),IF(VLOOKUP('BASE FINANCEIRO'!BC204,'COD. PROJETOS'!B:D,3,0),MID('BASE FINANCEIRO'!BI204,36,9),"PROJETO?")))</f>
        <v>#N/A</v>
      </c>
      <c r="E168" s="24" t="e">
        <f>VLOOKUP(D168,'BASE MUNICÍPIO'!B149:C24884,2,0)</f>
        <v>#N/A</v>
      </c>
      <c r="F168" s="98" t="e">
        <f>VLOOKUP(D168,'BASE MUNICÍPIO'!B149:D24884,3,0)</f>
        <v>#N/A</v>
      </c>
      <c r="G168" s="97" t="str">
        <f>IF(Tabela4[[#This Row],[PROJETO]]="CLARO",LEFT(Tabela4[[#This Row],[SITE2]],2),IF(Tabela4[[#This Row],[PROJETO]]="VIVO",RIGHT(LEFT(Tabela4[[#This Row],[SITE2]],10),2),""))</f>
        <v/>
      </c>
      <c r="H168" s="99"/>
    </row>
    <row r="169" spans="1:8">
      <c r="A169" s="119">
        <f>'BASE FINANCEIRO'!BI205</f>
        <v>0</v>
      </c>
      <c r="B169" s="24" t="str">
        <f t="shared" si="2"/>
        <v/>
      </c>
      <c r="C169" s="24" t="s">
        <v>2453</v>
      </c>
      <c r="D169" s="24" t="e">
        <f>IF(VLOOKUP('BASE FINANCEIRO'!BC205,'COD. PROJETOS'!B:D,3,0)="VIVO",MID('BASE FINANCEIRO'!BI205,36,3),IF(VLOOKUP('BASE FINANCEIRO'!BC205,'COD. PROJETOS'!B:D,3,0),MID('BASE FINANCEIRO'!BI205,36,7),IF(VLOOKUP('BASE FINANCEIRO'!BC205,'COD. PROJETOS'!B:D,3,0),MID('BASE FINANCEIRO'!BI205,36,9),"PROJETO?")))</f>
        <v>#N/A</v>
      </c>
      <c r="E169" s="24" t="e">
        <f>VLOOKUP(D169,'BASE MUNICÍPIO'!B150:C24885,2,0)</f>
        <v>#N/A</v>
      </c>
      <c r="F169" s="98" t="e">
        <f>VLOOKUP(D169,'BASE MUNICÍPIO'!B150:D24885,3,0)</f>
        <v>#N/A</v>
      </c>
      <c r="G169" s="97" t="str">
        <f>IF(Tabela4[[#This Row],[PROJETO]]="CLARO",LEFT(Tabela4[[#This Row],[SITE2]],2),IF(Tabela4[[#This Row],[PROJETO]]="VIVO",RIGHT(LEFT(Tabela4[[#This Row],[SITE2]],10),2),""))</f>
        <v/>
      </c>
      <c r="H169" s="99"/>
    </row>
    <row r="170" spans="1:8">
      <c r="A170" s="119">
        <f>'BASE FINANCEIRO'!BI206</f>
        <v>0</v>
      </c>
      <c r="B170" s="24" t="str">
        <f t="shared" si="2"/>
        <v/>
      </c>
      <c r="C170" s="24" t="s">
        <v>2453</v>
      </c>
      <c r="D170" s="24" t="e">
        <f>IF(VLOOKUP('BASE FINANCEIRO'!BC206,'COD. PROJETOS'!B:D,3,0)="VIVO",MID('BASE FINANCEIRO'!BI206,36,3),IF(VLOOKUP('BASE FINANCEIRO'!BC206,'COD. PROJETOS'!B:D,3,0),MID('BASE FINANCEIRO'!BI206,36,7),IF(VLOOKUP('BASE FINANCEIRO'!BC206,'COD. PROJETOS'!B:D,3,0),MID('BASE FINANCEIRO'!BI206,36,9),"PROJETO?")))</f>
        <v>#N/A</v>
      </c>
      <c r="E170" s="24" t="e">
        <f>VLOOKUP(D170,'BASE MUNICÍPIO'!B151:C24886,2,0)</f>
        <v>#N/A</v>
      </c>
      <c r="F170" s="98" t="e">
        <f>VLOOKUP(D170,'BASE MUNICÍPIO'!B151:D24886,3,0)</f>
        <v>#N/A</v>
      </c>
      <c r="G170" s="97" t="str">
        <f>IF(Tabela4[[#This Row],[PROJETO]]="CLARO",LEFT(Tabela4[[#This Row],[SITE2]],2),IF(Tabela4[[#This Row],[PROJETO]]="VIVO",RIGHT(LEFT(Tabela4[[#This Row],[SITE2]],10),2),""))</f>
        <v/>
      </c>
      <c r="H170" s="99"/>
    </row>
    <row r="171" spans="1:8">
      <c r="A171" s="119">
        <f>'BASE FINANCEIRO'!BI207</f>
        <v>0</v>
      </c>
      <c r="B171" s="24" t="str">
        <f t="shared" si="2"/>
        <v/>
      </c>
      <c r="C171" s="24" t="s">
        <v>2453</v>
      </c>
      <c r="D171" s="24" t="e">
        <f>IF(VLOOKUP('BASE FINANCEIRO'!BC207,'COD. PROJETOS'!B:D,3,0)="VIVO",MID('BASE FINANCEIRO'!BI207,36,3),IF(VLOOKUP('BASE FINANCEIRO'!BC207,'COD. PROJETOS'!B:D,3,0),MID('BASE FINANCEIRO'!BI207,36,7),IF(VLOOKUP('BASE FINANCEIRO'!BC207,'COD. PROJETOS'!B:D,3,0),MID('BASE FINANCEIRO'!BI207,36,9),"PROJETO?")))</f>
        <v>#N/A</v>
      </c>
      <c r="E171" s="24" t="e">
        <f>VLOOKUP(D171,'BASE MUNICÍPIO'!B152:C24887,2,0)</f>
        <v>#N/A</v>
      </c>
      <c r="F171" s="98" t="e">
        <f>VLOOKUP(D171,'BASE MUNICÍPIO'!B152:D24887,3,0)</f>
        <v>#N/A</v>
      </c>
      <c r="G171" s="97" t="str">
        <f>IF(Tabela4[[#This Row],[PROJETO]]="CLARO",LEFT(Tabela4[[#This Row],[SITE2]],2),IF(Tabela4[[#This Row],[PROJETO]]="VIVO",RIGHT(LEFT(Tabela4[[#This Row],[SITE2]],10),2),""))</f>
        <v/>
      </c>
      <c r="H171" s="99"/>
    </row>
    <row r="172" spans="1:8">
      <c r="A172" s="119">
        <f>'BASE FINANCEIRO'!BI208</f>
        <v>0</v>
      </c>
      <c r="B172" s="24" t="str">
        <f t="shared" si="2"/>
        <v/>
      </c>
      <c r="C172" s="24" t="s">
        <v>2453</v>
      </c>
      <c r="D172" s="24" t="e">
        <f>IF(VLOOKUP('BASE FINANCEIRO'!BC208,'COD. PROJETOS'!B:D,3,0)="VIVO",MID('BASE FINANCEIRO'!BI208,36,3),IF(VLOOKUP('BASE FINANCEIRO'!BC208,'COD. PROJETOS'!B:D,3,0),MID('BASE FINANCEIRO'!BI208,36,7),IF(VLOOKUP('BASE FINANCEIRO'!BC208,'COD. PROJETOS'!B:D,3,0),MID('BASE FINANCEIRO'!BI208,36,9),"PROJETO?")))</f>
        <v>#N/A</v>
      </c>
      <c r="E172" s="24" t="e">
        <f>VLOOKUP(D172,'BASE MUNICÍPIO'!B153:C24888,2,0)</f>
        <v>#N/A</v>
      </c>
      <c r="F172" s="98" t="e">
        <f>VLOOKUP(D172,'BASE MUNICÍPIO'!B153:D24888,3,0)</f>
        <v>#N/A</v>
      </c>
      <c r="G172" s="97" t="str">
        <f>IF(Tabela4[[#This Row],[PROJETO]]="CLARO",LEFT(Tabela4[[#This Row],[SITE2]],2),IF(Tabela4[[#This Row],[PROJETO]]="VIVO",RIGHT(LEFT(Tabela4[[#This Row],[SITE2]],10),2),""))</f>
        <v/>
      </c>
      <c r="H172" s="99"/>
    </row>
    <row r="173" spans="1:8">
      <c r="A173" s="119">
        <f>'BASE FINANCEIRO'!BI209</f>
        <v>0</v>
      </c>
      <c r="B173" s="24" t="str">
        <f t="shared" si="2"/>
        <v/>
      </c>
      <c r="C173" s="24" t="s">
        <v>2453</v>
      </c>
      <c r="D173" s="24" t="e">
        <f>IF(VLOOKUP('BASE FINANCEIRO'!BC209,'COD. PROJETOS'!B:D,3,0)="VIVO",MID('BASE FINANCEIRO'!BI209,36,3),IF(VLOOKUP('BASE FINANCEIRO'!BC209,'COD. PROJETOS'!B:D,3,0),MID('BASE FINANCEIRO'!BI209,36,7),IF(VLOOKUP('BASE FINANCEIRO'!BC209,'COD. PROJETOS'!B:D,3,0),MID('BASE FINANCEIRO'!BI209,36,9),"PROJETO?")))</f>
        <v>#N/A</v>
      </c>
      <c r="E173" s="24" t="e">
        <f>VLOOKUP(D173,'BASE MUNICÍPIO'!B154:C24889,2,0)</f>
        <v>#N/A</v>
      </c>
      <c r="F173" s="98" t="e">
        <f>VLOOKUP(D173,'BASE MUNICÍPIO'!B154:D24889,3,0)</f>
        <v>#N/A</v>
      </c>
      <c r="G173" s="97" t="str">
        <f>IF(Tabela4[[#This Row],[PROJETO]]="CLARO",LEFT(Tabela4[[#This Row],[SITE2]],2),IF(Tabela4[[#This Row],[PROJETO]]="VIVO",RIGHT(LEFT(Tabela4[[#This Row],[SITE2]],10),2),""))</f>
        <v/>
      </c>
      <c r="H173" s="99"/>
    </row>
    <row r="174" spans="1:8">
      <c r="A174" s="119">
        <f>'BASE FINANCEIRO'!BI210</f>
        <v>0</v>
      </c>
      <c r="B174" s="24" t="str">
        <f t="shared" si="2"/>
        <v/>
      </c>
      <c r="C174" s="24" t="s">
        <v>2453</v>
      </c>
      <c r="D174" s="24" t="e">
        <f>IF(VLOOKUP('BASE FINANCEIRO'!BC210,'COD. PROJETOS'!B:D,3,0)="VIVO",MID('BASE FINANCEIRO'!BI210,36,3),IF(VLOOKUP('BASE FINANCEIRO'!BC210,'COD. PROJETOS'!B:D,3,0),MID('BASE FINANCEIRO'!BI210,36,7),IF(VLOOKUP('BASE FINANCEIRO'!BC210,'COD. PROJETOS'!B:D,3,0),MID('BASE FINANCEIRO'!BI210,36,9),"PROJETO?")))</f>
        <v>#N/A</v>
      </c>
      <c r="E174" s="24" t="e">
        <f>VLOOKUP(D174,'BASE MUNICÍPIO'!B155:C24890,2,0)</f>
        <v>#N/A</v>
      </c>
      <c r="F174" s="98" t="e">
        <f>VLOOKUP(D174,'BASE MUNICÍPIO'!B155:D24890,3,0)</f>
        <v>#N/A</v>
      </c>
      <c r="G174" s="97" t="str">
        <f>IF(Tabela4[[#This Row],[PROJETO]]="CLARO",LEFT(Tabela4[[#This Row],[SITE2]],2),IF(Tabela4[[#This Row],[PROJETO]]="VIVO",RIGHT(LEFT(Tabela4[[#This Row],[SITE2]],10),2),""))</f>
        <v/>
      </c>
      <c r="H174" s="99"/>
    </row>
    <row r="175" spans="1:8">
      <c r="A175" s="119" t="e">
        <f>'BASE FINANCEIRO'!#REF!</f>
        <v>#REF!</v>
      </c>
      <c r="B175" s="24" t="e">
        <f t="shared" si="2"/>
        <v>#REF!</v>
      </c>
      <c r="C175" s="24" t="s">
        <v>2453</v>
      </c>
      <c r="D175" s="24" t="e">
        <f>IF(VLOOKUP('BASE FINANCEIRO'!#REF!,'COD. PROJETOS'!B:D,3,0)="VIVO",MID('BASE FINANCEIRO'!#REF!,36,3),IF(VLOOKUP('BASE FINANCEIRO'!#REF!,'COD. PROJETOS'!B:D,3,0),MID('BASE FINANCEIRO'!#REF!,36,7),IF(VLOOKUP('BASE FINANCEIRO'!#REF!,'COD. PROJETOS'!B:D,3,0),MID('BASE FINANCEIRO'!#REF!,36,9),"PROJETO?")))</f>
        <v>#REF!</v>
      </c>
      <c r="E175" s="24" t="e">
        <f>VLOOKUP(D175,'BASE MUNICÍPIO'!B156:C24891,2,0)</f>
        <v>#REF!</v>
      </c>
      <c r="F175" s="98" t="e">
        <f>VLOOKUP(D175,'BASE MUNICÍPIO'!B156:D24891,3,0)</f>
        <v>#REF!</v>
      </c>
      <c r="G175" s="97" t="e">
        <f>IF(Tabela4[[#This Row],[PROJETO]]="CLARO",LEFT(Tabela4[[#This Row],[SITE2]],2),IF(Tabela4[[#This Row],[PROJETO]]="VIVO",RIGHT(LEFT(Tabela4[[#This Row],[SITE2]],10),2),""))</f>
        <v>#REF!</v>
      </c>
      <c r="H175" s="99"/>
    </row>
    <row r="176" spans="1:8">
      <c r="A176" s="119">
        <f>'BASE FINANCEIRO'!BI211</f>
        <v>0</v>
      </c>
      <c r="B176" s="24" t="str">
        <f t="shared" si="2"/>
        <v/>
      </c>
      <c r="C176" s="24" t="s">
        <v>2453</v>
      </c>
      <c r="D176" s="24" t="e">
        <f>IF(VLOOKUP('BASE FINANCEIRO'!BC211,'COD. PROJETOS'!B:D,3,0)="VIVO",MID('BASE FINANCEIRO'!BI211,36,3),IF(VLOOKUP('BASE FINANCEIRO'!BC211,'COD. PROJETOS'!B:D,3,0),MID('BASE FINANCEIRO'!BI211,36,7),IF(VLOOKUP('BASE FINANCEIRO'!BC211,'COD. PROJETOS'!B:D,3,0),MID('BASE FINANCEIRO'!BI211,36,9),"PROJETO?")))</f>
        <v>#N/A</v>
      </c>
      <c r="E176" s="24" t="e">
        <f>VLOOKUP(D176,'BASE MUNICÍPIO'!B157:C24892,2,0)</f>
        <v>#N/A</v>
      </c>
      <c r="F176" s="98" t="e">
        <f>VLOOKUP(D176,'BASE MUNICÍPIO'!B157:D24892,3,0)</f>
        <v>#N/A</v>
      </c>
      <c r="G176" s="97" t="str">
        <f>IF(Tabela4[[#This Row],[PROJETO]]="CLARO",LEFT(Tabela4[[#This Row],[SITE2]],2),IF(Tabela4[[#This Row],[PROJETO]]="VIVO",RIGHT(LEFT(Tabela4[[#This Row],[SITE2]],10),2),""))</f>
        <v/>
      </c>
      <c r="H176" s="99"/>
    </row>
    <row r="177" spans="1:8">
      <c r="A177" s="119">
        <f>'BASE FINANCEIRO'!BI212</f>
        <v>0</v>
      </c>
      <c r="B177" s="24" t="str">
        <f t="shared" si="2"/>
        <v/>
      </c>
      <c r="C177" s="24" t="s">
        <v>2453</v>
      </c>
      <c r="D177" s="24" t="e">
        <f>IF(VLOOKUP('BASE FINANCEIRO'!BC212,'COD. PROJETOS'!B:D,3,0)="VIVO",MID('BASE FINANCEIRO'!BI212,36,3),IF(VLOOKUP('BASE FINANCEIRO'!BC212,'COD. PROJETOS'!B:D,3,0),MID('BASE FINANCEIRO'!BI212,36,7),IF(VLOOKUP('BASE FINANCEIRO'!BC212,'COD. PROJETOS'!B:D,3,0),MID('BASE FINANCEIRO'!BI212,36,9),"PROJETO?")))</f>
        <v>#N/A</v>
      </c>
      <c r="E177" s="24" t="e">
        <f>VLOOKUP(D177,'BASE MUNICÍPIO'!B158:C24893,2,0)</f>
        <v>#N/A</v>
      </c>
      <c r="F177" s="98" t="e">
        <f>VLOOKUP(D177,'BASE MUNICÍPIO'!B158:D24893,3,0)</f>
        <v>#N/A</v>
      </c>
      <c r="G177" s="97" t="str">
        <f>IF(Tabela4[[#This Row],[PROJETO]]="CLARO",LEFT(Tabela4[[#This Row],[SITE2]],2),IF(Tabela4[[#This Row],[PROJETO]]="VIVO",RIGHT(LEFT(Tabela4[[#This Row],[SITE2]],10),2),""))</f>
        <v/>
      </c>
      <c r="H177" s="99"/>
    </row>
    <row r="178" spans="1:8">
      <c r="A178" s="119">
        <f>'BASE FINANCEIRO'!BI213</f>
        <v>0</v>
      </c>
      <c r="B178" s="24" t="str">
        <f t="shared" si="2"/>
        <v/>
      </c>
      <c r="C178" s="24" t="s">
        <v>2453</v>
      </c>
      <c r="D178" s="24" t="e">
        <f>IF(VLOOKUP('BASE FINANCEIRO'!BC213,'COD. PROJETOS'!B:D,3,0)="VIVO",MID('BASE FINANCEIRO'!BI213,36,3),IF(VLOOKUP('BASE FINANCEIRO'!BC213,'COD. PROJETOS'!B:D,3,0),MID('BASE FINANCEIRO'!BI213,36,7),IF(VLOOKUP('BASE FINANCEIRO'!BC213,'COD. PROJETOS'!B:D,3,0),MID('BASE FINANCEIRO'!BI213,36,9),"PROJETO?")))</f>
        <v>#N/A</v>
      </c>
      <c r="E178" s="24" t="e">
        <f>VLOOKUP(D178,'BASE MUNICÍPIO'!B159:C24894,2,0)</f>
        <v>#N/A</v>
      </c>
      <c r="F178" s="98" t="e">
        <f>VLOOKUP(D178,'BASE MUNICÍPIO'!B159:D24894,3,0)</f>
        <v>#N/A</v>
      </c>
      <c r="G178" s="97" t="str">
        <f>IF(Tabela4[[#This Row],[PROJETO]]="CLARO",LEFT(Tabela4[[#This Row],[SITE2]],2),IF(Tabela4[[#This Row],[PROJETO]]="VIVO",RIGHT(LEFT(Tabela4[[#This Row],[SITE2]],10),2),""))</f>
        <v/>
      </c>
      <c r="H178" s="99"/>
    </row>
    <row r="179" spans="1:8">
      <c r="A179" s="119">
        <f>'BASE FINANCEIRO'!BI214</f>
        <v>0</v>
      </c>
      <c r="B179" s="24" t="str">
        <f t="shared" si="2"/>
        <v/>
      </c>
      <c r="C179" s="24" t="s">
        <v>2453</v>
      </c>
      <c r="D179" s="24" t="e">
        <f>IF(VLOOKUP('BASE FINANCEIRO'!BC214,'COD. PROJETOS'!B:D,3,0)="VIVO",MID('BASE FINANCEIRO'!BI214,36,3),IF(VLOOKUP('BASE FINANCEIRO'!BC214,'COD. PROJETOS'!B:D,3,0),MID('BASE FINANCEIRO'!BI214,36,7),IF(VLOOKUP('BASE FINANCEIRO'!BC214,'COD. PROJETOS'!B:D,3,0),MID('BASE FINANCEIRO'!BI214,36,9),"PROJETO?")))</f>
        <v>#N/A</v>
      </c>
      <c r="E179" s="24" t="e">
        <f>VLOOKUP(D179,'BASE MUNICÍPIO'!B160:C24895,2,0)</f>
        <v>#N/A</v>
      </c>
      <c r="F179" s="98" t="e">
        <f>VLOOKUP(D179,'BASE MUNICÍPIO'!B160:D24895,3,0)</f>
        <v>#N/A</v>
      </c>
      <c r="G179" s="97" t="str">
        <f>IF(Tabela4[[#This Row],[PROJETO]]="CLARO",LEFT(Tabela4[[#This Row],[SITE2]],2),IF(Tabela4[[#This Row],[PROJETO]]="VIVO",RIGHT(LEFT(Tabela4[[#This Row],[SITE2]],10),2),""))</f>
        <v/>
      </c>
      <c r="H179" s="99"/>
    </row>
    <row r="180" spans="1:8">
      <c r="A180" s="119">
        <f>'BASE FINANCEIRO'!BI215</f>
        <v>0</v>
      </c>
      <c r="B180" s="24" t="str">
        <f t="shared" si="2"/>
        <v/>
      </c>
      <c r="C180" s="24" t="s">
        <v>2453</v>
      </c>
      <c r="D180" s="24" t="e">
        <f>IF(VLOOKUP('BASE FINANCEIRO'!BC215,'COD. PROJETOS'!B:D,3,0)="VIVO",MID('BASE FINANCEIRO'!BI215,36,3),IF(VLOOKUP('BASE FINANCEIRO'!BC215,'COD. PROJETOS'!B:D,3,0),MID('BASE FINANCEIRO'!BI215,36,7),IF(VLOOKUP('BASE FINANCEIRO'!BC215,'COD. PROJETOS'!B:D,3,0),MID('BASE FINANCEIRO'!BI215,36,9),"PROJETO?")))</f>
        <v>#N/A</v>
      </c>
      <c r="E180" s="24" t="e">
        <f>VLOOKUP(D180,'BASE MUNICÍPIO'!B161:C24896,2,0)</f>
        <v>#N/A</v>
      </c>
      <c r="F180" s="98" t="e">
        <f>VLOOKUP(D180,'BASE MUNICÍPIO'!B161:D24896,3,0)</f>
        <v>#N/A</v>
      </c>
      <c r="G180" s="97" t="str">
        <f>IF(Tabela4[[#This Row],[PROJETO]]="CLARO",LEFT(Tabela4[[#This Row],[SITE2]],2),IF(Tabela4[[#This Row],[PROJETO]]="VIVO",RIGHT(LEFT(Tabela4[[#This Row],[SITE2]],10),2),""))</f>
        <v/>
      </c>
      <c r="H180" s="99"/>
    </row>
    <row r="181" spans="1:8">
      <c r="A181" s="119">
        <f>'BASE FINANCEIRO'!BI216</f>
        <v>0</v>
      </c>
      <c r="B181" s="24" t="str">
        <f t="shared" si="2"/>
        <v/>
      </c>
      <c r="C181" s="24" t="s">
        <v>2453</v>
      </c>
      <c r="D181" s="24" t="e">
        <f>IF(VLOOKUP('BASE FINANCEIRO'!BC216,'COD. PROJETOS'!B:D,3,0)="VIVO",MID('BASE FINANCEIRO'!BI216,36,3),IF(VLOOKUP('BASE FINANCEIRO'!BC216,'COD. PROJETOS'!B:D,3,0),MID('BASE FINANCEIRO'!BI216,36,7),IF(VLOOKUP('BASE FINANCEIRO'!BC216,'COD. PROJETOS'!B:D,3,0),MID('BASE FINANCEIRO'!BI216,36,9),"PROJETO?")))</f>
        <v>#N/A</v>
      </c>
      <c r="E181" s="24" t="e">
        <f>VLOOKUP(D181,'BASE MUNICÍPIO'!B162:C24897,2,0)</f>
        <v>#N/A</v>
      </c>
      <c r="F181" s="98" t="e">
        <f>VLOOKUP(D181,'BASE MUNICÍPIO'!B162:D24897,3,0)</f>
        <v>#N/A</v>
      </c>
      <c r="G181" s="97" t="str">
        <f>IF(Tabela4[[#This Row],[PROJETO]]="CLARO",LEFT(Tabela4[[#This Row],[SITE2]],2),IF(Tabela4[[#This Row],[PROJETO]]="VIVO",RIGHT(LEFT(Tabela4[[#This Row],[SITE2]],10),2),""))</f>
        <v/>
      </c>
      <c r="H181" s="99"/>
    </row>
    <row r="182" spans="1:8">
      <c r="A182" s="119">
        <f>'BASE FINANCEIRO'!BI217</f>
        <v>0</v>
      </c>
      <c r="B182" s="24" t="str">
        <f t="shared" si="2"/>
        <v/>
      </c>
      <c r="C182" s="24" t="s">
        <v>2453</v>
      </c>
      <c r="D182" s="24" t="e">
        <f>IF(VLOOKUP('BASE FINANCEIRO'!BC217,'COD. PROJETOS'!B:D,3,0)="VIVO",MID('BASE FINANCEIRO'!BI217,36,3),IF(VLOOKUP('BASE FINANCEIRO'!BC217,'COD. PROJETOS'!B:D,3,0),MID('BASE FINANCEIRO'!BI217,36,7),IF(VLOOKUP('BASE FINANCEIRO'!BC217,'COD. PROJETOS'!B:D,3,0),MID('BASE FINANCEIRO'!BI217,36,9),"PROJETO?")))</f>
        <v>#N/A</v>
      </c>
      <c r="E182" s="24" t="e">
        <f>VLOOKUP(D182,'BASE MUNICÍPIO'!B163:C24898,2,0)</f>
        <v>#N/A</v>
      </c>
      <c r="F182" s="98" t="e">
        <f>VLOOKUP(D182,'BASE MUNICÍPIO'!B163:D24898,3,0)</f>
        <v>#N/A</v>
      </c>
      <c r="G182" s="97" t="str">
        <f>IF(Tabela4[[#This Row],[PROJETO]]="CLARO",LEFT(Tabela4[[#This Row],[SITE2]],2),IF(Tabela4[[#This Row],[PROJETO]]="VIVO",RIGHT(LEFT(Tabela4[[#This Row],[SITE2]],10),2),""))</f>
        <v/>
      </c>
      <c r="H182" s="99"/>
    </row>
    <row r="183" spans="1:8">
      <c r="A183" s="119">
        <f>'BASE FINANCEIRO'!BI218</f>
        <v>0</v>
      </c>
      <c r="B183" s="24" t="str">
        <f t="shared" si="2"/>
        <v/>
      </c>
      <c r="C183" s="24" t="s">
        <v>2453</v>
      </c>
      <c r="D183" s="24" t="e">
        <f>IF(VLOOKUP('BASE FINANCEIRO'!BC218,'COD. PROJETOS'!B:D,3,0)="VIVO",MID('BASE FINANCEIRO'!BI218,36,3),IF(VLOOKUP('BASE FINANCEIRO'!BC218,'COD. PROJETOS'!B:D,3,0),MID('BASE FINANCEIRO'!BI218,36,7),IF(VLOOKUP('BASE FINANCEIRO'!BC218,'COD. PROJETOS'!B:D,3,0),MID('BASE FINANCEIRO'!BI218,36,9),"PROJETO?")))</f>
        <v>#N/A</v>
      </c>
      <c r="E183" s="24" t="e">
        <f>VLOOKUP(D183,'BASE MUNICÍPIO'!B164:C24899,2,0)</f>
        <v>#N/A</v>
      </c>
      <c r="F183" s="98" t="e">
        <f>VLOOKUP(D183,'BASE MUNICÍPIO'!B164:D24899,3,0)</f>
        <v>#N/A</v>
      </c>
      <c r="G183" s="97" t="str">
        <f>IF(Tabela4[[#This Row],[PROJETO]]="CLARO",LEFT(Tabela4[[#This Row],[SITE2]],2),IF(Tabela4[[#This Row],[PROJETO]]="VIVO",RIGHT(LEFT(Tabela4[[#This Row],[SITE2]],10),2),""))</f>
        <v/>
      </c>
      <c r="H183" s="99"/>
    </row>
    <row r="184" spans="1:8">
      <c r="A184" s="119">
        <f>'BASE FINANCEIRO'!BI219</f>
        <v>0</v>
      </c>
      <c r="B184" s="24" t="str">
        <f t="shared" si="2"/>
        <v/>
      </c>
      <c r="C184" s="24" t="s">
        <v>2453</v>
      </c>
      <c r="D184" s="24" t="e">
        <f>IF(VLOOKUP('BASE FINANCEIRO'!BC219,'COD. PROJETOS'!B:D,3,0)="VIVO",MID('BASE FINANCEIRO'!BI219,36,3),IF(VLOOKUP('BASE FINANCEIRO'!BC219,'COD. PROJETOS'!B:D,3,0),MID('BASE FINANCEIRO'!BI219,36,7),IF(VLOOKUP('BASE FINANCEIRO'!BC219,'COD. PROJETOS'!B:D,3,0),MID('BASE FINANCEIRO'!BI219,36,9),"PROJETO?")))</f>
        <v>#N/A</v>
      </c>
      <c r="E184" s="24" t="e">
        <f>VLOOKUP(D184,'BASE MUNICÍPIO'!B165:C24900,2,0)</f>
        <v>#N/A</v>
      </c>
      <c r="F184" s="98" t="e">
        <f>VLOOKUP(D184,'BASE MUNICÍPIO'!B165:D24900,3,0)</f>
        <v>#N/A</v>
      </c>
      <c r="G184" s="97" t="str">
        <f>IF(Tabela4[[#This Row],[PROJETO]]="CLARO",LEFT(Tabela4[[#This Row],[SITE2]],2),IF(Tabela4[[#This Row],[PROJETO]]="VIVO",RIGHT(LEFT(Tabela4[[#This Row],[SITE2]],10),2),""))</f>
        <v/>
      </c>
      <c r="H184" s="99"/>
    </row>
    <row r="185" spans="1:8">
      <c r="A185" s="119">
        <f>'BASE FINANCEIRO'!BI220</f>
        <v>0</v>
      </c>
      <c r="B185" s="24" t="str">
        <f t="shared" si="2"/>
        <v/>
      </c>
      <c r="C185" s="24" t="s">
        <v>2453</v>
      </c>
      <c r="D185" s="24" t="e">
        <f>IF(VLOOKUP('BASE FINANCEIRO'!BC220,'COD. PROJETOS'!B:D,3,0)="VIVO",MID('BASE FINANCEIRO'!BI220,36,3),IF(VLOOKUP('BASE FINANCEIRO'!BC220,'COD. PROJETOS'!B:D,3,0),MID('BASE FINANCEIRO'!BI220,36,7),IF(VLOOKUP('BASE FINANCEIRO'!BC220,'COD. PROJETOS'!B:D,3,0),MID('BASE FINANCEIRO'!BI220,36,9),"PROJETO?")))</f>
        <v>#N/A</v>
      </c>
      <c r="E185" s="24" t="e">
        <f>VLOOKUP(D185,'BASE MUNICÍPIO'!B166:C24901,2,0)</f>
        <v>#N/A</v>
      </c>
      <c r="F185" s="98" t="e">
        <f>VLOOKUP(D185,'BASE MUNICÍPIO'!B166:D24901,3,0)</f>
        <v>#N/A</v>
      </c>
      <c r="G185" s="97" t="str">
        <f>IF(Tabela4[[#This Row],[PROJETO]]="CLARO",LEFT(Tabela4[[#This Row],[SITE2]],2),IF(Tabela4[[#This Row],[PROJETO]]="VIVO",RIGHT(LEFT(Tabela4[[#This Row],[SITE2]],10),2),""))</f>
        <v/>
      </c>
      <c r="H185" s="99"/>
    </row>
    <row r="186" spans="1:8">
      <c r="A186" s="119">
        <f>'BASE FINANCEIRO'!BI221</f>
        <v>0</v>
      </c>
      <c r="B186" s="24" t="str">
        <f t="shared" si="2"/>
        <v/>
      </c>
      <c r="C186" s="24" t="s">
        <v>2453</v>
      </c>
      <c r="D186" s="24" t="e">
        <f>IF(VLOOKUP('BASE FINANCEIRO'!BC221,'COD. PROJETOS'!B:D,3,0)="VIVO",MID('BASE FINANCEIRO'!BI221,36,3),IF(VLOOKUP('BASE FINANCEIRO'!BC221,'COD. PROJETOS'!B:D,3,0),MID('BASE FINANCEIRO'!BI221,36,7),IF(VLOOKUP('BASE FINANCEIRO'!BC221,'COD. PROJETOS'!B:D,3,0),MID('BASE FINANCEIRO'!BI221,36,9),"PROJETO?")))</f>
        <v>#N/A</v>
      </c>
      <c r="E186" s="24" t="e">
        <f>VLOOKUP(D186,'BASE MUNICÍPIO'!B167:C24902,2,0)</f>
        <v>#N/A</v>
      </c>
      <c r="F186" s="98" t="e">
        <f>VLOOKUP(D186,'BASE MUNICÍPIO'!B167:D24902,3,0)</f>
        <v>#N/A</v>
      </c>
      <c r="G186" s="97" t="str">
        <f>IF(Tabela4[[#This Row],[PROJETO]]="CLARO",LEFT(Tabela4[[#This Row],[SITE2]],2),IF(Tabela4[[#This Row],[PROJETO]]="VIVO",RIGHT(LEFT(Tabela4[[#This Row],[SITE2]],10),2),""))</f>
        <v/>
      </c>
      <c r="H186" s="99"/>
    </row>
    <row r="187" spans="1:8">
      <c r="A187" s="119">
        <f>'BASE FINANCEIRO'!BI222</f>
        <v>0</v>
      </c>
      <c r="B187" s="24" t="str">
        <f t="shared" si="2"/>
        <v/>
      </c>
      <c r="C187" s="24" t="s">
        <v>2453</v>
      </c>
      <c r="D187" s="24" t="e">
        <f>IF(VLOOKUP('BASE FINANCEIRO'!BC222,'COD. PROJETOS'!B:D,3,0)="VIVO",MID('BASE FINANCEIRO'!BI222,36,3),IF(VLOOKUP('BASE FINANCEIRO'!BC222,'COD. PROJETOS'!B:D,3,0),MID('BASE FINANCEIRO'!BI222,36,7),IF(VLOOKUP('BASE FINANCEIRO'!BC222,'COD. PROJETOS'!B:D,3,0),MID('BASE FINANCEIRO'!BI222,36,9),"PROJETO?")))</f>
        <v>#N/A</v>
      </c>
      <c r="E187" s="24" t="e">
        <f>VLOOKUP(D187,'BASE MUNICÍPIO'!B168:C24903,2,0)</f>
        <v>#N/A</v>
      </c>
      <c r="F187" s="98" t="e">
        <f>VLOOKUP(D187,'BASE MUNICÍPIO'!B168:D24903,3,0)</f>
        <v>#N/A</v>
      </c>
      <c r="G187" s="97" t="str">
        <f>IF(Tabela4[[#This Row],[PROJETO]]="CLARO",LEFT(Tabela4[[#This Row],[SITE2]],2),IF(Tabela4[[#This Row],[PROJETO]]="VIVO",RIGHT(LEFT(Tabela4[[#This Row],[SITE2]],10),2),""))</f>
        <v/>
      </c>
      <c r="H187" s="99"/>
    </row>
    <row r="188" spans="1:8">
      <c r="A188" s="119">
        <f>'BASE FINANCEIRO'!BI223</f>
        <v>0</v>
      </c>
      <c r="B188" s="24" t="str">
        <f t="shared" si="2"/>
        <v/>
      </c>
      <c r="C188" s="24" t="s">
        <v>2453</v>
      </c>
      <c r="D188" s="24" t="e">
        <f>IF(VLOOKUP('BASE FINANCEIRO'!BC223,'COD. PROJETOS'!B:D,3,0)="VIVO",MID('BASE FINANCEIRO'!BI223,36,3),IF(VLOOKUP('BASE FINANCEIRO'!BC223,'COD. PROJETOS'!B:D,3,0),MID('BASE FINANCEIRO'!BI223,36,7),IF(VLOOKUP('BASE FINANCEIRO'!BC223,'COD. PROJETOS'!B:D,3,0),MID('BASE FINANCEIRO'!BI223,36,9),"PROJETO?")))</f>
        <v>#N/A</v>
      </c>
      <c r="E188" s="24" t="e">
        <f>VLOOKUP(D188,'BASE MUNICÍPIO'!B169:C24904,2,0)</f>
        <v>#N/A</v>
      </c>
      <c r="F188" s="98" t="e">
        <f>VLOOKUP(D188,'BASE MUNICÍPIO'!B169:D24904,3,0)</f>
        <v>#N/A</v>
      </c>
      <c r="G188" s="97" t="str">
        <f>IF(Tabela4[[#This Row],[PROJETO]]="CLARO",LEFT(Tabela4[[#This Row],[SITE2]],2),IF(Tabela4[[#This Row],[PROJETO]]="VIVO",RIGHT(LEFT(Tabela4[[#This Row],[SITE2]],10),2),""))</f>
        <v/>
      </c>
      <c r="H188" s="99"/>
    </row>
    <row r="189" spans="1:8">
      <c r="A189" s="119">
        <f>'BASE FINANCEIRO'!BI224</f>
        <v>0</v>
      </c>
      <c r="B189" s="24" t="str">
        <f t="shared" si="2"/>
        <v/>
      </c>
      <c r="C189" s="24" t="s">
        <v>2453</v>
      </c>
      <c r="D189" s="24" t="e">
        <f>IF(VLOOKUP('BASE FINANCEIRO'!BC224,'COD. PROJETOS'!B:D,3,0)="VIVO",MID('BASE FINANCEIRO'!BI224,36,3),IF(VLOOKUP('BASE FINANCEIRO'!BC224,'COD. PROJETOS'!B:D,3,0),MID('BASE FINANCEIRO'!BI224,36,7),IF(VLOOKUP('BASE FINANCEIRO'!BC224,'COD. PROJETOS'!B:D,3,0),MID('BASE FINANCEIRO'!BI224,36,9),"PROJETO?")))</f>
        <v>#N/A</v>
      </c>
      <c r="E189" s="24" t="e">
        <f>VLOOKUP(D189,'BASE MUNICÍPIO'!B170:C24905,2,0)</f>
        <v>#N/A</v>
      </c>
      <c r="F189" s="98" t="e">
        <f>VLOOKUP(D189,'BASE MUNICÍPIO'!B170:D24905,3,0)</f>
        <v>#N/A</v>
      </c>
      <c r="G189" s="97" t="str">
        <f>IF(Tabela4[[#This Row],[PROJETO]]="CLARO",LEFT(Tabela4[[#This Row],[SITE2]],2),IF(Tabela4[[#This Row],[PROJETO]]="VIVO",RIGHT(LEFT(Tabela4[[#This Row],[SITE2]],10),2),""))</f>
        <v/>
      </c>
      <c r="H189" s="99"/>
    </row>
    <row r="190" spans="1:8">
      <c r="A190" s="119">
        <f>'BASE FINANCEIRO'!BI225</f>
        <v>0</v>
      </c>
      <c r="B190" s="24" t="str">
        <f t="shared" si="2"/>
        <v/>
      </c>
      <c r="C190" s="24" t="s">
        <v>2453</v>
      </c>
      <c r="D190" s="24" t="e">
        <f>IF(VLOOKUP('BASE FINANCEIRO'!BC225,'COD. PROJETOS'!B:D,3,0)="VIVO",MID('BASE FINANCEIRO'!BI225,36,3),IF(VLOOKUP('BASE FINANCEIRO'!BC225,'COD. PROJETOS'!B:D,3,0),MID('BASE FINANCEIRO'!BI225,36,7),IF(VLOOKUP('BASE FINANCEIRO'!BC225,'COD. PROJETOS'!B:D,3,0),MID('BASE FINANCEIRO'!BI225,36,9),"PROJETO?")))</f>
        <v>#N/A</v>
      </c>
      <c r="E190" s="24" t="e">
        <f>VLOOKUP(D190,'BASE MUNICÍPIO'!B171:C24906,2,0)</f>
        <v>#N/A</v>
      </c>
      <c r="F190" s="98" t="e">
        <f>VLOOKUP(D190,'BASE MUNICÍPIO'!B171:D24906,3,0)</f>
        <v>#N/A</v>
      </c>
      <c r="G190" s="97" t="str">
        <f>IF(Tabela4[[#This Row],[PROJETO]]="CLARO",LEFT(Tabela4[[#This Row],[SITE2]],2),IF(Tabela4[[#This Row],[PROJETO]]="VIVO",RIGHT(LEFT(Tabela4[[#This Row],[SITE2]],10),2),""))</f>
        <v/>
      </c>
      <c r="H190" s="99"/>
    </row>
    <row r="191" spans="1:8">
      <c r="A191" s="119">
        <f>'BASE FINANCEIRO'!BI226</f>
        <v>0</v>
      </c>
      <c r="B191" s="24" t="str">
        <f t="shared" si="2"/>
        <v/>
      </c>
      <c r="C191" s="24" t="s">
        <v>2453</v>
      </c>
      <c r="D191" s="24" t="e">
        <f>IF(VLOOKUP('BASE FINANCEIRO'!BC226,'COD. PROJETOS'!B:D,3,0)="VIVO",MID('BASE FINANCEIRO'!BI226,36,3),IF(VLOOKUP('BASE FINANCEIRO'!BC226,'COD. PROJETOS'!B:D,3,0),MID('BASE FINANCEIRO'!BI226,36,7),IF(VLOOKUP('BASE FINANCEIRO'!BC226,'COD. PROJETOS'!B:D,3,0),MID('BASE FINANCEIRO'!BI226,36,9),"PROJETO?")))</f>
        <v>#N/A</v>
      </c>
      <c r="E191" s="24" t="e">
        <f>VLOOKUP(D191,'BASE MUNICÍPIO'!B172:C24907,2,0)</f>
        <v>#N/A</v>
      </c>
      <c r="F191" s="98" t="e">
        <f>VLOOKUP(D191,'BASE MUNICÍPIO'!B172:D24907,3,0)</f>
        <v>#N/A</v>
      </c>
      <c r="G191" s="97" t="str">
        <f>IF(Tabela4[[#This Row],[PROJETO]]="CLARO",LEFT(Tabela4[[#This Row],[SITE2]],2),IF(Tabela4[[#This Row],[PROJETO]]="VIVO",RIGHT(LEFT(Tabela4[[#This Row],[SITE2]],10),2),""))</f>
        <v/>
      </c>
      <c r="H191" s="99"/>
    </row>
    <row r="192" spans="1:8">
      <c r="A192" s="119">
        <f>'BASE FINANCEIRO'!BI227</f>
        <v>0</v>
      </c>
      <c r="B192" s="24" t="str">
        <f t="shared" si="2"/>
        <v/>
      </c>
      <c r="C192" s="24" t="s">
        <v>2453</v>
      </c>
      <c r="D192" s="24" t="e">
        <f>IF(VLOOKUP('BASE FINANCEIRO'!BC227,'COD. PROJETOS'!B:D,3,0)="VIVO",MID('BASE FINANCEIRO'!BI227,36,3),IF(VLOOKUP('BASE FINANCEIRO'!BC227,'COD. PROJETOS'!B:D,3,0),MID('BASE FINANCEIRO'!BI227,36,7),IF(VLOOKUP('BASE FINANCEIRO'!BC227,'COD. PROJETOS'!B:D,3,0),MID('BASE FINANCEIRO'!BI227,36,9),"PROJETO?")))</f>
        <v>#N/A</v>
      </c>
      <c r="E192" s="24" t="e">
        <f>VLOOKUP(D192,'BASE MUNICÍPIO'!B173:C24908,2,0)</f>
        <v>#N/A</v>
      </c>
      <c r="F192" s="98" t="e">
        <f>VLOOKUP(D192,'BASE MUNICÍPIO'!B173:D24908,3,0)</f>
        <v>#N/A</v>
      </c>
      <c r="G192" s="97" t="str">
        <f>IF(Tabela4[[#This Row],[PROJETO]]="CLARO",LEFT(Tabela4[[#This Row],[SITE2]],2),IF(Tabela4[[#This Row],[PROJETO]]="VIVO",RIGHT(LEFT(Tabela4[[#This Row],[SITE2]],10),2),""))</f>
        <v/>
      </c>
      <c r="H192" s="99"/>
    </row>
    <row r="193" spans="1:8">
      <c r="A193" s="119">
        <f>'BASE FINANCEIRO'!BI228</f>
        <v>0</v>
      </c>
      <c r="B193" s="24" t="str">
        <f t="shared" si="2"/>
        <v/>
      </c>
      <c r="C193" s="24" t="s">
        <v>2453</v>
      </c>
      <c r="D193" s="24" t="e">
        <f>IF(VLOOKUP('BASE FINANCEIRO'!BC228,'COD. PROJETOS'!B:D,3,0)="VIVO",MID('BASE FINANCEIRO'!BI228,36,3),IF(VLOOKUP('BASE FINANCEIRO'!BC228,'COD. PROJETOS'!B:D,3,0),MID('BASE FINANCEIRO'!BI228,36,7),IF(VLOOKUP('BASE FINANCEIRO'!BC228,'COD. PROJETOS'!B:D,3,0),MID('BASE FINANCEIRO'!BI228,36,9),"PROJETO?")))</f>
        <v>#N/A</v>
      </c>
      <c r="E193" s="24" t="e">
        <f>VLOOKUP(D193,'BASE MUNICÍPIO'!B174:C24909,2,0)</f>
        <v>#N/A</v>
      </c>
      <c r="F193" s="98" t="e">
        <f>VLOOKUP(D193,'BASE MUNICÍPIO'!B174:D24909,3,0)</f>
        <v>#N/A</v>
      </c>
      <c r="G193" s="97" t="str">
        <f>IF(Tabela4[[#This Row],[PROJETO]]="CLARO",LEFT(Tabela4[[#This Row],[SITE2]],2),IF(Tabela4[[#This Row],[PROJETO]]="VIVO",RIGHT(LEFT(Tabela4[[#This Row],[SITE2]],10),2),""))</f>
        <v/>
      </c>
      <c r="H193" s="99"/>
    </row>
    <row r="194" spans="1:8">
      <c r="A194" s="119">
        <f>'BASE FINANCEIRO'!BI229</f>
        <v>0</v>
      </c>
      <c r="B194" s="24" t="str">
        <f t="shared" si="2"/>
        <v/>
      </c>
      <c r="C194" s="24" t="s">
        <v>2453</v>
      </c>
      <c r="D194" s="24" t="e">
        <f>IF(VLOOKUP('BASE FINANCEIRO'!BC229,'COD. PROJETOS'!B:D,3,0)="VIVO",MID('BASE FINANCEIRO'!BI229,36,3),IF(VLOOKUP('BASE FINANCEIRO'!BC229,'COD. PROJETOS'!B:D,3,0),MID('BASE FINANCEIRO'!BI229,36,7),IF(VLOOKUP('BASE FINANCEIRO'!BC229,'COD. PROJETOS'!B:D,3,0),MID('BASE FINANCEIRO'!BI229,36,9),"PROJETO?")))</f>
        <v>#N/A</v>
      </c>
      <c r="E194" s="24" t="e">
        <f>VLOOKUP(D194,'BASE MUNICÍPIO'!B175:C24910,2,0)</f>
        <v>#N/A</v>
      </c>
      <c r="F194" s="98" t="e">
        <f>VLOOKUP(D194,'BASE MUNICÍPIO'!B175:D24910,3,0)</f>
        <v>#N/A</v>
      </c>
      <c r="G194" s="97" t="str">
        <f>IF(Tabela4[[#This Row],[PROJETO]]="CLARO",LEFT(Tabela4[[#This Row],[SITE2]],2),IF(Tabela4[[#This Row],[PROJETO]]="VIVO",RIGHT(LEFT(Tabela4[[#This Row],[SITE2]],10),2),""))</f>
        <v/>
      </c>
      <c r="H194" s="99"/>
    </row>
    <row r="195" spans="1:8">
      <c r="A195" s="119">
        <f>'BASE FINANCEIRO'!BI230</f>
        <v>0</v>
      </c>
      <c r="B195" s="24" t="str">
        <f t="shared" si="2"/>
        <v/>
      </c>
      <c r="C195" s="24" t="s">
        <v>2453</v>
      </c>
      <c r="D195" s="24" t="e">
        <f>IF(VLOOKUP('BASE FINANCEIRO'!BC230,'COD. PROJETOS'!B:D,3,0)="VIVO",MID('BASE FINANCEIRO'!BI230,36,3),IF(VLOOKUP('BASE FINANCEIRO'!BC230,'COD. PROJETOS'!B:D,3,0),MID('BASE FINANCEIRO'!BI230,36,7),IF(VLOOKUP('BASE FINANCEIRO'!BC230,'COD. PROJETOS'!B:D,3,0),MID('BASE FINANCEIRO'!BI230,36,9),"PROJETO?")))</f>
        <v>#N/A</v>
      </c>
      <c r="E195" s="24" t="e">
        <f>VLOOKUP(D195,'BASE MUNICÍPIO'!B176:C24911,2,0)</f>
        <v>#N/A</v>
      </c>
      <c r="F195" s="98" t="e">
        <f>VLOOKUP(D195,'BASE MUNICÍPIO'!B176:D24911,3,0)</f>
        <v>#N/A</v>
      </c>
      <c r="G195" s="97" t="str">
        <f>IF(Tabela4[[#This Row],[PROJETO]]="CLARO",LEFT(Tabela4[[#This Row],[SITE2]],2),IF(Tabela4[[#This Row],[PROJETO]]="VIVO",RIGHT(LEFT(Tabela4[[#This Row],[SITE2]],10),2),""))</f>
        <v/>
      </c>
      <c r="H195" s="99"/>
    </row>
    <row r="196" spans="1:8">
      <c r="A196" s="119">
        <f>'BASE FINANCEIRO'!BI231</f>
        <v>0</v>
      </c>
      <c r="B196" s="24" t="str">
        <f t="shared" ref="B196:B259" si="3">MID(A196,36,14)</f>
        <v/>
      </c>
      <c r="C196" s="24" t="s">
        <v>2453</v>
      </c>
      <c r="D196" s="24" t="e">
        <f>IF(VLOOKUP('BASE FINANCEIRO'!BC231,'COD. PROJETOS'!B:D,3,0)="VIVO",MID('BASE FINANCEIRO'!BI231,36,3),IF(VLOOKUP('BASE FINANCEIRO'!BC231,'COD. PROJETOS'!B:D,3,0),MID('BASE FINANCEIRO'!BI231,36,7),IF(VLOOKUP('BASE FINANCEIRO'!BC231,'COD. PROJETOS'!B:D,3,0),MID('BASE FINANCEIRO'!BI231,36,9),"PROJETO?")))</f>
        <v>#N/A</v>
      </c>
      <c r="E196" s="24" t="e">
        <f>VLOOKUP(D196,'BASE MUNICÍPIO'!B177:C24912,2,0)</f>
        <v>#N/A</v>
      </c>
      <c r="F196" s="98" t="e">
        <f>VLOOKUP(D196,'BASE MUNICÍPIO'!B177:D24912,3,0)</f>
        <v>#N/A</v>
      </c>
      <c r="G196" s="97" t="str">
        <f>IF(Tabela4[[#This Row],[PROJETO]]="CLARO",LEFT(Tabela4[[#This Row],[SITE2]],2),IF(Tabela4[[#This Row],[PROJETO]]="VIVO",RIGHT(LEFT(Tabela4[[#This Row],[SITE2]],10),2),""))</f>
        <v/>
      </c>
      <c r="H196" s="99"/>
    </row>
    <row r="197" spans="1:8">
      <c r="A197" s="119">
        <f>'BASE FINANCEIRO'!BI232</f>
        <v>0</v>
      </c>
      <c r="B197" s="24" t="str">
        <f t="shared" si="3"/>
        <v/>
      </c>
      <c r="C197" s="24" t="s">
        <v>2453</v>
      </c>
      <c r="D197" s="24" t="e">
        <f>IF(VLOOKUP('BASE FINANCEIRO'!BC232,'COD. PROJETOS'!B:D,3,0)="VIVO",MID('BASE FINANCEIRO'!BI232,36,3),IF(VLOOKUP('BASE FINANCEIRO'!BC232,'COD. PROJETOS'!B:D,3,0),MID('BASE FINANCEIRO'!BI232,36,7),IF(VLOOKUP('BASE FINANCEIRO'!BC232,'COD. PROJETOS'!B:D,3,0),MID('BASE FINANCEIRO'!BI232,36,9),"PROJETO?")))</f>
        <v>#N/A</v>
      </c>
      <c r="E197" s="24" t="e">
        <f>VLOOKUP(D197,'BASE MUNICÍPIO'!B178:C24913,2,0)</f>
        <v>#N/A</v>
      </c>
      <c r="F197" s="98" t="e">
        <f>VLOOKUP(D197,'BASE MUNICÍPIO'!B178:D24913,3,0)</f>
        <v>#N/A</v>
      </c>
      <c r="G197" s="97" t="str">
        <f>IF(Tabela4[[#This Row],[PROJETO]]="CLARO",LEFT(Tabela4[[#This Row],[SITE2]],2),IF(Tabela4[[#This Row],[PROJETO]]="VIVO",RIGHT(LEFT(Tabela4[[#This Row],[SITE2]],10),2),""))</f>
        <v/>
      </c>
      <c r="H197" s="99"/>
    </row>
    <row r="198" spans="1:8">
      <c r="A198" s="119">
        <f>'BASE FINANCEIRO'!BI233</f>
        <v>0</v>
      </c>
      <c r="B198" s="24" t="str">
        <f t="shared" si="3"/>
        <v/>
      </c>
      <c r="C198" s="24" t="s">
        <v>2453</v>
      </c>
      <c r="D198" s="24" t="e">
        <f>IF(VLOOKUP('BASE FINANCEIRO'!BC233,'COD. PROJETOS'!B:D,3,0)="VIVO",MID('BASE FINANCEIRO'!BI233,36,3),IF(VLOOKUP('BASE FINANCEIRO'!BC233,'COD. PROJETOS'!B:D,3,0),MID('BASE FINANCEIRO'!BI233,36,7),IF(VLOOKUP('BASE FINANCEIRO'!BC233,'COD. PROJETOS'!B:D,3,0),MID('BASE FINANCEIRO'!BI233,36,9),"PROJETO?")))</f>
        <v>#N/A</v>
      </c>
      <c r="E198" s="24" t="e">
        <f>VLOOKUP(D198,'BASE MUNICÍPIO'!B179:C24914,2,0)</f>
        <v>#N/A</v>
      </c>
      <c r="F198" s="98" t="e">
        <f>VLOOKUP(D198,'BASE MUNICÍPIO'!B179:D24914,3,0)</f>
        <v>#N/A</v>
      </c>
      <c r="G198" s="97" t="str">
        <f>IF(Tabela4[[#This Row],[PROJETO]]="CLARO",LEFT(Tabela4[[#This Row],[SITE2]],2),IF(Tabela4[[#This Row],[PROJETO]]="VIVO",RIGHT(LEFT(Tabela4[[#This Row],[SITE2]],10),2),""))</f>
        <v/>
      </c>
      <c r="H198" s="99"/>
    </row>
    <row r="199" spans="1:8">
      <c r="A199" s="119">
        <f>'BASE FINANCEIRO'!BI234</f>
        <v>0</v>
      </c>
      <c r="B199" s="24" t="str">
        <f t="shared" si="3"/>
        <v/>
      </c>
      <c r="C199" s="24" t="s">
        <v>2453</v>
      </c>
      <c r="D199" s="24" t="e">
        <f>IF(VLOOKUP('BASE FINANCEIRO'!BC234,'COD. PROJETOS'!B:D,3,0)="VIVO",MID('BASE FINANCEIRO'!BI234,36,3),IF(VLOOKUP('BASE FINANCEIRO'!BC234,'COD. PROJETOS'!B:D,3,0),MID('BASE FINANCEIRO'!BI234,36,7),IF(VLOOKUP('BASE FINANCEIRO'!BC234,'COD. PROJETOS'!B:D,3,0),MID('BASE FINANCEIRO'!BI234,36,9),"PROJETO?")))</f>
        <v>#N/A</v>
      </c>
      <c r="E199" s="24" t="e">
        <f>VLOOKUP(D199,'BASE MUNICÍPIO'!B180:C24915,2,0)</f>
        <v>#N/A</v>
      </c>
      <c r="F199" s="98" t="e">
        <f>VLOOKUP(D199,'BASE MUNICÍPIO'!B180:D24915,3,0)</f>
        <v>#N/A</v>
      </c>
      <c r="G199" s="97" t="str">
        <f>IF(Tabela4[[#This Row],[PROJETO]]="CLARO",LEFT(Tabela4[[#This Row],[SITE2]],2),IF(Tabela4[[#This Row],[PROJETO]]="VIVO",RIGHT(LEFT(Tabela4[[#This Row],[SITE2]],10),2),""))</f>
        <v/>
      </c>
      <c r="H199" s="99"/>
    </row>
    <row r="200" spans="1:8">
      <c r="A200" s="119">
        <f>'BASE FINANCEIRO'!BI235</f>
        <v>0</v>
      </c>
      <c r="B200" s="24" t="str">
        <f t="shared" si="3"/>
        <v/>
      </c>
      <c r="C200" s="24" t="s">
        <v>2453</v>
      </c>
      <c r="D200" s="24" t="e">
        <f>IF(VLOOKUP('BASE FINANCEIRO'!BC235,'COD. PROJETOS'!B:D,3,0)="VIVO",MID('BASE FINANCEIRO'!BI235,36,3),IF(VLOOKUP('BASE FINANCEIRO'!BC235,'COD. PROJETOS'!B:D,3,0),MID('BASE FINANCEIRO'!BI235,36,7),IF(VLOOKUP('BASE FINANCEIRO'!BC235,'COD. PROJETOS'!B:D,3,0),MID('BASE FINANCEIRO'!BI235,36,9),"PROJETO?")))</f>
        <v>#N/A</v>
      </c>
      <c r="E200" s="24" t="e">
        <f>VLOOKUP(D200,'BASE MUNICÍPIO'!B181:C24916,2,0)</f>
        <v>#N/A</v>
      </c>
      <c r="F200" s="98" t="e">
        <f>VLOOKUP(D200,'BASE MUNICÍPIO'!B181:D24916,3,0)</f>
        <v>#N/A</v>
      </c>
      <c r="G200" s="97" t="str">
        <f>IF(Tabela4[[#This Row],[PROJETO]]="CLARO",LEFT(Tabela4[[#This Row],[SITE2]],2),IF(Tabela4[[#This Row],[PROJETO]]="VIVO",RIGHT(LEFT(Tabela4[[#This Row],[SITE2]],10),2),""))</f>
        <v/>
      </c>
      <c r="H200" s="99"/>
    </row>
    <row r="201" spans="1:8">
      <c r="A201" s="119">
        <f>'BASE FINANCEIRO'!BI236</f>
        <v>0</v>
      </c>
      <c r="B201" s="24" t="str">
        <f t="shared" si="3"/>
        <v/>
      </c>
      <c r="C201" s="24" t="s">
        <v>2453</v>
      </c>
      <c r="D201" s="24" t="e">
        <f>IF(VLOOKUP('BASE FINANCEIRO'!BC236,'COD. PROJETOS'!B:D,3,0)="VIVO",MID('BASE FINANCEIRO'!BI236,36,3),IF(VLOOKUP('BASE FINANCEIRO'!BC236,'COD. PROJETOS'!B:D,3,0),MID('BASE FINANCEIRO'!BI236,36,7),IF(VLOOKUP('BASE FINANCEIRO'!BC236,'COD. PROJETOS'!B:D,3,0),MID('BASE FINANCEIRO'!BI236,36,9),"PROJETO?")))</f>
        <v>#N/A</v>
      </c>
      <c r="E201" s="24" t="e">
        <f>VLOOKUP(D201,'BASE MUNICÍPIO'!B182:C24917,2,0)</f>
        <v>#N/A</v>
      </c>
      <c r="F201" s="98" t="e">
        <f>VLOOKUP(D201,'BASE MUNICÍPIO'!B182:D24917,3,0)</f>
        <v>#N/A</v>
      </c>
      <c r="G201" s="97" t="str">
        <f>IF(Tabela4[[#This Row],[PROJETO]]="CLARO",LEFT(Tabela4[[#This Row],[SITE2]],2),IF(Tabela4[[#This Row],[PROJETO]]="VIVO",RIGHT(LEFT(Tabela4[[#This Row],[SITE2]],10),2),""))</f>
        <v/>
      </c>
      <c r="H201" s="99"/>
    </row>
    <row r="202" spans="1:8">
      <c r="A202" s="119">
        <f>'BASE FINANCEIRO'!BI237</f>
        <v>0</v>
      </c>
      <c r="B202" s="24" t="str">
        <f t="shared" si="3"/>
        <v/>
      </c>
      <c r="C202" s="24" t="s">
        <v>2453</v>
      </c>
      <c r="D202" s="24" t="e">
        <f>IF(VLOOKUP('BASE FINANCEIRO'!BC237,'COD. PROJETOS'!B:D,3,0)="VIVO",MID('BASE FINANCEIRO'!BI237,36,3),IF(VLOOKUP('BASE FINANCEIRO'!BC237,'COD. PROJETOS'!B:D,3,0),MID('BASE FINANCEIRO'!BI237,36,7),IF(VLOOKUP('BASE FINANCEIRO'!BC237,'COD. PROJETOS'!B:D,3,0),MID('BASE FINANCEIRO'!BI237,36,9),"PROJETO?")))</f>
        <v>#N/A</v>
      </c>
      <c r="E202" s="24" t="e">
        <f>VLOOKUP(D202,'BASE MUNICÍPIO'!B183:C24918,2,0)</f>
        <v>#N/A</v>
      </c>
      <c r="F202" s="98" t="e">
        <f>VLOOKUP(D202,'BASE MUNICÍPIO'!B183:D24918,3,0)</f>
        <v>#N/A</v>
      </c>
      <c r="G202" s="97" t="str">
        <f>IF(Tabela4[[#This Row],[PROJETO]]="CLARO",LEFT(Tabela4[[#This Row],[SITE2]],2),IF(Tabela4[[#This Row],[PROJETO]]="VIVO",RIGHT(LEFT(Tabela4[[#This Row],[SITE2]],10),2),""))</f>
        <v/>
      </c>
      <c r="H202" s="99"/>
    </row>
    <row r="203" spans="1:8">
      <c r="A203" s="119">
        <f>'BASE FINANCEIRO'!BI238</f>
        <v>0</v>
      </c>
      <c r="B203" s="24" t="str">
        <f t="shared" si="3"/>
        <v/>
      </c>
      <c r="C203" s="24" t="s">
        <v>2453</v>
      </c>
      <c r="D203" s="24" t="e">
        <f>IF(VLOOKUP('BASE FINANCEIRO'!BC238,'COD. PROJETOS'!B:D,3,0)="VIVO",MID('BASE FINANCEIRO'!BI238,36,3),IF(VLOOKUP('BASE FINANCEIRO'!BC238,'COD. PROJETOS'!B:D,3,0),MID('BASE FINANCEIRO'!BI238,36,7),IF(VLOOKUP('BASE FINANCEIRO'!BC238,'COD. PROJETOS'!B:D,3,0),MID('BASE FINANCEIRO'!BI238,36,9),"PROJETO?")))</f>
        <v>#N/A</v>
      </c>
      <c r="E203" s="24" t="e">
        <f>VLOOKUP(D203,'BASE MUNICÍPIO'!B184:C24919,2,0)</f>
        <v>#N/A</v>
      </c>
      <c r="F203" s="98" t="e">
        <f>VLOOKUP(D203,'BASE MUNICÍPIO'!B184:D24919,3,0)</f>
        <v>#N/A</v>
      </c>
      <c r="G203" s="97" t="str">
        <f>IF(Tabela4[[#This Row],[PROJETO]]="CLARO",LEFT(Tabela4[[#This Row],[SITE2]],2),IF(Tabela4[[#This Row],[PROJETO]]="VIVO",RIGHT(LEFT(Tabela4[[#This Row],[SITE2]],10),2),""))</f>
        <v/>
      </c>
      <c r="H203" s="99"/>
    </row>
    <row r="204" spans="1:8">
      <c r="A204" s="119">
        <f>'BASE FINANCEIRO'!BI239</f>
        <v>0</v>
      </c>
      <c r="B204" s="24" t="str">
        <f t="shared" si="3"/>
        <v/>
      </c>
      <c r="C204" s="24" t="s">
        <v>2453</v>
      </c>
      <c r="D204" s="24" t="e">
        <f>IF(VLOOKUP('BASE FINANCEIRO'!BC239,'COD. PROJETOS'!B:D,3,0)="VIVO",MID('BASE FINANCEIRO'!BI239,36,3),IF(VLOOKUP('BASE FINANCEIRO'!BC239,'COD. PROJETOS'!B:D,3,0),MID('BASE FINANCEIRO'!BI239,36,7),IF(VLOOKUP('BASE FINANCEIRO'!BC239,'COD. PROJETOS'!B:D,3,0),MID('BASE FINANCEIRO'!BI239,36,9),"PROJETO?")))</f>
        <v>#N/A</v>
      </c>
      <c r="E204" s="24" t="e">
        <f>VLOOKUP(D204,'BASE MUNICÍPIO'!B185:C24920,2,0)</f>
        <v>#N/A</v>
      </c>
      <c r="F204" s="98" t="e">
        <f>VLOOKUP(D204,'BASE MUNICÍPIO'!B185:D24920,3,0)</f>
        <v>#N/A</v>
      </c>
      <c r="G204" s="97" t="str">
        <f>IF(Tabela4[[#This Row],[PROJETO]]="CLARO",LEFT(Tabela4[[#This Row],[SITE2]],2),IF(Tabela4[[#This Row],[PROJETO]]="VIVO",RIGHT(LEFT(Tabela4[[#This Row],[SITE2]],10),2),""))</f>
        <v/>
      </c>
      <c r="H204" s="99"/>
    </row>
    <row r="205" spans="1:8">
      <c r="A205" s="119">
        <f>'BASE FINANCEIRO'!BI240</f>
        <v>0</v>
      </c>
      <c r="B205" s="24" t="str">
        <f t="shared" si="3"/>
        <v/>
      </c>
      <c r="C205" s="24" t="s">
        <v>2453</v>
      </c>
      <c r="D205" s="24" t="e">
        <f>IF(VLOOKUP('BASE FINANCEIRO'!BC240,'COD. PROJETOS'!B:D,3,0)="VIVO",MID('BASE FINANCEIRO'!BI240,36,3),IF(VLOOKUP('BASE FINANCEIRO'!BC240,'COD. PROJETOS'!B:D,3,0),MID('BASE FINANCEIRO'!BI240,36,7),IF(VLOOKUP('BASE FINANCEIRO'!BC240,'COD. PROJETOS'!B:D,3,0),MID('BASE FINANCEIRO'!BI240,36,9),"PROJETO?")))</f>
        <v>#N/A</v>
      </c>
      <c r="E205" s="24" t="e">
        <f>VLOOKUP(D205,'BASE MUNICÍPIO'!B186:C24921,2,0)</f>
        <v>#N/A</v>
      </c>
      <c r="F205" s="98" t="e">
        <f>VLOOKUP(D205,'BASE MUNICÍPIO'!B186:D24921,3,0)</f>
        <v>#N/A</v>
      </c>
      <c r="G205" s="97" t="str">
        <f>IF(Tabela4[[#This Row],[PROJETO]]="CLARO",LEFT(Tabela4[[#This Row],[SITE2]],2),IF(Tabela4[[#This Row],[PROJETO]]="VIVO",RIGHT(LEFT(Tabela4[[#This Row],[SITE2]],10),2),""))</f>
        <v/>
      </c>
      <c r="H205" s="99"/>
    </row>
    <row r="206" spans="1:8">
      <c r="A206" s="119">
        <f>'BASE FINANCEIRO'!BI241</f>
        <v>0</v>
      </c>
      <c r="B206" s="24" t="str">
        <f t="shared" si="3"/>
        <v/>
      </c>
      <c r="C206" s="24" t="s">
        <v>2453</v>
      </c>
      <c r="D206" s="24" t="e">
        <f>IF(VLOOKUP('BASE FINANCEIRO'!BC241,'COD. PROJETOS'!B:D,3,0)="VIVO",MID('BASE FINANCEIRO'!BI241,36,3),IF(VLOOKUP('BASE FINANCEIRO'!BC241,'COD. PROJETOS'!B:D,3,0),MID('BASE FINANCEIRO'!BI241,36,7),IF(VLOOKUP('BASE FINANCEIRO'!BC241,'COD. PROJETOS'!B:D,3,0),MID('BASE FINANCEIRO'!BI241,36,9),"PROJETO?")))</f>
        <v>#N/A</v>
      </c>
      <c r="E206" s="24" t="e">
        <f>VLOOKUP(D206,'BASE MUNICÍPIO'!B187:C24922,2,0)</f>
        <v>#N/A</v>
      </c>
      <c r="F206" s="98" t="e">
        <f>VLOOKUP(D206,'BASE MUNICÍPIO'!B187:D24922,3,0)</f>
        <v>#N/A</v>
      </c>
      <c r="G206" s="97" t="str">
        <f>IF(Tabela4[[#This Row],[PROJETO]]="CLARO",LEFT(Tabela4[[#This Row],[SITE2]],2),IF(Tabela4[[#This Row],[PROJETO]]="VIVO",RIGHT(LEFT(Tabela4[[#This Row],[SITE2]],10),2),""))</f>
        <v/>
      </c>
      <c r="H206" s="99"/>
    </row>
    <row r="207" spans="1:8">
      <c r="A207" s="119">
        <f>'BASE FINANCEIRO'!BI242</f>
        <v>0</v>
      </c>
      <c r="B207" s="24" t="str">
        <f t="shared" si="3"/>
        <v/>
      </c>
      <c r="C207" s="24" t="s">
        <v>2453</v>
      </c>
      <c r="D207" s="24" t="e">
        <f>IF(VLOOKUP('BASE FINANCEIRO'!BC242,'COD. PROJETOS'!B:D,3,0)="VIVO",MID('BASE FINANCEIRO'!BI242,36,3),IF(VLOOKUP('BASE FINANCEIRO'!BC242,'COD. PROJETOS'!B:D,3,0),MID('BASE FINANCEIRO'!BI242,36,7),IF(VLOOKUP('BASE FINANCEIRO'!BC242,'COD. PROJETOS'!B:D,3,0),MID('BASE FINANCEIRO'!BI242,36,9),"PROJETO?")))</f>
        <v>#N/A</v>
      </c>
      <c r="E207" s="24" t="e">
        <f>VLOOKUP(D207,'BASE MUNICÍPIO'!B188:C24923,2,0)</f>
        <v>#N/A</v>
      </c>
      <c r="F207" s="98" t="e">
        <f>VLOOKUP(D207,'BASE MUNICÍPIO'!B188:D24923,3,0)</f>
        <v>#N/A</v>
      </c>
      <c r="G207" s="97" t="str">
        <f>IF(Tabela4[[#This Row],[PROJETO]]="CLARO",LEFT(Tabela4[[#This Row],[SITE2]],2),IF(Tabela4[[#This Row],[PROJETO]]="VIVO",RIGHT(LEFT(Tabela4[[#This Row],[SITE2]],10),2),""))</f>
        <v/>
      </c>
      <c r="H207" s="99"/>
    </row>
    <row r="208" spans="1:8">
      <c r="A208" s="119">
        <f>'BASE FINANCEIRO'!BI243</f>
        <v>0</v>
      </c>
      <c r="B208" s="24" t="str">
        <f t="shared" si="3"/>
        <v/>
      </c>
      <c r="C208" s="24" t="s">
        <v>2453</v>
      </c>
      <c r="D208" s="24" t="e">
        <f>IF(VLOOKUP('BASE FINANCEIRO'!BC243,'COD. PROJETOS'!B:D,3,0)="VIVO",MID('BASE FINANCEIRO'!BI243,36,3),IF(VLOOKUP('BASE FINANCEIRO'!BC243,'COD. PROJETOS'!B:D,3,0),MID('BASE FINANCEIRO'!BI243,36,7),IF(VLOOKUP('BASE FINANCEIRO'!BC243,'COD. PROJETOS'!B:D,3,0),MID('BASE FINANCEIRO'!BI243,36,9),"PROJETO?")))</f>
        <v>#N/A</v>
      </c>
      <c r="E208" s="24" t="e">
        <f>VLOOKUP(D208,'BASE MUNICÍPIO'!B189:C24924,2,0)</f>
        <v>#N/A</v>
      </c>
      <c r="F208" s="98" t="e">
        <f>VLOOKUP(D208,'BASE MUNICÍPIO'!B189:D24924,3,0)</f>
        <v>#N/A</v>
      </c>
      <c r="G208" s="97" t="str">
        <f>IF(Tabela4[[#This Row],[PROJETO]]="CLARO",LEFT(Tabela4[[#This Row],[SITE2]],2),IF(Tabela4[[#This Row],[PROJETO]]="VIVO",RIGHT(LEFT(Tabela4[[#This Row],[SITE2]],10),2),""))</f>
        <v/>
      </c>
      <c r="H208" s="99"/>
    </row>
    <row r="209" spans="1:8">
      <c r="A209" s="119">
        <f>'BASE FINANCEIRO'!BI244</f>
        <v>0</v>
      </c>
      <c r="B209" s="24" t="str">
        <f t="shared" si="3"/>
        <v/>
      </c>
      <c r="C209" s="24" t="s">
        <v>2453</v>
      </c>
      <c r="D209" s="24" t="e">
        <f>IF(VLOOKUP('BASE FINANCEIRO'!BC244,'COD. PROJETOS'!B:D,3,0)="VIVO",MID('BASE FINANCEIRO'!BI244,36,3),IF(VLOOKUP('BASE FINANCEIRO'!BC244,'COD. PROJETOS'!B:D,3,0),MID('BASE FINANCEIRO'!BI244,36,7),IF(VLOOKUP('BASE FINANCEIRO'!BC244,'COD. PROJETOS'!B:D,3,0),MID('BASE FINANCEIRO'!BI244,36,9),"PROJETO?")))</f>
        <v>#N/A</v>
      </c>
      <c r="E209" s="24" t="e">
        <f>VLOOKUP(D209,'BASE MUNICÍPIO'!B190:C24925,2,0)</f>
        <v>#N/A</v>
      </c>
      <c r="F209" s="98" t="e">
        <f>VLOOKUP(D209,'BASE MUNICÍPIO'!B190:D24925,3,0)</f>
        <v>#N/A</v>
      </c>
      <c r="G209" s="97" t="str">
        <f>IF(Tabela4[[#This Row],[PROJETO]]="CLARO",LEFT(Tabela4[[#This Row],[SITE2]],2),IF(Tabela4[[#This Row],[PROJETO]]="VIVO",RIGHT(LEFT(Tabela4[[#This Row],[SITE2]],10),2),""))</f>
        <v/>
      </c>
      <c r="H209" s="99"/>
    </row>
    <row r="210" spans="1:8">
      <c r="A210" s="119">
        <f>'BASE FINANCEIRO'!BI245</f>
        <v>0</v>
      </c>
      <c r="B210" s="24" t="str">
        <f t="shared" si="3"/>
        <v/>
      </c>
      <c r="C210" s="24" t="s">
        <v>2453</v>
      </c>
      <c r="D210" s="24" t="e">
        <f>IF(VLOOKUP('BASE FINANCEIRO'!BC245,'COD. PROJETOS'!B:D,3,0)="VIVO",MID('BASE FINANCEIRO'!BI245,36,3),IF(VLOOKUP('BASE FINANCEIRO'!BC245,'COD. PROJETOS'!B:D,3,0),MID('BASE FINANCEIRO'!BI245,36,7),IF(VLOOKUP('BASE FINANCEIRO'!BC245,'COD. PROJETOS'!B:D,3,0),MID('BASE FINANCEIRO'!BI245,36,9),"PROJETO?")))</f>
        <v>#N/A</v>
      </c>
      <c r="E210" s="24" t="e">
        <f>VLOOKUP(D210,'BASE MUNICÍPIO'!B191:C24926,2,0)</f>
        <v>#N/A</v>
      </c>
      <c r="F210" s="98" t="e">
        <f>VLOOKUP(D210,'BASE MUNICÍPIO'!B191:D24926,3,0)</f>
        <v>#N/A</v>
      </c>
      <c r="G210" s="97" t="str">
        <f>IF(Tabela4[[#This Row],[PROJETO]]="CLARO",LEFT(Tabela4[[#This Row],[SITE2]],2),IF(Tabela4[[#This Row],[PROJETO]]="VIVO",RIGHT(LEFT(Tabela4[[#This Row],[SITE2]],10),2),""))</f>
        <v/>
      </c>
      <c r="H210" s="99"/>
    </row>
    <row r="211" spans="1:8">
      <c r="A211" s="119">
        <f>'BASE FINANCEIRO'!BI246</f>
        <v>0</v>
      </c>
      <c r="B211" s="24" t="str">
        <f t="shared" si="3"/>
        <v/>
      </c>
      <c r="C211" s="24" t="s">
        <v>2453</v>
      </c>
      <c r="D211" s="24" t="e">
        <f>IF(VLOOKUP('BASE FINANCEIRO'!BC246,'COD. PROJETOS'!B:D,3,0)="VIVO",MID('BASE FINANCEIRO'!BI246,36,3),IF(VLOOKUP('BASE FINANCEIRO'!BC246,'COD. PROJETOS'!B:D,3,0),MID('BASE FINANCEIRO'!BI246,36,7),IF(VLOOKUP('BASE FINANCEIRO'!BC246,'COD. PROJETOS'!B:D,3,0),MID('BASE FINANCEIRO'!BI246,36,9),"PROJETO?")))</f>
        <v>#N/A</v>
      </c>
      <c r="E211" s="24" t="e">
        <f>VLOOKUP(D211,'BASE MUNICÍPIO'!B192:C24927,2,0)</f>
        <v>#N/A</v>
      </c>
      <c r="F211" s="98" t="e">
        <f>VLOOKUP(D211,'BASE MUNICÍPIO'!B192:D24927,3,0)</f>
        <v>#N/A</v>
      </c>
      <c r="G211" s="97" t="str">
        <f>IF(Tabela4[[#This Row],[PROJETO]]="CLARO",LEFT(Tabela4[[#This Row],[SITE2]],2),IF(Tabela4[[#This Row],[PROJETO]]="VIVO",RIGHT(LEFT(Tabela4[[#This Row],[SITE2]],10),2),""))</f>
        <v/>
      </c>
      <c r="H211" s="99"/>
    </row>
    <row r="212" spans="1:8">
      <c r="A212" s="119">
        <f>'BASE FINANCEIRO'!BI247</f>
        <v>0</v>
      </c>
      <c r="B212" s="24" t="str">
        <f t="shared" si="3"/>
        <v/>
      </c>
      <c r="C212" s="24" t="s">
        <v>2453</v>
      </c>
      <c r="D212" s="24" t="e">
        <f>IF(VLOOKUP('BASE FINANCEIRO'!BC247,'COD. PROJETOS'!B:D,3,0)="VIVO",MID('BASE FINANCEIRO'!BI247,36,3),IF(VLOOKUP('BASE FINANCEIRO'!BC247,'COD. PROJETOS'!B:D,3,0),MID('BASE FINANCEIRO'!BI247,36,7),IF(VLOOKUP('BASE FINANCEIRO'!BC247,'COD. PROJETOS'!B:D,3,0),MID('BASE FINANCEIRO'!BI247,36,9),"PROJETO?")))</f>
        <v>#N/A</v>
      </c>
      <c r="E212" s="24" t="e">
        <f>VLOOKUP(D212,'BASE MUNICÍPIO'!B193:C24928,2,0)</f>
        <v>#N/A</v>
      </c>
      <c r="F212" s="98" t="e">
        <f>VLOOKUP(D212,'BASE MUNICÍPIO'!B193:D24928,3,0)</f>
        <v>#N/A</v>
      </c>
      <c r="G212" s="97" t="str">
        <f>IF(Tabela4[[#This Row],[PROJETO]]="CLARO",LEFT(Tabela4[[#This Row],[SITE2]],2),IF(Tabela4[[#This Row],[PROJETO]]="VIVO",RIGHT(LEFT(Tabela4[[#This Row],[SITE2]],10),2),""))</f>
        <v/>
      </c>
      <c r="H212" s="99"/>
    </row>
    <row r="213" spans="1:8">
      <c r="A213" s="119">
        <f>'BASE FINANCEIRO'!BI248</f>
        <v>0</v>
      </c>
      <c r="B213" s="24" t="str">
        <f t="shared" si="3"/>
        <v/>
      </c>
      <c r="C213" s="24" t="s">
        <v>2453</v>
      </c>
      <c r="D213" s="24" t="e">
        <f>IF(VLOOKUP('BASE FINANCEIRO'!BC248,'COD. PROJETOS'!B:D,3,0)="VIVO",MID('BASE FINANCEIRO'!BI248,36,3),IF(VLOOKUP('BASE FINANCEIRO'!BC248,'COD. PROJETOS'!B:D,3,0),MID('BASE FINANCEIRO'!BI248,36,7),IF(VLOOKUP('BASE FINANCEIRO'!BC248,'COD. PROJETOS'!B:D,3,0),MID('BASE FINANCEIRO'!BI248,36,9),"PROJETO?")))</f>
        <v>#N/A</v>
      </c>
      <c r="E213" s="24" t="e">
        <f>VLOOKUP(D213,'BASE MUNICÍPIO'!B194:C24929,2,0)</f>
        <v>#N/A</v>
      </c>
      <c r="F213" s="98" t="e">
        <f>VLOOKUP(D213,'BASE MUNICÍPIO'!B194:D24929,3,0)</f>
        <v>#N/A</v>
      </c>
      <c r="G213" s="97" t="str">
        <f>IF(Tabela4[[#This Row],[PROJETO]]="CLARO",LEFT(Tabela4[[#This Row],[SITE2]],2),IF(Tabela4[[#This Row],[PROJETO]]="VIVO",RIGHT(LEFT(Tabela4[[#This Row],[SITE2]],10),2),""))</f>
        <v/>
      </c>
      <c r="H213" s="99"/>
    </row>
    <row r="214" spans="1:8">
      <c r="A214" s="119">
        <f>'BASE FINANCEIRO'!BI249</f>
        <v>0</v>
      </c>
      <c r="B214" s="24" t="str">
        <f t="shared" si="3"/>
        <v/>
      </c>
      <c r="C214" s="24" t="s">
        <v>2453</v>
      </c>
      <c r="D214" s="24" t="e">
        <f>IF(VLOOKUP('BASE FINANCEIRO'!BC249,'COD. PROJETOS'!B:D,3,0)="VIVO",MID('BASE FINANCEIRO'!BI249,36,3),IF(VLOOKUP('BASE FINANCEIRO'!BC249,'COD. PROJETOS'!B:D,3,0),MID('BASE FINANCEIRO'!BI249,36,7),IF(VLOOKUP('BASE FINANCEIRO'!BC249,'COD. PROJETOS'!B:D,3,0),MID('BASE FINANCEIRO'!BI249,36,9),"PROJETO?")))</f>
        <v>#N/A</v>
      </c>
      <c r="E214" s="24" t="e">
        <f>VLOOKUP(D214,'BASE MUNICÍPIO'!B195:C24930,2,0)</f>
        <v>#N/A</v>
      </c>
      <c r="F214" s="98" t="e">
        <f>VLOOKUP(D214,'BASE MUNICÍPIO'!B195:D24930,3,0)</f>
        <v>#N/A</v>
      </c>
      <c r="G214" s="97" t="str">
        <f>IF(Tabela4[[#This Row],[PROJETO]]="CLARO",LEFT(Tabela4[[#This Row],[SITE2]],2),IF(Tabela4[[#This Row],[PROJETO]]="VIVO",RIGHT(LEFT(Tabela4[[#This Row],[SITE2]],10),2),""))</f>
        <v/>
      </c>
      <c r="H214" s="99"/>
    </row>
    <row r="215" spans="1:8">
      <c r="A215" s="119">
        <f>'BASE FINANCEIRO'!BI250</f>
        <v>0</v>
      </c>
      <c r="B215" s="24" t="str">
        <f t="shared" si="3"/>
        <v/>
      </c>
      <c r="C215" s="24" t="s">
        <v>2453</v>
      </c>
      <c r="D215" s="24" t="e">
        <f>IF(VLOOKUP('BASE FINANCEIRO'!BC250,'COD. PROJETOS'!B:D,3,0)="VIVO",MID('BASE FINANCEIRO'!BI250,36,3),IF(VLOOKUP('BASE FINANCEIRO'!BC250,'COD. PROJETOS'!B:D,3,0),MID('BASE FINANCEIRO'!BI250,36,7),IF(VLOOKUP('BASE FINANCEIRO'!BC250,'COD. PROJETOS'!B:D,3,0),MID('BASE FINANCEIRO'!BI250,36,9),"PROJETO?")))</f>
        <v>#N/A</v>
      </c>
      <c r="E215" s="24" t="e">
        <f>VLOOKUP(D215,'BASE MUNICÍPIO'!B196:C24931,2,0)</f>
        <v>#N/A</v>
      </c>
      <c r="F215" s="98" t="e">
        <f>VLOOKUP(D215,'BASE MUNICÍPIO'!B196:D24931,3,0)</f>
        <v>#N/A</v>
      </c>
      <c r="G215" s="97" t="str">
        <f>IF(Tabela4[[#This Row],[PROJETO]]="CLARO",LEFT(Tabela4[[#This Row],[SITE2]],2),IF(Tabela4[[#This Row],[PROJETO]]="VIVO",RIGHT(LEFT(Tabela4[[#This Row],[SITE2]],10),2),""))</f>
        <v/>
      </c>
      <c r="H215" s="99"/>
    </row>
    <row r="216" spans="1:8">
      <c r="A216" s="119">
        <f>'BASE FINANCEIRO'!BI251</f>
        <v>0</v>
      </c>
      <c r="B216" s="24" t="str">
        <f t="shared" si="3"/>
        <v/>
      </c>
      <c r="C216" s="24" t="s">
        <v>2453</v>
      </c>
      <c r="D216" s="24" t="e">
        <f>IF(VLOOKUP('BASE FINANCEIRO'!BC251,'COD. PROJETOS'!B:D,3,0)="VIVO",MID('BASE FINANCEIRO'!BI251,36,3),IF(VLOOKUP('BASE FINANCEIRO'!BC251,'COD. PROJETOS'!B:D,3,0),MID('BASE FINANCEIRO'!BI251,36,7),IF(VLOOKUP('BASE FINANCEIRO'!BC251,'COD. PROJETOS'!B:D,3,0),MID('BASE FINANCEIRO'!BI251,36,9),"PROJETO?")))</f>
        <v>#N/A</v>
      </c>
      <c r="E216" s="24" t="e">
        <f>VLOOKUP(D216,'BASE MUNICÍPIO'!B197:C24932,2,0)</f>
        <v>#N/A</v>
      </c>
      <c r="F216" s="98" t="e">
        <f>VLOOKUP(D216,'BASE MUNICÍPIO'!B197:D24932,3,0)</f>
        <v>#N/A</v>
      </c>
      <c r="G216" s="97" t="str">
        <f>IF(Tabela4[[#This Row],[PROJETO]]="CLARO",LEFT(Tabela4[[#This Row],[SITE2]],2),IF(Tabela4[[#This Row],[PROJETO]]="VIVO",RIGHT(LEFT(Tabela4[[#This Row],[SITE2]],10),2),""))</f>
        <v/>
      </c>
      <c r="H216" s="99"/>
    </row>
    <row r="217" spans="1:8">
      <c r="A217" s="119">
        <f>'BASE FINANCEIRO'!BI252</f>
        <v>0</v>
      </c>
      <c r="B217" s="24" t="str">
        <f t="shared" si="3"/>
        <v/>
      </c>
      <c r="C217" s="24" t="s">
        <v>2453</v>
      </c>
      <c r="D217" s="24" t="e">
        <f>IF(VLOOKUP('BASE FINANCEIRO'!BC252,'COD. PROJETOS'!B:D,3,0)="VIVO",MID('BASE FINANCEIRO'!BI252,36,3),IF(VLOOKUP('BASE FINANCEIRO'!BC252,'COD. PROJETOS'!B:D,3,0),MID('BASE FINANCEIRO'!BI252,36,7),IF(VLOOKUP('BASE FINANCEIRO'!BC252,'COD. PROJETOS'!B:D,3,0),MID('BASE FINANCEIRO'!BI252,36,9),"PROJETO?")))</f>
        <v>#N/A</v>
      </c>
      <c r="E217" s="24" t="e">
        <f>VLOOKUP(D217,'BASE MUNICÍPIO'!B198:C24933,2,0)</f>
        <v>#N/A</v>
      </c>
      <c r="F217" s="98" t="e">
        <f>VLOOKUP(D217,'BASE MUNICÍPIO'!B198:D24933,3,0)</f>
        <v>#N/A</v>
      </c>
      <c r="G217" s="97" t="str">
        <f>IF(Tabela4[[#This Row],[PROJETO]]="CLARO",LEFT(Tabela4[[#This Row],[SITE2]],2),IF(Tabela4[[#This Row],[PROJETO]]="VIVO",RIGHT(LEFT(Tabela4[[#This Row],[SITE2]],10),2),""))</f>
        <v/>
      </c>
      <c r="H217" s="99"/>
    </row>
    <row r="218" spans="1:8">
      <c r="A218" s="119">
        <f>'BASE FINANCEIRO'!BI253</f>
        <v>0</v>
      </c>
      <c r="B218" s="24" t="str">
        <f t="shared" si="3"/>
        <v/>
      </c>
      <c r="C218" s="24" t="s">
        <v>2453</v>
      </c>
      <c r="D218" s="24" t="e">
        <f>IF(VLOOKUP('BASE FINANCEIRO'!BC253,'COD. PROJETOS'!B:D,3,0)="VIVO",MID('BASE FINANCEIRO'!BI253,36,3),IF(VLOOKUP('BASE FINANCEIRO'!BC253,'COD. PROJETOS'!B:D,3,0),MID('BASE FINANCEIRO'!BI253,36,7),IF(VLOOKUP('BASE FINANCEIRO'!BC253,'COD. PROJETOS'!B:D,3,0),MID('BASE FINANCEIRO'!BI253,36,9),"PROJETO?")))</f>
        <v>#N/A</v>
      </c>
      <c r="E218" s="24" t="e">
        <f>VLOOKUP(D218,'BASE MUNICÍPIO'!B199:C24934,2,0)</f>
        <v>#N/A</v>
      </c>
      <c r="F218" s="98" t="e">
        <f>VLOOKUP(D218,'BASE MUNICÍPIO'!B199:D24934,3,0)</f>
        <v>#N/A</v>
      </c>
      <c r="G218" s="97" t="str">
        <f>IF(Tabela4[[#This Row],[PROJETO]]="CLARO",LEFT(Tabela4[[#This Row],[SITE2]],2),IF(Tabela4[[#This Row],[PROJETO]]="VIVO",RIGHT(LEFT(Tabela4[[#This Row],[SITE2]],10),2),""))</f>
        <v/>
      </c>
      <c r="H218" s="99"/>
    </row>
    <row r="219" spans="1:8">
      <c r="A219" s="119">
        <f>'BASE FINANCEIRO'!BI254</f>
        <v>0</v>
      </c>
      <c r="B219" s="24" t="str">
        <f t="shared" si="3"/>
        <v/>
      </c>
      <c r="C219" s="24" t="s">
        <v>2453</v>
      </c>
      <c r="D219" s="24" t="e">
        <f>IF(VLOOKUP('BASE FINANCEIRO'!BC254,'COD. PROJETOS'!B:D,3,0)="VIVO",MID('BASE FINANCEIRO'!BI254,36,3),IF(VLOOKUP('BASE FINANCEIRO'!BC254,'COD. PROJETOS'!B:D,3,0),MID('BASE FINANCEIRO'!BI254,36,7),IF(VLOOKUP('BASE FINANCEIRO'!BC254,'COD. PROJETOS'!B:D,3,0),MID('BASE FINANCEIRO'!BI254,36,9),"PROJETO?")))</f>
        <v>#N/A</v>
      </c>
      <c r="E219" s="24" t="e">
        <f>VLOOKUP(D219,'BASE MUNICÍPIO'!B200:C24935,2,0)</f>
        <v>#N/A</v>
      </c>
      <c r="F219" s="98" t="e">
        <f>VLOOKUP(D219,'BASE MUNICÍPIO'!B200:D24935,3,0)</f>
        <v>#N/A</v>
      </c>
      <c r="G219" s="97" t="str">
        <f>IF(Tabela4[[#This Row],[PROJETO]]="CLARO",LEFT(Tabela4[[#This Row],[SITE2]],2),IF(Tabela4[[#This Row],[PROJETO]]="VIVO",RIGHT(LEFT(Tabela4[[#This Row],[SITE2]],10),2),""))</f>
        <v/>
      </c>
      <c r="H219" s="99"/>
    </row>
    <row r="220" spans="1:8">
      <c r="A220" s="119">
        <f>'BASE FINANCEIRO'!BI255</f>
        <v>0</v>
      </c>
      <c r="B220" s="24" t="str">
        <f t="shared" si="3"/>
        <v/>
      </c>
      <c r="C220" s="24" t="s">
        <v>2453</v>
      </c>
      <c r="D220" s="24" t="e">
        <f>IF(VLOOKUP('BASE FINANCEIRO'!BC255,'COD. PROJETOS'!B:D,3,0)="VIVO",MID('BASE FINANCEIRO'!BI255,36,3),IF(VLOOKUP('BASE FINANCEIRO'!BC255,'COD. PROJETOS'!B:D,3,0),MID('BASE FINANCEIRO'!BI255,36,7),IF(VLOOKUP('BASE FINANCEIRO'!BC255,'COD. PROJETOS'!B:D,3,0),MID('BASE FINANCEIRO'!BI255,36,9),"PROJETO?")))</f>
        <v>#N/A</v>
      </c>
      <c r="E220" s="24" t="e">
        <f>VLOOKUP(D220,'BASE MUNICÍPIO'!B201:C24936,2,0)</f>
        <v>#N/A</v>
      </c>
      <c r="F220" s="98" t="e">
        <f>VLOOKUP(D220,'BASE MUNICÍPIO'!B201:D24936,3,0)</f>
        <v>#N/A</v>
      </c>
      <c r="G220" s="97" t="str">
        <f>IF(Tabela4[[#This Row],[PROJETO]]="CLARO",LEFT(Tabela4[[#This Row],[SITE2]],2),IF(Tabela4[[#This Row],[PROJETO]]="VIVO",RIGHT(LEFT(Tabela4[[#This Row],[SITE2]],10),2),""))</f>
        <v/>
      </c>
      <c r="H220" s="99"/>
    </row>
    <row r="221" spans="1:8">
      <c r="A221" s="119">
        <f>'BASE FINANCEIRO'!BI256</f>
        <v>0</v>
      </c>
      <c r="B221" s="24" t="str">
        <f t="shared" si="3"/>
        <v/>
      </c>
      <c r="C221" s="24" t="s">
        <v>2453</v>
      </c>
      <c r="D221" s="24" t="e">
        <f>IF(VLOOKUP('BASE FINANCEIRO'!BC256,'COD. PROJETOS'!B:D,3,0)="VIVO",MID('BASE FINANCEIRO'!BI256,36,3),IF(VLOOKUP('BASE FINANCEIRO'!BC256,'COD. PROJETOS'!B:D,3,0),MID('BASE FINANCEIRO'!BI256,36,7),IF(VLOOKUP('BASE FINANCEIRO'!BC256,'COD. PROJETOS'!B:D,3,0),MID('BASE FINANCEIRO'!BI256,36,9),"PROJETO?")))</f>
        <v>#N/A</v>
      </c>
      <c r="E221" s="24" t="e">
        <f>VLOOKUP(D221,'BASE MUNICÍPIO'!B202:C24937,2,0)</f>
        <v>#N/A</v>
      </c>
      <c r="F221" s="98" t="e">
        <f>VLOOKUP(D221,'BASE MUNICÍPIO'!B202:D24937,3,0)</f>
        <v>#N/A</v>
      </c>
      <c r="G221" s="97" t="str">
        <f>IF(Tabela4[[#This Row],[PROJETO]]="CLARO",LEFT(Tabela4[[#This Row],[SITE2]],2),IF(Tabela4[[#This Row],[PROJETO]]="VIVO",RIGHT(LEFT(Tabela4[[#This Row],[SITE2]],10),2),""))</f>
        <v/>
      </c>
      <c r="H221" s="99"/>
    </row>
    <row r="222" spans="1:8">
      <c r="A222" s="119">
        <f>'BASE FINANCEIRO'!BI257</f>
        <v>0</v>
      </c>
      <c r="B222" s="24" t="str">
        <f t="shared" si="3"/>
        <v/>
      </c>
      <c r="C222" s="24" t="s">
        <v>2453</v>
      </c>
      <c r="D222" s="24" t="e">
        <f>IF(VLOOKUP('BASE FINANCEIRO'!BC257,'COD. PROJETOS'!B:D,3,0)="VIVO",MID('BASE FINANCEIRO'!BI257,36,3),IF(VLOOKUP('BASE FINANCEIRO'!BC257,'COD. PROJETOS'!B:D,3,0),MID('BASE FINANCEIRO'!BI257,36,7),IF(VLOOKUP('BASE FINANCEIRO'!BC257,'COD. PROJETOS'!B:D,3,0),MID('BASE FINANCEIRO'!BI257,36,9),"PROJETO?")))</f>
        <v>#N/A</v>
      </c>
      <c r="E222" s="24" t="e">
        <f>VLOOKUP(D222,'BASE MUNICÍPIO'!B203:C24938,2,0)</f>
        <v>#N/A</v>
      </c>
      <c r="F222" s="98" t="e">
        <f>VLOOKUP(D222,'BASE MUNICÍPIO'!B203:D24938,3,0)</f>
        <v>#N/A</v>
      </c>
      <c r="G222" s="97" t="str">
        <f>IF(Tabela4[[#This Row],[PROJETO]]="CLARO",LEFT(Tabela4[[#This Row],[SITE2]],2),IF(Tabela4[[#This Row],[PROJETO]]="VIVO",RIGHT(LEFT(Tabela4[[#This Row],[SITE2]],10),2),""))</f>
        <v/>
      </c>
      <c r="H222" s="99"/>
    </row>
    <row r="223" spans="1:8">
      <c r="A223" s="119">
        <f>'BASE FINANCEIRO'!BI258</f>
        <v>0</v>
      </c>
      <c r="B223" s="24" t="str">
        <f t="shared" si="3"/>
        <v/>
      </c>
      <c r="C223" s="24" t="s">
        <v>2453</v>
      </c>
      <c r="D223" s="24" t="e">
        <f>IF(VLOOKUP('BASE FINANCEIRO'!BC258,'COD. PROJETOS'!B:D,3,0)="VIVO",MID('BASE FINANCEIRO'!BI258,36,3),IF(VLOOKUP('BASE FINANCEIRO'!BC258,'COD. PROJETOS'!B:D,3,0),MID('BASE FINANCEIRO'!BI258,36,7),IF(VLOOKUP('BASE FINANCEIRO'!BC258,'COD. PROJETOS'!B:D,3,0),MID('BASE FINANCEIRO'!BI258,36,9),"PROJETO?")))</f>
        <v>#N/A</v>
      </c>
      <c r="E223" s="24" t="e">
        <f>VLOOKUP(D223,'BASE MUNICÍPIO'!B204:C24939,2,0)</f>
        <v>#N/A</v>
      </c>
      <c r="F223" s="98" t="e">
        <f>VLOOKUP(D223,'BASE MUNICÍPIO'!B204:D24939,3,0)</f>
        <v>#N/A</v>
      </c>
      <c r="G223" s="97" t="str">
        <f>IF(Tabela4[[#This Row],[PROJETO]]="CLARO",LEFT(Tabela4[[#This Row],[SITE2]],2),IF(Tabela4[[#This Row],[PROJETO]]="VIVO",RIGHT(LEFT(Tabela4[[#This Row],[SITE2]],10),2),""))</f>
        <v/>
      </c>
      <c r="H223" s="99"/>
    </row>
    <row r="224" spans="1:8">
      <c r="A224" s="119">
        <f>'BASE FINANCEIRO'!BI259</f>
        <v>0</v>
      </c>
      <c r="B224" s="24" t="str">
        <f t="shared" si="3"/>
        <v/>
      </c>
      <c r="C224" s="24" t="s">
        <v>2453</v>
      </c>
      <c r="D224" s="24" t="e">
        <f>IF(VLOOKUP('BASE FINANCEIRO'!BC259,'COD. PROJETOS'!B:D,3,0)="VIVO",MID('BASE FINANCEIRO'!BI259,36,3),IF(VLOOKUP('BASE FINANCEIRO'!BC259,'COD. PROJETOS'!B:D,3,0),MID('BASE FINANCEIRO'!BI259,36,7),IF(VLOOKUP('BASE FINANCEIRO'!BC259,'COD. PROJETOS'!B:D,3,0),MID('BASE FINANCEIRO'!BI259,36,9),"PROJETO?")))</f>
        <v>#N/A</v>
      </c>
      <c r="E224" s="24" t="e">
        <f>VLOOKUP(D224,'BASE MUNICÍPIO'!B205:C24940,2,0)</f>
        <v>#N/A</v>
      </c>
      <c r="F224" s="98" t="e">
        <f>VLOOKUP(D224,'BASE MUNICÍPIO'!B205:D24940,3,0)</f>
        <v>#N/A</v>
      </c>
      <c r="G224" s="97" t="str">
        <f>IF(Tabela4[[#This Row],[PROJETO]]="CLARO",LEFT(Tabela4[[#This Row],[SITE2]],2),IF(Tabela4[[#This Row],[PROJETO]]="VIVO",RIGHT(LEFT(Tabela4[[#This Row],[SITE2]],10),2),""))</f>
        <v/>
      </c>
      <c r="H224" s="99"/>
    </row>
    <row r="225" spans="1:8">
      <c r="A225" s="119">
        <f>'BASE FINANCEIRO'!BI260</f>
        <v>0</v>
      </c>
      <c r="B225" s="24" t="str">
        <f t="shared" si="3"/>
        <v/>
      </c>
      <c r="C225" s="24" t="s">
        <v>2453</v>
      </c>
      <c r="D225" s="24" t="e">
        <f>IF(VLOOKUP('BASE FINANCEIRO'!BC260,'COD. PROJETOS'!B:D,3,0)="VIVO",MID('BASE FINANCEIRO'!BI260,36,3),IF(VLOOKUP('BASE FINANCEIRO'!BC260,'COD. PROJETOS'!B:D,3,0),MID('BASE FINANCEIRO'!BI260,36,7),IF(VLOOKUP('BASE FINANCEIRO'!BC260,'COD. PROJETOS'!B:D,3,0),MID('BASE FINANCEIRO'!BI260,36,9),"PROJETO?")))</f>
        <v>#N/A</v>
      </c>
      <c r="E225" s="24" t="e">
        <f>VLOOKUP(D225,'BASE MUNICÍPIO'!B206:C24941,2,0)</f>
        <v>#N/A</v>
      </c>
      <c r="F225" s="98" t="e">
        <f>VLOOKUP(D225,'BASE MUNICÍPIO'!B206:D24941,3,0)</f>
        <v>#N/A</v>
      </c>
      <c r="G225" s="97" t="str">
        <f>IF(Tabela4[[#This Row],[PROJETO]]="CLARO",LEFT(Tabela4[[#This Row],[SITE2]],2),IF(Tabela4[[#This Row],[PROJETO]]="VIVO",RIGHT(LEFT(Tabela4[[#This Row],[SITE2]],10),2),""))</f>
        <v/>
      </c>
      <c r="H225" s="99"/>
    </row>
    <row r="226" spans="1:8">
      <c r="A226" s="119">
        <f>'BASE FINANCEIRO'!BI261</f>
        <v>0</v>
      </c>
      <c r="B226" s="24" t="str">
        <f t="shared" si="3"/>
        <v/>
      </c>
      <c r="C226" s="24" t="s">
        <v>2453</v>
      </c>
      <c r="D226" s="24" t="e">
        <f>IF(VLOOKUP('BASE FINANCEIRO'!BC261,'COD. PROJETOS'!B:D,3,0)="VIVO",MID('BASE FINANCEIRO'!BI261,36,3),IF(VLOOKUP('BASE FINANCEIRO'!BC261,'COD. PROJETOS'!B:D,3,0),MID('BASE FINANCEIRO'!BI261,36,7),IF(VLOOKUP('BASE FINANCEIRO'!BC261,'COD. PROJETOS'!B:D,3,0),MID('BASE FINANCEIRO'!BI261,36,9),"PROJETO?")))</f>
        <v>#N/A</v>
      </c>
      <c r="E226" s="24" t="e">
        <f>VLOOKUP(D226,'BASE MUNICÍPIO'!B207:C24942,2,0)</f>
        <v>#N/A</v>
      </c>
      <c r="F226" s="98" t="e">
        <f>VLOOKUP(D226,'BASE MUNICÍPIO'!B207:D24942,3,0)</f>
        <v>#N/A</v>
      </c>
      <c r="G226" s="97" t="str">
        <f>IF(Tabela4[[#This Row],[PROJETO]]="CLARO",LEFT(Tabela4[[#This Row],[SITE2]],2),IF(Tabela4[[#This Row],[PROJETO]]="VIVO",RIGHT(LEFT(Tabela4[[#This Row],[SITE2]],10),2),""))</f>
        <v/>
      </c>
      <c r="H226" s="99"/>
    </row>
    <row r="227" spans="1:8">
      <c r="A227" s="119">
        <f>'BASE FINANCEIRO'!BI262</f>
        <v>0</v>
      </c>
      <c r="B227" s="24" t="str">
        <f t="shared" si="3"/>
        <v/>
      </c>
      <c r="C227" s="24" t="s">
        <v>2453</v>
      </c>
      <c r="D227" s="24" t="e">
        <f>IF(VLOOKUP('BASE FINANCEIRO'!BC262,'COD. PROJETOS'!B:D,3,0)="VIVO",MID('BASE FINANCEIRO'!BI262,36,3),IF(VLOOKUP('BASE FINANCEIRO'!BC262,'COD. PROJETOS'!B:D,3,0),MID('BASE FINANCEIRO'!BI262,36,7),IF(VLOOKUP('BASE FINANCEIRO'!BC262,'COD. PROJETOS'!B:D,3,0),MID('BASE FINANCEIRO'!BI262,36,9),"PROJETO?")))</f>
        <v>#N/A</v>
      </c>
      <c r="E227" s="24" t="e">
        <f>VLOOKUP(D227,'BASE MUNICÍPIO'!B208:C24943,2,0)</f>
        <v>#N/A</v>
      </c>
      <c r="F227" s="98" t="e">
        <f>VLOOKUP(D227,'BASE MUNICÍPIO'!B208:D24943,3,0)</f>
        <v>#N/A</v>
      </c>
      <c r="G227" s="97" t="str">
        <f>IF(Tabela4[[#This Row],[PROJETO]]="CLARO",LEFT(Tabela4[[#This Row],[SITE2]],2),IF(Tabela4[[#This Row],[PROJETO]]="VIVO",RIGHT(LEFT(Tabela4[[#This Row],[SITE2]],10),2),""))</f>
        <v/>
      </c>
      <c r="H227" s="99"/>
    </row>
    <row r="228" spans="1:8">
      <c r="A228" s="119">
        <f>'BASE FINANCEIRO'!BI263</f>
        <v>0</v>
      </c>
      <c r="B228" s="24" t="str">
        <f t="shared" si="3"/>
        <v/>
      </c>
      <c r="C228" s="24" t="s">
        <v>2453</v>
      </c>
      <c r="D228" s="24" t="e">
        <f>IF(VLOOKUP('BASE FINANCEIRO'!BC263,'COD. PROJETOS'!B:D,3,0)="VIVO",MID('BASE FINANCEIRO'!BI263,36,3),IF(VLOOKUP('BASE FINANCEIRO'!BC263,'COD. PROJETOS'!B:D,3,0),MID('BASE FINANCEIRO'!BI263,36,7),IF(VLOOKUP('BASE FINANCEIRO'!BC263,'COD. PROJETOS'!B:D,3,0),MID('BASE FINANCEIRO'!BI263,36,9),"PROJETO?")))</f>
        <v>#N/A</v>
      </c>
      <c r="E228" s="24" t="e">
        <f>VLOOKUP(D228,'BASE MUNICÍPIO'!B209:C24944,2,0)</f>
        <v>#N/A</v>
      </c>
      <c r="F228" s="98" t="e">
        <f>VLOOKUP(D228,'BASE MUNICÍPIO'!B209:D24944,3,0)</f>
        <v>#N/A</v>
      </c>
      <c r="G228" s="97" t="str">
        <f>IF(Tabela4[[#This Row],[PROJETO]]="CLARO",LEFT(Tabela4[[#This Row],[SITE2]],2),IF(Tabela4[[#This Row],[PROJETO]]="VIVO",RIGHT(LEFT(Tabela4[[#This Row],[SITE2]],10),2),""))</f>
        <v/>
      </c>
      <c r="H228" s="99"/>
    </row>
    <row r="229" spans="1:8">
      <c r="A229" s="119">
        <f>'BASE FINANCEIRO'!BI264</f>
        <v>0</v>
      </c>
      <c r="B229" s="24" t="str">
        <f t="shared" si="3"/>
        <v/>
      </c>
      <c r="C229" s="24" t="s">
        <v>2453</v>
      </c>
      <c r="D229" s="24" t="e">
        <f>IF(VLOOKUP('BASE FINANCEIRO'!BC264,'COD. PROJETOS'!B:D,3,0)="VIVO",MID('BASE FINANCEIRO'!BI264,36,3),IF(VLOOKUP('BASE FINANCEIRO'!BC264,'COD. PROJETOS'!B:D,3,0),MID('BASE FINANCEIRO'!BI264,36,7),IF(VLOOKUP('BASE FINANCEIRO'!BC264,'COD. PROJETOS'!B:D,3,0),MID('BASE FINANCEIRO'!BI264,36,9),"PROJETO?")))</f>
        <v>#N/A</v>
      </c>
      <c r="E229" s="24" t="e">
        <f>VLOOKUP(D229,'BASE MUNICÍPIO'!B210:C24945,2,0)</f>
        <v>#N/A</v>
      </c>
      <c r="F229" s="98" t="e">
        <f>VLOOKUP(D229,'BASE MUNICÍPIO'!B210:D24945,3,0)</f>
        <v>#N/A</v>
      </c>
      <c r="G229" s="97" t="str">
        <f>IF(Tabela4[[#This Row],[PROJETO]]="CLARO",LEFT(Tabela4[[#This Row],[SITE2]],2),IF(Tabela4[[#This Row],[PROJETO]]="VIVO",RIGHT(LEFT(Tabela4[[#This Row],[SITE2]],10),2),""))</f>
        <v/>
      </c>
      <c r="H229" s="99"/>
    </row>
    <row r="230" spans="1:8">
      <c r="A230" s="119">
        <f>'BASE FINANCEIRO'!BI265</f>
        <v>0</v>
      </c>
      <c r="B230" s="24" t="str">
        <f t="shared" si="3"/>
        <v/>
      </c>
      <c r="C230" s="24" t="s">
        <v>2453</v>
      </c>
      <c r="D230" s="24" t="e">
        <f>IF(VLOOKUP('BASE FINANCEIRO'!BC265,'COD. PROJETOS'!B:D,3,0)="VIVO",MID('BASE FINANCEIRO'!BI265,36,3),IF(VLOOKUP('BASE FINANCEIRO'!BC265,'COD. PROJETOS'!B:D,3,0),MID('BASE FINANCEIRO'!BI265,36,7),IF(VLOOKUP('BASE FINANCEIRO'!BC265,'COD. PROJETOS'!B:D,3,0),MID('BASE FINANCEIRO'!BI265,36,9),"PROJETO?")))</f>
        <v>#N/A</v>
      </c>
      <c r="E230" s="24" t="e">
        <f>VLOOKUP(D230,'BASE MUNICÍPIO'!B211:C24946,2,0)</f>
        <v>#N/A</v>
      </c>
      <c r="F230" s="98" t="e">
        <f>VLOOKUP(D230,'BASE MUNICÍPIO'!B211:D24946,3,0)</f>
        <v>#N/A</v>
      </c>
      <c r="G230" s="97" t="str">
        <f>IF(Tabela4[[#This Row],[PROJETO]]="CLARO",LEFT(Tabela4[[#This Row],[SITE2]],2),IF(Tabela4[[#This Row],[PROJETO]]="VIVO",RIGHT(LEFT(Tabela4[[#This Row],[SITE2]],10),2),""))</f>
        <v/>
      </c>
      <c r="H230" s="99"/>
    </row>
    <row r="231" spans="1:8">
      <c r="A231" s="119">
        <f>'BASE FINANCEIRO'!BI266</f>
        <v>0</v>
      </c>
      <c r="B231" s="24" t="str">
        <f t="shared" si="3"/>
        <v/>
      </c>
      <c r="C231" s="24" t="s">
        <v>2453</v>
      </c>
      <c r="D231" s="24" t="e">
        <f>IF(VLOOKUP('BASE FINANCEIRO'!BC266,'COD. PROJETOS'!B:D,3,0)="VIVO",MID('BASE FINANCEIRO'!BI266,36,3),IF(VLOOKUP('BASE FINANCEIRO'!BC266,'COD. PROJETOS'!B:D,3,0),MID('BASE FINANCEIRO'!BI266,36,7),IF(VLOOKUP('BASE FINANCEIRO'!BC266,'COD. PROJETOS'!B:D,3,0),MID('BASE FINANCEIRO'!BI266,36,9),"PROJETO?")))</f>
        <v>#N/A</v>
      </c>
      <c r="E231" s="24" t="e">
        <f>VLOOKUP(D231,'BASE MUNICÍPIO'!B212:C24947,2,0)</f>
        <v>#N/A</v>
      </c>
      <c r="F231" s="98" t="e">
        <f>VLOOKUP(D231,'BASE MUNICÍPIO'!B212:D24947,3,0)</f>
        <v>#N/A</v>
      </c>
      <c r="G231" s="97" t="str">
        <f>IF(Tabela4[[#This Row],[PROJETO]]="CLARO",LEFT(Tabela4[[#This Row],[SITE2]],2),IF(Tabela4[[#This Row],[PROJETO]]="VIVO",RIGHT(LEFT(Tabela4[[#This Row],[SITE2]],10),2),""))</f>
        <v/>
      </c>
      <c r="H231" s="99"/>
    </row>
    <row r="232" spans="1:8">
      <c r="A232" s="119">
        <f>'BASE FINANCEIRO'!BI267</f>
        <v>0</v>
      </c>
      <c r="B232" s="24" t="str">
        <f t="shared" si="3"/>
        <v/>
      </c>
      <c r="C232" s="24" t="s">
        <v>2453</v>
      </c>
      <c r="D232" s="24" t="e">
        <f>IF(VLOOKUP('BASE FINANCEIRO'!BC267,'COD. PROJETOS'!B:D,3,0)="VIVO",MID('BASE FINANCEIRO'!BI267,36,3),IF(VLOOKUP('BASE FINANCEIRO'!BC267,'COD. PROJETOS'!B:D,3,0),MID('BASE FINANCEIRO'!BI267,36,7),IF(VLOOKUP('BASE FINANCEIRO'!BC267,'COD. PROJETOS'!B:D,3,0),MID('BASE FINANCEIRO'!BI267,36,9),"PROJETO?")))</f>
        <v>#N/A</v>
      </c>
      <c r="E232" s="24" t="e">
        <f>VLOOKUP(D232,'BASE MUNICÍPIO'!B213:C24948,2,0)</f>
        <v>#N/A</v>
      </c>
      <c r="F232" s="98" t="e">
        <f>VLOOKUP(D232,'BASE MUNICÍPIO'!B213:D24948,3,0)</f>
        <v>#N/A</v>
      </c>
      <c r="G232" s="97" t="str">
        <f>IF(Tabela4[[#This Row],[PROJETO]]="CLARO",LEFT(Tabela4[[#This Row],[SITE2]],2),IF(Tabela4[[#This Row],[PROJETO]]="VIVO",RIGHT(LEFT(Tabela4[[#This Row],[SITE2]],10),2),""))</f>
        <v/>
      </c>
      <c r="H232" s="99"/>
    </row>
    <row r="233" spans="1:8">
      <c r="A233" s="119">
        <f>'BASE FINANCEIRO'!BI268</f>
        <v>0</v>
      </c>
      <c r="B233" s="24" t="str">
        <f t="shared" si="3"/>
        <v/>
      </c>
      <c r="C233" s="24" t="s">
        <v>2453</v>
      </c>
      <c r="D233" s="24" t="e">
        <f>IF(VLOOKUP('BASE FINANCEIRO'!BC268,'COD. PROJETOS'!B:D,3,0)="VIVO",MID('BASE FINANCEIRO'!BI268,36,3),IF(VLOOKUP('BASE FINANCEIRO'!BC268,'COD. PROJETOS'!B:D,3,0),MID('BASE FINANCEIRO'!BI268,36,7),IF(VLOOKUP('BASE FINANCEIRO'!BC268,'COD. PROJETOS'!B:D,3,0),MID('BASE FINANCEIRO'!BI268,36,9),"PROJETO?")))</f>
        <v>#N/A</v>
      </c>
      <c r="E233" s="24" t="e">
        <f>VLOOKUP(D233,'BASE MUNICÍPIO'!B214:C24949,2,0)</f>
        <v>#N/A</v>
      </c>
      <c r="F233" s="98" t="e">
        <f>VLOOKUP(D233,'BASE MUNICÍPIO'!B214:D24949,3,0)</f>
        <v>#N/A</v>
      </c>
      <c r="G233" s="97" t="str">
        <f>IF(Tabela4[[#This Row],[PROJETO]]="CLARO",LEFT(Tabela4[[#This Row],[SITE2]],2),IF(Tabela4[[#This Row],[PROJETO]]="VIVO",RIGHT(LEFT(Tabela4[[#This Row],[SITE2]],10),2),""))</f>
        <v/>
      </c>
      <c r="H233" s="99"/>
    </row>
    <row r="234" spans="1:8">
      <c r="A234" s="119">
        <f>'BASE FINANCEIRO'!BI269</f>
        <v>0</v>
      </c>
      <c r="B234" s="24" t="str">
        <f t="shared" si="3"/>
        <v/>
      </c>
      <c r="C234" s="24" t="s">
        <v>2453</v>
      </c>
      <c r="D234" s="24" t="e">
        <f>IF(VLOOKUP('BASE FINANCEIRO'!BC269,'COD. PROJETOS'!B:D,3,0)="VIVO",MID('BASE FINANCEIRO'!BI269,36,3),IF(VLOOKUP('BASE FINANCEIRO'!BC269,'COD. PROJETOS'!B:D,3,0),MID('BASE FINANCEIRO'!BI269,36,7),IF(VLOOKUP('BASE FINANCEIRO'!BC269,'COD. PROJETOS'!B:D,3,0),MID('BASE FINANCEIRO'!BI269,36,9),"PROJETO?")))</f>
        <v>#N/A</v>
      </c>
      <c r="E234" s="24" t="e">
        <f>VLOOKUP(D234,'BASE MUNICÍPIO'!B215:C24950,2,0)</f>
        <v>#N/A</v>
      </c>
      <c r="F234" s="98" t="e">
        <f>VLOOKUP(D234,'BASE MUNICÍPIO'!B215:D24950,3,0)</f>
        <v>#N/A</v>
      </c>
      <c r="G234" s="97" t="str">
        <f>IF(Tabela4[[#This Row],[PROJETO]]="CLARO",LEFT(Tabela4[[#This Row],[SITE2]],2),IF(Tabela4[[#This Row],[PROJETO]]="VIVO",RIGHT(LEFT(Tabela4[[#This Row],[SITE2]],10),2),""))</f>
        <v/>
      </c>
      <c r="H234" s="99"/>
    </row>
    <row r="235" spans="1:8">
      <c r="A235" s="119">
        <f>'BASE FINANCEIRO'!BI270</f>
        <v>0</v>
      </c>
      <c r="B235" s="24" t="str">
        <f t="shared" si="3"/>
        <v/>
      </c>
      <c r="C235" s="24" t="s">
        <v>2453</v>
      </c>
      <c r="D235" s="24" t="e">
        <f>IF(VLOOKUP('BASE FINANCEIRO'!BC270,'COD. PROJETOS'!B:D,3,0)="VIVO",MID('BASE FINANCEIRO'!BI270,36,3),IF(VLOOKUP('BASE FINANCEIRO'!BC270,'COD. PROJETOS'!B:D,3,0),MID('BASE FINANCEIRO'!BI270,36,7),IF(VLOOKUP('BASE FINANCEIRO'!BC270,'COD. PROJETOS'!B:D,3,0),MID('BASE FINANCEIRO'!BI270,36,9),"PROJETO?")))</f>
        <v>#N/A</v>
      </c>
      <c r="E235" s="24" t="e">
        <f>VLOOKUP(D235,'BASE MUNICÍPIO'!B216:C24951,2,0)</f>
        <v>#N/A</v>
      </c>
      <c r="F235" s="98" t="e">
        <f>VLOOKUP(D235,'BASE MUNICÍPIO'!B216:D24951,3,0)</f>
        <v>#N/A</v>
      </c>
      <c r="G235" s="97" t="str">
        <f>IF(Tabela4[[#This Row],[PROJETO]]="CLARO",LEFT(Tabela4[[#This Row],[SITE2]],2),IF(Tabela4[[#This Row],[PROJETO]]="VIVO",RIGHT(LEFT(Tabela4[[#This Row],[SITE2]],10),2),""))</f>
        <v/>
      </c>
      <c r="H235" s="99"/>
    </row>
    <row r="236" spans="1:8">
      <c r="A236" s="119">
        <f>'BASE FINANCEIRO'!BI271</f>
        <v>0</v>
      </c>
      <c r="B236" s="24" t="str">
        <f t="shared" si="3"/>
        <v/>
      </c>
      <c r="C236" s="24" t="s">
        <v>2453</v>
      </c>
      <c r="D236" s="24" t="e">
        <f>IF(VLOOKUP('BASE FINANCEIRO'!BC271,'COD. PROJETOS'!B:D,3,0)="VIVO",MID('BASE FINANCEIRO'!BI271,36,3),IF(VLOOKUP('BASE FINANCEIRO'!BC271,'COD. PROJETOS'!B:D,3,0),MID('BASE FINANCEIRO'!BI271,36,7),IF(VLOOKUP('BASE FINANCEIRO'!BC271,'COD. PROJETOS'!B:D,3,0),MID('BASE FINANCEIRO'!BI271,36,9),"PROJETO?")))</f>
        <v>#N/A</v>
      </c>
      <c r="E236" s="24" t="e">
        <f>VLOOKUP(D236,'BASE MUNICÍPIO'!B217:C24952,2,0)</f>
        <v>#N/A</v>
      </c>
      <c r="F236" s="98" t="e">
        <f>VLOOKUP(D236,'BASE MUNICÍPIO'!B217:D24952,3,0)</f>
        <v>#N/A</v>
      </c>
      <c r="G236" s="97" t="str">
        <f>IF(Tabela4[[#This Row],[PROJETO]]="CLARO",LEFT(Tabela4[[#This Row],[SITE2]],2),IF(Tabela4[[#This Row],[PROJETO]]="VIVO",RIGHT(LEFT(Tabela4[[#This Row],[SITE2]],10),2),""))</f>
        <v/>
      </c>
      <c r="H236" s="99"/>
    </row>
    <row r="237" spans="1:8">
      <c r="A237" s="119">
        <f>'BASE FINANCEIRO'!BI272</f>
        <v>0</v>
      </c>
      <c r="B237" s="24" t="str">
        <f t="shared" si="3"/>
        <v/>
      </c>
      <c r="C237" s="24" t="s">
        <v>2453</v>
      </c>
      <c r="D237" s="24" t="e">
        <f>IF(VLOOKUP('BASE FINANCEIRO'!BC272,'COD. PROJETOS'!B:D,3,0)="VIVO",MID('BASE FINANCEIRO'!BI272,36,3),IF(VLOOKUP('BASE FINANCEIRO'!BC272,'COD. PROJETOS'!B:D,3,0),MID('BASE FINANCEIRO'!BI272,36,7),IF(VLOOKUP('BASE FINANCEIRO'!BC272,'COD. PROJETOS'!B:D,3,0),MID('BASE FINANCEIRO'!BI272,36,9),"PROJETO?")))</f>
        <v>#N/A</v>
      </c>
      <c r="E237" s="24" t="e">
        <f>VLOOKUP(D237,'BASE MUNICÍPIO'!B218:C24953,2,0)</f>
        <v>#N/A</v>
      </c>
      <c r="F237" s="98" t="e">
        <f>VLOOKUP(D237,'BASE MUNICÍPIO'!B218:D24953,3,0)</f>
        <v>#N/A</v>
      </c>
      <c r="G237" s="97" t="str">
        <f>IF(Tabela4[[#This Row],[PROJETO]]="CLARO",LEFT(Tabela4[[#This Row],[SITE2]],2),IF(Tabela4[[#This Row],[PROJETO]]="VIVO",RIGHT(LEFT(Tabela4[[#This Row],[SITE2]],10),2),""))</f>
        <v/>
      </c>
      <c r="H237" s="99"/>
    </row>
    <row r="238" spans="1:8">
      <c r="A238" s="119">
        <f>'BASE FINANCEIRO'!BI273</f>
        <v>0</v>
      </c>
      <c r="B238" s="24" t="str">
        <f t="shared" si="3"/>
        <v/>
      </c>
      <c r="C238" s="24" t="s">
        <v>2453</v>
      </c>
      <c r="D238" s="24" t="e">
        <f>IF(VLOOKUP('BASE FINANCEIRO'!BC273,'COD. PROJETOS'!B:D,3,0)="VIVO",MID('BASE FINANCEIRO'!BI273,36,3),IF(VLOOKUP('BASE FINANCEIRO'!BC273,'COD. PROJETOS'!B:D,3,0),MID('BASE FINANCEIRO'!BI273,36,7),IF(VLOOKUP('BASE FINANCEIRO'!BC273,'COD. PROJETOS'!B:D,3,0),MID('BASE FINANCEIRO'!BI273,36,9),"PROJETO?")))</f>
        <v>#N/A</v>
      </c>
      <c r="E238" s="24" t="e">
        <f>VLOOKUP(D238,'BASE MUNICÍPIO'!B219:C24954,2,0)</f>
        <v>#N/A</v>
      </c>
      <c r="F238" s="98" t="e">
        <f>VLOOKUP(D238,'BASE MUNICÍPIO'!B219:D24954,3,0)</f>
        <v>#N/A</v>
      </c>
      <c r="G238" s="97" t="str">
        <f>IF(Tabela4[[#This Row],[PROJETO]]="CLARO",LEFT(Tabela4[[#This Row],[SITE2]],2),IF(Tabela4[[#This Row],[PROJETO]]="VIVO",RIGHT(LEFT(Tabela4[[#This Row],[SITE2]],10),2),""))</f>
        <v/>
      </c>
      <c r="H238" s="99"/>
    </row>
    <row r="239" spans="1:8">
      <c r="A239" s="119">
        <f>'BASE FINANCEIRO'!BI274</f>
        <v>0</v>
      </c>
      <c r="B239" s="24" t="str">
        <f t="shared" si="3"/>
        <v/>
      </c>
      <c r="C239" s="24" t="s">
        <v>2453</v>
      </c>
      <c r="D239" s="24" t="e">
        <f>IF(VLOOKUP('BASE FINANCEIRO'!BC274,'COD. PROJETOS'!B:D,3,0)="VIVO",MID('BASE FINANCEIRO'!BI274,36,3),IF(VLOOKUP('BASE FINANCEIRO'!BC274,'COD. PROJETOS'!B:D,3,0),MID('BASE FINANCEIRO'!BI274,36,7),IF(VLOOKUP('BASE FINANCEIRO'!BC274,'COD. PROJETOS'!B:D,3,0),MID('BASE FINANCEIRO'!BI274,36,9),"PROJETO?")))</f>
        <v>#N/A</v>
      </c>
      <c r="E239" s="24" t="e">
        <f>VLOOKUP(D239,'BASE MUNICÍPIO'!B220:C24955,2,0)</f>
        <v>#N/A</v>
      </c>
      <c r="F239" s="98" t="e">
        <f>VLOOKUP(D239,'BASE MUNICÍPIO'!B220:D24955,3,0)</f>
        <v>#N/A</v>
      </c>
      <c r="G239" s="97" t="str">
        <f>IF(Tabela4[[#This Row],[PROJETO]]="CLARO",LEFT(Tabela4[[#This Row],[SITE2]],2),IF(Tabela4[[#This Row],[PROJETO]]="VIVO",RIGHT(LEFT(Tabela4[[#This Row],[SITE2]],10),2),""))</f>
        <v/>
      </c>
      <c r="H239" s="99"/>
    </row>
    <row r="240" spans="1:8">
      <c r="A240" s="119">
        <f>'BASE FINANCEIRO'!BI275</f>
        <v>0</v>
      </c>
      <c r="B240" s="24" t="str">
        <f t="shared" si="3"/>
        <v/>
      </c>
      <c r="C240" s="24" t="s">
        <v>2453</v>
      </c>
      <c r="D240" s="24" t="e">
        <f>IF(VLOOKUP('BASE FINANCEIRO'!BC275,'COD. PROJETOS'!B:D,3,0)="VIVO",MID('BASE FINANCEIRO'!BI275,36,3),IF(VLOOKUP('BASE FINANCEIRO'!BC275,'COD. PROJETOS'!B:D,3,0),MID('BASE FINANCEIRO'!BI275,36,7),IF(VLOOKUP('BASE FINANCEIRO'!BC275,'COD. PROJETOS'!B:D,3,0),MID('BASE FINANCEIRO'!BI275,36,9),"PROJETO?")))</f>
        <v>#N/A</v>
      </c>
      <c r="E240" s="24" t="e">
        <f>VLOOKUP(D240,'BASE MUNICÍPIO'!B221:C24956,2,0)</f>
        <v>#N/A</v>
      </c>
      <c r="F240" s="98" t="e">
        <f>VLOOKUP(D240,'BASE MUNICÍPIO'!B221:D24956,3,0)</f>
        <v>#N/A</v>
      </c>
      <c r="G240" s="97" t="str">
        <f>IF(Tabela4[[#This Row],[PROJETO]]="CLARO",LEFT(Tabela4[[#This Row],[SITE2]],2),IF(Tabela4[[#This Row],[PROJETO]]="VIVO",RIGHT(LEFT(Tabela4[[#This Row],[SITE2]],10),2),""))</f>
        <v/>
      </c>
      <c r="H240" s="99"/>
    </row>
    <row r="241" spans="1:8">
      <c r="A241" s="119">
        <f>'BASE FINANCEIRO'!BI276</f>
        <v>0</v>
      </c>
      <c r="B241" s="24" t="str">
        <f t="shared" si="3"/>
        <v/>
      </c>
      <c r="C241" s="24" t="s">
        <v>2453</v>
      </c>
      <c r="D241" s="24" t="e">
        <f>IF(VLOOKUP('BASE FINANCEIRO'!BC276,'COD. PROJETOS'!B:D,3,0)="VIVO",MID('BASE FINANCEIRO'!BI276,36,3),IF(VLOOKUP('BASE FINANCEIRO'!BC276,'COD. PROJETOS'!B:D,3,0),MID('BASE FINANCEIRO'!BI276,36,7),IF(VLOOKUP('BASE FINANCEIRO'!BC276,'COD. PROJETOS'!B:D,3,0),MID('BASE FINANCEIRO'!BI276,36,9),"PROJETO?")))</f>
        <v>#N/A</v>
      </c>
      <c r="E241" s="24" t="e">
        <f>VLOOKUP(D241,'BASE MUNICÍPIO'!B222:C24957,2,0)</f>
        <v>#N/A</v>
      </c>
      <c r="F241" s="98" t="e">
        <f>VLOOKUP(D241,'BASE MUNICÍPIO'!B222:D24957,3,0)</f>
        <v>#N/A</v>
      </c>
      <c r="G241" s="97" t="str">
        <f>IF(Tabela4[[#This Row],[PROJETO]]="CLARO",LEFT(Tabela4[[#This Row],[SITE2]],2),IF(Tabela4[[#This Row],[PROJETO]]="VIVO",RIGHT(LEFT(Tabela4[[#This Row],[SITE2]],10),2),""))</f>
        <v/>
      </c>
      <c r="H241" s="99"/>
    </row>
    <row r="242" spans="1:8">
      <c r="A242" s="119">
        <f>'BASE FINANCEIRO'!BI277</f>
        <v>0</v>
      </c>
      <c r="B242" s="24" t="str">
        <f t="shared" si="3"/>
        <v/>
      </c>
      <c r="C242" s="24" t="s">
        <v>2453</v>
      </c>
      <c r="D242" s="24" t="e">
        <f>IF(VLOOKUP('BASE FINANCEIRO'!BC277,'COD. PROJETOS'!B:D,3,0)="VIVO",MID('BASE FINANCEIRO'!BI277,36,3),IF(VLOOKUP('BASE FINANCEIRO'!BC277,'COD. PROJETOS'!B:D,3,0),MID('BASE FINANCEIRO'!BI277,36,7),IF(VLOOKUP('BASE FINANCEIRO'!BC277,'COD. PROJETOS'!B:D,3,0),MID('BASE FINANCEIRO'!BI277,36,9),"PROJETO?")))</f>
        <v>#N/A</v>
      </c>
      <c r="E242" s="24" t="e">
        <f>VLOOKUP(D242,'BASE MUNICÍPIO'!B223:C24958,2,0)</f>
        <v>#N/A</v>
      </c>
      <c r="F242" s="98" t="e">
        <f>VLOOKUP(D242,'BASE MUNICÍPIO'!B223:D24958,3,0)</f>
        <v>#N/A</v>
      </c>
      <c r="G242" s="97" t="str">
        <f>IF(Tabela4[[#This Row],[PROJETO]]="CLARO",LEFT(Tabela4[[#This Row],[SITE2]],2),IF(Tabela4[[#This Row],[PROJETO]]="VIVO",RIGHT(LEFT(Tabela4[[#This Row],[SITE2]],10),2),""))</f>
        <v/>
      </c>
      <c r="H242" s="99"/>
    </row>
    <row r="243" spans="1:8">
      <c r="A243" s="119">
        <f>'BASE FINANCEIRO'!BI278</f>
        <v>0</v>
      </c>
      <c r="B243" s="24" t="str">
        <f t="shared" si="3"/>
        <v/>
      </c>
      <c r="C243" s="24" t="s">
        <v>2453</v>
      </c>
      <c r="D243" s="24" t="e">
        <f>IF(VLOOKUP('BASE FINANCEIRO'!BC278,'COD. PROJETOS'!B:D,3,0)="VIVO",MID('BASE FINANCEIRO'!BI278,36,3),IF(VLOOKUP('BASE FINANCEIRO'!BC278,'COD. PROJETOS'!B:D,3,0),MID('BASE FINANCEIRO'!BI278,36,7),IF(VLOOKUP('BASE FINANCEIRO'!BC278,'COD. PROJETOS'!B:D,3,0),MID('BASE FINANCEIRO'!BI278,36,9),"PROJETO?")))</f>
        <v>#N/A</v>
      </c>
      <c r="E243" s="24" t="e">
        <f>VLOOKUP(D243,'BASE MUNICÍPIO'!B224:C24959,2,0)</f>
        <v>#N/A</v>
      </c>
      <c r="F243" s="98" t="e">
        <f>VLOOKUP(D243,'BASE MUNICÍPIO'!B224:D24959,3,0)</f>
        <v>#N/A</v>
      </c>
      <c r="G243" s="97" t="str">
        <f>IF(Tabela4[[#This Row],[PROJETO]]="CLARO",LEFT(Tabela4[[#This Row],[SITE2]],2),IF(Tabela4[[#This Row],[PROJETO]]="VIVO",RIGHT(LEFT(Tabela4[[#This Row],[SITE2]],10),2),""))</f>
        <v/>
      </c>
      <c r="H243" s="99"/>
    </row>
    <row r="244" spans="1:8">
      <c r="A244" s="119">
        <f>'BASE FINANCEIRO'!BI279</f>
        <v>0</v>
      </c>
      <c r="B244" s="24" t="str">
        <f t="shared" si="3"/>
        <v/>
      </c>
      <c r="C244" s="24" t="s">
        <v>2453</v>
      </c>
      <c r="D244" s="24" t="e">
        <f>IF(VLOOKUP('BASE FINANCEIRO'!BC279,'COD. PROJETOS'!B:D,3,0)="VIVO",MID('BASE FINANCEIRO'!BI279,36,3),IF(VLOOKUP('BASE FINANCEIRO'!BC279,'COD. PROJETOS'!B:D,3,0),MID('BASE FINANCEIRO'!BI279,36,7),IF(VLOOKUP('BASE FINANCEIRO'!BC279,'COD. PROJETOS'!B:D,3,0),MID('BASE FINANCEIRO'!BI279,36,9),"PROJETO?")))</f>
        <v>#N/A</v>
      </c>
      <c r="E244" s="24" t="e">
        <f>VLOOKUP(D244,'BASE MUNICÍPIO'!B225:C24960,2,0)</f>
        <v>#N/A</v>
      </c>
      <c r="F244" s="98" t="e">
        <f>VLOOKUP(D244,'BASE MUNICÍPIO'!B225:D24960,3,0)</f>
        <v>#N/A</v>
      </c>
      <c r="G244" s="97" t="str">
        <f>IF(Tabela4[[#This Row],[PROJETO]]="CLARO",LEFT(Tabela4[[#This Row],[SITE2]],2),IF(Tabela4[[#This Row],[PROJETO]]="VIVO",RIGHT(LEFT(Tabela4[[#This Row],[SITE2]],10),2),""))</f>
        <v/>
      </c>
      <c r="H244" s="99"/>
    </row>
    <row r="245" spans="1:8">
      <c r="A245" s="119">
        <f>'BASE FINANCEIRO'!BI280</f>
        <v>0</v>
      </c>
      <c r="B245" s="24" t="str">
        <f t="shared" si="3"/>
        <v/>
      </c>
      <c r="C245" s="24" t="s">
        <v>2453</v>
      </c>
      <c r="D245" s="24" t="e">
        <f>IF(VLOOKUP('BASE FINANCEIRO'!BC280,'COD. PROJETOS'!B:D,3,0)="VIVO",MID('BASE FINANCEIRO'!BI280,36,3),IF(VLOOKUP('BASE FINANCEIRO'!BC280,'COD. PROJETOS'!B:D,3,0),MID('BASE FINANCEIRO'!BI280,36,7),IF(VLOOKUP('BASE FINANCEIRO'!BC280,'COD. PROJETOS'!B:D,3,0),MID('BASE FINANCEIRO'!BI280,36,9),"PROJETO?")))</f>
        <v>#N/A</v>
      </c>
      <c r="E245" s="24" t="e">
        <f>VLOOKUP(D245,'BASE MUNICÍPIO'!B226:C24961,2,0)</f>
        <v>#N/A</v>
      </c>
      <c r="F245" s="98" t="e">
        <f>VLOOKUP(D245,'BASE MUNICÍPIO'!B226:D24961,3,0)</f>
        <v>#N/A</v>
      </c>
      <c r="G245" s="97" t="str">
        <f>IF(Tabela4[[#This Row],[PROJETO]]="CLARO",LEFT(Tabela4[[#This Row],[SITE2]],2),IF(Tabela4[[#This Row],[PROJETO]]="VIVO",RIGHT(LEFT(Tabela4[[#This Row],[SITE2]],10),2),""))</f>
        <v/>
      </c>
      <c r="H245" s="99"/>
    </row>
    <row r="246" spans="1:8">
      <c r="A246" s="119">
        <f>'BASE FINANCEIRO'!BI281</f>
        <v>0</v>
      </c>
      <c r="B246" s="24" t="str">
        <f t="shared" si="3"/>
        <v/>
      </c>
      <c r="C246" s="24" t="s">
        <v>2453</v>
      </c>
      <c r="D246" s="24" t="e">
        <f>IF(VLOOKUP('BASE FINANCEIRO'!BC281,'COD. PROJETOS'!B:D,3,0)="VIVO",MID('BASE FINANCEIRO'!BI281,36,3),IF(VLOOKUP('BASE FINANCEIRO'!BC281,'COD. PROJETOS'!B:D,3,0),MID('BASE FINANCEIRO'!BI281,36,7),IF(VLOOKUP('BASE FINANCEIRO'!BC281,'COD. PROJETOS'!B:D,3,0),MID('BASE FINANCEIRO'!BI281,36,9),"PROJETO?")))</f>
        <v>#N/A</v>
      </c>
      <c r="E246" s="24" t="e">
        <f>VLOOKUP(D246,'BASE MUNICÍPIO'!B227:C24962,2,0)</f>
        <v>#N/A</v>
      </c>
      <c r="F246" s="98" t="e">
        <f>VLOOKUP(D246,'BASE MUNICÍPIO'!B227:D24962,3,0)</f>
        <v>#N/A</v>
      </c>
      <c r="G246" s="97" t="str">
        <f>IF(Tabela4[[#This Row],[PROJETO]]="CLARO",LEFT(Tabela4[[#This Row],[SITE2]],2),IF(Tabela4[[#This Row],[PROJETO]]="VIVO",RIGHT(LEFT(Tabela4[[#This Row],[SITE2]],10),2),""))</f>
        <v/>
      </c>
      <c r="H246" s="99"/>
    </row>
    <row r="247" spans="1:8">
      <c r="A247" s="119">
        <f>'BASE FINANCEIRO'!BI282</f>
        <v>0</v>
      </c>
      <c r="B247" s="24" t="str">
        <f t="shared" si="3"/>
        <v/>
      </c>
      <c r="C247" s="24" t="s">
        <v>2453</v>
      </c>
      <c r="D247" s="24" t="e">
        <f>IF(VLOOKUP('BASE FINANCEIRO'!BC282,'COD. PROJETOS'!B:D,3,0)="VIVO",MID('BASE FINANCEIRO'!BI282,36,3),IF(VLOOKUP('BASE FINANCEIRO'!BC282,'COD. PROJETOS'!B:D,3,0),MID('BASE FINANCEIRO'!BI282,36,7),IF(VLOOKUP('BASE FINANCEIRO'!BC282,'COD. PROJETOS'!B:D,3,0),MID('BASE FINANCEIRO'!BI282,36,9),"PROJETO?")))</f>
        <v>#N/A</v>
      </c>
      <c r="E247" s="24" t="e">
        <f>VLOOKUP(D247,'BASE MUNICÍPIO'!B228:C24963,2,0)</f>
        <v>#N/A</v>
      </c>
      <c r="F247" s="98" t="e">
        <f>VLOOKUP(D247,'BASE MUNICÍPIO'!B228:D24963,3,0)</f>
        <v>#N/A</v>
      </c>
      <c r="G247" s="97" t="str">
        <f>IF(Tabela4[[#This Row],[PROJETO]]="CLARO",LEFT(Tabela4[[#This Row],[SITE2]],2),IF(Tabela4[[#This Row],[PROJETO]]="VIVO",RIGHT(LEFT(Tabela4[[#This Row],[SITE2]],10),2),""))</f>
        <v/>
      </c>
      <c r="H247" s="99"/>
    </row>
    <row r="248" spans="1:8">
      <c r="A248" s="119">
        <f>'BASE FINANCEIRO'!BI283</f>
        <v>0</v>
      </c>
      <c r="B248" s="24" t="str">
        <f t="shared" si="3"/>
        <v/>
      </c>
      <c r="C248" s="24" t="s">
        <v>2453</v>
      </c>
      <c r="D248" s="24" t="e">
        <f>IF(VLOOKUP('BASE FINANCEIRO'!BC283,'COD. PROJETOS'!B:D,3,0)="VIVO",MID('BASE FINANCEIRO'!BI283,36,3),IF(VLOOKUP('BASE FINANCEIRO'!BC283,'COD. PROJETOS'!B:D,3,0),MID('BASE FINANCEIRO'!BI283,36,7),IF(VLOOKUP('BASE FINANCEIRO'!BC283,'COD. PROJETOS'!B:D,3,0),MID('BASE FINANCEIRO'!BI283,36,9),"PROJETO?")))</f>
        <v>#N/A</v>
      </c>
      <c r="E248" s="24" t="e">
        <f>VLOOKUP(D248,'BASE MUNICÍPIO'!B229:C24964,2,0)</f>
        <v>#N/A</v>
      </c>
      <c r="F248" s="98" t="e">
        <f>VLOOKUP(D248,'BASE MUNICÍPIO'!B229:D24964,3,0)</f>
        <v>#N/A</v>
      </c>
      <c r="G248" s="97" t="str">
        <f>IF(Tabela4[[#This Row],[PROJETO]]="CLARO",LEFT(Tabela4[[#This Row],[SITE2]],2),IF(Tabela4[[#This Row],[PROJETO]]="VIVO",RIGHT(LEFT(Tabela4[[#This Row],[SITE2]],10),2),""))</f>
        <v/>
      </c>
      <c r="H248" s="99"/>
    </row>
    <row r="249" spans="1:8">
      <c r="A249" s="119">
        <f>'BASE FINANCEIRO'!BI284</f>
        <v>0</v>
      </c>
      <c r="B249" s="24" t="str">
        <f t="shared" si="3"/>
        <v/>
      </c>
      <c r="C249" s="24" t="s">
        <v>2453</v>
      </c>
      <c r="D249" s="24" t="e">
        <f>IF(VLOOKUP('BASE FINANCEIRO'!BC284,'COD. PROJETOS'!B:D,3,0)="VIVO",MID('BASE FINANCEIRO'!BI284,36,3),IF(VLOOKUP('BASE FINANCEIRO'!BC284,'COD. PROJETOS'!B:D,3,0),MID('BASE FINANCEIRO'!BI284,36,7),IF(VLOOKUP('BASE FINANCEIRO'!BC284,'COD. PROJETOS'!B:D,3,0),MID('BASE FINANCEIRO'!BI284,36,9),"PROJETO?")))</f>
        <v>#N/A</v>
      </c>
      <c r="E249" s="24" t="e">
        <f>VLOOKUP(D249,'BASE MUNICÍPIO'!B230:C24965,2,0)</f>
        <v>#N/A</v>
      </c>
      <c r="F249" s="98" t="e">
        <f>VLOOKUP(D249,'BASE MUNICÍPIO'!B230:D24965,3,0)</f>
        <v>#N/A</v>
      </c>
      <c r="G249" s="97" t="str">
        <f>IF(Tabela4[[#This Row],[PROJETO]]="CLARO",LEFT(Tabela4[[#This Row],[SITE2]],2),IF(Tabela4[[#This Row],[PROJETO]]="VIVO",RIGHT(LEFT(Tabela4[[#This Row],[SITE2]],10),2),""))</f>
        <v/>
      </c>
      <c r="H249" s="99"/>
    </row>
    <row r="250" spans="1:8">
      <c r="A250" s="119">
        <f>'BASE FINANCEIRO'!BI285</f>
        <v>0</v>
      </c>
      <c r="B250" s="24" t="str">
        <f t="shared" si="3"/>
        <v/>
      </c>
      <c r="C250" s="24" t="s">
        <v>2453</v>
      </c>
      <c r="D250" s="24" t="e">
        <f>IF(VLOOKUP('BASE FINANCEIRO'!BC285,'COD. PROJETOS'!B:D,3,0)="VIVO",MID('BASE FINANCEIRO'!BI285,36,3),IF(VLOOKUP('BASE FINANCEIRO'!BC285,'COD. PROJETOS'!B:D,3,0),MID('BASE FINANCEIRO'!BI285,36,7),IF(VLOOKUP('BASE FINANCEIRO'!BC285,'COD. PROJETOS'!B:D,3,0),MID('BASE FINANCEIRO'!BI285,36,9),"PROJETO?")))</f>
        <v>#N/A</v>
      </c>
      <c r="E250" s="24" t="e">
        <f>VLOOKUP(D250,'BASE MUNICÍPIO'!B231:C24966,2,0)</f>
        <v>#N/A</v>
      </c>
      <c r="F250" s="98" t="e">
        <f>VLOOKUP(D250,'BASE MUNICÍPIO'!B231:D24966,3,0)</f>
        <v>#N/A</v>
      </c>
      <c r="G250" s="97" t="str">
        <f>IF(Tabela4[[#This Row],[PROJETO]]="CLARO",LEFT(Tabela4[[#This Row],[SITE2]],2),IF(Tabela4[[#This Row],[PROJETO]]="VIVO",RIGHT(LEFT(Tabela4[[#This Row],[SITE2]],10),2),""))</f>
        <v/>
      </c>
      <c r="H250" s="99"/>
    </row>
    <row r="251" spans="1:8">
      <c r="A251" s="119">
        <f>'BASE FINANCEIRO'!BI286</f>
        <v>0</v>
      </c>
      <c r="B251" s="24" t="str">
        <f t="shared" si="3"/>
        <v/>
      </c>
      <c r="C251" s="24" t="s">
        <v>2453</v>
      </c>
      <c r="D251" s="24" t="e">
        <f>IF(VLOOKUP('BASE FINANCEIRO'!BC286,'COD. PROJETOS'!B:D,3,0)="VIVO",MID('BASE FINANCEIRO'!BI286,36,3),IF(VLOOKUP('BASE FINANCEIRO'!BC286,'COD. PROJETOS'!B:D,3,0),MID('BASE FINANCEIRO'!BI286,36,7),IF(VLOOKUP('BASE FINANCEIRO'!BC286,'COD. PROJETOS'!B:D,3,0),MID('BASE FINANCEIRO'!BI286,36,9),"PROJETO?")))</f>
        <v>#N/A</v>
      </c>
      <c r="E251" s="24" t="e">
        <f>VLOOKUP(D251,'BASE MUNICÍPIO'!B232:C24967,2,0)</f>
        <v>#N/A</v>
      </c>
      <c r="F251" s="98" t="e">
        <f>VLOOKUP(D251,'BASE MUNICÍPIO'!B232:D24967,3,0)</f>
        <v>#N/A</v>
      </c>
      <c r="G251" s="97" t="str">
        <f>IF(Tabela4[[#This Row],[PROJETO]]="CLARO",LEFT(Tabela4[[#This Row],[SITE2]],2),IF(Tabela4[[#This Row],[PROJETO]]="VIVO",RIGHT(LEFT(Tabela4[[#This Row],[SITE2]],10),2),""))</f>
        <v/>
      </c>
      <c r="H251" s="99"/>
    </row>
    <row r="252" spans="1:8">
      <c r="A252" s="119">
        <f>'BASE FINANCEIRO'!BI287</f>
        <v>0</v>
      </c>
      <c r="B252" s="24" t="str">
        <f t="shared" si="3"/>
        <v/>
      </c>
      <c r="C252" s="24" t="s">
        <v>2453</v>
      </c>
      <c r="D252" s="24" t="e">
        <f>IF(VLOOKUP('BASE FINANCEIRO'!BC287,'COD. PROJETOS'!B:D,3,0)="VIVO",MID('BASE FINANCEIRO'!BI287,36,3),IF(VLOOKUP('BASE FINANCEIRO'!BC287,'COD. PROJETOS'!B:D,3,0),MID('BASE FINANCEIRO'!BI287,36,7),IF(VLOOKUP('BASE FINANCEIRO'!BC287,'COD. PROJETOS'!B:D,3,0),MID('BASE FINANCEIRO'!BI287,36,9),"PROJETO?")))</f>
        <v>#N/A</v>
      </c>
      <c r="E252" s="24" t="e">
        <f>VLOOKUP(D252,'BASE MUNICÍPIO'!B233:C24968,2,0)</f>
        <v>#N/A</v>
      </c>
      <c r="F252" s="98" t="e">
        <f>VLOOKUP(D252,'BASE MUNICÍPIO'!B233:D24968,3,0)</f>
        <v>#N/A</v>
      </c>
      <c r="G252" s="97" t="str">
        <f>IF(Tabela4[[#This Row],[PROJETO]]="CLARO",LEFT(Tabela4[[#This Row],[SITE2]],2),IF(Tabela4[[#This Row],[PROJETO]]="VIVO",RIGHT(LEFT(Tabela4[[#This Row],[SITE2]],10),2),""))</f>
        <v/>
      </c>
      <c r="H252" s="99"/>
    </row>
    <row r="253" spans="1:8">
      <c r="A253" s="119">
        <f>'BASE FINANCEIRO'!BI288</f>
        <v>0</v>
      </c>
      <c r="B253" s="24" t="str">
        <f t="shared" si="3"/>
        <v/>
      </c>
      <c r="C253" s="24" t="s">
        <v>2453</v>
      </c>
      <c r="D253" s="24" t="e">
        <f>IF(VLOOKUP('BASE FINANCEIRO'!BC288,'COD. PROJETOS'!B:D,3,0)="VIVO",MID('BASE FINANCEIRO'!BI288,36,3),IF(VLOOKUP('BASE FINANCEIRO'!BC288,'COD. PROJETOS'!B:D,3,0),MID('BASE FINANCEIRO'!BI288,36,7),IF(VLOOKUP('BASE FINANCEIRO'!BC288,'COD. PROJETOS'!B:D,3,0),MID('BASE FINANCEIRO'!BI288,36,9),"PROJETO?")))</f>
        <v>#N/A</v>
      </c>
      <c r="E253" s="24" t="e">
        <f>VLOOKUP(D253,'BASE MUNICÍPIO'!B234:C24969,2,0)</f>
        <v>#N/A</v>
      </c>
      <c r="F253" s="98" t="e">
        <f>VLOOKUP(D253,'BASE MUNICÍPIO'!B234:D24969,3,0)</f>
        <v>#N/A</v>
      </c>
      <c r="G253" s="97" t="str">
        <f>IF(Tabela4[[#This Row],[PROJETO]]="CLARO",LEFT(Tabela4[[#This Row],[SITE2]],2),IF(Tabela4[[#This Row],[PROJETO]]="VIVO",RIGHT(LEFT(Tabela4[[#This Row],[SITE2]],10),2),""))</f>
        <v/>
      </c>
      <c r="H253" s="99"/>
    </row>
    <row r="254" spans="1:8">
      <c r="A254" s="119">
        <f>'BASE FINANCEIRO'!BI289</f>
        <v>0</v>
      </c>
      <c r="B254" s="24" t="str">
        <f t="shared" si="3"/>
        <v/>
      </c>
      <c r="C254" s="24" t="s">
        <v>2453</v>
      </c>
      <c r="D254" s="24" t="e">
        <f>IF(VLOOKUP('BASE FINANCEIRO'!BC289,'COD. PROJETOS'!B:D,3,0)="VIVO",MID('BASE FINANCEIRO'!BI289,36,3),IF(VLOOKUP('BASE FINANCEIRO'!BC289,'COD. PROJETOS'!B:D,3,0),MID('BASE FINANCEIRO'!BI289,36,7),IF(VLOOKUP('BASE FINANCEIRO'!BC289,'COD. PROJETOS'!B:D,3,0),MID('BASE FINANCEIRO'!BI289,36,9),"PROJETO?")))</f>
        <v>#N/A</v>
      </c>
      <c r="E254" s="24" t="e">
        <f>VLOOKUP(D254,'BASE MUNICÍPIO'!B235:C24970,2,0)</f>
        <v>#N/A</v>
      </c>
      <c r="F254" s="98" t="e">
        <f>VLOOKUP(D254,'BASE MUNICÍPIO'!B235:D24970,3,0)</f>
        <v>#N/A</v>
      </c>
      <c r="G254" s="97" t="str">
        <f>IF(Tabela4[[#This Row],[PROJETO]]="CLARO",LEFT(Tabela4[[#This Row],[SITE2]],2),IF(Tabela4[[#This Row],[PROJETO]]="VIVO",RIGHT(LEFT(Tabela4[[#This Row],[SITE2]],10),2),""))</f>
        <v/>
      </c>
      <c r="H254" s="99"/>
    </row>
    <row r="255" spans="1:8">
      <c r="A255" s="119">
        <f>'BASE FINANCEIRO'!BI290</f>
        <v>0</v>
      </c>
      <c r="B255" s="24" t="str">
        <f t="shared" si="3"/>
        <v/>
      </c>
      <c r="C255" s="24" t="s">
        <v>2453</v>
      </c>
      <c r="D255" s="24" t="e">
        <f>IF(VLOOKUP('BASE FINANCEIRO'!BC290,'COD. PROJETOS'!B:D,3,0)="VIVO",MID('BASE FINANCEIRO'!BI290,36,3),IF(VLOOKUP('BASE FINANCEIRO'!BC290,'COD. PROJETOS'!B:D,3,0),MID('BASE FINANCEIRO'!BI290,36,7),IF(VLOOKUP('BASE FINANCEIRO'!BC290,'COD. PROJETOS'!B:D,3,0),MID('BASE FINANCEIRO'!BI290,36,9),"PROJETO?")))</f>
        <v>#N/A</v>
      </c>
      <c r="E255" s="24" t="e">
        <f>VLOOKUP(D255,'BASE MUNICÍPIO'!B236:C24971,2,0)</f>
        <v>#N/A</v>
      </c>
      <c r="F255" s="98" t="e">
        <f>VLOOKUP(D255,'BASE MUNICÍPIO'!B236:D24971,3,0)</f>
        <v>#N/A</v>
      </c>
      <c r="G255" s="97" t="str">
        <f>IF(Tabela4[[#This Row],[PROJETO]]="CLARO",LEFT(Tabela4[[#This Row],[SITE2]],2),IF(Tabela4[[#This Row],[PROJETO]]="VIVO",RIGHT(LEFT(Tabela4[[#This Row],[SITE2]],10),2),""))</f>
        <v/>
      </c>
      <c r="H255" s="99"/>
    </row>
    <row r="256" spans="1:8">
      <c r="A256" s="119">
        <f>'BASE FINANCEIRO'!BI291</f>
        <v>0</v>
      </c>
      <c r="B256" s="24" t="str">
        <f t="shared" si="3"/>
        <v/>
      </c>
      <c r="C256" s="24" t="s">
        <v>2453</v>
      </c>
      <c r="D256" s="24" t="e">
        <f>IF(VLOOKUP('BASE FINANCEIRO'!BC291,'COD. PROJETOS'!B:D,3,0)="VIVO",MID('BASE FINANCEIRO'!BI291,36,3),IF(VLOOKUP('BASE FINANCEIRO'!BC291,'COD. PROJETOS'!B:D,3,0),MID('BASE FINANCEIRO'!BI291,36,7),IF(VLOOKUP('BASE FINANCEIRO'!BC291,'COD. PROJETOS'!B:D,3,0),MID('BASE FINANCEIRO'!BI291,36,9),"PROJETO?")))</f>
        <v>#N/A</v>
      </c>
      <c r="E256" s="24" t="e">
        <f>VLOOKUP(D256,'BASE MUNICÍPIO'!B237:C24972,2,0)</f>
        <v>#N/A</v>
      </c>
      <c r="F256" s="98" t="e">
        <f>VLOOKUP(D256,'BASE MUNICÍPIO'!B237:D24972,3,0)</f>
        <v>#N/A</v>
      </c>
      <c r="G256" s="97" t="str">
        <f>IF(Tabela4[[#This Row],[PROJETO]]="CLARO",LEFT(Tabela4[[#This Row],[SITE2]],2),IF(Tabela4[[#This Row],[PROJETO]]="VIVO",RIGHT(LEFT(Tabela4[[#This Row],[SITE2]],10),2),""))</f>
        <v/>
      </c>
      <c r="H256" s="99"/>
    </row>
    <row r="257" spans="1:8">
      <c r="A257" s="119">
        <f>'BASE FINANCEIRO'!BI292</f>
        <v>0</v>
      </c>
      <c r="B257" s="24" t="str">
        <f t="shared" si="3"/>
        <v/>
      </c>
      <c r="C257" s="24" t="s">
        <v>2453</v>
      </c>
      <c r="D257" s="24" t="e">
        <f>IF(VLOOKUP('BASE FINANCEIRO'!BC292,'COD. PROJETOS'!B:D,3,0)="VIVO",MID('BASE FINANCEIRO'!BI292,36,3),IF(VLOOKUP('BASE FINANCEIRO'!BC292,'COD. PROJETOS'!B:D,3,0),MID('BASE FINANCEIRO'!BI292,36,7),IF(VLOOKUP('BASE FINANCEIRO'!BC292,'COD. PROJETOS'!B:D,3,0),MID('BASE FINANCEIRO'!BI292,36,9),"PROJETO?")))</f>
        <v>#N/A</v>
      </c>
      <c r="E257" s="24" t="e">
        <f>VLOOKUP(D257,'BASE MUNICÍPIO'!B238:C24973,2,0)</f>
        <v>#N/A</v>
      </c>
      <c r="F257" s="98" t="e">
        <f>VLOOKUP(D257,'BASE MUNICÍPIO'!B238:D24973,3,0)</f>
        <v>#N/A</v>
      </c>
      <c r="G257" s="97" t="str">
        <f>IF(Tabela4[[#This Row],[PROJETO]]="CLARO",LEFT(Tabela4[[#This Row],[SITE2]],2),IF(Tabela4[[#This Row],[PROJETO]]="VIVO",RIGHT(LEFT(Tabela4[[#This Row],[SITE2]],10),2),""))</f>
        <v/>
      </c>
      <c r="H257" s="99"/>
    </row>
    <row r="258" spans="1:8">
      <c r="A258" s="119">
        <f>'BASE FINANCEIRO'!BI293</f>
        <v>0</v>
      </c>
      <c r="B258" s="24" t="str">
        <f t="shared" si="3"/>
        <v/>
      </c>
      <c r="C258" s="24" t="s">
        <v>2453</v>
      </c>
      <c r="D258" s="24" t="e">
        <f>IF(VLOOKUP('BASE FINANCEIRO'!BC293,'COD. PROJETOS'!B:D,3,0)="VIVO",MID('BASE FINANCEIRO'!BI293,36,3),IF(VLOOKUP('BASE FINANCEIRO'!BC293,'COD. PROJETOS'!B:D,3,0),MID('BASE FINANCEIRO'!BI293,36,7),IF(VLOOKUP('BASE FINANCEIRO'!BC293,'COD. PROJETOS'!B:D,3,0),MID('BASE FINANCEIRO'!BI293,36,9),"PROJETO?")))</f>
        <v>#N/A</v>
      </c>
      <c r="E258" s="24" t="e">
        <f>VLOOKUP(D258,'BASE MUNICÍPIO'!B239:C24974,2,0)</f>
        <v>#N/A</v>
      </c>
      <c r="F258" s="98" t="e">
        <f>VLOOKUP(D258,'BASE MUNICÍPIO'!B239:D24974,3,0)</f>
        <v>#N/A</v>
      </c>
      <c r="G258" s="97" t="str">
        <f>IF(Tabela4[[#This Row],[PROJETO]]="CLARO",LEFT(Tabela4[[#This Row],[SITE2]],2),IF(Tabela4[[#This Row],[PROJETO]]="VIVO",RIGHT(LEFT(Tabela4[[#This Row],[SITE2]],10),2),""))</f>
        <v/>
      </c>
      <c r="H258" s="99"/>
    </row>
    <row r="259" spans="1:8">
      <c r="A259" s="119">
        <f>'BASE FINANCEIRO'!BI294</f>
        <v>0</v>
      </c>
      <c r="B259" s="24" t="str">
        <f t="shared" si="3"/>
        <v/>
      </c>
      <c r="C259" s="24" t="s">
        <v>2453</v>
      </c>
      <c r="D259" s="24" t="e">
        <f>IF(VLOOKUP('BASE FINANCEIRO'!BC294,'COD. PROJETOS'!B:D,3,0)="VIVO",MID('BASE FINANCEIRO'!BI294,36,3),IF(VLOOKUP('BASE FINANCEIRO'!BC294,'COD. PROJETOS'!B:D,3,0),MID('BASE FINANCEIRO'!BI294,36,7),IF(VLOOKUP('BASE FINANCEIRO'!BC294,'COD. PROJETOS'!B:D,3,0),MID('BASE FINANCEIRO'!BI294,36,9),"PROJETO?")))</f>
        <v>#N/A</v>
      </c>
      <c r="E259" s="24" t="e">
        <f>VLOOKUP(D259,'BASE MUNICÍPIO'!B240:C24975,2,0)</f>
        <v>#N/A</v>
      </c>
      <c r="F259" s="98" t="e">
        <f>VLOOKUP(D259,'BASE MUNICÍPIO'!B240:D24975,3,0)</f>
        <v>#N/A</v>
      </c>
      <c r="G259" s="97" t="str">
        <f>IF(Tabela4[[#This Row],[PROJETO]]="CLARO",LEFT(Tabela4[[#This Row],[SITE2]],2),IF(Tabela4[[#This Row],[PROJETO]]="VIVO",RIGHT(LEFT(Tabela4[[#This Row],[SITE2]],10),2),""))</f>
        <v/>
      </c>
      <c r="H259" s="99"/>
    </row>
    <row r="260" spans="1:8">
      <c r="A260" s="119">
        <f>'BASE FINANCEIRO'!BI295</f>
        <v>0</v>
      </c>
      <c r="B260" s="24" t="str">
        <f t="shared" ref="B260:B323" si="4">MID(A260,36,14)</f>
        <v/>
      </c>
      <c r="C260" s="24" t="s">
        <v>2453</v>
      </c>
      <c r="D260" s="24" t="e">
        <f>IF(VLOOKUP('BASE FINANCEIRO'!BC295,'COD. PROJETOS'!B:D,3,0)="VIVO",MID('BASE FINANCEIRO'!BI295,36,3),IF(VLOOKUP('BASE FINANCEIRO'!BC295,'COD. PROJETOS'!B:D,3,0),MID('BASE FINANCEIRO'!BI295,36,7),IF(VLOOKUP('BASE FINANCEIRO'!BC295,'COD. PROJETOS'!B:D,3,0),MID('BASE FINANCEIRO'!BI295,36,9),"PROJETO?")))</f>
        <v>#N/A</v>
      </c>
      <c r="E260" s="24" t="e">
        <f>VLOOKUP(D260,'BASE MUNICÍPIO'!B241:C24976,2,0)</f>
        <v>#N/A</v>
      </c>
      <c r="F260" s="98" t="e">
        <f>VLOOKUP(D260,'BASE MUNICÍPIO'!B241:D24976,3,0)</f>
        <v>#N/A</v>
      </c>
      <c r="G260" s="97" t="str">
        <f>IF(Tabela4[[#This Row],[PROJETO]]="CLARO",LEFT(Tabela4[[#This Row],[SITE2]],2),IF(Tabela4[[#This Row],[PROJETO]]="VIVO",RIGHT(LEFT(Tabela4[[#This Row],[SITE2]],10),2),""))</f>
        <v/>
      </c>
      <c r="H260" s="99"/>
    </row>
    <row r="261" spans="1:8">
      <c r="A261" s="119">
        <f>'BASE FINANCEIRO'!BI296</f>
        <v>0</v>
      </c>
      <c r="B261" s="24" t="str">
        <f t="shared" si="4"/>
        <v/>
      </c>
      <c r="C261" s="24" t="s">
        <v>2453</v>
      </c>
      <c r="D261" s="24" t="e">
        <f>IF(VLOOKUP('BASE FINANCEIRO'!BC296,'COD. PROJETOS'!B:D,3,0)="VIVO",MID('BASE FINANCEIRO'!BI296,36,3),IF(VLOOKUP('BASE FINANCEIRO'!BC296,'COD. PROJETOS'!B:D,3,0),MID('BASE FINANCEIRO'!BI296,36,7),IF(VLOOKUP('BASE FINANCEIRO'!BC296,'COD. PROJETOS'!B:D,3,0),MID('BASE FINANCEIRO'!BI296,36,9),"PROJETO?")))</f>
        <v>#N/A</v>
      </c>
      <c r="E261" s="24" t="e">
        <f>VLOOKUP(D261,'BASE MUNICÍPIO'!B242:C24977,2,0)</f>
        <v>#N/A</v>
      </c>
      <c r="F261" s="98" t="e">
        <f>VLOOKUP(D261,'BASE MUNICÍPIO'!B242:D24977,3,0)</f>
        <v>#N/A</v>
      </c>
      <c r="G261" s="97" t="str">
        <f>IF(Tabela4[[#This Row],[PROJETO]]="CLARO",LEFT(Tabela4[[#This Row],[SITE2]],2),IF(Tabela4[[#This Row],[PROJETO]]="VIVO",RIGHT(LEFT(Tabela4[[#This Row],[SITE2]],10),2),""))</f>
        <v/>
      </c>
      <c r="H261" s="99"/>
    </row>
    <row r="262" spans="1:8">
      <c r="A262" s="119">
        <f>'BASE FINANCEIRO'!BI297</f>
        <v>0</v>
      </c>
      <c r="B262" s="24" t="str">
        <f t="shared" si="4"/>
        <v/>
      </c>
      <c r="C262" s="24" t="s">
        <v>2453</v>
      </c>
      <c r="D262" s="24" t="e">
        <f>IF(VLOOKUP('BASE FINANCEIRO'!BC297,'COD. PROJETOS'!B:D,3,0)="VIVO",MID('BASE FINANCEIRO'!BI297,36,3),IF(VLOOKUP('BASE FINANCEIRO'!BC297,'COD. PROJETOS'!B:D,3,0),MID('BASE FINANCEIRO'!BI297,36,7),IF(VLOOKUP('BASE FINANCEIRO'!BC297,'COD. PROJETOS'!B:D,3,0),MID('BASE FINANCEIRO'!BI297,36,9),"PROJETO?")))</f>
        <v>#N/A</v>
      </c>
      <c r="E262" s="24" t="e">
        <f>VLOOKUP(D262,'BASE MUNICÍPIO'!B243:C24978,2,0)</f>
        <v>#N/A</v>
      </c>
      <c r="F262" s="98" t="e">
        <f>VLOOKUP(D262,'BASE MUNICÍPIO'!B243:D24978,3,0)</f>
        <v>#N/A</v>
      </c>
      <c r="G262" s="97" t="str">
        <f>IF(Tabela4[[#This Row],[PROJETO]]="CLARO",LEFT(Tabela4[[#This Row],[SITE2]],2),IF(Tabela4[[#This Row],[PROJETO]]="VIVO",RIGHT(LEFT(Tabela4[[#This Row],[SITE2]],10),2),""))</f>
        <v/>
      </c>
      <c r="H262" s="99"/>
    </row>
    <row r="263" spans="1:8">
      <c r="A263" s="119">
        <f>'BASE FINANCEIRO'!BI298</f>
        <v>0</v>
      </c>
      <c r="B263" s="24" t="str">
        <f t="shared" si="4"/>
        <v/>
      </c>
      <c r="C263" s="24" t="s">
        <v>2453</v>
      </c>
      <c r="D263" s="24" t="e">
        <f>IF(VLOOKUP('BASE FINANCEIRO'!BC298,'COD. PROJETOS'!B:D,3,0)="VIVO",MID('BASE FINANCEIRO'!BI298,36,3),IF(VLOOKUP('BASE FINANCEIRO'!BC298,'COD. PROJETOS'!B:D,3,0),MID('BASE FINANCEIRO'!BI298,36,7),IF(VLOOKUP('BASE FINANCEIRO'!BC298,'COD. PROJETOS'!B:D,3,0),MID('BASE FINANCEIRO'!BI298,36,9),"PROJETO?")))</f>
        <v>#N/A</v>
      </c>
      <c r="E263" s="24" t="e">
        <f>VLOOKUP(D263,'BASE MUNICÍPIO'!B244:C24979,2,0)</f>
        <v>#N/A</v>
      </c>
      <c r="F263" s="98" t="e">
        <f>VLOOKUP(D263,'BASE MUNICÍPIO'!B244:D24979,3,0)</f>
        <v>#N/A</v>
      </c>
      <c r="G263" s="97" t="str">
        <f>IF(Tabela4[[#This Row],[PROJETO]]="CLARO",LEFT(Tabela4[[#This Row],[SITE2]],2),IF(Tabela4[[#This Row],[PROJETO]]="VIVO",RIGHT(LEFT(Tabela4[[#This Row],[SITE2]],10),2),""))</f>
        <v/>
      </c>
      <c r="H263" s="99"/>
    </row>
    <row r="264" spans="1:8">
      <c r="A264" s="119">
        <f>'BASE FINANCEIRO'!BI299</f>
        <v>0</v>
      </c>
      <c r="B264" s="24" t="str">
        <f t="shared" si="4"/>
        <v/>
      </c>
      <c r="C264" s="24" t="s">
        <v>2453</v>
      </c>
      <c r="D264" s="24" t="e">
        <f>IF(VLOOKUP('BASE FINANCEIRO'!BC299,'COD. PROJETOS'!B:D,3,0)="VIVO",MID('BASE FINANCEIRO'!BI299,36,3),IF(VLOOKUP('BASE FINANCEIRO'!BC299,'COD. PROJETOS'!B:D,3,0),MID('BASE FINANCEIRO'!BI299,36,7),IF(VLOOKUP('BASE FINANCEIRO'!BC299,'COD. PROJETOS'!B:D,3,0),MID('BASE FINANCEIRO'!BI299,36,9),"PROJETO?")))</f>
        <v>#N/A</v>
      </c>
      <c r="E264" s="24" t="e">
        <f>VLOOKUP(D264,'BASE MUNICÍPIO'!B245:C24980,2,0)</f>
        <v>#N/A</v>
      </c>
      <c r="F264" s="98" t="e">
        <f>VLOOKUP(D264,'BASE MUNICÍPIO'!B245:D24980,3,0)</f>
        <v>#N/A</v>
      </c>
      <c r="G264" s="97" t="str">
        <f>IF(Tabela4[[#This Row],[PROJETO]]="CLARO",LEFT(Tabela4[[#This Row],[SITE2]],2),IF(Tabela4[[#This Row],[PROJETO]]="VIVO",RIGHT(LEFT(Tabela4[[#This Row],[SITE2]],10),2),""))</f>
        <v/>
      </c>
      <c r="H264" s="99"/>
    </row>
    <row r="265" spans="1:8">
      <c r="A265" s="119">
        <f>'BASE FINANCEIRO'!BI300</f>
        <v>0</v>
      </c>
      <c r="B265" s="24" t="str">
        <f t="shared" si="4"/>
        <v/>
      </c>
      <c r="C265" s="24" t="s">
        <v>2453</v>
      </c>
      <c r="D265" s="24" t="e">
        <f>IF(VLOOKUP('BASE FINANCEIRO'!BC300,'COD. PROJETOS'!B:D,3,0)="VIVO",MID('BASE FINANCEIRO'!BI300,36,3),IF(VLOOKUP('BASE FINANCEIRO'!BC300,'COD. PROJETOS'!B:D,3,0),MID('BASE FINANCEIRO'!BI300,36,7),IF(VLOOKUP('BASE FINANCEIRO'!BC300,'COD. PROJETOS'!B:D,3,0),MID('BASE FINANCEIRO'!BI300,36,9),"PROJETO?")))</f>
        <v>#N/A</v>
      </c>
      <c r="E265" s="24" t="e">
        <f>VLOOKUP(D265,'BASE MUNICÍPIO'!B246:C24981,2,0)</f>
        <v>#N/A</v>
      </c>
      <c r="F265" s="98" t="e">
        <f>VLOOKUP(D265,'BASE MUNICÍPIO'!B246:D24981,3,0)</f>
        <v>#N/A</v>
      </c>
      <c r="G265" s="97" t="str">
        <f>IF(Tabela4[[#This Row],[PROJETO]]="CLARO",LEFT(Tabela4[[#This Row],[SITE2]],2),IF(Tabela4[[#This Row],[PROJETO]]="VIVO",RIGHT(LEFT(Tabela4[[#This Row],[SITE2]],10),2),""))</f>
        <v/>
      </c>
      <c r="H265" s="99"/>
    </row>
    <row r="266" spans="1:8">
      <c r="A266" s="119">
        <f>'BASE FINANCEIRO'!BI301</f>
        <v>0</v>
      </c>
      <c r="B266" s="24" t="str">
        <f t="shared" si="4"/>
        <v/>
      </c>
      <c r="C266" s="24" t="s">
        <v>2453</v>
      </c>
      <c r="D266" s="24" t="e">
        <f>IF(VLOOKUP('BASE FINANCEIRO'!BC301,'COD. PROJETOS'!B:D,3,0)="VIVO",MID('BASE FINANCEIRO'!BI301,36,3),IF(VLOOKUP('BASE FINANCEIRO'!BC301,'COD. PROJETOS'!B:D,3,0),MID('BASE FINANCEIRO'!BI301,36,7),IF(VLOOKUP('BASE FINANCEIRO'!BC301,'COD. PROJETOS'!B:D,3,0),MID('BASE FINANCEIRO'!BI301,36,9),"PROJETO?")))</f>
        <v>#N/A</v>
      </c>
      <c r="E266" s="24" t="e">
        <f>VLOOKUP(D266,'BASE MUNICÍPIO'!B247:C24982,2,0)</f>
        <v>#N/A</v>
      </c>
      <c r="F266" s="98" t="e">
        <f>VLOOKUP(D266,'BASE MUNICÍPIO'!B247:D24982,3,0)</f>
        <v>#N/A</v>
      </c>
      <c r="G266" s="97" t="str">
        <f>IF(Tabela4[[#This Row],[PROJETO]]="CLARO",LEFT(Tabela4[[#This Row],[SITE2]],2),IF(Tabela4[[#This Row],[PROJETO]]="VIVO",RIGHT(LEFT(Tabela4[[#This Row],[SITE2]],10),2),""))</f>
        <v/>
      </c>
      <c r="H266" s="99"/>
    </row>
    <row r="267" spans="1:8">
      <c r="A267" s="119">
        <f>'BASE FINANCEIRO'!BI302</f>
        <v>0</v>
      </c>
      <c r="B267" s="24" t="str">
        <f t="shared" si="4"/>
        <v/>
      </c>
      <c r="C267" s="24" t="s">
        <v>2453</v>
      </c>
      <c r="D267" s="24" t="e">
        <f>IF(VLOOKUP('BASE FINANCEIRO'!BC302,'COD. PROJETOS'!B:D,3,0)="VIVO",MID('BASE FINANCEIRO'!BI302,36,3),IF(VLOOKUP('BASE FINANCEIRO'!BC302,'COD. PROJETOS'!B:D,3,0),MID('BASE FINANCEIRO'!BI302,36,7),IF(VLOOKUP('BASE FINANCEIRO'!BC302,'COD. PROJETOS'!B:D,3,0),MID('BASE FINANCEIRO'!BI302,36,9),"PROJETO?")))</f>
        <v>#N/A</v>
      </c>
      <c r="E267" s="24" t="e">
        <f>VLOOKUP(D267,'BASE MUNICÍPIO'!B248:C24983,2,0)</f>
        <v>#N/A</v>
      </c>
      <c r="F267" s="98" t="e">
        <f>VLOOKUP(D267,'BASE MUNICÍPIO'!B248:D24983,3,0)</f>
        <v>#N/A</v>
      </c>
      <c r="G267" s="97" t="str">
        <f>IF(Tabela4[[#This Row],[PROJETO]]="CLARO",LEFT(Tabela4[[#This Row],[SITE2]],2),IF(Tabela4[[#This Row],[PROJETO]]="VIVO",RIGHT(LEFT(Tabela4[[#This Row],[SITE2]],10),2),""))</f>
        <v/>
      </c>
      <c r="H267" s="99"/>
    </row>
    <row r="268" spans="1:8">
      <c r="A268" s="119">
        <f>'BASE FINANCEIRO'!BI303</f>
        <v>0</v>
      </c>
      <c r="B268" s="24" t="str">
        <f t="shared" si="4"/>
        <v/>
      </c>
      <c r="C268" s="24" t="s">
        <v>2453</v>
      </c>
      <c r="D268" s="24" t="e">
        <f>IF(VLOOKUP('BASE FINANCEIRO'!BC303,'COD. PROJETOS'!B:D,3,0)="VIVO",MID('BASE FINANCEIRO'!BI303,36,3),IF(VLOOKUP('BASE FINANCEIRO'!BC303,'COD. PROJETOS'!B:D,3,0),MID('BASE FINANCEIRO'!BI303,36,7),IF(VLOOKUP('BASE FINANCEIRO'!BC303,'COD. PROJETOS'!B:D,3,0),MID('BASE FINANCEIRO'!BI303,36,9),"PROJETO?")))</f>
        <v>#N/A</v>
      </c>
      <c r="E268" s="24" t="e">
        <f>VLOOKUP(D268,'BASE MUNICÍPIO'!B249:C24984,2,0)</f>
        <v>#N/A</v>
      </c>
      <c r="F268" s="98" t="e">
        <f>VLOOKUP(D268,'BASE MUNICÍPIO'!B249:D24984,3,0)</f>
        <v>#N/A</v>
      </c>
      <c r="G268" s="97" t="str">
        <f>IF(Tabela4[[#This Row],[PROJETO]]="CLARO",LEFT(Tabela4[[#This Row],[SITE2]],2),IF(Tabela4[[#This Row],[PROJETO]]="VIVO",RIGHT(LEFT(Tabela4[[#This Row],[SITE2]],10),2),""))</f>
        <v/>
      </c>
      <c r="H268" s="99"/>
    </row>
    <row r="269" spans="1:8">
      <c r="A269" s="119" t="e">
        <f>'BASE FINANCEIRO'!#REF!</f>
        <v>#REF!</v>
      </c>
      <c r="B269" s="24" t="e">
        <f t="shared" si="4"/>
        <v>#REF!</v>
      </c>
      <c r="C269" s="24" t="s">
        <v>2453</v>
      </c>
      <c r="D269" s="24" t="e">
        <f>IF(VLOOKUP('BASE FINANCEIRO'!#REF!,'COD. PROJETOS'!B:D,3,0)="VIVO",MID('BASE FINANCEIRO'!#REF!,36,3),IF(VLOOKUP('BASE FINANCEIRO'!#REF!,'COD. PROJETOS'!B:D,3,0),MID('BASE FINANCEIRO'!#REF!,36,7),IF(VLOOKUP('BASE FINANCEIRO'!#REF!,'COD. PROJETOS'!B:D,3,0),MID('BASE FINANCEIRO'!#REF!,36,9),"PROJETO?")))</f>
        <v>#REF!</v>
      </c>
      <c r="E269" s="24" t="e">
        <f>VLOOKUP(D269,'BASE MUNICÍPIO'!B250:C24985,2,0)</f>
        <v>#REF!</v>
      </c>
      <c r="F269" s="98" t="e">
        <f>VLOOKUP(D269,'BASE MUNICÍPIO'!B250:D24985,3,0)</f>
        <v>#REF!</v>
      </c>
      <c r="G269" s="97" t="e">
        <f>IF(Tabela4[[#This Row],[PROJETO]]="CLARO",LEFT(Tabela4[[#This Row],[SITE2]],2),IF(Tabela4[[#This Row],[PROJETO]]="VIVO",RIGHT(LEFT(Tabela4[[#This Row],[SITE2]],10),2),""))</f>
        <v>#REF!</v>
      </c>
      <c r="H269" s="99"/>
    </row>
    <row r="270" spans="1:8">
      <c r="A270" s="119">
        <f>'BASE FINANCEIRO'!BI304</f>
        <v>0</v>
      </c>
      <c r="B270" s="24" t="str">
        <f t="shared" si="4"/>
        <v/>
      </c>
      <c r="C270" s="24" t="s">
        <v>2453</v>
      </c>
      <c r="D270" s="24" t="e">
        <f>IF(VLOOKUP('BASE FINANCEIRO'!BC304,'COD. PROJETOS'!B:D,3,0)="VIVO",MID('BASE FINANCEIRO'!BI304,36,3),IF(VLOOKUP('BASE FINANCEIRO'!BC304,'COD. PROJETOS'!B:D,3,0),MID('BASE FINANCEIRO'!BI304,36,7),IF(VLOOKUP('BASE FINANCEIRO'!BC304,'COD. PROJETOS'!B:D,3,0),MID('BASE FINANCEIRO'!BI304,36,9),"PROJETO?")))</f>
        <v>#N/A</v>
      </c>
      <c r="E270" s="24" t="e">
        <f>VLOOKUP(D270,'BASE MUNICÍPIO'!B251:C24986,2,0)</f>
        <v>#N/A</v>
      </c>
      <c r="F270" s="98" t="e">
        <f>VLOOKUP(D270,'BASE MUNICÍPIO'!B251:D24986,3,0)</f>
        <v>#N/A</v>
      </c>
      <c r="G270" s="97" t="str">
        <f>IF(Tabela4[[#This Row],[PROJETO]]="CLARO",LEFT(Tabela4[[#This Row],[SITE2]],2),IF(Tabela4[[#This Row],[PROJETO]]="VIVO",RIGHT(LEFT(Tabela4[[#This Row],[SITE2]],10),2),""))</f>
        <v/>
      </c>
      <c r="H270" s="99"/>
    </row>
    <row r="271" spans="1:8">
      <c r="A271" s="119">
        <f>'BASE FINANCEIRO'!BI305</f>
        <v>0</v>
      </c>
      <c r="B271" s="24" t="str">
        <f t="shared" si="4"/>
        <v/>
      </c>
      <c r="C271" s="24" t="s">
        <v>2453</v>
      </c>
      <c r="D271" s="24" t="e">
        <f>IF(VLOOKUP('BASE FINANCEIRO'!BC305,'COD. PROJETOS'!B:D,3,0)="VIVO",MID('BASE FINANCEIRO'!BI305,36,3),IF(VLOOKUP('BASE FINANCEIRO'!BC305,'COD. PROJETOS'!B:D,3,0),MID('BASE FINANCEIRO'!BI305,36,7),IF(VLOOKUP('BASE FINANCEIRO'!BC305,'COD. PROJETOS'!B:D,3,0),MID('BASE FINANCEIRO'!BI305,36,9),"PROJETO?")))</f>
        <v>#N/A</v>
      </c>
      <c r="E271" s="24" t="e">
        <f>VLOOKUP(D271,'BASE MUNICÍPIO'!B252:C24987,2,0)</f>
        <v>#N/A</v>
      </c>
      <c r="F271" s="98" t="e">
        <f>VLOOKUP(D271,'BASE MUNICÍPIO'!B252:D24987,3,0)</f>
        <v>#N/A</v>
      </c>
      <c r="G271" s="97" t="str">
        <f>IF(Tabela4[[#This Row],[PROJETO]]="CLARO",LEFT(Tabela4[[#This Row],[SITE2]],2),IF(Tabela4[[#This Row],[PROJETO]]="VIVO",RIGHT(LEFT(Tabela4[[#This Row],[SITE2]],10),2),""))</f>
        <v/>
      </c>
      <c r="H271" s="99"/>
    </row>
    <row r="272" spans="1:8">
      <c r="A272" s="119">
        <f>'BASE FINANCEIRO'!BI306</f>
        <v>0</v>
      </c>
      <c r="B272" s="24" t="str">
        <f t="shared" si="4"/>
        <v/>
      </c>
      <c r="C272" s="24" t="s">
        <v>2453</v>
      </c>
      <c r="D272" s="24" t="e">
        <f>IF(VLOOKUP('BASE FINANCEIRO'!BC306,'COD. PROJETOS'!B:D,3,0)="VIVO",MID('BASE FINANCEIRO'!BI306,36,3),IF(VLOOKUP('BASE FINANCEIRO'!BC306,'COD. PROJETOS'!B:D,3,0),MID('BASE FINANCEIRO'!BI306,36,7),IF(VLOOKUP('BASE FINANCEIRO'!BC306,'COD. PROJETOS'!B:D,3,0),MID('BASE FINANCEIRO'!BI306,36,9),"PROJETO?")))</f>
        <v>#N/A</v>
      </c>
      <c r="E272" s="24" t="e">
        <f>VLOOKUP(D272,'BASE MUNICÍPIO'!B253:C24988,2,0)</f>
        <v>#N/A</v>
      </c>
      <c r="F272" s="98" t="e">
        <f>VLOOKUP(D272,'BASE MUNICÍPIO'!B253:D24988,3,0)</f>
        <v>#N/A</v>
      </c>
      <c r="G272" s="97" t="str">
        <f>IF(Tabela4[[#This Row],[PROJETO]]="CLARO",LEFT(Tabela4[[#This Row],[SITE2]],2),IF(Tabela4[[#This Row],[PROJETO]]="VIVO",RIGHT(LEFT(Tabela4[[#This Row],[SITE2]],10),2),""))</f>
        <v/>
      </c>
      <c r="H272" s="99"/>
    </row>
    <row r="273" spans="1:8">
      <c r="A273" s="119">
        <f>'BASE FINANCEIRO'!BI307</f>
        <v>0</v>
      </c>
      <c r="B273" s="24" t="str">
        <f t="shared" si="4"/>
        <v/>
      </c>
      <c r="C273" s="24" t="s">
        <v>2453</v>
      </c>
      <c r="D273" s="24" t="e">
        <f>IF(VLOOKUP('BASE FINANCEIRO'!BC307,'COD. PROJETOS'!B:D,3,0)="VIVO",MID('BASE FINANCEIRO'!BI307,36,3),IF(VLOOKUP('BASE FINANCEIRO'!BC307,'COD. PROJETOS'!B:D,3,0),MID('BASE FINANCEIRO'!BI307,36,7),IF(VLOOKUP('BASE FINANCEIRO'!BC307,'COD. PROJETOS'!B:D,3,0),MID('BASE FINANCEIRO'!BI307,36,9),"PROJETO?")))</f>
        <v>#N/A</v>
      </c>
      <c r="E273" s="24" t="e">
        <f>VLOOKUP(D273,'BASE MUNICÍPIO'!B254:C24989,2,0)</f>
        <v>#N/A</v>
      </c>
      <c r="F273" s="98" t="e">
        <f>VLOOKUP(D273,'BASE MUNICÍPIO'!B254:D24989,3,0)</f>
        <v>#N/A</v>
      </c>
      <c r="G273" s="97" t="str">
        <f>IF(Tabela4[[#This Row],[PROJETO]]="CLARO",LEFT(Tabela4[[#This Row],[SITE2]],2),IF(Tabela4[[#This Row],[PROJETO]]="VIVO",RIGHT(LEFT(Tabela4[[#This Row],[SITE2]],10),2),""))</f>
        <v/>
      </c>
      <c r="H273" s="99"/>
    </row>
    <row r="274" spans="1:8">
      <c r="A274" s="119">
        <f>'BASE FINANCEIRO'!BI308</f>
        <v>0</v>
      </c>
      <c r="B274" s="24" t="str">
        <f t="shared" si="4"/>
        <v/>
      </c>
      <c r="C274" s="24" t="s">
        <v>2453</v>
      </c>
      <c r="D274" s="24" t="e">
        <f>IF(VLOOKUP('BASE FINANCEIRO'!BC308,'COD. PROJETOS'!B:D,3,0)="VIVO",MID('BASE FINANCEIRO'!BI308,36,3),IF(VLOOKUP('BASE FINANCEIRO'!BC308,'COD. PROJETOS'!B:D,3,0),MID('BASE FINANCEIRO'!BI308,36,7),IF(VLOOKUP('BASE FINANCEIRO'!BC308,'COD. PROJETOS'!B:D,3,0),MID('BASE FINANCEIRO'!BI308,36,9),"PROJETO?")))</f>
        <v>#N/A</v>
      </c>
      <c r="E274" s="24" t="e">
        <f>VLOOKUP(D274,'BASE MUNICÍPIO'!B255:C24990,2,0)</f>
        <v>#N/A</v>
      </c>
      <c r="F274" s="98" t="e">
        <f>VLOOKUP(D274,'BASE MUNICÍPIO'!B255:D24990,3,0)</f>
        <v>#N/A</v>
      </c>
      <c r="G274" s="97" t="str">
        <f>IF(Tabela4[[#This Row],[PROJETO]]="CLARO",LEFT(Tabela4[[#This Row],[SITE2]],2),IF(Tabela4[[#This Row],[PROJETO]]="VIVO",RIGHT(LEFT(Tabela4[[#This Row],[SITE2]],10),2),""))</f>
        <v/>
      </c>
      <c r="H274" s="99"/>
    </row>
    <row r="275" spans="1:8">
      <c r="A275" s="119">
        <f>'BASE FINANCEIRO'!BI309</f>
        <v>0</v>
      </c>
      <c r="B275" s="24" t="str">
        <f t="shared" si="4"/>
        <v/>
      </c>
      <c r="C275" s="24" t="s">
        <v>2453</v>
      </c>
      <c r="D275" s="24" t="e">
        <f>IF(VLOOKUP('BASE FINANCEIRO'!BC309,'COD. PROJETOS'!B:D,3,0)="VIVO",MID('BASE FINANCEIRO'!BI309,36,3),IF(VLOOKUP('BASE FINANCEIRO'!BC309,'COD. PROJETOS'!B:D,3,0),MID('BASE FINANCEIRO'!BI309,36,7),IF(VLOOKUP('BASE FINANCEIRO'!BC309,'COD. PROJETOS'!B:D,3,0),MID('BASE FINANCEIRO'!BI309,36,9),"PROJETO?")))</f>
        <v>#N/A</v>
      </c>
      <c r="E275" s="24" t="e">
        <f>VLOOKUP(D275,'BASE MUNICÍPIO'!B256:C24991,2,0)</f>
        <v>#N/A</v>
      </c>
      <c r="F275" s="98" t="e">
        <f>VLOOKUP(D275,'BASE MUNICÍPIO'!B256:D24991,3,0)</f>
        <v>#N/A</v>
      </c>
      <c r="G275" s="97" t="str">
        <f>IF(Tabela4[[#This Row],[PROJETO]]="CLARO",LEFT(Tabela4[[#This Row],[SITE2]],2),IF(Tabela4[[#This Row],[PROJETO]]="VIVO",RIGHT(LEFT(Tabela4[[#This Row],[SITE2]],10),2),""))</f>
        <v/>
      </c>
      <c r="H275" s="99"/>
    </row>
    <row r="276" spans="1:8">
      <c r="A276" s="119">
        <f>'BASE FINANCEIRO'!BI310</f>
        <v>0</v>
      </c>
      <c r="B276" s="24" t="str">
        <f t="shared" si="4"/>
        <v/>
      </c>
      <c r="C276" s="24" t="s">
        <v>2453</v>
      </c>
      <c r="D276" s="24" t="e">
        <f>IF(VLOOKUP('BASE FINANCEIRO'!BC310,'COD. PROJETOS'!B:D,3,0)="VIVO",MID('BASE FINANCEIRO'!BI310,36,3),IF(VLOOKUP('BASE FINANCEIRO'!BC310,'COD. PROJETOS'!B:D,3,0),MID('BASE FINANCEIRO'!BI310,36,7),IF(VLOOKUP('BASE FINANCEIRO'!BC310,'COD. PROJETOS'!B:D,3,0),MID('BASE FINANCEIRO'!BI310,36,9),"PROJETO?")))</f>
        <v>#N/A</v>
      </c>
      <c r="E276" s="24" t="e">
        <f>VLOOKUP(D276,'BASE MUNICÍPIO'!B257:C24992,2,0)</f>
        <v>#N/A</v>
      </c>
      <c r="F276" s="98" t="e">
        <f>VLOOKUP(D276,'BASE MUNICÍPIO'!B257:D24992,3,0)</f>
        <v>#N/A</v>
      </c>
      <c r="G276" s="97" t="str">
        <f>IF(Tabela4[[#This Row],[PROJETO]]="CLARO",LEFT(Tabela4[[#This Row],[SITE2]],2),IF(Tabela4[[#This Row],[PROJETO]]="VIVO",RIGHT(LEFT(Tabela4[[#This Row],[SITE2]],10),2),""))</f>
        <v/>
      </c>
      <c r="H276" s="99"/>
    </row>
    <row r="277" spans="1:8">
      <c r="A277" s="119">
        <f>'BASE FINANCEIRO'!BI311</f>
        <v>0</v>
      </c>
      <c r="B277" s="24" t="str">
        <f t="shared" si="4"/>
        <v/>
      </c>
      <c r="C277" s="24" t="s">
        <v>2453</v>
      </c>
      <c r="D277" s="24" t="e">
        <f>IF(VLOOKUP('BASE FINANCEIRO'!BC311,'COD. PROJETOS'!B:D,3,0)="VIVO",MID('BASE FINANCEIRO'!BI311,36,3),IF(VLOOKUP('BASE FINANCEIRO'!BC311,'COD. PROJETOS'!B:D,3,0),MID('BASE FINANCEIRO'!BI311,36,7),IF(VLOOKUP('BASE FINANCEIRO'!BC311,'COD. PROJETOS'!B:D,3,0),MID('BASE FINANCEIRO'!BI311,36,9),"PROJETO?")))</f>
        <v>#N/A</v>
      </c>
      <c r="E277" s="24" t="e">
        <f>VLOOKUP(D277,'BASE MUNICÍPIO'!B258:C24993,2,0)</f>
        <v>#N/A</v>
      </c>
      <c r="F277" s="98" t="e">
        <f>VLOOKUP(D277,'BASE MUNICÍPIO'!B258:D24993,3,0)</f>
        <v>#N/A</v>
      </c>
      <c r="G277" s="97" t="str">
        <f>IF(Tabela4[[#This Row],[PROJETO]]="CLARO",LEFT(Tabela4[[#This Row],[SITE2]],2),IF(Tabela4[[#This Row],[PROJETO]]="VIVO",RIGHT(LEFT(Tabela4[[#This Row],[SITE2]],10),2),""))</f>
        <v/>
      </c>
      <c r="H277" s="99"/>
    </row>
    <row r="278" spans="1:8">
      <c r="A278" s="119">
        <f>'BASE FINANCEIRO'!BI312</f>
        <v>0</v>
      </c>
      <c r="B278" s="24" t="str">
        <f t="shared" si="4"/>
        <v/>
      </c>
      <c r="C278" s="24" t="s">
        <v>2453</v>
      </c>
      <c r="D278" s="24" t="e">
        <f>IF(VLOOKUP('BASE FINANCEIRO'!BC312,'COD. PROJETOS'!B:D,3,0)="VIVO",MID('BASE FINANCEIRO'!BI312,36,3),IF(VLOOKUP('BASE FINANCEIRO'!BC312,'COD. PROJETOS'!B:D,3,0),MID('BASE FINANCEIRO'!BI312,36,7),IF(VLOOKUP('BASE FINANCEIRO'!BC312,'COD. PROJETOS'!B:D,3,0),MID('BASE FINANCEIRO'!BI312,36,9),"PROJETO?")))</f>
        <v>#N/A</v>
      </c>
      <c r="E278" s="24" t="e">
        <f>VLOOKUP(D278,'BASE MUNICÍPIO'!B259:C24994,2,0)</f>
        <v>#N/A</v>
      </c>
      <c r="F278" s="98" t="e">
        <f>VLOOKUP(D278,'BASE MUNICÍPIO'!B259:D24994,3,0)</f>
        <v>#N/A</v>
      </c>
      <c r="G278" s="97" t="str">
        <f>IF(Tabela4[[#This Row],[PROJETO]]="CLARO",LEFT(Tabela4[[#This Row],[SITE2]],2),IF(Tabela4[[#This Row],[PROJETO]]="VIVO",RIGHT(LEFT(Tabela4[[#This Row],[SITE2]],10),2),""))</f>
        <v/>
      </c>
      <c r="H278" s="99"/>
    </row>
    <row r="279" spans="1:8">
      <c r="A279" s="119">
        <f>'BASE FINANCEIRO'!BI313</f>
        <v>0</v>
      </c>
      <c r="B279" s="24" t="str">
        <f t="shared" si="4"/>
        <v/>
      </c>
      <c r="C279" s="24" t="s">
        <v>2453</v>
      </c>
      <c r="D279" s="24" t="e">
        <f>IF(VLOOKUP('BASE FINANCEIRO'!BC313,'COD. PROJETOS'!B:D,3,0)="VIVO",MID('BASE FINANCEIRO'!BI313,36,3),IF(VLOOKUP('BASE FINANCEIRO'!BC313,'COD. PROJETOS'!B:D,3,0),MID('BASE FINANCEIRO'!BI313,36,7),IF(VLOOKUP('BASE FINANCEIRO'!BC313,'COD. PROJETOS'!B:D,3,0),MID('BASE FINANCEIRO'!BI313,36,9),"PROJETO?")))</f>
        <v>#N/A</v>
      </c>
      <c r="E279" s="24" t="e">
        <f>VLOOKUP(D279,'BASE MUNICÍPIO'!B260:C24995,2,0)</f>
        <v>#N/A</v>
      </c>
      <c r="F279" s="98" t="e">
        <f>VLOOKUP(D279,'BASE MUNICÍPIO'!B260:D24995,3,0)</f>
        <v>#N/A</v>
      </c>
      <c r="G279" s="97" t="str">
        <f>IF(Tabela4[[#This Row],[PROJETO]]="CLARO",LEFT(Tabela4[[#This Row],[SITE2]],2),IF(Tabela4[[#This Row],[PROJETO]]="VIVO",RIGHT(LEFT(Tabela4[[#This Row],[SITE2]],10),2),""))</f>
        <v/>
      </c>
      <c r="H279" s="99"/>
    </row>
    <row r="280" spans="1:8">
      <c r="A280" s="119">
        <f>'BASE FINANCEIRO'!BI314</f>
        <v>0</v>
      </c>
      <c r="B280" s="24" t="str">
        <f t="shared" si="4"/>
        <v/>
      </c>
      <c r="C280" s="24" t="s">
        <v>2453</v>
      </c>
      <c r="D280" s="24" t="e">
        <f>IF(VLOOKUP('BASE FINANCEIRO'!BC314,'COD. PROJETOS'!B:D,3,0)="VIVO",MID('BASE FINANCEIRO'!BI314,36,3),IF(VLOOKUP('BASE FINANCEIRO'!BC314,'COD. PROJETOS'!B:D,3,0),MID('BASE FINANCEIRO'!BI314,36,7),IF(VLOOKUP('BASE FINANCEIRO'!BC314,'COD. PROJETOS'!B:D,3,0),MID('BASE FINANCEIRO'!BI314,36,9),"PROJETO?")))</f>
        <v>#N/A</v>
      </c>
      <c r="E280" s="24" t="e">
        <f>VLOOKUP(D280,'BASE MUNICÍPIO'!B261:C24996,2,0)</f>
        <v>#N/A</v>
      </c>
      <c r="F280" s="98" t="e">
        <f>VLOOKUP(D280,'BASE MUNICÍPIO'!B261:D24996,3,0)</f>
        <v>#N/A</v>
      </c>
      <c r="G280" s="97" t="str">
        <f>IF(Tabela4[[#This Row],[PROJETO]]="CLARO",LEFT(Tabela4[[#This Row],[SITE2]],2),IF(Tabela4[[#This Row],[PROJETO]]="VIVO",RIGHT(LEFT(Tabela4[[#This Row],[SITE2]],10),2),""))</f>
        <v/>
      </c>
      <c r="H280" s="99"/>
    </row>
    <row r="281" spans="1:8">
      <c r="A281" s="119">
        <f>'BASE FINANCEIRO'!BI315</f>
        <v>0</v>
      </c>
      <c r="B281" s="24" t="str">
        <f t="shared" si="4"/>
        <v/>
      </c>
      <c r="C281" s="24" t="s">
        <v>2453</v>
      </c>
      <c r="D281" s="24" t="e">
        <f>IF(VLOOKUP('BASE FINANCEIRO'!BC315,'COD. PROJETOS'!B:D,3,0)="VIVO",MID('BASE FINANCEIRO'!BI315,36,3),IF(VLOOKUP('BASE FINANCEIRO'!BC315,'COD. PROJETOS'!B:D,3,0),MID('BASE FINANCEIRO'!BI315,36,7),IF(VLOOKUP('BASE FINANCEIRO'!BC315,'COD. PROJETOS'!B:D,3,0),MID('BASE FINANCEIRO'!BI315,36,9),"PROJETO?")))</f>
        <v>#N/A</v>
      </c>
      <c r="E281" s="24" t="e">
        <f>VLOOKUP(D281,'BASE MUNICÍPIO'!B262:C24997,2,0)</f>
        <v>#N/A</v>
      </c>
      <c r="F281" s="98" t="e">
        <f>VLOOKUP(D281,'BASE MUNICÍPIO'!B262:D24997,3,0)</f>
        <v>#N/A</v>
      </c>
      <c r="G281" s="97" t="str">
        <f>IF(Tabela4[[#This Row],[PROJETO]]="CLARO",LEFT(Tabela4[[#This Row],[SITE2]],2),IF(Tabela4[[#This Row],[PROJETO]]="VIVO",RIGHT(LEFT(Tabela4[[#This Row],[SITE2]],10),2),""))</f>
        <v/>
      </c>
      <c r="H281" s="99"/>
    </row>
    <row r="282" spans="1:8">
      <c r="A282" s="119">
        <f>'BASE FINANCEIRO'!BI316</f>
        <v>0</v>
      </c>
      <c r="B282" s="24" t="str">
        <f t="shared" si="4"/>
        <v/>
      </c>
      <c r="C282" s="24" t="s">
        <v>2453</v>
      </c>
      <c r="D282" s="24" t="e">
        <f>IF(VLOOKUP('BASE FINANCEIRO'!BC316,'COD. PROJETOS'!B:D,3,0)="VIVO",MID('BASE FINANCEIRO'!BI316,36,3),IF(VLOOKUP('BASE FINANCEIRO'!BC316,'COD. PROJETOS'!B:D,3,0),MID('BASE FINANCEIRO'!BI316,36,7),IF(VLOOKUP('BASE FINANCEIRO'!BC316,'COD. PROJETOS'!B:D,3,0),MID('BASE FINANCEIRO'!BI316,36,9),"PROJETO?")))</f>
        <v>#N/A</v>
      </c>
      <c r="E282" s="24" t="e">
        <f>VLOOKUP(D282,'BASE MUNICÍPIO'!B263:C24998,2,0)</f>
        <v>#N/A</v>
      </c>
      <c r="F282" s="98" t="e">
        <f>VLOOKUP(D282,'BASE MUNICÍPIO'!B263:D24998,3,0)</f>
        <v>#N/A</v>
      </c>
      <c r="G282" s="97" t="str">
        <f>IF(Tabela4[[#This Row],[PROJETO]]="CLARO",LEFT(Tabela4[[#This Row],[SITE2]],2),IF(Tabela4[[#This Row],[PROJETO]]="VIVO",RIGHT(LEFT(Tabela4[[#This Row],[SITE2]],10),2),""))</f>
        <v/>
      </c>
      <c r="H282" s="99"/>
    </row>
    <row r="283" spans="1:8">
      <c r="A283" s="119">
        <f>'BASE FINANCEIRO'!BI317</f>
        <v>0</v>
      </c>
      <c r="B283" s="24" t="str">
        <f t="shared" si="4"/>
        <v/>
      </c>
      <c r="C283" s="24" t="s">
        <v>2453</v>
      </c>
      <c r="D283" s="24" t="e">
        <f>IF(VLOOKUP('BASE FINANCEIRO'!BC317,'COD. PROJETOS'!B:D,3,0)="VIVO",MID('BASE FINANCEIRO'!BI317,36,3),IF(VLOOKUP('BASE FINANCEIRO'!BC317,'COD. PROJETOS'!B:D,3,0),MID('BASE FINANCEIRO'!BI317,36,7),IF(VLOOKUP('BASE FINANCEIRO'!BC317,'COD. PROJETOS'!B:D,3,0),MID('BASE FINANCEIRO'!BI317,36,9),"PROJETO?")))</f>
        <v>#N/A</v>
      </c>
      <c r="E283" s="24" t="e">
        <f>VLOOKUP(D283,'BASE MUNICÍPIO'!B264:C24999,2,0)</f>
        <v>#N/A</v>
      </c>
      <c r="F283" s="98" t="e">
        <f>VLOOKUP(D283,'BASE MUNICÍPIO'!B264:D24999,3,0)</f>
        <v>#N/A</v>
      </c>
      <c r="G283" s="97" t="str">
        <f>IF(Tabela4[[#This Row],[PROJETO]]="CLARO",LEFT(Tabela4[[#This Row],[SITE2]],2),IF(Tabela4[[#This Row],[PROJETO]]="VIVO",RIGHT(LEFT(Tabela4[[#This Row],[SITE2]],10),2),""))</f>
        <v/>
      </c>
      <c r="H283" s="99"/>
    </row>
    <row r="284" spans="1:8">
      <c r="A284" s="119">
        <f>'BASE FINANCEIRO'!BI318</f>
        <v>0</v>
      </c>
      <c r="B284" s="24" t="str">
        <f t="shared" si="4"/>
        <v/>
      </c>
      <c r="C284" s="24" t="s">
        <v>2453</v>
      </c>
      <c r="D284" s="24" t="e">
        <f>IF(VLOOKUP('BASE FINANCEIRO'!BC318,'COD. PROJETOS'!B:D,3,0)="VIVO",MID('BASE FINANCEIRO'!BI318,36,3),IF(VLOOKUP('BASE FINANCEIRO'!BC318,'COD. PROJETOS'!B:D,3,0),MID('BASE FINANCEIRO'!BI318,36,7),IF(VLOOKUP('BASE FINANCEIRO'!BC318,'COD. PROJETOS'!B:D,3,0),MID('BASE FINANCEIRO'!BI318,36,9),"PROJETO?")))</f>
        <v>#N/A</v>
      </c>
      <c r="E284" s="24" t="e">
        <f>VLOOKUP(D284,'BASE MUNICÍPIO'!B265:C25000,2,0)</f>
        <v>#N/A</v>
      </c>
      <c r="F284" s="98" t="e">
        <f>VLOOKUP(D284,'BASE MUNICÍPIO'!B265:D25000,3,0)</f>
        <v>#N/A</v>
      </c>
      <c r="G284" s="97" t="str">
        <f>IF(Tabela4[[#This Row],[PROJETO]]="CLARO",LEFT(Tabela4[[#This Row],[SITE2]],2),IF(Tabela4[[#This Row],[PROJETO]]="VIVO",RIGHT(LEFT(Tabela4[[#This Row],[SITE2]],10),2),""))</f>
        <v/>
      </c>
      <c r="H284" s="99"/>
    </row>
    <row r="285" spans="1:8">
      <c r="A285" s="119">
        <f>'BASE FINANCEIRO'!BI319</f>
        <v>0</v>
      </c>
      <c r="B285" s="24" t="str">
        <f t="shared" si="4"/>
        <v/>
      </c>
      <c r="C285" s="24" t="s">
        <v>2453</v>
      </c>
      <c r="D285" s="24" t="e">
        <f>IF(VLOOKUP('BASE FINANCEIRO'!BC319,'COD. PROJETOS'!B:D,3,0)="VIVO",MID('BASE FINANCEIRO'!BI319,36,3),IF(VLOOKUP('BASE FINANCEIRO'!BC319,'COD. PROJETOS'!B:D,3,0),MID('BASE FINANCEIRO'!BI319,36,7),IF(VLOOKUP('BASE FINANCEIRO'!BC319,'COD. PROJETOS'!B:D,3,0),MID('BASE FINANCEIRO'!BI319,36,9),"PROJETO?")))</f>
        <v>#N/A</v>
      </c>
      <c r="E285" s="24" t="e">
        <f>VLOOKUP(D285,'BASE MUNICÍPIO'!B266:C25001,2,0)</f>
        <v>#N/A</v>
      </c>
      <c r="F285" s="98" t="e">
        <f>VLOOKUP(D285,'BASE MUNICÍPIO'!B266:D25001,3,0)</f>
        <v>#N/A</v>
      </c>
      <c r="G285" s="97" t="str">
        <f>IF(Tabela4[[#This Row],[PROJETO]]="CLARO",LEFT(Tabela4[[#This Row],[SITE2]],2),IF(Tabela4[[#This Row],[PROJETO]]="VIVO",RIGHT(LEFT(Tabela4[[#This Row],[SITE2]],10),2),""))</f>
        <v/>
      </c>
      <c r="H285" s="99"/>
    </row>
    <row r="286" spans="1:8">
      <c r="A286" s="119">
        <f>'BASE FINANCEIRO'!BI320</f>
        <v>0</v>
      </c>
      <c r="B286" s="24" t="str">
        <f t="shared" si="4"/>
        <v/>
      </c>
      <c r="C286" s="24" t="s">
        <v>2453</v>
      </c>
      <c r="D286" s="24" t="e">
        <f>IF(VLOOKUP('BASE FINANCEIRO'!BC320,'COD. PROJETOS'!B:D,3,0)="VIVO",MID('BASE FINANCEIRO'!BI320,36,3),IF(VLOOKUP('BASE FINANCEIRO'!BC320,'COD. PROJETOS'!B:D,3,0),MID('BASE FINANCEIRO'!BI320,36,7),IF(VLOOKUP('BASE FINANCEIRO'!BC320,'COD. PROJETOS'!B:D,3,0),MID('BASE FINANCEIRO'!BI320,36,9),"PROJETO?")))</f>
        <v>#N/A</v>
      </c>
      <c r="E286" s="24" t="e">
        <f>VLOOKUP(D286,'BASE MUNICÍPIO'!B267:C25002,2,0)</f>
        <v>#N/A</v>
      </c>
      <c r="F286" s="98" t="e">
        <f>VLOOKUP(D286,'BASE MUNICÍPIO'!B267:D25002,3,0)</f>
        <v>#N/A</v>
      </c>
      <c r="G286" s="97" t="str">
        <f>IF(Tabela4[[#This Row],[PROJETO]]="CLARO",LEFT(Tabela4[[#This Row],[SITE2]],2),IF(Tabela4[[#This Row],[PROJETO]]="VIVO",RIGHT(LEFT(Tabela4[[#This Row],[SITE2]],10),2),""))</f>
        <v/>
      </c>
      <c r="H286" s="99"/>
    </row>
    <row r="287" spans="1:8">
      <c r="A287" s="119">
        <f>'BASE FINANCEIRO'!BI321</f>
        <v>0</v>
      </c>
      <c r="B287" s="24" t="str">
        <f t="shared" si="4"/>
        <v/>
      </c>
      <c r="C287" s="24" t="s">
        <v>2453</v>
      </c>
      <c r="D287" s="24" t="e">
        <f>IF(VLOOKUP('BASE FINANCEIRO'!BC321,'COD. PROJETOS'!B:D,3,0)="VIVO",MID('BASE FINANCEIRO'!BI321,36,3),IF(VLOOKUP('BASE FINANCEIRO'!BC321,'COD. PROJETOS'!B:D,3,0),MID('BASE FINANCEIRO'!BI321,36,7),IF(VLOOKUP('BASE FINANCEIRO'!BC321,'COD. PROJETOS'!B:D,3,0),MID('BASE FINANCEIRO'!BI321,36,9),"PROJETO?")))</f>
        <v>#N/A</v>
      </c>
      <c r="E287" s="24" t="e">
        <f>VLOOKUP(D287,'BASE MUNICÍPIO'!B268:C25003,2,0)</f>
        <v>#N/A</v>
      </c>
      <c r="F287" s="98" t="e">
        <f>VLOOKUP(D287,'BASE MUNICÍPIO'!B268:D25003,3,0)</f>
        <v>#N/A</v>
      </c>
      <c r="G287" s="97" t="str">
        <f>IF(Tabela4[[#This Row],[PROJETO]]="CLARO",LEFT(Tabela4[[#This Row],[SITE2]],2),IF(Tabela4[[#This Row],[PROJETO]]="VIVO",RIGHT(LEFT(Tabela4[[#This Row],[SITE2]],10),2),""))</f>
        <v/>
      </c>
      <c r="H287" s="99"/>
    </row>
    <row r="288" spans="1:8">
      <c r="A288" s="119">
        <f>'BASE FINANCEIRO'!BI322</f>
        <v>0</v>
      </c>
      <c r="B288" s="24" t="str">
        <f t="shared" si="4"/>
        <v/>
      </c>
      <c r="C288" s="24" t="s">
        <v>2453</v>
      </c>
      <c r="D288" s="24" t="e">
        <f>IF(VLOOKUP('BASE FINANCEIRO'!BC322,'COD. PROJETOS'!B:D,3,0)="VIVO",MID('BASE FINANCEIRO'!BI322,36,3),IF(VLOOKUP('BASE FINANCEIRO'!BC322,'COD. PROJETOS'!B:D,3,0),MID('BASE FINANCEIRO'!BI322,36,7),IF(VLOOKUP('BASE FINANCEIRO'!BC322,'COD. PROJETOS'!B:D,3,0),MID('BASE FINANCEIRO'!BI322,36,9),"PROJETO?")))</f>
        <v>#N/A</v>
      </c>
      <c r="E288" s="24" t="e">
        <f>VLOOKUP(D288,'BASE MUNICÍPIO'!B269:C25004,2,0)</f>
        <v>#N/A</v>
      </c>
      <c r="F288" s="98" t="e">
        <f>VLOOKUP(D288,'BASE MUNICÍPIO'!B269:D25004,3,0)</f>
        <v>#N/A</v>
      </c>
      <c r="G288" s="97" t="str">
        <f>IF(Tabela4[[#This Row],[PROJETO]]="CLARO",LEFT(Tabela4[[#This Row],[SITE2]],2),IF(Tabela4[[#This Row],[PROJETO]]="VIVO",RIGHT(LEFT(Tabela4[[#This Row],[SITE2]],10),2),""))</f>
        <v/>
      </c>
      <c r="H288" s="99"/>
    </row>
    <row r="289" spans="1:8">
      <c r="A289" s="119">
        <f>'BASE FINANCEIRO'!BI323</f>
        <v>0</v>
      </c>
      <c r="B289" s="24" t="str">
        <f t="shared" si="4"/>
        <v/>
      </c>
      <c r="C289" s="24" t="s">
        <v>2453</v>
      </c>
      <c r="D289" s="24" t="e">
        <f>IF(VLOOKUP('BASE FINANCEIRO'!BC323,'COD. PROJETOS'!B:D,3,0)="VIVO",MID('BASE FINANCEIRO'!BI323,36,3),IF(VLOOKUP('BASE FINANCEIRO'!BC323,'COD. PROJETOS'!B:D,3,0),MID('BASE FINANCEIRO'!BI323,36,7),IF(VLOOKUP('BASE FINANCEIRO'!BC323,'COD. PROJETOS'!B:D,3,0),MID('BASE FINANCEIRO'!BI323,36,9),"PROJETO?")))</f>
        <v>#N/A</v>
      </c>
      <c r="E289" s="24" t="e">
        <f>VLOOKUP(D289,'BASE MUNICÍPIO'!B270:C25005,2,0)</f>
        <v>#N/A</v>
      </c>
      <c r="F289" s="98" t="e">
        <f>VLOOKUP(D289,'BASE MUNICÍPIO'!B270:D25005,3,0)</f>
        <v>#N/A</v>
      </c>
      <c r="G289" s="97" t="str">
        <f>IF(Tabela4[[#This Row],[PROJETO]]="CLARO",LEFT(Tabela4[[#This Row],[SITE2]],2),IF(Tabela4[[#This Row],[PROJETO]]="VIVO",RIGHT(LEFT(Tabela4[[#This Row],[SITE2]],10),2),""))</f>
        <v/>
      </c>
      <c r="H289" s="99"/>
    </row>
    <row r="290" spans="1:8">
      <c r="A290" s="119">
        <f>'BASE FINANCEIRO'!BI324</f>
        <v>0</v>
      </c>
      <c r="B290" s="24" t="str">
        <f t="shared" si="4"/>
        <v/>
      </c>
      <c r="C290" s="24" t="s">
        <v>2453</v>
      </c>
      <c r="D290" s="24" t="e">
        <f>IF(VLOOKUP('BASE FINANCEIRO'!BC324,'COD. PROJETOS'!B:D,3,0)="VIVO",MID('BASE FINANCEIRO'!BI324,36,3),IF(VLOOKUP('BASE FINANCEIRO'!BC324,'COD. PROJETOS'!B:D,3,0),MID('BASE FINANCEIRO'!BI324,36,7),IF(VLOOKUP('BASE FINANCEIRO'!BC324,'COD. PROJETOS'!B:D,3,0),MID('BASE FINANCEIRO'!BI324,36,9),"PROJETO?")))</f>
        <v>#N/A</v>
      </c>
      <c r="E290" s="24" t="e">
        <f>VLOOKUP(D290,'BASE MUNICÍPIO'!B271:C25006,2,0)</f>
        <v>#N/A</v>
      </c>
      <c r="F290" s="98" t="e">
        <f>VLOOKUP(D290,'BASE MUNICÍPIO'!B271:D25006,3,0)</f>
        <v>#N/A</v>
      </c>
      <c r="G290" s="97" t="str">
        <f>IF(Tabela4[[#This Row],[PROJETO]]="CLARO",LEFT(Tabela4[[#This Row],[SITE2]],2),IF(Tabela4[[#This Row],[PROJETO]]="VIVO",RIGHT(LEFT(Tabela4[[#This Row],[SITE2]],10),2),""))</f>
        <v/>
      </c>
      <c r="H290" s="99"/>
    </row>
    <row r="291" spans="1:8">
      <c r="A291" s="119">
        <f>'BASE FINANCEIRO'!BI325</f>
        <v>0</v>
      </c>
      <c r="B291" s="24" t="str">
        <f t="shared" si="4"/>
        <v/>
      </c>
      <c r="C291" s="24" t="s">
        <v>2453</v>
      </c>
      <c r="D291" s="24" t="e">
        <f>IF(VLOOKUP('BASE FINANCEIRO'!BC325,'COD. PROJETOS'!B:D,3,0)="VIVO",MID('BASE FINANCEIRO'!BI325,36,3),IF(VLOOKUP('BASE FINANCEIRO'!BC325,'COD. PROJETOS'!B:D,3,0),MID('BASE FINANCEIRO'!BI325,36,7),IF(VLOOKUP('BASE FINANCEIRO'!BC325,'COD. PROJETOS'!B:D,3,0),MID('BASE FINANCEIRO'!BI325,36,9),"PROJETO?")))</f>
        <v>#N/A</v>
      </c>
      <c r="E291" s="24" t="e">
        <f>VLOOKUP(D291,'BASE MUNICÍPIO'!B272:C25007,2,0)</f>
        <v>#N/A</v>
      </c>
      <c r="F291" s="98" t="e">
        <f>VLOOKUP(D291,'BASE MUNICÍPIO'!B272:D25007,3,0)</f>
        <v>#N/A</v>
      </c>
      <c r="G291" s="97" t="str">
        <f>IF(Tabela4[[#This Row],[PROJETO]]="CLARO",LEFT(Tabela4[[#This Row],[SITE2]],2),IF(Tabela4[[#This Row],[PROJETO]]="VIVO",RIGHT(LEFT(Tabela4[[#This Row],[SITE2]],10),2),""))</f>
        <v/>
      </c>
      <c r="H291" s="99"/>
    </row>
    <row r="292" spans="1:8">
      <c r="A292" s="119">
        <f>'BASE FINANCEIRO'!BI326</f>
        <v>0</v>
      </c>
      <c r="B292" s="24" t="str">
        <f t="shared" si="4"/>
        <v/>
      </c>
      <c r="C292" s="24" t="s">
        <v>2453</v>
      </c>
      <c r="D292" s="24" t="e">
        <f>IF(VLOOKUP('BASE FINANCEIRO'!BC326,'COD. PROJETOS'!B:D,3,0)="VIVO",MID('BASE FINANCEIRO'!BI326,36,3),IF(VLOOKUP('BASE FINANCEIRO'!BC326,'COD. PROJETOS'!B:D,3,0),MID('BASE FINANCEIRO'!BI326,36,7),IF(VLOOKUP('BASE FINANCEIRO'!BC326,'COD. PROJETOS'!B:D,3,0),MID('BASE FINANCEIRO'!BI326,36,9),"PROJETO?")))</f>
        <v>#N/A</v>
      </c>
      <c r="E292" s="24" t="e">
        <f>VLOOKUP(D292,'BASE MUNICÍPIO'!B273:C25008,2,0)</f>
        <v>#N/A</v>
      </c>
      <c r="F292" s="98" t="e">
        <f>VLOOKUP(D292,'BASE MUNICÍPIO'!B273:D25008,3,0)</f>
        <v>#N/A</v>
      </c>
      <c r="G292" s="97" t="str">
        <f>IF(Tabela4[[#This Row],[PROJETO]]="CLARO",LEFT(Tabela4[[#This Row],[SITE2]],2),IF(Tabela4[[#This Row],[PROJETO]]="VIVO",RIGHT(LEFT(Tabela4[[#This Row],[SITE2]],10),2),""))</f>
        <v/>
      </c>
      <c r="H292" s="99"/>
    </row>
    <row r="293" spans="1:8">
      <c r="A293" s="119">
        <f>'BASE FINANCEIRO'!BI327</f>
        <v>0</v>
      </c>
      <c r="B293" s="24" t="str">
        <f t="shared" si="4"/>
        <v/>
      </c>
      <c r="C293" s="24" t="s">
        <v>2453</v>
      </c>
      <c r="D293" s="24" t="e">
        <f>IF(VLOOKUP('BASE FINANCEIRO'!BC327,'COD. PROJETOS'!B:D,3,0)="VIVO",MID('BASE FINANCEIRO'!BI327,36,3),IF(VLOOKUP('BASE FINANCEIRO'!BC327,'COD. PROJETOS'!B:D,3,0),MID('BASE FINANCEIRO'!BI327,36,7),IF(VLOOKUP('BASE FINANCEIRO'!BC327,'COD. PROJETOS'!B:D,3,0),MID('BASE FINANCEIRO'!BI327,36,9),"PROJETO?")))</f>
        <v>#N/A</v>
      </c>
      <c r="E293" s="24" t="e">
        <f>VLOOKUP(D293,'BASE MUNICÍPIO'!B274:C25009,2,0)</f>
        <v>#N/A</v>
      </c>
      <c r="F293" s="98" t="e">
        <f>VLOOKUP(D293,'BASE MUNICÍPIO'!B274:D25009,3,0)</f>
        <v>#N/A</v>
      </c>
      <c r="G293" s="97" t="str">
        <f>IF(Tabela4[[#This Row],[PROJETO]]="CLARO",LEFT(Tabela4[[#This Row],[SITE2]],2),IF(Tabela4[[#This Row],[PROJETO]]="VIVO",RIGHT(LEFT(Tabela4[[#This Row],[SITE2]],10),2),""))</f>
        <v/>
      </c>
      <c r="H293" s="99"/>
    </row>
    <row r="294" spans="1:8">
      <c r="A294" s="119">
        <f>'BASE FINANCEIRO'!BI328</f>
        <v>0</v>
      </c>
      <c r="B294" s="24" t="str">
        <f t="shared" si="4"/>
        <v/>
      </c>
      <c r="C294" s="24" t="s">
        <v>2453</v>
      </c>
      <c r="D294" s="24" t="e">
        <f>IF(VLOOKUP('BASE FINANCEIRO'!BC328,'COD. PROJETOS'!B:D,3,0)="VIVO",MID('BASE FINANCEIRO'!BI328,36,3),IF(VLOOKUP('BASE FINANCEIRO'!BC328,'COD. PROJETOS'!B:D,3,0),MID('BASE FINANCEIRO'!BI328,36,7),IF(VLOOKUP('BASE FINANCEIRO'!BC328,'COD. PROJETOS'!B:D,3,0),MID('BASE FINANCEIRO'!BI328,36,9),"PROJETO?")))</f>
        <v>#N/A</v>
      </c>
      <c r="E294" s="24" t="e">
        <f>VLOOKUP(D294,'BASE MUNICÍPIO'!B275:C25010,2,0)</f>
        <v>#N/A</v>
      </c>
      <c r="F294" s="98" t="e">
        <f>VLOOKUP(D294,'BASE MUNICÍPIO'!B275:D25010,3,0)</f>
        <v>#N/A</v>
      </c>
      <c r="G294" s="97" t="str">
        <f>IF(Tabela4[[#This Row],[PROJETO]]="CLARO",LEFT(Tabela4[[#This Row],[SITE2]],2),IF(Tabela4[[#This Row],[PROJETO]]="VIVO",RIGHT(LEFT(Tabela4[[#This Row],[SITE2]],10),2),""))</f>
        <v/>
      </c>
      <c r="H294" s="99"/>
    </row>
    <row r="295" spans="1:8">
      <c r="A295" s="119">
        <f>'BASE FINANCEIRO'!BI329</f>
        <v>0</v>
      </c>
      <c r="B295" s="24" t="str">
        <f t="shared" si="4"/>
        <v/>
      </c>
      <c r="C295" s="24" t="s">
        <v>2453</v>
      </c>
      <c r="D295" s="24" t="e">
        <f>IF(VLOOKUP('BASE FINANCEIRO'!BC329,'COD. PROJETOS'!B:D,3,0)="VIVO",MID('BASE FINANCEIRO'!BI329,36,3),IF(VLOOKUP('BASE FINANCEIRO'!BC329,'COD. PROJETOS'!B:D,3,0),MID('BASE FINANCEIRO'!BI329,36,7),IF(VLOOKUP('BASE FINANCEIRO'!BC329,'COD. PROJETOS'!B:D,3,0),MID('BASE FINANCEIRO'!BI329,36,9),"PROJETO?")))</f>
        <v>#N/A</v>
      </c>
      <c r="E295" s="24" t="e">
        <f>VLOOKUP(D295,'BASE MUNICÍPIO'!B276:C25011,2,0)</f>
        <v>#N/A</v>
      </c>
      <c r="F295" s="98" t="e">
        <f>VLOOKUP(D295,'BASE MUNICÍPIO'!B276:D25011,3,0)</f>
        <v>#N/A</v>
      </c>
      <c r="G295" s="97" t="str">
        <f>IF(Tabela4[[#This Row],[PROJETO]]="CLARO",LEFT(Tabela4[[#This Row],[SITE2]],2),IF(Tabela4[[#This Row],[PROJETO]]="VIVO",RIGHT(LEFT(Tabela4[[#This Row],[SITE2]],10),2),""))</f>
        <v/>
      </c>
      <c r="H295" s="99"/>
    </row>
    <row r="296" spans="1:8">
      <c r="A296" s="119">
        <f>'BASE FINANCEIRO'!BI330</f>
        <v>0</v>
      </c>
      <c r="B296" s="24" t="str">
        <f t="shared" si="4"/>
        <v/>
      </c>
      <c r="C296" s="24" t="s">
        <v>2453</v>
      </c>
      <c r="D296" s="24" t="e">
        <f>IF(VLOOKUP('BASE FINANCEIRO'!BC330,'COD. PROJETOS'!B:D,3,0)="VIVO",MID('BASE FINANCEIRO'!BI330,36,3),IF(VLOOKUP('BASE FINANCEIRO'!BC330,'COD. PROJETOS'!B:D,3,0),MID('BASE FINANCEIRO'!BI330,36,7),IF(VLOOKUP('BASE FINANCEIRO'!BC330,'COD. PROJETOS'!B:D,3,0),MID('BASE FINANCEIRO'!BI330,36,9),"PROJETO?")))</f>
        <v>#N/A</v>
      </c>
      <c r="E296" s="24" t="e">
        <f>VLOOKUP(D296,'BASE MUNICÍPIO'!B277:C25012,2,0)</f>
        <v>#N/A</v>
      </c>
      <c r="F296" s="98" t="e">
        <f>VLOOKUP(D296,'BASE MUNICÍPIO'!B277:D25012,3,0)</f>
        <v>#N/A</v>
      </c>
      <c r="G296" s="97" t="str">
        <f>IF(Tabela4[[#This Row],[PROJETO]]="CLARO",LEFT(Tabela4[[#This Row],[SITE2]],2),IF(Tabela4[[#This Row],[PROJETO]]="VIVO",RIGHT(LEFT(Tabela4[[#This Row],[SITE2]],10),2),""))</f>
        <v/>
      </c>
      <c r="H296" s="99"/>
    </row>
    <row r="297" spans="1:8">
      <c r="A297" s="119">
        <f>'BASE FINANCEIRO'!BI331</f>
        <v>0</v>
      </c>
      <c r="B297" s="24" t="str">
        <f t="shared" si="4"/>
        <v/>
      </c>
      <c r="C297" s="24" t="s">
        <v>2453</v>
      </c>
      <c r="D297" s="24" t="e">
        <f>IF(VLOOKUP('BASE FINANCEIRO'!BC331,'COD. PROJETOS'!B:D,3,0)="VIVO",MID('BASE FINANCEIRO'!BI331,36,3),IF(VLOOKUP('BASE FINANCEIRO'!BC331,'COD. PROJETOS'!B:D,3,0),MID('BASE FINANCEIRO'!BI331,36,7),IF(VLOOKUP('BASE FINANCEIRO'!BC331,'COD. PROJETOS'!B:D,3,0),MID('BASE FINANCEIRO'!BI331,36,9),"PROJETO?")))</f>
        <v>#N/A</v>
      </c>
      <c r="E297" s="24" t="e">
        <f>VLOOKUP(D297,'BASE MUNICÍPIO'!B278:C25013,2,0)</f>
        <v>#N/A</v>
      </c>
      <c r="F297" s="98" t="e">
        <f>VLOOKUP(D297,'BASE MUNICÍPIO'!B278:D25013,3,0)</f>
        <v>#N/A</v>
      </c>
      <c r="G297" s="97" t="str">
        <f>IF(Tabela4[[#This Row],[PROJETO]]="CLARO",LEFT(Tabela4[[#This Row],[SITE2]],2),IF(Tabela4[[#This Row],[PROJETO]]="VIVO",RIGHT(LEFT(Tabela4[[#This Row],[SITE2]],10),2),""))</f>
        <v/>
      </c>
      <c r="H297" s="99"/>
    </row>
    <row r="298" spans="1:8">
      <c r="A298" s="119">
        <f>'BASE FINANCEIRO'!BI332</f>
        <v>0</v>
      </c>
      <c r="B298" s="24" t="str">
        <f t="shared" si="4"/>
        <v/>
      </c>
      <c r="C298" s="24" t="s">
        <v>2453</v>
      </c>
      <c r="D298" s="24" t="e">
        <f>IF(VLOOKUP('BASE FINANCEIRO'!BC332,'COD. PROJETOS'!B:D,3,0)="VIVO",MID('BASE FINANCEIRO'!BI332,36,3),IF(VLOOKUP('BASE FINANCEIRO'!BC332,'COD. PROJETOS'!B:D,3,0),MID('BASE FINANCEIRO'!BI332,36,7),IF(VLOOKUP('BASE FINANCEIRO'!BC332,'COD. PROJETOS'!B:D,3,0),MID('BASE FINANCEIRO'!BI332,36,9),"PROJETO?")))</f>
        <v>#N/A</v>
      </c>
      <c r="E298" s="24" t="e">
        <f>VLOOKUP(D298,'BASE MUNICÍPIO'!B279:C25014,2,0)</f>
        <v>#N/A</v>
      </c>
      <c r="F298" s="98" t="e">
        <f>VLOOKUP(D298,'BASE MUNICÍPIO'!B279:D25014,3,0)</f>
        <v>#N/A</v>
      </c>
      <c r="G298" s="97" t="str">
        <f>IF(Tabela4[[#This Row],[PROJETO]]="CLARO",LEFT(Tabela4[[#This Row],[SITE2]],2),IF(Tabela4[[#This Row],[PROJETO]]="VIVO",RIGHT(LEFT(Tabela4[[#This Row],[SITE2]],10),2),""))</f>
        <v/>
      </c>
      <c r="H298" s="99"/>
    </row>
    <row r="299" spans="1:8">
      <c r="A299" s="119">
        <f>'BASE FINANCEIRO'!BI333</f>
        <v>0</v>
      </c>
      <c r="B299" s="24" t="str">
        <f t="shared" si="4"/>
        <v/>
      </c>
      <c r="C299" s="24" t="s">
        <v>2453</v>
      </c>
      <c r="D299" s="24" t="e">
        <f>IF(VLOOKUP('BASE FINANCEIRO'!BC333,'COD. PROJETOS'!B:D,3,0)="VIVO",MID('BASE FINANCEIRO'!BI333,36,3),IF(VLOOKUP('BASE FINANCEIRO'!BC333,'COD. PROJETOS'!B:D,3,0),MID('BASE FINANCEIRO'!BI333,36,7),IF(VLOOKUP('BASE FINANCEIRO'!BC333,'COD. PROJETOS'!B:D,3,0),MID('BASE FINANCEIRO'!BI333,36,9),"PROJETO?")))</f>
        <v>#N/A</v>
      </c>
      <c r="E299" s="24" t="e">
        <f>VLOOKUP(D299,'BASE MUNICÍPIO'!B280:C25015,2,0)</f>
        <v>#N/A</v>
      </c>
      <c r="F299" s="98" t="e">
        <f>VLOOKUP(D299,'BASE MUNICÍPIO'!B280:D25015,3,0)</f>
        <v>#N/A</v>
      </c>
      <c r="G299" s="97" t="str">
        <f>IF(Tabela4[[#This Row],[PROJETO]]="CLARO",LEFT(Tabela4[[#This Row],[SITE2]],2),IF(Tabela4[[#This Row],[PROJETO]]="VIVO",RIGHT(LEFT(Tabela4[[#This Row],[SITE2]],10),2),""))</f>
        <v/>
      </c>
      <c r="H299" s="99"/>
    </row>
    <row r="300" spans="1:8">
      <c r="A300" s="119">
        <f>'BASE FINANCEIRO'!BI334</f>
        <v>0</v>
      </c>
      <c r="B300" s="24" t="str">
        <f t="shared" si="4"/>
        <v/>
      </c>
      <c r="C300" s="24" t="s">
        <v>2453</v>
      </c>
      <c r="D300" s="24" t="e">
        <f>IF(VLOOKUP('BASE FINANCEIRO'!BC334,'COD. PROJETOS'!B:D,3,0)="VIVO",MID('BASE FINANCEIRO'!BI334,36,3),IF(VLOOKUP('BASE FINANCEIRO'!BC334,'COD. PROJETOS'!B:D,3,0),MID('BASE FINANCEIRO'!BI334,36,7),IF(VLOOKUP('BASE FINANCEIRO'!BC334,'COD. PROJETOS'!B:D,3,0),MID('BASE FINANCEIRO'!BI334,36,9),"PROJETO?")))</f>
        <v>#N/A</v>
      </c>
      <c r="E300" s="24" t="e">
        <f>VLOOKUP(D300,'BASE MUNICÍPIO'!B281:C25016,2,0)</f>
        <v>#N/A</v>
      </c>
      <c r="F300" s="98" t="e">
        <f>VLOOKUP(D300,'BASE MUNICÍPIO'!B281:D25016,3,0)</f>
        <v>#N/A</v>
      </c>
      <c r="G300" s="97" t="str">
        <f>IF(Tabela4[[#This Row],[PROJETO]]="CLARO",LEFT(Tabela4[[#This Row],[SITE2]],2),IF(Tabela4[[#This Row],[PROJETO]]="VIVO",RIGHT(LEFT(Tabela4[[#This Row],[SITE2]],10),2),""))</f>
        <v/>
      </c>
      <c r="H300" s="99"/>
    </row>
    <row r="301" spans="1:8">
      <c r="A301" s="119">
        <f>'BASE FINANCEIRO'!BI335</f>
        <v>0</v>
      </c>
      <c r="B301" s="24" t="str">
        <f t="shared" si="4"/>
        <v/>
      </c>
      <c r="C301" s="24" t="s">
        <v>2453</v>
      </c>
      <c r="D301" s="24" t="e">
        <f>IF(VLOOKUP('BASE FINANCEIRO'!BC335,'COD. PROJETOS'!B:D,3,0)="VIVO",MID('BASE FINANCEIRO'!BI335,36,3),IF(VLOOKUP('BASE FINANCEIRO'!BC335,'COD. PROJETOS'!B:D,3,0),MID('BASE FINANCEIRO'!BI335,36,7),IF(VLOOKUP('BASE FINANCEIRO'!BC335,'COD. PROJETOS'!B:D,3,0),MID('BASE FINANCEIRO'!BI335,36,9),"PROJETO?")))</f>
        <v>#N/A</v>
      </c>
      <c r="E301" s="24" t="e">
        <f>VLOOKUP(D301,'BASE MUNICÍPIO'!B282:C25017,2,0)</f>
        <v>#N/A</v>
      </c>
      <c r="F301" s="98" t="e">
        <f>VLOOKUP(D301,'BASE MUNICÍPIO'!B282:D25017,3,0)</f>
        <v>#N/A</v>
      </c>
      <c r="G301" s="97" t="str">
        <f>IF(Tabela4[[#This Row],[PROJETO]]="CLARO",LEFT(Tabela4[[#This Row],[SITE2]],2),IF(Tabela4[[#This Row],[PROJETO]]="VIVO",RIGHT(LEFT(Tabela4[[#This Row],[SITE2]],10),2),""))</f>
        <v/>
      </c>
      <c r="H301" s="99"/>
    </row>
    <row r="302" spans="1:8">
      <c r="A302" s="119">
        <f>'BASE FINANCEIRO'!BI336</f>
        <v>0</v>
      </c>
      <c r="B302" s="24" t="str">
        <f t="shared" si="4"/>
        <v/>
      </c>
      <c r="C302" s="24" t="s">
        <v>2453</v>
      </c>
      <c r="D302" s="24" t="e">
        <f>IF(VLOOKUP('BASE FINANCEIRO'!BC336,'COD. PROJETOS'!B:D,3,0)="VIVO",MID('BASE FINANCEIRO'!BI336,36,3),IF(VLOOKUP('BASE FINANCEIRO'!BC336,'COD. PROJETOS'!B:D,3,0),MID('BASE FINANCEIRO'!BI336,36,7),IF(VLOOKUP('BASE FINANCEIRO'!BC336,'COD. PROJETOS'!B:D,3,0),MID('BASE FINANCEIRO'!BI336,36,9),"PROJETO?")))</f>
        <v>#N/A</v>
      </c>
      <c r="E302" s="24" t="e">
        <f>VLOOKUP(D302,'BASE MUNICÍPIO'!B283:C25018,2,0)</f>
        <v>#N/A</v>
      </c>
      <c r="F302" s="98" t="e">
        <f>VLOOKUP(D302,'BASE MUNICÍPIO'!B283:D25018,3,0)</f>
        <v>#N/A</v>
      </c>
      <c r="G302" s="97" t="str">
        <f>IF(Tabela4[[#This Row],[PROJETO]]="CLARO",LEFT(Tabela4[[#This Row],[SITE2]],2),IF(Tabela4[[#This Row],[PROJETO]]="VIVO",RIGHT(LEFT(Tabela4[[#This Row],[SITE2]],10),2),""))</f>
        <v/>
      </c>
      <c r="H302" s="99"/>
    </row>
    <row r="303" spans="1:8">
      <c r="A303" s="119">
        <f>'BASE FINANCEIRO'!BI337</f>
        <v>0</v>
      </c>
      <c r="B303" s="24" t="str">
        <f t="shared" si="4"/>
        <v/>
      </c>
      <c r="C303" s="24" t="s">
        <v>2453</v>
      </c>
      <c r="D303" s="24" t="e">
        <f>IF(VLOOKUP('BASE FINANCEIRO'!BC337,'COD. PROJETOS'!B:D,3,0)="VIVO",MID('BASE FINANCEIRO'!BI337,36,3),IF(VLOOKUP('BASE FINANCEIRO'!BC337,'COD. PROJETOS'!B:D,3,0),MID('BASE FINANCEIRO'!BI337,36,7),IF(VLOOKUP('BASE FINANCEIRO'!BC337,'COD. PROJETOS'!B:D,3,0),MID('BASE FINANCEIRO'!BI337,36,9),"PROJETO?")))</f>
        <v>#N/A</v>
      </c>
      <c r="E303" s="24" t="e">
        <f>VLOOKUP(D303,'BASE MUNICÍPIO'!B284:C25019,2,0)</f>
        <v>#N/A</v>
      </c>
      <c r="F303" s="98" t="e">
        <f>VLOOKUP(D303,'BASE MUNICÍPIO'!B284:D25019,3,0)</f>
        <v>#N/A</v>
      </c>
      <c r="G303" s="97" t="str">
        <f>IF(Tabela4[[#This Row],[PROJETO]]="CLARO",LEFT(Tabela4[[#This Row],[SITE2]],2),IF(Tabela4[[#This Row],[PROJETO]]="VIVO",RIGHT(LEFT(Tabela4[[#This Row],[SITE2]],10),2),""))</f>
        <v/>
      </c>
      <c r="H303" s="99"/>
    </row>
    <row r="304" spans="1:8">
      <c r="A304" s="119">
        <f>'BASE FINANCEIRO'!BI338</f>
        <v>0</v>
      </c>
      <c r="B304" s="24" t="str">
        <f t="shared" si="4"/>
        <v/>
      </c>
      <c r="C304" s="24" t="s">
        <v>2453</v>
      </c>
      <c r="D304" s="24" t="e">
        <f>IF(VLOOKUP('BASE FINANCEIRO'!BC338,'COD. PROJETOS'!B:D,3,0)="VIVO",MID('BASE FINANCEIRO'!BI338,36,3),IF(VLOOKUP('BASE FINANCEIRO'!BC338,'COD. PROJETOS'!B:D,3,0),MID('BASE FINANCEIRO'!BI338,36,7),IF(VLOOKUP('BASE FINANCEIRO'!BC338,'COD. PROJETOS'!B:D,3,0),MID('BASE FINANCEIRO'!BI338,36,9),"PROJETO?")))</f>
        <v>#N/A</v>
      </c>
      <c r="E304" s="24" t="e">
        <f>VLOOKUP(D304,'BASE MUNICÍPIO'!B285:C25020,2,0)</f>
        <v>#N/A</v>
      </c>
      <c r="F304" s="98" t="e">
        <f>VLOOKUP(D304,'BASE MUNICÍPIO'!B285:D25020,3,0)</f>
        <v>#N/A</v>
      </c>
      <c r="G304" s="97" t="str">
        <f>IF(Tabela4[[#This Row],[PROJETO]]="CLARO",LEFT(Tabela4[[#This Row],[SITE2]],2),IF(Tabela4[[#This Row],[PROJETO]]="VIVO",RIGHT(LEFT(Tabela4[[#This Row],[SITE2]],10),2),""))</f>
        <v/>
      </c>
      <c r="H304" s="99"/>
    </row>
    <row r="305" spans="1:8">
      <c r="A305" s="119">
        <f>'BASE FINANCEIRO'!BI339</f>
        <v>0</v>
      </c>
      <c r="B305" s="24" t="str">
        <f t="shared" si="4"/>
        <v/>
      </c>
      <c r="C305" s="24" t="s">
        <v>2453</v>
      </c>
      <c r="D305" s="24" t="e">
        <f>IF(VLOOKUP('BASE FINANCEIRO'!BC339,'COD. PROJETOS'!B:D,3,0)="VIVO",MID('BASE FINANCEIRO'!BI339,36,3),IF(VLOOKUP('BASE FINANCEIRO'!BC339,'COD. PROJETOS'!B:D,3,0),MID('BASE FINANCEIRO'!BI339,36,7),IF(VLOOKUP('BASE FINANCEIRO'!BC339,'COD. PROJETOS'!B:D,3,0),MID('BASE FINANCEIRO'!BI339,36,9),"PROJETO?")))</f>
        <v>#N/A</v>
      </c>
      <c r="E305" s="24" t="e">
        <f>VLOOKUP(D305,'BASE MUNICÍPIO'!B286:C25021,2,0)</f>
        <v>#N/A</v>
      </c>
      <c r="F305" s="98" t="e">
        <f>VLOOKUP(D305,'BASE MUNICÍPIO'!B286:D25021,3,0)</f>
        <v>#N/A</v>
      </c>
      <c r="G305" s="97" t="str">
        <f>IF(Tabela4[[#This Row],[PROJETO]]="CLARO",LEFT(Tabela4[[#This Row],[SITE2]],2),IF(Tabela4[[#This Row],[PROJETO]]="VIVO",RIGHT(LEFT(Tabela4[[#This Row],[SITE2]],10),2),""))</f>
        <v/>
      </c>
      <c r="H305" s="99"/>
    </row>
    <row r="306" spans="1:8">
      <c r="A306" s="119">
        <f>'BASE FINANCEIRO'!BI340</f>
        <v>0</v>
      </c>
      <c r="B306" s="24" t="str">
        <f t="shared" si="4"/>
        <v/>
      </c>
      <c r="C306" s="24" t="s">
        <v>2453</v>
      </c>
      <c r="D306" s="24" t="e">
        <f>IF(VLOOKUP('BASE FINANCEIRO'!BC340,'COD. PROJETOS'!B:D,3,0)="VIVO",MID('BASE FINANCEIRO'!BI340,36,3),IF(VLOOKUP('BASE FINANCEIRO'!BC340,'COD. PROJETOS'!B:D,3,0),MID('BASE FINANCEIRO'!BI340,36,7),IF(VLOOKUP('BASE FINANCEIRO'!BC340,'COD. PROJETOS'!B:D,3,0),MID('BASE FINANCEIRO'!BI340,36,9),"PROJETO?")))</f>
        <v>#N/A</v>
      </c>
      <c r="E306" s="24" t="e">
        <f>VLOOKUP(D306,'BASE MUNICÍPIO'!B287:C25022,2,0)</f>
        <v>#N/A</v>
      </c>
      <c r="F306" s="98" t="e">
        <f>VLOOKUP(D306,'BASE MUNICÍPIO'!B287:D25022,3,0)</f>
        <v>#N/A</v>
      </c>
      <c r="G306" s="97" t="str">
        <f>IF(Tabela4[[#This Row],[PROJETO]]="CLARO",LEFT(Tabela4[[#This Row],[SITE2]],2),IF(Tabela4[[#This Row],[PROJETO]]="VIVO",RIGHT(LEFT(Tabela4[[#This Row],[SITE2]],10),2),""))</f>
        <v/>
      </c>
      <c r="H306" s="99"/>
    </row>
    <row r="307" spans="1:8">
      <c r="A307" s="119">
        <f>'BASE FINANCEIRO'!BI341</f>
        <v>0</v>
      </c>
      <c r="B307" s="24" t="str">
        <f t="shared" si="4"/>
        <v/>
      </c>
      <c r="C307" s="24" t="s">
        <v>2453</v>
      </c>
      <c r="D307" s="24" t="e">
        <f>IF(VLOOKUP('BASE FINANCEIRO'!BC341,'COD. PROJETOS'!B:D,3,0)="VIVO",MID('BASE FINANCEIRO'!BI341,36,3),IF(VLOOKUP('BASE FINANCEIRO'!BC341,'COD. PROJETOS'!B:D,3,0),MID('BASE FINANCEIRO'!BI341,36,7),IF(VLOOKUP('BASE FINANCEIRO'!BC341,'COD. PROJETOS'!B:D,3,0),MID('BASE FINANCEIRO'!BI341,36,9),"PROJETO?")))</f>
        <v>#N/A</v>
      </c>
      <c r="E307" s="24" t="e">
        <f>VLOOKUP(D307,'BASE MUNICÍPIO'!B288:C25023,2,0)</f>
        <v>#N/A</v>
      </c>
      <c r="F307" s="98" t="e">
        <f>VLOOKUP(D307,'BASE MUNICÍPIO'!B288:D25023,3,0)</f>
        <v>#N/A</v>
      </c>
      <c r="G307" s="97" t="str">
        <f>IF(Tabela4[[#This Row],[PROJETO]]="CLARO",LEFT(Tabela4[[#This Row],[SITE2]],2),IF(Tabela4[[#This Row],[PROJETO]]="VIVO",RIGHT(LEFT(Tabela4[[#This Row],[SITE2]],10),2),""))</f>
        <v/>
      </c>
      <c r="H307" s="99"/>
    </row>
    <row r="308" spans="1:8">
      <c r="A308" s="119">
        <f>'BASE FINANCEIRO'!BI342</f>
        <v>0</v>
      </c>
      <c r="B308" s="24" t="str">
        <f t="shared" si="4"/>
        <v/>
      </c>
      <c r="C308" s="24" t="s">
        <v>2453</v>
      </c>
      <c r="D308" s="24" t="e">
        <f>IF(VLOOKUP('BASE FINANCEIRO'!BC342,'COD. PROJETOS'!B:D,3,0)="VIVO",MID('BASE FINANCEIRO'!BI342,36,3),IF(VLOOKUP('BASE FINANCEIRO'!BC342,'COD. PROJETOS'!B:D,3,0),MID('BASE FINANCEIRO'!BI342,36,7),IF(VLOOKUP('BASE FINANCEIRO'!BC342,'COD. PROJETOS'!B:D,3,0),MID('BASE FINANCEIRO'!BI342,36,9),"PROJETO?")))</f>
        <v>#N/A</v>
      </c>
      <c r="E308" s="24" t="e">
        <f>VLOOKUP(D308,'BASE MUNICÍPIO'!B289:C25024,2,0)</f>
        <v>#N/A</v>
      </c>
      <c r="F308" s="98" t="e">
        <f>VLOOKUP(D308,'BASE MUNICÍPIO'!B289:D25024,3,0)</f>
        <v>#N/A</v>
      </c>
      <c r="G308" s="97" t="str">
        <f>IF(Tabela4[[#This Row],[PROJETO]]="CLARO",LEFT(Tabela4[[#This Row],[SITE2]],2),IF(Tabela4[[#This Row],[PROJETO]]="VIVO",RIGHT(LEFT(Tabela4[[#This Row],[SITE2]],10),2),""))</f>
        <v/>
      </c>
      <c r="H308" s="99"/>
    </row>
    <row r="309" spans="1:8">
      <c r="A309" s="119">
        <f>'BASE FINANCEIRO'!BI343</f>
        <v>0</v>
      </c>
      <c r="B309" s="24" t="str">
        <f t="shared" si="4"/>
        <v/>
      </c>
      <c r="C309" s="24" t="s">
        <v>2453</v>
      </c>
      <c r="D309" s="24" t="e">
        <f>IF(VLOOKUP('BASE FINANCEIRO'!BC343,'COD. PROJETOS'!B:D,3,0)="VIVO",MID('BASE FINANCEIRO'!BI343,36,3),IF(VLOOKUP('BASE FINANCEIRO'!BC343,'COD. PROJETOS'!B:D,3,0),MID('BASE FINANCEIRO'!BI343,36,7),IF(VLOOKUP('BASE FINANCEIRO'!BC343,'COD. PROJETOS'!B:D,3,0),MID('BASE FINANCEIRO'!BI343,36,9),"PROJETO?")))</f>
        <v>#N/A</v>
      </c>
      <c r="E309" s="24" t="e">
        <f>VLOOKUP(D309,'BASE MUNICÍPIO'!B290:C25025,2,0)</f>
        <v>#N/A</v>
      </c>
      <c r="F309" s="98" t="e">
        <f>VLOOKUP(D309,'BASE MUNICÍPIO'!B290:D25025,3,0)</f>
        <v>#N/A</v>
      </c>
      <c r="G309" s="97" t="str">
        <f>IF(Tabela4[[#This Row],[PROJETO]]="CLARO",LEFT(Tabela4[[#This Row],[SITE2]],2),IF(Tabela4[[#This Row],[PROJETO]]="VIVO",RIGHT(LEFT(Tabela4[[#This Row],[SITE2]],10),2),""))</f>
        <v/>
      </c>
      <c r="H309" s="99"/>
    </row>
    <row r="310" spans="1:8">
      <c r="A310" s="119">
        <f>'BASE FINANCEIRO'!BI344</f>
        <v>0</v>
      </c>
      <c r="B310" s="24" t="str">
        <f t="shared" si="4"/>
        <v/>
      </c>
      <c r="C310" s="24" t="s">
        <v>2453</v>
      </c>
      <c r="D310" s="24" t="e">
        <f>IF(VLOOKUP('BASE FINANCEIRO'!BC344,'COD. PROJETOS'!B:D,3,0)="VIVO",MID('BASE FINANCEIRO'!BI344,36,3),IF(VLOOKUP('BASE FINANCEIRO'!BC344,'COD. PROJETOS'!B:D,3,0),MID('BASE FINANCEIRO'!BI344,36,7),IF(VLOOKUP('BASE FINANCEIRO'!BC344,'COD. PROJETOS'!B:D,3,0),MID('BASE FINANCEIRO'!BI344,36,9),"PROJETO?")))</f>
        <v>#N/A</v>
      </c>
      <c r="E310" s="24" t="e">
        <f>VLOOKUP(D310,'BASE MUNICÍPIO'!B291:C25026,2,0)</f>
        <v>#N/A</v>
      </c>
      <c r="F310" s="98" t="e">
        <f>VLOOKUP(D310,'BASE MUNICÍPIO'!B291:D25026,3,0)</f>
        <v>#N/A</v>
      </c>
      <c r="G310" s="97" t="str">
        <f>IF(Tabela4[[#This Row],[PROJETO]]="CLARO",LEFT(Tabela4[[#This Row],[SITE2]],2),IF(Tabela4[[#This Row],[PROJETO]]="VIVO",RIGHT(LEFT(Tabela4[[#This Row],[SITE2]],10),2),""))</f>
        <v/>
      </c>
      <c r="H310" s="99"/>
    </row>
    <row r="311" spans="1:8">
      <c r="A311" s="119">
        <f>'BASE FINANCEIRO'!BI345</f>
        <v>0</v>
      </c>
      <c r="B311" s="24" t="str">
        <f t="shared" si="4"/>
        <v/>
      </c>
      <c r="C311" s="24" t="s">
        <v>2453</v>
      </c>
      <c r="D311" s="24" t="e">
        <f>IF(VLOOKUP('BASE FINANCEIRO'!BC345,'COD. PROJETOS'!B:D,3,0)="VIVO",MID('BASE FINANCEIRO'!BI345,36,3),IF(VLOOKUP('BASE FINANCEIRO'!BC345,'COD. PROJETOS'!B:D,3,0),MID('BASE FINANCEIRO'!BI345,36,7),IF(VLOOKUP('BASE FINANCEIRO'!BC345,'COD. PROJETOS'!B:D,3,0),MID('BASE FINANCEIRO'!BI345,36,9),"PROJETO?")))</f>
        <v>#N/A</v>
      </c>
      <c r="E311" s="24" t="e">
        <f>VLOOKUP(D311,'BASE MUNICÍPIO'!B292:C25027,2,0)</f>
        <v>#N/A</v>
      </c>
      <c r="F311" s="98" t="e">
        <f>VLOOKUP(D311,'BASE MUNICÍPIO'!B292:D25027,3,0)</f>
        <v>#N/A</v>
      </c>
      <c r="G311" s="97" t="str">
        <f>IF(Tabela4[[#This Row],[PROJETO]]="CLARO",LEFT(Tabela4[[#This Row],[SITE2]],2),IF(Tabela4[[#This Row],[PROJETO]]="VIVO",RIGHT(LEFT(Tabela4[[#This Row],[SITE2]],10),2),""))</f>
        <v/>
      </c>
      <c r="H311" s="99"/>
    </row>
    <row r="312" spans="1:8">
      <c r="A312" s="119">
        <f>'BASE FINANCEIRO'!BI346</f>
        <v>0</v>
      </c>
      <c r="B312" s="24" t="str">
        <f t="shared" si="4"/>
        <v/>
      </c>
      <c r="C312" s="24" t="s">
        <v>2453</v>
      </c>
      <c r="D312" s="24" t="e">
        <f>IF(VLOOKUP('BASE FINANCEIRO'!BC346,'COD. PROJETOS'!B:D,3,0)="VIVO",MID('BASE FINANCEIRO'!BI346,36,3),IF(VLOOKUP('BASE FINANCEIRO'!BC346,'COD. PROJETOS'!B:D,3,0),MID('BASE FINANCEIRO'!BI346,36,7),IF(VLOOKUP('BASE FINANCEIRO'!BC346,'COD. PROJETOS'!B:D,3,0),MID('BASE FINANCEIRO'!BI346,36,9),"PROJETO?")))</f>
        <v>#N/A</v>
      </c>
      <c r="E312" s="24" t="e">
        <f>VLOOKUP(D312,'BASE MUNICÍPIO'!B293:C25028,2,0)</f>
        <v>#N/A</v>
      </c>
      <c r="F312" s="98" t="e">
        <f>VLOOKUP(D312,'BASE MUNICÍPIO'!B293:D25028,3,0)</f>
        <v>#N/A</v>
      </c>
      <c r="G312" s="97" t="str">
        <f>IF(Tabela4[[#This Row],[PROJETO]]="CLARO",LEFT(Tabela4[[#This Row],[SITE2]],2),IF(Tabela4[[#This Row],[PROJETO]]="VIVO",RIGHT(LEFT(Tabela4[[#This Row],[SITE2]],10),2),""))</f>
        <v/>
      </c>
      <c r="H312" s="99"/>
    </row>
    <row r="313" spans="1:8">
      <c r="A313" s="119">
        <f>'BASE FINANCEIRO'!BI347</f>
        <v>0</v>
      </c>
      <c r="B313" s="24" t="str">
        <f t="shared" si="4"/>
        <v/>
      </c>
      <c r="C313" s="24" t="s">
        <v>2453</v>
      </c>
      <c r="D313" s="24" t="e">
        <f>IF(VLOOKUP('BASE FINANCEIRO'!BC347,'COD. PROJETOS'!B:D,3,0)="VIVO",MID('BASE FINANCEIRO'!BI347,36,3),IF(VLOOKUP('BASE FINANCEIRO'!BC347,'COD. PROJETOS'!B:D,3,0),MID('BASE FINANCEIRO'!BI347,36,7),IF(VLOOKUP('BASE FINANCEIRO'!BC347,'COD. PROJETOS'!B:D,3,0),MID('BASE FINANCEIRO'!BI347,36,9),"PROJETO?")))</f>
        <v>#N/A</v>
      </c>
      <c r="E313" s="24" t="e">
        <f>VLOOKUP(D313,'BASE MUNICÍPIO'!B294:C25029,2,0)</f>
        <v>#N/A</v>
      </c>
      <c r="F313" s="98" t="e">
        <f>VLOOKUP(D313,'BASE MUNICÍPIO'!B294:D25029,3,0)</f>
        <v>#N/A</v>
      </c>
      <c r="G313" s="97" t="str">
        <f>IF(Tabela4[[#This Row],[PROJETO]]="CLARO",LEFT(Tabela4[[#This Row],[SITE2]],2),IF(Tabela4[[#This Row],[PROJETO]]="VIVO",RIGHT(LEFT(Tabela4[[#This Row],[SITE2]],10),2),""))</f>
        <v/>
      </c>
      <c r="H313" s="99"/>
    </row>
    <row r="314" spans="1:8">
      <c r="A314" s="119">
        <f>'BASE FINANCEIRO'!BI348</f>
        <v>0</v>
      </c>
      <c r="B314" s="24" t="str">
        <f t="shared" si="4"/>
        <v/>
      </c>
      <c r="C314" s="24" t="s">
        <v>2453</v>
      </c>
      <c r="D314" s="24" t="e">
        <f>IF(VLOOKUP('BASE FINANCEIRO'!BC348,'COD. PROJETOS'!B:D,3,0)="VIVO",MID('BASE FINANCEIRO'!BI348,36,3),IF(VLOOKUP('BASE FINANCEIRO'!BC348,'COD. PROJETOS'!B:D,3,0),MID('BASE FINANCEIRO'!BI348,36,7),IF(VLOOKUP('BASE FINANCEIRO'!BC348,'COD. PROJETOS'!B:D,3,0),MID('BASE FINANCEIRO'!BI348,36,9),"PROJETO?")))</f>
        <v>#N/A</v>
      </c>
      <c r="E314" s="24" t="e">
        <f>VLOOKUP(D314,'BASE MUNICÍPIO'!B295:C25030,2,0)</f>
        <v>#N/A</v>
      </c>
      <c r="F314" s="98" t="e">
        <f>VLOOKUP(D314,'BASE MUNICÍPIO'!B295:D25030,3,0)</f>
        <v>#N/A</v>
      </c>
      <c r="G314" s="97" t="str">
        <f>IF(Tabela4[[#This Row],[PROJETO]]="CLARO",LEFT(Tabela4[[#This Row],[SITE2]],2),IF(Tabela4[[#This Row],[PROJETO]]="VIVO",RIGHT(LEFT(Tabela4[[#This Row],[SITE2]],10),2),""))</f>
        <v/>
      </c>
      <c r="H314" s="99"/>
    </row>
    <row r="315" spans="1:8">
      <c r="A315" s="119">
        <f>'BASE FINANCEIRO'!BI349</f>
        <v>0</v>
      </c>
      <c r="B315" s="24" t="str">
        <f t="shared" si="4"/>
        <v/>
      </c>
      <c r="C315" s="24" t="s">
        <v>2453</v>
      </c>
      <c r="D315" s="24" t="e">
        <f>IF(VLOOKUP('BASE FINANCEIRO'!BC349,'COD. PROJETOS'!B:D,3,0)="VIVO",MID('BASE FINANCEIRO'!BI349,36,3),IF(VLOOKUP('BASE FINANCEIRO'!BC349,'COD. PROJETOS'!B:D,3,0),MID('BASE FINANCEIRO'!BI349,36,7),IF(VLOOKUP('BASE FINANCEIRO'!BC349,'COD. PROJETOS'!B:D,3,0),MID('BASE FINANCEIRO'!BI349,36,9),"PROJETO?")))</f>
        <v>#N/A</v>
      </c>
      <c r="E315" s="24" t="e">
        <f>VLOOKUP(D315,'BASE MUNICÍPIO'!B296:C25031,2,0)</f>
        <v>#N/A</v>
      </c>
      <c r="F315" s="98" t="e">
        <f>VLOOKUP(D315,'BASE MUNICÍPIO'!B296:D25031,3,0)</f>
        <v>#N/A</v>
      </c>
      <c r="G315" s="97" t="str">
        <f>IF(Tabela4[[#This Row],[PROJETO]]="CLARO",LEFT(Tabela4[[#This Row],[SITE2]],2),IF(Tabela4[[#This Row],[PROJETO]]="VIVO",RIGHT(LEFT(Tabela4[[#This Row],[SITE2]],10),2),""))</f>
        <v/>
      </c>
      <c r="H315" s="99"/>
    </row>
    <row r="316" spans="1:8">
      <c r="A316" s="119">
        <f>'BASE FINANCEIRO'!BI350</f>
        <v>0</v>
      </c>
      <c r="B316" s="24" t="str">
        <f t="shared" si="4"/>
        <v/>
      </c>
      <c r="C316" s="24" t="s">
        <v>2453</v>
      </c>
      <c r="D316" s="24" t="e">
        <f>IF(VLOOKUP('BASE FINANCEIRO'!BC350,'COD. PROJETOS'!B:D,3,0)="VIVO",MID('BASE FINANCEIRO'!BI350,36,3),IF(VLOOKUP('BASE FINANCEIRO'!BC350,'COD. PROJETOS'!B:D,3,0),MID('BASE FINANCEIRO'!BI350,36,7),IF(VLOOKUP('BASE FINANCEIRO'!BC350,'COD. PROJETOS'!B:D,3,0),MID('BASE FINANCEIRO'!BI350,36,9),"PROJETO?")))</f>
        <v>#N/A</v>
      </c>
      <c r="E316" s="24" t="e">
        <f>VLOOKUP(D316,'BASE MUNICÍPIO'!B297:C25032,2,0)</f>
        <v>#N/A</v>
      </c>
      <c r="F316" s="98" t="e">
        <f>VLOOKUP(D316,'BASE MUNICÍPIO'!B297:D25032,3,0)</f>
        <v>#N/A</v>
      </c>
      <c r="G316" s="97" t="str">
        <f>IF(Tabela4[[#This Row],[PROJETO]]="CLARO",LEFT(Tabela4[[#This Row],[SITE2]],2),IF(Tabela4[[#This Row],[PROJETO]]="VIVO",RIGHT(LEFT(Tabela4[[#This Row],[SITE2]],10),2),""))</f>
        <v/>
      </c>
      <c r="H316" s="99"/>
    </row>
    <row r="317" spans="1:8">
      <c r="A317" s="119">
        <f>'BASE FINANCEIRO'!BI351</f>
        <v>0</v>
      </c>
      <c r="B317" s="24" t="str">
        <f t="shared" si="4"/>
        <v/>
      </c>
      <c r="C317" s="24" t="s">
        <v>2453</v>
      </c>
      <c r="D317" s="24" t="e">
        <f>IF(VLOOKUP('BASE FINANCEIRO'!BC351,'COD. PROJETOS'!B:D,3,0)="VIVO",MID('BASE FINANCEIRO'!BI351,36,3),IF(VLOOKUP('BASE FINANCEIRO'!BC351,'COD. PROJETOS'!B:D,3,0),MID('BASE FINANCEIRO'!BI351,36,7),IF(VLOOKUP('BASE FINANCEIRO'!BC351,'COD. PROJETOS'!B:D,3,0),MID('BASE FINANCEIRO'!BI351,36,9),"PROJETO?")))</f>
        <v>#N/A</v>
      </c>
      <c r="E317" s="24" t="e">
        <f>VLOOKUP(D317,'BASE MUNICÍPIO'!B298:C25033,2,0)</f>
        <v>#N/A</v>
      </c>
      <c r="F317" s="98" t="e">
        <f>VLOOKUP(D317,'BASE MUNICÍPIO'!B298:D25033,3,0)</f>
        <v>#N/A</v>
      </c>
      <c r="G317" s="97" t="str">
        <f>IF(Tabela4[[#This Row],[PROJETO]]="CLARO",LEFT(Tabela4[[#This Row],[SITE2]],2),IF(Tabela4[[#This Row],[PROJETO]]="VIVO",RIGHT(LEFT(Tabela4[[#This Row],[SITE2]],10),2),""))</f>
        <v/>
      </c>
      <c r="H317" s="99"/>
    </row>
    <row r="318" spans="1:8">
      <c r="A318" s="119">
        <f>'BASE FINANCEIRO'!BI352</f>
        <v>0</v>
      </c>
      <c r="B318" s="24" t="str">
        <f t="shared" si="4"/>
        <v/>
      </c>
      <c r="C318" s="24" t="s">
        <v>2453</v>
      </c>
      <c r="D318" s="24" t="e">
        <f>IF(VLOOKUP('BASE FINANCEIRO'!BC352,'COD. PROJETOS'!B:D,3,0)="VIVO",MID('BASE FINANCEIRO'!BI352,36,3),IF(VLOOKUP('BASE FINANCEIRO'!BC352,'COD. PROJETOS'!B:D,3,0),MID('BASE FINANCEIRO'!BI352,36,7),IF(VLOOKUP('BASE FINANCEIRO'!BC352,'COD. PROJETOS'!B:D,3,0),MID('BASE FINANCEIRO'!BI352,36,9),"PROJETO?")))</f>
        <v>#N/A</v>
      </c>
      <c r="E318" s="24" t="e">
        <f>VLOOKUP(D318,'BASE MUNICÍPIO'!B299:C25034,2,0)</f>
        <v>#N/A</v>
      </c>
      <c r="F318" s="98" t="e">
        <f>VLOOKUP(D318,'BASE MUNICÍPIO'!B299:D25034,3,0)</f>
        <v>#N/A</v>
      </c>
      <c r="G318" s="97" t="str">
        <f>IF(Tabela4[[#This Row],[PROJETO]]="CLARO",LEFT(Tabela4[[#This Row],[SITE2]],2),IF(Tabela4[[#This Row],[PROJETO]]="VIVO",RIGHT(LEFT(Tabela4[[#This Row],[SITE2]],10),2),""))</f>
        <v/>
      </c>
      <c r="H318" s="99"/>
    </row>
    <row r="319" spans="1:8">
      <c r="A319" s="119">
        <f>'BASE FINANCEIRO'!BI353</f>
        <v>0</v>
      </c>
      <c r="B319" s="24" t="str">
        <f t="shared" si="4"/>
        <v/>
      </c>
      <c r="C319" s="24" t="s">
        <v>2453</v>
      </c>
      <c r="D319" s="24" t="e">
        <f>IF(VLOOKUP('BASE FINANCEIRO'!BC353,'COD. PROJETOS'!B:D,3,0)="VIVO",MID('BASE FINANCEIRO'!BI353,36,3),IF(VLOOKUP('BASE FINANCEIRO'!BC353,'COD. PROJETOS'!B:D,3,0),MID('BASE FINANCEIRO'!BI353,36,7),IF(VLOOKUP('BASE FINANCEIRO'!BC353,'COD. PROJETOS'!B:D,3,0),MID('BASE FINANCEIRO'!BI353,36,9),"PROJETO?")))</f>
        <v>#N/A</v>
      </c>
      <c r="E319" s="24" t="e">
        <f>VLOOKUP(D319,'BASE MUNICÍPIO'!B300:C25035,2,0)</f>
        <v>#N/A</v>
      </c>
      <c r="F319" s="98" t="e">
        <f>VLOOKUP(D319,'BASE MUNICÍPIO'!B300:D25035,3,0)</f>
        <v>#N/A</v>
      </c>
      <c r="G319" s="97" t="str">
        <f>IF(Tabela4[[#This Row],[PROJETO]]="CLARO",LEFT(Tabela4[[#This Row],[SITE2]],2),IF(Tabela4[[#This Row],[PROJETO]]="VIVO",RIGHT(LEFT(Tabela4[[#This Row],[SITE2]],10),2),""))</f>
        <v/>
      </c>
      <c r="H319" s="99"/>
    </row>
    <row r="320" spans="1:8">
      <c r="A320" s="119">
        <f>'BASE FINANCEIRO'!BI354</f>
        <v>0</v>
      </c>
      <c r="B320" s="24" t="str">
        <f t="shared" si="4"/>
        <v/>
      </c>
      <c r="C320" s="24" t="s">
        <v>2453</v>
      </c>
      <c r="D320" s="24" t="e">
        <f>IF(VLOOKUP('BASE FINANCEIRO'!BC354,'COD. PROJETOS'!B:D,3,0)="VIVO",MID('BASE FINANCEIRO'!BI354,36,3),IF(VLOOKUP('BASE FINANCEIRO'!BC354,'COD. PROJETOS'!B:D,3,0),MID('BASE FINANCEIRO'!BI354,36,7),IF(VLOOKUP('BASE FINANCEIRO'!BC354,'COD. PROJETOS'!B:D,3,0),MID('BASE FINANCEIRO'!BI354,36,9),"PROJETO?")))</f>
        <v>#N/A</v>
      </c>
      <c r="E320" s="24" t="e">
        <f>VLOOKUP(D320,'BASE MUNICÍPIO'!B301:C25036,2,0)</f>
        <v>#N/A</v>
      </c>
      <c r="F320" s="98" t="e">
        <f>VLOOKUP(D320,'BASE MUNICÍPIO'!B301:D25036,3,0)</f>
        <v>#N/A</v>
      </c>
      <c r="G320" s="97" t="str">
        <f>IF(Tabela4[[#This Row],[PROJETO]]="CLARO",LEFT(Tabela4[[#This Row],[SITE2]],2),IF(Tabela4[[#This Row],[PROJETO]]="VIVO",RIGHT(LEFT(Tabela4[[#This Row],[SITE2]],10),2),""))</f>
        <v/>
      </c>
      <c r="H320" s="99"/>
    </row>
    <row r="321" spans="1:8">
      <c r="A321" s="119">
        <f>'BASE FINANCEIRO'!BI355</f>
        <v>0</v>
      </c>
      <c r="B321" s="24" t="str">
        <f t="shared" si="4"/>
        <v/>
      </c>
      <c r="C321" s="24" t="s">
        <v>2453</v>
      </c>
      <c r="D321" s="24" t="e">
        <f>IF(VLOOKUP('BASE FINANCEIRO'!BC355,'COD. PROJETOS'!B:D,3,0)="VIVO",MID('BASE FINANCEIRO'!BI355,36,3),IF(VLOOKUP('BASE FINANCEIRO'!BC355,'COD. PROJETOS'!B:D,3,0),MID('BASE FINANCEIRO'!BI355,36,7),IF(VLOOKUP('BASE FINANCEIRO'!BC355,'COD. PROJETOS'!B:D,3,0),MID('BASE FINANCEIRO'!BI355,36,9),"PROJETO?")))</f>
        <v>#N/A</v>
      </c>
      <c r="E321" s="24" t="e">
        <f>VLOOKUP(D321,'BASE MUNICÍPIO'!B302:C25037,2,0)</f>
        <v>#N/A</v>
      </c>
      <c r="F321" s="98" t="e">
        <f>VLOOKUP(D321,'BASE MUNICÍPIO'!B302:D25037,3,0)</f>
        <v>#N/A</v>
      </c>
      <c r="G321" s="97" t="str">
        <f>IF(Tabela4[[#This Row],[PROJETO]]="CLARO",LEFT(Tabela4[[#This Row],[SITE2]],2),IF(Tabela4[[#This Row],[PROJETO]]="VIVO",RIGHT(LEFT(Tabela4[[#This Row],[SITE2]],10),2),""))</f>
        <v/>
      </c>
      <c r="H321" s="99"/>
    </row>
    <row r="322" spans="1:8">
      <c r="A322" s="119">
        <f>'BASE FINANCEIRO'!BI356</f>
        <v>0</v>
      </c>
      <c r="B322" s="24" t="str">
        <f t="shared" si="4"/>
        <v/>
      </c>
      <c r="C322" s="24" t="s">
        <v>2453</v>
      </c>
      <c r="D322" s="24" t="e">
        <f>IF(VLOOKUP('BASE FINANCEIRO'!BC356,'COD. PROJETOS'!B:D,3,0)="VIVO",MID('BASE FINANCEIRO'!BI356,36,3),IF(VLOOKUP('BASE FINANCEIRO'!BC356,'COD. PROJETOS'!B:D,3,0),MID('BASE FINANCEIRO'!BI356,36,7),IF(VLOOKUP('BASE FINANCEIRO'!BC356,'COD. PROJETOS'!B:D,3,0),MID('BASE FINANCEIRO'!BI356,36,9),"PROJETO?")))</f>
        <v>#N/A</v>
      </c>
      <c r="E322" s="24" t="e">
        <f>VLOOKUP(D322,'BASE MUNICÍPIO'!B303:C25038,2,0)</f>
        <v>#N/A</v>
      </c>
      <c r="F322" s="98" t="e">
        <f>VLOOKUP(D322,'BASE MUNICÍPIO'!B303:D25038,3,0)</f>
        <v>#N/A</v>
      </c>
      <c r="G322" s="97" t="str">
        <f>IF(Tabela4[[#This Row],[PROJETO]]="CLARO",LEFT(Tabela4[[#This Row],[SITE2]],2),IF(Tabela4[[#This Row],[PROJETO]]="VIVO",RIGHT(LEFT(Tabela4[[#This Row],[SITE2]],10),2),""))</f>
        <v/>
      </c>
      <c r="H322" s="99"/>
    </row>
    <row r="323" spans="1:8">
      <c r="A323" s="119">
        <f>'BASE FINANCEIRO'!BI357</f>
        <v>0</v>
      </c>
      <c r="B323" s="24" t="str">
        <f t="shared" si="4"/>
        <v/>
      </c>
      <c r="C323" s="24" t="s">
        <v>2453</v>
      </c>
      <c r="D323" s="24" t="e">
        <f>IF(VLOOKUP('BASE FINANCEIRO'!BC357,'COD. PROJETOS'!B:D,3,0)="VIVO",MID('BASE FINANCEIRO'!BI357,36,3),IF(VLOOKUP('BASE FINANCEIRO'!BC357,'COD. PROJETOS'!B:D,3,0),MID('BASE FINANCEIRO'!BI357,36,7),IF(VLOOKUP('BASE FINANCEIRO'!BC357,'COD. PROJETOS'!B:D,3,0),MID('BASE FINANCEIRO'!BI357,36,9),"PROJETO?")))</f>
        <v>#N/A</v>
      </c>
      <c r="E323" s="24" t="e">
        <f>VLOOKUP(D323,'BASE MUNICÍPIO'!B304:C25039,2,0)</f>
        <v>#N/A</v>
      </c>
      <c r="F323" s="98" t="e">
        <f>VLOOKUP(D323,'BASE MUNICÍPIO'!B304:D25039,3,0)</f>
        <v>#N/A</v>
      </c>
      <c r="G323" s="97" t="str">
        <f>IF(Tabela4[[#This Row],[PROJETO]]="CLARO",LEFT(Tabela4[[#This Row],[SITE2]],2),IF(Tabela4[[#This Row],[PROJETO]]="VIVO",RIGHT(LEFT(Tabela4[[#This Row],[SITE2]],10),2),""))</f>
        <v/>
      </c>
      <c r="H323" s="99"/>
    </row>
    <row r="324" spans="1:8">
      <c r="A324" s="119">
        <f>'BASE FINANCEIRO'!BI358</f>
        <v>0</v>
      </c>
      <c r="B324" s="24" t="str">
        <f t="shared" ref="B324:B387" si="5">MID(A324,36,14)</f>
        <v/>
      </c>
      <c r="C324" s="24" t="s">
        <v>2453</v>
      </c>
      <c r="D324" s="24" t="e">
        <f>IF(VLOOKUP('BASE FINANCEIRO'!BC358,'COD. PROJETOS'!B:D,3,0)="VIVO",MID('BASE FINANCEIRO'!BI358,36,3),IF(VLOOKUP('BASE FINANCEIRO'!BC358,'COD. PROJETOS'!B:D,3,0),MID('BASE FINANCEIRO'!BI358,36,7),IF(VLOOKUP('BASE FINANCEIRO'!BC358,'COD. PROJETOS'!B:D,3,0),MID('BASE FINANCEIRO'!BI358,36,9),"PROJETO?")))</f>
        <v>#N/A</v>
      </c>
      <c r="E324" s="24" t="e">
        <f>VLOOKUP(D324,'BASE MUNICÍPIO'!B305:C25040,2,0)</f>
        <v>#N/A</v>
      </c>
      <c r="F324" s="98" t="e">
        <f>VLOOKUP(D324,'BASE MUNICÍPIO'!B305:D25040,3,0)</f>
        <v>#N/A</v>
      </c>
      <c r="G324" s="97" t="str">
        <f>IF(Tabela4[[#This Row],[PROJETO]]="CLARO",LEFT(Tabela4[[#This Row],[SITE2]],2),IF(Tabela4[[#This Row],[PROJETO]]="VIVO",RIGHT(LEFT(Tabela4[[#This Row],[SITE2]],10),2),""))</f>
        <v/>
      </c>
      <c r="H324" s="99"/>
    </row>
    <row r="325" spans="1:8">
      <c r="A325" s="119">
        <f>'BASE FINANCEIRO'!BI359</f>
        <v>0</v>
      </c>
      <c r="B325" s="24" t="str">
        <f t="shared" si="5"/>
        <v/>
      </c>
      <c r="C325" s="24" t="s">
        <v>2453</v>
      </c>
      <c r="D325" s="24" t="e">
        <f>IF(VLOOKUP('BASE FINANCEIRO'!BC359,'COD. PROJETOS'!B:D,3,0)="VIVO",MID('BASE FINANCEIRO'!BI359,36,3),IF(VLOOKUP('BASE FINANCEIRO'!BC359,'COD. PROJETOS'!B:D,3,0),MID('BASE FINANCEIRO'!BI359,36,7),IF(VLOOKUP('BASE FINANCEIRO'!BC359,'COD. PROJETOS'!B:D,3,0),MID('BASE FINANCEIRO'!BI359,36,9),"PROJETO?")))</f>
        <v>#N/A</v>
      </c>
      <c r="E325" s="24" t="e">
        <f>VLOOKUP(D325,'BASE MUNICÍPIO'!B306:C25041,2,0)</f>
        <v>#N/A</v>
      </c>
      <c r="F325" s="98" t="e">
        <f>VLOOKUP(D325,'BASE MUNICÍPIO'!B306:D25041,3,0)</f>
        <v>#N/A</v>
      </c>
      <c r="G325" s="97" t="str">
        <f>IF(Tabela4[[#This Row],[PROJETO]]="CLARO",LEFT(Tabela4[[#This Row],[SITE2]],2),IF(Tabela4[[#This Row],[PROJETO]]="VIVO",RIGHT(LEFT(Tabela4[[#This Row],[SITE2]],10),2),""))</f>
        <v/>
      </c>
      <c r="H325" s="99"/>
    </row>
    <row r="326" spans="1:8">
      <c r="A326" s="119">
        <f>'BASE FINANCEIRO'!BI360</f>
        <v>0</v>
      </c>
      <c r="B326" s="24" t="str">
        <f t="shared" si="5"/>
        <v/>
      </c>
      <c r="C326" s="24" t="s">
        <v>2453</v>
      </c>
      <c r="D326" s="24" t="e">
        <f>IF(VLOOKUP('BASE FINANCEIRO'!BC360,'COD. PROJETOS'!B:D,3,0)="VIVO",MID('BASE FINANCEIRO'!BI360,36,3),IF(VLOOKUP('BASE FINANCEIRO'!BC360,'COD. PROJETOS'!B:D,3,0),MID('BASE FINANCEIRO'!BI360,36,7),IF(VLOOKUP('BASE FINANCEIRO'!BC360,'COD. PROJETOS'!B:D,3,0),MID('BASE FINANCEIRO'!BI360,36,9),"PROJETO?")))</f>
        <v>#N/A</v>
      </c>
      <c r="E326" s="24" t="e">
        <f>VLOOKUP(D326,'BASE MUNICÍPIO'!B307:C25042,2,0)</f>
        <v>#N/A</v>
      </c>
      <c r="F326" s="98" t="e">
        <f>VLOOKUP(D326,'BASE MUNICÍPIO'!B307:D25042,3,0)</f>
        <v>#N/A</v>
      </c>
      <c r="G326" s="97" t="str">
        <f>IF(Tabela4[[#This Row],[PROJETO]]="CLARO",LEFT(Tabela4[[#This Row],[SITE2]],2),IF(Tabela4[[#This Row],[PROJETO]]="VIVO",RIGHT(LEFT(Tabela4[[#This Row],[SITE2]],10),2),""))</f>
        <v/>
      </c>
      <c r="H326" s="99"/>
    </row>
    <row r="327" spans="1:8">
      <c r="A327" s="119">
        <f>'BASE FINANCEIRO'!BI361</f>
        <v>0</v>
      </c>
      <c r="B327" s="24" t="str">
        <f t="shared" si="5"/>
        <v/>
      </c>
      <c r="C327" s="24" t="s">
        <v>2453</v>
      </c>
      <c r="D327" s="24" t="e">
        <f>IF(VLOOKUP('BASE FINANCEIRO'!BC361,'COD. PROJETOS'!B:D,3,0)="VIVO",MID('BASE FINANCEIRO'!BI361,36,3),IF(VLOOKUP('BASE FINANCEIRO'!BC361,'COD. PROJETOS'!B:D,3,0),MID('BASE FINANCEIRO'!BI361,36,7),IF(VLOOKUP('BASE FINANCEIRO'!BC361,'COD. PROJETOS'!B:D,3,0),MID('BASE FINANCEIRO'!BI361,36,9),"PROJETO?")))</f>
        <v>#N/A</v>
      </c>
      <c r="E327" s="24" t="e">
        <f>VLOOKUP(D327,'BASE MUNICÍPIO'!B308:C25043,2,0)</f>
        <v>#N/A</v>
      </c>
      <c r="F327" s="98" t="e">
        <f>VLOOKUP(D327,'BASE MUNICÍPIO'!B308:D25043,3,0)</f>
        <v>#N/A</v>
      </c>
      <c r="G327" s="97" t="str">
        <f>IF(Tabela4[[#This Row],[PROJETO]]="CLARO",LEFT(Tabela4[[#This Row],[SITE2]],2),IF(Tabela4[[#This Row],[PROJETO]]="VIVO",RIGHT(LEFT(Tabela4[[#This Row],[SITE2]],10),2),""))</f>
        <v/>
      </c>
      <c r="H327" s="99"/>
    </row>
    <row r="328" spans="1:8">
      <c r="A328" s="119">
        <f>'BASE FINANCEIRO'!BI362</f>
        <v>0</v>
      </c>
      <c r="B328" s="24" t="str">
        <f t="shared" si="5"/>
        <v/>
      </c>
      <c r="C328" s="24" t="s">
        <v>2453</v>
      </c>
      <c r="D328" s="24" t="e">
        <f>IF(VLOOKUP('BASE FINANCEIRO'!BC362,'COD. PROJETOS'!B:D,3,0)="VIVO",MID('BASE FINANCEIRO'!BI362,36,3),IF(VLOOKUP('BASE FINANCEIRO'!BC362,'COD. PROJETOS'!B:D,3,0),MID('BASE FINANCEIRO'!BI362,36,7),IF(VLOOKUP('BASE FINANCEIRO'!BC362,'COD. PROJETOS'!B:D,3,0),MID('BASE FINANCEIRO'!BI362,36,9),"PROJETO?")))</f>
        <v>#N/A</v>
      </c>
      <c r="E328" s="24" t="e">
        <f>VLOOKUP(D328,'BASE MUNICÍPIO'!B309:C25044,2,0)</f>
        <v>#N/A</v>
      </c>
      <c r="F328" s="98" t="e">
        <f>VLOOKUP(D328,'BASE MUNICÍPIO'!B309:D25044,3,0)</f>
        <v>#N/A</v>
      </c>
      <c r="G328" s="97" t="str">
        <f>IF(Tabela4[[#This Row],[PROJETO]]="CLARO",LEFT(Tabela4[[#This Row],[SITE2]],2),IF(Tabela4[[#This Row],[PROJETO]]="VIVO",RIGHT(LEFT(Tabela4[[#This Row],[SITE2]],10),2),""))</f>
        <v/>
      </c>
      <c r="H328" s="99"/>
    </row>
    <row r="329" spans="1:8">
      <c r="A329" s="119">
        <f>'BASE FINANCEIRO'!BI363</f>
        <v>0</v>
      </c>
      <c r="B329" s="24" t="str">
        <f t="shared" si="5"/>
        <v/>
      </c>
      <c r="C329" s="24" t="s">
        <v>2453</v>
      </c>
      <c r="D329" s="24" t="e">
        <f>IF(VLOOKUP('BASE FINANCEIRO'!BC363,'COD. PROJETOS'!B:D,3,0)="VIVO",MID('BASE FINANCEIRO'!BI363,36,3),IF(VLOOKUP('BASE FINANCEIRO'!BC363,'COD. PROJETOS'!B:D,3,0),MID('BASE FINANCEIRO'!BI363,36,7),IF(VLOOKUP('BASE FINANCEIRO'!BC363,'COD. PROJETOS'!B:D,3,0),MID('BASE FINANCEIRO'!BI363,36,9),"PROJETO?")))</f>
        <v>#N/A</v>
      </c>
      <c r="E329" s="24" t="e">
        <f>VLOOKUP(D329,'BASE MUNICÍPIO'!B310:C25045,2,0)</f>
        <v>#N/A</v>
      </c>
      <c r="F329" s="98" t="e">
        <f>VLOOKUP(D329,'BASE MUNICÍPIO'!B310:D25045,3,0)</f>
        <v>#N/A</v>
      </c>
      <c r="G329" s="97" t="str">
        <f>IF(Tabela4[[#This Row],[PROJETO]]="CLARO",LEFT(Tabela4[[#This Row],[SITE2]],2),IF(Tabela4[[#This Row],[PROJETO]]="VIVO",RIGHT(LEFT(Tabela4[[#This Row],[SITE2]],10),2),""))</f>
        <v/>
      </c>
      <c r="H329" s="99"/>
    </row>
    <row r="330" spans="1:8">
      <c r="A330" s="119">
        <f>'BASE FINANCEIRO'!BI364</f>
        <v>0</v>
      </c>
      <c r="B330" s="24" t="str">
        <f t="shared" si="5"/>
        <v/>
      </c>
      <c r="C330" s="24" t="s">
        <v>2453</v>
      </c>
      <c r="D330" s="24" t="e">
        <f>IF(VLOOKUP('BASE FINANCEIRO'!BC364,'COD. PROJETOS'!B:D,3,0)="VIVO",MID('BASE FINANCEIRO'!BI364,36,3),IF(VLOOKUP('BASE FINANCEIRO'!BC364,'COD. PROJETOS'!B:D,3,0),MID('BASE FINANCEIRO'!BI364,36,7),IF(VLOOKUP('BASE FINANCEIRO'!BC364,'COD. PROJETOS'!B:D,3,0),MID('BASE FINANCEIRO'!BI364,36,9),"PROJETO?")))</f>
        <v>#N/A</v>
      </c>
      <c r="E330" s="24" t="e">
        <f>VLOOKUP(D330,'BASE MUNICÍPIO'!B311:C25046,2,0)</f>
        <v>#N/A</v>
      </c>
      <c r="F330" s="98" t="e">
        <f>VLOOKUP(D330,'BASE MUNICÍPIO'!B311:D25046,3,0)</f>
        <v>#N/A</v>
      </c>
      <c r="G330" s="97" t="str">
        <f>IF(Tabela4[[#This Row],[PROJETO]]="CLARO",LEFT(Tabela4[[#This Row],[SITE2]],2),IF(Tabela4[[#This Row],[PROJETO]]="VIVO",RIGHT(LEFT(Tabela4[[#This Row],[SITE2]],10),2),""))</f>
        <v/>
      </c>
      <c r="H330" s="99"/>
    </row>
    <row r="331" spans="1:8">
      <c r="A331" s="119">
        <f>'BASE FINANCEIRO'!BI365</f>
        <v>0</v>
      </c>
      <c r="B331" s="24" t="str">
        <f t="shared" si="5"/>
        <v/>
      </c>
      <c r="C331" s="24" t="s">
        <v>2453</v>
      </c>
      <c r="D331" s="24" t="e">
        <f>IF(VLOOKUP('BASE FINANCEIRO'!BC365,'COD. PROJETOS'!B:D,3,0)="VIVO",MID('BASE FINANCEIRO'!BI365,36,3),IF(VLOOKUP('BASE FINANCEIRO'!BC365,'COD. PROJETOS'!B:D,3,0),MID('BASE FINANCEIRO'!BI365,36,7),IF(VLOOKUP('BASE FINANCEIRO'!BC365,'COD. PROJETOS'!B:D,3,0),MID('BASE FINANCEIRO'!BI365,36,9),"PROJETO?")))</f>
        <v>#N/A</v>
      </c>
      <c r="E331" s="24" t="e">
        <f>VLOOKUP(D331,'BASE MUNICÍPIO'!B312:C25047,2,0)</f>
        <v>#N/A</v>
      </c>
      <c r="F331" s="98" t="e">
        <f>VLOOKUP(D331,'BASE MUNICÍPIO'!B312:D25047,3,0)</f>
        <v>#N/A</v>
      </c>
      <c r="G331" s="97" t="str">
        <f>IF(Tabela4[[#This Row],[PROJETO]]="CLARO",LEFT(Tabela4[[#This Row],[SITE2]],2),IF(Tabela4[[#This Row],[PROJETO]]="VIVO",RIGHT(LEFT(Tabela4[[#This Row],[SITE2]],10),2),""))</f>
        <v/>
      </c>
      <c r="H331" s="99"/>
    </row>
    <row r="332" spans="1:8">
      <c r="A332" s="119">
        <f>'BASE FINANCEIRO'!BI366</f>
        <v>0</v>
      </c>
      <c r="B332" s="24" t="str">
        <f t="shared" si="5"/>
        <v/>
      </c>
      <c r="C332" s="24" t="s">
        <v>2453</v>
      </c>
      <c r="D332" s="24" t="e">
        <f>IF(VLOOKUP('BASE FINANCEIRO'!BC366,'COD. PROJETOS'!B:D,3,0)="VIVO",MID('BASE FINANCEIRO'!BI366,36,3),IF(VLOOKUP('BASE FINANCEIRO'!BC366,'COD. PROJETOS'!B:D,3,0),MID('BASE FINANCEIRO'!BI366,36,7),IF(VLOOKUP('BASE FINANCEIRO'!BC366,'COD. PROJETOS'!B:D,3,0),MID('BASE FINANCEIRO'!BI366,36,9),"PROJETO?")))</f>
        <v>#N/A</v>
      </c>
      <c r="E332" s="24" t="e">
        <f>VLOOKUP(D332,'BASE MUNICÍPIO'!B313:C25048,2,0)</f>
        <v>#N/A</v>
      </c>
      <c r="F332" s="98" t="e">
        <f>VLOOKUP(D332,'BASE MUNICÍPIO'!B313:D25048,3,0)</f>
        <v>#N/A</v>
      </c>
      <c r="G332" s="97" t="str">
        <f>IF(Tabela4[[#This Row],[PROJETO]]="CLARO",LEFT(Tabela4[[#This Row],[SITE2]],2),IF(Tabela4[[#This Row],[PROJETO]]="VIVO",RIGHT(LEFT(Tabela4[[#This Row],[SITE2]],10),2),""))</f>
        <v/>
      </c>
      <c r="H332" s="99"/>
    </row>
    <row r="333" spans="1:8">
      <c r="A333" s="119">
        <f>'BASE FINANCEIRO'!BI367</f>
        <v>0</v>
      </c>
      <c r="B333" s="24" t="str">
        <f t="shared" si="5"/>
        <v/>
      </c>
      <c r="C333" s="24" t="s">
        <v>2453</v>
      </c>
      <c r="D333" s="24" t="e">
        <f>IF(VLOOKUP('BASE FINANCEIRO'!BC367,'COD. PROJETOS'!B:D,3,0)="VIVO",MID('BASE FINANCEIRO'!BI367,36,3),IF(VLOOKUP('BASE FINANCEIRO'!BC367,'COD. PROJETOS'!B:D,3,0),MID('BASE FINANCEIRO'!BI367,36,7),IF(VLOOKUP('BASE FINANCEIRO'!BC367,'COD. PROJETOS'!B:D,3,0),MID('BASE FINANCEIRO'!BI367,36,9),"PROJETO?")))</f>
        <v>#N/A</v>
      </c>
      <c r="E333" s="24" t="e">
        <f>VLOOKUP(D333,'BASE MUNICÍPIO'!B314:C25049,2,0)</f>
        <v>#N/A</v>
      </c>
      <c r="F333" s="98" t="e">
        <f>VLOOKUP(D333,'BASE MUNICÍPIO'!B314:D25049,3,0)</f>
        <v>#N/A</v>
      </c>
      <c r="G333" s="97" t="str">
        <f>IF(Tabela4[[#This Row],[PROJETO]]="CLARO",LEFT(Tabela4[[#This Row],[SITE2]],2),IF(Tabela4[[#This Row],[PROJETO]]="VIVO",RIGHT(LEFT(Tabela4[[#This Row],[SITE2]],10),2),""))</f>
        <v/>
      </c>
      <c r="H333" s="99"/>
    </row>
    <row r="334" spans="1:8">
      <c r="A334" s="119">
        <f>'BASE FINANCEIRO'!BI368</f>
        <v>0</v>
      </c>
      <c r="B334" s="24" t="str">
        <f t="shared" si="5"/>
        <v/>
      </c>
      <c r="C334" s="24" t="s">
        <v>2453</v>
      </c>
      <c r="D334" s="24" t="e">
        <f>IF(VLOOKUP('BASE FINANCEIRO'!BC368,'COD. PROJETOS'!B:D,3,0)="VIVO",MID('BASE FINANCEIRO'!BI368,36,3),IF(VLOOKUP('BASE FINANCEIRO'!BC368,'COD. PROJETOS'!B:D,3,0),MID('BASE FINANCEIRO'!BI368,36,7),IF(VLOOKUP('BASE FINANCEIRO'!BC368,'COD. PROJETOS'!B:D,3,0),MID('BASE FINANCEIRO'!BI368,36,9),"PROJETO?")))</f>
        <v>#N/A</v>
      </c>
      <c r="E334" s="24" t="e">
        <f>VLOOKUP(D334,'BASE MUNICÍPIO'!B315:C25050,2,0)</f>
        <v>#N/A</v>
      </c>
      <c r="F334" s="98" t="e">
        <f>VLOOKUP(D334,'BASE MUNICÍPIO'!B315:D25050,3,0)</f>
        <v>#N/A</v>
      </c>
      <c r="G334" s="97" t="str">
        <f>IF(Tabela4[[#This Row],[PROJETO]]="CLARO",LEFT(Tabela4[[#This Row],[SITE2]],2),IF(Tabela4[[#This Row],[PROJETO]]="VIVO",RIGHT(LEFT(Tabela4[[#This Row],[SITE2]],10),2),""))</f>
        <v/>
      </c>
      <c r="H334" s="99"/>
    </row>
    <row r="335" spans="1:8">
      <c r="A335" s="119">
        <f>'BASE FINANCEIRO'!BI369</f>
        <v>0</v>
      </c>
      <c r="B335" s="24" t="str">
        <f t="shared" si="5"/>
        <v/>
      </c>
      <c r="C335" s="24" t="s">
        <v>2453</v>
      </c>
      <c r="D335" s="24" t="e">
        <f>IF(VLOOKUP('BASE FINANCEIRO'!BC369,'COD. PROJETOS'!B:D,3,0)="VIVO",MID('BASE FINANCEIRO'!BI369,36,3),IF(VLOOKUP('BASE FINANCEIRO'!BC369,'COD. PROJETOS'!B:D,3,0),MID('BASE FINANCEIRO'!BI369,36,7),IF(VLOOKUP('BASE FINANCEIRO'!BC369,'COD. PROJETOS'!B:D,3,0),MID('BASE FINANCEIRO'!BI369,36,9),"PROJETO?")))</f>
        <v>#N/A</v>
      </c>
      <c r="E335" s="24" t="e">
        <f>VLOOKUP(D335,'BASE MUNICÍPIO'!B316:C25051,2,0)</f>
        <v>#N/A</v>
      </c>
      <c r="F335" s="98" t="e">
        <f>VLOOKUP(D335,'BASE MUNICÍPIO'!B316:D25051,3,0)</f>
        <v>#N/A</v>
      </c>
      <c r="G335" s="97" t="str">
        <f>IF(Tabela4[[#This Row],[PROJETO]]="CLARO",LEFT(Tabela4[[#This Row],[SITE2]],2),IF(Tabela4[[#This Row],[PROJETO]]="VIVO",RIGHT(LEFT(Tabela4[[#This Row],[SITE2]],10),2),""))</f>
        <v/>
      </c>
      <c r="H335" s="99"/>
    </row>
    <row r="336" spans="1:8">
      <c r="A336" s="119">
        <f>'BASE FINANCEIRO'!BI370</f>
        <v>0</v>
      </c>
      <c r="B336" s="24" t="str">
        <f t="shared" si="5"/>
        <v/>
      </c>
      <c r="C336" s="24" t="s">
        <v>2453</v>
      </c>
      <c r="D336" s="24" t="e">
        <f>IF(VLOOKUP('BASE FINANCEIRO'!BC370,'COD. PROJETOS'!B:D,3,0)="VIVO",MID('BASE FINANCEIRO'!BI370,36,3),IF(VLOOKUP('BASE FINANCEIRO'!BC370,'COD. PROJETOS'!B:D,3,0),MID('BASE FINANCEIRO'!BI370,36,7),IF(VLOOKUP('BASE FINANCEIRO'!BC370,'COD. PROJETOS'!B:D,3,0),MID('BASE FINANCEIRO'!BI370,36,9),"PROJETO?")))</f>
        <v>#N/A</v>
      </c>
      <c r="E336" s="24" t="e">
        <f>VLOOKUP(D336,'BASE MUNICÍPIO'!B317:C25052,2,0)</f>
        <v>#N/A</v>
      </c>
      <c r="F336" s="98" t="e">
        <f>VLOOKUP(D336,'BASE MUNICÍPIO'!B317:D25052,3,0)</f>
        <v>#N/A</v>
      </c>
      <c r="G336" s="97" t="str">
        <f>IF(Tabela4[[#This Row],[PROJETO]]="CLARO",LEFT(Tabela4[[#This Row],[SITE2]],2),IF(Tabela4[[#This Row],[PROJETO]]="VIVO",RIGHT(LEFT(Tabela4[[#This Row],[SITE2]],10),2),""))</f>
        <v/>
      </c>
      <c r="H336" s="99"/>
    </row>
    <row r="337" spans="1:8">
      <c r="A337" s="119">
        <f>'BASE FINANCEIRO'!BI371</f>
        <v>0</v>
      </c>
      <c r="B337" s="24" t="str">
        <f t="shared" si="5"/>
        <v/>
      </c>
      <c r="C337" s="24" t="s">
        <v>2453</v>
      </c>
      <c r="D337" s="24" t="e">
        <f>IF(VLOOKUP('BASE FINANCEIRO'!BC371,'COD. PROJETOS'!B:D,3,0)="VIVO",MID('BASE FINANCEIRO'!BI371,36,3),IF(VLOOKUP('BASE FINANCEIRO'!BC371,'COD. PROJETOS'!B:D,3,0),MID('BASE FINANCEIRO'!BI371,36,7),IF(VLOOKUP('BASE FINANCEIRO'!BC371,'COD. PROJETOS'!B:D,3,0),MID('BASE FINANCEIRO'!BI371,36,9),"PROJETO?")))</f>
        <v>#N/A</v>
      </c>
      <c r="E337" s="24" t="e">
        <f>VLOOKUP(D337,'BASE MUNICÍPIO'!B318:C25053,2,0)</f>
        <v>#N/A</v>
      </c>
      <c r="F337" s="98" t="e">
        <f>VLOOKUP(D337,'BASE MUNICÍPIO'!B318:D25053,3,0)</f>
        <v>#N/A</v>
      </c>
      <c r="G337" s="97" t="str">
        <f>IF(Tabela4[[#This Row],[PROJETO]]="CLARO",LEFT(Tabela4[[#This Row],[SITE2]],2),IF(Tabela4[[#This Row],[PROJETO]]="VIVO",RIGHT(LEFT(Tabela4[[#This Row],[SITE2]],10),2),""))</f>
        <v/>
      </c>
      <c r="H337" s="99"/>
    </row>
    <row r="338" spans="1:8">
      <c r="A338" s="119">
        <f>'BASE FINANCEIRO'!BI372</f>
        <v>0</v>
      </c>
      <c r="B338" s="24" t="str">
        <f t="shared" si="5"/>
        <v/>
      </c>
      <c r="C338" s="24" t="s">
        <v>2453</v>
      </c>
      <c r="D338" s="24" t="e">
        <f>IF(VLOOKUP('BASE FINANCEIRO'!BC372,'COD. PROJETOS'!B:D,3,0)="VIVO",MID('BASE FINANCEIRO'!BI372,36,3),IF(VLOOKUP('BASE FINANCEIRO'!BC372,'COD. PROJETOS'!B:D,3,0),MID('BASE FINANCEIRO'!BI372,36,7),IF(VLOOKUP('BASE FINANCEIRO'!BC372,'COD. PROJETOS'!B:D,3,0),MID('BASE FINANCEIRO'!BI372,36,9),"PROJETO?")))</f>
        <v>#N/A</v>
      </c>
      <c r="E338" s="24" t="e">
        <f>VLOOKUP(D338,'BASE MUNICÍPIO'!B319:C25054,2,0)</f>
        <v>#N/A</v>
      </c>
      <c r="F338" s="98" t="e">
        <f>VLOOKUP(D338,'BASE MUNICÍPIO'!B319:D25054,3,0)</f>
        <v>#N/A</v>
      </c>
      <c r="G338" s="97" t="str">
        <f>IF(Tabela4[[#This Row],[PROJETO]]="CLARO",LEFT(Tabela4[[#This Row],[SITE2]],2),IF(Tabela4[[#This Row],[PROJETO]]="VIVO",RIGHT(LEFT(Tabela4[[#This Row],[SITE2]],10),2),""))</f>
        <v/>
      </c>
      <c r="H338" s="99"/>
    </row>
    <row r="339" spans="1:8">
      <c r="A339" s="119">
        <f>'BASE FINANCEIRO'!BI373</f>
        <v>0</v>
      </c>
      <c r="B339" s="24" t="str">
        <f t="shared" si="5"/>
        <v/>
      </c>
      <c r="C339" s="24" t="s">
        <v>2453</v>
      </c>
      <c r="D339" s="24" t="e">
        <f>IF(VLOOKUP('BASE FINANCEIRO'!BC373,'COD. PROJETOS'!B:D,3,0)="VIVO",MID('BASE FINANCEIRO'!BI373,36,3),IF(VLOOKUP('BASE FINANCEIRO'!BC373,'COD. PROJETOS'!B:D,3,0),MID('BASE FINANCEIRO'!BI373,36,7),IF(VLOOKUP('BASE FINANCEIRO'!BC373,'COD. PROJETOS'!B:D,3,0),MID('BASE FINANCEIRO'!BI373,36,9),"PROJETO?")))</f>
        <v>#N/A</v>
      </c>
      <c r="E339" s="24" t="e">
        <f>VLOOKUP(D339,'BASE MUNICÍPIO'!B320:C25055,2,0)</f>
        <v>#N/A</v>
      </c>
      <c r="F339" s="98" t="e">
        <f>VLOOKUP(D339,'BASE MUNICÍPIO'!B320:D25055,3,0)</f>
        <v>#N/A</v>
      </c>
      <c r="G339" s="97" t="str">
        <f>IF(Tabela4[[#This Row],[PROJETO]]="CLARO",LEFT(Tabela4[[#This Row],[SITE2]],2),IF(Tabela4[[#This Row],[PROJETO]]="VIVO",RIGHT(LEFT(Tabela4[[#This Row],[SITE2]],10),2),""))</f>
        <v/>
      </c>
      <c r="H339" s="99"/>
    </row>
    <row r="340" spans="1:8">
      <c r="A340" s="119">
        <f>'BASE FINANCEIRO'!BI374</f>
        <v>0</v>
      </c>
      <c r="B340" s="24" t="str">
        <f t="shared" si="5"/>
        <v/>
      </c>
      <c r="C340" s="24" t="s">
        <v>2453</v>
      </c>
      <c r="D340" s="24" t="e">
        <f>IF(VLOOKUP('BASE FINANCEIRO'!BC374,'COD. PROJETOS'!B:D,3,0)="VIVO",MID('BASE FINANCEIRO'!BI374,36,3),IF(VLOOKUP('BASE FINANCEIRO'!BC374,'COD. PROJETOS'!B:D,3,0),MID('BASE FINANCEIRO'!BI374,36,7),IF(VLOOKUP('BASE FINANCEIRO'!BC374,'COD. PROJETOS'!B:D,3,0),MID('BASE FINANCEIRO'!BI374,36,9),"PROJETO?")))</f>
        <v>#N/A</v>
      </c>
      <c r="E340" s="24" t="e">
        <f>VLOOKUP(D340,'BASE MUNICÍPIO'!B321:C25056,2,0)</f>
        <v>#N/A</v>
      </c>
      <c r="F340" s="98" t="e">
        <f>VLOOKUP(D340,'BASE MUNICÍPIO'!B321:D25056,3,0)</f>
        <v>#N/A</v>
      </c>
      <c r="G340" s="97" t="str">
        <f>IF(Tabela4[[#This Row],[PROJETO]]="CLARO",LEFT(Tabela4[[#This Row],[SITE2]],2),IF(Tabela4[[#This Row],[PROJETO]]="VIVO",RIGHT(LEFT(Tabela4[[#This Row],[SITE2]],10),2),""))</f>
        <v/>
      </c>
      <c r="H340" s="99"/>
    </row>
    <row r="341" spans="1:8">
      <c r="A341" s="119">
        <f>'BASE FINANCEIRO'!BI375</f>
        <v>0</v>
      </c>
      <c r="B341" s="24" t="str">
        <f t="shared" si="5"/>
        <v/>
      </c>
      <c r="C341" s="24" t="s">
        <v>2453</v>
      </c>
      <c r="D341" s="24" t="e">
        <f>IF(VLOOKUP('BASE FINANCEIRO'!BC375,'COD. PROJETOS'!B:D,3,0)="VIVO",MID('BASE FINANCEIRO'!BI375,36,3),IF(VLOOKUP('BASE FINANCEIRO'!BC375,'COD. PROJETOS'!B:D,3,0),MID('BASE FINANCEIRO'!BI375,36,7),IF(VLOOKUP('BASE FINANCEIRO'!BC375,'COD. PROJETOS'!B:D,3,0),MID('BASE FINANCEIRO'!BI375,36,9),"PROJETO?")))</f>
        <v>#N/A</v>
      </c>
      <c r="E341" s="24" t="e">
        <f>VLOOKUP(D341,'BASE MUNICÍPIO'!B322:C25057,2,0)</f>
        <v>#N/A</v>
      </c>
      <c r="F341" s="98" t="e">
        <f>VLOOKUP(D341,'BASE MUNICÍPIO'!B322:D25057,3,0)</f>
        <v>#N/A</v>
      </c>
      <c r="G341" s="97" t="str">
        <f>IF(Tabela4[[#This Row],[PROJETO]]="CLARO",LEFT(Tabela4[[#This Row],[SITE2]],2),IF(Tabela4[[#This Row],[PROJETO]]="VIVO",RIGHT(LEFT(Tabela4[[#This Row],[SITE2]],10),2),""))</f>
        <v/>
      </c>
      <c r="H341" s="99"/>
    </row>
    <row r="342" spans="1:8">
      <c r="A342" s="119">
        <f>'BASE FINANCEIRO'!BI376</f>
        <v>0</v>
      </c>
      <c r="B342" s="24" t="str">
        <f t="shared" si="5"/>
        <v/>
      </c>
      <c r="C342" s="24" t="s">
        <v>2453</v>
      </c>
      <c r="D342" s="24" t="e">
        <f>IF(VLOOKUP('BASE FINANCEIRO'!BC376,'COD. PROJETOS'!B:D,3,0)="VIVO",MID('BASE FINANCEIRO'!BI376,36,3),IF(VLOOKUP('BASE FINANCEIRO'!BC376,'COD. PROJETOS'!B:D,3,0),MID('BASE FINANCEIRO'!BI376,36,7),IF(VLOOKUP('BASE FINANCEIRO'!BC376,'COD. PROJETOS'!B:D,3,0),MID('BASE FINANCEIRO'!BI376,36,9),"PROJETO?")))</f>
        <v>#N/A</v>
      </c>
      <c r="E342" s="24" t="e">
        <f>VLOOKUP(D342,'BASE MUNICÍPIO'!B323:C25058,2,0)</f>
        <v>#N/A</v>
      </c>
      <c r="F342" s="98" t="e">
        <f>VLOOKUP(D342,'BASE MUNICÍPIO'!B323:D25058,3,0)</f>
        <v>#N/A</v>
      </c>
      <c r="G342" s="97" t="str">
        <f>IF(Tabela4[[#This Row],[PROJETO]]="CLARO",LEFT(Tabela4[[#This Row],[SITE2]],2),IF(Tabela4[[#This Row],[PROJETO]]="VIVO",RIGHT(LEFT(Tabela4[[#This Row],[SITE2]],10),2),""))</f>
        <v/>
      </c>
      <c r="H342" s="99"/>
    </row>
    <row r="343" spans="1:8">
      <c r="A343" s="119">
        <f>'BASE FINANCEIRO'!BI377</f>
        <v>0</v>
      </c>
      <c r="B343" s="24" t="str">
        <f t="shared" si="5"/>
        <v/>
      </c>
      <c r="C343" s="24" t="s">
        <v>2453</v>
      </c>
      <c r="D343" s="24" t="e">
        <f>IF(VLOOKUP('BASE FINANCEIRO'!BC377,'COD. PROJETOS'!B:D,3,0)="VIVO",MID('BASE FINANCEIRO'!BI377,36,3),IF(VLOOKUP('BASE FINANCEIRO'!BC377,'COD. PROJETOS'!B:D,3,0),MID('BASE FINANCEIRO'!BI377,36,7),IF(VLOOKUP('BASE FINANCEIRO'!BC377,'COD. PROJETOS'!B:D,3,0),MID('BASE FINANCEIRO'!BI377,36,9),"PROJETO?")))</f>
        <v>#N/A</v>
      </c>
      <c r="E343" s="24" t="e">
        <f>VLOOKUP(D343,'BASE MUNICÍPIO'!B324:C25059,2,0)</f>
        <v>#N/A</v>
      </c>
      <c r="F343" s="98" t="e">
        <f>VLOOKUP(D343,'BASE MUNICÍPIO'!B324:D25059,3,0)</f>
        <v>#N/A</v>
      </c>
      <c r="G343" s="97" t="str">
        <f>IF(Tabela4[[#This Row],[PROJETO]]="CLARO",LEFT(Tabela4[[#This Row],[SITE2]],2),IF(Tabela4[[#This Row],[PROJETO]]="VIVO",RIGHT(LEFT(Tabela4[[#This Row],[SITE2]],10),2),""))</f>
        <v/>
      </c>
      <c r="H343" s="99"/>
    </row>
    <row r="344" spans="1:8">
      <c r="A344" s="119">
        <f>'BASE FINANCEIRO'!BI378</f>
        <v>0</v>
      </c>
      <c r="B344" s="24" t="str">
        <f t="shared" si="5"/>
        <v/>
      </c>
      <c r="C344" s="24" t="s">
        <v>2453</v>
      </c>
      <c r="D344" s="24" t="e">
        <f>IF(VLOOKUP('BASE FINANCEIRO'!BC378,'COD. PROJETOS'!B:D,3,0)="VIVO",MID('BASE FINANCEIRO'!BI378,36,3),IF(VLOOKUP('BASE FINANCEIRO'!BC378,'COD. PROJETOS'!B:D,3,0),MID('BASE FINANCEIRO'!BI378,36,7),IF(VLOOKUP('BASE FINANCEIRO'!BC378,'COD. PROJETOS'!B:D,3,0),MID('BASE FINANCEIRO'!BI378,36,9),"PROJETO?")))</f>
        <v>#N/A</v>
      </c>
      <c r="E344" s="24" t="e">
        <f>VLOOKUP(D344,'BASE MUNICÍPIO'!B325:C25060,2,0)</f>
        <v>#N/A</v>
      </c>
      <c r="F344" s="98" t="e">
        <f>VLOOKUP(D344,'BASE MUNICÍPIO'!B325:D25060,3,0)</f>
        <v>#N/A</v>
      </c>
      <c r="G344" s="97" t="str">
        <f>IF(Tabela4[[#This Row],[PROJETO]]="CLARO",LEFT(Tabela4[[#This Row],[SITE2]],2),IF(Tabela4[[#This Row],[PROJETO]]="VIVO",RIGHT(LEFT(Tabela4[[#This Row],[SITE2]],10),2),""))</f>
        <v/>
      </c>
      <c r="H344" s="99"/>
    </row>
    <row r="345" spans="1:8">
      <c r="A345" s="119">
        <f>'BASE FINANCEIRO'!BI379</f>
        <v>0</v>
      </c>
      <c r="B345" s="24" t="str">
        <f t="shared" si="5"/>
        <v/>
      </c>
      <c r="C345" s="24" t="s">
        <v>2453</v>
      </c>
      <c r="D345" s="24" t="e">
        <f>IF(VLOOKUP('BASE FINANCEIRO'!BC379,'COD. PROJETOS'!B:D,3,0)="VIVO",MID('BASE FINANCEIRO'!BI379,36,3),IF(VLOOKUP('BASE FINANCEIRO'!BC379,'COD. PROJETOS'!B:D,3,0),MID('BASE FINANCEIRO'!BI379,36,7),IF(VLOOKUP('BASE FINANCEIRO'!BC379,'COD. PROJETOS'!B:D,3,0),MID('BASE FINANCEIRO'!BI379,36,9),"PROJETO?")))</f>
        <v>#N/A</v>
      </c>
      <c r="E345" s="24" t="e">
        <f>VLOOKUP(D345,'BASE MUNICÍPIO'!B326:C25061,2,0)</f>
        <v>#N/A</v>
      </c>
      <c r="F345" s="98" t="e">
        <f>VLOOKUP(D345,'BASE MUNICÍPIO'!B326:D25061,3,0)</f>
        <v>#N/A</v>
      </c>
      <c r="G345" s="97" t="str">
        <f>IF(Tabela4[[#This Row],[PROJETO]]="CLARO",LEFT(Tabela4[[#This Row],[SITE2]],2),IF(Tabela4[[#This Row],[PROJETO]]="VIVO",RIGHT(LEFT(Tabela4[[#This Row],[SITE2]],10),2),""))</f>
        <v/>
      </c>
      <c r="H345" s="99"/>
    </row>
    <row r="346" spans="1:8">
      <c r="A346" s="119">
        <f>'BASE FINANCEIRO'!BI380</f>
        <v>0</v>
      </c>
      <c r="B346" s="24" t="str">
        <f t="shared" si="5"/>
        <v/>
      </c>
      <c r="C346" s="24" t="s">
        <v>2453</v>
      </c>
      <c r="D346" s="24" t="e">
        <f>IF(VLOOKUP('BASE FINANCEIRO'!BC380,'COD. PROJETOS'!B:D,3,0)="VIVO",MID('BASE FINANCEIRO'!BI380,36,3),IF(VLOOKUP('BASE FINANCEIRO'!BC380,'COD. PROJETOS'!B:D,3,0),MID('BASE FINANCEIRO'!BI380,36,7),IF(VLOOKUP('BASE FINANCEIRO'!BC380,'COD. PROJETOS'!B:D,3,0),MID('BASE FINANCEIRO'!BI380,36,9),"PROJETO?")))</f>
        <v>#N/A</v>
      </c>
      <c r="E346" s="24" t="e">
        <f>VLOOKUP(D346,'BASE MUNICÍPIO'!B327:C25062,2,0)</f>
        <v>#N/A</v>
      </c>
      <c r="F346" s="98" t="e">
        <f>VLOOKUP(D346,'BASE MUNICÍPIO'!B327:D25062,3,0)</f>
        <v>#N/A</v>
      </c>
      <c r="G346" s="97" t="str">
        <f>IF(Tabela4[[#This Row],[PROJETO]]="CLARO",LEFT(Tabela4[[#This Row],[SITE2]],2),IF(Tabela4[[#This Row],[PROJETO]]="VIVO",RIGHT(LEFT(Tabela4[[#This Row],[SITE2]],10),2),""))</f>
        <v/>
      </c>
      <c r="H346" s="99"/>
    </row>
    <row r="347" spans="1:8">
      <c r="A347" s="119">
        <f>'BASE FINANCEIRO'!BI381</f>
        <v>0</v>
      </c>
      <c r="B347" s="24" t="str">
        <f t="shared" si="5"/>
        <v/>
      </c>
      <c r="C347" s="24" t="s">
        <v>2453</v>
      </c>
      <c r="D347" s="24" t="e">
        <f>IF(VLOOKUP('BASE FINANCEIRO'!BC381,'COD. PROJETOS'!B:D,3,0)="VIVO",MID('BASE FINANCEIRO'!BI381,36,3),IF(VLOOKUP('BASE FINANCEIRO'!BC381,'COD. PROJETOS'!B:D,3,0),MID('BASE FINANCEIRO'!BI381,36,7),IF(VLOOKUP('BASE FINANCEIRO'!BC381,'COD. PROJETOS'!B:D,3,0),MID('BASE FINANCEIRO'!BI381,36,9),"PROJETO?")))</f>
        <v>#N/A</v>
      </c>
      <c r="E347" s="24" t="e">
        <f>VLOOKUP(D347,'BASE MUNICÍPIO'!B328:C25063,2,0)</f>
        <v>#N/A</v>
      </c>
      <c r="F347" s="98" t="e">
        <f>VLOOKUP(D347,'BASE MUNICÍPIO'!B328:D25063,3,0)</f>
        <v>#N/A</v>
      </c>
      <c r="G347" s="97" t="str">
        <f>IF(Tabela4[[#This Row],[PROJETO]]="CLARO",LEFT(Tabela4[[#This Row],[SITE2]],2),IF(Tabela4[[#This Row],[PROJETO]]="VIVO",RIGHT(LEFT(Tabela4[[#This Row],[SITE2]],10),2),""))</f>
        <v/>
      </c>
      <c r="H347" s="99"/>
    </row>
    <row r="348" spans="1:8">
      <c r="A348" s="119">
        <f>'BASE FINANCEIRO'!BI382</f>
        <v>0</v>
      </c>
      <c r="B348" s="24" t="str">
        <f t="shared" si="5"/>
        <v/>
      </c>
      <c r="C348" s="24" t="s">
        <v>2453</v>
      </c>
      <c r="D348" s="24" t="e">
        <f>IF(VLOOKUP('BASE FINANCEIRO'!BC382,'COD. PROJETOS'!B:D,3,0)="VIVO",MID('BASE FINANCEIRO'!BI382,36,3),IF(VLOOKUP('BASE FINANCEIRO'!BC382,'COD. PROJETOS'!B:D,3,0),MID('BASE FINANCEIRO'!BI382,36,7),IF(VLOOKUP('BASE FINANCEIRO'!BC382,'COD. PROJETOS'!B:D,3,0),MID('BASE FINANCEIRO'!BI382,36,9),"PROJETO?")))</f>
        <v>#N/A</v>
      </c>
      <c r="E348" s="24" t="e">
        <f>VLOOKUP(D348,'BASE MUNICÍPIO'!B329:C25064,2,0)</f>
        <v>#N/A</v>
      </c>
      <c r="F348" s="98" t="e">
        <f>VLOOKUP(D348,'BASE MUNICÍPIO'!B329:D25064,3,0)</f>
        <v>#N/A</v>
      </c>
      <c r="G348" s="97" t="str">
        <f>IF(Tabela4[[#This Row],[PROJETO]]="CLARO",LEFT(Tabela4[[#This Row],[SITE2]],2),IF(Tabela4[[#This Row],[PROJETO]]="VIVO",RIGHT(LEFT(Tabela4[[#This Row],[SITE2]],10),2),""))</f>
        <v/>
      </c>
      <c r="H348" s="99"/>
    </row>
    <row r="349" spans="1:8">
      <c r="A349" s="119">
        <f>'BASE FINANCEIRO'!BI383</f>
        <v>0</v>
      </c>
      <c r="B349" s="24" t="str">
        <f t="shared" si="5"/>
        <v/>
      </c>
      <c r="C349" s="24" t="s">
        <v>2453</v>
      </c>
      <c r="D349" s="24" t="e">
        <f>IF(VLOOKUP('BASE FINANCEIRO'!BC383,'COD. PROJETOS'!B:D,3,0)="VIVO",MID('BASE FINANCEIRO'!BI383,36,3),IF(VLOOKUP('BASE FINANCEIRO'!BC383,'COD. PROJETOS'!B:D,3,0),MID('BASE FINANCEIRO'!BI383,36,7),IF(VLOOKUP('BASE FINANCEIRO'!BC383,'COD. PROJETOS'!B:D,3,0),MID('BASE FINANCEIRO'!BI383,36,9),"PROJETO?")))</f>
        <v>#N/A</v>
      </c>
      <c r="E349" s="24" t="e">
        <f>VLOOKUP(D349,'BASE MUNICÍPIO'!B330:C25065,2,0)</f>
        <v>#N/A</v>
      </c>
      <c r="F349" s="98" t="e">
        <f>VLOOKUP(D349,'BASE MUNICÍPIO'!B330:D25065,3,0)</f>
        <v>#N/A</v>
      </c>
      <c r="G349" s="97" t="str">
        <f>IF(Tabela4[[#This Row],[PROJETO]]="CLARO",LEFT(Tabela4[[#This Row],[SITE2]],2),IF(Tabela4[[#This Row],[PROJETO]]="VIVO",RIGHT(LEFT(Tabela4[[#This Row],[SITE2]],10),2),""))</f>
        <v/>
      </c>
      <c r="H349" s="99"/>
    </row>
    <row r="350" spans="1:8">
      <c r="A350" s="119">
        <f>'BASE FINANCEIRO'!BI384</f>
        <v>0</v>
      </c>
      <c r="B350" s="24" t="str">
        <f t="shared" si="5"/>
        <v/>
      </c>
      <c r="C350" s="24" t="s">
        <v>2453</v>
      </c>
      <c r="D350" s="24" t="e">
        <f>IF(VLOOKUP('BASE FINANCEIRO'!BC384,'COD. PROJETOS'!B:D,3,0)="VIVO",MID('BASE FINANCEIRO'!BI384,36,3),IF(VLOOKUP('BASE FINANCEIRO'!BC384,'COD. PROJETOS'!B:D,3,0),MID('BASE FINANCEIRO'!BI384,36,7),IF(VLOOKUP('BASE FINANCEIRO'!BC384,'COD. PROJETOS'!B:D,3,0),MID('BASE FINANCEIRO'!BI384,36,9),"PROJETO?")))</f>
        <v>#N/A</v>
      </c>
      <c r="E350" s="24" t="e">
        <f>VLOOKUP(D350,'BASE MUNICÍPIO'!B331:C25066,2,0)</f>
        <v>#N/A</v>
      </c>
      <c r="F350" s="98" t="e">
        <f>VLOOKUP(D350,'BASE MUNICÍPIO'!B331:D25066,3,0)</f>
        <v>#N/A</v>
      </c>
      <c r="G350" s="97" t="str">
        <f>IF(Tabela4[[#This Row],[PROJETO]]="CLARO",LEFT(Tabela4[[#This Row],[SITE2]],2),IF(Tabela4[[#This Row],[PROJETO]]="VIVO",RIGHT(LEFT(Tabela4[[#This Row],[SITE2]],10),2),""))</f>
        <v/>
      </c>
      <c r="H350" s="99"/>
    </row>
    <row r="351" spans="1:8">
      <c r="A351" s="119">
        <f>'BASE FINANCEIRO'!BI385</f>
        <v>0</v>
      </c>
      <c r="B351" s="24" t="str">
        <f t="shared" si="5"/>
        <v/>
      </c>
      <c r="C351" s="24" t="s">
        <v>2453</v>
      </c>
      <c r="D351" s="24" t="e">
        <f>IF(VLOOKUP('BASE FINANCEIRO'!BC385,'COD. PROJETOS'!B:D,3,0)="VIVO",MID('BASE FINANCEIRO'!BI385,36,3),IF(VLOOKUP('BASE FINANCEIRO'!BC385,'COD. PROJETOS'!B:D,3,0),MID('BASE FINANCEIRO'!BI385,36,7),IF(VLOOKUP('BASE FINANCEIRO'!BC385,'COD. PROJETOS'!B:D,3,0),MID('BASE FINANCEIRO'!BI385,36,9),"PROJETO?")))</f>
        <v>#N/A</v>
      </c>
      <c r="E351" s="24" t="e">
        <f>VLOOKUP(D351,'BASE MUNICÍPIO'!B332:C25067,2,0)</f>
        <v>#N/A</v>
      </c>
      <c r="F351" s="98" t="e">
        <f>VLOOKUP(D351,'BASE MUNICÍPIO'!B332:D25067,3,0)</f>
        <v>#N/A</v>
      </c>
      <c r="G351" s="97" t="str">
        <f>IF(Tabela4[[#This Row],[PROJETO]]="CLARO",LEFT(Tabela4[[#This Row],[SITE2]],2),IF(Tabela4[[#This Row],[PROJETO]]="VIVO",RIGHT(LEFT(Tabela4[[#This Row],[SITE2]],10),2),""))</f>
        <v/>
      </c>
      <c r="H351" s="99"/>
    </row>
    <row r="352" spans="1:8">
      <c r="A352" s="119">
        <f>'BASE FINANCEIRO'!BI386</f>
        <v>0</v>
      </c>
      <c r="B352" s="24" t="str">
        <f t="shared" si="5"/>
        <v/>
      </c>
      <c r="C352" s="24" t="s">
        <v>2453</v>
      </c>
      <c r="D352" s="24" t="e">
        <f>IF(VLOOKUP('BASE FINANCEIRO'!BC386,'COD. PROJETOS'!B:D,3,0)="VIVO",MID('BASE FINANCEIRO'!BI386,36,3),IF(VLOOKUP('BASE FINANCEIRO'!BC386,'COD. PROJETOS'!B:D,3,0),MID('BASE FINANCEIRO'!BI386,36,7),IF(VLOOKUP('BASE FINANCEIRO'!BC386,'COD. PROJETOS'!B:D,3,0),MID('BASE FINANCEIRO'!BI386,36,9),"PROJETO?")))</f>
        <v>#N/A</v>
      </c>
      <c r="E352" s="24" t="e">
        <f>VLOOKUP(D352,'BASE MUNICÍPIO'!B333:C25068,2,0)</f>
        <v>#N/A</v>
      </c>
      <c r="F352" s="98" t="e">
        <f>VLOOKUP(D352,'BASE MUNICÍPIO'!B333:D25068,3,0)</f>
        <v>#N/A</v>
      </c>
      <c r="G352" s="97" t="str">
        <f>IF(Tabela4[[#This Row],[PROJETO]]="CLARO",LEFT(Tabela4[[#This Row],[SITE2]],2),IF(Tabela4[[#This Row],[PROJETO]]="VIVO",RIGHT(LEFT(Tabela4[[#This Row],[SITE2]],10),2),""))</f>
        <v/>
      </c>
      <c r="H352" s="99"/>
    </row>
    <row r="353" spans="1:8">
      <c r="A353" s="119">
        <f>'BASE FINANCEIRO'!BI387</f>
        <v>0</v>
      </c>
      <c r="B353" s="24" t="str">
        <f t="shared" si="5"/>
        <v/>
      </c>
      <c r="C353" s="24" t="s">
        <v>2453</v>
      </c>
      <c r="D353" s="24" t="e">
        <f>IF(VLOOKUP('BASE FINANCEIRO'!BC387,'COD. PROJETOS'!B:D,3,0)="VIVO",MID('BASE FINANCEIRO'!BI387,36,3),IF(VLOOKUP('BASE FINANCEIRO'!BC387,'COD. PROJETOS'!B:D,3,0),MID('BASE FINANCEIRO'!BI387,36,7),IF(VLOOKUP('BASE FINANCEIRO'!BC387,'COD. PROJETOS'!B:D,3,0),MID('BASE FINANCEIRO'!BI387,36,9),"PROJETO?")))</f>
        <v>#N/A</v>
      </c>
      <c r="E353" s="24" t="e">
        <f>VLOOKUP(D353,'BASE MUNICÍPIO'!B334:C25069,2,0)</f>
        <v>#N/A</v>
      </c>
      <c r="F353" s="98" t="e">
        <f>VLOOKUP(D353,'BASE MUNICÍPIO'!B334:D25069,3,0)</f>
        <v>#N/A</v>
      </c>
      <c r="G353" s="97" t="str">
        <f>IF(Tabela4[[#This Row],[PROJETO]]="CLARO",LEFT(Tabela4[[#This Row],[SITE2]],2),IF(Tabela4[[#This Row],[PROJETO]]="VIVO",RIGHT(LEFT(Tabela4[[#This Row],[SITE2]],10),2),""))</f>
        <v/>
      </c>
      <c r="H353" s="99"/>
    </row>
    <row r="354" spans="1:8">
      <c r="A354" s="119">
        <f>'BASE FINANCEIRO'!BI388</f>
        <v>0</v>
      </c>
      <c r="B354" s="24" t="str">
        <f t="shared" si="5"/>
        <v/>
      </c>
      <c r="C354" s="24" t="s">
        <v>2453</v>
      </c>
      <c r="D354" s="24" t="e">
        <f>IF(VLOOKUP('BASE FINANCEIRO'!BC388,'COD. PROJETOS'!B:D,3,0)="VIVO",MID('BASE FINANCEIRO'!BI388,36,3),IF(VLOOKUP('BASE FINANCEIRO'!BC388,'COD. PROJETOS'!B:D,3,0),MID('BASE FINANCEIRO'!BI388,36,7),IF(VLOOKUP('BASE FINANCEIRO'!BC388,'COD. PROJETOS'!B:D,3,0),MID('BASE FINANCEIRO'!BI388,36,9),"PROJETO?")))</f>
        <v>#N/A</v>
      </c>
      <c r="E354" s="24" t="e">
        <f>VLOOKUP(D354,'BASE MUNICÍPIO'!B335:C25070,2,0)</f>
        <v>#N/A</v>
      </c>
      <c r="F354" s="98" t="e">
        <f>VLOOKUP(D354,'BASE MUNICÍPIO'!B335:D25070,3,0)</f>
        <v>#N/A</v>
      </c>
      <c r="G354" s="97" t="str">
        <f>IF(Tabela4[[#This Row],[PROJETO]]="CLARO",LEFT(Tabela4[[#This Row],[SITE2]],2),IF(Tabela4[[#This Row],[PROJETO]]="VIVO",RIGHT(LEFT(Tabela4[[#This Row],[SITE2]],10),2),""))</f>
        <v/>
      </c>
      <c r="H354" s="99"/>
    </row>
    <row r="355" spans="1:8">
      <c r="A355" s="119">
        <f>'BASE FINANCEIRO'!BI389</f>
        <v>0</v>
      </c>
      <c r="B355" s="24" t="str">
        <f t="shared" si="5"/>
        <v/>
      </c>
      <c r="C355" s="24" t="s">
        <v>2453</v>
      </c>
      <c r="D355" s="24" t="e">
        <f>IF(VLOOKUP('BASE FINANCEIRO'!BC389,'COD. PROJETOS'!B:D,3,0)="VIVO",MID('BASE FINANCEIRO'!BI389,36,3),IF(VLOOKUP('BASE FINANCEIRO'!BC389,'COD. PROJETOS'!B:D,3,0),MID('BASE FINANCEIRO'!BI389,36,7),IF(VLOOKUP('BASE FINANCEIRO'!BC389,'COD. PROJETOS'!B:D,3,0),MID('BASE FINANCEIRO'!BI389,36,9),"PROJETO?")))</f>
        <v>#N/A</v>
      </c>
      <c r="E355" s="24" t="e">
        <f>VLOOKUP(D355,'BASE MUNICÍPIO'!B336:C25071,2,0)</f>
        <v>#N/A</v>
      </c>
      <c r="F355" s="98" t="e">
        <f>VLOOKUP(D355,'BASE MUNICÍPIO'!B336:D25071,3,0)</f>
        <v>#N/A</v>
      </c>
      <c r="G355" s="97" t="str">
        <f>IF(Tabela4[[#This Row],[PROJETO]]="CLARO",LEFT(Tabela4[[#This Row],[SITE2]],2),IF(Tabela4[[#This Row],[PROJETO]]="VIVO",RIGHT(LEFT(Tabela4[[#This Row],[SITE2]],10),2),""))</f>
        <v/>
      </c>
      <c r="H355" s="99"/>
    </row>
    <row r="356" spans="1:8">
      <c r="A356" s="119">
        <f>'BASE FINANCEIRO'!BI390</f>
        <v>0</v>
      </c>
      <c r="B356" s="24" t="str">
        <f t="shared" si="5"/>
        <v/>
      </c>
      <c r="C356" s="24" t="s">
        <v>2453</v>
      </c>
      <c r="D356" s="24" t="e">
        <f>IF(VLOOKUP('BASE FINANCEIRO'!BC390,'COD. PROJETOS'!B:D,3,0)="VIVO",MID('BASE FINANCEIRO'!BI390,36,3),IF(VLOOKUP('BASE FINANCEIRO'!BC390,'COD. PROJETOS'!B:D,3,0),MID('BASE FINANCEIRO'!BI390,36,7),IF(VLOOKUP('BASE FINANCEIRO'!BC390,'COD. PROJETOS'!B:D,3,0),MID('BASE FINANCEIRO'!BI390,36,9),"PROJETO?")))</f>
        <v>#N/A</v>
      </c>
      <c r="E356" s="24" t="e">
        <f>VLOOKUP(D356,'BASE MUNICÍPIO'!B337:C25072,2,0)</f>
        <v>#N/A</v>
      </c>
      <c r="F356" s="98" t="e">
        <f>VLOOKUP(D356,'BASE MUNICÍPIO'!B337:D25072,3,0)</f>
        <v>#N/A</v>
      </c>
      <c r="G356" s="97" t="str">
        <f>IF(Tabela4[[#This Row],[PROJETO]]="CLARO",LEFT(Tabela4[[#This Row],[SITE2]],2),IF(Tabela4[[#This Row],[PROJETO]]="VIVO",RIGHT(LEFT(Tabela4[[#This Row],[SITE2]],10),2),""))</f>
        <v/>
      </c>
      <c r="H356" s="99"/>
    </row>
    <row r="357" spans="1:8">
      <c r="A357" s="119">
        <f>'BASE FINANCEIRO'!BI391</f>
        <v>0</v>
      </c>
      <c r="B357" s="24" t="str">
        <f t="shared" si="5"/>
        <v/>
      </c>
      <c r="C357" s="24" t="s">
        <v>2453</v>
      </c>
      <c r="D357" s="24" t="e">
        <f>IF(VLOOKUP('BASE FINANCEIRO'!BC391,'COD. PROJETOS'!B:D,3,0)="VIVO",MID('BASE FINANCEIRO'!BI391,36,3),IF(VLOOKUP('BASE FINANCEIRO'!BC391,'COD. PROJETOS'!B:D,3,0),MID('BASE FINANCEIRO'!BI391,36,7),IF(VLOOKUP('BASE FINANCEIRO'!BC391,'COD. PROJETOS'!B:D,3,0),MID('BASE FINANCEIRO'!BI391,36,9),"PROJETO?")))</f>
        <v>#N/A</v>
      </c>
      <c r="E357" s="24" t="e">
        <f>VLOOKUP(D357,'BASE MUNICÍPIO'!B338:C25073,2,0)</f>
        <v>#N/A</v>
      </c>
      <c r="F357" s="98" t="e">
        <f>VLOOKUP(D357,'BASE MUNICÍPIO'!B338:D25073,3,0)</f>
        <v>#N/A</v>
      </c>
      <c r="G357" s="97" t="str">
        <f>IF(Tabela4[[#This Row],[PROJETO]]="CLARO",LEFT(Tabela4[[#This Row],[SITE2]],2),IF(Tabela4[[#This Row],[PROJETO]]="VIVO",RIGHT(LEFT(Tabela4[[#This Row],[SITE2]],10),2),""))</f>
        <v/>
      </c>
      <c r="H357" s="99"/>
    </row>
    <row r="358" spans="1:8">
      <c r="A358" s="119">
        <f>'BASE FINANCEIRO'!BI392</f>
        <v>0</v>
      </c>
      <c r="B358" s="24" t="str">
        <f t="shared" si="5"/>
        <v/>
      </c>
      <c r="C358" s="24" t="s">
        <v>2453</v>
      </c>
      <c r="D358" s="24" t="e">
        <f>IF(VLOOKUP('BASE FINANCEIRO'!BC392,'COD. PROJETOS'!B:D,3,0)="VIVO",MID('BASE FINANCEIRO'!BI392,36,3),IF(VLOOKUP('BASE FINANCEIRO'!BC392,'COD. PROJETOS'!B:D,3,0),MID('BASE FINANCEIRO'!BI392,36,7),IF(VLOOKUP('BASE FINANCEIRO'!BC392,'COD. PROJETOS'!B:D,3,0),MID('BASE FINANCEIRO'!BI392,36,9),"PROJETO?")))</f>
        <v>#N/A</v>
      </c>
      <c r="E358" s="24" t="e">
        <f>VLOOKUP(D358,'BASE MUNICÍPIO'!B339:C25074,2,0)</f>
        <v>#N/A</v>
      </c>
      <c r="F358" s="98" t="e">
        <f>VLOOKUP(D358,'BASE MUNICÍPIO'!B339:D25074,3,0)</f>
        <v>#N/A</v>
      </c>
      <c r="G358" s="97" t="str">
        <f>IF(Tabela4[[#This Row],[PROJETO]]="CLARO",LEFT(Tabela4[[#This Row],[SITE2]],2),IF(Tabela4[[#This Row],[PROJETO]]="VIVO",RIGHT(LEFT(Tabela4[[#This Row],[SITE2]],10),2),""))</f>
        <v/>
      </c>
      <c r="H358" s="99"/>
    </row>
    <row r="359" spans="1:8">
      <c r="A359" s="119">
        <f>'BASE FINANCEIRO'!BI393</f>
        <v>0</v>
      </c>
      <c r="B359" s="24" t="str">
        <f t="shared" si="5"/>
        <v/>
      </c>
      <c r="C359" s="24" t="s">
        <v>2453</v>
      </c>
      <c r="D359" s="24" t="e">
        <f>IF(VLOOKUP('BASE FINANCEIRO'!BC393,'COD. PROJETOS'!B:D,3,0)="VIVO",MID('BASE FINANCEIRO'!BI393,36,3),IF(VLOOKUP('BASE FINANCEIRO'!BC393,'COD. PROJETOS'!B:D,3,0),MID('BASE FINANCEIRO'!BI393,36,7),IF(VLOOKUP('BASE FINANCEIRO'!BC393,'COD. PROJETOS'!B:D,3,0),MID('BASE FINANCEIRO'!BI393,36,9),"PROJETO?")))</f>
        <v>#N/A</v>
      </c>
      <c r="E359" s="24" t="e">
        <f>VLOOKUP(D359,'BASE MUNICÍPIO'!B340:C25075,2,0)</f>
        <v>#N/A</v>
      </c>
      <c r="F359" s="98" t="e">
        <f>VLOOKUP(D359,'BASE MUNICÍPIO'!B340:D25075,3,0)</f>
        <v>#N/A</v>
      </c>
      <c r="G359" s="97" t="str">
        <f>IF(Tabela4[[#This Row],[PROJETO]]="CLARO",LEFT(Tabela4[[#This Row],[SITE2]],2),IF(Tabela4[[#This Row],[PROJETO]]="VIVO",RIGHT(LEFT(Tabela4[[#This Row],[SITE2]],10),2),""))</f>
        <v/>
      </c>
      <c r="H359" s="99"/>
    </row>
    <row r="360" spans="1:8">
      <c r="A360" s="119">
        <f>'BASE FINANCEIRO'!BI394</f>
        <v>0</v>
      </c>
      <c r="B360" s="24" t="str">
        <f t="shared" si="5"/>
        <v/>
      </c>
      <c r="C360" s="24" t="s">
        <v>2453</v>
      </c>
      <c r="D360" s="24" t="e">
        <f>IF(VLOOKUP('BASE FINANCEIRO'!BC394,'COD. PROJETOS'!B:D,3,0)="VIVO",MID('BASE FINANCEIRO'!BI394,36,3),IF(VLOOKUP('BASE FINANCEIRO'!BC394,'COD. PROJETOS'!B:D,3,0),MID('BASE FINANCEIRO'!BI394,36,7),IF(VLOOKUP('BASE FINANCEIRO'!BC394,'COD. PROJETOS'!B:D,3,0),MID('BASE FINANCEIRO'!BI394,36,9),"PROJETO?")))</f>
        <v>#N/A</v>
      </c>
      <c r="E360" s="24" t="e">
        <f>VLOOKUP(D360,'BASE MUNICÍPIO'!B341:C25076,2,0)</f>
        <v>#N/A</v>
      </c>
      <c r="F360" s="98" t="e">
        <f>VLOOKUP(D360,'BASE MUNICÍPIO'!B341:D25076,3,0)</f>
        <v>#N/A</v>
      </c>
      <c r="G360" s="97" t="str">
        <f>IF(Tabela4[[#This Row],[PROJETO]]="CLARO",LEFT(Tabela4[[#This Row],[SITE2]],2),IF(Tabela4[[#This Row],[PROJETO]]="VIVO",RIGHT(LEFT(Tabela4[[#This Row],[SITE2]],10),2),""))</f>
        <v/>
      </c>
      <c r="H360" s="99"/>
    </row>
    <row r="361" spans="1:8">
      <c r="A361" s="119">
        <f>'BASE FINANCEIRO'!BI395</f>
        <v>0</v>
      </c>
      <c r="B361" s="24" t="str">
        <f t="shared" si="5"/>
        <v/>
      </c>
      <c r="C361" s="24" t="s">
        <v>2453</v>
      </c>
      <c r="D361" s="24" t="e">
        <f>IF(VLOOKUP('BASE FINANCEIRO'!BC395,'COD. PROJETOS'!B:D,3,0)="VIVO",MID('BASE FINANCEIRO'!BI395,36,3),IF(VLOOKUP('BASE FINANCEIRO'!BC395,'COD. PROJETOS'!B:D,3,0),MID('BASE FINANCEIRO'!BI395,36,7),IF(VLOOKUP('BASE FINANCEIRO'!BC395,'COD. PROJETOS'!B:D,3,0),MID('BASE FINANCEIRO'!BI395,36,9),"PROJETO?")))</f>
        <v>#N/A</v>
      </c>
      <c r="E361" s="24" t="e">
        <f>VLOOKUP(D361,'BASE MUNICÍPIO'!B342:C25077,2,0)</f>
        <v>#N/A</v>
      </c>
      <c r="F361" s="98" t="e">
        <f>VLOOKUP(D361,'BASE MUNICÍPIO'!B342:D25077,3,0)</f>
        <v>#N/A</v>
      </c>
      <c r="G361" s="97" t="str">
        <f>IF(Tabela4[[#This Row],[PROJETO]]="CLARO",LEFT(Tabela4[[#This Row],[SITE2]],2),IF(Tabela4[[#This Row],[PROJETO]]="VIVO",RIGHT(LEFT(Tabela4[[#This Row],[SITE2]],10),2),""))</f>
        <v/>
      </c>
      <c r="H361" s="99"/>
    </row>
    <row r="362" spans="1:8">
      <c r="A362" s="119">
        <f>'BASE FINANCEIRO'!BI396</f>
        <v>0</v>
      </c>
      <c r="B362" s="24" t="str">
        <f t="shared" si="5"/>
        <v/>
      </c>
      <c r="C362" s="24" t="s">
        <v>2453</v>
      </c>
      <c r="D362" s="24" t="e">
        <f>IF(VLOOKUP('BASE FINANCEIRO'!BC396,'COD. PROJETOS'!B:D,3,0)="VIVO",MID('BASE FINANCEIRO'!BI396,36,3),IF(VLOOKUP('BASE FINANCEIRO'!BC396,'COD. PROJETOS'!B:D,3,0),MID('BASE FINANCEIRO'!BI396,36,7),IF(VLOOKUP('BASE FINANCEIRO'!BC396,'COD. PROJETOS'!B:D,3,0),MID('BASE FINANCEIRO'!BI396,36,9),"PROJETO?")))</f>
        <v>#N/A</v>
      </c>
      <c r="E362" s="24" t="e">
        <f>VLOOKUP(D362,'BASE MUNICÍPIO'!B343:C25078,2,0)</f>
        <v>#N/A</v>
      </c>
      <c r="F362" s="98" t="e">
        <f>VLOOKUP(D362,'BASE MUNICÍPIO'!B343:D25078,3,0)</f>
        <v>#N/A</v>
      </c>
      <c r="G362" s="97" t="str">
        <f>IF(Tabela4[[#This Row],[PROJETO]]="CLARO",LEFT(Tabela4[[#This Row],[SITE2]],2),IF(Tabela4[[#This Row],[PROJETO]]="VIVO",RIGHT(LEFT(Tabela4[[#This Row],[SITE2]],10),2),""))</f>
        <v/>
      </c>
      <c r="H362" s="99"/>
    </row>
    <row r="363" spans="1:8">
      <c r="A363" s="119">
        <f>'BASE FINANCEIRO'!BI397</f>
        <v>0</v>
      </c>
      <c r="B363" s="24" t="str">
        <f t="shared" si="5"/>
        <v/>
      </c>
      <c r="C363" s="24" t="s">
        <v>2453</v>
      </c>
      <c r="D363" s="24" t="e">
        <f>IF(VLOOKUP('BASE FINANCEIRO'!BC397,'COD. PROJETOS'!B:D,3,0)="VIVO",MID('BASE FINANCEIRO'!BI397,36,3),IF(VLOOKUP('BASE FINANCEIRO'!BC397,'COD. PROJETOS'!B:D,3,0),MID('BASE FINANCEIRO'!BI397,36,7),IF(VLOOKUP('BASE FINANCEIRO'!BC397,'COD. PROJETOS'!B:D,3,0),MID('BASE FINANCEIRO'!BI397,36,9),"PROJETO?")))</f>
        <v>#N/A</v>
      </c>
      <c r="E363" s="24" t="e">
        <f>VLOOKUP(D363,'BASE MUNICÍPIO'!B344:C25079,2,0)</f>
        <v>#N/A</v>
      </c>
      <c r="F363" s="98" t="e">
        <f>VLOOKUP(D363,'BASE MUNICÍPIO'!B344:D25079,3,0)</f>
        <v>#N/A</v>
      </c>
      <c r="G363" s="97" t="str">
        <f>IF(Tabela4[[#This Row],[PROJETO]]="CLARO",LEFT(Tabela4[[#This Row],[SITE2]],2),IF(Tabela4[[#This Row],[PROJETO]]="VIVO",RIGHT(LEFT(Tabela4[[#This Row],[SITE2]],10),2),""))</f>
        <v/>
      </c>
      <c r="H363" s="99"/>
    </row>
    <row r="364" spans="1:8">
      <c r="A364" s="119">
        <f>'BASE FINANCEIRO'!BI398</f>
        <v>0</v>
      </c>
      <c r="B364" s="24" t="str">
        <f t="shared" si="5"/>
        <v/>
      </c>
      <c r="C364" s="24" t="s">
        <v>2453</v>
      </c>
      <c r="D364" s="24" t="e">
        <f>IF(VLOOKUP('BASE FINANCEIRO'!BC398,'COD. PROJETOS'!B:D,3,0)="VIVO",MID('BASE FINANCEIRO'!BI398,36,3),IF(VLOOKUP('BASE FINANCEIRO'!BC398,'COD. PROJETOS'!B:D,3,0),MID('BASE FINANCEIRO'!BI398,36,7),IF(VLOOKUP('BASE FINANCEIRO'!BC398,'COD. PROJETOS'!B:D,3,0),MID('BASE FINANCEIRO'!BI398,36,9),"PROJETO?")))</f>
        <v>#N/A</v>
      </c>
      <c r="E364" s="24" t="e">
        <f>VLOOKUP(D364,'BASE MUNICÍPIO'!B345:C25080,2,0)</f>
        <v>#N/A</v>
      </c>
      <c r="F364" s="98" t="e">
        <f>VLOOKUP(D364,'BASE MUNICÍPIO'!B345:D25080,3,0)</f>
        <v>#N/A</v>
      </c>
      <c r="G364" s="97" t="str">
        <f>IF(Tabela4[[#This Row],[PROJETO]]="CLARO",LEFT(Tabela4[[#This Row],[SITE2]],2),IF(Tabela4[[#This Row],[PROJETO]]="VIVO",RIGHT(LEFT(Tabela4[[#This Row],[SITE2]],10),2),""))</f>
        <v/>
      </c>
      <c r="H364" s="99"/>
    </row>
    <row r="365" spans="1:8">
      <c r="A365" s="119">
        <f>'BASE FINANCEIRO'!BI399</f>
        <v>0</v>
      </c>
      <c r="B365" s="24" t="str">
        <f t="shared" si="5"/>
        <v/>
      </c>
      <c r="C365" s="24" t="s">
        <v>2453</v>
      </c>
      <c r="D365" s="24" t="e">
        <f>IF(VLOOKUP('BASE FINANCEIRO'!BC399,'COD. PROJETOS'!B:D,3,0)="VIVO",MID('BASE FINANCEIRO'!BI399,36,3),IF(VLOOKUP('BASE FINANCEIRO'!BC399,'COD. PROJETOS'!B:D,3,0),MID('BASE FINANCEIRO'!BI399,36,7),IF(VLOOKUP('BASE FINANCEIRO'!BC399,'COD. PROJETOS'!B:D,3,0),MID('BASE FINANCEIRO'!BI399,36,9),"PROJETO?")))</f>
        <v>#N/A</v>
      </c>
      <c r="E365" s="24" t="e">
        <f>VLOOKUP(D365,'BASE MUNICÍPIO'!B346:C25081,2,0)</f>
        <v>#N/A</v>
      </c>
      <c r="F365" s="98" t="e">
        <f>VLOOKUP(D365,'BASE MUNICÍPIO'!B346:D25081,3,0)</f>
        <v>#N/A</v>
      </c>
      <c r="G365" s="97" t="str">
        <f>IF(Tabela4[[#This Row],[PROJETO]]="CLARO",LEFT(Tabela4[[#This Row],[SITE2]],2),IF(Tabela4[[#This Row],[PROJETO]]="VIVO",RIGHT(LEFT(Tabela4[[#This Row],[SITE2]],10),2),""))</f>
        <v/>
      </c>
      <c r="H365" s="99"/>
    </row>
    <row r="366" spans="1:8">
      <c r="A366" s="119">
        <f>'BASE FINANCEIRO'!BI400</f>
        <v>0</v>
      </c>
      <c r="B366" s="24" t="str">
        <f t="shared" si="5"/>
        <v/>
      </c>
      <c r="C366" s="24" t="s">
        <v>2453</v>
      </c>
      <c r="D366" s="24" t="e">
        <f>IF(VLOOKUP('BASE FINANCEIRO'!BC400,'COD. PROJETOS'!B:D,3,0)="VIVO",MID('BASE FINANCEIRO'!BI400,36,3),IF(VLOOKUP('BASE FINANCEIRO'!BC400,'COD. PROJETOS'!B:D,3,0),MID('BASE FINANCEIRO'!BI400,36,7),IF(VLOOKUP('BASE FINANCEIRO'!BC400,'COD. PROJETOS'!B:D,3,0),MID('BASE FINANCEIRO'!BI400,36,9),"PROJETO?")))</f>
        <v>#N/A</v>
      </c>
      <c r="E366" s="24" t="e">
        <f>VLOOKUP(D366,'BASE MUNICÍPIO'!B347:C25082,2,0)</f>
        <v>#N/A</v>
      </c>
      <c r="F366" s="98" t="e">
        <f>VLOOKUP(D366,'BASE MUNICÍPIO'!B347:D25082,3,0)</f>
        <v>#N/A</v>
      </c>
      <c r="G366" s="97" t="str">
        <f>IF(Tabela4[[#This Row],[PROJETO]]="CLARO",LEFT(Tabela4[[#This Row],[SITE2]],2),IF(Tabela4[[#This Row],[PROJETO]]="VIVO",RIGHT(LEFT(Tabela4[[#This Row],[SITE2]],10),2),""))</f>
        <v/>
      </c>
      <c r="H366" s="99"/>
    </row>
    <row r="367" spans="1:8">
      <c r="A367" s="119">
        <f>'BASE FINANCEIRO'!BI401</f>
        <v>0</v>
      </c>
      <c r="B367" s="24" t="str">
        <f t="shared" si="5"/>
        <v/>
      </c>
      <c r="C367" s="24" t="s">
        <v>2453</v>
      </c>
      <c r="D367" s="24" t="e">
        <f>IF(VLOOKUP('BASE FINANCEIRO'!BC401,'COD. PROJETOS'!B:D,3,0)="VIVO",MID('BASE FINANCEIRO'!BI401,36,3),IF(VLOOKUP('BASE FINANCEIRO'!BC401,'COD. PROJETOS'!B:D,3,0),MID('BASE FINANCEIRO'!BI401,36,7),IF(VLOOKUP('BASE FINANCEIRO'!BC401,'COD. PROJETOS'!B:D,3,0),MID('BASE FINANCEIRO'!BI401,36,9),"PROJETO?")))</f>
        <v>#N/A</v>
      </c>
      <c r="E367" s="24" t="e">
        <f>VLOOKUP(D367,'BASE MUNICÍPIO'!B348:C25083,2,0)</f>
        <v>#N/A</v>
      </c>
      <c r="F367" s="98" t="e">
        <f>VLOOKUP(D367,'BASE MUNICÍPIO'!B348:D25083,3,0)</f>
        <v>#N/A</v>
      </c>
      <c r="G367" s="97" t="str">
        <f>IF(Tabela4[[#This Row],[PROJETO]]="CLARO",LEFT(Tabela4[[#This Row],[SITE2]],2),IF(Tabela4[[#This Row],[PROJETO]]="VIVO",RIGHT(LEFT(Tabela4[[#This Row],[SITE2]],10),2),""))</f>
        <v/>
      </c>
      <c r="H367" s="99"/>
    </row>
    <row r="368" spans="1:8">
      <c r="A368" s="119">
        <f>'BASE FINANCEIRO'!BI402</f>
        <v>0</v>
      </c>
      <c r="B368" s="24" t="str">
        <f t="shared" si="5"/>
        <v/>
      </c>
      <c r="C368" s="24" t="s">
        <v>2453</v>
      </c>
      <c r="D368" s="24" t="e">
        <f>IF(VLOOKUP('BASE FINANCEIRO'!BC402,'COD. PROJETOS'!B:D,3,0)="VIVO",MID('BASE FINANCEIRO'!BI402,36,3),IF(VLOOKUP('BASE FINANCEIRO'!BC402,'COD. PROJETOS'!B:D,3,0),MID('BASE FINANCEIRO'!BI402,36,7),IF(VLOOKUP('BASE FINANCEIRO'!BC402,'COD. PROJETOS'!B:D,3,0),MID('BASE FINANCEIRO'!BI402,36,9),"PROJETO?")))</f>
        <v>#N/A</v>
      </c>
      <c r="E368" s="24" t="e">
        <f>VLOOKUP(D368,'BASE MUNICÍPIO'!B349:C25084,2,0)</f>
        <v>#N/A</v>
      </c>
      <c r="F368" s="98" t="e">
        <f>VLOOKUP(D368,'BASE MUNICÍPIO'!B349:D25084,3,0)</f>
        <v>#N/A</v>
      </c>
      <c r="G368" s="97" t="str">
        <f>IF(Tabela4[[#This Row],[PROJETO]]="CLARO",LEFT(Tabela4[[#This Row],[SITE2]],2),IF(Tabela4[[#This Row],[PROJETO]]="VIVO",RIGHT(LEFT(Tabela4[[#This Row],[SITE2]],10),2),""))</f>
        <v/>
      </c>
      <c r="H368" s="99"/>
    </row>
    <row r="369" spans="1:8">
      <c r="A369" s="119">
        <f>'BASE FINANCEIRO'!BI403</f>
        <v>0</v>
      </c>
      <c r="B369" s="24" t="str">
        <f t="shared" si="5"/>
        <v/>
      </c>
      <c r="C369" s="24" t="s">
        <v>2453</v>
      </c>
      <c r="D369" s="24" t="e">
        <f>IF(VLOOKUP('BASE FINANCEIRO'!BC403,'COD. PROJETOS'!B:D,3,0)="VIVO",MID('BASE FINANCEIRO'!BI403,36,3),IF(VLOOKUP('BASE FINANCEIRO'!BC403,'COD. PROJETOS'!B:D,3,0),MID('BASE FINANCEIRO'!BI403,36,7),IF(VLOOKUP('BASE FINANCEIRO'!BC403,'COD. PROJETOS'!B:D,3,0),MID('BASE FINANCEIRO'!BI403,36,9),"PROJETO?")))</f>
        <v>#N/A</v>
      </c>
      <c r="E369" s="24" t="e">
        <f>VLOOKUP(D369,'BASE MUNICÍPIO'!B350:C25085,2,0)</f>
        <v>#N/A</v>
      </c>
      <c r="F369" s="98" t="e">
        <f>VLOOKUP(D369,'BASE MUNICÍPIO'!B350:D25085,3,0)</f>
        <v>#N/A</v>
      </c>
      <c r="G369" s="97" t="str">
        <f>IF(Tabela4[[#This Row],[PROJETO]]="CLARO",LEFT(Tabela4[[#This Row],[SITE2]],2),IF(Tabela4[[#This Row],[PROJETO]]="VIVO",RIGHT(LEFT(Tabela4[[#This Row],[SITE2]],10),2),""))</f>
        <v/>
      </c>
      <c r="H369" s="99"/>
    </row>
    <row r="370" spans="1:8">
      <c r="A370" s="119" t="e">
        <f>'BASE FINANCEIRO'!#REF!</f>
        <v>#REF!</v>
      </c>
      <c r="B370" s="24" t="e">
        <f t="shared" si="5"/>
        <v>#REF!</v>
      </c>
      <c r="C370" s="24" t="s">
        <v>2453</v>
      </c>
      <c r="D370" s="24" t="e">
        <f>IF(VLOOKUP('BASE FINANCEIRO'!#REF!,'COD. PROJETOS'!B:D,3,0)="VIVO",MID('BASE FINANCEIRO'!#REF!,36,3),IF(VLOOKUP('BASE FINANCEIRO'!#REF!,'COD. PROJETOS'!B:D,3,0),MID('BASE FINANCEIRO'!#REF!,36,7),IF(VLOOKUP('BASE FINANCEIRO'!#REF!,'COD. PROJETOS'!B:D,3,0),MID('BASE FINANCEIRO'!#REF!,36,9),"PROJETO?")))</f>
        <v>#REF!</v>
      </c>
      <c r="E370" s="24" t="e">
        <f>VLOOKUP(D370,'BASE MUNICÍPIO'!B351:C25086,2,0)</f>
        <v>#REF!</v>
      </c>
      <c r="F370" s="98" t="e">
        <f>VLOOKUP(D370,'BASE MUNICÍPIO'!B351:D25086,3,0)</f>
        <v>#REF!</v>
      </c>
      <c r="G370" s="97" t="e">
        <f>IF(Tabela4[[#This Row],[PROJETO]]="CLARO",LEFT(Tabela4[[#This Row],[SITE2]],2),IF(Tabela4[[#This Row],[PROJETO]]="VIVO",RIGHT(LEFT(Tabela4[[#This Row],[SITE2]],10),2),""))</f>
        <v>#REF!</v>
      </c>
      <c r="H370" s="99"/>
    </row>
    <row r="371" spans="1:8">
      <c r="A371" s="119">
        <f>'BASE FINANCEIRO'!BI404</f>
        <v>0</v>
      </c>
      <c r="B371" s="24" t="str">
        <f t="shared" si="5"/>
        <v/>
      </c>
      <c r="C371" s="24" t="s">
        <v>2453</v>
      </c>
      <c r="D371" s="24" t="e">
        <f>IF(VLOOKUP('BASE FINANCEIRO'!BC404,'COD. PROJETOS'!B:D,3,0)="VIVO",MID('BASE FINANCEIRO'!BI404,36,3),IF(VLOOKUP('BASE FINANCEIRO'!BC404,'COD. PROJETOS'!B:D,3,0),MID('BASE FINANCEIRO'!BI404,36,7),IF(VLOOKUP('BASE FINANCEIRO'!BC404,'COD. PROJETOS'!B:D,3,0),MID('BASE FINANCEIRO'!BI404,36,9),"PROJETO?")))</f>
        <v>#N/A</v>
      </c>
      <c r="E371" s="24" t="e">
        <f>VLOOKUP(D371,'BASE MUNICÍPIO'!B352:C25087,2,0)</f>
        <v>#N/A</v>
      </c>
      <c r="F371" s="98" t="e">
        <f>VLOOKUP(D371,'BASE MUNICÍPIO'!B352:D25087,3,0)</f>
        <v>#N/A</v>
      </c>
      <c r="G371" s="97" t="str">
        <f>IF(Tabela4[[#This Row],[PROJETO]]="CLARO",LEFT(Tabela4[[#This Row],[SITE2]],2),IF(Tabela4[[#This Row],[PROJETO]]="VIVO",RIGHT(LEFT(Tabela4[[#This Row],[SITE2]],10),2),""))</f>
        <v/>
      </c>
      <c r="H371" s="99"/>
    </row>
    <row r="372" spans="1:8">
      <c r="A372" s="119">
        <f>'BASE FINANCEIRO'!BI405</f>
        <v>0</v>
      </c>
      <c r="B372" s="24" t="str">
        <f t="shared" si="5"/>
        <v/>
      </c>
      <c r="C372" s="24" t="s">
        <v>2453</v>
      </c>
      <c r="D372" s="24" t="e">
        <f>IF(VLOOKUP('BASE FINANCEIRO'!BC405,'COD. PROJETOS'!B:D,3,0)="VIVO",MID('BASE FINANCEIRO'!BI405,36,3),IF(VLOOKUP('BASE FINANCEIRO'!BC405,'COD. PROJETOS'!B:D,3,0),MID('BASE FINANCEIRO'!BI405,36,7),IF(VLOOKUP('BASE FINANCEIRO'!BC405,'COD. PROJETOS'!B:D,3,0),MID('BASE FINANCEIRO'!BI405,36,9),"PROJETO?")))</f>
        <v>#N/A</v>
      </c>
      <c r="E372" s="24" t="e">
        <f>VLOOKUP(D372,'BASE MUNICÍPIO'!B353:C25088,2,0)</f>
        <v>#N/A</v>
      </c>
      <c r="F372" s="98" t="e">
        <f>VLOOKUP(D372,'BASE MUNICÍPIO'!B353:D25088,3,0)</f>
        <v>#N/A</v>
      </c>
      <c r="G372" s="97" t="str">
        <f>IF(Tabela4[[#This Row],[PROJETO]]="CLARO",LEFT(Tabela4[[#This Row],[SITE2]],2),IF(Tabela4[[#This Row],[PROJETO]]="VIVO",RIGHT(LEFT(Tabela4[[#This Row],[SITE2]],10),2),""))</f>
        <v/>
      </c>
      <c r="H372" s="99"/>
    </row>
    <row r="373" spans="1:8">
      <c r="A373" s="119">
        <f>'BASE FINANCEIRO'!BI406</f>
        <v>0</v>
      </c>
      <c r="B373" s="24" t="str">
        <f t="shared" si="5"/>
        <v/>
      </c>
      <c r="C373" s="24" t="s">
        <v>2453</v>
      </c>
      <c r="D373" s="24" t="e">
        <f>IF(VLOOKUP('BASE FINANCEIRO'!BC406,'COD. PROJETOS'!B:D,3,0)="VIVO",MID('BASE FINANCEIRO'!BI406,36,3),IF(VLOOKUP('BASE FINANCEIRO'!BC406,'COD. PROJETOS'!B:D,3,0),MID('BASE FINANCEIRO'!BI406,36,7),IF(VLOOKUP('BASE FINANCEIRO'!BC406,'COD. PROJETOS'!B:D,3,0),MID('BASE FINANCEIRO'!BI406,36,9),"PROJETO?")))</f>
        <v>#N/A</v>
      </c>
      <c r="E373" s="24" t="e">
        <f>VLOOKUP(D373,'BASE MUNICÍPIO'!B354:C25089,2,0)</f>
        <v>#N/A</v>
      </c>
      <c r="F373" s="98" t="e">
        <f>VLOOKUP(D373,'BASE MUNICÍPIO'!B354:D25089,3,0)</f>
        <v>#N/A</v>
      </c>
      <c r="G373" s="97" t="str">
        <f>IF(Tabela4[[#This Row],[PROJETO]]="CLARO",LEFT(Tabela4[[#This Row],[SITE2]],2),IF(Tabela4[[#This Row],[PROJETO]]="VIVO",RIGHT(LEFT(Tabela4[[#This Row],[SITE2]],10),2),""))</f>
        <v/>
      </c>
      <c r="H373" s="99"/>
    </row>
    <row r="374" spans="1:8">
      <c r="A374" s="119">
        <f>'BASE FINANCEIRO'!BI407</f>
        <v>0</v>
      </c>
      <c r="B374" s="24" t="str">
        <f t="shared" si="5"/>
        <v/>
      </c>
      <c r="C374" s="24" t="s">
        <v>2453</v>
      </c>
      <c r="D374" s="24" t="e">
        <f>IF(VLOOKUP('BASE FINANCEIRO'!BC407,'COD. PROJETOS'!B:D,3,0)="VIVO",MID('BASE FINANCEIRO'!BI407,36,3),IF(VLOOKUP('BASE FINANCEIRO'!BC407,'COD. PROJETOS'!B:D,3,0),MID('BASE FINANCEIRO'!BI407,36,7),IF(VLOOKUP('BASE FINANCEIRO'!BC407,'COD. PROJETOS'!B:D,3,0),MID('BASE FINANCEIRO'!BI407,36,9),"PROJETO?")))</f>
        <v>#N/A</v>
      </c>
      <c r="E374" s="24" t="e">
        <f>VLOOKUP(D374,'BASE MUNICÍPIO'!B355:C25090,2,0)</f>
        <v>#N/A</v>
      </c>
      <c r="F374" s="98" t="e">
        <f>VLOOKUP(D374,'BASE MUNICÍPIO'!B355:D25090,3,0)</f>
        <v>#N/A</v>
      </c>
      <c r="G374" s="97" t="str">
        <f>IF(Tabela4[[#This Row],[PROJETO]]="CLARO",LEFT(Tabela4[[#This Row],[SITE2]],2),IF(Tabela4[[#This Row],[PROJETO]]="VIVO",RIGHT(LEFT(Tabela4[[#This Row],[SITE2]],10),2),""))</f>
        <v/>
      </c>
      <c r="H374" s="99"/>
    </row>
    <row r="375" spans="1:8">
      <c r="A375" s="119">
        <f>'BASE FINANCEIRO'!BI408</f>
        <v>0</v>
      </c>
      <c r="B375" s="24" t="str">
        <f t="shared" si="5"/>
        <v/>
      </c>
      <c r="C375" s="24" t="s">
        <v>2453</v>
      </c>
      <c r="D375" s="24" t="e">
        <f>IF(VLOOKUP('BASE FINANCEIRO'!BC408,'COD. PROJETOS'!B:D,3,0)="VIVO",MID('BASE FINANCEIRO'!BI408,36,3),IF(VLOOKUP('BASE FINANCEIRO'!BC408,'COD. PROJETOS'!B:D,3,0),MID('BASE FINANCEIRO'!BI408,36,7),IF(VLOOKUP('BASE FINANCEIRO'!BC408,'COD. PROJETOS'!B:D,3,0),MID('BASE FINANCEIRO'!BI408,36,9),"PROJETO?")))</f>
        <v>#N/A</v>
      </c>
      <c r="E375" s="24" t="e">
        <f>VLOOKUP(D375,'BASE MUNICÍPIO'!B356:C25091,2,0)</f>
        <v>#N/A</v>
      </c>
      <c r="F375" s="98" t="e">
        <f>VLOOKUP(D375,'BASE MUNICÍPIO'!B356:D25091,3,0)</f>
        <v>#N/A</v>
      </c>
      <c r="G375" s="97" t="str">
        <f>IF(Tabela4[[#This Row],[PROJETO]]="CLARO",LEFT(Tabela4[[#This Row],[SITE2]],2),IF(Tabela4[[#This Row],[PROJETO]]="VIVO",RIGHT(LEFT(Tabela4[[#This Row],[SITE2]],10),2),""))</f>
        <v/>
      </c>
      <c r="H375" s="99"/>
    </row>
    <row r="376" spans="1:8">
      <c r="A376" s="119">
        <f>'BASE FINANCEIRO'!BI409</f>
        <v>0</v>
      </c>
      <c r="B376" s="24" t="str">
        <f t="shared" si="5"/>
        <v/>
      </c>
      <c r="C376" s="24" t="s">
        <v>2453</v>
      </c>
      <c r="D376" s="24" t="e">
        <f>IF(VLOOKUP('BASE FINANCEIRO'!BC409,'COD. PROJETOS'!B:D,3,0)="VIVO",MID('BASE FINANCEIRO'!BI409,36,3),IF(VLOOKUP('BASE FINANCEIRO'!BC409,'COD. PROJETOS'!B:D,3,0),MID('BASE FINANCEIRO'!BI409,36,7),IF(VLOOKUP('BASE FINANCEIRO'!BC409,'COD. PROJETOS'!B:D,3,0),MID('BASE FINANCEIRO'!BI409,36,9),"PROJETO?")))</f>
        <v>#N/A</v>
      </c>
      <c r="E376" s="24" t="e">
        <f>VLOOKUP(D376,'BASE MUNICÍPIO'!B357:C25092,2,0)</f>
        <v>#N/A</v>
      </c>
      <c r="F376" s="98" t="e">
        <f>VLOOKUP(D376,'BASE MUNICÍPIO'!B357:D25092,3,0)</f>
        <v>#N/A</v>
      </c>
      <c r="G376" s="97" t="str">
        <f>IF(Tabela4[[#This Row],[PROJETO]]="CLARO",LEFT(Tabela4[[#This Row],[SITE2]],2),IF(Tabela4[[#This Row],[PROJETO]]="VIVO",RIGHT(LEFT(Tabela4[[#This Row],[SITE2]],10),2),""))</f>
        <v/>
      </c>
      <c r="H376" s="99"/>
    </row>
    <row r="377" spans="1:8">
      <c r="A377" s="119">
        <f>'BASE FINANCEIRO'!BI410</f>
        <v>0</v>
      </c>
      <c r="B377" s="24" t="str">
        <f t="shared" si="5"/>
        <v/>
      </c>
      <c r="C377" s="24" t="s">
        <v>2453</v>
      </c>
      <c r="D377" s="24" t="e">
        <f>IF(VLOOKUP('BASE FINANCEIRO'!BC410,'COD. PROJETOS'!B:D,3,0)="VIVO",MID('BASE FINANCEIRO'!BI410,36,3),IF(VLOOKUP('BASE FINANCEIRO'!BC410,'COD. PROJETOS'!B:D,3,0),MID('BASE FINANCEIRO'!BI410,36,7),IF(VLOOKUP('BASE FINANCEIRO'!BC410,'COD. PROJETOS'!B:D,3,0),MID('BASE FINANCEIRO'!BI410,36,9),"PROJETO?")))</f>
        <v>#N/A</v>
      </c>
      <c r="E377" s="24" t="e">
        <f>VLOOKUP(D377,'BASE MUNICÍPIO'!B358:C25093,2,0)</f>
        <v>#N/A</v>
      </c>
      <c r="F377" s="98" t="e">
        <f>VLOOKUP(D377,'BASE MUNICÍPIO'!B358:D25093,3,0)</f>
        <v>#N/A</v>
      </c>
      <c r="G377" s="97" t="str">
        <f>IF(Tabela4[[#This Row],[PROJETO]]="CLARO",LEFT(Tabela4[[#This Row],[SITE2]],2),IF(Tabela4[[#This Row],[PROJETO]]="VIVO",RIGHT(LEFT(Tabela4[[#This Row],[SITE2]],10),2),""))</f>
        <v/>
      </c>
      <c r="H377" s="99"/>
    </row>
    <row r="378" spans="1:8">
      <c r="A378" s="119">
        <f>'BASE FINANCEIRO'!BI411</f>
        <v>0</v>
      </c>
      <c r="B378" s="24" t="str">
        <f t="shared" si="5"/>
        <v/>
      </c>
      <c r="C378" s="24" t="s">
        <v>2453</v>
      </c>
      <c r="D378" s="24" t="e">
        <f>IF(VLOOKUP('BASE FINANCEIRO'!BC411,'COD. PROJETOS'!B:D,3,0)="VIVO",MID('BASE FINANCEIRO'!BI411,36,3),IF(VLOOKUP('BASE FINANCEIRO'!BC411,'COD. PROJETOS'!B:D,3,0),MID('BASE FINANCEIRO'!BI411,36,7),IF(VLOOKUP('BASE FINANCEIRO'!BC411,'COD. PROJETOS'!B:D,3,0),MID('BASE FINANCEIRO'!BI411,36,9),"PROJETO?")))</f>
        <v>#N/A</v>
      </c>
      <c r="E378" s="24" t="e">
        <f>VLOOKUP(D378,'BASE MUNICÍPIO'!B359:C25094,2,0)</f>
        <v>#N/A</v>
      </c>
      <c r="F378" s="98" t="e">
        <f>VLOOKUP(D378,'BASE MUNICÍPIO'!B359:D25094,3,0)</f>
        <v>#N/A</v>
      </c>
      <c r="G378" s="97" t="str">
        <f>IF(Tabela4[[#This Row],[PROJETO]]="CLARO",LEFT(Tabela4[[#This Row],[SITE2]],2),IF(Tabela4[[#This Row],[PROJETO]]="VIVO",RIGHT(LEFT(Tabela4[[#This Row],[SITE2]],10),2),""))</f>
        <v/>
      </c>
      <c r="H378" s="99"/>
    </row>
    <row r="379" spans="1:8">
      <c r="A379" s="119">
        <f>'BASE FINANCEIRO'!BI412</f>
        <v>0</v>
      </c>
      <c r="B379" s="24" t="str">
        <f t="shared" si="5"/>
        <v/>
      </c>
      <c r="C379" s="24" t="s">
        <v>2453</v>
      </c>
      <c r="D379" s="24" t="e">
        <f>IF(VLOOKUP('BASE FINANCEIRO'!BC412,'COD. PROJETOS'!B:D,3,0)="VIVO",MID('BASE FINANCEIRO'!BI412,36,3),IF(VLOOKUP('BASE FINANCEIRO'!BC412,'COD. PROJETOS'!B:D,3,0),MID('BASE FINANCEIRO'!BI412,36,7),IF(VLOOKUP('BASE FINANCEIRO'!BC412,'COD. PROJETOS'!B:D,3,0),MID('BASE FINANCEIRO'!BI412,36,9),"PROJETO?")))</f>
        <v>#N/A</v>
      </c>
      <c r="E379" s="24" t="e">
        <f>VLOOKUP(D379,'BASE MUNICÍPIO'!B360:C25095,2,0)</f>
        <v>#N/A</v>
      </c>
      <c r="F379" s="98" t="e">
        <f>VLOOKUP(D379,'BASE MUNICÍPIO'!B360:D25095,3,0)</f>
        <v>#N/A</v>
      </c>
      <c r="G379" s="97" t="str">
        <f>IF(Tabela4[[#This Row],[PROJETO]]="CLARO",LEFT(Tabela4[[#This Row],[SITE2]],2),IF(Tabela4[[#This Row],[PROJETO]]="VIVO",RIGHT(LEFT(Tabela4[[#This Row],[SITE2]],10),2),""))</f>
        <v/>
      </c>
      <c r="H379" s="99"/>
    </row>
    <row r="380" spans="1:8">
      <c r="A380" s="119">
        <f>'BASE FINANCEIRO'!BI413</f>
        <v>0</v>
      </c>
      <c r="B380" s="24" t="str">
        <f t="shared" si="5"/>
        <v/>
      </c>
      <c r="C380" s="24" t="s">
        <v>2453</v>
      </c>
      <c r="D380" s="24" t="e">
        <f>IF(VLOOKUP('BASE FINANCEIRO'!BC413,'COD. PROJETOS'!B:D,3,0)="VIVO",MID('BASE FINANCEIRO'!BI413,36,3),IF(VLOOKUP('BASE FINANCEIRO'!BC413,'COD. PROJETOS'!B:D,3,0),MID('BASE FINANCEIRO'!BI413,36,7),IF(VLOOKUP('BASE FINANCEIRO'!BC413,'COD. PROJETOS'!B:D,3,0),MID('BASE FINANCEIRO'!BI413,36,9),"PROJETO?")))</f>
        <v>#N/A</v>
      </c>
      <c r="E380" s="24" t="e">
        <f>VLOOKUP(D380,'BASE MUNICÍPIO'!B361:C25096,2,0)</f>
        <v>#N/A</v>
      </c>
      <c r="F380" s="98" t="e">
        <f>VLOOKUP(D380,'BASE MUNICÍPIO'!B361:D25096,3,0)</f>
        <v>#N/A</v>
      </c>
      <c r="G380" s="97" t="str">
        <f>IF(Tabela4[[#This Row],[PROJETO]]="CLARO",LEFT(Tabela4[[#This Row],[SITE2]],2),IF(Tabela4[[#This Row],[PROJETO]]="VIVO",RIGHT(LEFT(Tabela4[[#This Row],[SITE2]],10),2),""))</f>
        <v/>
      </c>
      <c r="H380" s="99"/>
    </row>
    <row r="381" spans="1:8">
      <c r="A381" s="119">
        <f>'BASE FINANCEIRO'!BI414</f>
        <v>0</v>
      </c>
      <c r="B381" s="24" t="str">
        <f t="shared" si="5"/>
        <v/>
      </c>
      <c r="C381" s="24" t="s">
        <v>2453</v>
      </c>
      <c r="D381" s="24" t="e">
        <f>IF(VLOOKUP('BASE FINANCEIRO'!BC414,'COD. PROJETOS'!B:D,3,0)="VIVO",MID('BASE FINANCEIRO'!BI414,36,3),IF(VLOOKUP('BASE FINANCEIRO'!BC414,'COD. PROJETOS'!B:D,3,0),MID('BASE FINANCEIRO'!BI414,36,7),IF(VLOOKUP('BASE FINANCEIRO'!BC414,'COD. PROJETOS'!B:D,3,0),MID('BASE FINANCEIRO'!BI414,36,9),"PROJETO?")))</f>
        <v>#N/A</v>
      </c>
      <c r="E381" s="24" t="e">
        <f>VLOOKUP(D381,'BASE MUNICÍPIO'!B362:C25097,2,0)</f>
        <v>#N/A</v>
      </c>
      <c r="F381" s="98" t="e">
        <f>VLOOKUP(D381,'BASE MUNICÍPIO'!B362:D25097,3,0)</f>
        <v>#N/A</v>
      </c>
      <c r="G381" s="97" t="str">
        <f>IF(Tabela4[[#This Row],[PROJETO]]="CLARO",LEFT(Tabela4[[#This Row],[SITE2]],2),IF(Tabela4[[#This Row],[PROJETO]]="VIVO",RIGHT(LEFT(Tabela4[[#This Row],[SITE2]],10),2),""))</f>
        <v/>
      </c>
      <c r="H381" s="99"/>
    </row>
    <row r="382" spans="1:8">
      <c r="A382" s="119">
        <f>'BASE FINANCEIRO'!BI415</f>
        <v>0</v>
      </c>
      <c r="B382" s="24" t="str">
        <f t="shared" si="5"/>
        <v/>
      </c>
      <c r="C382" s="24" t="s">
        <v>2453</v>
      </c>
      <c r="D382" s="24" t="e">
        <f>IF(VLOOKUP('BASE FINANCEIRO'!BC415,'COD. PROJETOS'!B:D,3,0)="VIVO",MID('BASE FINANCEIRO'!BI415,36,3),IF(VLOOKUP('BASE FINANCEIRO'!BC415,'COD. PROJETOS'!B:D,3,0),MID('BASE FINANCEIRO'!BI415,36,7),IF(VLOOKUP('BASE FINANCEIRO'!BC415,'COD. PROJETOS'!B:D,3,0),MID('BASE FINANCEIRO'!BI415,36,9),"PROJETO?")))</f>
        <v>#N/A</v>
      </c>
      <c r="E382" s="24" t="e">
        <f>VLOOKUP(D382,'BASE MUNICÍPIO'!B363:C25098,2,0)</f>
        <v>#N/A</v>
      </c>
      <c r="F382" s="98" t="e">
        <f>VLOOKUP(D382,'BASE MUNICÍPIO'!B363:D25098,3,0)</f>
        <v>#N/A</v>
      </c>
      <c r="G382" s="97" t="str">
        <f>IF(Tabela4[[#This Row],[PROJETO]]="CLARO",LEFT(Tabela4[[#This Row],[SITE2]],2),IF(Tabela4[[#This Row],[PROJETO]]="VIVO",RIGHT(LEFT(Tabela4[[#This Row],[SITE2]],10),2),""))</f>
        <v/>
      </c>
      <c r="H382" s="99"/>
    </row>
    <row r="383" spans="1:8">
      <c r="A383" s="119">
        <f>'BASE FINANCEIRO'!BI416</f>
        <v>0</v>
      </c>
      <c r="B383" s="24" t="str">
        <f t="shared" si="5"/>
        <v/>
      </c>
      <c r="C383" s="24" t="s">
        <v>2453</v>
      </c>
      <c r="D383" s="24" t="e">
        <f>IF(VLOOKUP('BASE FINANCEIRO'!BC416,'COD. PROJETOS'!B:D,3,0)="VIVO",MID('BASE FINANCEIRO'!BI416,36,3),IF(VLOOKUP('BASE FINANCEIRO'!BC416,'COD. PROJETOS'!B:D,3,0),MID('BASE FINANCEIRO'!BI416,36,7),IF(VLOOKUP('BASE FINANCEIRO'!BC416,'COD. PROJETOS'!B:D,3,0),MID('BASE FINANCEIRO'!BI416,36,9),"PROJETO?")))</f>
        <v>#N/A</v>
      </c>
      <c r="E383" s="24" t="e">
        <f>VLOOKUP(D383,'BASE MUNICÍPIO'!B364:C25099,2,0)</f>
        <v>#N/A</v>
      </c>
      <c r="F383" s="98" t="e">
        <f>VLOOKUP(D383,'BASE MUNICÍPIO'!B364:D25099,3,0)</f>
        <v>#N/A</v>
      </c>
      <c r="G383" s="97" t="str">
        <f>IF(Tabela4[[#This Row],[PROJETO]]="CLARO",LEFT(Tabela4[[#This Row],[SITE2]],2),IF(Tabela4[[#This Row],[PROJETO]]="VIVO",RIGHT(LEFT(Tabela4[[#This Row],[SITE2]],10),2),""))</f>
        <v/>
      </c>
      <c r="H383" s="99"/>
    </row>
    <row r="384" spans="1:8">
      <c r="A384" s="119">
        <f>'BASE FINANCEIRO'!BI417</f>
        <v>0</v>
      </c>
      <c r="B384" s="24" t="str">
        <f t="shared" si="5"/>
        <v/>
      </c>
      <c r="C384" s="24" t="s">
        <v>2453</v>
      </c>
      <c r="D384" s="24" t="e">
        <f>IF(VLOOKUP('BASE FINANCEIRO'!BC417,'COD. PROJETOS'!B:D,3,0)="VIVO",MID('BASE FINANCEIRO'!BI417,36,3),IF(VLOOKUP('BASE FINANCEIRO'!BC417,'COD. PROJETOS'!B:D,3,0),MID('BASE FINANCEIRO'!BI417,36,7),IF(VLOOKUP('BASE FINANCEIRO'!BC417,'COD. PROJETOS'!B:D,3,0),MID('BASE FINANCEIRO'!BI417,36,9),"PROJETO?")))</f>
        <v>#N/A</v>
      </c>
      <c r="E384" s="24" t="e">
        <f>VLOOKUP(D384,'BASE MUNICÍPIO'!B365:C25100,2,0)</f>
        <v>#N/A</v>
      </c>
      <c r="F384" s="98" t="e">
        <f>VLOOKUP(D384,'BASE MUNICÍPIO'!B365:D25100,3,0)</f>
        <v>#N/A</v>
      </c>
      <c r="G384" s="97" t="str">
        <f>IF(Tabela4[[#This Row],[PROJETO]]="CLARO",LEFT(Tabela4[[#This Row],[SITE2]],2),IF(Tabela4[[#This Row],[PROJETO]]="VIVO",RIGHT(LEFT(Tabela4[[#This Row],[SITE2]],10),2),""))</f>
        <v/>
      </c>
      <c r="H384" s="99"/>
    </row>
    <row r="385" spans="1:8">
      <c r="A385" s="119">
        <f>'BASE FINANCEIRO'!BI418</f>
        <v>0</v>
      </c>
      <c r="B385" s="24" t="str">
        <f t="shared" si="5"/>
        <v/>
      </c>
      <c r="C385" s="24" t="s">
        <v>2453</v>
      </c>
      <c r="D385" s="24" t="e">
        <f>IF(VLOOKUP('BASE FINANCEIRO'!BC418,'COD. PROJETOS'!B:D,3,0)="VIVO",MID('BASE FINANCEIRO'!BI418,36,3),IF(VLOOKUP('BASE FINANCEIRO'!BC418,'COD. PROJETOS'!B:D,3,0),MID('BASE FINANCEIRO'!BI418,36,7),IF(VLOOKUP('BASE FINANCEIRO'!BC418,'COD. PROJETOS'!B:D,3,0),MID('BASE FINANCEIRO'!BI418,36,9),"PROJETO?")))</f>
        <v>#N/A</v>
      </c>
      <c r="E385" s="24" t="e">
        <f>VLOOKUP(D385,'BASE MUNICÍPIO'!B366:C25101,2,0)</f>
        <v>#N/A</v>
      </c>
      <c r="F385" s="98" t="e">
        <f>VLOOKUP(D385,'BASE MUNICÍPIO'!B366:D25101,3,0)</f>
        <v>#N/A</v>
      </c>
      <c r="G385" s="97" t="str">
        <f>IF(Tabela4[[#This Row],[PROJETO]]="CLARO",LEFT(Tabela4[[#This Row],[SITE2]],2),IF(Tabela4[[#This Row],[PROJETO]]="VIVO",RIGHT(LEFT(Tabela4[[#This Row],[SITE2]],10),2),""))</f>
        <v/>
      </c>
      <c r="H385" s="99"/>
    </row>
    <row r="386" spans="1:8">
      <c r="A386" s="119">
        <f>'BASE FINANCEIRO'!BI419</f>
        <v>0</v>
      </c>
      <c r="B386" s="24" t="str">
        <f t="shared" si="5"/>
        <v/>
      </c>
      <c r="C386" s="24" t="s">
        <v>2453</v>
      </c>
      <c r="D386" s="24" t="e">
        <f>IF(VLOOKUP('BASE FINANCEIRO'!BC419,'COD. PROJETOS'!B:D,3,0)="VIVO",MID('BASE FINANCEIRO'!BI419,36,3),IF(VLOOKUP('BASE FINANCEIRO'!BC419,'COD. PROJETOS'!B:D,3,0),MID('BASE FINANCEIRO'!BI419,36,7),IF(VLOOKUP('BASE FINANCEIRO'!BC419,'COD. PROJETOS'!B:D,3,0),MID('BASE FINANCEIRO'!BI419,36,9),"PROJETO?")))</f>
        <v>#N/A</v>
      </c>
      <c r="E386" s="24" t="e">
        <f>VLOOKUP(D386,'BASE MUNICÍPIO'!B367:C25102,2,0)</f>
        <v>#N/A</v>
      </c>
      <c r="F386" s="98" t="e">
        <f>VLOOKUP(D386,'BASE MUNICÍPIO'!B367:D25102,3,0)</f>
        <v>#N/A</v>
      </c>
      <c r="G386" s="97" t="str">
        <f>IF(Tabela4[[#This Row],[PROJETO]]="CLARO",LEFT(Tabela4[[#This Row],[SITE2]],2),IF(Tabela4[[#This Row],[PROJETO]]="VIVO",RIGHT(LEFT(Tabela4[[#This Row],[SITE2]],10),2),""))</f>
        <v/>
      </c>
      <c r="H386" s="99"/>
    </row>
    <row r="387" spans="1:8">
      <c r="A387" s="119">
        <f>'BASE FINANCEIRO'!BI420</f>
        <v>0</v>
      </c>
      <c r="B387" s="24" t="str">
        <f t="shared" si="5"/>
        <v/>
      </c>
      <c r="C387" s="24" t="s">
        <v>2453</v>
      </c>
      <c r="D387" s="24" t="e">
        <f>IF(VLOOKUP('BASE FINANCEIRO'!BC420,'COD. PROJETOS'!B:D,3,0)="VIVO",MID('BASE FINANCEIRO'!BI420,36,3),IF(VLOOKUP('BASE FINANCEIRO'!BC420,'COD. PROJETOS'!B:D,3,0),MID('BASE FINANCEIRO'!BI420,36,7),IF(VLOOKUP('BASE FINANCEIRO'!BC420,'COD. PROJETOS'!B:D,3,0),MID('BASE FINANCEIRO'!BI420,36,9),"PROJETO?")))</f>
        <v>#N/A</v>
      </c>
      <c r="E387" s="24" t="e">
        <f>VLOOKUP(D387,'BASE MUNICÍPIO'!B368:C25103,2,0)</f>
        <v>#N/A</v>
      </c>
      <c r="F387" s="98" t="e">
        <f>VLOOKUP(D387,'BASE MUNICÍPIO'!B368:D25103,3,0)</f>
        <v>#N/A</v>
      </c>
      <c r="G387" s="97" t="str">
        <f>IF(Tabela4[[#This Row],[PROJETO]]="CLARO",LEFT(Tabela4[[#This Row],[SITE2]],2),IF(Tabela4[[#This Row],[PROJETO]]="VIVO",RIGHT(LEFT(Tabela4[[#This Row],[SITE2]],10),2),""))</f>
        <v/>
      </c>
      <c r="H387" s="99"/>
    </row>
    <row r="388" spans="1:8">
      <c r="A388" s="119">
        <f>'BASE FINANCEIRO'!BI421</f>
        <v>0</v>
      </c>
      <c r="B388" s="24" t="str">
        <f t="shared" ref="B388:B451" si="6">MID(A388,36,14)</f>
        <v/>
      </c>
      <c r="C388" s="24" t="s">
        <v>2453</v>
      </c>
      <c r="D388" s="24" t="e">
        <f>IF(VLOOKUP('BASE FINANCEIRO'!BC421,'COD. PROJETOS'!B:D,3,0)="VIVO",MID('BASE FINANCEIRO'!BI421,36,3),IF(VLOOKUP('BASE FINANCEIRO'!BC421,'COD. PROJETOS'!B:D,3,0),MID('BASE FINANCEIRO'!BI421,36,7),IF(VLOOKUP('BASE FINANCEIRO'!BC421,'COD. PROJETOS'!B:D,3,0),MID('BASE FINANCEIRO'!BI421,36,9),"PROJETO?")))</f>
        <v>#N/A</v>
      </c>
      <c r="E388" s="24" t="e">
        <f>VLOOKUP(D388,'BASE MUNICÍPIO'!B369:C25104,2,0)</f>
        <v>#N/A</v>
      </c>
      <c r="F388" s="98" t="e">
        <f>VLOOKUP(D388,'BASE MUNICÍPIO'!B369:D25104,3,0)</f>
        <v>#N/A</v>
      </c>
      <c r="G388" s="97" t="str">
        <f>IF(Tabela4[[#This Row],[PROJETO]]="CLARO",LEFT(Tabela4[[#This Row],[SITE2]],2),IF(Tabela4[[#This Row],[PROJETO]]="VIVO",RIGHT(LEFT(Tabela4[[#This Row],[SITE2]],10),2),""))</f>
        <v/>
      </c>
      <c r="H388" s="99"/>
    </row>
    <row r="389" spans="1:8">
      <c r="A389" s="119">
        <f>'BASE FINANCEIRO'!BI422</f>
        <v>0</v>
      </c>
      <c r="B389" s="24" t="str">
        <f t="shared" si="6"/>
        <v/>
      </c>
      <c r="C389" s="24" t="s">
        <v>2453</v>
      </c>
      <c r="D389" s="24" t="e">
        <f>IF(VLOOKUP('BASE FINANCEIRO'!BC422,'COD. PROJETOS'!B:D,3,0)="VIVO",MID('BASE FINANCEIRO'!BI422,36,3),IF(VLOOKUP('BASE FINANCEIRO'!BC422,'COD. PROJETOS'!B:D,3,0),MID('BASE FINANCEIRO'!BI422,36,7),IF(VLOOKUP('BASE FINANCEIRO'!BC422,'COD. PROJETOS'!B:D,3,0),MID('BASE FINANCEIRO'!BI422,36,9),"PROJETO?")))</f>
        <v>#N/A</v>
      </c>
      <c r="E389" s="24" t="e">
        <f>VLOOKUP(D389,'BASE MUNICÍPIO'!B370:C25105,2,0)</f>
        <v>#N/A</v>
      </c>
      <c r="F389" s="98" t="e">
        <f>VLOOKUP(D389,'BASE MUNICÍPIO'!B370:D25105,3,0)</f>
        <v>#N/A</v>
      </c>
      <c r="G389" s="97" t="str">
        <f>IF(Tabela4[[#This Row],[PROJETO]]="CLARO",LEFT(Tabela4[[#This Row],[SITE2]],2),IF(Tabela4[[#This Row],[PROJETO]]="VIVO",RIGHT(LEFT(Tabela4[[#This Row],[SITE2]],10),2),""))</f>
        <v/>
      </c>
      <c r="H389" s="99"/>
    </row>
    <row r="390" spans="1:8">
      <c r="A390" s="119">
        <f>'BASE FINANCEIRO'!BI423</f>
        <v>0</v>
      </c>
      <c r="B390" s="24" t="str">
        <f t="shared" si="6"/>
        <v/>
      </c>
      <c r="C390" s="24" t="s">
        <v>2453</v>
      </c>
      <c r="D390" s="24" t="e">
        <f>IF(VLOOKUP('BASE FINANCEIRO'!BC423,'COD. PROJETOS'!B:D,3,0)="VIVO",MID('BASE FINANCEIRO'!BI423,36,3),IF(VLOOKUP('BASE FINANCEIRO'!BC423,'COD. PROJETOS'!B:D,3,0),MID('BASE FINANCEIRO'!BI423,36,7),IF(VLOOKUP('BASE FINANCEIRO'!BC423,'COD. PROJETOS'!B:D,3,0),MID('BASE FINANCEIRO'!BI423,36,9),"PROJETO?")))</f>
        <v>#N/A</v>
      </c>
      <c r="E390" s="24" t="e">
        <f>VLOOKUP(D390,'BASE MUNICÍPIO'!B371:C25106,2,0)</f>
        <v>#N/A</v>
      </c>
      <c r="F390" s="98" t="e">
        <f>VLOOKUP(D390,'BASE MUNICÍPIO'!B371:D25106,3,0)</f>
        <v>#N/A</v>
      </c>
      <c r="G390" s="97" t="str">
        <f>IF(Tabela4[[#This Row],[PROJETO]]="CLARO",LEFT(Tabela4[[#This Row],[SITE2]],2),IF(Tabela4[[#This Row],[PROJETO]]="VIVO",RIGHT(LEFT(Tabela4[[#This Row],[SITE2]],10),2),""))</f>
        <v/>
      </c>
      <c r="H390" s="99"/>
    </row>
    <row r="391" spans="1:8">
      <c r="A391" s="119">
        <f>'BASE FINANCEIRO'!BI424</f>
        <v>0</v>
      </c>
      <c r="B391" s="24" t="str">
        <f t="shared" si="6"/>
        <v/>
      </c>
      <c r="C391" s="24" t="s">
        <v>2453</v>
      </c>
      <c r="D391" s="24" t="e">
        <f>IF(VLOOKUP('BASE FINANCEIRO'!BC424,'COD. PROJETOS'!B:D,3,0)="VIVO",MID('BASE FINANCEIRO'!BI424,36,3),IF(VLOOKUP('BASE FINANCEIRO'!BC424,'COD. PROJETOS'!B:D,3,0),MID('BASE FINANCEIRO'!BI424,36,7),IF(VLOOKUP('BASE FINANCEIRO'!BC424,'COD. PROJETOS'!B:D,3,0),MID('BASE FINANCEIRO'!BI424,36,9),"PROJETO?")))</f>
        <v>#N/A</v>
      </c>
      <c r="E391" s="24" t="e">
        <f>VLOOKUP(D391,'BASE MUNICÍPIO'!B372:C25107,2,0)</f>
        <v>#N/A</v>
      </c>
      <c r="F391" s="98" t="e">
        <f>VLOOKUP(D391,'BASE MUNICÍPIO'!B372:D25107,3,0)</f>
        <v>#N/A</v>
      </c>
      <c r="G391" s="97" t="str">
        <f>IF(Tabela4[[#This Row],[PROJETO]]="CLARO",LEFT(Tabela4[[#This Row],[SITE2]],2),IF(Tabela4[[#This Row],[PROJETO]]="VIVO",RIGHT(LEFT(Tabela4[[#This Row],[SITE2]],10),2),""))</f>
        <v/>
      </c>
      <c r="H391" s="99"/>
    </row>
    <row r="392" spans="1:8">
      <c r="A392" s="119">
        <f>'BASE FINANCEIRO'!BI425</f>
        <v>0</v>
      </c>
      <c r="B392" s="24" t="str">
        <f t="shared" si="6"/>
        <v/>
      </c>
      <c r="C392" s="24" t="s">
        <v>2453</v>
      </c>
      <c r="D392" s="24" t="e">
        <f>IF(VLOOKUP('BASE FINANCEIRO'!BC425,'COD. PROJETOS'!B:D,3,0)="VIVO",MID('BASE FINANCEIRO'!BI425,36,3),IF(VLOOKUP('BASE FINANCEIRO'!BC425,'COD. PROJETOS'!B:D,3,0),MID('BASE FINANCEIRO'!BI425,36,7),IF(VLOOKUP('BASE FINANCEIRO'!BC425,'COD. PROJETOS'!B:D,3,0),MID('BASE FINANCEIRO'!BI425,36,9),"PROJETO?")))</f>
        <v>#N/A</v>
      </c>
      <c r="E392" s="24" t="e">
        <f>VLOOKUP(D392,'BASE MUNICÍPIO'!B373:C25108,2,0)</f>
        <v>#N/A</v>
      </c>
      <c r="F392" s="98" t="e">
        <f>VLOOKUP(D392,'BASE MUNICÍPIO'!B373:D25108,3,0)</f>
        <v>#N/A</v>
      </c>
      <c r="G392" s="97" t="str">
        <f>IF(Tabela4[[#This Row],[PROJETO]]="CLARO",LEFT(Tabela4[[#This Row],[SITE2]],2),IF(Tabela4[[#This Row],[PROJETO]]="VIVO",RIGHT(LEFT(Tabela4[[#This Row],[SITE2]],10),2),""))</f>
        <v/>
      </c>
      <c r="H392" s="99"/>
    </row>
    <row r="393" spans="1:8">
      <c r="A393" s="119">
        <f>'BASE FINANCEIRO'!BI426</f>
        <v>0</v>
      </c>
      <c r="B393" s="24" t="str">
        <f t="shared" si="6"/>
        <v/>
      </c>
      <c r="C393" s="24" t="s">
        <v>2453</v>
      </c>
      <c r="D393" s="24" t="e">
        <f>IF(VLOOKUP('BASE FINANCEIRO'!BC426,'COD. PROJETOS'!B:D,3,0)="VIVO",MID('BASE FINANCEIRO'!BI426,36,3),IF(VLOOKUP('BASE FINANCEIRO'!BC426,'COD. PROJETOS'!B:D,3,0),MID('BASE FINANCEIRO'!BI426,36,7),IF(VLOOKUP('BASE FINANCEIRO'!BC426,'COD. PROJETOS'!B:D,3,0),MID('BASE FINANCEIRO'!BI426,36,9),"PROJETO?")))</f>
        <v>#N/A</v>
      </c>
      <c r="E393" s="24" t="e">
        <f>VLOOKUP(D393,'BASE MUNICÍPIO'!B374:C25109,2,0)</f>
        <v>#N/A</v>
      </c>
      <c r="F393" s="98" t="e">
        <f>VLOOKUP(D393,'BASE MUNICÍPIO'!B374:D25109,3,0)</f>
        <v>#N/A</v>
      </c>
      <c r="G393" s="97" t="str">
        <f>IF(Tabela4[[#This Row],[PROJETO]]="CLARO",LEFT(Tabela4[[#This Row],[SITE2]],2),IF(Tabela4[[#This Row],[PROJETO]]="VIVO",RIGHT(LEFT(Tabela4[[#This Row],[SITE2]],10),2),""))</f>
        <v/>
      </c>
      <c r="H393" s="99"/>
    </row>
    <row r="394" spans="1:8">
      <c r="A394" s="119">
        <f>'BASE FINANCEIRO'!BI427</f>
        <v>0</v>
      </c>
      <c r="B394" s="24" t="str">
        <f t="shared" si="6"/>
        <v/>
      </c>
      <c r="C394" s="24" t="s">
        <v>2453</v>
      </c>
      <c r="D394" s="24" t="e">
        <f>IF(VLOOKUP('BASE FINANCEIRO'!BC427,'COD. PROJETOS'!B:D,3,0)="VIVO",MID('BASE FINANCEIRO'!BI427,36,3),IF(VLOOKUP('BASE FINANCEIRO'!BC427,'COD. PROJETOS'!B:D,3,0),MID('BASE FINANCEIRO'!BI427,36,7),IF(VLOOKUP('BASE FINANCEIRO'!BC427,'COD. PROJETOS'!B:D,3,0),MID('BASE FINANCEIRO'!BI427,36,9),"PROJETO?")))</f>
        <v>#N/A</v>
      </c>
      <c r="E394" s="24" t="e">
        <f>VLOOKUP(D394,'BASE MUNICÍPIO'!B375:C25110,2,0)</f>
        <v>#N/A</v>
      </c>
      <c r="F394" s="98" t="e">
        <f>VLOOKUP(D394,'BASE MUNICÍPIO'!B375:D25110,3,0)</f>
        <v>#N/A</v>
      </c>
      <c r="G394" s="97" t="str">
        <f>IF(Tabela4[[#This Row],[PROJETO]]="CLARO",LEFT(Tabela4[[#This Row],[SITE2]],2),IF(Tabela4[[#This Row],[PROJETO]]="VIVO",RIGHT(LEFT(Tabela4[[#This Row],[SITE2]],10),2),""))</f>
        <v/>
      </c>
      <c r="H394" s="99"/>
    </row>
    <row r="395" spans="1:8">
      <c r="A395" s="119">
        <f>'BASE FINANCEIRO'!BI428</f>
        <v>0</v>
      </c>
      <c r="B395" s="24" t="str">
        <f t="shared" si="6"/>
        <v/>
      </c>
      <c r="C395" s="24" t="s">
        <v>2453</v>
      </c>
      <c r="D395" s="24" t="e">
        <f>IF(VLOOKUP('BASE FINANCEIRO'!BC428,'COD. PROJETOS'!B:D,3,0)="VIVO",MID('BASE FINANCEIRO'!BI428,36,3),IF(VLOOKUP('BASE FINANCEIRO'!BC428,'COD. PROJETOS'!B:D,3,0),MID('BASE FINANCEIRO'!BI428,36,7),IF(VLOOKUP('BASE FINANCEIRO'!BC428,'COD. PROJETOS'!B:D,3,0),MID('BASE FINANCEIRO'!BI428,36,9),"PROJETO?")))</f>
        <v>#N/A</v>
      </c>
      <c r="E395" s="24" t="e">
        <f>VLOOKUP(D395,'BASE MUNICÍPIO'!B376:C25111,2,0)</f>
        <v>#N/A</v>
      </c>
      <c r="F395" s="98" t="e">
        <f>VLOOKUP(D395,'BASE MUNICÍPIO'!B376:D25111,3,0)</f>
        <v>#N/A</v>
      </c>
      <c r="G395" s="97" t="str">
        <f>IF(Tabela4[[#This Row],[PROJETO]]="CLARO",LEFT(Tabela4[[#This Row],[SITE2]],2),IF(Tabela4[[#This Row],[PROJETO]]="VIVO",RIGHT(LEFT(Tabela4[[#This Row],[SITE2]],10),2),""))</f>
        <v/>
      </c>
      <c r="H395" s="99"/>
    </row>
    <row r="396" spans="1:8">
      <c r="A396" s="119">
        <f>'BASE FINANCEIRO'!BI429</f>
        <v>0</v>
      </c>
      <c r="B396" s="24" t="str">
        <f t="shared" si="6"/>
        <v/>
      </c>
      <c r="C396" s="24" t="s">
        <v>2453</v>
      </c>
      <c r="D396" s="24" t="e">
        <f>IF(VLOOKUP('BASE FINANCEIRO'!BC429,'COD. PROJETOS'!B:D,3,0)="VIVO",MID('BASE FINANCEIRO'!BI429,36,3),IF(VLOOKUP('BASE FINANCEIRO'!BC429,'COD. PROJETOS'!B:D,3,0),MID('BASE FINANCEIRO'!BI429,36,7),IF(VLOOKUP('BASE FINANCEIRO'!BC429,'COD. PROJETOS'!B:D,3,0),MID('BASE FINANCEIRO'!BI429,36,9),"PROJETO?")))</f>
        <v>#N/A</v>
      </c>
      <c r="E396" s="24" t="e">
        <f>VLOOKUP(D396,'BASE MUNICÍPIO'!B377:C25112,2,0)</f>
        <v>#N/A</v>
      </c>
      <c r="F396" s="98" t="e">
        <f>VLOOKUP(D396,'BASE MUNICÍPIO'!B377:D25112,3,0)</f>
        <v>#N/A</v>
      </c>
      <c r="G396" s="97" t="str">
        <f>IF(Tabela4[[#This Row],[PROJETO]]="CLARO",LEFT(Tabela4[[#This Row],[SITE2]],2),IF(Tabela4[[#This Row],[PROJETO]]="VIVO",RIGHT(LEFT(Tabela4[[#This Row],[SITE2]],10),2),""))</f>
        <v/>
      </c>
      <c r="H396" s="99"/>
    </row>
    <row r="397" spans="1:8">
      <c r="A397" s="119">
        <f>'BASE FINANCEIRO'!BI430</f>
        <v>0</v>
      </c>
      <c r="B397" s="24" t="str">
        <f t="shared" si="6"/>
        <v/>
      </c>
      <c r="C397" s="24" t="s">
        <v>2453</v>
      </c>
      <c r="D397" s="24" t="e">
        <f>IF(VLOOKUP('BASE FINANCEIRO'!BC430,'COD. PROJETOS'!B:D,3,0)="VIVO",MID('BASE FINANCEIRO'!BI430,36,3),IF(VLOOKUP('BASE FINANCEIRO'!BC430,'COD. PROJETOS'!B:D,3,0),MID('BASE FINANCEIRO'!BI430,36,7),IF(VLOOKUP('BASE FINANCEIRO'!BC430,'COD. PROJETOS'!B:D,3,0),MID('BASE FINANCEIRO'!BI430,36,9),"PROJETO?")))</f>
        <v>#N/A</v>
      </c>
      <c r="E397" s="24" t="e">
        <f>VLOOKUP(D397,'BASE MUNICÍPIO'!B378:C25113,2,0)</f>
        <v>#N/A</v>
      </c>
      <c r="F397" s="98" t="e">
        <f>VLOOKUP(D397,'BASE MUNICÍPIO'!B378:D25113,3,0)</f>
        <v>#N/A</v>
      </c>
      <c r="G397" s="97" t="str">
        <f>IF(Tabela4[[#This Row],[PROJETO]]="CLARO",LEFT(Tabela4[[#This Row],[SITE2]],2),IF(Tabela4[[#This Row],[PROJETO]]="VIVO",RIGHT(LEFT(Tabela4[[#This Row],[SITE2]],10),2),""))</f>
        <v/>
      </c>
      <c r="H397" s="99"/>
    </row>
    <row r="398" spans="1:8">
      <c r="A398" s="119">
        <f>'BASE FINANCEIRO'!BI431</f>
        <v>0</v>
      </c>
      <c r="B398" s="24" t="str">
        <f t="shared" si="6"/>
        <v/>
      </c>
      <c r="C398" s="24" t="s">
        <v>2453</v>
      </c>
      <c r="D398" s="24" t="e">
        <f>IF(VLOOKUP('BASE FINANCEIRO'!BC431,'COD. PROJETOS'!B:D,3,0)="VIVO",MID('BASE FINANCEIRO'!BI431,36,3),IF(VLOOKUP('BASE FINANCEIRO'!BC431,'COD. PROJETOS'!B:D,3,0),MID('BASE FINANCEIRO'!BI431,36,7),IF(VLOOKUP('BASE FINANCEIRO'!BC431,'COD. PROJETOS'!B:D,3,0),MID('BASE FINANCEIRO'!BI431,36,9),"PROJETO?")))</f>
        <v>#N/A</v>
      </c>
      <c r="E398" s="24" t="e">
        <f>VLOOKUP(D398,'BASE MUNICÍPIO'!B379:C25114,2,0)</f>
        <v>#N/A</v>
      </c>
      <c r="F398" s="98" t="e">
        <f>VLOOKUP(D398,'BASE MUNICÍPIO'!B379:D25114,3,0)</f>
        <v>#N/A</v>
      </c>
      <c r="G398" s="97" t="str">
        <f>IF(Tabela4[[#This Row],[PROJETO]]="CLARO",LEFT(Tabela4[[#This Row],[SITE2]],2),IF(Tabela4[[#This Row],[PROJETO]]="VIVO",RIGHT(LEFT(Tabela4[[#This Row],[SITE2]],10),2),""))</f>
        <v/>
      </c>
      <c r="H398" s="99"/>
    </row>
    <row r="399" spans="1:8">
      <c r="A399" s="119">
        <f>'BASE FINANCEIRO'!BI432</f>
        <v>0</v>
      </c>
      <c r="B399" s="24" t="str">
        <f t="shared" si="6"/>
        <v/>
      </c>
      <c r="C399" s="24" t="s">
        <v>2453</v>
      </c>
      <c r="D399" s="24" t="e">
        <f>IF(VLOOKUP('BASE FINANCEIRO'!BC432,'COD. PROJETOS'!B:D,3,0)="VIVO",MID('BASE FINANCEIRO'!BI432,36,3),IF(VLOOKUP('BASE FINANCEIRO'!BC432,'COD. PROJETOS'!B:D,3,0),MID('BASE FINANCEIRO'!BI432,36,7),IF(VLOOKUP('BASE FINANCEIRO'!BC432,'COD. PROJETOS'!B:D,3,0),MID('BASE FINANCEIRO'!BI432,36,9),"PROJETO?")))</f>
        <v>#N/A</v>
      </c>
      <c r="E399" s="24" t="e">
        <f>VLOOKUP(D399,'BASE MUNICÍPIO'!B380:C25115,2,0)</f>
        <v>#N/A</v>
      </c>
      <c r="F399" s="98" t="e">
        <f>VLOOKUP(D399,'BASE MUNICÍPIO'!B380:D25115,3,0)</f>
        <v>#N/A</v>
      </c>
      <c r="G399" s="97" t="str">
        <f>IF(Tabela4[[#This Row],[PROJETO]]="CLARO",LEFT(Tabela4[[#This Row],[SITE2]],2),IF(Tabela4[[#This Row],[PROJETO]]="VIVO",RIGHT(LEFT(Tabela4[[#This Row],[SITE2]],10),2),""))</f>
        <v/>
      </c>
      <c r="H399" s="99"/>
    </row>
    <row r="400" spans="1:8">
      <c r="A400" s="119">
        <f>'BASE FINANCEIRO'!BI433</f>
        <v>0</v>
      </c>
      <c r="B400" s="24" t="str">
        <f t="shared" si="6"/>
        <v/>
      </c>
      <c r="C400" s="24" t="s">
        <v>2453</v>
      </c>
      <c r="D400" s="24" t="e">
        <f>IF(VLOOKUP('BASE FINANCEIRO'!BC433,'COD. PROJETOS'!B:D,3,0)="VIVO",MID('BASE FINANCEIRO'!BI433,36,3),IF(VLOOKUP('BASE FINANCEIRO'!BC433,'COD. PROJETOS'!B:D,3,0),MID('BASE FINANCEIRO'!BI433,36,7),IF(VLOOKUP('BASE FINANCEIRO'!BC433,'COD. PROJETOS'!B:D,3,0),MID('BASE FINANCEIRO'!BI433,36,9),"PROJETO?")))</f>
        <v>#N/A</v>
      </c>
      <c r="E400" s="24" t="e">
        <f>VLOOKUP(D400,'BASE MUNICÍPIO'!B381:C25116,2,0)</f>
        <v>#N/A</v>
      </c>
      <c r="F400" s="98" t="e">
        <f>VLOOKUP(D400,'BASE MUNICÍPIO'!B381:D25116,3,0)</f>
        <v>#N/A</v>
      </c>
      <c r="G400" s="97" t="str">
        <f>IF(Tabela4[[#This Row],[PROJETO]]="CLARO",LEFT(Tabela4[[#This Row],[SITE2]],2),IF(Tabela4[[#This Row],[PROJETO]]="VIVO",RIGHT(LEFT(Tabela4[[#This Row],[SITE2]],10),2),""))</f>
        <v/>
      </c>
      <c r="H400" s="99"/>
    </row>
    <row r="401" spans="1:8">
      <c r="A401" s="119">
        <f>'BASE FINANCEIRO'!BI434</f>
        <v>0</v>
      </c>
      <c r="B401" s="24" t="str">
        <f t="shared" si="6"/>
        <v/>
      </c>
      <c r="C401" s="24" t="s">
        <v>2453</v>
      </c>
      <c r="D401" s="24" t="e">
        <f>IF(VLOOKUP('BASE FINANCEIRO'!BC434,'COD. PROJETOS'!B:D,3,0)="VIVO",MID('BASE FINANCEIRO'!BI434,36,3),IF(VLOOKUP('BASE FINANCEIRO'!BC434,'COD. PROJETOS'!B:D,3,0),MID('BASE FINANCEIRO'!BI434,36,7),IF(VLOOKUP('BASE FINANCEIRO'!BC434,'COD. PROJETOS'!B:D,3,0),MID('BASE FINANCEIRO'!BI434,36,9),"PROJETO?")))</f>
        <v>#N/A</v>
      </c>
      <c r="E401" s="24" t="e">
        <f>VLOOKUP(D401,'BASE MUNICÍPIO'!B382:C25117,2,0)</f>
        <v>#N/A</v>
      </c>
      <c r="F401" s="98" t="e">
        <f>VLOOKUP(D401,'BASE MUNICÍPIO'!B382:D25117,3,0)</f>
        <v>#N/A</v>
      </c>
      <c r="G401" s="97" t="str">
        <f>IF(Tabela4[[#This Row],[PROJETO]]="CLARO",LEFT(Tabela4[[#This Row],[SITE2]],2),IF(Tabela4[[#This Row],[PROJETO]]="VIVO",RIGHT(LEFT(Tabela4[[#This Row],[SITE2]],10),2),""))</f>
        <v/>
      </c>
      <c r="H401" s="99"/>
    </row>
    <row r="402" spans="1:8">
      <c r="A402" s="119">
        <f>'BASE FINANCEIRO'!BI435</f>
        <v>0</v>
      </c>
      <c r="B402" s="24" t="str">
        <f t="shared" si="6"/>
        <v/>
      </c>
      <c r="C402" s="24" t="s">
        <v>2453</v>
      </c>
      <c r="D402" s="24" t="e">
        <f>IF(VLOOKUP('BASE FINANCEIRO'!BC435,'COD. PROJETOS'!B:D,3,0)="VIVO",MID('BASE FINANCEIRO'!BI435,36,3),IF(VLOOKUP('BASE FINANCEIRO'!BC435,'COD. PROJETOS'!B:D,3,0),MID('BASE FINANCEIRO'!BI435,36,7),IF(VLOOKUP('BASE FINANCEIRO'!BC435,'COD. PROJETOS'!B:D,3,0),MID('BASE FINANCEIRO'!BI435,36,9),"PROJETO?")))</f>
        <v>#N/A</v>
      </c>
      <c r="E402" s="24" t="e">
        <f>VLOOKUP(D402,'BASE MUNICÍPIO'!B383:C25118,2,0)</f>
        <v>#N/A</v>
      </c>
      <c r="F402" s="98" t="e">
        <f>VLOOKUP(D402,'BASE MUNICÍPIO'!B383:D25118,3,0)</f>
        <v>#N/A</v>
      </c>
      <c r="G402" s="97" t="str">
        <f>IF(Tabela4[[#This Row],[PROJETO]]="CLARO",LEFT(Tabela4[[#This Row],[SITE2]],2),IF(Tabela4[[#This Row],[PROJETO]]="VIVO",RIGHT(LEFT(Tabela4[[#This Row],[SITE2]],10),2),""))</f>
        <v/>
      </c>
      <c r="H402" s="99"/>
    </row>
    <row r="403" spans="1:8">
      <c r="A403" s="119">
        <f>'BASE FINANCEIRO'!BI436</f>
        <v>0</v>
      </c>
      <c r="B403" s="24" t="str">
        <f t="shared" si="6"/>
        <v/>
      </c>
      <c r="C403" s="24" t="s">
        <v>2453</v>
      </c>
      <c r="D403" s="24" t="e">
        <f>IF(VLOOKUP('BASE FINANCEIRO'!BC436,'COD. PROJETOS'!B:D,3,0)="VIVO",MID('BASE FINANCEIRO'!BI436,36,3),IF(VLOOKUP('BASE FINANCEIRO'!BC436,'COD. PROJETOS'!B:D,3,0),MID('BASE FINANCEIRO'!BI436,36,7),IF(VLOOKUP('BASE FINANCEIRO'!BC436,'COD. PROJETOS'!B:D,3,0),MID('BASE FINANCEIRO'!BI436,36,9),"PROJETO?")))</f>
        <v>#N/A</v>
      </c>
      <c r="E403" s="24" t="e">
        <f>VLOOKUP(D403,'BASE MUNICÍPIO'!B384:C25119,2,0)</f>
        <v>#N/A</v>
      </c>
      <c r="F403" s="98" t="e">
        <f>VLOOKUP(D403,'BASE MUNICÍPIO'!B384:D25119,3,0)</f>
        <v>#N/A</v>
      </c>
      <c r="G403" s="97" t="str">
        <f>IF(Tabela4[[#This Row],[PROJETO]]="CLARO",LEFT(Tabela4[[#This Row],[SITE2]],2),IF(Tabela4[[#This Row],[PROJETO]]="VIVO",RIGHT(LEFT(Tabela4[[#This Row],[SITE2]],10),2),""))</f>
        <v/>
      </c>
      <c r="H403" s="99"/>
    </row>
    <row r="404" spans="1:8">
      <c r="A404" s="119">
        <f>'BASE FINANCEIRO'!BI437</f>
        <v>0</v>
      </c>
      <c r="B404" s="24" t="str">
        <f t="shared" si="6"/>
        <v/>
      </c>
      <c r="C404" s="24" t="s">
        <v>2453</v>
      </c>
      <c r="D404" s="24" t="e">
        <f>IF(VLOOKUP('BASE FINANCEIRO'!BC437,'COD. PROJETOS'!B:D,3,0)="VIVO",MID('BASE FINANCEIRO'!BI437,36,3),IF(VLOOKUP('BASE FINANCEIRO'!BC437,'COD. PROJETOS'!B:D,3,0),MID('BASE FINANCEIRO'!BI437,36,7),IF(VLOOKUP('BASE FINANCEIRO'!BC437,'COD. PROJETOS'!B:D,3,0),MID('BASE FINANCEIRO'!BI437,36,9),"PROJETO?")))</f>
        <v>#N/A</v>
      </c>
      <c r="E404" s="24" t="e">
        <f>VLOOKUP(D404,'BASE MUNICÍPIO'!B385:C25120,2,0)</f>
        <v>#N/A</v>
      </c>
      <c r="F404" s="98" t="e">
        <f>VLOOKUP(D404,'BASE MUNICÍPIO'!B385:D25120,3,0)</f>
        <v>#N/A</v>
      </c>
      <c r="G404" s="97" t="str">
        <f>IF(Tabela4[[#This Row],[PROJETO]]="CLARO",LEFT(Tabela4[[#This Row],[SITE2]],2),IF(Tabela4[[#This Row],[PROJETO]]="VIVO",RIGHT(LEFT(Tabela4[[#This Row],[SITE2]],10),2),""))</f>
        <v/>
      </c>
      <c r="H404" s="99"/>
    </row>
    <row r="405" spans="1:8">
      <c r="A405" s="119">
        <f>'BASE FINANCEIRO'!BI438</f>
        <v>0</v>
      </c>
      <c r="B405" s="24" t="str">
        <f t="shared" si="6"/>
        <v/>
      </c>
      <c r="C405" s="24" t="s">
        <v>2453</v>
      </c>
      <c r="D405" s="24" t="e">
        <f>IF(VLOOKUP('BASE FINANCEIRO'!BC438,'COD. PROJETOS'!B:D,3,0)="VIVO",MID('BASE FINANCEIRO'!BI438,36,3),IF(VLOOKUP('BASE FINANCEIRO'!BC438,'COD. PROJETOS'!B:D,3,0),MID('BASE FINANCEIRO'!BI438,36,7),IF(VLOOKUP('BASE FINANCEIRO'!BC438,'COD. PROJETOS'!B:D,3,0),MID('BASE FINANCEIRO'!BI438,36,9),"PROJETO?")))</f>
        <v>#N/A</v>
      </c>
      <c r="E405" s="24" t="e">
        <f>VLOOKUP(D405,'BASE MUNICÍPIO'!B386:C25121,2,0)</f>
        <v>#N/A</v>
      </c>
      <c r="F405" s="98" t="e">
        <f>VLOOKUP(D405,'BASE MUNICÍPIO'!B386:D25121,3,0)</f>
        <v>#N/A</v>
      </c>
      <c r="G405" s="97" t="str">
        <f>IF(Tabela4[[#This Row],[PROJETO]]="CLARO",LEFT(Tabela4[[#This Row],[SITE2]],2),IF(Tabela4[[#This Row],[PROJETO]]="VIVO",RIGHT(LEFT(Tabela4[[#This Row],[SITE2]],10),2),""))</f>
        <v/>
      </c>
      <c r="H405" s="99"/>
    </row>
    <row r="406" spans="1:8">
      <c r="A406" s="119">
        <f>'BASE FINANCEIRO'!BI439</f>
        <v>0</v>
      </c>
      <c r="B406" s="24" t="str">
        <f t="shared" si="6"/>
        <v/>
      </c>
      <c r="C406" s="24" t="s">
        <v>2453</v>
      </c>
      <c r="D406" s="24" t="e">
        <f>IF(VLOOKUP('BASE FINANCEIRO'!BC439,'COD. PROJETOS'!B:D,3,0)="VIVO",MID('BASE FINANCEIRO'!BI439,36,3),IF(VLOOKUP('BASE FINANCEIRO'!BC439,'COD. PROJETOS'!B:D,3,0),MID('BASE FINANCEIRO'!BI439,36,7),IF(VLOOKUP('BASE FINANCEIRO'!BC439,'COD. PROJETOS'!B:D,3,0),MID('BASE FINANCEIRO'!BI439,36,9),"PROJETO?")))</f>
        <v>#N/A</v>
      </c>
      <c r="E406" s="24" t="e">
        <f>VLOOKUP(D406,'BASE MUNICÍPIO'!B387:C25122,2,0)</f>
        <v>#N/A</v>
      </c>
      <c r="F406" s="98" t="e">
        <f>VLOOKUP(D406,'BASE MUNICÍPIO'!B387:D25122,3,0)</f>
        <v>#N/A</v>
      </c>
      <c r="G406" s="97" t="str">
        <f>IF(Tabela4[[#This Row],[PROJETO]]="CLARO",LEFT(Tabela4[[#This Row],[SITE2]],2),IF(Tabela4[[#This Row],[PROJETO]]="VIVO",RIGHT(LEFT(Tabela4[[#This Row],[SITE2]],10),2),""))</f>
        <v/>
      </c>
      <c r="H406" s="99"/>
    </row>
    <row r="407" spans="1:8">
      <c r="A407" s="119">
        <f>'BASE FINANCEIRO'!BI440</f>
        <v>0</v>
      </c>
      <c r="B407" s="24" t="str">
        <f t="shared" si="6"/>
        <v/>
      </c>
      <c r="C407" s="24" t="s">
        <v>2453</v>
      </c>
      <c r="D407" s="24" t="e">
        <f>IF(VLOOKUP('BASE FINANCEIRO'!BC440,'COD. PROJETOS'!B:D,3,0)="VIVO",MID('BASE FINANCEIRO'!BI440,36,3),IF(VLOOKUP('BASE FINANCEIRO'!BC440,'COD. PROJETOS'!B:D,3,0),MID('BASE FINANCEIRO'!BI440,36,7),IF(VLOOKUP('BASE FINANCEIRO'!BC440,'COD. PROJETOS'!B:D,3,0),MID('BASE FINANCEIRO'!BI440,36,9),"PROJETO?")))</f>
        <v>#N/A</v>
      </c>
      <c r="E407" s="24" t="e">
        <f>VLOOKUP(D407,'BASE MUNICÍPIO'!B388:C25123,2,0)</f>
        <v>#N/A</v>
      </c>
      <c r="F407" s="98" t="e">
        <f>VLOOKUP(D407,'BASE MUNICÍPIO'!B388:D25123,3,0)</f>
        <v>#N/A</v>
      </c>
      <c r="G407" s="97" t="str">
        <f>IF(Tabela4[[#This Row],[PROJETO]]="CLARO",LEFT(Tabela4[[#This Row],[SITE2]],2),IF(Tabela4[[#This Row],[PROJETO]]="VIVO",RIGHT(LEFT(Tabela4[[#This Row],[SITE2]],10),2),""))</f>
        <v/>
      </c>
      <c r="H407" s="99"/>
    </row>
    <row r="408" spans="1:8">
      <c r="A408" s="119">
        <f>'BASE FINANCEIRO'!BI441</f>
        <v>0</v>
      </c>
      <c r="B408" s="24" t="str">
        <f t="shared" si="6"/>
        <v/>
      </c>
      <c r="C408" s="24" t="s">
        <v>2453</v>
      </c>
      <c r="D408" s="24" t="e">
        <f>IF(VLOOKUP('BASE FINANCEIRO'!BC441,'COD. PROJETOS'!B:D,3,0)="VIVO",MID('BASE FINANCEIRO'!BI441,36,3),IF(VLOOKUP('BASE FINANCEIRO'!BC441,'COD. PROJETOS'!B:D,3,0),MID('BASE FINANCEIRO'!BI441,36,7),IF(VLOOKUP('BASE FINANCEIRO'!BC441,'COD. PROJETOS'!B:D,3,0),MID('BASE FINANCEIRO'!BI441,36,9),"PROJETO?")))</f>
        <v>#N/A</v>
      </c>
      <c r="E408" s="24" t="e">
        <f>VLOOKUP(D408,'BASE MUNICÍPIO'!B389:C25124,2,0)</f>
        <v>#N/A</v>
      </c>
      <c r="F408" s="98" t="e">
        <f>VLOOKUP(D408,'BASE MUNICÍPIO'!B389:D25124,3,0)</f>
        <v>#N/A</v>
      </c>
      <c r="G408" s="97" t="str">
        <f>IF(Tabela4[[#This Row],[PROJETO]]="CLARO",LEFT(Tabela4[[#This Row],[SITE2]],2),IF(Tabela4[[#This Row],[PROJETO]]="VIVO",RIGHT(LEFT(Tabela4[[#This Row],[SITE2]],10),2),""))</f>
        <v/>
      </c>
      <c r="H408" s="99"/>
    </row>
    <row r="409" spans="1:8">
      <c r="A409" s="119">
        <f>'BASE FINANCEIRO'!BI442</f>
        <v>0</v>
      </c>
      <c r="B409" s="24" t="str">
        <f t="shared" si="6"/>
        <v/>
      </c>
      <c r="C409" s="24" t="s">
        <v>2453</v>
      </c>
      <c r="D409" s="24" t="e">
        <f>IF(VLOOKUP('BASE FINANCEIRO'!BC442,'COD. PROJETOS'!B:D,3,0)="VIVO",MID('BASE FINANCEIRO'!BI442,36,3),IF(VLOOKUP('BASE FINANCEIRO'!BC442,'COD. PROJETOS'!B:D,3,0),MID('BASE FINANCEIRO'!BI442,36,7),IF(VLOOKUP('BASE FINANCEIRO'!BC442,'COD. PROJETOS'!B:D,3,0),MID('BASE FINANCEIRO'!BI442,36,9),"PROJETO?")))</f>
        <v>#N/A</v>
      </c>
      <c r="E409" s="24" t="e">
        <f>VLOOKUP(D409,'BASE MUNICÍPIO'!B390:C25125,2,0)</f>
        <v>#N/A</v>
      </c>
      <c r="F409" s="98" t="e">
        <f>VLOOKUP(D409,'BASE MUNICÍPIO'!B390:D25125,3,0)</f>
        <v>#N/A</v>
      </c>
      <c r="G409" s="97" t="str">
        <f>IF(Tabela4[[#This Row],[PROJETO]]="CLARO",LEFT(Tabela4[[#This Row],[SITE2]],2),IF(Tabela4[[#This Row],[PROJETO]]="VIVO",RIGHT(LEFT(Tabela4[[#This Row],[SITE2]],10),2),""))</f>
        <v/>
      </c>
      <c r="H409" s="99"/>
    </row>
    <row r="410" spans="1:8">
      <c r="A410" s="119">
        <f>'BASE FINANCEIRO'!BI443</f>
        <v>0</v>
      </c>
      <c r="B410" s="24" t="str">
        <f t="shared" si="6"/>
        <v/>
      </c>
      <c r="C410" s="24" t="s">
        <v>2453</v>
      </c>
      <c r="D410" s="24" t="e">
        <f>IF(VLOOKUP('BASE FINANCEIRO'!BC443,'COD. PROJETOS'!B:D,3,0)="VIVO",MID('BASE FINANCEIRO'!BI443,36,3),IF(VLOOKUP('BASE FINANCEIRO'!BC443,'COD. PROJETOS'!B:D,3,0),MID('BASE FINANCEIRO'!BI443,36,7),IF(VLOOKUP('BASE FINANCEIRO'!BC443,'COD. PROJETOS'!B:D,3,0),MID('BASE FINANCEIRO'!BI443,36,9),"PROJETO?")))</f>
        <v>#N/A</v>
      </c>
      <c r="E410" s="24" t="e">
        <f>VLOOKUP(D410,'BASE MUNICÍPIO'!B391:C25126,2,0)</f>
        <v>#N/A</v>
      </c>
      <c r="F410" s="98" t="e">
        <f>VLOOKUP(D410,'BASE MUNICÍPIO'!B391:D25126,3,0)</f>
        <v>#N/A</v>
      </c>
      <c r="G410" s="97" t="str">
        <f>IF(Tabela4[[#This Row],[PROJETO]]="CLARO",LEFT(Tabela4[[#This Row],[SITE2]],2),IF(Tabela4[[#This Row],[PROJETO]]="VIVO",RIGHT(LEFT(Tabela4[[#This Row],[SITE2]],10),2),""))</f>
        <v/>
      </c>
      <c r="H410" s="99"/>
    </row>
    <row r="411" spans="1:8">
      <c r="A411" s="119">
        <f>'BASE FINANCEIRO'!BI444</f>
        <v>0</v>
      </c>
      <c r="B411" s="24" t="str">
        <f t="shared" si="6"/>
        <v/>
      </c>
      <c r="C411" s="24" t="s">
        <v>2453</v>
      </c>
      <c r="D411" s="24" t="e">
        <f>IF(VLOOKUP('BASE FINANCEIRO'!BC444,'COD. PROJETOS'!B:D,3,0)="VIVO",MID('BASE FINANCEIRO'!BI444,36,3),IF(VLOOKUP('BASE FINANCEIRO'!BC444,'COD. PROJETOS'!B:D,3,0),MID('BASE FINANCEIRO'!BI444,36,7),IF(VLOOKUP('BASE FINANCEIRO'!BC444,'COD. PROJETOS'!B:D,3,0),MID('BASE FINANCEIRO'!BI444,36,9),"PROJETO?")))</f>
        <v>#N/A</v>
      </c>
      <c r="E411" s="24" t="e">
        <f>VLOOKUP(D411,'BASE MUNICÍPIO'!B392:C25127,2,0)</f>
        <v>#N/A</v>
      </c>
      <c r="F411" s="98" t="e">
        <f>VLOOKUP(D411,'BASE MUNICÍPIO'!B392:D25127,3,0)</f>
        <v>#N/A</v>
      </c>
      <c r="G411" s="97" t="str">
        <f>IF(Tabela4[[#This Row],[PROJETO]]="CLARO",LEFT(Tabela4[[#This Row],[SITE2]],2),IF(Tabela4[[#This Row],[PROJETO]]="VIVO",RIGHT(LEFT(Tabela4[[#This Row],[SITE2]],10),2),""))</f>
        <v/>
      </c>
      <c r="H411" s="99"/>
    </row>
    <row r="412" spans="1:8">
      <c r="A412" s="119">
        <f>'BASE FINANCEIRO'!BI445</f>
        <v>0</v>
      </c>
      <c r="B412" s="24" t="str">
        <f t="shared" si="6"/>
        <v/>
      </c>
      <c r="C412" s="24" t="s">
        <v>2453</v>
      </c>
      <c r="D412" s="24" t="e">
        <f>IF(VLOOKUP('BASE FINANCEIRO'!BC445,'COD. PROJETOS'!B:D,3,0)="VIVO",MID('BASE FINANCEIRO'!BI445,36,3),IF(VLOOKUP('BASE FINANCEIRO'!BC445,'COD. PROJETOS'!B:D,3,0),MID('BASE FINANCEIRO'!BI445,36,7),IF(VLOOKUP('BASE FINANCEIRO'!BC445,'COD. PROJETOS'!B:D,3,0),MID('BASE FINANCEIRO'!BI445,36,9),"PROJETO?")))</f>
        <v>#N/A</v>
      </c>
      <c r="E412" s="24" t="e">
        <f>VLOOKUP(D412,'BASE MUNICÍPIO'!B393:C25128,2,0)</f>
        <v>#N/A</v>
      </c>
      <c r="F412" s="98" t="e">
        <f>VLOOKUP(D412,'BASE MUNICÍPIO'!B393:D25128,3,0)</f>
        <v>#N/A</v>
      </c>
      <c r="G412" s="97" t="str">
        <f>IF(Tabela4[[#This Row],[PROJETO]]="CLARO",LEFT(Tabela4[[#This Row],[SITE2]],2),IF(Tabela4[[#This Row],[PROJETO]]="VIVO",RIGHT(LEFT(Tabela4[[#This Row],[SITE2]],10),2),""))</f>
        <v/>
      </c>
      <c r="H412" s="99"/>
    </row>
    <row r="413" spans="1:8">
      <c r="A413" s="119">
        <f>'BASE FINANCEIRO'!BI446</f>
        <v>0</v>
      </c>
      <c r="B413" s="24" t="str">
        <f t="shared" si="6"/>
        <v/>
      </c>
      <c r="C413" s="24" t="s">
        <v>2453</v>
      </c>
      <c r="D413" s="24" t="e">
        <f>IF(VLOOKUP('BASE FINANCEIRO'!BC446,'COD. PROJETOS'!B:D,3,0)="VIVO",MID('BASE FINANCEIRO'!BI446,36,3),IF(VLOOKUP('BASE FINANCEIRO'!BC446,'COD. PROJETOS'!B:D,3,0),MID('BASE FINANCEIRO'!BI446,36,7),IF(VLOOKUP('BASE FINANCEIRO'!BC446,'COD. PROJETOS'!B:D,3,0),MID('BASE FINANCEIRO'!BI446,36,9),"PROJETO?")))</f>
        <v>#N/A</v>
      </c>
      <c r="E413" s="24" t="e">
        <f>VLOOKUP(D413,'BASE MUNICÍPIO'!B394:C25129,2,0)</f>
        <v>#N/A</v>
      </c>
      <c r="F413" s="98" t="e">
        <f>VLOOKUP(D413,'BASE MUNICÍPIO'!B394:D25129,3,0)</f>
        <v>#N/A</v>
      </c>
      <c r="G413" s="97" t="str">
        <f>IF(Tabela4[[#This Row],[PROJETO]]="CLARO",LEFT(Tabela4[[#This Row],[SITE2]],2),IF(Tabela4[[#This Row],[PROJETO]]="VIVO",RIGHT(LEFT(Tabela4[[#This Row],[SITE2]],10),2),""))</f>
        <v/>
      </c>
      <c r="H413" s="99"/>
    </row>
    <row r="414" spans="1:8">
      <c r="A414" s="119">
        <f>'BASE FINANCEIRO'!BI447</f>
        <v>0</v>
      </c>
      <c r="B414" s="24" t="str">
        <f t="shared" si="6"/>
        <v/>
      </c>
      <c r="C414" s="24" t="s">
        <v>2453</v>
      </c>
      <c r="D414" s="24" t="e">
        <f>IF(VLOOKUP('BASE FINANCEIRO'!BC447,'COD. PROJETOS'!B:D,3,0)="VIVO",MID('BASE FINANCEIRO'!BI447,36,3),IF(VLOOKUP('BASE FINANCEIRO'!BC447,'COD. PROJETOS'!B:D,3,0),MID('BASE FINANCEIRO'!BI447,36,7),IF(VLOOKUP('BASE FINANCEIRO'!BC447,'COD. PROJETOS'!B:D,3,0),MID('BASE FINANCEIRO'!BI447,36,9),"PROJETO?")))</f>
        <v>#N/A</v>
      </c>
      <c r="E414" s="24" t="e">
        <f>VLOOKUP(D414,'BASE MUNICÍPIO'!B395:C25130,2,0)</f>
        <v>#N/A</v>
      </c>
      <c r="F414" s="98" t="e">
        <f>VLOOKUP(D414,'BASE MUNICÍPIO'!B395:D25130,3,0)</f>
        <v>#N/A</v>
      </c>
      <c r="G414" s="97" t="str">
        <f>IF(Tabela4[[#This Row],[PROJETO]]="CLARO",LEFT(Tabela4[[#This Row],[SITE2]],2),IF(Tabela4[[#This Row],[PROJETO]]="VIVO",RIGHT(LEFT(Tabela4[[#This Row],[SITE2]],10),2),""))</f>
        <v/>
      </c>
      <c r="H414" s="99"/>
    </row>
    <row r="415" spans="1:8">
      <c r="A415" s="119">
        <f>'BASE FINANCEIRO'!BI448</f>
        <v>0</v>
      </c>
      <c r="B415" s="24" t="str">
        <f t="shared" si="6"/>
        <v/>
      </c>
      <c r="C415" s="24" t="s">
        <v>2453</v>
      </c>
      <c r="D415" s="24" t="e">
        <f>IF(VLOOKUP('BASE FINANCEIRO'!BC448,'COD. PROJETOS'!B:D,3,0)="VIVO",MID('BASE FINANCEIRO'!BI448,36,3),IF(VLOOKUP('BASE FINANCEIRO'!BC448,'COD. PROJETOS'!B:D,3,0),MID('BASE FINANCEIRO'!BI448,36,7),IF(VLOOKUP('BASE FINANCEIRO'!BC448,'COD. PROJETOS'!B:D,3,0),MID('BASE FINANCEIRO'!BI448,36,9),"PROJETO?")))</f>
        <v>#N/A</v>
      </c>
      <c r="E415" s="24" t="e">
        <f>VLOOKUP(D415,'BASE MUNICÍPIO'!B396:C25131,2,0)</f>
        <v>#N/A</v>
      </c>
      <c r="F415" s="98" t="e">
        <f>VLOOKUP(D415,'BASE MUNICÍPIO'!B396:D25131,3,0)</f>
        <v>#N/A</v>
      </c>
      <c r="G415" s="97" t="str">
        <f>IF(Tabela4[[#This Row],[PROJETO]]="CLARO",LEFT(Tabela4[[#This Row],[SITE2]],2),IF(Tabela4[[#This Row],[PROJETO]]="VIVO",RIGHT(LEFT(Tabela4[[#This Row],[SITE2]],10),2),""))</f>
        <v/>
      </c>
      <c r="H415" s="99"/>
    </row>
    <row r="416" spans="1:8">
      <c r="A416" s="119">
        <f>'BASE FINANCEIRO'!BI449</f>
        <v>0</v>
      </c>
      <c r="B416" s="24" t="str">
        <f t="shared" si="6"/>
        <v/>
      </c>
      <c r="C416" s="24" t="s">
        <v>2453</v>
      </c>
      <c r="D416" s="24" t="e">
        <f>IF(VLOOKUP('BASE FINANCEIRO'!BC449,'COD. PROJETOS'!B:D,3,0)="VIVO",MID('BASE FINANCEIRO'!BI449,36,3),IF(VLOOKUP('BASE FINANCEIRO'!BC449,'COD. PROJETOS'!B:D,3,0),MID('BASE FINANCEIRO'!BI449,36,7),IF(VLOOKUP('BASE FINANCEIRO'!BC449,'COD. PROJETOS'!B:D,3,0),MID('BASE FINANCEIRO'!BI449,36,9),"PROJETO?")))</f>
        <v>#N/A</v>
      </c>
      <c r="E416" s="24" t="e">
        <f>VLOOKUP(D416,'BASE MUNICÍPIO'!B397:C25132,2,0)</f>
        <v>#N/A</v>
      </c>
      <c r="F416" s="98" t="e">
        <f>VLOOKUP(D416,'BASE MUNICÍPIO'!B397:D25132,3,0)</f>
        <v>#N/A</v>
      </c>
      <c r="G416" s="97" t="str">
        <f>IF(Tabela4[[#This Row],[PROJETO]]="CLARO",LEFT(Tabela4[[#This Row],[SITE2]],2),IF(Tabela4[[#This Row],[PROJETO]]="VIVO",RIGHT(LEFT(Tabela4[[#This Row],[SITE2]],10),2),""))</f>
        <v/>
      </c>
      <c r="H416" s="99"/>
    </row>
    <row r="417" spans="1:8">
      <c r="A417" s="119">
        <f>'BASE FINANCEIRO'!BI450</f>
        <v>0</v>
      </c>
      <c r="B417" s="24" t="str">
        <f t="shared" si="6"/>
        <v/>
      </c>
      <c r="C417" s="24" t="s">
        <v>2453</v>
      </c>
      <c r="D417" s="24" t="e">
        <f>IF(VLOOKUP('BASE FINANCEIRO'!BC450,'COD. PROJETOS'!B:D,3,0)="VIVO",MID('BASE FINANCEIRO'!BI450,36,3),IF(VLOOKUP('BASE FINANCEIRO'!BC450,'COD. PROJETOS'!B:D,3,0),MID('BASE FINANCEIRO'!BI450,36,7),IF(VLOOKUP('BASE FINANCEIRO'!BC450,'COD. PROJETOS'!B:D,3,0),MID('BASE FINANCEIRO'!BI450,36,9),"PROJETO?")))</f>
        <v>#N/A</v>
      </c>
      <c r="E417" s="24" t="e">
        <f>VLOOKUP(D417,'BASE MUNICÍPIO'!B398:C25133,2,0)</f>
        <v>#N/A</v>
      </c>
      <c r="F417" s="98" t="e">
        <f>VLOOKUP(D417,'BASE MUNICÍPIO'!B398:D25133,3,0)</f>
        <v>#N/A</v>
      </c>
      <c r="G417" s="97" t="str">
        <f>IF(Tabela4[[#This Row],[PROJETO]]="CLARO",LEFT(Tabela4[[#This Row],[SITE2]],2),IF(Tabela4[[#This Row],[PROJETO]]="VIVO",RIGHT(LEFT(Tabela4[[#This Row],[SITE2]],10),2),""))</f>
        <v/>
      </c>
      <c r="H417" s="99"/>
    </row>
    <row r="418" spans="1:8">
      <c r="A418" s="119">
        <f>'BASE FINANCEIRO'!BI451</f>
        <v>0</v>
      </c>
      <c r="B418" s="24" t="str">
        <f t="shared" si="6"/>
        <v/>
      </c>
      <c r="C418" s="24" t="s">
        <v>2453</v>
      </c>
      <c r="D418" s="24" t="e">
        <f>IF(VLOOKUP('BASE FINANCEIRO'!BC451,'COD. PROJETOS'!B:D,3,0)="VIVO",MID('BASE FINANCEIRO'!BI451,36,3),IF(VLOOKUP('BASE FINANCEIRO'!BC451,'COD. PROJETOS'!B:D,3,0),MID('BASE FINANCEIRO'!BI451,36,7),IF(VLOOKUP('BASE FINANCEIRO'!BC451,'COD. PROJETOS'!B:D,3,0),MID('BASE FINANCEIRO'!BI451,36,9),"PROJETO?")))</f>
        <v>#N/A</v>
      </c>
      <c r="E418" s="24" t="e">
        <f>VLOOKUP(D418,'BASE MUNICÍPIO'!B399:C25134,2,0)</f>
        <v>#N/A</v>
      </c>
      <c r="F418" s="98" t="e">
        <f>VLOOKUP(D418,'BASE MUNICÍPIO'!B399:D25134,3,0)</f>
        <v>#N/A</v>
      </c>
      <c r="G418" s="97" t="str">
        <f>IF(Tabela4[[#This Row],[PROJETO]]="CLARO",LEFT(Tabela4[[#This Row],[SITE2]],2),IF(Tabela4[[#This Row],[PROJETO]]="VIVO",RIGHT(LEFT(Tabela4[[#This Row],[SITE2]],10),2),""))</f>
        <v/>
      </c>
      <c r="H418" s="99"/>
    </row>
    <row r="419" spans="1:8">
      <c r="A419" s="119">
        <f>'BASE FINANCEIRO'!BI452</f>
        <v>0</v>
      </c>
      <c r="B419" s="24" t="str">
        <f t="shared" si="6"/>
        <v/>
      </c>
      <c r="C419" s="24" t="s">
        <v>2453</v>
      </c>
      <c r="D419" s="24" t="e">
        <f>IF(VLOOKUP('BASE FINANCEIRO'!BC452,'COD. PROJETOS'!B:D,3,0)="VIVO",MID('BASE FINANCEIRO'!BI452,36,3),IF(VLOOKUP('BASE FINANCEIRO'!BC452,'COD. PROJETOS'!B:D,3,0),MID('BASE FINANCEIRO'!BI452,36,7),IF(VLOOKUP('BASE FINANCEIRO'!BC452,'COD. PROJETOS'!B:D,3,0),MID('BASE FINANCEIRO'!BI452,36,9),"PROJETO?")))</f>
        <v>#N/A</v>
      </c>
      <c r="E419" s="24" t="e">
        <f>VLOOKUP(D419,'BASE MUNICÍPIO'!B400:C25135,2,0)</f>
        <v>#N/A</v>
      </c>
      <c r="F419" s="98" t="e">
        <f>VLOOKUP(D419,'BASE MUNICÍPIO'!B400:D25135,3,0)</f>
        <v>#N/A</v>
      </c>
      <c r="G419" s="97" t="str">
        <f>IF(Tabela4[[#This Row],[PROJETO]]="CLARO",LEFT(Tabela4[[#This Row],[SITE2]],2),IF(Tabela4[[#This Row],[PROJETO]]="VIVO",RIGHT(LEFT(Tabela4[[#This Row],[SITE2]],10),2),""))</f>
        <v/>
      </c>
      <c r="H419" s="99"/>
    </row>
    <row r="420" spans="1:8">
      <c r="A420" s="119">
        <f>'BASE FINANCEIRO'!BI550</f>
        <v>0</v>
      </c>
      <c r="B420" s="24" t="str">
        <f t="shared" si="6"/>
        <v/>
      </c>
      <c r="C420" s="24" t="s">
        <v>2453</v>
      </c>
      <c r="D420" s="24" t="e">
        <f>IF(VLOOKUP('BASE FINANCEIRO'!BC550,'COD. PROJETOS'!B:D,3,0)="VIVO",MID('BASE FINANCEIRO'!BI550,36,3),IF(VLOOKUP('BASE FINANCEIRO'!BC550,'COD. PROJETOS'!B:D,3,0),MID('BASE FINANCEIRO'!BI550,36,7),IF(VLOOKUP('BASE FINANCEIRO'!BC550,'COD. PROJETOS'!B:D,3,0),MID('BASE FINANCEIRO'!BI550,36,9),"PROJETO?")))</f>
        <v>#N/A</v>
      </c>
      <c r="E420" s="24" t="e">
        <f>VLOOKUP(D420,'BASE MUNICÍPIO'!B401:C25136,2,0)</f>
        <v>#N/A</v>
      </c>
      <c r="F420" s="98" t="e">
        <f>VLOOKUP(D420,'BASE MUNICÍPIO'!B401:D25136,3,0)</f>
        <v>#N/A</v>
      </c>
      <c r="G420" s="97" t="str">
        <f>IF(Tabela4[[#This Row],[PROJETO]]="CLARO",LEFT(Tabela4[[#This Row],[SITE2]],2),IF(Tabela4[[#This Row],[PROJETO]]="VIVO",RIGHT(LEFT(Tabela4[[#This Row],[SITE2]],10),2),""))</f>
        <v/>
      </c>
      <c r="H420" s="99"/>
    </row>
    <row r="421" spans="1:8">
      <c r="A421" s="119">
        <f>'BASE FINANCEIRO'!BI551</f>
        <v>0</v>
      </c>
      <c r="B421" s="24" t="str">
        <f t="shared" si="6"/>
        <v/>
      </c>
      <c r="C421" s="24" t="s">
        <v>2453</v>
      </c>
      <c r="D421" s="24" t="e">
        <f>IF(VLOOKUP('BASE FINANCEIRO'!BC551,'COD. PROJETOS'!B:D,3,0)="VIVO",MID('BASE FINANCEIRO'!BI551,36,3),IF(VLOOKUP('BASE FINANCEIRO'!BC551,'COD. PROJETOS'!B:D,3,0),MID('BASE FINANCEIRO'!BI551,36,7),IF(VLOOKUP('BASE FINANCEIRO'!BC551,'COD. PROJETOS'!B:D,3,0),MID('BASE FINANCEIRO'!BI551,36,9),"PROJETO?")))</f>
        <v>#N/A</v>
      </c>
      <c r="E421" s="24" t="e">
        <f>VLOOKUP(D421,'BASE MUNICÍPIO'!B402:C25137,2,0)</f>
        <v>#N/A</v>
      </c>
      <c r="F421" s="98" t="e">
        <f>VLOOKUP(D421,'BASE MUNICÍPIO'!B402:D25137,3,0)</f>
        <v>#N/A</v>
      </c>
      <c r="G421" s="97" t="str">
        <f>IF(Tabela4[[#This Row],[PROJETO]]="CLARO",LEFT(Tabela4[[#This Row],[SITE2]],2),IF(Tabela4[[#This Row],[PROJETO]]="VIVO",RIGHT(LEFT(Tabela4[[#This Row],[SITE2]],10),2),""))</f>
        <v/>
      </c>
      <c r="H421" s="99"/>
    </row>
    <row r="422" spans="1:8">
      <c r="A422" s="119">
        <f>'BASE FINANCEIRO'!BI552</f>
        <v>0</v>
      </c>
      <c r="B422" s="24" t="str">
        <f t="shared" si="6"/>
        <v/>
      </c>
      <c r="C422" s="24" t="s">
        <v>2453</v>
      </c>
      <c r="D422" s="24" t="e">
        <f>IF(VLOOKUP('BASE FINANCEIRO'!BC552,'COD. PROJETOS'!B:D,3,0)="VIVO",MID('BASE FINANCEIRO'!BI552,36,3),IF(VLOOKUP('BASE FINANCEIRO'!BC552,'COD. PROJETOS'!B:D,3,0),MID('BASE FINANCEIRO'!BI552,36,7),IF(VLOOKUP('BASE FINANCEIRO'!BC552,'COD. PROJETOS'!B:D,3,0),MID('BASE FINANCEIRO'!BI552,36,9),"PROJETO?")))</f>
        <v>#N/A</v>
      </c>
      <c r="E422" s="24" t="e">
        <f>VLOOKUP(D422,'BASE MUNICÍPIO'!B403:C25138,2,0)</f>
        <v>#N/A</v>
      </c>
      <c r="F422" s="98" t="e">
        <f>VLOOKUP(D422,'BASE MUNICÍPIO'!B403:D25138,3,0)</f>
        <v>#N/A</v>
      </c>
      <c r="G422" s="97" t="str">
        <f>IF(Tabela4[[#This Row],[PROJETO]]="CLARO",LEFT(Tabela4[[#This Row],[SITE2]],2),IF(Tabela4[[#This Row],[PROJETO]]="VIVO",RIGHT(LEFT(Tabela4[[#This Row],[SITE2]],10),2),""))</f>
        <v/>
      </c>
      <c r="H422" s="99"/>
    </row>
    <row r="423" spans="1:8">
      <c r="A423" s="119">
        <f>'BASE FINANCEIRO'!BI553</f>
        <v>0</v>
      </c>
      <c r="B423" s="24" t="str">
        <f t="shared" si="6"/>
        <v/>
      </c>
      <c r="C423" s="24" t="s">
        <v>2453</v>
      </c>
      <c r="D423" s="24" t="e">
        <f>IF(VLOOKUP('BASE FINANCEIRO'!BC553,'COD. PROJETOS'!B:D,3,0)="VIVO",MID('BASE FINANCEIRO'!BI553,36,3),IF(VLOOKUP('BASE FINANCEIRO'!BC553,'COD. PROJETOS'!B:D,3,0),MID('BASE FINANCEIRO'!BI553,36,7),IF(VLOOKUP('BASE FINANCEIRO'!BC553,'COD. PROJETOS'!B:D,3,0),MID('BASE FINANCEIRO'!BI553,36,9),"PROJETO?")))</f>
        <v>#N/A</v>
      </c>
      <c r="E423" s="24" t="e">
        <f>VLOOKUP(D423,'BASE MUNICÍPIO'!B404:C25139,2,0)</f>
        <v>#N/A</v>
      </c>
      <c r="F423" s="98" t="e">
        <f>VLOOKUP(D423,'BASE MUNICÍPIO'!B404:D25139,3,0)</f>
        <v>#N/A</v>
      </c>
      <c r="G423" s="97" t="str">
        <f>IF(Tabela4[[#This Row],[PROJETO]]="CLARO",LEFT(Tabela4[[#This Row],[SITE2]],2),IF(Tabela4[[#This Row],[PROJETO]]="VIVO",RIGHT(LEFT(Tabela4[[#This Row],[SITE2]],10),2),""))</f>
        <v/>
      </c>
      <c r="H423" s="99"/>
    </row>
    <row r="424" spans="1:8">
      <c r="A424" s="119">
        <f>'BASE FINANCEIRO'!BI554</f>
        <v>0</v>
      </c>
      <c r="B424" s="24" t="str">
        <f t="shared" si="6"/>
        <v/>
      </c>
      <c r="C424" s="24" t="s">
        <v>2453</v>
      </c>
      <c r="D424" s="24" t="e">
        <f>IF(VLOOKUP('BASE FINANCEIRO'!BC554,'COD. PROJETOS'!B:D,3,0)="VIVO",MID('BASE FINANCEIRO'!BI554,36,3),IF(VLOOKUP('BASE FINANCEIRO'!BC554,'COD. PROJETOS'!B:D,3,0),MID('BASE FINANCEIRO'!BI554,36,7),IF(VLOOKUP('BASE FINANCEIRO'!BC554,'COD. PROJETOS'!B:D,3,0),MID('BASE FINANCEIRO'!BI554,36,9),"PROJETO?")))</f>
        <v>#N/A</v>
      </c>
      <c r="E424" s="24" t="e">
        <f>VLOOKUP(D424,'BASE MUNICÍPIO'!B405:C25140,2,0)</f>
        <v>#N/A</v>
      </c>
      <c r="F424" s="98" t="e">
        <f>VLOOKUP(D424,'BASE MUNICÍPIO'!B405:D25140,3,0)</f>
        <v>#N/A</v>
      </c>
      <c r="G424" s="97" t="str">
        <f>IF(Tabela4[[#This Row],[PROJETO]]="CLARO",LEFT(Tabela4[[#This Row],[SITE2]],2),IF(Tabela4[[#This Row],[PROJETO]]="VIVO",RIGHT(LEFT(Tabela4[[#This Row],[SITE2]],10),2),""))</f>
        <v/>
      </c>
      <c r="H424" s="99"/>
    </row>
    <row r="425" spans="1:8">
      <c r="A425" s="119">
        <f>'BASE FINANCEIRO'!BI555</f>
        <v>0</v>
      </c>
      <c r="B425" s="24" t="str">
        <f t="shared" si="6"/>
        <v/>
      </c>
      <c r="C425" s="24" t="s">
        <v>2453</v>
      </c>
      <c r="D425" s="24" t="e">
        <f>IF(VLOOKUP('BASE FINANCEIRO'!BC555,'COD. PROJETOS'!B:D,3,0)="VIVO",MID('BASE FINANCEIRO'!BI555,36,3),IF(VLOOKUP('BASE FINANCEIRO'!BC555,'COD. PROJETOS'!B:D,3,0),MID('BASE FINANCEIRO'!BI555,36,7),IF(VLOOKUP('BASE FINANCEIRO'!BC555,'COD. PROJETOS'!B:D,3,0),MID('BASE FINANCEIRO'!BI555,36,9),"PROJETO?")))</f>
        <v>#N/A</v>
      </c>
      <c r="E425" s="24" t="e">
        <f>VLOOKUP(D425,'BASE MUNICÍPIO'!B406:C25141,2,0)</f>
        <v>#N/A</v>
      </c>
      <c r="F425" s="98" t="e">
        <f>VLOOKUP(D425,'BASE MUNICÍPIO'!B406:D25141,3,0)</f>
        <v>#N/A</v>
      </c>
      <c r="G425" s="97" t="str">
        <f>IF(Tabela4[[#This Row],[PROJETO]]="CLARO",LEFT(Tabela4[[#This Row],[SITE2]],2),IF(Tabela4[[#This Row],[PROJETO]]="VIVO",RIGHT(LEFT(Tabela4[[#This Row],[SITE2]],10),2),""))</f>
        <v/>
      </c>
      <c r="H425" s="99"/>
    </row>
    <row r="426" spans="1:8">
      <c r="A426" s="119">
        <f>'BASE FINANCEIRO'!BI556</f>
        <v>0</v>
      </c>
      <c r="B426" s="24" t="str">
        <f t="shared" si="6"/>
        <v/>
      </c>
      <c r="C426" s="24" t="s">
        <v>2453</v>
      </c>
      <c r="D426" s="24" t="e">
        <f>IF(VLOOKUP('BASE FINANCEIRO'!BC556,'COD. PROJETOS'!B:D,3,0)="VIVO",MID('BASE FINANCEIRO'!BI556,36,3),IF(VLOOKUP('BASE FINANCEIRO'!BC556,'COD. PROJETOS'!B:D,3,0),MID('BASE FINANCEIRO'!BI556,36,7),IF(VLOOKUP('BASE FINANCEIRO'!BC556,'COD. PROJETOS'!B:D,3,0),MID('BASE FINANCEIRO'!BI556,36,9),"PROJETO?")))</f>
        <v>#N/A</v>
      </c>
      <c r="E426" s="24" t="e">
        <f>VLOOKUP(D426,'BASE MUNICÍPIO'!B407:C25142,2,0)</f>
        <v>#N/A</v>
      </c>
      <c r="F426" s="98" t="e">
        <f>VLOOKUP(D426,'BASE MUNICÍPIO'!B407:D25142,3,0)</f>
        <v>#N/A</v>
      </c>
      <c r="G426" s="97" t="str">
        <f>IF(Tabela4[[#This Row],[PROJETO]]="CLARO",LEFT(Tabela4[[#This Row],[SITE2]],2),IF(Tabela4[[#This Row],[PROJETO]]="VIVO",RIGHT(LEFT(Tabela4[[#This Row],[SITE2]],10),2),""))</f>
        <v/>
      </c>
      <c r="H426" s="99"/>
    </row>
    <row r="427" spans="1:8">
      <c r="A427" s="119">
        <f>'BASE FINANCEIRO'!BI557</f>
        <v>0</v>
      </c>
      <c r="B427" s="24" t="str">
        <f t="shared" si="6"/>
        <v/>
      </c>
      <c r="C427" s="24" t="s">
        <v>2453</v>
      </c>
      <c r="D427" s="24" t="e">
        <f>IF(VLOOKUP('BASE FINANCEIRO'!BC557,'COD. PROJETOS'!B:D,3,0)="VIVO",MID('BASE FINANCEIRO'!BI557,36,3),IF(VLOOKUP('BASE FINANCEIRO'!BC557,'COD. PROJETOS'!B:D,3,0),MID('BASE FINANCEIRO'!BI557,36,7),IF(VLOOKUP('BASE FINANCEIRO'!BC557,'COD. PROJETOS'!B:D,3,0),MID('BASE FINANCEIRO'!BI557,36,9),"PROJETO?")))</f>
        <v>#N/A</v>
      </c>
      <c r="E427" s="24" t="e">
        <f>VLOOKUP(D427,'BASE MUNICÍPIO'!B408:C25143,2,0)</f>
        <v>#N/A</v>
      </c>
      <c r="F427" s="98" t="e">
        <f>VLOOKUP(D427,'BASE MUNICÍPIO'!B408:D25143,3,0)</f>
        <v>#N/A</v>
      </c>
      <c r="G427" s="97" t="str">
        <f>IF(Tabela4[[#This Row],[PROJETO]]="CLARO",LEFT(Tabela4[[#This Row],[SITE2]],2),IF(Tabela4[[#This Row],[PROJETO]]="VIVO",RIGHT(LEFT(Tabela4[[#This Row],[SITE2]],10),2),""))</f>
        <v/>
      </c>
      <c r="H427" s="99"/>
    </row>
    <row r="428" spans="1:8">
      <c r="A428" s="119">
        <f>'BASE FINANCEIRO'!BI558</f>
        <v>0</v>
      </c>
      <c r="B428" s="24" t="str">
        <f t="shared" si="6"/>
        <v/>
      </c>
      <c r="C428" s="24" t="s">
        <v>2453</v>
      </c>
      <c r="D428" s="24" t="e">
        <f>IF(VLOOKUP('BASE FINANCEIRO'!BC558,'COD. PROJETOS'!B:D,3,0)="VIVO",MID('BASE FINANCEIRO'!BI558,36,3),IF(VLOOKUP('BASE FINANCEIRO'!BC558,'COD. PROJETOS'!B:D,3,0),MID('BASE FINANCEIRO'!BI558,36,7),IF(VLOOKUP('BASE FINANCEIRO'!BC558,'COD. PROJETOS'!B:D,3,0),MID('BASE FINANCEIRO'!BI558,36,9),"PROJETO?")))</f>
        <v>#N/A</v>
      </c>
      <c r="E428" s="24" t="e">
        <f>VLOOKUP(D428,'BASE MUNICÍPIO'!B409:C25144,2,0)</f>
        <v>#N/A</v>
      </c>
      <c r="F428" s="98" t="e">
        <f>VLOOKUP(D428,'BASE MUNICÍPIO'!B409:D25144,3,0)</f>
        <v>#N/A</v>
      </c>
      <c r="G428" s="97" t="str">
        <f>IF(Tabela4[[#This Row],[PROJETO]]="CLARO",LEFT(Tabela4[[#This Row],[SITE2]],2),IF(Tabela4[[#This Row],[PROJETO]]="VIVO",RIGHT(LEFT(Tabela4[[#This Row],[SITE2]],10),2),""))</f>
        <v/>
      </c>
      <c r="H428" s="99"/>
    </row>
    <row r="429" spans="1:8">
      <c r="A429" s="119">
        <f>'BASE FINANCEIRO'!BI559</f>
        <v>0</v>
      </c>
      <c r="B429" s="24" t="str">
        <f t="shared" si="6"/>
        <v/>
      </c>
      <c r="C429" s="24" t="s">
        <v>2453</v>
      </c>
      <c r="D429" s="24" t="e">
        <f>IF(VLOOKUP('BASE FINANCEIRO'!BC559,'COD. PROJETOS'!B:D,3,0)="VIVO",MID('BASE FINANCEIRO'!BI559,36,3),IF(VLOOKUP('BASE FINANCEIRO'!BC559,'COD. PROJETOS'!B:D,3,0),MID('BASE FINANCEIRO'!BI559,36,7),IF(VLOOKUP('BASE FINANCEIRO'!BC559,'COD. PROJETOS'!B:D,3,0),MID('BASE FINANCEIRO'!BI559,36,9),"PROJETO?")))</f>
        <v>#N/A</v>
      </c>
      <c r="E429" s="24" t="e">
        <f>VLOOKUP(D429,'BASE MUNICÍPIO'!B410:C25145,2,0)</f>
        <v>#N/A</v>
      </c>
      <c r="F429" s="98" t="e">
        <f>VLOOKUP(D429,'BASE MUNICÍPIO'!B410:D25145,3,0)</f>
        <v>#N/A</v>
      </c>
      <c r="G429" s="97" t="str">
        <f>IF(Tabela4[[#This Row],[PROJETO]]="CLARO",LEFT(Tabela4[[#This Row],[SITE2]],2),IF(Tabela4[[#This Row],[PROJETO]]="VIVO",RIGHT(LEFT(Tabela4[[#This Row],[SITE2]],10),2),""))</f>
        <v/>
      </c>
      <c r="H429" s="99"/>
    </row>
    <row r="430" spans="1:8">
      <c r="A430" s="119">
        <f>'BASE FINANCEIRO'!BI560</f>
        <v>0</v>
      </c>
      <c r="B430" s="24" t="str">
        <f t="shared" si="6"/>
        <v/>
      </c>
      <c r="C430" s="24" t="s">
        <v>2453</v>
      </c>
      <c r="D430" s="24" t="e">
        <f>IF(VLOOKUP('BASE FINANCEIRO'!BC560,'COD. PROJETOS'!B:D,3,0)="VIVO",MID('BASE FINANCEIRO'!BI560,36,3),IF(VLOOKUP('BASE FINANCEIRO'!BC560,'COD. PROJETOS'!B:D,3,0),MID('BASE FINANCEIRO'!BI560,36,7),IF(VLOOKUP('BASE FINANCEIRO'!BC560,'COD. PROJETOS'!B:D,3,0),MID('BASE FINANCEIRO'!BI560,36,9),"PROJETO?")))</f>
        <v>#N/A</v>
      </c>
      <c r="E430" s="24" t="e">
        <f>VLOOKUP(D430,'BASE MUNICÍPIO'!B411:C25146,2,0)</f>
        <v>#N/A</v>
      </c>
      <c r="F430" s="98" t="e">
        <f>VLOOKUP(D430,'BASE MUNICÍPIO'!B411:D25146,3,0)</f>
        <v>#N/A</v>
      </c>
      <c r="G430" s="97" t="str">
        <f>IF(Tabela4[[#This Row],[PROJETO]]="CLARO",LEFT(Tabela4[[#This Row],[SITE2]],2),IF(Tabela4[[#This Row],[PROJETO]]="VIVO",RIGHT(LEFT(Tabela4[[#This Row],[SITE2]],10),2),""))</f>
        <v/>
      </c>
      <c r="H430" s="99"/>
    </row>
    <row r="431" spans="1:8">
      <c r="A431" s="119">
        <f>'BASE FINANCEIRO'!BI561</f>
        <v>0</v>
      </c>
      <c r="B431" s="24" t="str">
        <f t="shared" si="6"/>
        <v/>
      </c>
      <c r="C431" s="24" t="s">
        <v>2453</v>
      </c>
      <c r="D431" s="24" t="e">
        <f>IF(VLOOKUP('BASE FINANCEIRO'!BC561,'COD. PROJETOS'!B:D,3,0)="VIVO",MID('BASE FINANCEIRO'!BI561,36,3),IF(VLOOKUP('BASE FINANCEIRO'!BC561,'COD. PROJETOS'!B:D,3,0),MID('BASE FINANCEIRO'!BI561,36,7),IF(VLOOKUP('BASE FINANCEIRO'!BC561,'COD. PROJETOS'!B:D,3,0),MID('BASE FINANCEIRO'!BI561,36,9),"PROJETO?")))</f>
        <v>#N/A</v>
      </c>
      <c r="E431" s="24" t="e">
        <f>VLOOKUP(D431,'BASE MUNICÍPIO'!B412:C25147,2,0)</f>
        <v>#N/A</v>
      </c>
      <c r="F431" s="98" t="e">
        <f>VLOOKUP(D431,'BASE MUNICÍPIO'!B412:D25147,3,0)</f>
        <v>#N/A</v>
      </c>
      <c r="G431" s="97" t="str">
        <f>IF(Tabela4[[#This Row],[PROJETO]]="CLARO",LEFT(Tabela4[[#This Row],[SITE2]],2),IF(Tabela4[[#This Row],[PROJETO]]="VIVO",RIGHT(LEFT(Tabela4[[#This Row],[SITE2]],10),2),""))</f>
        <v/>
      </c>
      <c r="H431" s="99"/>
    </row>
    <row r="432" spans="1:8">
      <c r="A432" s="119">
        <f>'BASE FINANCEIRO'!BI562</f>
        <v>0</v>
      </c>
      <c r="B432" s="24" t="str">
        <f t="shared" si="6"/>
        <v/>
      </c>
      <c r="C432" s="24" t="s">
        <v>2453</v>
      </c>
      <c r="D432" s="24" t="e">
        <f>IF(VLOOKUP('BASE FINANCEIRO'!BC562,'COD. PROJETOS'!B:D,3,0)="VIVO",MID('BASE FINANCEIRO'!BI562,36,3),IF(VLOOKUP('BASE FINANCEIRO'!BC562,'COD. PROJETOS'!B:D,3,0),MID('BASE FINANCEIRO'!BI562,36,7),IF(VLOOKUP('BASE FINANCEIRO'!BC562,'COD. PROJETOS'!B:D,3,0),MID('BASE FINANCEIRO'!BI562,36,9),"PROJETO?")))</f>
        <v>#N/A</v>
      </c>
      <c r="E432" s="24" t="e">
        <f>VLOOKUP(D432,'BASE MUNICÍPIO'!B413:C25148,2,0)</f>
        <v>#N/A</v>
      </c>
      <c r="F432" s="98" t="e">
        <f>VLOOKUP(D432,'BASE MUNICÍPIO'!B413:D25148,3,0)</f>
        <v>#N/A</v>
      </c>
      <c r="G432" s="97" t="str">
        <f>IF(Tabela4[[#This Row],[PROJETO]]="CLARO",LEFT(Tabela4[[#This Row],[SITE2]],2),IF(Tabela4[[#This Row],[PROJETO]]="VIVO",RIGHT(LEFT(Tabela4[[#This Row],[SITE2]],10),2),""))</f>
        <v/>
      </c>
      <c r="H432" s="99"/>
    </row>
    <row r="433" spans="1:8">
      <c r="A433" s="119">
        <f>'BASE FINANCEIRO'!BI563</f>
        <v>0</v>
      </c>
      <c r="B433" s="24" t="str">
        <f t="shared" si="6"/>
        <v/>
      </c>
      <c r="C433" s="24" t="s">
        <v>2453</v>
      </c>
      <c r="D433" s="24" t="e">
        <f>IF(VLOOKUP('BASE FINANCEIRO'!BC563,'COD. PROJETOS'!B:D,3,0)="VIVO",MID('BASE FINANCEIRO'!BI563,36,3),IF(VLOOKUP('BASE FINANCEIRO'!BC563,'COD. PROJETOS'!B:D,3,0),MID('BASE FINANCEIRO'!BI563,36,7),IF(VLOOKUP('BASE FINANCEIRO'!BC563,'COD. PROJETOS'!B:D,3,0),MID('BASE FINANCEIRO'!BI563,36,9),"PROJETO?")))</f>
        <v>#N/A</v>
      </c>
      <c r="E433" s="24" t="e">
        <f>VLOOKUP(D433,'BASE MUNICÍPIO'!B414:C25149,2,0)</f>
        <v>#N/A</v>
      </c>
      <c r="F433" s="98" t="e">
        <f>VLOOKUP(D433,'BASE MUNICÍPIO'!B414:D25149,3,0)</f>
        <v>#N/A</v>
      </c>
      <c r="G433" s="97" t="str">
        <f>IF(Tabela4[[#This Row],[PROJETO]]="CLARO",LEFT(Tabela4[[#This Row],[SITE2]],2),IF(Tabela4[[#This Row],[PROJETO]]="VIVO",RIGHT(LEFT(Tabela4[[#This Row],[SITE2]],10),2),""))</f>
        <v/>
      </c>
      <c r="H433" s="99"/>
    </row>
    <row r="434" spans="1:8">
      <c r="A434" s="119">
        <f>'BASE FINANCEIRO'!BI564</f>
        <v>0</v>
      </c>
      <c r="B434" s="24" t="str">
        <f t="shared" si="6"/>
        <v/>
      </c>
      <c r="C434" s="24" t="s">
        <v>2453</v>
      </c>
      <c r="D434" s="24" t="e">
        <f>IF(VLOOKUP('BASE FINANCEIRO'!BC564,'COD. PROJETOS'!B:D,3,0)="VIVO",MID('BASE FINANCEIRO'!BI564,36,3),IF(VLOOKUP('BASE FINANCEIRO'!BC564,'COD. PROJETOS'!B:D,3,0),MID('BASE FINANCEIRO'!BI564,36,7),IF(VLOOKUP('BASE FINANCEIRO'!BC564,'COD. PROJETOS'!B:D,3,0),MID('BASE FINANCEIRO'!BI564,36,9),"PROJETO?")))</f>
        <v>#N/A</v>
      </c>
      <c r="E434" s="24" t="e">
        <f>VLOOKUP(D434,'BASE MUNICÍPIO'!B415:C25150,2,0)</f>
        <v>#N/A</v>
      </c>
      <c r="F434" s="98" t="e">
        <f>VLOOKUP(D434,'BASE MUNICÍPIO'!B415:D25150,3,0)</f>
        <v>#N/A</v>
      </c>
      <c r="G434" s="97" t="str">
        <f>IF(Tabela4[[#This Row],[PROJETO]]="CLARO",LEFT(Tabela4[[#This Row],[SITE2]],2),IF(Tabela4[[#This Row],[PROJETO]]="VIVO",RIGHT(LEFT(Tabela4[[#This Row],[SITE2]],10),2),""))</f>
        <v/>
      </c>
      <c r="H434" s="99"/>
    </row>
    <row r="435" spans="1:8">
      <c r="A435" s="119">
        <f>'BASE FINANCEIRO'!BI565</f>
        <v>0</v>
      </c>
      <c r="B435" s="24" t="str">
        <f t="shared" si="6"/>
        <v/>
      </c>
      <c r="C435" s="24" t="s">
        <v>2453</v>
      </c>
      <c r="D435" s="24" t="e">
        <f>IF(VLOOKUP('BASE FINANCEIRO'!BC565,'COD. PROJETOS'!B:D,3,0)="VIVO",MID('BASE FINANCEIRO'!BI565,36,3),IF(VLOOKUP('BASE FINANCEIRO'!BC565,'COD. PROJETOS'!B:D,3,0),MID('BASE FINANCEIRO'!BI565,36,7),IF(VLOOKUP('BASE FINANCEIRO'!BC565,'COD. PROJETOS'!B:D,3,0),MID('BASE FINANCEIRO'!BI565,36,9),"PROJETO?")))</f>
        <v>#N/A</v>
      </c>
      <c r="E435" s="24" t="e">
        <f>VLOOKUP(D435,'BASE MUNICÍPIO'!B416:C25151,2,0)</f>
        <v>#N/A</v>
      </c>
      <c r="F435" s="98" t="e">
        <f>VLOOKUP(D435,'BASE MUNICÍPIO'!B416:D25151,3,0)</f>
        <v>#N/A</v>
      </c>
      <c r="G435" s="97" t="str">
        <f>IF(Tabela4[[#This Row],[PROJETO]]="CLARO",LEFT(Tabela4[[#This Row],[SITE2]],2),IF(Tabela4[[#This Row],[PROJETO]]="VIVO",RIGHT(LEFT(Tabela4[[#This Row],[SITE2]],10),2),""))</f>
        <v/>
      </c>
      <c r="H435" s="99"/>
    </row>
    <row r="436" spans="1:8">
      <c r="A436" s="119">
        <f>'BASE FINANCEIRO'!BI566</f>
        <v>0</v>
      </c>
      <c r="B436" s="24" t="str">
        <f t="shared" si="6"/>
        <v/>
      </c>
      <c r="C436" s="24" t="s">
        <v>2453</v>
      </c>
      <c r="D436" s="24" t="e">
        <f>IF(VLOOKUP('BASE FINANCEIRO'!BC566,'COD. PROJETOS'!B:D,3,0)="VIVO",MID('BASE FINANCEIRO'!BI566,36,3),IF(VLOOKUP('BASE FINANCEIRO'!BC566,'COD. PROJETOS'!B:D,3,0),MID('BASE FINANCEIRO'!BI566,36,7),IF(VLOOKUP('BASE FINANCEIRO'!BC566,'COD. PROJETOS'!B:D,3,0),MID('BASE FINANCEIRO'!BI566,36,9),"PROJETO?")))</f>
        <v>#N/A</v>
      </c>
      <c r="E436" s="24" t="e">
        <f>VLOOKUP(D436,'BASE MUNICÍPIO'!B417:C25152,2,0)</f>
        <v>#N/A</v>
      </c>
      <c r="F436" s="98" t="e">
        <f>VLOOKUP(D436,'BASE MUNICÍPIO'!B417:D25152,3,0)</f>
        <v>#N/A</v>
      </c>
      <c r="G436" s="97" t="str">
        <f>IF(Tabela4[[#This Row],[PROJETO]]="CLARO",LEFT(Tabela4[[#This Row],[SITE2]],2),IF(Tabela4[[#This Row],[PROJETO]]="VIVO",RIGHT(LEFT(Tabela4[[#This Row],[SITE2]],10),2),""))</f>
        <v/>
      </c>
      <c r="H436" s="99"/>
    </row>
    <row r="437" spans="1:8">
      <c r="A437" s="119">
        <f>'BASE FINANCEIRO'!BI567</f>
        <v>0</v>
      </c>
      <c r="B437" s="24" t="str">
        <f t="shared" si="6"/>
        <v/>
      </c>
      <c r="C437" s="24" t="s">
        <v>2453</v>
      </c>
      <c r="D437" s="24" t="e">
        <f>IF(VLOOKUP('BASE FINANCEIRO'!BC567,'COD. PROJETOS'!B:D,3,0)="VIVO",MID('BASE FINANCEIRO'!BI567,36,3),IF(VLOOKUP('BASE FINANCEIRO'!BC567,'COD. PROJETOS'!B:D,3,0),MID('BASE FINANCEIRO'!BI567,36,7),IF(VLOOKUP('BASE FINANCEIRO'!BC567,'COD. PROJETOS'!B:D,3,0),MID('BASE FINANCEIRO'!BI567,36,9),"PROJETO?")))</f>
        <v>#N/A</v>
      </c>
      <c r="E437" s="24" t="e">
        <f>VLOOKUP(D437,'BASE MUNICÍPIO'!B418:C25153,2,0)</f>
        <v>#N/A</v>
      </c>
      <c r="F437" s="98" t="e">
        <f>VLOOKUP(D437,'BASE MUNICÍPIO'!B418:D25153,3,0)</f>
        <v>#N/A</v>
      </c>
      <c r="G437" s="97" t="str">
        <f>IF(Tabela4[[#This Row],[PROJETO]]="CLARO",LEFT(Tabela4[[#This Row],[SITE2]],2),IF(Tabela4[[#This Row],[PROJETO]]="VIVO",RIGHT(LEFT(Tabela4[[#This Row],[SITE2]],10),2),""))</f>
        <v/>
      </c>
      <c r="H437" s="99"/>
    </row>
    <row r="438" spans="1:8">
      <c r="A438" s="119">
        <f>'BASE FINANCEIRO'!BI568</f>
        <v>0</v>
      </c>
      <c r="B438" s="24" t="str">
        <f t="shared" si="6"/>
        <v/>
      </c>
      <c r="C438" s="24" t="s">
        <v>2453</v>
      </c>
      <c r="D438" s="24" t="e">
        <f>IF(VLOOKUP('BASE FINANCEIRO'!BC568,'COD. PROJETOS'!B:D,3,0)="VIVO",MID('BASE FINANCEIRO'!BI568,36,3),IF(VLOOKUP('BASE FINANCEIRO'!BC568,'COD. PROJETOS'!B:D,3,0),MID('BASE FINANCEIRO'!BI568,36,7),IF(VLOOKUP('BASE FINANCEIRO'!BC568,'COD. PROJETOS'!B:D,3,0),MID('BASE FINANCEIRO'!BI568,36,9),"PROJETO?")))</f>
        <v>#N/A</v>
      </c>
      <c r="E438" s="24" t="e">
        <f>VLOOKUP(D438,'BASE MUNICÍPIO'!B419:C25154,2,0)</f>
        <v>#N/A</v>
      </c>
      <c r="F438" s="98" t="e">
        <f>VLOOKUP(D438,'BASE MUNICÍPIO'!B419:D25154,3,0)</f>
        <v>#N/A</v>
      </c>
      <c r="G438" s="97" t="str">
        <f>IF(Tabela4[[#This Row],[PROJETO]]="CLARO",LEFT(Tabela4[[#This Row],[SITE2]],2),IF(Tabela4[[#This Row],[PROJETO]]="VIVO",RIGHT(LEFT(Tabela4[[#This Row],[SITE2]],10),2),""))</f>
        <v/>
      </c>
      <c r="H438" s="99"/>
    </row>
    <row r="439" spans="1:8">
      <c r="A439" s="119">
        <f>'BASE FINANCEIRO'!BI569</f>
        <v>0</v>
      </c>
      <c r="B439" s="24" t="str">
        <f t="shared" si="6"/>
        <v/>
      </c>
      <c r="C439" s="24" t="s">
        <v>2453</v>
      </c>
      <c r="D439" s="24" t="e">
        <f>IF(VLOOKUP('BASE FINANCEIRO'!BC569,'COD. PROJETOS'!B:D,3,0)="VIVO",MID('BASE FINANCEIRO'!BI569,36,3),IF(VLOOKUP('BASE FINANCEIRO'!BC569,'COD. PROJETOS'!B:D,3,0),MID('BASE FINANCEIRO'!BI569,36,7),IF(VLOOKUP('BASE FINANCEIRO'!BC569,'COD. PROJETOS'!B:D,3,0),MID('BASE FINANCEIRO'!BI569,36,9),"PROJETO?")))</f>
        <v>#N/A</v>
      </c>
      <c r="E439" s="24" t="e">
        <f>VLOOKUP(D439,'BASE MUNICÍPIO'!B420:C25155,2,0)</f>
        <v>#N/A</v>
      </c>
      <c r="F439" s="98" t="e">
        <f>VLOOKUP(D439,'BASE MUNICÍPIO'!B420:D25155,3,0)</f>
        <v>#N/A</v>
      </c>
      <c r="G439" s="97" t="str">
        <f>IF(Tabela4[[#This Row],[PROJETO]]="CLARO",LEFT(Tabela4[[#This Row],[SITE2]],2),IF(Tabela4[[#This Row],[PROJETO]]="VIVO",RIGHT(LEFT(Tabela4[[#This Row],[SITE2]],10),2),""))</f>
        <v/>
      </c>
      <c r="H439" s="99"/>
    </row>
    <row r="440" spans="1:8">
      <c r="A440" s="119">
        <f>'BASE FINANCEIRO'!BI570</f>
        <v>0</v>
      </c>
      <c r="B440" s="24" t="str">
        <f t="shared" si="6"/>
        <v/>
      </c>
      <c r="C440" s="24" t="s">
        <v>2453</v>
      </c>
      <c r="D440" s="24" t="e">
        <f>IF(VLOOKUP('BASE FINANCEIRO'!BC570,'COD. PROJETOS'!B:D,3,0)="VIVO",MID('BASE FINANCEIRO'!BI570,36,3),IF(VLOOKUP('BASE FINANCEIRO'!BC570,'COD. PROJETOS'!B:D,3,0),MID('BASE FINANCEIRO'!BI570,36,7),IF(VLOOKUP('BASE FINANCEIRO'!BC570,'COD. PROJETOS'!B:D,3,0),MID('BASE FINANCEIRO'!BI570,36,9),"PROJETO?")))</f>
        <v>#N/A</v>
      </c>
      <c r="E440" s="24" t="e">
        <f>VLOOKUP(D440,'BASE MUNICÍPIO'!B421:C25156,2,0)</f>
        <v>#N/A</v>
      </c>
      <c r="F440" s="98" t="e">
        <f>VLOOKUP(D440,'BASE MUNICÍPIO'!B421:D25156,3,0)</f>
        <v>#N/A</v>
      </c>
      <c r="G440" s="97" t="str">
        <f>IF(Tabela4[[#This Row],[PROJETO]]="CLARO",LEFT(Tabela4[[#This Row],[SITE2]],2),IF(Tabela4[[#This Row],[PROJETO]]="VIVO",RIGHT(LEFT(Tabela4[[#This Row],[SITE2]],10),2),""))</f>
        <v/>
      </c>
      <c r="H440" s="99"/>
    </row>
    <row r="441" spans="1:8">
      <c r="A441" s="119">
        <f>'BASE FINANCEIRO'!BI571</f>
        <v>0</v>
      </c>
      <c r="B441" s="24" t="str">
        <f t="shared" si="6"/>
        <v/>
      </c>
      <c r="C441" s="24" t="s">
        <v>2453</v>
      </c>
      <c r="D441" s="24" t="e">
        <f>IF(VLOOKUP('BASE FINANCEIRO'!BC571,'COD. PROJETOS'!B:D,3,0)="VIVO",MID('BASE FINANCEIRO'!BI571,36,3),IF(VLOOKUP('BASE FINANCEIRO'!BC571,'COD. PROJETOS'!B:D,3,0),MID('BASE FINANCEIRO'!BI571,36,7),IF(VLOOKUP('BASE FINANCEIRO'!BC571,'COD. PROJETOS'!B:D,3,0),MID('BASE FINANCEIRO'!BI571,36,9),"PROJETO?")))</f>
        <v>#N/A</v>
      </c>
      <c r="E441" s="24" t="e">
        <f>VLOOKUP(D441,'BASE MUNICÍPIO'!B422:C25157,2,0)</f>
        <v>#N/A</v>
      </c>
      <c r="F441" s="98" t="e">
        <f>VLOOKUP(D441,'BASE MUNICÍPIO'!B422:D25157,3,0)</f>
        <v>#N/A</v>
      </c>
      <c r="G441" s="97" t="str">
        <f>IF(Tabela4[[#This Row],[PROJETO]]="CLARO",LEFT(Tabela4[[#This Row],[SITE2]],2),IF(Tabela4[[#This Row],[PROJETO]]="VIVO",RIGHT(LEFT(Tabela4[[#This Row],[SITE2]],10),2),""))</f>
        <v/>
      </c>
      <c r="H441" s="99"/>
    </row>
    <row r="442" spans="1:8">
      <c r="A442" s="119">
        <f>'BASE FINANCEIRO'!BI572</f>
        <v>0</v>
      </c>
      <c r="B442" s="24" t="str">
        <f t="shared" si="6"/>
        <v/>
      </c>
      <c r="C442" s="24" t="s">
        <v>2453</v>
      </c>
      <c r="D442" s="24" t="e">
        <f>IF(VLOOKUP('BASE FINANCEIRO'!BC572,'COD. PROJETOS'!B:D,3,0)="VIVO",MID('BASE FINANCEIRO'!BI572,36,3),IF(VLOOKUP('BASE FINANCEIRO'!BC572,'COD. PROJETOS'!B:D,3,0),MID('BASE FINANCEIRO'!BI572,36,7),IF(VLOOKUP('BASE FINANCEIRO'!BC572,'COD. PROJETOS'!B:D,3,0),MID('BASE FINANCEIRO'!BI572,36,9),"PROJETO?")))</f>
        <v>#N/A</v>
      </c>
      <c r="E442" s="24" t="e">
        <f>VLOOKUP(D442,'BASE MUNICÍPIO'!B423:C25158,2,0)</f>
        <v>#N/A</v>
      </c>
      <c r="F442" s="98" t="e">
        <f>VLOOKUP(D442,'BASE MUNICÍPIO'!B423:D25158,3,0)</f>
        <v>#N/A</v>
      </c>
      <c r="G442" s="97" t="str">
        <f>IF(Tabela4[[#This Row],[PROJETO]]="CLARO",LEFT(Tabela4[[#This Row],[SITE2]],2),IF(Tabela4[[#This Row],[PROJETO]]="VIVO",RIGHT(LEFT(Tabela4[[#This Row],[SITE2]],10),2),""))</f>
        <v/>
      </c>
      <c r="H442" s="99"/>
    </row>
    <row r="443" spans="1:8">
      <c r="A443" s="119">
        <f>'BASE FINANCEIRO'!BI573</f>
        <v>0</v>
      </c>
      <c r="B443" s="24" t="str">
        <f t="shared" si="6"/>
        <v/>
      </c>
      <c r="C443" s="24" t="s">
        <v>2453</v>
      </c>
      <c r="D443" s="24" t="e">
        <f>IF(VLOOKUP('BASE FINANCEIRO'!BC573,'COD. PROJETOS'!B:D,3,0)="VIVO",MID('BASE FINANCEIRO'!BI573,36,3),IF(VLOOKUP('BASE FINANCEIRO'!BC573,'COD. PROJETOS'!B:D,3,0),MID('BASE FINANCEIRO'!BI573,36,7),IF(VLOOKUP('BASE FINANCEIRO'!BC573,'COD. PROJETOS'!B:D,3,0),MID('BASE FINANCEIRO'!BI573,36,9),"PROJETO?")))</f>
        <v>#N/A</v>
      </c>
      <c r="E443" s="24" t="e">
        <f>VLOOKUP(D443,'BASE MUNICÍPIO'!B424:C25159,2,0)</f>
        <v>#N/A</v>
      </c>
      <c r="F443" s="98" t="e">
        <f>VLOOKUP(D443,'BASE MUNICÍPIO'!B424:D25159,3,0)</f>
        <v>#N/A</v>
      </c>
      <c r="G443" s="97" t="str">
        <f>IF(Tabela4[[#This Row],[PROJETO]]="CLARO",LEFT(Tabela4[[#This Row],[SITE2]],2),IF(Tabela4[[#This Row],[PROJETO]]="VIVO",RIGHT(LEFT(Tabela4[[#This Row],[SITE2]],10),2),""))</f>
        <v/>
      </c>
      <c r="H443" s="99"/>
    </row>
    <row r="444" spans="1:8">
      <c r="A444" s="119">
        <f>'BASE FINANCEIRO'!BI574</f>
        <v>0</v>
      </c>
      <c r="B444" s="24" t="str">
        <f t="shared" si="6"/>
        <v/>
      </c>
      <c r="C444" s="24" t="s">
        <v>2453</v>
      </c>
      <c r="D444" s="24" t="e">
        <f>IF(VLOOKUP('BASE FINANCEIRO'!BC574,'COD. PROJETOS'!B:D,3,0)="VIVO",MID('BASE FINANCEIRO'!BI574,36,3),IF(VLOOKUP('BASE FINANCEIRO'!BC574,'COD. PROJETOS'!B:D,3,0),MID('BASE FINANCEIRO'!BI574,36,7),IF(VLOOKUP('BASE FINANCEIRO'!BC574,'COD. PROJETOS'!B:D,3,0),MID('BASE FINANCEIRO'!BI574,36,9),"PROJETO?")))</f>
        <v>#N/A</v>
      </c>
      <c r="E444" s="24" t="e">
        <f>VLOOKUP(D444,'BASE MUNICÍPIO'!B425:C25160,2,0)</f>
        <v>#N/A</v>
      </c>
      <c r="F444" s="98" t="e">
        <f>VLOOKUP(D444,'BASE MUNICÍPIO'!B425:D25160,3,0)</f>
        <v>#N/A</v>
      </c>
      <c r="G444" s="97" t="str">
        <f>IF(Tabela4[[#This Row],[PROJETO]]="CLARO",LEFT(Tabela4[[#This Row],[SITE2]],2),IF(Tabela4[[#This Row],[PROJETO]]="VIVO",RIGHT(LEFT(Tabela4[[#This Row],[SITE2]],10),2),""))</f>
        <v/>
      </c>
      <c r="H444" s="99"/>
    </row>
    <row r="445" spans="1:8">
      <c r="A445" s="119">
        <f>'BASE FINANCEIRO'!BI575</f>
        <v>0</v>
      </c>
      <c r="B445" s="24" t="str">
        <f t="shared" si="6"/>
        <v/>
      </c>
      <c r="C445" s="24" t="s">
        <v>2453</v>
      </c>
      <c r="D445" s="24" t="e">
        <f>IF(VLOOKUP('BASE FINANCEIRO'!BC575,'COD. PROJETOS'!B:D,3,0)="VIVO",MID('BASE FINANCEIRO'!BI575,36,3),IF(VLOOKUP('BASE FINANCEIRO'!BC575,'COD. PROJETOS'!B:D,3,0),MID('BASE FINANCEIRO'!BI575,36,7),IF(VLOOKUP('BASE FINANCEIRO'!BC575,'COD. PROJETOS'!B:D,3,0),MID('BASE FINANCEIRO'!BI575,36,9),"PROJETO?")))</f>
        <v>#N/A</v>
      </c>
      <c r="E445" s="24" t="e">
        <f>VLOOKUP(D445,'BASE MUNICÍPIO'!B426:C25161,2,0)</f>
        <v>#N/A</v>
      </c>
      <c r="F445" s="98" t="e">
        <f>VLOOKUP(D445,'BASE MUNICÍPIO'!B426:D25161,3,0)</f>
        <v>#N/A</v>
      </c>
      <c r="G445" s="97" t="str">
        <f>IF(Tabela4[[#This Row],[PROJETO]]="CLARO",LEFT(Tabela4[[#This Row],[SITE2]],2),IF(Tabela4[[#This Row],[PROJETO]]="VIVO",RIGHT(LEFT(Tabela4[[#This Row],[SITE2]],10),2),""))</f>
        <v/>
      </c>
      <c r="H445" s="99"/>
    </row>
    <row r="446" spans="1:8">
      <c r="A446" s="119">
        <f>'BASE FINANCEIRO'!BI576</f>
        <v>0</v>
      </c>
      <c r="B446" s="24" t="str">
        <f t="shared" si="6"/>
        <v/>
      </c>
      <c r="C446" s="24" t="s">
        <v>2453</v>
      </c>
      <c r="D446" s="24" t="e">
        <f>IF(VLOOKUP('BASE FINANCEIRO'!BC576,'COD. PROJETOS'!B:D,3,0)="VIVO",MID('BASE FINANCEIRO'!BI576,36,3),IF(VLOOKUP('BASE FINANCEIRO'!BC576,'COD. PROJETOS'!B:D,3,0),MID('BASE FINANCEIRO'!BI576,36,7),IF(VLOOKUP('BASE FINANCEIRO'!BC576,'COD. PROJETOS'!B:D,3,0),MID('BASE FINANCEIRO'!BI576,36,9),"PROJETO?")))</f>
        <v>#N/A</v>
      </c>
      <c r="E446" s="24" t="e">
        <f>VLOOKUP(D446,'BASE MUNICÍPIO'!B427:C25162,2,0)</f>
        <v>#N/A</v>
      </c>
      <c r="F446" s="98" t="e">
        <f>VLOOKUP(D446,'BASE MUNICÍPIO'!B427:D25162,3,0)</f>
        <v>#N/A</v>
      </c>
      <c r="G446" s="97" t="str">
        <f>IF(Tabela4[[#This Row],[PROJETO]]="CLARO",LEFT(Tabela4[[#This Row],[SITE2]],2),IF(Tabela4[[#This Row],[PROJETO]]="VIVO",RIGHT(LEFT(Tabela4[[#This Row],[SITE2]],10),2),""))</f>
        <v/>
      </c>
      <c r="H446" s="99"/>
    </row>
    <row r="447" spans="1:8">
      <c r="A447" s="119">
        <f>'BASE FINANCEIRO'!BI577</f>
        <v>0</v>
      </c>
      <c r="B447" s="24" t="str">
        <f t="shared" si="6"/>
        <v/>
      </c>
      <c r="C447" s="24" t="s">
        <v>2453</v>
      </c>
      <c r="D447" s="24" t="e">
        <f>IF(VLOOKUP('BASE FINANCEIRO'!BC577,'COD. PROJETOS'!B:D,3,0)="VIVO",MID('BASE FINANCEIRO'!BI577,36,3),IF(VLOOKUP('BASE FINANCEIRO'!BC577,'COD. PROJETOS'!B:D,3,0),MID('BASE FINANCEIRO'!BI577,36,7),IF(VLOOKUP('BASE FINANCEIRO'!BC577,'COD. PROJETOS'!B:D,3,0),MID('BASE FINANCEIRO'!BI577,36,9),"PROJETO?")))</f>
        <v>#N/A</v>
      </c>
      <c r="E447" s="24" t="e">
        <f>VLOOKUP(D447,'BASE MUNICÍPIO'!B428:C25163,2,0)</f>
        <v>#N/A</v>
      </c>
      <c r="F447" s="98" t="e">
        <f>VLOOKUP(D447,'BASE MUNICÍPIO'!B428:D25163,3,0)</f>
        <v>#N/A</v>
      </c>
      <c r="G447" s="97" t="str">
        <f>IF(Tabela4[[#This Row],[PROJETO]]="CLARO",LEFT(Tabela4[[#This Row],[SITE2]],2),IF(Tabela4[[#This Row],[PROJETO]]="VIVO",RIGHT(LEFT(Tabela4[[#This Row],[SITE2]],10),2),""))</f>
        <v/>
      </c>
      <c r="H447" s="99"/>
    </row>
    <row r="448" spans="1:8">
      <c r="A448" s="119">
        <f>'BASE FINANCEIRO'!BI578</f>
        <v>0</v>
      </c>
      <c r="B448" s="24" t="str">
        <f t="shared" si="6"/>
        <v/>
      </c>
      <c r="C448" s="24" t="s">
        <v>2453</v>
      </c>
      <c r="D448" s="24" t="e">
        <f>IF(VLOOKUP('BASE FINANCEIRO'!BC578,'COD. PROJETOS'!B:D,3,0)="VIVO",MID('BASE FINANCEIRO'!BI578,36,3),IF(VLOOKUP('BASE FINANCEIRO'!BC578,'COD. PROJETOS'!B:D,3,0),MID('BASE FINANCEIRO'!BI578,36,7),IF(VLOOKUP('BASE FINANCEIRO'!BC578,'COD. PROJETOS'!B:D,3,0),MID('BASE FINANCEIRO'!BI578,36,9),"PROJETO?")))</f>
        <v>#N/A</v>
      </c>
      <c r="E448" s="24" t="e">
        <f>VLOOKUP(D448,'BASE MUNICÍPIO'!B429:C25164,2,0)</f>
        <v>#N/A</v>
      </c>
      <c r="F448" s="98" t="e">
        <f>VLOOKUP(D448,'BASE MUNICÍPIO'!B429:D25164,3,0)</f>
        <v>#N/A</v>
      </c>
      <c r="G448" s="97" t="str">
        <f>IF(Tabela4[[#This Row],[PROJETO]]="CLARO",LEFT(Tabela4[[#This Row],[SITE2]],2),IF(Tabela4[[#This Row],[PROJETO]]="VIVO",RIGHT(LEFT(Tabela4[[#This Row],[SITE2]],10),2),""))</f>
        <v/>
      </c>
      <c r="H448" s="99"/>
    </row>
    <row r="449" spans="1:8">
      <c r="A449" s="119">
        <f>'BASE FINANCEIRO'!BI579</f>
        <v>0</v>
      </c>
      <c r="B449" s="24" t="str">
        <f t="shared" si="6"/>
        <v/>
      </c>
      <c r="C449" s="24" t="s">
        <v>2453</v>
      </c>
      <c r="D449" s="24" t="e">
        <f>IF(VLOOKUP('BASE FINANCEIRO'!BC579,'COD. PROJETOS'!B:D,3,0)="VIVO",MID('BASE FINANCEIRO'!BI579,36,3),IF(VLOOKUP('BASE FINANCEIRO'!BC579,'COD. PROJETOS'!B:D,3,0),MID('BASE FINANCEIRO'!BI579,36,7),IF(VLOOKUP('BASE FINANCEIRO'!BC579,'COD. PROJETOS'!B:D,3,0),MID('BASE FINANCEIRO'!BI579,36,9),"PROJETO?")))</f>
        <v>#N/A</v>
      </c>
      <c r="E449" s="24" t="e">
        <f>VLOOKUP(D449,'BASE MUNICÍPIO'!B430:C25165,2,0)</f>
        <v>#N/A</v>
      </c>
      <c r="F449" s="98" t="e">
        <f>VLOOKUP(D449,'BASE MUNICÍPIO'!B430:D25165,3,0)</f>
        <v>#N/A</v>
      </c>
      <c r="G449" s="97" t="str">
        <f>IF(Tabela4[[#This Row],[PROJETO]]="CLARO",LEFT(Tabela4[[#This Row],[SITE2]],2),IF(Tabela4[[#This Row],[PROJETO]]="VIVO",RIGHT(LEFT(Tabela4[[#This Row],[SITE2]],10),2),""))</f>
        <v/>
      </c>
      <c r="H449" s="99"/>
    </row>
    <row r="450" spans="1:8">
      <c r="A450" s="119">
        <f>'BASE FINANCEIRO'!BI580</f>
        <v>0</v>
      </c>
      <c r="B450" s="24" t="str">
        <f t="shared" si="6"/>
        <v/>
      </c>
      <c r="C450" s="24" t="s">
        <v>2453</v>
      </c>
      <c r="D450" s="24" t="e">
        <f>IF(VLOOKUP('BASE FINANCEIRO'!BC580,'COD. PROJETOS'!B:D,3,0)="VIVO",MID('BASE FINANCEIRO'!BI580,36,3),IF(VLOOKUP('BASE FINANCEIRO'!BC580,'COD. PROJETOS'!B:D,3,0),MID('BASE FINANCEIRO'!BI580,36,7),IF(VLOOKUP('BASE FINANCEIRO'!BC580,'COD. PROJETOS'!B:D,3,0),MID('BASE FINANCEIRO'!BI580,36,9),"PROJETO?")))</f>
        <v>#N/A</v>
      </c>
      <c r="E450" s="24" t="e">
        <f>VLOOKUP(D450,'BASE MUNICÍPIO'!B431:C25166,2,0)</f>
        <v>#N/A</v>
      </c>
      <c r="F450" s="98" t="e">
        <f>VLOOKUP(D450,'BASE MUNICÍPIO'!B431:D25166,3,0)</f>
        <v>#N/A</v>
      </c>
      <c r="G450" s="97" t="str">
        <f>IF(Tabela4[[#This Row],[PROJETO]]="CLARO",LEFT(Tabela4[[#This Row],[SITE2]],2),IF(Tabela4[[#This Row],[PROJETO]]="VIVO",RIGHT(LEFT(Tabela4[[#This Row],[SITE2]],10),2),""))</f>
        <v/>
      </c>
      <c r="H450" s="99"/>
    </row>
    <row r="451" spans="1:8">
      <c r="A451" s="119">
        <f>'BASE FINANCEIRO'!BI581</f>
        <v>0</v>
      </c>
      <c r="B451" s="24" t="str">
        <f t="shared" si="6"/>
        <v/>
      </c>
      <c r="C451" s="24" t="s">
        <v>2453</v>
      </c>
      <c r="D451" s="24" t="e">
        <f>IF(VLOOKUP('BASE FINANCEIRO'!BC581,'COD. PROJETOS'!B:D,3,0)="VIVO",MID('BASE FINANCEIRO'!BI581,36,3),IF(VLOOKUP('BASE FINANCEIRO'!BC581,'COD. PROJETOS'!B:D,3,0),MID('BASE FINANCEIRO'!BI581,36,7),IF(VLOOKUP('BASE FINANCEIRO'!BC581,'COD. PROJETOS'!B:D,3,0),MID('BASE FINANCEIRO'!BI581,36,9),"PROJETO?")))</f>
        <v>#N/A</v>
      </c>
      <c r="E451" s="24" t="e">
        <f>VLOOKUP(D451,'BASE MUNICÍPIO'!B432:C25167,2,0)</f>
        <v>#N/A</v>
      </c>
      <c r="F451" s="98" t="e">
        <f>VLOOKUP(D451,'BASE MUNICÍPIO'!B432:D25167,3,0)</f>
        <v>#N/A</v>
      </c>
      <c r="G451" s="97" t="str">
        <f>IF(Tabela4[[#This Row],[PROJETO]]="CLARO",LEFT(Tabela4[[#This Row],[SITE2]],2),IF(Tabela4[[#This Row],[PROJETO]]="VIVO",RIGHT(LEFT(Tabela4[[#This Row],[SITE2]],10),2),""))</f>
        <v/>
      </c>
      <c r="H451" s="99"/>
    </row>
    <row r="452" spans="1:8">
      <c r="A452" s="119">
        <f>'BASE FINANCEIRO'!BI582</f>
        <v>0</v>
      </c>
      <c r="B452" s="24" t="str">
        <f t="shared" ref="B452:B494" si="7">MID(A452,36,14)</f>
        <v/>
      </c>
      <c r="C452" s="24" t="s">
        <v>2453</v>
      </c>
      <c r="D452" s="24" t="e">
        <f>IF(VLOOKUP('BASE FINANCEIRO'!BC582,'COD. PROJETOS'!B:D,3,0)="VIVO",MID('BASE FINANCEIRO'!BI582,36,3),IF(VLOOKUP('BASE FINANCEIRO'!BC582,'COD. PROJETOS'!B:D,3,0),MID('BASE FINANCEIRO'!BI582,36,7),IF(VLOOKUP('BASE FINANCEIRO'!BC582,'COD. PROJETOS'!B:D,3,0),MID('BASE FINANCEIRO'!BI582,36,9),"PROJETO?")))</f>
        <v>#N/A</v>
      </c>
      <c r="E452" s="24" t="e">
        <f>VLOOKUP(D452,'BASE MUNICÍPIO'!B433:C25168,2,0)</f>
        <v>#N/A</v>
      </c>
      <c r="F452" s="98" t="e">
        <f>VLOOKUP(D452,'BASE MUNICÍPIO'!B433:D25168,3,0)</f>
        <v>#N/A</v>
      </c>
      <c r="G452" s="97" t="str">
        <f>IF(Tabela4[[#This Row],[PROJETO]]="CLARO",LEFT(Tabela4[[#This Row],[SITE2]],2),IF(Tabela4[[#This Row],[PROJETO]]="VIVO",RIGHT(LEFT(Tabela4[[#This Row],[SITE2]],10),2),""))</f>
        <v/>
      </c>
      <c r="H452" s="99"/>
    </row>
    <row r="453" spans="1:8">
      <c r="A453" s="119">
        <f>'BASE FINANCEIRO'!BI583</f>
        <v>0</v>
      </c>
      <c r="B453" s="24" t="str">
        <f t="shared" si="7"/>
        <v/>
      </c>
      <c r="C453" s="24" t="s">
        <v>2453</v>
      </c>
      <c r="D453" s="24" t="e">
        <f>IF(VLOOKUP('BASE FINANCEIRO'!BC583,'COD. PROJETOS'!B:D,3,0)="VIVO",MID('BASE FINANCEIRO'!BI583,36,3),IF(VLOOKUP('BASE FINANCEIRO'!BC583,'COD. PROJETOS'!B:D,3,0),MID('BASE FINANCEIRO'!BI583,36,7),IF(VLOOKUP('BASE FINANCEIRO'!BC583,'COD. PROJETOS'!B:D,3,0),MID('BASE FINANCEIRO'!BI583,36,9),"PROJETO?")))</f>
        <v>#N/A</v>
      </c>
      <c r="E453" s="24" t="e">
        <f>VLOOKUP(D453,'BASE MUNICÍPIO'!B434:C25169,2,0)</f>
        <v>#N/A</v>
      </c>
      <c r="F453" s="98" t="e">
        <f>VLOOKUP(D453,'BASE MUNICÍPIO'!B434:D25169,3,0)</f>
        <v>#N/A</v>
      </c>
      <c r="G453" s="97" t="str">
        <f>IF(Tabela4[[#This Row],[PROJETO]]="CLARO",LEFT(Tabela4[[#This Row],[SITE2]],2),IF(Tabela4[[#This Row],[PROJETO]]="VIVO",RIGHT(LEFT(Tabela4[[#This Row],[SITE2]],10),2),""))</f>
        <v/>
      </c>
      <c r="H453" s="99"/>
    </row>
    <row r="454" spans="1:8">
      <c r="A454" s="119">
        <f>'BASE FINANCEIRO'!BI584</f>
        <v>0</v>
      </c>
      <c r="B454" s="24" t="str">
        <f t="shared" si="7"/>
        <v/>
      </c>
      <c r="C454" s="24" t="s">
        <v>2453</v>
      </c>
      <c r="D454" s="24" t="e">
        <f>IF(VLOOKUP('BASE FINANCEIRO'!BC584,'COD. PROJETOS'!B:D,3,0)="VIVO",MID('BASE FINANCEIRO'!BI584,36,3),IF(VLOOKUP('BASE FINANCEIRO'!BC584,'COD. PROJETOS'!B:D,3,0),MID('BASE FINANCEIRO'!BI584,36,7),IF(VLOOKUP('BASE FINANCEIRO'!BC584,'COD. PROJETOS'!B:D,3,0),MID('BASE FINANCEIRO'!BI584,36,9),"PROJETO?")))</f>
        <v>#N/A</v>
      </c>
      <c r="E454" s="24" t="e">
        <f>VLOOKUP(D454,'BASE MUNICÍPIO'!B435:C25170,2,0)</f>
        <v>#N/A</v>
      </c>
      <c r="F454" s="98" t="e">
        <f>VLOOKUP(D454,'BASE MUNICÍPIO'!B435:D25170,3,0)</f>
        <v>#N/A</v>
      </c>
      <c r="G454" s="97" t="str">
        <f>IF(Tabela4[[#This Row],[PROJETO]]="CLARO",LEFT(Tabela4[[#This Row],[SITE2]],2),IF(Tabela4[[#This Row],[PROJETO]]="VIVO",RIGHT(LEFT(Tabela4[[#This Row],[SITE2]],10),2),""))</f>
        <v/>
      </c>
      <c r="H454" s="99"/>
    </row>
    <row r="455" spans="1:8">
      <c r="A455" s="119">
        <f>'BASE FINANCEIRO'!BI585</f>
        <v>0</v>
      </c>
      <c r="B455" s="24" t="str">
        <f t="shared" si="7"/>
        <v/>
      </c>
      <c r="C455" s="24" t="s">
        <v>2453</v>
      </c>
      <c r="D455" s="24" t="e">
        <f>IF(VLOOKUP('BASE FINANCEIRO'!BC585,'COD. PROJETOS'!B:D,3,0)="VIVO",MID('BASE FINANCEIRO'!BI585,36,3),IF(VLOOKUP('BASE FINANCEIRO'!BC585,'COD. PROJETOS'!B:D,3,0),MID('BASE FINANCEIRO'!BI585,36,7),IF(VLOOKUP('BASE FINANCEIRO'!BC585,'COD. PROJETOS'!B:D,3,0),MID('BASE FINANCEIRO'!BI585,36,9),"PROJETO?")))</f>
        <v>#N/A</v>
      </c>
      <c r="E455" s="24" t="e">
        <f>VLOOKUP(D455,'BASE MUNICÍPIO'!B436:C25171,2,0)</f>
        <v>#N/A</v>
      </c>
      <c r="F455" s="98" t="e">
        <f>VLOOKUP(D455,'BASE MUNICÍPIO'!B436:D25171,3,0)</f>
        <v>#N/A</v>
      </c>
      <c r="G455" s="97" t="str">
        <f>IF(Tabela4[[#This Row],[PROJETO]]="CLARO",LEFT(Tabela4[[#This Row],[SITE2]],2),IF(Tabela4[[#This Row],[PROJETO]]="VIVO",RIGHT(LEFT(Tabela4[[#This Row],[SITE2]],10),2),""))</f>
        <v/>
      </c>
      <c r="H455" s="99"/>
    </row>
    <row r="456" spans="1:8">
      <c r="A456" s="119">
        <f>'BASE FINANCEIRO'!BI586</f>
        <v>0</v>
      </c>
      <c r="B456" s="24" t="str">
        <f t="shared" si="7"/>
        <v/>
      </c>
      <c r="C456" s="24" t="s">
        <v>2453</v>
      </c>
      <c r="D456" s="24" t="e">
        <f>IF(VLOOKUP('BASE FINANCEIRO'!BC586,'COD. PROJETOS'!B:D,3,0)="VIVO",MID('BASE FINANCEIRO'!BI586,36,3),IF(VLOOKUP('BASE FINANCEIRO'!BC586,'COD. PROJETOS'!B:D,3,0),MID('BASE FINANCEIRO'!BI586,36,7),IF(VLOOKUP('BASE FINANCEIRO'!BC586,'COD. PROJETOS'!B:D,3,0),MID('BASE FINANCEIRO'!BI586,36,9),"PROJETO?")))</f>
        <v>#N/A</v>
      </c>
      <c r="E456" s="24" t="e">
        <f>VLOOKUP(D456,'BASE MUNICÍPIO'!B437:C25172,2,0)</f>
        <v>#N/A</v>
      </c>
      <c r="F456" s="98" t="e">
        <f>VLOOKUP(D456,'BASE MUNICÍPIO'!B437:D25172,3,0)</f>
        <v>#N/A</v>
      </c>
      <c r="G456" s="97" t="str">
        <f>IF(Tabela4[[#This Row],[PROJETO]]="CLARO",LEFT(Tabela4[[#This Row],[SITE2]],2),IF(Tabela4[[#This Row],[PROJETO]]="VIVO",RIGHT(LEFT(Tabela4[[#This Row],[SITE2]],10),2),""))</f>
        <v/>
      </c>
      <c r="H456" s="99"/>
    </row>
    <row r="457" spans="1:8">
      <c r="A457" s="119">
        <f>'BASE FINANCEIRO'!BI587</f>
        <v>0</v>
      </c>
      <c r="B457" s="24" t="str">
        <f t="shared" si="7"/>
        <v/>
      </c>
      <c r="C457" s="24" t="s">
        <v>2453</v>
      </c>
      <c r="D457" s="24" t="e">
        <f>IF(VLOOKUP('BASE FINANCEIRO'!BC587,'COD. PROJETOS'!B:D,3,0)="VIVO",MID('BASE FINANCEIRO'!BI587,36,3),IF(VLOOKUP('BASE FINANCEIRO'!BC587,'COD. PROJETOS'!B:D,3,0),MID('BASE FINANCEIRO'!BI587,36,7),IF(VLOOKUP('BASE FINANCEIRO'!BC587,'COD. PROJETOS'!B:D,3,0),MID('BASE FINANCEIRO'!BI587,36,9),"PROJETO?")))</f>
        <v>#N/A</v>
      </c>
      <c r="E457" s="24" t="e">
        <f>VLOOKUP(D457,'BASE MUNICÍPIO'!B438:C25173,2,0)</f>
        <v>#N/A</v>
      </c>
      <c r="F457" s="98" t="e">
        <f>VLOOKUP(D457,'BASE MUNICÍPIO'!B438:D25173,3,0)</f>
        <v>#N/A</v>
      </c>
      <c r="G457" s="97" t="str">
        <f>IF(Tabela4[[#This Row],[PROJETO]]="CLARO",LEFT(Tabela4[[#This Row],[SITE2]],2),IF(Tabela4[[#This Row],[PROJETO]]="VIVO",RIGHT(LEFT(Tabela4[[#This Row],[SITE2]],10),2),""))</f>
        <v/>
      </c>
      <c r="H457" s="99"/>
    </row>
    <row r="458" spans="1:8">
      <c r="A458" s="119">
        <f>'BASE FINANCEIRO'!BI588</f>
        <v>0</v>
      </c>
      <c r="B458" s="24" t="str">
        <f t="shared" si="7"/>
        <v/>
      </c>
      <c r="C458" s="24" t="s">
        <v>2453</v>
      </c>
      <c r="D458" s="24" t="e">
        <f>IF(VLOOKUP('BASE FINANCEIRO'!BC588,'COD. PROJETOS'!B:D,3,0)="VIVO",MID('BASE FINANCEIRO'!BI588,36,3),IF(VLOOKUP('BASE FINANCEIRO'!BC588,'COD. PROJETOS'!B:D,3,0),MID('BASE FINANCEIRO'!BI588,36,7),IF(VLOOKUP('BASE FINANCEIRO'!BC588,'COD. PROJETOS'!B:D,3,0),MID('BASE FINANCEIRO'!BI588,36,9),"PROJETO?")))</f>
        <v>#N/A</v>
      </c>
      <c r="E458" s="24" t="e">
        <f>VLOOKUP(D458,'BASE MUNICÍPIO'!B439:C25174,2,0)</f>
        <v>#N/A</v>
      </c>
      <c r="F458" s="98" t="e">
        <f>VLOOKUP(D458,'BASE MUNICÍPIO'!B439:D25174,3,0)</f>
        <v>#N/A</v>
      </c>
      <c r="G458" s="97" t="str">
        <f>IF(Tabela4[[#This Row],[PROJETO]]="CLARO",LEFT(Tabela4[[#This Row],[SITE2]],2),IF(Tabela4[[#This Row],[PROJETO]]="VIVO",RIGHT(LEFT(Tabela4[[#This Row],[SITE2]],10),2),""))</f>
        <v/>
      </c>
      <c r="H458" s="99"/>
    </row>
    <row r="459" spans="1:8">
      <c r="A459" s="119">
        <f>'BASE FINANCEIRO'!BI589</f>
        <v>0</v>
      </c>
      <c r="B459" s="24" t="str">
        <f t="shared" si="7"/>
        <v/>
      </c>
      <c r="C459" s="24" t="s">
        <v>2453</v>
      </c>
      <c r="D459" s="24" t="e">
        <f>IF(VLOOKUP('BASE FINANCEIRO'!BC589,'COD. PROJETOS'!B:D,3,0)="VIVO",MID('BASE FINANCEIRO'!BI589,36,3),IF(VLOOKUP('BASE FINANCEIRO'!BC589,'COD. PROJETOS'!B:D,3,0),MID('BASE FINANCEIRO'!BI589,36,7),IF(VLOOKUP('BASE FINANCEIRO'!BC589,'COD. PROJETOS'!B:D,3,0),MID('BASE FINANCEIRO'!BI589,36,9),"PROJETO?")))</f>
        <v>#N/A</v>
      </c>
      <c r="E459" s="24" t="e">
        <f>VLOOKUP(D459,'BASE MUNICÍPIO'!B440:C25175,2,0)</f>
        <v>#N/A</v>
      </c>
      <c r="F459" s="98" t="e">
        <f>VLOOKUP(D459,'BASE MUNICÍPIO'!B440:D25175,3,0)</f>
        <v>#N/A</v>
      </c>
      <c r="G459" s="97" t="str">
        <f>IF(Tabela4[[#This Row],[PROJETO]]="CLARO",LEFT(Tabela4[[#This Row],[SITE2]],2),IF(Tabela4[[#This Row],[PROJETO]]="VIVO",RIGHT(LEFT(Tabela4[[#This Row],[SITE2]],10),2),""))</f>
        <v/>
      </c>
      <c r="H459" s="99"/>
    </row>
    <row r="460" spans="1:8">
      <c r="A460" s="119">
        <f>'BASE FINANCEIRO'!BI590</f>
        <v>0</v>
      </c>
      <c r="B460" s="24" t="str">
        <f t="shared" si="7"/>
        <v/>
      </c>
      <c r="C460" s="24" t="s">
        <v>2453</v>
      </c>
      <c r="D460" s="24" t="e">
        <f>IF(VLOOKUP('BASE FINANCEIRO'!BC590,'COD. PROJETOS'!B:D,3,0)="VIVO",MID('BASE FINANCEIRO'!BI590,36,3),IF(VLOOKUP('BASE FINANCEIRO'!BC590,'COD. PROJETOS'!B:D,3,0),MID('BASE FINANCEIRO'!BI590,36,7),IF(VLOOKUP('BASE FINANCEIRO'!BC590,'COD. PROJETOS'!B:D,3,0),MID('BASE FINANCEIRO'!BI590,36,9),"PROJETO?")))</f>
        <v>#N/A</v>
      </c>
      <c r="E460" s="24" t="e">
        <f>VLOOKUP(D460,'BASE MUNICÍPIO'!B441:C25176,2,0)</f>
        <v>#N/A</v>
      </c>
      <c r="F460" s="98" t="e">
        <f>VLOOKUP(D460,'BASE MUNICÍPIO'!B441:D25176,3,0)</f>
        <v>#N/A</v>
      </c>
      <c r="G460" s="97" t="str">
        <f>IF(Tabela4[[#This Row],[PROJETO]]="CLARO",LEFT(Tabela4[[#This Row],[SITE2]],2),IF(Tabela4[[#This Row],[PROJETO]]="VIVO",RIGHT(LEFT(Tabela4[[#This Row],[SITE2]],10),2),""))</f>
        <v/>
      </c>
      <c r="H460" s="99"/>
    </row>
    <row r="461" spans="1:8">
      <c r="A461" s="119">
        <f>'BASE FINANCEIRO'!BI591</f>
        <v>0</v>
      </c>
      <c r="B461" s="24" t="str">
        <f t="shared" si="7"/>
        <v/>
      </c>
      <c r="C461" s="24" t="s">
        <v>2453</v>
      </c>
      <c r="D461" s="24" t="e">
        <f>IF(VLOOKUP('BASE FINANCEIRO'!BC591,'COD. PROJETOS'!B:D,3,0)="VIVO",MID('BASE FINANCEIRO'!BI591,36,3),IF(VLOOKUP('BASE FINANCEIRO'!BC591,'COD. PROJETOS'!B:D,3,0),MID('BASE FINANCEIRO'!BI591,36,7),IF(VLOOKUP('BASE FINANCEIRO'!BC591,'COD. PROJETOS'!B:D,3,0),MID('BASE FINANCEIRO'!BI591,36,9),"PROJETO?")))</f>
        <v>#N/A</v>
      </c>
      <c r="E461" s="24" t="e">
        <f>VLOOKUP(D461,'BASE MUNICÍPIO'!B442:C25177,2,0)</f>
        <v>#N/A</v>
      </c>
      <c r="F461" s="98" t="e">
        <f>VLOOKUP(D461,'BASE MUNICÍPIO'!B442:D25177,3,0)</f>
        <v>#N/A</v>
      </c>
      <c r="G461" s="97" t="str">
        <f>IF(Tabela4[[#This Row],[PROJETO]]="CLARO",LEFT(Tabela4[[#This Row],[SITE2]],2),IF(Tabela4[[#This Row],[PROJETO]]="VIVO",RIGHT(LEFT(Tabela4[[#This Row],[SITE2]],10),2),""))</f>
        <v/>
      </c>
      <c r="H461" s="99"/>
    </row>
    <row r="462" spans="1:8">
      <c r="A462" s="119">
        <f>'BASE FINANCEIRO'!BI592</f>
        <v>0</v>
      </c>
      <c r="B462" s="24" t="str">
        <f t="shared" si="7"/>
        <v/>
      </c>
      <c r="C462" s="24" t="s">
        <v>2453</v>
      </c>
      <c r="D462" s="24" t="e">
        <f>IF(VLOOKUP('BASE FINANCEIRO'!BC592,'COD. PROJETOS'!B:D,3,0)="VIVO",MID('BASE FINANCEIRO'!BI592,36,3),IF(VLOOKUP('BASE FINANCEIRO'!BC592,'COD. PROJETOS'!B:D,3,0),MID('BASE FINANCEIRO'!BI592,36,7),IF(VLOOKUP('BASE FINANCEIRO'!BC592,'COD. PROJETOS'!B:D,3,0),MID('BASE FINANCEIRO'!BI592,36,9),"PROJETO?")))</f>
        <v>#N/A</v>
      </c>
      <c r="E462" s="24" t="e">
        <f>VLOOKUP(D462,'BASE MUNICÍPIO'!B443:C25178,2,0)</f>
        <v>#N/A</v>
      </c>
      <c r="F462" s="98" t="e">
        <f>VLOOKUP(D462,'BASE MUNICÍPIO'!B443:D25178,3,0)</f>
        <v>#N/A</v>
      </c>
      <c r="G462" s="97" t="str">
        <f>IF(Tabela4[[#This Row],[PROJETO]]="CLARO",LEFT(Tabela4[[#This Row],[SITE2]],2),IF(Tabela4[[#This Row],[PROJETO]]="VIVO",RIGHT(LEFT(Tabela4[[#This Row],[SITE2]],10),2),""))</f>
        <v/>
      </c>
      <c r="H462" s="99"/>
    </row>
    <row r="463" spans="1:8">
      <c r="A463" s="119">
        <f>'BASE FINANCEIRO'!BI593</f>
        <v>0</v>
      </c>
      <c r="B463" s="24" t="str">
        <f t="shared" si="7"/>
        <v/>
      </c>
      <c r="C463" s="24" t="s">
        <v>2453</v>
      </c>
      <c r="D463" s="24" t="e">
        <f>IF(VLOOKUP('BASE FINANCEIRO'!BC593,'COD. PROJETOS'!B:D,3,0)="VIVO",MID('BASE FINANCEIRO'!BI593,36,3),IF(VLOOKUP('BASE FINANCEIRO'!BC593,'COD. PROJETOS'!B:D,3,0),MID('BASE FINANCEIRO'!BI593,36,7),IF(VLOOKUP('BASE FINANCEIRO'!BC593,'COD. PROJETOS'!B:D,3,0),MID('BASE FINANCEIRO'!BI593,36,9),"PROJETO?")))</f>
        <v>#N/A</v>
      </c>
      <c r="E463" s="24" t="e">
        <f>VLOOKUP(D463,'BASE MUNICÍPIO'!B444:C25179,2,0)</f>
        <v>#N/A</v>
      </c>
      <c r="F463" s="98" t="e">
        <f>VLOOKUP(D463,'BASE MUNICÍPIO'!B444:D25179,3,0)</f>
        <v>#N/A</v>
      </c>
      <c r="G463" s="97" t="str">
        <f>IF(Tabela4[[#This Row],[PROJETO]]="CLARO",LEFT(Tabela4[[#This Row],[SITE2]],2),IF(Tabela4[[#This Row],[PROJETO]]="VIVO",RIGHT(LEFT(Tabela4[[#This Row],[SITE2]],10),2),""))</f>
        <v/>
      </c>
      <c r="H463" s="99"/>
    </row>
    <row r="464" spans="1:8">
      <c r="A464" s="119">
        <f>'BASE FINANCEIRO'!BI594</f>
        <v>0</v>
      </c>
      <c r="B464" s="24" t="str">
        <f t="shared" si="7"/>
        <v/>
      </c>
      <c r="C464" s="24" t="s">
        <v>2453</v>
      </c>
      <c r="D464" s="24" t="e">
        <f>IF(VLOOKUP('BASE FINANCEIRO'!BC594,'COD. PROJETOS'!B:D,3,0)="VIVO",MID('BASE FINANCEIRO'!BI594,36,3),IF(VLOOKUP('BASE FINANCEIRO'!BC594,'COD. PROJETOS'!B:D,3,0),MID('BASE FINANCEIRO'!BI594,36,7),IF(VLOOKUP('BASE FINANCEIRO'!BC594,'COD. PROJETOS'!B:D,3,0),MID('BASE FINANCEIRO'!BI594,36,9),"PROJETO?")))</f>
        <v>#N/A</v>
      </c>
      <c r="E464" s="24" t="e">
        <f>VLOOKUP(D464,'BASE MUNICÍPIO'!B445:C25180,2,0)</f>
        <v>#N/A</v>
      </c>
      <c r="F464" s="98" t="e">
        <f>VLOOKUP(D464,'BASE MUNICÍPIO'!B445:D25180,3,0)</f>
        <v>#N/A</v>
      </c>
      <c r="G464" s="97" t="str">
        <f>IF(Tabela4[[#This Row],[PROJETO]]="CLARO",LEFT(Tabela4[[#This Row],[SITE2]],2),IF(Tabela4[[#This Row],[PROJETO]]="VIVO",RIGHT(LEFT(Tabela4[[#This Row],[SITE2]],10),2),""))</f>
        <v/>
      </c>
      <c r="H464" s="99"/>
    </row>
    <row r="465" spans="1:8">
      <c r="A465" s="119">
        <f>'BASE FINANCEIRO'!BI595</f>
        <v>0</v>
      </c>
      <c r="B465" s="24" t="str">
        <f t="shared" si="7"/>
        <v/>
      </c>
      <c r="C465" s="24" t="s">
        <v>2453</v>
      </c>
      <c r="D465" s="24" t="e">
        <f>IF(VLOOKUP('BASE FINANCEIRO'!BC595,'COD. PROJETOS'!B:D,3,0)="VIVO",MID('BASE FINANCEIRO'!BI595,36,3),IF(VLOOKUP('BASE FINANCEIRO'!BC595,'COD. PROJETOS'!B:D,3,0),MID('BASE FINANCEIRO'!BI595,36,7),IF(VLOOKUP('BASE FINANCEIRO'!BC595,'COD. PROJETOS'!B:D,3,0),MID('BASE FINANCEIRO'!BI595,36,9),"PROJETO?")))</f>
        <v>#N/A</v>
      </c>
      <c r="E465" s="24" t="e">
        <f>VLOOKUP(D465,'BASE MUNICÍPIO'!B446:C25181,2,0)</f>
        <v>#N/A</v>
      </c>
      <c r="F465" s="98" t="e">
        <f>VLOOKUP(D465,'BASE MUNICÍPIO'!B446:D25181,3,0)</f>
        <v>#N/A</v>
      </c>
      <c r="G465" s="97" t="str">
        <f>IF(Tabela4[[#This Row],[PROJETO]]="CLARO",LEFT(Tabela4[[#This Row],[SITE2]],2),IF(Tabela4[[#This Row],[PROJETO]]="VIVO",RIGHT(LEFT(Tabela4[[#This Row],[SITE2]],10),2),""))</f>
        <v/>
      </c>
      <c r="H465" s="99"/>
    </row>
    <row r="466" spans="1:8">
      <c r="A466" s="119">
        <f>'BASE FINANCEIRO'!BI596</f>
        <v>0</v>
      </c>
      <c r="B466" s="24" t="str">
        <f t="shared" si="7"/>
        <v/>
      </c>
      <c r="C466" s="24" t="s">
        <v>2453</v>
      </c>
      <c r="D466" s="24" t="e">
        <f>IF(VLOOKUP('BASE FINANCEIRO'!BC596,'COD. PROJETOS'!B:D,3,0)="VIVO",MID('BASE FINANCEIRO'!BI596,36,3),IF(VLOOKUP('BASE FINANCEIRO'!BC596,'COD. PROJETOS'!B:D,3,0),MID('BASE FINANCEIRO'!BI596,36,7),IF(VLOOKUP('BASE FINANCEIRO'!BC596,'COD. PROJETOS'!B:D,3,0),MID('BASE FINANCEIRO'!BI596,36,9),"PROJETO?")))</f>
        <v>#N/A</v>
      </c>
      <c r="E466" s="24" t="e">
        <f>VLOOKUP(D466,'BASE MUNICÍPIO'!B447:C25182,2,0)</f>
        <v>#N/A</v>
      </c>
      <c r="F466" s="98" t="e">
        <f>VLOOKUP(D466,'BASE MUNICÍPIO'!B447:D25182,3,0)</f>
        <v>#N/A</v>
      </c>
      <c r="G466" s="97" t="str">
        <f>IF(Tabela4[[#This Row],[PROJETO]]="CLARO",LEFT(Tabela4[[#This Row],[SITE2]],2),IF(Tabela4[[#This Row],[PROJETO]]="VIVO",RIGHT(LEFT(Tabela4[[#This Row],[SITE2]],10),2),""))</f>
        <v/>
      </c>
      <c r="H466" s="99"/>
    </row>
    <row r="467" spans="1:8">
      <c r="A467" s="119">
        <f>'BASE FINANCEIRO'!BI597</f>
        <v>0</v>
      </c>
      <c r="B467" s="24" t="str">
        <f t="shared" si="7"/>
        <v/>
      </c>
      <c r="C467" s="24" t="s">
        <v>2453</v>
      </c>
      <c r="D467" s="24" t="e">
        <f>IF(VLOOKUP('BASE FINANCEIRO'!BC597,'COD. PROJETOS'!B:D,3,0)="VIVO",MID('BASE FINANCEIRO'!BI597,36,3),IF(VLOOKUP('BASE FINANCEIRO'!BC597,'COD. PROJETOS'!B:D,3,0),MID('BASE FINANCEIRO'!BI597,36,7),IF(VLOOKUP('BASE FINANCEIRO'!BC597,'COD. PROJETOS'!B:D,3,0),MID('BASE FINANCEIRO'!BI597,36,9),"PROJETO?")))</f>
        <v>#N/A</v>
      </c>
      <c r="E467" s="24" t="e">
        <f>VLOOKUP(D467,'BASE MUNICÍPIO'!B448:C25183,2,0)</f>
        <v>#N/A</v>
      </c>
      <c r="F467" s="98" t="e">
        <f>VLOOKUP(D467,'BASE MUNICÍPIO'!B448:D25183,3,0)</f>
        <v>#N/A</v>
      </c>
      <c r="G467" s="97" t="str">
        <f>IF(Tabela4[[#This Row],[PROJETO]]="CLARO",LEFT(Tabela4[[#This Row],[SITE2]],2),IF(Tabela4[[#This Row],[PROJETO]]="VIVO",RIGHT(LEFT(Tabela4[[#This Row],[SITE2]],10),2),""))</f>
        <v/>
      </c>
      <c r="H467" s="99"/>
    </row>
    <row r="468" spans="1:8">
      <c r="A468" s="119">
        <f>'BASE FINANCEIRO'!BI598</f>
        <v>0</v>
      </c>
      <c r="B468" s="24" t="str">
        <f t="shared" si="7"/>
        <v/>
      </c>
      <c r="C468" s="24" t="s">
        <v>2453</v>
      </c>
      <c r="D468" s="24" t="e">
        <f>IF(VLOOKUP('BASE FINANCEIRO'!BC598,'COD. PROJETOS'!B:D,3,0)="VIVO",MID('BASE FINANCEIRO'!BI598,36,3),IF(VLOOKUP('BASE FINANCEIRO'!BC598,'COD. PROJETOS'!B:D,3,0),MID('BASE FINANCEIRO'!BI598,36,7),IF(VLOOKUP('BASE FINANCEIRO'!BC598,'COD. PROJETOS'!B:D,3,0),MID('BASE FINANCEIRO'!BI598,36,9),"PROJETO?")))</f>
        <v>#N/A</v>
      </c>
      <c r="E468" s="24" t="e">
        <f>VLOOKUP(D468,'BASE MUNICÍPIO'!B449:C25184,2,0)</f>
        <v>#N/A</v>
      </c>
      <c r="F468" s="98" t="e">
        <f>VLOOKUP(D468,'BASE MUNICÍPIO'!B449:D25184,3,0)</f>
        <v>#N/A</v>
      </c>
      <c r="G468" s="97" t="str">
        <f>IF(Tabela4[[#This Row],[PROJETO]]="CLARO",LEFT(Tabela4[[#This Row],[SITE2]],2),IF(Tabela4[[#This Row],[PROJETO]]="VIVO",RIGHT(LEFT(Tabela4[[#This Row],[SITE2]],10),2),""))</f>
        <v/>
      </c>
      <c r="H468" s="99"/>
    </row>
    <row r="469" spans="1:8">
      <c r="A469" s="119">
        <f>'BASE FINANCEIRO'!BI599</f>
        <v>0</v>
      </c>
      <c r="B469" s="24" t="str">
        <f t="shared" si="7"/>
        <v/>
      </c>
      <c r="C469" s="24" t="s">
        <v>2453</v>
      </c>
      <c r="D469" s="24" t="e">
        <f>IF(VLOOKUP('BASE FINANCEIRO'!BC599,'COD. PROJETOS'!B:D,3,0)="VIVO",MID('BASE FINANCEIRO'!BI599,36,3),IF(VLOOKUP('BASE FINANCEIRO'!BC599,'COD. PROJETOS'!B:D,3,0),MID('BASE FINANCEIRO'!BI599,36,7),IF(VLOOKUP('BASE FINANCEIRO'!BC599,'COD. PROJETOS'!B:D,3,0),MID('BASE FINANCEIRO'!BI599,36,9),"PROJETO?")))</f>
        <v>#N/A</v>
      </c>
      <c r="E469" s="24" t="e">
        <f>VLOOKUP(D469,'BASE MUNICÍPIO'!B450:C25185,2,0)</f>
        <v>#N/A</v>
      </c>
      <c r="F469" s="98" t="e">
        <f>VLOOKUP(D469,'BASE MUNICÍPIO'!B450:D25185,3,0)</f>
        <v>#N/A</v>
      </c>
      <c r="G469" s="97" t="str">
        <f>IF(Tabela4[[#This Row],[PROJETO]]="CLARO",LEFT(Tabela4[[#This Row],[SITE2]],2),IF(Tabela4[[#This Row],[PROJETO]]="VIVO",RIGHT(LEFT(Tabela4[[#This Row],[SITE2]],10),2),""))</f>
        <v/>
      </c>
      <c r="H469" s="99"/>
    </row>
    <row r="470" spans="1:8">
      <c r="A470" s="119">
        <f>'BASE FINANCEIRO'!BI600</f>
        <v>0</v>
      </c>
      <c r="B470" s="24" t="str">
        <f t="shared" si="7"/>
        <v/>
      </c>
      <c r="C470" s="24" t="s">
        <v>2453</v>
      </c>
      <c r="D470" s="24" t="e">
        <f>IF(VLOOKUP('BASE FINANCEIRO'!BC600,'COD. PROJETOS'!B:D,3,0)="VIVO",MID('BASE FINANCEIRO'!BI600,36,3),IF(VLOOKUP('BASE FINANCEIRO'!BC600,'COD. PROJETOS'!B:D,3,0),MID('BASE FINANCEIRO'!BI600,36,7),IF(VLOOKUP('BASE FINANCEIRO'!BC600,'COD. PROJETOS'!B:D,3,0),MID('BASE FINANCEIRO'!BI600,36,9),"PROJETO?")))</f>
        <v>#N/A</v>
      </c>
      <c r="E470" s="24" t="e">
        <f>VLOOKUP(D470,'BASE MUNICÍPIO'!B451:C25186,2,0)</f>
        <v>#N/A</v>
      </c>
      <c r="F470" s="98" t="e">
        <f>VLOOKUP(D470,'BASE MUNICÍPIO'!B451:D25186,3,0)</f>
        <v>#N/A</v>
      </c>
      <c r="G470" s="97" t="str">
        <f>IF(Tabela4[[#This Row],[PROJETO]]="CLARO",LEFT(Tabela4[[#This Row],[SITE2]],2),IF(Tabela4[[#This Row],[PROJETO]]="VIVO",RIGHT(LEFT(Tabela4[[#This Row],[SITE2]],10),2),""))</f>
        <v/>
      </c>
      <c r="H470" s="99"/>
    </row>
    <row r="471" spans="1:8">
      <c r="A471" s="119">
        <f>'BASE FINANCEIRO'!BI601</f>
        <v>0</v>
      </c>
      <c r="B471" s="24" t="str">
        <f t="shared" si="7"/>
        <v/>
      </c>
      <c r="C471" s="24" t="s">
        <v>2453</v>
      </c>
      <c r="D471" s="24" t="e">
        <f>IF(VLOOKUP('BASE FINANCEIRO'!BC601,'COD. PROJETOS'!B:D,3,0)="VIVO",MID('BASE FINANCEIRO'!BI601,36,3),IF(VLOOKUP('BASE FINANCEIRO'!BC601,'COD. PROJETOS'!B:D,3,0),MID('BASE FINANCEIRO'!BI601,36,7),IF(VLOOKUP('BASE FINANCEIRO'!BC601,'COD. PROJETOS'!B:D,3,0),MID('BASE FINANCEIRO'!BI601,36,9),"PROJETO?")))</f>
        <v>#N/A</v>
      </c>
      <c r="E471" s="24" t="e">
        <f>VLOOKUP(D471,'BASE MUNICÍPIO'!B452:C25187,2,0)</f>
        <v>#N/A</v>
      </c>
      <c r="F471" s="98" t="e">
        <f>VLOOKUP(D471,'BASE MUNICÍPIO'!B452:D25187,3,0)</f>
        <v>#N/A</v>
      </c>
      <c r="G471" s="97" t="str">
        <f>IF(Tabela4[[#This Row],[PROJETO]]="CLARO",LEFT(Tabela4[[#This Row],[SITE2]],2),IF(Tabela4[[#This Row],[PROJETO]]="VIVO",RIGHT(LEFT(Tabela4[[#This Row],[SITE2]],10),2),""))</f>
        <v/>
      </c>
      <c r="H471" s="99"/>
    </row>
    <row r="472" spans="1:8">
      <c r="A472" s="119">
        <f>'BASE FINANCEIRO'!BI602</f>
        <v>0</v>
      </c>
      <c r="B472" s="24" t="str">
        <f t="shared" si="7"/>
        <v/>
      </c>
      <c r="C472" s="24" t="s">
        <v>2453</v>
      </c>
      <c r="D472" s="24" t="e">
        <f>IF(VLOOKUP('BASE FINANCEIRO'!BC602,'COD. PROJETOS'!B:D,3,0)="VIVO",MID('BASE FINANCEIRO'!BI602,36,3),IF(VLOOKUP('BASE FINANCEIRO'!BC602,'COD. PROJETOS'!B:D,3,0),MID('BASE FINANCEIRO'!BI602,36,7),IF(VLOOKUP('BASE FINANCEIRO'!BC602,'COD. PROJETOS'!B:D,3,0),MID('BASE FINANCEIRO'!BI602,36,9),"PROJETO?")))</f>
        <v>#N/A</v>
      </c>
      <c r="E472" s="24" t="e">
        <f>VLOOKUP(D472,'BASE MUNICÍPIO'!B453:C25188,2,0)</f>
        <v>#N/A</v>
      </c>
      <c r="F472" s="98" t="e">
        <f>VLOOKUP(D472,'BASE MUNICÍPIO'!B453:D25188,3,0)</f>
        <v>#N/A</v>
      </c>
      <c r="G472" s="97" t="str">
        <f>IF(Tabela4[[#This Row],[PROJETO]]="CLARO",LEFT(Tabela4[[#This Row],[SITE2]],2),IF(Tabela4[[#This Row],[PROJETO]]="VIVO",RIGHT(LEFT(Tabela4[[#This Row],[SITE2]],10),2),""))</f>
        <v/>
      </c>
      <c r="H472" s="99"/>
    </row>
    <row r="473" spans="1:8">
      <c r="A473" s="119">
        <f>'BASE FINANCEIRO'!BI603</f>
        <v>0</v>
      </c>
      <c r="B473" s="24" t="str">
        <f t="shared" si="7"/>
        <v/>
      </c>
      <c r="C473" s="24" t="s">
        <v>2453</v>
      </c>
      <c r="D473" s="24" t="e">
        <f>IF(VLOOKUP('BASE FINANCEIRO'!BC603,'COD. PROJETOS'!B:D,3,0)="VIVO",MID('BASE FINANCEIRO'!BI603,36,3),IF(VLOOKUP('BASE FINANCEIRO'!BC603,'COD. PROJETOS'!B:D,3,0),MID('BASE FINANCEIRO'!BI603,36,7),IF(VLOOKUP('BASE FINANCEIRO'!BC603,'COD. PROJETOS'!B:D,3,0),MID('BASE FINANCEIRO'!BI603,36,9),"PROJETO?")))</f>
        <v>#N/A</v>
      </c>
      <c r="E473" s="24" t="e">
        <f>VLOOKUP(D473,'BASE MUNICÍPIO'!B454:C25189,2,0)</f>
        <v>#N/A</v>
      </c>
      <c r="F473" s="98" t="e">
        <f>VLOOKUP(D473,'BASE MUNICÍPIO'!B454:D25189,3,0)</f>
        <v>#N/A</v>
      </c>
      <c r="G473" s="97" t="str">
        <f>IF(Tabela4[[#This Row],[PROJETO]]="CLARO",LEFT(Tabela4[[#This Row],[SITE2]],2),IF(Tabela4[[#This Row],[PROJETO]]="VIVO",RIGHT(LEFT(Tabela4[[#This Row],[SITE2]],10),2),""))</f>
        <v/>
      </c>
      <c r="H473" s="99"/>
    </row>
    <row r="474" spans="1:8">
      <c r="A474" s="119">
        <f>'BASE FINANCEIRO'!BI604</f>
        <v>0</v>
      </c>
      <c r="B474" s="24" t="str">
        <f t="shared" si="7"/>
        <v/>
      </c>
      <c r="C474" s="24" t="s">
        <v>2453</v>
      </c>
      <c r="D474" s="24" t="e">
        <f>IF(VLOOKUP('BASE FINANCEIRO'!BC604,'COD. PROJETOS'!B:D,3,0)="VIVO",MID('BASE FINANCEIRO'!BI604,36,3),IF(VLOOKUP('BASE FINANCEIRO'!BC604,'COD. PROJETOS'!B:D,3,0),MID('BASE FINANCEIRO'!BI604,36,7),IF(VLOOKUP('BASE FINANCEIRO'!BC604,'COD. PROJETOS'!B:D,3,0),MID('BASE FINANCEIRO'!BI604,36,9),"PROJETO?")))</f>
        <v>#N/A</v>
      </c>
      <c r="E474" s="24" t="e">
        <f>VLOOKUP(D474,'BASE MUNICÍPIO'!B455:C25190,2,0)</f>
        <v>#N/A</v>
      </c>
      <c r="F474" s="98" t="e">
        <f>VLOOKUP(D474,'BASE MUNICÍPIO'!B455:D25190,3,0)</f>
        <v>#N/A</v>
      </c>
      <c r="G474" s="97" t="str">
        <f>IF(Tabela4[[#This Row],[PROJETO]]="CLARO",LEFT(Tabela4[[#This Row],[SITE2]],2),IF(Tabela4[[#This Row],[PROJETO]]="VIVO",RIGHT(LEFT(Tabela4[[#This Row],[SITE2]],10),2),""))</f>
        <v/>
      </c>
      <c r="H474" s="99"/>
    </row>
    <row r="475" spans="1:8">
      <c r="A475" s="119">
        <f>'BASE FINANCEIRO'!BI605</f>
        <v>0</v>
      </c>
      <c r="B475" s="24" t="str">
        <f t="shared" si="7"/>
        <v/>
      </c>
      <c r="C475" s="24" t="s">
        <v>2453</v>
      </c>
      <c r="D475" s="24" t="e">
        <f>IF(VLOOKUP('BASE FINANCEIRO'!BC605,'COD. PROJETOS'!B:D,3,0)="VIVO",MID('BASE FINANCEIRO'!BI605,36,3),IF(VLOOKUP('BASE FINANCEIRO'!BC605,'COD. PROJETOS'!B:D,3,0),MID('BASE FINANCEIRO'!BI605,36,7),IF(VLOOKUP('BASE FINANCEIRO'!BC605,'COD. PROJETOS'!B:D,3,0),MID('BASE FINANCEIRO'!BI605,36,9),"PROJETO?")))</f>
        <v>#N/A</v>
      </c>
      <c r="E475" s="24" t="e">
        <f>VLOOKUP(D475,'BASE MUNICÍPIO'!B456:C25191,2,0)</f>
        <v>#N/A</v>
      </c>
      <c r="F475" s="98" t="e">
        <f>VLOOKUP(D475,'BASE MUNICÍPIO'!B456:D25191,3,0)</f>
        <v>#N/A</v>
      </c>
      <c r="G475" s="97" t="str">
        <f>IF(Tabela4[[#This Row],[PROJETO]]="CLARO",LEFT(Tabela4[[#This Row],[SITE2]],2),IF(Tabela4[[#This Row],[PROJETO]]="VIVO",RIGHT(LEFT(Tabela4[[#This Row],[SITE2]],10),2),""))</f>
        <v/>
      </c>
      <c r="H475" s="99"/>
    </row>
    <row r="476" spans="1:8">
      <c r="A476" s="119">
        <f>'BASE FINANCEIRO'!BI606</f>
        <v>0</v>
      </c>
      <c r="B476" s="24" t="str">
        <f t="shared" si="7"/>
        <v/>
      </c>
      <c r="C476" s="24" t="s">
        <v>2453</v>
      </c>
      <c r="D476" s="24" t="e">
        <f>IF(VLOOKUP('BASE FINANCEIRO'!BC606,'COD. PROJETOS'!B:D,3,0)="VIVO",MID('BASE FINANCEIRO'!BI606,36,3),IF(VLOOKUP('BASE FINANCEIRO'!BC606,'COD. PROJETOS'!B:D,3,0),MID('BASE FINANCEIRO'!BI606,36,7),IF(VLOOKUP('BASE FINANCEIRO'!BC606,'COD. PROJETOS'!B:D,3,0),MID('BASE FINANCEIRO'!BI606,36,9),"PROJETO?")))</f>
        <v>#N/A</v>
      </c>
      <c r="E476" s="24" t="e">
        <f>VLOOKUP(D476,'BASE MUNICÍPIO'!B457:C25192,2,0)</f>
        <v>#N/A</v>
      </c>
      <c r="F476" s="98" t="e">
        <f>VLOOKUP(D476,'BASE MUNICÍPIO'!B457:D25192,3,0)</f>
        <v>#N/A</v>
      </c>
      <c r="G476" s="97" t="str">
        <f>IF(Tabela4[[#This Row],[PROJETO]]="CLARO",LEFT(Tabela4[[#This Row],[SITE2]],2),IF(Tabela4[[#This Row],[PROJETO]]="VIVO",RIGHT(LEFT(Tabela4[[#This Row],[SITE2]],10),2),""))</f>
        <v/>
      </c>
      <c r="H476" s="99"/>
    </row>
    <row r="477" spans="1:8">
      <c r="A477" s="119">
        <f>'BASE FINANCEIRO'!BI607</f>
        <v>0</v>
      </c>
      <c r="B477" s="24" t="str">
        <f t="shared" si="7"/>
        <v/>
      </c>
      <c r="C477" s="24" t="s">
        <v>2453</v>
      </c>
      <c r="D477" s="24" t="e">
        <f>IF(VLOOKUP('BASE FINANCEIRO'!BC607,'COD. PROJETOS'!B:D,3,0)="VIVO",MID('BASE FINANCEIRO'!BI607,36,3),IF(VLOOKUP('BASE FINANCEIRO'!BC607,'COD. PROJETOS'!B:D,3,0),MID('BASE FINANCEIRO'!BI607,36,7),IF(VLOOKUP('BASE FINANCEIRO'!BC607,'COD. PROJETOS'!B:D,3,0),MID('BASE FINANCEIRO'!BI607,36,9),"PROJETO?")))</f>
        <v>#N/A</v>
      </c>
      <c r="E477" s="24" t="e">
        <f>VLOOKUP(D477,'BASE MUNICÍPIO'!B458:C25193,2,0)</f>
        <v>#N/A</v>
      </c>
      <c r="F477" s="98" t="e">
        <f>VLOOKUP(D477,'BASE MUNICÍPIO'!B458:D25193,3,0)</f>
        <v>#N/A</v>
      </c>
      <c r="G477" s="97" t="str">
        <f>IF(Tabela4[[#This Row],[PROJETO]]="CLARO",LEFT(Tabela4[[#This Row],[SITE2]],2),IF(Tabela4[[#This Row],[PROJETO]]="VIVO",RIGHT(LEFT(Tabela4[[#This Row],[SITE2]],10),2),""))</f>
        <v/>
      </c>
      <c r="H477" s="99"/>
    </row>
    <row r="478" spans="1:8">
      <c r="A478" s="119">
        <f>'BASE FINANCEIRO'!BI608</f>
        <v>0</v>
      </c>
      <c r="B478" s="24" t="str">
        <f t="shared" si="7"/>
        <v/>
      </c>
      <c r="C478" s="24" t="s">
        <v>2453</v>
      </c>
      <c r="D478" s="24" t="e">
        <f>IF(VLOOKUP('BASE FINANCEIRO'!BC608,'COD. PROJETOS'!B:D,3,0)="VIVO",MID('BASE FINANCEIRO'!BI608,36,3),IF(VLOOKUP('BASE FINANCEIRO'!BC608,'COD. PROJETOS'!B:D,3,0),MID('BASE FINANCEIRO'!BI608,36,7),IF(VLOOKUP('BASE FINANCEIRO'!BC608,'COD. PROJETOS'!B:D,3,0),MID('BASE FINANCEIRO'!BI608,36,9),"PROJETO?")))</f>
        <v>#N/A</v>
      </c>
      <c r="E478" s="24" t="e">
        <f>VLOOKUP(D478,'BASE MUNICÍPIO'!B459:C25194,2,0)</f>
        <v>#N/A</v>
      </c>
      <c r="F478" s="98" t="e">
        <f>VLOOKUP(D478,'BASE MUNICÍPIO'!B459:D25194,3,0)</f>
        <v>#N/A</v>
      </c>
      <c r="G478" s="97" t="str">
        <f>IF(Tabela4[[#This Row],[PROJETO]]="CLARO",LEFT(Tabela4[[#This Row],[SITE2]],2),IF(Tabela4[[#This Row],[PROJETO]]="VIVO",RIGHT(LEFT(Tabela4[[#This Row],[SITE2]],10),2),""))</f>
        <v/>
      </c>
      <c r="H478" s="99"/>
    </row>
    <row r="479" spans="1:8">
      <c r="A479" s="119">
        <f>'BASE FINANCEIRO'!BI609</f>
        <v>0</v>
      </c>
      <c r="B479" s="24" t="str">
        <f t="shared" si="7"/>
        <v/>
      </c>
      <c r="C479" s="24" t="s">
        <v>2453</v>
      </c>
      <c r="D479" s="24" t="e">
        <f>IF(VLOOKUP('BASE FINANCEIRO'!BC609,'COD. PROJETOS'!B:D,3,0)="VIVO",MID('BASE FINANCEIRO'!BI609,36,3),IF(VLOOKUP('BASE FINANCEIRO'!BC609,'COD. PROJETOS'!B:D,3,0),MID('BASE FINANCEIRO'!BI609,36,7),IF(VLOOKUP('BASE FINANCEIRO'!BC609,'COD. PROJETOS'!B:D,3,0),MID('BASE FINANCEIRO'!BI609,36,9),"PROJETO?")))</f>
        <v>#N/A</v>
      </c>
      <c r="E479" s="24" t="e">
        <f>VLOOKUP(D479,'BASE MUNICÍPIO'!B460:C25195,2,0)</f>
        <v>#N/A</v>
      </c>
      <c r="F479" s="98" t="e">
        <f>VLOOKUP(D479,'BASE MUNICÍPIO'!B460:D25195,3,0)</f>
        <v>#N/A</v>
      </c>
      <c r="G479" s="97" t="str">
        <f>IF(Tabela4[[#This Row],[PROJETO]]="CLARO",LEFT(Tabela4[[#This Row],[SITE2]],2),IF(Tabela4[[#This Row],[PROJETO]]="VIVO",RIGHT(LEFT(Tabela4[[#This Row],[SITE2]],10),2),""))</f>
        <v/>
      </c>
      <c r="H479" s="99"/>
    </row>
    <row r="480" spans="1:8">
      <c r="A480" s="119">
        <f>'BASE FINANCEIRO'!BI610</f>
        <v>0</v>
      </c>
      <c r="B480" s="24" t="str">
        <f t="shared" si="7"/>
        <v/>
      </c>
      <c r="C480" s="24" t="s">
        <v>2453</v>
      </c>
      <c r="D480" s="24" t="e">
        <f>IF(VLOOKUP('BASE FINANCEIRO'!BC610,'COD. PROJETOS'!B:D,3,0)="VIVO",MID('BASE FINANCEIRO'!BI610,36,3),IF(VLOOKUP('BASE FINANCEIRO'!BC610,'COD. PROJETOS'!B:D,3,0),MID('BASE FINANCEIRO'!BI610,36,7),IF(VLOOKUP('BASE FINANCEIRO'!BC610,'COD. PROJETOS'!B:D,3,0),MID('BASE FINANCEIRO'!BI610,36,9),"PROJETO?")))</f>
        <v>#N/A</v>
      </c>
      <c r="E480" s="24" t="e">
        <f>VLOOKUP(D480,'BASE MUNICÍPIO'!B461:C25196,2,0)</f>
        <v>#N/A</v>
      </c>
      <c r="F480" s="98" t="e">
        <f>VLOOKUP(D480,'BASE MUNICÍPIO'!B461:D25196,3,0)</f>
        <v>#N/A</v>
      </c>
      <c r="G480" s="97" t="str">
        <f>IF(Tabela4[[#This Row],[PROJETO]]="CLARO",LEFT(Tabela4[[#This Row],[SITE2]],2),IF(Tabela4[[#This Row],[PROJETO]]="VIVO",RIGHT(LEFT(Tabela4[[#This Row],[SITE2]],10),2),""))</f>
        <v/>
      </c>
      <c r="H480" s="99"/>
    </row>
    <row r="481" spans="1:8">
      <c r="A481" s="119">
        <f>'BASE FINANCEIRO'!BI611</f>
        <v>0</v>
      </c>
      <c r="B481" s="24" t="str">
        <f t="shared" si="7"/>
        <v/>
      </c>
      <c r="C481" s="24" t="s">
        <v>2453</v>
      </c>
      <c r="D481" s="24" t="e">
        <f>IF(VLOOKUP('BASE FINANCEIRO'!BC611,'COD. PROJETOS'!B:D,3,0)="VIVO",MID('BASE FINANCEIRO'!BI611,36,3),IF(VLOOKUP('BASE FINANCEIRO'!BC611,'COD. PROJETOS'!B:D,3,0),MID('BASE FINANCEIRO'!BI611,36,7),IF(VLOOKUP('BASE FINANCEIRO'!BC611,'COD. PROJETOS'!B:D,3,0),MID('BASE FINANCEIRO'!BI611,36,9),"PROJETO?")))</f>
        <v>#N/A</v>
      </c>
      <c r="E481" s="24" t="e">
        <f>VLOOKUP(D481,'BASE MUNICÍPIO'!B462:C25197,2,0)</f>
        <v>#N/A</v>
      </c>
      <c r="F481" s="98" t="e">
        <f>VLOOKUP(D481,'BASE MUNICÍPIO'!B462:D25197,3,0)</f>
        <v>#N/A</v>
      </c>
      <c r="G481" s="97" t="str">
        <f>IF(Tabela4[[#This Row],[PROJETO]]="CLARO",LEFT(Tabela4[[#This Row],[SITE2]],2),IF(Tabela4[[#This Row],[PROJETO]]="VIVO",RIGHT(LEFT(Tabela4[[#This Row],[SITE2]],10),2),""))</f>
        <v/>
      </c>
      <c r="H481" s="99"/>
    </row>
    <row r="482" spans="1:8">
      <c r="A482" s="119">
        <f>'BASE FINANCEIRO'!BI612</f>
        <v>0</v>
      </c>
      <c r="B482" s="24" t="str">
        <f t="shared" si="7"/>
        <v/>
      </c>
      <c r="C482" s="24" t="s">
        <v>2453</v>
      </c>
      <c r="D482" s="24" t="e">
        <f>IF(VLOOKUP('BASE FINANCEIRO'!BC612,'COD. PROJETOS'!B:D,3,0)="VIVO",MID('BASE FINANCEIRO'!BI612,36,3),IF(VLOOKUP('BASE FINANCEIRO'!BC612,'COD. PROJETOS'!B:D,3,0),MID('BASE FINANCEIRO'!BI612,36,7),IF(VLOOKUP('BASE FINANCEIRO'!BC612,'COD. PROJETOS'!B:D,3,0),MID('BASE FINANCEIRO'!BI612,36,9),"PROJETO?")))</f>
        <v>#N/A</v>
      </c>
      <c r="E482" s="24" t="e">
        <f>VLOOKUP(D482,'BASE MUNICÍPIO'!B463:C25198,2,0)</f>
        <v>#N/A</v>
      </c>
      <c r="F482" s="98" t="e">
        <f>VLOOKUP(D482,'BASE MUNICÍPIO'!B463:D25198,3,0)</f>
        <v>#N/A</v>
      </c>
      <c r="G482" s="97" t="str">
        <f>IF(Tabela4[[#This Row],[PROJETO]]="CLARO",LEFT(Tabela4[[#This Row],[SITE2]],2),IF(Tabela4[[#This Row],[PROJETO]]="VIVO",RIGHT(LEFT(Tabela4[[#This Row],[SITE2]],10),2),""))</f>
        <v/>
      </c>
      <c r="H482" s="99"/>
    </row>
    <row r="483" spans="1:8">
      <c r="A483" s="119">
        <f>'BASE FINANCEIRO'!BI613</f>
        <v>0</v>
      </c>
      <c r="B483" s="24" t="str">
        <f t="shared" si="7"/>
        <v/>
      </c>
      <c r="C483" s="24" t="s">
        <v>2453</v>
      </c>
      <c r="D483" s="24" t="e">
        <f>IF(VLOOKUP('BASE FINANCEIRO'!BC613,'COD. PROJETOS'!B:D,3,0)="VIVO",MID('BASE FINANCEIRO'!BI613,36,3),IF(VLOOKUP('BASE FINANCEIRO'!BC613,'COD. PROJETOS'!B:D,3,0),MID('BASE FINANCEIRO'!BI613,36,7),IF(VLOOKUP('BASE FINANCEIRO'!BC613,'COD. PROJETOS'!B:D,3,0),MID('BASE FINANCEIRO'!BI613,36,9),"PROJETO?")))</f>
        <v>#N/A</v>
      </c>
      <c r="E483" s="24" t="e">
        <f>VLOOKUP(D483,'BASE MUNICÍPIO'!B464:C25199,2,0)</f>
        <v>#N/A</v>
      </c>
      <c r="F483" s="98" t="e">
        <f>VLOOKUP(D483,'BASE MUNICÍPIO'!B464:D25199,3,0)</f>
        <v>#N/A</v>
      </c>
      <c r="G483" s="97" t="str">
        <f>IF(Tabela4[[#This Row],[PROJETO]]="CLARO",LEFT(Tabela4[[#This Row],[SITE2]],2),IF(Tabela4[[#This Row],[PROJETO]]="VIVO",RIGHT(LEFT(Tabela4[[#This Row],[SITE2]],10),2),""))</f>
        <v/>
      </c>
      <c r="H483" s="99"/>
    </row>
    <row r="484" spans="1:8">
      <c r="A484" s="119">
        <f>'BASE FINANCEIRO'!BI614</f>
        <v>0</v>
      </c>
      <c r="B484" s="24" t="str">
        <f t="shared" si="7"/>
        <v/>
      </c>
      <c r="C484" s="24" t="s">
        <v>2453</v>
      </c>
      <c r="D484" s="24" t="e">
        <f>IF(VLOOKUP('BASE FINANCEIRO'!BC614,'COD. PROJETOS'!B:D,3,0)="VIVO",MID('BASE FINANCEIRO'!BI614,36,3),IF(VLOOKUP('BASE FINANCEIRO'!BC614,'COD. PROJETOS'!B:D,3,0),MID('BASE FINANCEIRO'!BI614,36,7),IF(VLOOKUP('BASE FINANCEIRO'!BC614,'COD. PROJETOS'!B:D,3,0),MID('BASE FINANCEIRO'!BI614,36,9),"PROJETO?")))</f>
        <v>#N/A</v>
      </c>
      <c r="E484" s="24" t="e">
        <f>VLOOKUP(D484,'BASE MUNICÍPIO'!B465:C25200,2,0)</f>
        <v>#N/A</v>
      </c>
      <c r="F484" s="98" t="e">
        <f>VLOOKUP(D484,'BASE MUNICÍPIO'!B465:D25200,3,0)</f>
        <v>#N/A</v>
      </c>
      <c r="G484" s="97" t="str">
        <f>IF(Tabela4[[#This Row],[PROJETO]]="CLARO",LEFT(Tabela4[[#This Row],[SITE2]],2),IF(Tabela4[[#This Row],[PROJETO]]="VIVO",RIGHT(LEFT(Tabela4[[#This Row],[SITE2]],10),2),""))</f>
        <v/>
      </c>
      <c r="H484" s="99"/>
    </row>
    <row r="485" spans="1:8">
      <c r="A485" s="119">
        <f>'BASE FINANCEIRO'!BI615</f>
        <v>0</v>
      </c>
      <c r="B485" s="24" t="str">
        <f t="shared" si="7"/>
        <v/>
      </c>
      <c r="C485" s="24" t="s">
        <v>2453</v>
      </c>
      <c r="D485" s="24" t="e">
        <f>IF(VLOOKUP('BASE FINANCEIRO'!BC615,'COD. PROJETOS'!B:D,3,0)="VIVO",MID('BASE FINANCEIRO'!BI615,36,3),IF(VLOOKUP('BASE FINANCEIRO'!BC615,'COD. PROJETOS'!B:D,3,0),MID('BASE FINANCEIRO'!BI615,36,7),IF(VLOOKUP('BASE FINANCEIRO'!BC615,'COD. PROJETOS'!B:D,3,0),MID('BASE FINANCEIRO'!BI615,36,9),"PROJETO?")))</f>
        <v>#N/A</v>
      </c>
      <c r="E485" s="24" t="e">
        <f>VLOOKUP(D485,'BASE MUNICÍPIO'!B466:C25201,2,0)</f>
        <v>#N/A</v>
      </c>
      <c r="F485" s="98" t="e">
        <f>VLOOKUP(D485,'BASE MUNICÍPIO'!B466:D25201,3,0)</f>
        <v>#N/A</v>
      </c>
      <c r="G485" s="97" t="str">
        <f>IF(Tabela4[[#This Row],[PROJETO]]="CLARO",LEFT(Tabela4[[#This Row],[SITE2]],2),IF(Tabela4[[#This Row],[PROJETO]]="VIVO",RIGHT(LEFT(Tabela4[[#This Row],[SITE2]],10),2),""))</f>
        <v/>
      </c>
      <c r="H485" s="99"/>
    </row>
    <row r="486" spans="1:8">
      <c r="A486" s="119">
        <f>'BASE FINANCEIRO'!BI616</f>
        <v>0</v>
      </c>
      <c r="B486" s="24" t="str">
        <f t="shared" si="7"/>
        <v/>
      </c>
      <c r="C486" s="24" t="s">
        <v>2453</v>
      </c>
      <c r="D486" s="24" t="e">
        <f>IF(VLOOKUP('BASE FINANCEIRO'!BC616,'COD. PROJETOS'!B:D,3,0)="VIVO",MID('BASE FINANCEIRO'!BI616,36,3),IF(VLOOKUP('BASE FINANCEIRO'!BC616,'COD. PROJETOS'!B:D,3,0),MID('BASE FINANCEIRO'!BI616,36,7),IF(VLOOKUP('BASE FINANCEIRO'!BC616,'COD. PROJETOS'!B:D,3,0),MID('BASE FINANCEIRO'!BI616,36,9),"PROJETO?")))</f>
        <v>#N/A</v>
      </c>
      <c r="E486" s="24" t="e">
        <f>VLOOKUP(D486,'BASE MUNICÍPIO'!B467:C25202,2,0)</f>
        <v>#N/A</v>
      </c>
      <c r="F486" s="98" t="e">
        <f>VLOOKUP(D486,'BASE MUNICÍPIO'!B467:D25202,3,0)</f>
        <v>#N/A</v>
      </c>
      <c r="G486" s="97" t="str">
        <f>IF(Tabela4[[#This Row],[PROJETO]]="CLARO",LEFT(Tabela4[[#This Row],[SITE2]],2),IF(Tabela4[[#This Row],[PROJETO]]="VIVO",RIGHT(LEFT(Tabela4[[#This Row],[SITE2]],10),2),""))</f>
        <v/>
      </c>
      <c r="H486" s="99"/>
    </row>
    <row r="487" spans="1:8">
      <c r="A487" s="119">
        <f>'BASE FINANCEIRO'!BI617</f>
        <v>0</v>
      </c>
      <c r="B487" s="24" t="str">
        <f t="shared" si="7"/>
        <v/>
      </c>
      <c r="C487" s="24" t="s">
        <v>2453</v>
      </c>
      <c r="D487" s="24" t="e">
        <f>IF(VLOOKUP('BASE FINANCEIRO'!BC617,'COD. PROJETOS'!B:D,3,0)="VIVO",MID('BASE FINANCEIRO'!BI617,36,3),IF(VLOOKUP('BASE FINANCEIRO'!BC617,'COD. PROJETOS'!B:D,3,0),MID('BASE FINANCEIRO'!BI617,36,7),IF(VLOOKUP('BASE FINANCEIRO'!BC617,'COD. PROJETOS'!B:D,3,0),MID('BASE FINANCEIRO'!BI617,36,9),"PROJETO?")))</f>
        <v>#N/A</v>
      </c>
      <c r="E487" s="24" t="e">
        <f>VLOOKUP(D487,'BASE MUNICÍPIO'!B468:C25203,2,0)</f>
        <v>#N/A</v>
      </c>
      <c r="F487" s="98" t="e">
        <f>VLOOKUP(D487,'BASE MUNICÍPIO'!B468:D25203,3,0)</f>
        <v>#N/A</v>
      </c>
      <c r="G487" s="97" t="str">
        <f>IF(Tabela4[[#This Row],[PROJETO]]="CLARO",LEFT(Tabela4[[#This Row],[SITE2]],2),IF(Tabela4[[#This Row],[PROJETO]]="VIVO",RIGHT(LEFT(Tabela4[[#This Row],[SITE2]],10),2),""))</f>
        <v/>
      </c>
      <c r="H487" s="99"/>
    </row>
    <row r="488" spans="1:8">
      <c r="A488" s="119">
        <f>'BASE FINANCEIRO'!BI618</f>
        <v>0</v>
      </c>
      <c r="B488" s="24" t="str">
        <f t="shared" si="7"/>
        <v/>
      </c>
      <c r="C488" s="24" t="s">
        <v>2453</v>
      </c>
      <c r="D488" s="24" t="e">
        <f>IF(VLOOKUP('BASE FINANCEIRO'!BC618,'COD. PROJETOS'!B:D,3,0)="VIVO",MID('BASE FINANCEIRO'!BI618,36,3),IF(VLOOKUP('BASE FINANCEIRO'!BC618,'COD. PROJETOS'!B:D,3,0),MID('BASE FINANCEIRO'!BI618,36,7),IF(VLOOKUP('BASE FINANCEIRO'!BC618,'COD. PROJETOS'!B:D,3,0),MID('BASE FINANCEIRO'!BI618,36,9),"PROJETO?")))</f>
        <v>#N/A</v>
      </c>
      <c r="E488" s="24" t="e">
        <f>VLOOKUP(D488,'BASE MUNICÍPIO'!B469:C25204,2,0)</f>
        <v>#N/A</v>
      </c>
      <c r="F488" s="98" t="e">
        <f>VLOOKUP(D488,'BASE MUNICÍPIO'!B469:D25204,3,0)</f>
        <v>#N/A</v>
      </c>
      <c r="G488" s="97" t="str">
        <f>IF(Tabela4[[#This Row],[PROJETO]]="CLARO",LEFT(Tabela4[[#This Row],[SITE2]],2),IF(Tabela4[[#This Row],[PROJETO]]="VIVO",RIGHT(LEFT(Tabela4[[#This Row],[SITE2]],10),2),""))</f>
        <v/>
      </c>
      <c r="H488" s="99"/>
    </row>
    <row r="489" spans="1:8">
      <c r="A489" s="119">
        <f>'BASE FINANCEIRO'!BI619</f>
        <v>0</v>
      </c>
      <c r="B489" s="24" t="str">
        <f t="shared" si="7"/>
        <v/>
      </c>
      <c r="C489" s="24" t="s">
        <v>2453</v>
      </c>
      <c r="D489" s="24" t="e">
        <f>IF(VLOOKUP('BASE FINANCEIRO'!BC619,'COD. PROJETOS'!B:D,3,0)="VIVO",MID('BASE FINANCEIRO'!BI619,36,3),IF(VLOOKUP('BASE FINANCEIRO'!BC619,'COD. PROJETOS'!B:D,3,0),MID('BASE FINANCEIRO'!BI619,36,7),IF(VLOOKUP('BASE FINANCEIRO'!BC619,'COD. PROJETOS'!B:D,3,0),MID('BASE FINANCEIRO'!BI619,36,9),"PROJETO?")))</f>
        <v>#N/A</v>
      </c>
      <c r="E489" s="24" t="e">
        <f>VLOOKUP(D489,'BASE MUNICÍPIO'!B470:C25205,2,0)</f>
        <v>#N/A</v>
      </c>
      <c r="F489" s="98" t="e">
        <f>VLOOKUP(D489,'BASE MUNICÍPIO'!B470:D25205,3,0)</f>
        <v>#N/A</v>
      </c>
      <c r="G489" s="97" t="str">
        <f>IF(Tabela4[[#This Row],[PROJETO]]="CLARO",LEFT(Tabela4[[#This Row],[SITE2]],2),IF(Tabela4[[#This Row],[PROJETO]]="VIVO",RIGHT(LEFT(Tabela4[[#This Row],[SITE2]],10),2),""))</f>
        <v/>
      </c>
      <c r="H489" s="99"/>
    </row>
    <row r="490" spans="1:8">
      <c r="A490" s="119">
        <f>'BASE FINANCEIRO'!BI620</f>
        <v>0</v>
      </c>
      <c r="B490" s="24" t="str">
        <f t="shared" si="7"/>
        <v/>
      </c>
      <c r="C490" s="24" t="s">
        <v>2453</v>
      </c>
      <c r="D490" s="24" t="e">
        <f>IF(VLOOKUP('BASE FINANCEIRO'!BC620,'COD. PROJETOS'!B:D,3,0)="VIVO",MID('BASE FINANCEIRO'!BI620,36,3),IF(VLOOKUP('BASE FINANCEIRO'!BC620,'COD. PROJETOS'!B:D,3,0),MID('BASE FINANCEIRO'!BI620,36,7),IF(VLOOKUP('BASE FINANCEIRO'!BC620,'COD. PROJETOS'!B:D,3,0),MID('BASE FINANCEIRO'!BI620,36,9),"PROJETO?")))</f>
        <v>#N/A</v>
      </c>
      <c r="E490" s="24" t="e">
        <f>VLOOKUP(D490,'BASE MUNICÍPIO'!B471:C25206,2,0)</f>
        <v>#N/A</v>
      </c>
      <c r="F490" s="98" t="e">
        <f>VLOOKUP(D490,'BASE MUNICÍPIO'!B471:D25206,3,0)</f>
        <v>#N/A</v>
      </c>
      <c r="G490" s="97" t="str">
        <f>IF(Tabela4[[#This Row],[PROJETO]]="CLARO",LEFT(Tabela4[[#This Row],[SITE2]],2),IF(Tabela4[[#This Row],[PROJETO]]="VIVO",RIGHT(LEFT(Tabela4[[#This Row],[SITE2]],10),2),""))</f>
        <v/>
      </c>
      <c r="H490" s="99"/>
    </row>
    <row r="491" spans="1:8">
      <c r="A491" s="119">
        <f>'BASE FINANCEIRO'!BI621</f>
        <v>0</v>
      </c>
      <c r="B491" s="24" t="str">
        <f t="shared" si="7"/>
        <v/>
      </c>
      <c r="C491" s="24" t="s">
        <v>2453</v>
      </c>
      <c r="D491" s="24" t="e">
        <f>IF(VLOOKUP('BASE FINANCEIRO'!BC621,'COD. PROJETOS'!B:D,3,0)="VIVO",MID('BASE FINANCEIRO'!BI621,36,3),IF(VLOOKUP('BASE FINANCEIRO'!BC621,'COD. PROJETOS'!B:D,3,0),MID('BASE FINANCEIRO'!BI621,36,7),IF(VLOOKUP('BASE FINANCEIRO'!BC621,'COD. PROJETOS'!B:D,3,0),MID('BASE FINANCEIRO'!BI621,36,9),"PROJETO?")))</f>
        <v>#N/A</v>
      </c>
      <c r="E491" s="24" t="e">
        <f>VLOOKUP(D491,'BASE MUNICÍPIO'!B472:C25207,2,0)</f>
        <v>#N/A</v>
      </c>
      <c r="F491" s="98" t="e">
        <f>VLOOKUP(D491,'BASE MUNICÍPIO'!B472:D25207,3,0)</f>
        <v>#N/A</v>
      </c>
      <c r="G491" s="97" t="str">
        <f>IF(Tabela4[[#This Row],[PROJETO]]="CLARO",LEFT(Tabela4[[#This Row],[SITE2]],2),IF(Tabela4[[#This Row],[PROJETO]]="VIVO",RIGHT(LEFT(Tabela4[[#This Row],[SITE2]],10),2),""))</f>
        <v/>
      </c>
      <c r="H491" s="99"/>
    </row>
    <row r="492" spans="1:8">
      <c r="A492" s="119">
        <f>'BASE FINANCEIRO'!BI622</f>
        <v>0</v>
      </c>
      <c r="B492" s="24" t="str">
        <f t="shared" si="7"/>
        <v/>
      </c>
      <c r="C492" s="24" t="s">
        <v>2453</v>
      </c>
      <c r="D492" s="24" t="e">
        <f>IF(VLOOKUP('BASE FINANCEIRO'!BC622,'COD. PROJETOS'!B:D,3,0)="VIVO",MID('BASE FINANCEIRO'!BI622,36,3),IF(VLOOKUP('BASE FINANCEIRO'!BC622,'COD. PROJETOS'!B:D,3,0),MID('BASE FINANCEIRO'!BI622,36,7),IF(VLOOKUP('BASE FINANCEIRO'!BC622,'COD. PROJETOS'!B:D,3,0),MID('BASE FINANCEIRO'!BI622,36,9),"PROJETO?")))</f>
        <v>#N/A</v>
      </c>
      <c r="E492" s="24" t="e">
        <f>VLOOKUP(D492,'BASE MUNICÍPIO'!B473:C25208,2,0)</f>
        <v>#N/A</v>
      </c>
      <c r="F492" s="98" t="e">
        <f>VLOOKUP(D492,'BASE MUNICÍPIO'!B473:D25208,3,0)</f>
        <v>#N/A</v>
      </c>
      <c r="G492" s="97" t="str">
        <f>IF(Tabela4[[#This Row],[PROJETO]]="CLARO",LEFT(Tabela4[[#This Row],[SITE2]],2),IF(Tabela4[[#This Row],[PROJETO]]="VIVO",RIGHT(LEFT(Tabela4[[#This Row],[SITE2]],10),2),""))</f>
        <v/>
      </c>
      <c r="H492" s="99"/>
    </row>
    <row r="493" spans="1:8">
      <c r="A493" s="119">
        <f>'BASE FINANCEIRO'!BI623</f>
        <v>0</v>
      </c>
      <c r="B493" s="24" t="str">
        <f t="shared" si="7"/>
        <v/>
      </c>
      <c r="C493" s="24" t="s">
        <v>2453</v>
      </c>
      <c r="D493" s="24" t="e">
        <f>IF(VLOOKUP('BASE FINANCEIRO'!BC623,'COD. PROJETOS'!B:D,3,0)="VIVO",MID('BASE FINANCEIRO'!BI623,36,3),IF(VLOOKUP('BASE FINANCEIRO'!BC623,'COD. PROJETOS'!B:D,3,0),MID('BASE FINANCEIRO'!BI623,36,7),IF(VLOOKUP('BASE FINANCEIRO'!BC623,'COD. PROJETOS'!B:D,3,0),MID('BASE FINANCEIRO'!BI623,36,9),"PROJETO?")))</f>
        <v>#N/A</v>
      </c>
      <c r="E493" s="24" t="e">
        <f>VLOOKUP(D493,'BASE MUNICÍPIO'!B474:C25209,2,0)</f>
        <v>#N/A</v>
      </c>
      <c r="F493" s="98" t="e">
        <f>VLOOKUP(D493,'BASE MUNICÍPIO'!B474:D25209,3,0)</f>
        <v>#N/A</v>
      </c>
      <c r="G493" s="97" t="str">
        <f>IF(Tabela4[[#This Row],[PROJETO]]="CLARO",LEFT(Tabela4[[#This Row],[SITE2]],2),IF(Tabela4[[#This Row],[PROJETO]]="VIVO",RIGHT(LEFT(Tabela4[[#This Row],[SITE2]],10),2),""))</f>
        <v/>
      </c>
      <c r="H493" s="99"/>
    </row>
    <row r="494" spans="1:8">
      <c r="A494" s="119">
        <f>'BASE FINANCEIRO'!BI624</f>
        <v>0</v>
      </c>
      <c r="B494" s="24" t="str">
        <f t="shared" si="7"/>
        <v/>
      </c>
      <c r="C494" s="24" t="s">
        <v>2453</v>
      </c>
      <c r="D494" s="24" t="e">
        <f>IF(VLOOKUP('BASE FINANCEIRO'!BC624,'COD. PROJETOS'!B:D,3,0)="VIVO",MID('BASE FINANCEIRO'!BI624,36,3),IF(VLOOKUP('BASE FINANCEIRO'!BC624,'COD. PROJETOS'!B:D,3,0),MID('BASE FINANCEIRO'!BI624,36,7),IF(VLOOKUP('BASE FINANCEIRO'!BC624,'COD. PROJETOS'!B:D,3,0),MID('BASE FINANCEIRO'!BI624,36,9),"PROJETO?")))</f>
        <v>#N/A</v>
      </c>
      <c r="E494" s="24" t="e">
        <f>VLOOKUP(D494,'BASE MUNICÍPIO'!B475:C25210,2,0)</f>
        <v>#N/A</v>
      </c>
      <c r="F494" s="98" t="e">
        <f>VLOOKUP(D494,'BASE MUNICÍPIO'!B475:D25210,3,0)</f>
        <v>#N/A</v>
      </c>
      <c r="G494" s="103" t="str">
        <f>IF(Tabela4[[#This Row],[PROJETO]]="CLARO",LEFT(Tabela4[[#This Row],[SITE2]],2),IF(Tabela4[[#This Row],[PROJETO]]="VIVO",RIGHT(LEFT(Tabela4[[#This Row],[SITE2]],10),2),""))</f>
        <v/>
      </c>
      <c r="H494" s="104"/>
    </row>
  </sheetData>
  <pageMargins left="0.511811024" right="0.511811024" top="0.78740157499999996" bottom="0.78740157499999996" header="0.31496062000000002" footer="0.31496062000000002"/>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261"/>
  <sheetViews>
    <sheetView topLeftCell="A1090" zoomScaleNormal="100" workbookViewId="0">
      <selection activeCell="B1114" sqref="B1114"/>
    </sheetView>
  </sheetViews>
  <sheetFormatPr defaultRowHeight="14.4"/>
  <cols>
    <col min="1" max="1" width="12.6640625" style="25" bestFit="1" customWidth="1"/>
    <col min="2" max="2" width="15.6640625" style="92" customWidth="1"/>
    <col min="3" max="3" width="13.33203125" customWidth="1"/>
    <col min="4" max="4" width="12.44140625" customWidth="1"/>
    <col min="5" max="5" width="9.6640625" bestFit="1" customWidth="1"/>
  </cols>
  <sheetData>
    <row r="1" spans="1:10">
      <c r="A1" s="123" t="s">
        <v>45</v>
      </c>
    </row>
    <row r="2" spans="1:10">
      <c r="B2" s="324" t="s">
        <v>40</v>
      </c>
      <c r="C2" s="136" t="s">
        <v>41</v>
      </c>
    </row>
    <row r="3" spans="1:10">
      <c r="B3" s="124"/>
      <c r="C3" s="124"/>
    </row>
    <row r="4" spans="1:10">
      <c r="B4" s="325">
        <v>8818188174</v>
      </c>
      <c r="C4" s="126">
        <v>7.02</v>
      </c>
    </row>
    <row r="5" spans="1:10">
      <c r="B5" s="325">
        <v>8818188175</v>
      </c>
      <c r="C5" s="126">
        <v>7.02</v>
      </c>
    </row>
    <row r="6" spans="1:10">
      <c r="B6" s="325">
        <v>8818188176</v>
      </c>
      <c r="C6" s="126">
        <v>7.02</v>
      </c>
    </row>
    <row r="7" spans="1:10">
      <c r="B7" s="325">
        <v>8818188177</v>
      </c>
      <c r="C7" s="126">
        <v>7.02</v>
      </c>
    </row>
    <row r="8" spans="1:10">
      <c r="B8" s="325">
        <v>8818188178</v>
      </c>
      <c r="C8" s="126">
        <v>7.02</v>
      </c>
    </row>
    <row r="9" spans="1:10">
      <c r="B9" s="325">
        <v>8818188179</v>
      </c>
      <c r="C9" s="126">
        <v>7.02</v>
      </c>
    </row>
    <row r="10" spans="1:10">
      <c r="B10" s="325">
        <v>8818188180</v>
      </c>
      <c r="C10" s="126">
        <v>7.02</v>
      </c>
    </row>
    <row r="11" spans="1:10">
      <c r="B11" s="325">
        <v>8818188181</v>
      </c>
      <c r="C11" s="126">
        <v>7.02</v>
      </c>
    </row>
    <row r="12" spans="1:10">
      <c r="B12" s="325">
        <v>8818188182</v>
      </c>
      <c r="C12" s="126">
        <v>7.02</v>
      </c>
    </row>
    <row r="13" spans="1:10">
      <c r="B13" s="325">
        <v>8818188183</v>
      </c>
      <c r="C13" s="126">
        <v>7.02</v>
      </c>
      <c r="J13" s="36"/>
    </row>
    <row r="14" spans="1:10">
      <c r="B14" s="325">
        <v>8818188184</v>
      </c>
      <c r="C14" s="126">
        <v>7.02</v>
      </c>
    </row>
    <row r="15" spans="1:10">
      <c r="B15" s="325">
        <v>8818188185</v>
      </c>
      <c r="C15" s="126">
        <v>7.02</v>
      </c>
    </row>
    <row r="16" spans="1:10">
      <c r="B16" s="325">
        <v>8818188186</v>
      </c>
      <c r="C16" s="126">
        <v>7.02</v>
      </c>
    </row>
    <row r="17" spans="2:3">
      <c r="B17" s="325">
        <v>8818188187</v>
      </c>
      <c r="C17" s="126">
        <v>7.02</v>
      </c>
    </row>
    <row r="18" spans="2:3">
      <c r="B18" s="325">
        <v>8818188188</v>
      </c>
      <c r="C18" s="126">
        <v>7.02</v>
      </c>
    </row>
    <row r="19" spans="2:3">
      <c r="B19" s="325">
        <v>8818188189</v>
      </c>
      <c r="C19" s="126">
        <v>7.02</v>
      </c>
    </row>
    <row r="20" spans="2:3">
      <c r="B20" s="325">
        <v>8818188190</v>
      </c>
      <c r="C20" s="126">
        <v>7.02</v>
      </c>
    </row>
    <row r="21" spans="2:3">
      <c r="B21" s="325">
        <v>8818188191</v>
      </c>
      <c r="C21" s="126">
        <v>7.02</v>
      </c>
    </row>
    <row r="22" spans="2:3">
      <c r="B22" s="325">
        <v>8818188192</v>
      </c>
      <c r="C22" s="126">
        <v>7.02</v>
      </c>
    </row>
    <row r="23" spans="2:3">
      <c r="B23" s="325">
        <v>8818188193</v>
      </c>
      <c r="C23" s="126">
        <v>7.02</v>
      </c>
    </row>
    <row r="24" spans="2:3">
      <c r="B24" s="325">
        <v>8818188194</v>
      </c>
      <c r="C24" s="126">
        <v>7.02</v>
      </c>
    </row>
    <row r="25" spans="2:3">
      <c r="B25" s="325">
        <v>8818188195</v>
      </c>
      <c r="C25" s="126">
        <v>7.02</v>
      </c>
    </row>
    <row r="26" spans="2:3">
      <c r="B26" s="325">
        <v>8818188196</v>
      </c>
      <c r="C26" s="126">
        <v>7.02</v>
      </c>
    </row>
    <row r="27" spans="2:3">
      <c r="B27" s="325">
        <v>8818188197</v>
      </c>
      <c r="C27" s="126">
        <v>7.02</v>
      </c>
    </row>
    <row r="28" spans="2:3">
      <c r="B28" s="325">
        <v>8818188198</v>
      </c>
      <c r="C28" s="126">
        <v>7.02</v>
      </c>
    </row>
    <row r="29" spans="2:3">
      <c r="B29" s="325">
        <v>8818188199</v>
      </c>
      <c r="C29" s="126">
        <v>7.02</v>
      </c>
    </row>
    <row r="30" spans="2:3">
      <c r="B30" s="325">
        <v>8818188200</v>
      </c>
      <c r="C30" s="126">
        <v>7.02</v>
      </c>
    </row>
    <row r="31" spans="2:3">
      <c r="B31" s="325">
        <v>8818188201</v>
      </c>
      <c r="C31" s="126">
        <v>7.02</v>
      </c>
    </row>
    <row r="32" spans="2:3">
      <c r="B32" s="325">
        <v>8818188202</v>
      </c>
      <c r="C32" s="126">
        <v>7.02</v>
      </c>
    </row>
    <row r="33" spans="2:3">
      <c r="B33" s="325">
        <v>8818188203</v>
      </c>
      <c r="C33" s="126">
        <v>7.02</v>
      </c>
    </row>
    <row r="34" spans="2:3">
      <c r="B34" s="325">
        <v>8818188204</v>
      </c>
      <c r="C34" s="126">
        <v>7.02</v>
      </c>
    </row>
    <row r="35" spans="2:3">
      <c r="B35" s="124"/>
      <c r="C35" s="124"/>
    </row>
    <row r="36" spans="2:3">
      <c r="B36" s="325">
        <v>8818188205</v>
      </c>
      <c r="C36" s="126">
        <v>7.02</v>
      </c>
    </row>
    <row r="37" spans="2:3">
      <c r="B37" s="325">
        <v>8818188206</v>
      </c>
      <c r="C37" s="126">
        <v>7.02</v>
      </c>
    </row>
    <row r="38" spans="2:3">
      <c r="B38" s="127">
        <v>8818188207</v>
      </c>
      <c r="C38" s="126">
        <v>7.02</v>
      </c>
    </row>
    <row r="39" spans="2:3">
      <c r="B39" s="127">
        <v>8818188208</v>
      </c>
      <c r="C39" s="126">
        <v>7.02</v>
      </c>
    </row>
    <row r="40" spans="2:3">
      <c r="B40" s="127">
        <v>8818188209</v>
      </c>
      <c r="C40" s="126">
        <v>7.02</v>
      </c>
    </row>
    <row r="41" spans="2:3">
      <c r="B41" s="124"/>
      <c r="C41" s="124"/>
    </row>
    <row r="42" spans="2:3">
      <c r="B42" s="325">
        <v>8818188210</v>
      </c>
      <c r="C42" s="126">
        <v>7.02</v>
      </c>
    </row>
    <row r="43" spans="2:3">
      <c r="B43" s="325">
        <v>8818188211</v>
      </c>
      <c r="C43" s="126">
        <v>7.02</v>
      </c>
    </row>
    <row r="44" spans="2:3">
      <c r="B44" s="325">
        <v>8818188212</v>
      </c>
      <c r="C44" s="126">
        <v>7.02</v>
      </c>
    </row>
    <row r="45" spans="2:3">
      <c r="B45" s="325">
        <v>8818188213</v>
      </c>
      <c r="C45" s="126">
        <v>7.02</v>
      </c>
    </row>
    <row r="46" spans="2:3">
      <c r="B46" s="325">
        <v>8818188214</v>
      </c>
      <c r="C46" s="126">
        <v>7.02</v>
      </c>
    </row>
    <row r="47" spans="2:3">
      <c r="B47" s="325">
        <v>8818188215</v>
      </c>
      <c r="C47" s="126">
        <v>7.02</v>
      </c>
    </row>
    <row r="48" spans="2:3">
      <c r="B48" s="325">
        <v>8818188216</v>
      </c>
      <c r="C48" s="126">
        <v>7.02</v>
      </c>
    </row>
    <row r="49" spans="2:3">
      <c r="B49" s="124"/>
      <c r="C49" s="124"/>
    </row>
    <row r="50" spans="2:3">
      <c r="B50" s="325">
        <v>8818188217</v>
      </c>
      <c r="C50" s="126">
        <v>7.02</v>
      </c>
    </row>
    <row r="51" spans="2:3">
      <c r="B51" s="325">
        <v>8818188218</v>
      </c>
      <c r="C51" s="126">
        <v>7.02</v>
      </c>
    </row>
    <row r="52" spans="2:3">
      <c r="B52" s="325">
        <v>8818188219</v>
      </c>
      <c r="C52" s="126">
        <v>7.02</v>
      </c>
    </row>
    <row r="53" spans="2:3">
      <c r="B53" s="325">
        <v>8818188220</v>
      </c>
      <c r="C53" s="126">
        <v>7.02</v>
      </c>
    </row>
    <row r="54" spans="2:3">
      <c r="B54" s="325">
        <v>8818188221</v>
      </c>
      <c r="C54" s="126">
        <v>7.02</v>
      </c>
    </row>
    <row r="55" spans="2:3">
      <c r="B55" s="325">
        <v>8818188222</v>
      </c>
      <c r="C55" s="126">
        <v>7.02</v>
      </c>
    </row>
    <row r="56" spans="2:3">
      <c r="B56" s="325">
        <v>8818188223</v>
      </c>
      <c r="C56" s="126">
        <v>7.02</v>
      </c>
    </row>
    <row r="57" spans="2:3">
      <c r="B57" s="325">
        <v>8818188224</v>
      </c>
      <c r="C57" s="126">
        <v>7.02</v>
      </c>
    </row>
    <row r="58" spans="2:3">
      <c r="B58" s="325">
        <v>8818188225</v>
      </c>
      <c r="C58" s="126">
        <v>7.02</v>
      </c>
    </row>
    <row r="59" spans="2:3">
      <c r="B59" s="325">
        <v>8818188226</v>
      </c>
      <c r="C59" s="126">
        <v>7.02</v>
      </c>
    </row>
    <row r="60" spans="2:3">
      <c r="B60" s="325">
        <v>8818188227</v>
      </c>
      <c r="C60" s="126">
        <v>7.02</v>
      </c>
    </row>
    <row r="61" spans="2:3">
      <c r="B61" s="325">
        <v>8818188228</v>
      </c>
      <c r="C61" s="126">
        <v>7.02</v>
      </c>
    </row>
    <row r="62" spans="2:3">
      <c r="B62" s="127">
        <v>8818188229</v>
      </c>
      <c r="C62" s="126">
        <v>7.02</v>
      </c>
    </row>
    <row r="63" spans="2:3">
      <c r="B63" s="127">
        <v>8818188230</v>
      </c>
      <c r="C63" s="126">
        <v>7.02</v>
      </c>
    </row>
    <row r="64" spans="2:3">
      <c r="B64" s="325">
        <v>8818188231</v>
      </c>
      <c r="C64" s="126">
        <v>7.02</v>
      </c>
    </row>
    <row r="65" spans="2:3">
      <c r="B65" s="325">
        <v>8818188232</v>
      </c>
      <c r="C65" s="126">
        <v>7.02</v>
      </c>
    </row>
    <row r="66" spans="2:3">
      <c r="B66" s="325">
        <v>8818188233</v>
      </c>
      <c r="C66" s="126">
        <v>7.02</v>
      </c>
    </row>
    <row r="67" spans="2:3">
      <c r="B67" s="124"/>
      <c r="C67" s="124"/>
    </row>
    <row r="68" spans="2:3">
      <c r="B68" s="325">
        <v>8818188234</v>
      </c>
      <c r="C68" s="126">
        <v>7.02</v>
      </c>
    </row>
    <row r="69" spans="2:3">
      <c r="B69" s="325">
        <v>8818188235</v>
      </c>
      <c r="C69" s="126">
        <v>7.02</v>
      </c>
    </row>
    <row r="70" spans="2:3">
      <c r="B70" s="325">
        <v>8818188236</v>
      </c>
      <c r="C70" s="126">
        <v>7.02</v>
      </c>
    </row>
    <row r="71" spans="2:3">
      <c r="B71" s="325">
        <v>8818188237</v>
      </c>
      <c r="C71" s="126">
        <v>7.02</v>
      </c>
    </row>
    <row r="72" spans="2:3">
      <c r="B72" s="325">
        <v>8818188238</v>
      </c>
      <c r="C72" s="126">
        <v>7.02</v>
      </c>
    </row>
    <row r="73" spans="2:3">
      <c r="B73" s="325">
        <v>8818188239</v>
      </c>
      <c r="C73" s="126">
        <v>7.02</v>
      </c>
    </row>
    <row r="74" spans="2:3">
      <c r="B74" s="325">
        <v>8818188240</v>
      </c>
      <c r="C74" s="126">
        <v>7.02</v>
      </c>
    </row>
    <row r="75" spans="2:3">
      <c r="B75" s="325">
        <v>8818188241</v>
      </c>
      <c r="C75" s="126">
        <v>7.02</v>
      </c>
    </row>
    <row r="76" spans="2:3">
      <c r="B76" s="325">
        <v>8818188242</v>
      </c>
      <c r="C76" s="126">
        <v>7.02</v>
      </c>
    </row>
    <row r="77" spans="2:3">
      <c r="B77" s="325">
        <v>8818188243</v>
      </c>
      <c r="C77" s="126">
        <v>7.02</v>
      </c>
    </row>
    <row r="78" spans="2:3">
      <c r="B78" s="127">
        <v>8818188244</v>
      </c>
      <c r="C78" s="126">
        <v>7.02</v>
      </c>
    </row>
    <row r="79" spans="2:3">
      <c r="B79" s="127">
        <v>8818188245</v>
      </c>
      <c r="C79" s="126">
        <v>7.02</v>
      </c>
    </row>
    <row r="80" spans="2:3">
      <c r="B80" s="127">
        <v>8818188246</v>
      </c>
      <c r="C80" s="126">
        <v>7.02</v>
      </c>
    </row>
    <row r="81" spans="2:3">
      <c r="B81" s="127">
        <v>8818188247</v>
      </c>
      <c r="C81" s="126">
        <v>7.02</v>
      </c>
    </row>
    <row r="82" spans="2:3">
      <c r="B82" s="325">
        <v>8818188248</v>
      </c>
      <c r="C82" s="126">
        <v>7.02</v>
      </c>
    </row>
    <row r="83" spans="2:3">
      <c r="B83" s="325">
        <v>8818188249</v>
      </c>
      <c r="C83" s="126">
        <v>7.02</v>
      </c>
    </row>
    <row r="84" spans="2:3">
      <c r="B84" s="127">
        <v>8818188250</v>
      </c>
      <c r="C84" s="126">
        <v>7.02</v>
      </c>
    </row>
    <row r="85" spans="2:3">
      <c r="B85" s="325">
        <v>8818188251</v>
      </c>
      <c r="C85" s="126">
        <v>7.02</v>
      </c>
    </row>
    <row r="86" spans="2:3">
      <c r="B86" s="325">
        <v>8818188252</v>
      </c>
      <c r="C86" s="126">
        <v>7.02</v>
      </c>
    </row>
    <row r="87" spans="2:3">
      <c r="B87" s="325">
        <v>8818188253</v>
      </c>
      <c r="C87" s="126">
        <v>7.02</v>
      </c>
    </row>
    <row r="88" spans="2:3">
      <c r="B88" s="325">
        <v>8818188254</v>
      </c>
      <c r="C88" s="126">
        <v>7.02</v>
      </c>
    </row>
    <row r="89" spans="2:3">
      <c r="B89" s="325">
        <v>8818188255</v>
      </c>
      <c r="C89" s="126">
        <v>7.02</v>
      </c>
    </row>
    <row r="90" spans="2:3">
      <c r="B90" s="325">
        <v>8818188256</v>
      </c>
      <c r="C90" s="126">
        <v>7.02</v>
      </c>
    </row>
    <row r="91" spans="2:3">
      <c r="B91" s="127">
        <v>8818188257</v>
      </c>
      <c r="C91" s="126">
        <v>7.02</v>
      </c>
    </row>
    <row r="92" spans="2:3">
      <c r="B92" s="127">
        <v>8818188258</v>
      </c>
      <c r="C92" s="126">
        <v>7.02</v>
      </c>
    </row>
    <row r="93" spans="2:3">
      <c r="B93" s="127">
        <v>8818188259</v>
      </c>
      <c r="C93" s="126">
        <v>7.02</v>
      </c>
    </row>
    <row r="94" spans="2:3">
      <c r="B94" s="127">
        <v>8818188260</v>
      </c>
      <c r="C94" s="126">
        <v>7.02</v>
      </c>
    </row>
    <row r="95" spans="2:3">
      <c r="B95" s="127">
        <v>8818188261</v>
      </c>
      <c r="C95" s="126">
        <v>7.02</v>
      </c>
    </row>
    <row r="96" spans="2:3">
      <c r="B96" s="127">
        <v>8818188262</v>
      </c>
      <c r="C96" s="126">
        <v>7.02</v>
      </c>
    </row>
    <row r="97" spans="2:3">
      <c r="B97" s="127">
        <v>8818188263</v>
      </c>
      <c r="C97" s="126">
        <v>7.02</v>
      </c>
    </row>
    <row r="98" spans="2:3">
      <c r="B98" s="127">
        <v>8818188264</v>
      </c>
      <c r="C98" s="126">
        <v>7.02</v>
      </c>
    </row>
    <row r="99" spans="2:3">
      <c r="B99" s="127">
        <v>8818188265</v>
      </c>
      <c r="C99" s="126">
        <v>7.02</v>
      </c>
    </row>
    <row r="100" spans="2:3">
      <c r="B100" s="127">
        <v>8818188266</v>
      </c>
      <c r="C100" s="126">
        <v>7.02</v>
      </c>
    </row>
    <row r="101" spans="2:3">
      <c r="B101" s="127">
        <v>8818188267</v>
      </c>
      <c r="C101" s="126">
        <v>7.02</v>
      </c>
    </row>
    <row r="102" spans="2:3">
      <c r="B102" s="127">
        <v>8818188268</v>
      </c>
      <c r="C102" s="126">
        <v>7.02</v>
      </c>
    </row>
    <row r="103" spans="2:3">
      <c r="B103" s="127">
        <v>8818188269</v>
      </c>
      <c r="C103" s="126">
        <v>7.02</v>
      </c>
    </row>
    <row r="104" spans="2:3">
      <c r="B104" s="127">
        <v>8818188270</v>
      </c>
      <c r="C104" s="126">
        <v>7.02</v>
      </c>
    </row>
    <row r="105" spans="2:3">
      <c r="B105" s="127">
        <v>8818188271</v>
      </c>
      <c r="C105" s="126">
        <v>7.02</v>
      </c>
    </row>
    <row r="106" spans="2:3">
      <c r="B106" s="127">
        <v>8818188272</v>
      </c>
      <c r="C106" s="126">
        <v>7.02</v>
      </c>
    </row>
    <row r="107" spans="2:3">
      <c r="B107" s="127">
        <v>8818188273</v>
      </c>
      <c r="C107" s="126">
        <v>7.02</v>
      </c>
    </row>
    <row r="108" spans="2:3">
      <c r="B108" s="127">
        <v>8818188274</v>
      </c>
      <c r="C108" s="126">
        <v>7.02</v>
      </c>
    </row>
    <row r="109" spans="2:3">
      <c r="B109" s="127">
        <v>8818188275</v>
      </c>
      <c r="C109" s="126">
        <v>7.02</v>
      </c>
    </row>
    <row r="110" spans="2:3">
      <c r="B110" s="127">
        <v>8818188276</v>
      </c>
      <c r="C110" s="126">
        <v>7.02</v>
      </c>
    </row>
    <row r="111" spans="2:3">
      <c r="B111" s="127">
        <v>8818188277</v>
      </c>
      <c r="C111" s="126">
        <v>7.02</v>
      </c>
    </row>
    <row r="112" spans="2:3">
      <c r="B112" s="127">
        <v>8818188278</v>
      </c>
      <c r="C112" s="126">
        <v>7.02</v>
      </c>
    </row>
    <row r="113" spans="1:3">
      <c r="B113" s="127">
        <v>8818188279</v>
      </c>
      <c r="C113" s="126">
        <v>7.02</v>
      </c>
    </row>
    <row r="114" spans="1:3">
      <c r="B114" s="127">
        <v>8818188280</v>
      </c>
      <c r="C114" s="126">
        <v>7.02</v>
      </c>
    </row>
    <row r="115" spans="1:3">
      <c r="B115" s="127">
        <v>8818188281</v>
      </c>
      <c r="C115" s="126">
        <v>7.02</v>
      </c>
    </row>
    <row r="116" spans="1:3">
      <c r="B116" s="127">
        <v>8818188282</v>
      </c>
      <c r="C116" s="126">
        <v>7.02</v>
      </c>
    </row>
    <row r="117" spans="1:3">
      <c r="B117" s="127">
        <v>8818188283</v>
      </c>
      <c r="C117" s="126">
        <v>7.02</v>
      </c>
    </row>
    <row r="118" spans="1:3">
      <c r="B118" s="127">
        <v>8818188284</v>
      </c>
      <c r="C118" s="126">
        <v>7.02</v>
      </c>
    </row>
    <row r="119" spans="1:3">
      <c r="B119" s="124"/>
      <c r="C119" s="124"/>
    </row>
    <row r="120" spans="1:3">
      <c r="B120" s="326">
        <v>8818188285</v>
      </c>
      <c r="C120" s="126">
        <v>7.03</v>
      </c>
    </row>
    <row r="121" spans="1:3">
      <c r="B121" s="326">
        <v>8818188286</v>
      </c>
      <c r="C121" s="126">
        <v>7.03</v>
      </c>
    </row>
    <row r="122" spans="1:3">
      <c r="B122" s="326">
        <v>8818188287</v>
      </c>
      <c r="C122" s="126">
        <v>7.02</v>
      </c>
    </row>
    <row r="123" spans="1:3">
      <c r="B123" s="326">
        <v>8818188288</v>
      </c>
      <c r="C123" s="126">
        <v>7.02</v>
      </c>
    </row>
    <row r="124" spans="1:3">
      <c r="B124" s="326">
        <v>8818188289</v>
      </c>
      <c r="C124" s="126">
        <v>7.02</v>
      </c>
    </row>
    <row r="125" spans="1:3">
      <c r="B125" s="326">
        <v>8818188290</v>
      </c>
      <c r="C125" s="126">
        <v>7.02</v>
      </c>
    </row>
    <row r="126" spans="1:3">
      <c r="B126" s="326">
        <v>8818188291</v>
      </c>
      <c r="C126" s="126">
        <v>7.02</v>
      </c>
    </row>
    <row r="127" spans="1:3">
      <c r="A127" s="123" t="s">
        <v>43</v>
      </c>
      <c r="B127" s="327"/>
      <c r="C127" s="128"/>
    </row>
    <row r="128" spans="1:3">
      <c r="B128" s="328" t="s">
        <v>44</v>
      </c>
      <c r="C128" s="137" t="s">
        <v>41</v>
      </c>
    </row>
    <row r="129" spans="2:3">
      <c r="B129" s="329"/>
      <c r="C129" s="129"/>
    </row>
    <row r="130" spans="2:3">
      <c r="B130" s="330">
        <v>8812288355</v>
      </c>
      <c r="C130" s="126">
        <v>7.02</v>
      </c>
    </row>
    <row r="131" spans="2:3">
      <c r="B131" s="330">
        <v>8812288356</v>
      </c>
      <c r="C131" s="126">
        <v>7.02</v>
      </c>
    </row>
    <row r="132" spans="2:3">
      <c r="B132" s="330">
        <v>8812288357</v>
      </c>
      <c r="C132" s="126">
        <v>7.02</v>
      </c>
    </row>
    <row r="133" spans="2:3">
      <c r="B133" s="330">
        <v>8812288358</v>
      </c>
      <c r="C133" s="126">
        <v>7.02</v>
      </c>
    </row>
    <row r="134" spans="2:3">
      <c r="B134" s="330">
        <v>8812288359</v>
      </c>
      <c r="C134" s="126">
        <v>7.02</v>
      </c>
    </row>
    <row r="135" spans="2:3">
      <c r="B135" s="330">
        <v>8812288360</v>
      </c>
      <c r="C135" s="126">
        <v>7.02</v>
      </c>
    </row>
    <row r="136" spans="2:3">
      <c r="B136" s="330">
        <v>8812288361</v>
      </c>
      <c r="C136" s="126">
        <v>7.02</v>
      </c>
    </row>
    <row r="137" spans="2:3">
      <c r="B137" s="329"/>
      <c r="C137" s="130"/>
    </row>
    <row r="138" spans="2:3">
      <c r="B138" s="330">
        <v>8812288362</v>
      </c>
      <c r="C138" s="126">
        <v>7.02</v>
      </c>
    </row>
    <row r="139" spans="2:3">
      <c r="B139" s="330">
        <v>8812288363</v>
      </c>
      <c r="C139" s="126">
        <v>7.02</v>
      </c>
    </row>
    <row r="140" spans="2:3">
      <c r="B140" s="330">
        <v>8812288364</v>
      </c>
      <c r="C140" s="126">
        <v>7.02</v>
      </c>
    </row>
    <row r="141" spans="2:3">
      <c r="B141" s="330">
        <v>8812288365</v>
      </c>
      <c r="C141" s="126">
        <v>7.02</v>
      </c>
    </row>
    <row r="142" spans="2:3">
      <c r="B142" s="330">
        <v>8812288366</v>
      </c>
      <c r="C142" s="126">
        <v>7.02</v>
      </c>
    </row>
    <row r="143" spans="2:3">
      <c r="B143" s="330">
        <v>8812288367</v>
      </c>
      <c r="C143" s="126">
        <v>7.02</v>
      </c>
    </row>
    <row r="144" spans="2:3">
      <c r="B144" s="330">
        <v>8812288368</v>
      </c>
      <c r="C144" s="126">
        <v>7.02</v>
      </c>
    </row>
    <row r="145" spans="2:3">
      <c r="B145" s="329"/>
      <c r="C145" s="130"/>
    </row>
    <row r="146" spans="2:3">
      <c r="B146" s="330">
        <v>8812288369</v>
      </c>
      <c r="C146" s="126">
        <v>7.03</v>
      </c>
    </row>
    <row r="147" spans="2:3">
      <c r="B147" s="330">
        <v>8812288370</v>
      </c>
      <c r="C147" s="126">
        <v>7.02</v>
      </c>
    </row>
    <row r="148" spans="2:3">
      <c r="B148" s="329"/>
      <c r="C148" s="130"/>
    </row>
    <row r="149" spans="2:3">
      <c r="B149" s="330">
        <v>8812288371</v>
      </c>
      <c r="C149" s="126">
        <v>7.02</v>
      </c>
    </row>
    <row r="150" spans="2:3">
      <c r="B150" s="330">
        <v>8812288372</v>
      </c>
      <c r="C150" s="126">
        <v>7.02</v>
      </c>
    </row>
    <row r="151" spans="2:3">
      <c r="B151" s="329"/>
      <c r="C151" s="130"/>
    </row>
    <row r="152" spans="2:3">
      <c r="B152" s="330">
        <v>8812288373</v>
      </c>
      <c r="C152" s="126">
        <v>7.02</v>
      </c>
    </row>
    <row r="153" spans="2:3">
      <c r="B153" s="330">
        <v>8812288374</v>
      </c>
      <c r="C153" s="126">
        <v>7.02</v>
      </c>
    </row>
    <row r="154" spans="2:3">
      <c r="B154" s="329"/>
      <c r="C154" s="130"/>
    </row>
    <row r="155" spans="2:3">
      <c r="B155" s="330">
        <v>8812288375</v>
      </c>
      <c r="C155" s="126">
        <v>7.02</v>
      </c>
    </row>
    <row r="156" spans="2:3">
      <c r="B156" s="330">
        <v>8812288376</v>
      </c>
      <c r="C156" s="126">
        <v>7.02</v>
      </c>
    </row>
    <row r="157" spans="2:3">
      <c r="B157" s="329"/>
      <c r="C157" s="130"/>
    </row>
    <row r="158" spans="2:3">
      <c r="B158" s="330">
        <v>8812288377</v>
      </c>
      <c r="C158" s="126">
        <v>7.03</v>
      </c>
    </row>
    <row r="159" spans="2:3">
      <c r="B159" s="330">
        <v>8812288378</v>
      </c>
      <c r="C159" s="126">
        <v>7.03</v>
      </c>
    </row>
    <row r="160" spans="2:3">
      <c r="B160" s="330">
        <v>8818188929</v>
      </c>
      <c r="C160" s="126">
        <v>7.03</v>
      </c>
    </row>
    <row r="161" spans="2:3">
      <c r="B161" s="330">
        <v>8818188930</v>
      </c>
      <c r="C161" s="126">
        <v>7.03</v>
      </c>
    </row>
    <row r="162" spans="2:3">
      <c r="B162" s="330">
        <v>8818188931</v>
      </c>
      <c r="C162" s="126">
        <v>7.03</v>
      </c>
    </row>
    <row r="163" spans="2:3">
      <c r="B163" s="330">
        <v>8818188932</v>
      </c>
      <c r="C163" s="126">
        <v>7.03</v>
      </c>
    </row>
    <row r="164" spans="2:3">
      <c r="B164" s="330">
        <v>8818188942</v>
      </c>
      <c r="C164" s="126">
        <v>7.03</v>
      </c>
    </row>
    <row r="165" spans="2:3">
      <c r="B165" s="330">
        <v>8818188933</v>
      </c>
      <c r="C165" s="126">
        <v>7.03</v>
      </c>
    </row>
    <row r="166" spans="2:3">
      <c r="B166" s="330">
        <v>8818188934</v>
      </c>
      <c r="C166" s="126">
        <v>7.03</v>
      </c>
    </row>
    <row r="167" spans="2:3">
      <c r="B167" s="330">
        <v>8818188935</v>
      </c>
      <c r="C167" s="126">
        <v>7.03</v>
      </c>
    </row>
    <row r="168" spans="2:3">
      <c r="B168" s="330">
        <v>8818188936</v>
      </c>
      <c r="C168" s="126">
        <v>7.03</v>
      </c>
    </row>
    <row r="169" spans="2:3">
      <c r="B169" s="329"/>
      <c r="C169" s="130"/>
    </row>
    <row r="170" spans="2:3">
      <c r="B170" s="330">
        <v>8812288380</v>
      </c>
      <c r="C170" s="126">
        <v>7.02</v>
      </c>
    </row>
    <row r="171" spans="2:3">
      <c r="B171" s="330">
        <v>8812288381</v>
      </c>
      <c r="C171" s="126">
        <v>7.02</v>
      </c>
    </row>
    <row r="172" spans="2:3">
      <c r="B172" s="330">
        <v>8812288382</v>
      </c>
      <c r="C172" s="126">
        <v>7.02</v>
      </c>
    </row>
    <row r="173" spans="2:3">
      <c r="B173" s="330">
        <v>8812288383</v>
      </c>
      <c r="C173" s="126">
        <v>7.02</v>
      </c>
    </row>
    <row r="174" spans="2:3">
      <c r="B174" s="330">
        <v>8812288384</v>
      </c>
      <c r="C174" s="126">
        <v>7.02</v>
      </c>
    </row>
    <row r="175" spans="2:3">
      <c r="B175" s="330">
        <v>8812288385</v>
      </c>
      <c r="C175" s="126">
        <v>7.02</v>
      </c>
    </row>
    <row r="176" spans="2:3">
      <c r="B176" s="330">
        <v>8812288386</v>
      </c>
      <c r="C176" s="126">
        <v>7.02</v>
      </c>
    </row>
    <row r="177" spans="1:3">
      <c r="B177" s="330">
        <v>8812288387</v>
      </c>
      <c r="C177" s="126">
        <v>7.02</v>
      </c>
    </row>
    <row r="178" spans="1:3">
      <c r="B178" s="330">
        <v>8812288388</v>
      </c>
      <c r="C178" s="126">
        <v>7.02</v>
      </c>
    </row>
    <row r="179" spans="1:3">
      <c r="B179" s="330">
        <v>8812288389</v>
      </c>
      <c r="C179" s="126">
        <v>7.02</v>
      </c>
    </row>
    <row r="180" spans="1:3">
      <c r="B180" s="330">
        <v>8812288390</v>
      </c>
      <c r="C180" s="126">
        <v>7.02</v>
      </c>
    </row>
    <row r="181" spans="1:3">
      <c r="B181" s="330">
        <v>8812288391</v>
      </c>
      <c r="C181" s="126">
        <v>7.02</v>
      </c>
    </row>
    <row r="182" spans="1:3">
      <c r="B182" s="330">
        <v>8812288392</v>
      </c>
      <c r="C182" s="126">
        <v>7.02</v>
      </c>
    </row>
    <row r="183" spans="1:3">
      <c r="B183" s="330">
        <v>8812288393</v>
      </c>
      <c r="C183" s="126">
        <v>7.02</v>
      </c>
    </row>
    <row r="184" spans="1:3">
      <c r="B184" s="330">
        <v>8812288394</v>
      </c>
      <c r="C184" s="126">
        <v>7.02</v>
      </c>
    </row>
    <row r="185" spans="1:3">
      <c r="B185" s="330">
        <v>8812288395</v>
      </c>
      <c r="C185" s="126">
        <v>7.02</v>
      </c>
    </row>
    <row r="186" spans="1:3">
      <c r="B186" s="330">
        <v>8812288396</v>
      </c>
      <c r="C186" s="126">
        <v>7.02</v>
      </c>
    </row>
    <row r="187" spans="1:3">
      <c r="B187" s="330">
        <v>8812288397</v>
      </c>
      <c r="C187" s="126">
        <v>7.02</v>
      </c>
    </row>
    <row r="188" spans="1:3">
      <c r="B188" s="330">
        <v>8812288398</v>
      </c>
      <c r="C188" s="126">
        <v>7.02</v>
      </c>
    </row>
    <row r="189" spans="1:3">
      <c r="B189" s="330">
        <v>8812288399</v>
      </c>
      <c r="C189" s="126">
        <v>7.02</v>
      </c>
    </row>
    <row r="190" spans="1:3">
      <c r="B190" s="330">
        <v>8812288400</v>
      </c>
      <c r="C190" s="126">
        <v>7.02</v>
      </c>
    </row>
    <row r="191" spans="1:3">
      <c r="B191" s="330">
        <v>8812288401</v>
      </c>
      <c r="C191" s="126">
        <v>7.02</v>
      </c>
    </row>
    <row r="192" spans="1:3">
      <c r="A192" s="123" t="s">
        <v>42</v>
      </c>
      <c r="B192" s="327"/>
      <c r="C192" s="128"/>
    </row>
    <row r="193" spans="2:3">
      <c r="B193" s="125" t="s">
        <v>40</v>
      </c>
      <c r="C193" s="138" t="s">
        <v>41</v>
      </c>
    </row>
    <row r="194" spans="2:3">
      <c r="B194" s="131"/>
      <c r="C194" s="132"/>
    </row>
    <row r="195" spans="2:3">
      <c r="B195" s="331">
        <v>8812288263</v>
      </c>
      <c r="C195" s="126">
        <v>7.02</v>
      </c>
    </row>
    <row r="196" spans="2:3">
      <c r="B196" s="331">
        <v>8812288264</v>
      </c>
      <c r="C196" s="126">
        <v>7.02</v>
      </c>
    </row>
    <row r="197" spans="2:3">
      <c r="B197" s="331">
        <v>8812288265</v>
      </c>
      <c r="C197" s="126">
        <v>7.02</v>
      </c>
    </row>
    <row r="198" spans="2:3">
      <c r="B198" s="331">
        <v>8812288266</v>
      </c>
      <c r="C198" s="126">
        <v>7.02</v>
      </c>
    </row>
    <row r="199" spans="2:3">
      <c r="B199" s="331">
        <v>8812288267</v>
      </c>
      <c r="C199" s="126">
        <v>7.02</v>
      </c>
    </row>
    <row r="200" spans="2:3">
      <c r="B200" s="331">
        <v>8812288268</v>
      </c>
      <c r="C200" s="126">
        <v>7.02</v>
      </c>
    </row>
    <row r="201" spans="2:3">
      <c r="B201" s="331">
        <v>8812288269</v>
      </c>
      <c r="C201" s="126">
        <v>7.02</v>
      </c>
    </row>
    <row r="202" spans="2:3">
      <c r="B202" s="331">
        <v>8812288270</v>
      </c>
      <c r="C202" s="126">
        <v>7.02</v>
      </c>
    </row>
    <row r="203" spans="2:3">
      <c r="B203" s="331">
        <v>8812288271</v>
      </c>
      <c r="C203" s="126">
        <v>7.02</v>
      </c>
    </row>
    <row r="204" spans="2:3">
      <c r="B204" s="331">
        <v>8812288272</v>
      </c>
      <c r="C204" s="126">
        <v>7.02</v>
      </c>
    </row>
    <row r="205" spans="2:3">
      <c r="B205" s="133"/>
      <c r="C205" s="132"/>
    </row>
    <row r="206" spans="2:3">
      <c r="B206" s="332">
        <v>8812288273</v>
      </c>
      <c r="C206" s="126">
        <v>7.02</v>
      </c>
    </row>
    <row r="207" spans="2:3">
      <c r="B207" s="333">
        <v>8812288274</v>
      </c>
      <c r="C207" s="126">
        <v>7.02</v>
      </c>
    </row>
    <row r="208" spans="2:3">
      <c r="B208" s="334">
        <v>8812288275</v>
      </c>
      <c r="C208" s="126">
        <v>7.02</v>
      </c>
    </row>
    <row r="209" spans="2:3">
      <c r="B209" s="332">
        <v>8812288276</v>
      </c>
      <c r="C209" s="126">
        <v>7.02</v>
      </c>
    </row>
    <row r="210" spans="2:3">
      <c r="B210" s="332">
        <v>8812288277</v>
      </c>
      <c r="C210" s="126">
        <v>7.02</v>
      </c>
    </row>
    <row r="211" spans="2:3">
      <c r="B211" s="332">
        <v>8812288278</v>
      </c>
      <c r="C211" s="126">
        <v>7.02</v>
      </c>
    </row>
    <row r="212" spans="2:3">
      <c r="B212" s="334">
        <v>8812288279</v>
      </c>
      <c r="C212" s="126">
        <v>7.02</v>
      </c>
    </row>
    <row r="213" spans="2:3">
      <c r="B213" s="332">
        <v>8812288280</v>
      </c>
      <c r="C213" s="126">
        <v>7.02</v>
      </c>
    </row>
    <row r="214" spans="2:3">
      <c r="B214" s="334">
        <v>8812288281</v>
      </c>
      <c r="C214" s="126">
        <v>7.02</v>
      </c>
    </row>
    <row r="215" spans="2:3">
      <c r="B215" s="334">
        <v>8812288282</v>
      </c>
      <c r="C215" s="126">
        <v>7.02</v>
      </c>
    </row>
    <row r="216" spans="2:3">
      <c r="B216" s="334">
        <v>8812288283</v>
      </c>
      <c r="C216" s="126">
        <v>7.02</v>
      </c>
    </row>
    <row r="217" spans="2:3">
      <c r="B217" s="335">
        <v>8812288284</v>
      </c>
      <c r="C217" s="126">
        <v>7.02</v>
      </c>
    </row>
    <row r="218" spans="2:3">
      <c r="B218" s="335">
        <v>8812288285</v>
      </c>
      <c r="C218" s="126">
        <v>7.02</v>
      </c>
    </row>
    <row r="219" spans="2:3">
      <c r="B219" s="332">
        <v>8812288286</v>
      </c>
      <c r="C219" s="126">
        <v>7.02</v>
      </c>
    </row>
    <row r="220" spans="2:3">
      <c r="B220" s="332">
        <v>8812288287</v>
      </c>
      <c r="C220" s="126">
        <v>7.02</v>
      </c>
    </row>
    <row r="221" spans="2:3">
      <c r="B221" s="332">
        <v>8812288288</v>
      </c>
      <c r="C221" s="126">
        <v>7.02</v>
      </c>
    </row>
    <row r="222" spans="2:3">
      <c r="B222" s="332">
        <v>8812288289</v>
      </c>
      <c r="C222" s="126">
        <v>7.02</v>
      </c>
    </row>
    <row r="223" spans="2:3">
      <c r="B223" s="134"/>
      <c r="C223" s="132"/>
    </row>
    <row r="224" spans="2:3">
      <c r="B224" s="332">
        <v>8818188292</v>
      </c>
      <c r="C224" s="126">
        <v>7.02</v>
      </c>
    </row>
    <row r="225" spans="2:3">
      <c r="B225" s="332">
        <v>8818188293</v>
      </c>
      <c r="C225" s="126">
        <v>7.02</v>
      </c>
    </row>
    <row r="226" spans="2:3">
      <c r="B226" s="332">
        <v>8818188294</v>
      </c>
      <c r="C226" s="126">
        <v>7.02</v>
      </c>
    </row>
    <row r="227" spans="2:3">
      <c r="B227" s="332">
        <v>8818188295</v>
      </c>
      <c r="C227" s="126">
        <v>7.02</v>
      </c>
    </row>
    <row r="228" spans="2:3">
      <c r="B228" s="332">
        <v>8818188296</v>
      </c>
      <c r="C228" s="126">
        <v>7.02</v>
      </c>
    </row>
    <row r="229" spans="2:3">
      <c r="B229" s="332">
        <v>8818188297</v>
      </c>
      <c r="C229" s="126">
        <v>7.02</v>
      </c>
    </row>
    <row r="230" spans="2:3">
      <c r="B230" s="332">
        <v>8818188298</v>
      </c>
      <c r="C230" s="126">
        <v>7.02</v>
      </c>
    </row>
    <row r="231" spans="2:3">
      <c r="B231" s="134"/>
      <c r="C231" s="132"/>
    </row>
    <row r="232" spans="2:3">
      <c r="B232" s="336">
        <v>8812288290</v>
      </c>
      <c r="C232" s="126">
        <v>7.02</v>
      </c>
    </row>
    <row r="233" spans="2:3">
      <c r="B233" s="336">
        <v>8812288291</v>
      </c>
      <c r="C233" s="126">
        <v>7.02</v>
      </c>
    </row>
    <row r="234" spans="2:3">
      <c r="B234" s="336">
        <v>8812288292</v>
      </c>
      <c r="C234" s="126">
        <v>7.02</v>
      </c>
    </row>
    <row r="235" spans="2:3">
      <c r="B235" s="336">
        <v>8812288293</v>
      </c>
      <c r="C235" s="126">
        <v>7.02</v>
      </c>
    </row>
    <row r="236" spans="2:3">
      <c r="B236" s="336">
        <v>8812288294</v>
      </c>
      <c r="C236" s="126">
        <v>7.02</v>
      </c>
    </row>
    <row r="237" spans="2:3">
      <c r="B237" s="336">
        <v>8812288295</v>
      </c>
      <c r="C237" s="126">
        <v>7.02</v>
      </c>
    </row>
    <row r="238" spans="2:3">
      <c r="B238" s="336">
        <v>8812288296</v>
      </c>
      <c r="C238" s="126">
        <v>7.02</v>
      </c>
    </row>
    <row r="239" spans="2:3">
      <c r="B239" s="332">
        <v>8812288297</v>
      </c>
      <c r="C239" s="126">
        <v>7.02</v>
      </c>
    </row>
    <row r="240" spans="2:3">
      <c r="B240" s="332">
        <v>8812288298</v>
      </c>
      <c r="C240" s="126">
        <v>7.02</v>
      </c>
    </row>
    <row r="241" spans="2:3">
      <c r="B241" s="332">
        <v>8812288299</v>
      </c>
      <c r="C241" s="126">
        <v>7.02</v>
      </c>
    </row>
    <row r="242" spans="2:3">
      <c r="B242" s="332">
        <v>8812288300</v>
      </c>
      <c r="C242" s="126">
        <v>7.02</v>
      </c>
    </row>
    <row r="243" spans="2:3">
      <c r="B243" s="332">
        <v>8812288301</v>
      </c>
      <c r="C243" s="126">
        <v>7.02</v>
      </c>
    </row>
    <row r="244" spans="2:3">
      <c r="B244" s="336">
        <v>8812288302</v>
      </c>
      <c r="C244" s="126">
        <v>7.02</v>
      </c>
    </row>
    <row r="245" spans="2:3">
      <c r="B245" s="336">
        <v>8812288303</v>
      </c>
      <c r="C245" s="126">
        <v>7.02</v>
      </c>
    </row>
    <row r="246" spans="2:3">
      <c r="B246" s="332">
        <v>8812288304</v>
      </c>
      <c r="C246" s="126">
        <v>7.02</v>
      </c>
    </row>
    <row r="247" spans="2:3">
      <c r="B247" s="332">
        <v>8812288305</v>
      </c>
      <c r="C247" s="126">
        <v>7.02</v>
      </c>
    </row>
    <row r="248" spans="2:3">
      <c r="B248" s="336">
        <v>8812288306</v>
      </c>
      <c r="C248" s="126">
        <v>7.02</v>
      </c>
    </row>
    <row r="249" spans="2:3">
      <c r="B249" s="336">
        <v>8812288307</v>
      </c>
      <c r="C249" s="126">
        <v>7.02</v>
      </c>
    </row>
    <row r="250" spans="2:3">
      <c r="B250" s="134"/>
      <c r="C250" s="132"/>
    </row>
    <row r="251" spans="2:3">
      <c r="B251" s="332">
        <v>8812288308</v>
      </c>
      <c r="C251" s="126">
        <v>7.02</v>
      </c>
    </row>
    <row r="252" spans="2:3">
      <c r="B252" s="332">
        <v>8812288309</v>
      </c>
      <c r="C252" s="126">
        <v>7.02</v>
      </c>
    </row>
    <row r="253" spans="2:3">
      <c r="B253" s="332">
        <v>8812288310</v>
      </c>
      <c r="C253" s="126">
        <v>7.02</v>
      </c>
    </row>
    <row r="254" spans="2:3">
      <c r="B254" s="332">
        <v>8812288311</v>
      </c>
      <c r="C254" s="126">
        <v>7.02</v>
      </c>
    </row>
    <row r="255" spans="2:3">
      <c r="B255" s="334">
        <v>8812288312</v>
      </c>
      <c r="C255" s="126">
        <v>7.02</v>
      </c>
    </row>
    <row r="256" spans="2:3">
      <c r="B256" s="334">
        <v>8812288313</v>
      </c>
      <c r="C256" s="126">
        <v>7.02</v>
      </c>
    </row>
    <row r="257" spans="2:3">
      <c r="B257" s="336">
        <v>8812288314</v>
      </c>
      <c r="C257" s="126">
        <v>7.02</v>
      </c>
    </row>
    <row r="258" spans="2:3">
      <c r="B258" s="134"/>
      <c r="C258" s="132"/>
    </row>
    <row r="259" spans="2:3">
      <c r="B259" s="334">
        <v>8812288315</v>
      </c>
      <c r="C259" s="126">
        <v>7.02</v>
      </c>
    </row>
    <row r="260" spans="2:3">
      <c r="B260" s="336">
        <v>8812288316</v>
      </c>
      <c r="C260" s="126">
        <v>7.02</v>
      </c>
    </row>
    <row r="261" spans="2:3">
      <c r="B261" s="332">
        <v>8812288317</v>
      </c>
      <c r="C261" s="126">
        <v>7.02</v>
      </c>
    </row>
    <row r="262" spans="2:3">
      <c r="B262" s="332">
        <v>8812288318</v>
      </c>
      <c r="C262" s="126">
        <v>7.02</v>
      </c>
    </row>
    <row r="263" spans="2:3">
      <c r="B263" s="332">
        <v>8812288319</v>
      </c>
      <c r="C263" s="126">
        <v>7.02</v>
      </c>
    </row>
    <row r="264" spans="2:3">
      <c r="B264" s="332">
        <v>8812288320</v>
      </c>
      <c r="C264" s="126">
        <v>7.02</v>
      </c>
    </row>
    <row r="265" spans="2:3">
      <c r="B265" s="332">
        <v>8812288321</v>
      </c>
      <c r="C265" s="126">
        <v>7.02</v>
      </c>
    </row>
    <row r="266" spans="2:3">
      <c r="B266" s="332">
        <v>8812288322</v>
      </c>
      <c r="C266" s="126">
        <v>7.02</v>
      </c>
    </row>
    <row r="267" spans="2:3">
      <c r="B267" s="134"/>
      <c r="C267" s="132"/>
    </row>
    <row r="268" spans="2:3">
      <c r="B268" s="335">
        <v>8812288323</v>
      </c>
      <c r="C268" s="126">
        <v>7.02</v>
      </c>
    </row>
    <row r="269" spans="2:3">
      <c r="B269" s="332">
        <v>8812288324</v>
      </c>
      <c r="C269" s="126">
        <v>7.02</v>
      </c>
    </row>
    <row r="270" spans="2:3">
      <c r="B270" s="332">
        <v>8812288325</v>
      </c>
      <c r="C270" s="126">
        <v>7.02</v>
      </c>
    </row>
    <row r="271" spans="2:3">
      <c r="B271" s="332">
        <v>8812288326</v>
      </c>
      <c r="C271" s="126">
        <v>7.02</v>
      </c>
    </row>
    <row r="272" spans="2:3">
      <c r="B272" s="332">
        <v>8812288327</v>
      </c>
      <c r="C272" s="126">
        <v>7.02</v>
      </c>
    </row>
    <row r="273" spans="2:3">
      <c r="B273" s="332">
        <v>8812288328</v>
      </c>
      <c r="C273" s="126">
        <v>7.02</v>
      </c>
    </row>
    <row r="274" spans="2:3">
      <c r="B274" s="332">
        <v>8812288329</v>
      </c>
      <c r="C274" s="126">
        <v>7.02</v>
      </c>
    </row>
    <row r="275" spans="2:3">
      <c r="B275" s="332">
        <v>8812288330</v>
      </c>
      <c r="C275" s="126">
        <v>7.02</v>
      </c>
    </row>
    <row r="276" spans="2:3">
      <c r="B276" s="133"/>
      <c r="C276" s="132"/>
    </row>
    <row r="277" spans="2:3">
      <c r="B277" s="332">
        <v>8812288331</v>
      </c>
      <c r="C277" s="126">
        <v>7.02</v>
      </c>
    </row>
    <row r="278" spans="2:3">
      <c r="B278" s="332">
        <v>8812288332</v>
      </c>
      <c r="C278" s="126">
        <v>7.02</v>
      </c>
    </row>
    <row r="279" spans="2:3">
      <c r="B279" s="332">
        <v>8812288333</v>
      </c>
      <c r="C279" s="126">
        <v>7.02</v>
      </c>
    </row>
    <row r="280" spans="2:3">
      <c r="B280" s="332">
        <v>8812288334</v>
      </c>
      <c r="C280" s="126">
        <v>7.02</v>
      </c>
    </row>
    <row r="281" spans="2:3">
      <c r="B281" s="332">
        <v>8812288335</v>
      </c>
      <c r="C281" s="126">
        <v>7.02</v>
      </c>
    </row>
    <row r="282" spans="2:3">
      <c r="B282" s="332">
        <v>8812288336</v>
      </c>
      <c r="C282" s="126">
        <v>7.02</v>
      </c>
    </row>
    <row r="283" spans="2:3">
      <c r="B283" s="332">
        <v>8812288337</v>
      </c>
      <c r="C283" s="126">
        <v>7.02</v>
      </c>
    </row>
    <row r="284" spans="2:3">
      <c r="B284" s="332">
        <v>8812288338</v>
      </c>
      <c r="C284" s="126">
        <v>7.02</v>
      </c>
    </row>
    <row r="285" spans="2:3">
      <c r="B285" s="133"/>
      <c r="C285" s="132"/>
    </row>
    <row r="286" spans="2:3">
      <c r="B286" s="332">
        <v>8812288339</v>
      </c>
      <c r="C286" s="126">
        <v>7.03</v>
      </c>
    </row>
    <row r="287" spans="2:3">
      <c r="B287" s="332">
        <v>8812288340</v>
      </c>
      <c r="C287" s="126">
        <v>7.03</v>
      </c>
    </row>
    <row r="288" spans="2:3">
      <c r="B288" s="332">
        <v>8812288341</v>
      </c>
      <c r="C288" s="126">
        <v>7.03</v>
      </c>
    </row>
    <row r="289" spans="2:3">
      <c r="B289" s="332">
        <v>8812288342</v>
      </c>
      <c r="C289" s="126">
        <v>7.03</v>
      </c>
    </row>
    <row r="290" spans="2:3">
      <c r="B290" s="332">
        <v>8812288343</v>
      </c>
      <c r="C290" s="126">
        <v>7.03</v>
      </c>
    </row>
    <row r="291" spans="2:3">
      <c r="B291" s="332">
        <v>8812288344</v>
      </c>
      <c r="C291" s="126">
        <v>7.03</v>
      </c>
    </row>
    <row r="292" spans="2:3">
      <c r="B292" s="332">
        <v>8812288345</v>
      </c>
      <c r="C292" s="126">
        <v>7.03</v>
      </c>
    </row>
    <row r="293" spans="2:3">
      <c r="B293" s="337">
        <v>8812288346</v>
      </c>
      <c r="C293" s="126">
        <v>7.03</v>
      </c>
    </row>
    <row r="294" spans="2:3">
      <c r="B294" s="135"/>
      <c r="C294" s="139"/>
    </row>
    <row r="295" spans="2:3">
      <c r="B295" s="332">
        <v>8818188299</v>
      </c>
      <c r="C295" s="126">
        <v>7.03</v>
      </c>
    </row>
    <row r="296" spans="2:3">
      <c r="B296" s="332">
        <v>8818188300</v>
      </c>
      <c r="C296" s="126">
        <v>7.03</v>
      </c>
    </row>
    <row r="297" spans="2:3">
      <c r="B297" s="332">
        <v>8818188301</v>
      </c>
      <c r="C297" s="126">
        <v>7.03</v>
      </c>
    </row>
    <row r="298" spans="2:3">
      <c r="B298" s="332">
        <v>8818188302</v>
      </c>
      <c r="C298" s="126">
        <v>7.03</v>
      </c>
    </row>
    <row r="299" spans="2:3">
      <c r="B299" s="332">
        <v>8818188303</v>
      </c>
      <c r="C299" s="126">
        <v>7.03</v>
      </c>
    </row>
    <row r="300" spans="2:3">
      <c r="B300" s="332">
        <v>8818188304</v>
      </c>
      <c r="C300" s="126">
        <v>7.03</v>
      </c>
    </row>
    <row r="301" spans="2:3">
      <c r="B301" s="332">
        <v>8818188305</v>
      </c>
      <c r="C301" s="126">
        <v>7.03</v>
      </c>
    </row>
    <row r="302" spans="2:3">
      <c r="B302" s="332">
        <v>8818188306</v>
      </c>
      <c r="C302" s="126">
        <v>7.03</v>
      </c>
    </row>
    <row r="303" spans="2:3">
      <c r="B303" s="332">
        <v>8818188307</v>
      </c>
      <c r="C303" s="126">
        <v>7.03</v>
      </c>
    </row>
    <row r="304" spans="2:3">
      <c r="B304" s="134"/>
      <c r="C304" s="132"/>
    </row>
    <row r="305" spans="2:3">
      <c r="B305" s="332">
        <v>8818188308</v>
      </c>
      <c r="C305" s="126">
        <v>7.02</v>
      </c>
    </row>
    <row r="306" spans="2:3">
      <c r="B306" s="332">
        <v>8818188309</v>
      </c>
      <c r="C306" s="126">
        <v>7.02</v>
      </c>
    </row>
    <row r="307" spans="2:3">
      <c r="B307" s="332">
        <v>8818188310</v>
      </c>
      <c r="C307" s="126">
        <v>7.02</v>
      </c>
    </row>
    <row r="308" spans="2:3">
      <c r="B308" s="332">
        <v>8812315582</v>
      </c>
      <c r="C308" s="126">
        <v>7.02</v>
      </c>
    </row>
    <row r="309" spans="2:3">
      <c r="B309" s="332">
        <v>8812323454</v>
      </c>
      <c r="C309" s="126">
        <v>7.03</v>
      </c>
    </row>
    <row r="310" spans="2:3">
      <c r="B310" s="332">
        <v>8812323453</v>
      </c>
      <c r="C310" s="126">
        <v>7.02</v>
      </c>
    </row>
    <row r="311" spans="2:3">
      <c r="B311" s="332">
        <v>8812380405</v>
      </c>
      <c r="C311" s="126">
        <v>7.02</v>
      </c>
    </row>
    <row r="312" spans="2:3">
      <c r="B312" s="332">
        <v>8812380399</v>
      </c>
      <c r="C312" s="126">
        <v>7.03</v>
      </c>
    </row>
    <row r="313" spans="2:3">
      <c r="B313" s="332">
        <v>8812098857</v>
      </c>
      <c r="C313" s="126">
        <v>7.03</v>
      </c>
    </row>
    <row r="314" spans="2:3">
      <c r="B314" s="332">
        <v>8818188242</v>
      </c>
      <c r="C314" s="126">
        <v>7.02</v>
      </c>
    </row>
    <row r="315" spans="2:3">
      <c r="B315" s="332">
        <v>8818188282</v>
      </c>
      <c r="C315" s="126">
        <v>7.02</v>
      </c>
    </row>
    <row r="316" spans="2:3">
      <c r="B316" s="332">
        <v>8812288269</v>
      </c>
      <c r="C316" s="126">
        <v>7.02</v>
      </c>
    </row>
    <row r="317" spans="2:3">
      <c r="B317" s="332">
        <v>8812288270</v>
      </c>
      <c r="C317" s="126">
        <v>7.02</v>
      </c>
    </row>
    <row r="318" spans="2:3">
      <c r="B318" s="332">
        <v>8812288279</v>
      </c>
      <c r="C318" s="126">
        <v>7.02</v>
      </c>
    </row>
    <row r="319" spans="2:3">
      <c r="B319" s="332">
        <v>8812288292</v>
      </c>
      <c r="C319" s="126">
        <v>7.02</v>
      </c>
    </row>
    <row r="320" spans="2:3">
      <c r="B320" s="332">
        <v>8812288302</v>
      </c>
      <c r="C320" s="126">
        <v>7.02</v>
      </c>
    </row>
    <row r="321" spans="2:3">
      <c r="B321" s="332">
        <v>8818188232</v>
      </c>
      <c r="C321" s="126">
        <v>7.02</v>
      </c>
    </row>
    <row r="322" spans="2:3">
      <c r="B322" s="332">
        <v>8818188241</v>
      </c>
      <c r="C322" s="126">
        <v>7.02</v>
      </c>
    </row>
    <row r="323" spans="2:3">
      <c r="B323" s="332">
        <v>8812288296</v>
      </c>
      <c r="C323" s="126">
        <v>7.02</v>
      </c>
    </row>
    <row r="324" spans="2:3">
      <c r="B324" s="332">
        <v>8812288303</v>
      </c>
      <c r="C324" s="126">
        <v>7.02</v>
      </c>
    </row>
    <row r="325" spans="2:3">
      <c r="B325" s="332">
        <v>8812288290</v>
      </c>
      <c r="C325" s="126">
        <v>7.02</v>
      </c>
    </row>
    <row r="326" spans="2:3">
      <c r="B326" s="332">
        <v>8818188292</v>
      </c>
      <c r="C326" s="126">
        <v>7.02</v>
      </c>
    </row>
    <row r="327" spans="2:3">
      <c r="B327" s="332">
        <v>8818188297</v>
      </c>
      <c r="C327" s="126">
        <v>7.02</v>
      </c>
    </row>
    <row r="328" spans="2:3">
      <c r="B328" s="332">
        <v>8812288291</v>
      </c>
      <c r="C328" s="126">
        <v>7.02</v>
      </c>
    </row>
    <row r="329" spans="2:3">
      <c r="B329" s="332">
        <v>8812288265</v>
      </c>
      <c r="C329" s="126">
        <v>7.02</v>
      </c>
    </row>
    <row r="330" spans="2:3">
      <c r="B330" s="332">
        <v>8812288294</v>
      </c>
      <c r="C330" s="126">
        <v>7.02</v>
      </c>
    </row>
    <row r="331" spans="2:3">
      <c r="B331" s="332">
        <v>8812288293</v>
      </c>
      <c r="C331" s="126">
        <v>7.02</v>
      </c>
    </row>
    <row r="332" spans="2:3">
      <c r="B332" s="332">
        <v>8812288307</v>
      </c>
      <c r="C332" s="126">
        <v>7.02</v>
      </c>
    </row>
    <row r="333" spans="2:3">
      <c r="B333" s="332">
        <v>8812288305</v>
      </c>
      <c r="C333" s="126">
        <v>7.02</v>
      </c>
    </row>
    <row r="334" spans="2:3">
      <c r="B334" s="332">
        <v>8812288300</v>
      </c>
      <c r="C334" s="126">
        <v>7.02</v>
      </c>
    </row>
    <row r="335" spans="2:3">
      <c r="B335" s="332">
        <v>8812288282</v>
      </c>
      <c r="C335" s="126">
        <v>7.02</v>
      </c>
    </row>
    <row r="336" spans="2:3">
      <c r="B336" s="332">
        <v>8812288267</v>
      </c>
      <c r="C336" s="126">
        <v>7.02</v>
      </c>
    </row>
    <row r="337" spans="2:3">
      <c r="B337" s="332">
        <v>8818188234</v>
      </c>
      <c r="C337" s="126">
        <v>7.02</v>
      </c>
    </row>
    <row r="338" spans="2:3">
      <c r="B338" s="332">
        <v>8812288267</v>
      </c>
      <c r="C338" s="126">
        <v>7.02</v>
      </c>
    </row>
    <row r="339" spans="2:3">
      <c r="B339" s="332">
        <v>8812288298</v>
      </c>
      <c r="C339" s="126">
        <v>7.02</v>
      </c>
    </row>
    <row r="340" spans="2:3">
      <c r="B340" s="332">
        <v>8812380385</v>
      </c>
      <c r="C340" s="126">
        <v>7.02</v>
      </c>
    </row>
    <row r="341" spans="2:3">
      <c r="B341" s="332">
        <v>8812380372</v>
      </c>
      <c r="C341" s="126">
        <v>7.02</v>
      </c>
    </row>
    <row r="342" spans="2:3">
      <c r="B342" s="332">
        <v>8812380361</v>
      </c>
      <c r="C342" s="126">
        <v>7.02</v>
      </c>
    </row>
    <row r="343" spans="2:3">
      <c r="B343" s="332">
        <v>8812380359</v>
      </c>
      <c r="C343" s="126">
        <v>7.02</v>
      </c>
    </row>
    <row r="344" spans="2:3">
      <c r="B344" s="332">
        <v>8812380353</v>
      </c>
      <c r="C344" s="126">
        <v>7.02</v>
      </c>
    </row>
    <row r="345" spans="2:3">
      <c r="B345" s="332">
        <v>8812380289</v>
      </c>
      <c r="C345" s="126">
        <v>7.02</v>
      </c>
    </row>
    <row r="346" spans="2:3">
      <c r="B346" s="332">
        <v>8812380404</v>
      </c>
      <c r="C346" s="126">
        <v>7.02</v>
      </c>
    </row>
    <row r="347" spans="2:3">
      <c r="B347" s="332">
        <v>8812380403</v>
      </c>
      <c r="C347" s="126">
        <v>7.02</v>
      </c>
    </row>
    <row r="348" spans="2:3">
      <c r="B348" s="332">
        <v>8812380402</v>
      </c>
      <c r="C348" s="126">
        <v>7.02</v>
      </c>
    </row>
    <row r="349" spans="2:3">
      <c r="B349" s="332">
        <v>8818241243</v>
      </c>
      <c r="C349" s="126">
        <v>7.02</v>
      </c>
    </row>
    <row r="350" spans="2:3">
      <c r="B350" s="332">
        <v>8818241183</v>
      </c>
      <c r="C350" s="126">
        <v>7.02</v>
      </c>
    </row>
    <row r="351" spans="2:3">
      <c r="B351" s="332">
        <v>8818241193</v>
      </c>
      <c r="C351" s="126">
        <v>7.02</v>
      </c>
    </row>
    <row r="352" spans="2:3">
      <c r="B352" s="332">
        <v>8818241243</v>
      </c>
      <c r="C352" s="126">
        <v>7.02</v>
      </c>
    </row>
    <row r="353" spans="2:3">
      <c r="B353" s="332">
        <v>8818241279</v>
      </c>
      <c r="C353" s="126">
        <v>7.02</v>
      </c>
    </row>
    <row r="354" spans="2:3">
      <c r="B354" s="332">
        <v>8818241205</v>
      </c>
      <c r="C354" s="126">
        <v>7.02</v>
      </c>
    </row>
    <row r="355" spans="2:3">
      <c r="B355" s="332">
        <v>8812380351</v>
      </c>
      <c r="C355" s="126">
        <v>7.02</v>
      </c>
    </row>
    <row r="356" spans="2:3">
      <c r="B356" s="332">
        <v>8812380367</v>
      </c>
      <c r="C356" s="126">
        <v>7.02</v>
      </c>
    </row>
    <row r="357" spans="2:3">
      <c r="B357" s="332">
        <v>8812380402</v>
      </c>
      <c r="C357" s="126">
        <v>7.02</v>
      </c>
    </row>
    <row r="358" spans="2:3">
      <c r="B358" s="332">
        <v>8812380403</v>
      </c>
      <c r="C358" s="126">
        <v>7.02</v>
      </c>
    </row>
    <row r="359" spans="2:3">
      <c r="B359" s="332">
        <v>8812380404</v>
      </c>
      <c r="C359" s="126">
        <v>7.02</v>
      </c>
    </row>
    <row r="360" spans="2:3">
      <c r="B360" s="332">
        <v>8812380314</v>
      </c>
      <c r="C360" s="126">
        <v>7.02</v>
      </c>
    </row>
    <row r="361" spans="2:3">
      <c r="B361" s="332">
        <v>8812380387</v>
      </c>
      <c r="C361" s="126">
        <v>7.02</v>
      </c>
    </row>
    <row r="362" spans="2:3">
      <c r="B362" s="332">
        <v>8812380385</v>
      </c>
      <c r="C362" s="126">
        <v>7.02</v>
      </c>
    </row>
    <row r="363" spans="2:3">
      <c r="B363" s="332">
        <v>8812380352</v>
      </c>
      <c r="C363" s="126">
        <v>7.02</v>
      </c>
    </row>
    <row r="364" spans="2:3">
      <c r="B364" s="332">
        <v>8812380374</v>
      </c>
      <c r="C364" s="126">
        <v>7.02</v>
      </c>
    </row>
    <row r="365" spans="2:3">
      <c r="B365" s="332">
        <v>8812380377</v>
      </c>
      <c r="C365" s="126">
        <v>7.02</v>
      </c>
    </row>
    <row r="366" spans="2:3">
      <c r="B366" s="332">
        <v>8812380290</v>
      </c>
      <c r="C366" s="126">
        <v>7.02</v>
      </c>
    </row>
    <row r="367" spans="2:3">
      <c r="B367" s="332">
        <v>8812380387</v>
      </c>
      <c r="C367" s="126">
        <v>7.02</v>
      </c>
    </row>
    <row r="368" spans="2:3">
      <c r="B368" s="332">
        <v>8812380385</v>
      </c>
      <c r="C368" s="126">
        <v>7.02</v>
      </c>
    </row>
    <row r="369" spans="2:3">
      <c r="B369" s="332">
        <v>8812380367</v>
      </c>
      <c r="C369" s="126">
        <v>7.02</v>
      </c>
    </row>
    <row r="370" spans="2:3">
      <c r="B370" s="332">
        <v>8812380283</v>
      </c>
      <c r="C370" s="126">
        <v>7.02</v>
      </c>
    </row>
    <row r="371" spans="2:3">
      <c r="B371" s="332">
        <v>8812380273</v>
      </c>
      <c r="C371" s="126">
        <v>7.02</v>
      </c>
    </row>
    <row r="372" spans="2:3">
      <c r="B372" s="332">
        <v>8818241193</v>
      </c>
      <c r="C372" s="126">
        <v>7.02</v>
      </c>
    </row>
    <row r="373" spans="2:3">
      <c r="B373" s="332">
        <v>8818241191</v>
      </c>
      <c r="C373" s="126">
        <v>7.02</v>
      </c>
    </row>
    <row r="374" spans="2:3">
      <c r="B374" s="332">
        <v>8818241189</v>
      </c>
      <c r="C374" s="126">
        <v>7.02</v>
      </c>
    </row>
    <row r="375" spans="2:3">
      <c r="B375" s="332">
        <v>8812380368</v>
      </c>
      <c r="C375" s="126">
        <v>7.02</v>
      </c>
    </row>
    <row r="376" spans="2:3">
      <c r="B376" s="332">
        <v>8812380283</v>
      </c>
      <c r="C376" s="126">
        <v>7.02</v>
      </c>
    </row>
    <row r="377" spans="2:3">
      <c r="B377" s="332">
        <v>8818241191</v>
      </c>
      <c r="C377" s="126">
        <v>7.02</v>
      </c>
    </row>
    <row r="378" spans="2:3">
      <c r="B378" s="332">
        <v>8812380298</v>
      </c>
      <c r="C378" s="126">
        <v>7.02</v>
      </c>
    </row>
    <row r="379" spans="2:3">
      <c r="B379" s="332">
        <v>8812380298</v>
      </c>
      <c r="C379" s="126">
        <v>7.02</v>
      </c>
    </row>
    <row r="380" spans="2:3">
      <c r="B380" s="332">
        <v>8818241191</v>
      </c>
      <c r="C380" s="126">
        <v>7.02</v>
      </c>
    </row>
    <row r="381" spans="2:3">
      <c r="B381" s="332">
        <v>8812380374</v>
      </c>
      <c r="C381" s="126">
        <v>7.02</v>
      </c>
    </row>
    <row r="382" spans="2:3">
      <c r="B382" s="332">
        <v>8812380352</v>
      </c>
      <c r="C382" s="126">
        <v>7.02</v>
      </c>
    </row>
    <row r="383" spans="2:3">
      <c r="B383" s="332">
        <v>8812380289</v>
      </c>
      <c r="C383" s="126">
        <v>7.02</v>
      </c>
    </row>
    <row r="384" spans="2:3">
      <c r="B384" s="332">
        <v>8812380385</v>
      </c>
      <c r="C384" s="126">
        <v>7.02</v>
      </c>
    </row>
    <row r="385" spans="2:3">
      <c r="B385" s="332">
        <v>8818241292</v>
      </c>
      <c r="C385" s="126">
        <v>7.02</v>
      </c>
    </row>
    <row r="386" spans="2:3">
      <c r="B386" s="332">
        <v>8818241243</v>
      </c>
      <c r="C386" s="126">
        <v>7.02</v>
      </c>
    </row>
    <row r="387" spans="2:3">
      <c r="B387" s="332">
        <v>8818241183</v>
      </c>
      <c r="C387" s="126">
        <v>7.02</v>
      </c>
    </row>
    <row r="388" spans="2:3">
      <c r="B388" s="332">
        <v>8812380404</v>
      </c>
      <c r="C388" s="126">
        <v>7.02</v>
      </c>
    </row>
    <row r="389" spans="2:3">
      <c r="B389" s="332">
        <v>8812380403</v>
      </c>
      <c r="C389" s="126">
        <v>7.02</v>
      </c>
    </row>
    <row r="390" spans="2:3">
      <c r="B390" s="332">
        <v>8812380402</v>
      </c>
      <c r="C390" s="126">
        <v>7.02</v>
      </c>
    </row>
    <row r="391" spans="2:3">
      <c r="B391" s="332">
        <v>8812380370</v>
      </c>
      <c r="C391" s="126">
        <v>7.02</v>
      </c>
    </row>
    <row r="392" spans="2:3">
      <c r="B392" s="332">
        <v>8812380373</v>
      </c>
      <c r="C392" s="126">
        <v>7.02</v>
      </c>
    </row>
    <row r="393" spans="2:3">
      <c r="B393" s="332">
        <v>8812380358</v>
      </c>
      <c r="C393" s="126">
        <v>7.02</v>
      </c>
    </row>
    <row r="394" spans="2:3">
      <c r="B394" s="332">
        <v>8812380351</v>
      </c>
      <c r="C394" s="126">
        <v>7.02</v>
      </c>
    </row>
    <row r="395" spans="2:3">
      <c r="B395" s="332">
        <v>8812380313</v>
      </c>
      <c r="C395" s="126">
        <v>7.02</v>
      </c>
    </row>
    <row r="396" spans="2:3">
      <c r="B396" s="332">
        <v>8812380402</v>
      </c>
      <c r="C396" s="126">
        <v>7.02</v>
      </c>
    </row>
    <row r="397" spans="2:3">
      <c r="B397" s="332">
        <v>8812380403</v>
      </c>
      <c r="C397" s="126">
        <v>7.02</v>
      </c>
    </row>
    <row r="398" spans="2:3">
      <c r="B398" s="332">
        <v>8812380403</v>
      </c>
      <c r="C398" s="126">
        <v>7.02</v>
      </c>
    </row>
    <row r="399" spans="2:3">
      <c r="B399" s="332">
        <v>8812380402</v>
      </c>
      <c r="C399" s="126">
        <v>7.02</v>
      </c>
    </row>
    <row r="400" spans="2:3">
      <c r="B400" s="332">
        <v>8812380351</v>
      </c>
      <c r="C400" s="126">
        <v>7.02</v>
      </c>
    </row>
    <row r="401" spans="2:3">
      <c r="B401" s="332">
        <v>8812380373</v>
      </c>
      <c r="C401" s="126">
        <v>7.02</v>
      </c>
    </row>
    <row r="402" spans="2:3">
      <c r="B402" s="332">
        <v>8812380313</v>
      </c>
      <c r="C402" s="126">
        <v>7.02</v>
      </c>
    </row>
    <row r="403" spans="2:3">
      <c r="B403" s="332">
        <v>8818241243</v>
      </c>
      <c r="C403" s="126">
        <v>7.02</v>
      </c>
    </row>
    <row r="404" spans="2:3">
      <c r="B404" s="332">
        <v>8818241243</v>
      </c>
      <c r="C404" s="126">
        <v>7.02</v>
      </c>
    </row>
    <row r="405" spans="2:3">
      <c r="B405" s="332">
        <v>8818241279</v>
      </c>
      <c r="C405" s="126">
        <v>7.02</v>
      </c>
    </row>
    <row r="406" spans="2:3">
      <c r="B406" s="332">
        <v>8818241243</v>
      </c>
      <c r="C406" s="126">
        <v>7.02</v>
      </c>
    </row>
    <row r="407" spans="2:3">
      <c r="B407" s="332">
        <v>8812380313</v>
      </c>
      <c r="C407" s="126">
        <v>7.02</v>
      </c>
    </row>
    <row r="408" spans="2:3">
      <c r="B408" s="332">
        <v>8812380402</v>
      </c>
      <c r="C408" s="126">
        <v>7.02</v>
      </c>
    </row>
    <row r="409" spans="2:3">
      <c r="B409" s="332">
        <v>8812380403</v>
      </c>
      <c r="C409" s="126">
        <v>7.02</v>
      </c>
    </row>
    <row r="410" spans="2:3">
      <c r="B410" s="332">
        <v>8812380404</v>
      </c>
      <c r="C410" s="126">
        <v>7.02</v>
      </c>
    </row>
    <row r="411" spans="2:3">
      <c r="B411" s="332">
        <v>8818241279</v>
      </c>
      <c r="C411" s="126">
        <v>7.02</v>
      </c>
    </row>
    <row r="412" spans="2:3">
      <c r="B412" s="332">
        <v>8818241243</v>
      </c>
      <c r="C412" s="126">
        <v>7.02</v>
      </c>
    </row>
    <row r="413" spans="2:3">
      <c r="B413" s="332">
        <v>8818241205</v>
      </c>
      <c r="C413" s="126">
        <v>7.02</v>
      </c>
    </row>
    <row r="414" spans="2:3">
      <c r="B414" s="332">
        <v>8812380404</v>
      </c>
      <c r="C414" s="126">
        <v>7.02</v>
      </c>
    </row>
    <row r="415" spans="2:3">
      <c r="B415" s="332">
        <v>8812380403</v>
      </c>
      <c r="C415" s="126">
        <v>7.02</v>
      </c>
    </row>
    <row r="416" spans="2:3">
      <c r="B416" s="332">
        <v>8812380402</v>
      </c>
      <c r="C416" s="126">
        <v>7.02</v>
      </c>
    </row>
    <row r="417" spans="2:3">
      <c r="B417" s="332">
        <v>8812380313</v>
      </c>
      <c r="C417" s="126">
        <v>7.02</v>
      </c>
    </row>
    <row r="418" spans="2:3">
      <c r="B418" s="332">
        <v>8812380360</v>
      </c>
      <c r="C418" s="126">
        <v>7.02</v>
      </c>
    </row>
    <row r="419" spans="2:3">
      <c r="B419" s="332">
        <v>8818241140</v>
      </c>
      <c r="C419" s="126">
        <v>7.02</v>
      </c>
    </row>
    <row r="420" spans="2:3">
      <c r="B420" s="332">
        <v>8812188116</v>
      </c>
      <c r="C420" s="126">
        <v>7.03</v>
      </c>
    </row>
    <row r="421" spans="2:3">
      <c r="B421" s="332">
        <v>8812380319</v>
      </c>
      <c r="C421" s="126">
        <v>7.02</v>
      </c>
    </row>
    <row r="422" spans="2:3">
      <c r="B422" s="332">
        <v>8812380314</v>
      </c>
      <c r="C422" s="126">
        <v>7.02</v>
      </c>
    </row>
    <row r="423" spans="2:3">
      <c r="B423" s="332">
        <v>8812380361</v>
      </c>
      <c r="C423" s="126">
        <v>7.02</v>
      </c>
    </row>
    <row r="424" spans="2:3">
      <c r="B424" s="332">
        <v>8818241203</v>
      </c>
      <c r="C424" s="126">
        <v>7.02</v>
      </c>
    </row>
    <row r="425" spans="2:3">
      <c r="B425" s="332">
        <v>8812380376</v>
      </c>
      <c r="C425" s="126">
        <v>7.02</v>
      </c>
    </row>
    <row r="426" spans="2:3">
      <c r="B426" s="332">
        <v>8818241271</v>
      </c>
      <c r="C426" s="126">
        <v>7.02</v>
      </c>
    </row>
    <row r="427" spans="2:3">
      <c r="B427" s="332">
        <v>8812380274</v>
      </c>
      <c r="C427" s="126">
        <v>7.02</v>
      </c>
    </row>
    <row r="428" spans="2:3">
      <c r="B428" s="332">
        <v>8812380297</v>
      </c>
      <c r="C428" s="126">
        <v>7.02</v>
      </c>
    </row>
    <row r="429" spans="2:3">
      <c r="B429" s="332">
        <v>8812380381</v>
      </c>
      <c r="C429" s="126">
        <v>7.02</v>
      </c>
    </row>
    <row r="430" spans="2:3">
      <c r="B430" s="332">
        <v>8812380437</v>
      </c>
      <c r="C430" s="126">
        <v>7.02</v>
      </c>
    </row>
    <row r="431" spans="2:3">
      <c r="B431" s="332">
        <v>8812380437</v>
      </c>
      <c r="C431" s="126">
        <v>7.02</v>
      </c>
    </row>
    <row r="432" spans="2:3">
      <c r="B432" s="332">
        <v>8812380271</v>
      </c>
      <c r="C432" s="126">
        <v>7.02</v>
      </c>
    </row>
    <row r="433" spans="2:3">
      <c r="B433" s="332">
        <v>8812380272</v>
      </c>
      <c r="C433" s="126">
        <v>7.02</v>
      </c>
    </row>
    <row r="434" spans="2:3">
      <c r="B434" s="332">
        <v>8812380353</v>
      </c>
      <c r="C434" s="126">
        <v>7.02</v>
      </c>
    </row>
    <row r="435" spans="2:3">
      <c r="B435" s="332">
        <v>8812380372</v>
      </c>
      <c r="C435" s="126">
        <v>7.02</v>
      </c>
    </row>
    <row r="436" spans="2:3">
      <c r="B436" s="332">
        <v>8812380353</v>
      </c>
      <c r="C436" s="126">
        <v>7.02</v>
      </c>
    </row>
    <row r="437" spans="2:3">
      <c r="B437" s="332">
        <v>8812380372</v>
      </c>
      <c r="C437" s="126">
        <v>7.02</v>
      </c>
    </row>
    <row r="438" spans="2:3">
      <c r="B438" s="332">
        <v>8812380375</v>
      </c>
      <c r="C438" s="126">
        <v>7.02</v>
      </c>
    </row>
    <row r="439" spans="2:3">
      <c r="B439" s="332">
        <v>8812380304</v>
      </c>
      <c r="C439" s="126">
        <v>7.02</v>
      </c>
    </row>
    <row r="440" spans="2:3">
      <c r="B440" s="332">
        <v>8812380378</v>
      </c>
      <c r="C440" s="126">
        <v>7.02</v>
      </c>
    </row>
    <row r="441" spans="2:3">
      <c r="B441" s="332">
        <v>8812380407</v>
      </c>
      <c r="C441" s="126">
        <v>7.02</v>
      </c>
    </row>
    <row r="442" spans="2:3">
      <c r="B442" s="332">
        <v>8812380456</v>
      </c>
      <c r="C442" s="126">
        <v>7.02</v>
      </c>
    </row>
    <row r="443" spans="2:3">
      <c r="B443" s="332">
        <v>8812380411</v>
      </c>
      <c r="C443" s="126">
        <v>7.02</v>
      </c>
    </row>
    <row r="444" spans="2:3">
      <c r="B444" s="332">
        <v>8818241273</v>
      </c>
      <c r="C444" s="126">
        <v>7.02</v>
      </c>
    </row>
    <row r="445" spans="2:3">
      <c r="B445" s="332">
        <v>8812380410</v>
      </c>
      <c r="C445" s="126">
        <v>7.02</v>
      </c>
    </row>
    <row r="446" spans="2:3">
      <c r="B446" s="332">
        <v>8818241273</v>
      </c>
      <c r="C446" s="126">
        <v>7.02</v>
      </c>
    </row>
    <row r="447" spans="2:3">
      <c r="B447" s="332">
        <v>8812380379</v>
      </c>
      <c r="C447" s="126">
        <v>7.02</v>
      </c>
    </row>
    <row r="448" spans="2:3">
      <c r="B448" s="332">
        <v>8812380362</v>
      </c>
      <c r="C448" s="126">
        <v>7.02</v>
      </c>
    </row>
    <row r="449" spans="2:3">
      <c r="B449" s="332">
        <v>8818241126</v>
      </c>
      <c r="C449" s="126">
        <v>7.02</v>
      </c>
    </row>
    <row r="450" spans="2:3">
      <c r="B450" s="332">
        <v>8818241114</v>
      </c>
      <c r="C450" s="126">
        <v>7.02</v>
      </c>
    </row>
    <row r="451" spans="2:3">
      <c r="B451" s="332">
        <v>8818241126</v>
      </c>
      <c r="C451" s="126">
        <v>7.02</v>
      </c>
    </row>
    <row r="452" spans="2:3">
      <c r="B452" s="332">
        <v>8818241114</v>
      </c>
      <c r="C452" s="126">
        <v>7.02</v>
      </c>
    </row>
    <row r="453" spans="2:3">
      <c r="B453" s="332">
        <v>8818241280</v>
      </c>
      <c r="C453" s="126">
        <v>7.02</v>
      </c>
    </row>
    <row r="454" spans="2:3">
      <c r="B454" s="332">
        <v>8812380321</v>
      </c>
      <c r="C454" s="126">
        <v>7.02</v>
      </c>
    </row>
    <row r="455" spans="2:3">
      <c r="B455" s="332">
        <v>8812380315</v>
      </c>
      <c r="C455" s="126">
        <v>7.02</v>
      </c>
    </row>
    <row r="456" spans="2:3">
      <c r="B456" s="332">
        <v>8812380328</v>
      </c>
      <c r="C456" s="126">
        <v>7.02</v>
      </c>
    </row>
    <row r="457" spans="2:3">
      <c r="B457" s="332">
        <v>8812380320</v>
      </c>
      <c r="C457" s="126">
        <v>7.02</v>
      </c>
    </row>
    <row r="458" spans="2:3">
      <c r="B458" s="332">
        <v>8812380299</v>
      </c>
      <c r="C458" s="126">
        <v>7.02</v>
      </c>
    </row>
    <row r="459" spans="2:3">
      <c r="B459" s="332">
        <v>8812380323</v>
      </c>
      <c r="C459" s="126">
        <v>7.02</v>
      </c>
    </row>
    <row r="460" spans="2:3">
      <c r="B460" s="332">
        <v>8812380445</v>
      </c>
      <c r="C460" s="126">
        <v>7.02</v>
      </c>
    </row>
    <row r="461" spans="2:3">
      <c r="B461" s="332">
        <v>8818241281</v>
      </c>
      <c r="C461" s="126">
        <v>7.02</v>
      </c>
    </row>
    <row r="462" spans="2:3">
      <c r="B462" s="332">
        <v>8818241270</v>
      </c>
      <c r="C462" s="126">
        <v>7.02</v>
      </c>
    </row>
    <row r="463" spans="2:3">
      <c r="B463" s="332">
        <v>8812380286</v>
      </c>
      <c r="C463" s="126">
        <v>7.02</v>
      </c>
    </row>
    <row r="464" spans="2:3">
      <c r="B464" s="332">
        <v>8812380384</v>
      </c>
      <c r="C464" s="126">
        <v>7.02</v>
      </c>
    </row>
    <row r="465" spans="2:3">
      <c r="B465" s="332">
        <v>8818241187</v>
      </c>
      <c r="C465" s="126">
        <v>7.02</v>
      </c>
    </row>
    <row r="466" spans="2:3">
      <c r="B466" s="332">
        <v>8818241293</v>
      </c>
      <c r="C466" s="126">
        <v>7.02</v>
      </c>
    </row>
    <row r="467" spans="2:3">
      <c r="B467" s="332">
        <v>8812380369</v>
      </c>
      <c r="C467" s="126">
        <v>7.02</v>
      </c>
    </row>
    <row r="468" spans="2:3">
      <c r="B468" s="332">
        <v>8812380371</v>
      </c>
      <c r="C468" s="126">
        <v>7.02</v>
      </c>
    </row>
    <row r="469" spans="2:3">
      <c r="B469" s="332">
        <v>8812380438</v>
      </c>
      <c r="C469" s="126">
        <v>7.02</v>
      </c>
    </row>
    <row r="470" spans="2:3">
      <c r="B470" s="332">
        <v>8812376711</v>
      </c>
      <c r="C470" s="126">
        <v>7.02</v>
      </c>
    </row>
    <row r="471" spans="2:3">
      <c r="B471" s="332">
        <v>8812380276</v>
      </c>
      <c r="C471" s="126">
        <v>7.02</v>
      </c>
    </row>
    <row r="472" spans="2:3">
      <c r="B472" s="332">
        <v>8818188301</v>
      </c>
      <c r="C472" s="126">
        <v>7.03</v>
      </c>
    </row>
    <row r="473" spans="2:3">
      <c r="B473" s="332">
        <v>8812380298</v>
      </c>
      <c r="C473" s="126">
        <v>7.02</v>
      </c>
    </row>
    <row r="474" spans="2:3">
      <c r="B474" s="332">
        <v>8818241189</v>
      </c>
      <c r="C474" s="126">
        <v>7.02</v>
      </c>
    </row>
    <row r="475" spans="2:3">
      <c r="B475" s="332">
        <v>8812380387</v>
      </c>
      <c r="C475" s="126">
        <v>7.02</v>
      </c>
    </row>
    <row r="476" spans="2:3">
      <c r="B476" s="332">
        <v>8812380374</v>
      </c>
      <c r="C476" s="126">
        <v>7.02</v>
      </c>
    </row>
    <row r="477" spans="2:3">
      <c r="B477" s="332">
        <v>8812380368</v>
      </c>
      <c r="C477" s="126">
        <v>7.02</v>
      </c>
    </row>
    <row r="478" spans="2:3">
      <c r="B478" s="332">
        <v>8812380352</v>
      </c>
      <c r="C478" s="126">
        <v>7.02</v>
      </c>
    </row>
    <row r="479" spans="2:3">
      <c r="B479" s="332">
        <v>8812380290</v>
      </c>
      <c r="C479" s="126">
        <v>7.02</v>
      </c>
    </row>
    <row r="480" spans="2:3">
      <c r="B480" s="332">
        <v>8812380304</v>
      </c>
      <c r="C480" s="126">
        <v>7.02</v>
      </c>
    </row>
    <row r="481" spans="2:3">
      <c r="B481" s="332">
        <v>8812380362</v>
      </c>
      <c r="C481" s="126">
        <v>7.02</v>
      </c>
    </row>
    <row r="482" spans="2:3">
      <c r="B482" s="332">
        <v>8812380377</v>
      </c>
      <c r="C482" s="126">
        <v>7.02</v>
      </c>
    </row>
    <row r="483" spans="2:3">
      <c r="B483" s="332">
        <v>8818241191</v>
      </c>
      <c r="C483" s="126">
        <v>7.02</v>
      </c>
    </row>
    <row r="484" spans="2:3">
      <c r="B484" s="332">
        <v>8812380375</v>
      </c>
      <c r="C484" s="126">
        <v>7.02</v>
      </c>
    </row>
    <row r="485" spans="2:3">
      <c r="B485" s="332">
        <v>8812380323</v>
      </c>
      <c r="C485" s="126">
        <v>7.02</v>
      </c>
    </row>
    <row r="486" spans="2:3">
      <c r="B486" s="332">
        <v>8812380327</v>
      </c>
      <c r="C486" s="126">
        <v>7.02</v>
      </c>
    </row>
    <row r="487" spans="2:3">
      <c r="B487" s="332">
        <v>8812380272</v>
      </c>
      <c r="C487" s="126">
        <v>7.02</v>
      </c>
    </row>
    <row r="488" spans="2:3">
      <c r="B488" s="332">
        <v>8812380297</v>
      </c>
      <c r="C488" s="126">
        <v>7.02</v>
      </c>
    </row>
    <row r="489" spans="2:3">
      <c r="B489" s="332">
        <v>8812380375</v>
      </c>
      <c r="C489" s="126">
        <v>7.02</v>
      </c>
    </row>
    <row r="490" spans="2:3">
      <c r="B490" s="332">
        <v>8812380388</v>
      </c>
      <c r="C490" s="126">
        <v>7.02</v>
      </c>
    </row>
    <row r="491" spans="2:3">
      <c r="B491" s="332">
        <v>8812380327</v>
      </c>
      <c r="C491" s="126">
        <v>7.02</v>
      </c>
    </row>
    <row r="492" spans="2:3">
      <c r="B492" s="332">
        <v>8812380284</v>
      </c>
      <c r="C492" s="126">
        <v>7.02</v>
      </c>
    </row>
    <row r="493" spans="2:3">
      <c r="B493" s="332">
        <v>8818241264</v>
      </c>
      <c r="C493" s="126">
        <v>7.02</v>
      </c>
    </row>
    <row r="494" spans="2:3">
      <c r="B494" s="332">
        <v>8818241257</v>
      </c>
      <c r="C494" s="126">
        <v>7.02</v>
      </c>
    </row>
    <row r="495" spans="2:3">
      <c r="B495" s="332">
        <v>8818241136</v>
      </c>
      <c r="C495" s="126">
        <v>7.02</v>
      </c>
    </row>
    <row r="496" spans="2:3">
      <c r="B496" s="332">
        <v>8818241102</v>
      </c>
      <c r="C496" s="126">
        <v>7.02</v>
      </c>
    </row>
    <row r="497" spans="2:3">
      <c r="B497" s="332">
        <v>8818241225</v>
      </c>
      <c r="C497" s="126">
        <v>7.02</v>
      </c>
    </row>
    <row r="498" spans="2:3">
      <c r="B498" s="332">
        <v>8812380281</v>
      </c>
      <c r="C498" s="126">
        <v>7.02</v>
      </c>
    </row>
    <row r="499" spans="2:3">
      <c r="B499" s="332">
        <v>8812380281</v>
      </c>
      <c r="C499" s="126">
        <v>7.02</v>
      </c>
    </row>
    <row r="500" spans="2:3">
      <c r="B500" s="332">
        <v>8812380305</v>
      </c>
      <c r="C500" s="126">
        <v>7.02</v>
      </c>
    </row>
    <row r="501" spans="2:3">
      <c r="B501" s="332">
        <v>8812380305</v>
      </c>
      <c r="C501" s="126">
        <v>7.02</v>
      </c>
    </row>
    <row r="502" spans="2:3">
      <c r="B502" s="332">
        <v>8812380386</v>
      </c>
      <c r="C502" s="126">
        <v>7.02</v>
      </c>
    </row>
    <row r="503" spans="2:3">
      <c r="B503" s="332">
        <v>8812380316</v>
      </c>
      <c r="C503" s="126">
        <v>7.02</v>
      </c>
    </row>
    <row r="504" spans="2:3">
      <c r="B504" s="332">
        <v>8818241222</v>
      </c>
      <c r="C504" s="126">
        <v>7.02</v>
      </c>
    </row>
    <row r="505" spans="2:3">
      <c r="B505" s="332">
        <v>8818241291</v>
      </c>
      <c r="C505" s="126">
        <v>7.02</v>
      </c>
    </row>
    <row r="506" spans="2:3">
      <c r="B506" s="332">
        <v>8818241226</v>
      </c>
      <c r="C506" s="126">
        <v>7.02</v>
      </c>
    </row>
    <row r="507" spans="2:3">
      <c r="B507" s="332">
        <v>8818241276</v>
      </c>
      <c r="C507" s="126">
        <v>7.02</v>
      </c>
    </row>
    <row r="508" spans="2:3">
      <c r="B508" s="332">
        <v>8818241197</v>
      </c>
      <c r="C508" s="126">
        <v>7.02</v>
      </c>
    </row>
    <row r="509" spans="2:3">
      <c r="B509" s="332">
        <v>8812380325</v>
      </c>
      <c r="C509" s="126">
        <v>7.02</v>
      </c>
    </row>
    <row r="510" spans="2:3">
      <c r="B510" s="332">
        <v>8812380357</v>
      </c>
      <c r="C510" s="126">
        <v>7.02</v>
      </c>
    </row>
    <row r="511" spans="2:3">
      <c r="B511" s="332">
        <v>8818241256</v>
      </c>
      <c r="C511" s="126">
        <v>7.02</v>
      </c>
    </row>
    <row r="512" spans="2:3">
      <c r="B512" s="332">
        <v>8812380300</v>
      </c>
      <c r="C512" s="126">
        <v>7.02</v>
      </c>
    </row>
    <row r="513" spans="2:3">
      <c r="B513" s="332">
        <v>8818241272</v>
      </c>
      <c r="C513" s="126">
        <v>7.02</v>
      </c>
    </row>
    <row r="514" spans="2:3">
      <c r="B514" s="332">
        <v>8812380439</v>
      </c>
      <c r="C514" s="126">
        <v>7.02</v>
      </c>
    </row>
    <row r="515" spans="2:3">
      <c r="B515" s="332">
        <v>8812380556</v>
      </c>
      <c r="C515" s="126">
        <v>7.02</v>
      </c>
    </row>
    <row r="516" spans="2:3">
      <c r="B516" s="332">
        <v>8812380468</v>
      </c>
      <c r="C516" s="126">
        <v>7.02</v>
      </c>
    </row>
    <row r="517" spans="2:3">
      <c r="B517" s="332">
        <v>8812380491</v>
      </c>
      <c r="C517" s="126">
        <v>7.02</v>
      </c>
    </row>
    <row r="518" spans="2:3">
      <c r="B518" s="332">
        <v>8812380291</v>
      </c>
      <c r="C518" s="126">
        <v>7.02</v>
      </c>
    </row>
    <row r="519" spans="2:3">
      <c r="B519" s="332">
        <v>8812380455</v>
      </c>
      <c r="C519" s="126">
        <v>7.02</v>
      </c>
    </row>
    <row r="520" spans="2:3">
      <c r="B520" s="332">
        <v>8812380488</v>
      </c>
      <c r="C520" s="126">
        <v>7.02</v>
      </c>
    </row>
    <row r="521" spans="2:3">
      <c r="B521" s="332">
        <v>8812380474</v>
      </c>
      <c r="C521" s="126">
        <v>7.02</v>
      </c>
    </row>
    <row r="522" spans="2:3">
      <c r="B522" s="332">
        <v>8812380488</v>
      </c>
      <c r="C522" s="126">
        <v>7.02</v>
      </c>
    </row>
    <row r="523" spans="2:3">
      <c r="B523" s="332">
        <v>8812380474</v>
      </c>
      <c r="C523" s="126">
        <v>7.02</v>
      </c>
    </row>
    <row r="524" spans="2:3">
      <c r="B524" s="332">
        <v>8812380406</v>
      </c>
      <c r="C524" s="126">
        <v>7.02</v>
      </c>
    </row>
    <row r="525" spans="2:3">
      <c r="B525" s="332">
        <v>8818241210</v>
      </c>
      <c r="C525" s="126">
        <v>7.02</v>
      </c>
    </row>
    <row r="526" spans="2:3">
      <c r="B526" s="332">
        <v>8818241238</v>
      </c>
      <c r="C526" s="126">
        <v>7.02</v>
      </c>
    </row>
    <row r="527" spans="2:3">
      <c r="B527" s="332">
        <v>8818241255</v>
      </c>
      <c r="C527" s="126">
        <v>7.02</v>
      </c>
    </row>
    <row r="528" spans="2:3">
      <c r="B528" s="332">
        <v>8818241223</v>
      </c>
      <c r="C528" s="126">
        <v>7.02</v>
      </c>
    </row>
    <row r="529" spans="2:3">
      <c r="B529" s="332">
        <v>8818241137</v>
      </c>
      <c r="C529" s="126">
        <v>7.02</v>
      </c>
    </row>
    <row r="530" spans="2:3">
      <c r="B530" s="332">
        <v>8812380409</v>
      </c>
      <c r="C530" s="126">
        <v>7.02</v>
      </c>
    </row>
    <row r="531" spans="2:3">
      <c r="B531" s="332">
        <v>8812380409</v>
      </c>
      <c r="C531" s="126">
        <v>7.02</v>
      </c>
    </row>
    <row r="532" spans="2:3">
      <c r="B532" s="332">
        <v>8812380408</v>
      </c>
      <c r="C532" s="126">
        <v>7.02</v>
      </c>
    </row>
    <row r="533" spans="2:3">
      <c r="B533" s="332">
        <v>8812380408</v>
      </c>
      <c r="C533" s="126">
        <v>7.02</v>
      </c>
    </row>
    <row r="534" spans="2:3">
      <c r="B534" s="332">
        <v>8812380382</v>
      </c>
      <c r="C534" s="126">
        <v>7.02</v>
      </c>
    </row>
    <row r="535" spans="2:3">
      <c r="B535" s="332">
        <v>8818241274</v>
      </c>
      <c r="C535" s="126">
        <v>7.02</v>
      </c>
    </row>
    <row r="536" spans="2:3">
      <c r="B536" s="332">
        <v>8812380275</v>
      </c>
      <c r="C536" s="126">
        <v>7.02</v>
      </c>
    </row>
    <row r="537" spans="2:3">
      <c r="B537" s="332">
        <v>8812380324</v>
      </c>
      <c r="C537" s="126">
        <v>7.02</v>
      </c>
    </row>
    <row r="538" spans="2:3">
      <c r="B538" s="332">
        <v>8812380348</v>
      </c>
      <c r="C538" s="126">
        <v>7.02</v>
      </c>
    </row>
    <row r="539" spans="2:3">
      <c r="B539" s="332">
        <v>8818241295</v>
      </c>
      <c r="C539" s="126">
        <v>7.02</v>
      </c>
    </row>
    <row r="540" spans="2:3">
      <c r="B540" s="332">
        <v>8812380489</v>
      </c>
      <c r="C540" s="126">
        <v>7.02</v>
      </c>
    </row>
    <row r="541" spans="2:3">
      <c r="B541" s="332">
        <v>8812380476</v>
      </c>
      <c r="C541" s="126">
        <v>7.02</v>
      </c>
    </row>
    <row r="542" spans="2:3">
      <c r="B542" s="332">
        <v>8812380281</v>
      </c>
      <c r="C542" s="126">
        <v>7.02</v>
      </c>
    </row>
    <row r="543" spans="2:3">
      <c r="B543" s="332">
        <v>8818241104</v>
      </c>
      <c r="C543" s="126">
        <v>7.02</v>
      </c>
    </row>
    <row r="544" spans="2:3">
      <c r="B544" s="332">
        <v>8818241234</v>
      </c>
      <c r="C544" s="126">
        <v>7.02</v>
      </c>
    </row>
    <row r="545" spans="2:3">
      <c r="B545" s="332">
        <v>8812380363</v>
      </c>
      <c r="C545" s="126">
        <v>7.02</v>
      </c>
    </row>
    <row r="546" spans="2:3">
      <c r="B546" s="332">
        <v>8812380364</v>
      </c>
      <c r="C546" s="126">
        <v>7.02</v>
      </c>
    </row>
    <row r="547" spans="2:3">
      <c r="B547" s="332">
        <v>8818241283</v>
      </c>
      <c r="C547" s="126">
        <v>7.02</v>
      </c>
    </row>
    <row r="548" spans="2:3">
      <c r="B548" s="332">
        <v>8818241284</v>
      </c>
      <c r="C548" s="126">
        <v>7.02</v>
      </c>
    </row>
    <row r="549" spans="2:3">
      <c r="B549" s="332">
        <v>8818241112</v>
      </c>
      <c r="C549" s="126">
        <v>7.02</v>
      </c>
    </row>
    <row r="550" spans="2:3">
      <c r="B550" s="332">
        <v>8818241269</v>
      </c>
      <c r="C550" s="126">
        <v>7.02</v>
      </c>
    </row>
    <row r="551" spans="2:3">
      <c r="B551" s="332">
        <v>8812380285</v>
      </c>
      <c r="C551" s="126">
        <v>7.02</v>
      </c>
    </row>
    <row r="552" spans="2:3">
      <c r="B552" s="332">
        <v>8812392617</v>
      </c>
      <c r="C552" s="126">
        <v>7.02</v>
      </c>
    </row>
    <row r="553" spans="2:3">
      <c r="B553" s="332">
        <v>8812392618</v>
      </c>
      <c r="C553" s="126">
        <v>7.02</v>
      </c>
    </row>
    <row r="554" spans="2:3">
      <c r="B554" s="332">
        <v>8818241118</v>
      </c>
      <c r="C554" s="126">
        <v>7.02</v>
      </c>
    </row>
    <row r="555" spans="2:3">
      <c r="B555" s="332">
        <v>8814269523</v>
      </c>
      <c r="C555" s="126">
        <v>7.02</v>
      </c>
    </row>
    <row r="556" spans="2:3">
      <c r="B556" s="332">
        <v>8818241157</v>
      </c>
      <c r="C556" s="126">
        <v>7.02</v>
      </c>
    </row>
    <row r="557" spans="2:3">
      <c r="B557" s="332">
        <v>8812380277</v>
      </c>
      <c r="C557" s="126">
        <v>7.02</v>
      </c>
    </row>
    <row r="558" spans="2:3">
      <c r="B558" s="332">
        <v>8818241286</v>
      </c>
      <c r="C558" s="126">
        <v>7.02</v>
      </c>
    </row>
    <row r="559" spans="2:3">
      <c r="B559" s="332">
        <v>8812380359</v>
      </c>
      <c r="C559" s="126">
        <v>7.02</v>
      </c>
    </row>
    <row r="560" spans="2:3">
      <c r="B560" s="332">
        <v>8818241254</v>
      </c>
      <c r="C560" s="126">
        <v>7.02</v>
      </c>
    </row>
    <row r="561" spans="2:3">
      <c r="B561" s="332">
        <v>8812380354</v>
      </c>
      <c r="C561" s="126">
        <v>7.02</v>
      </c>
    </row>
    <row r="562" spans="2:3">
      <c r="B562" s="332">
        <v>8818241285</v>
      </c>
      <c r="C562" s="126">
        <v>7.02</v>
      </c>
    </row>
    <row r="563" spans="2:3">
      <c r="B563" s="332">
        <v>8818241138</v>
      </c>
      <c r="C563" s="126">
        <v>7.02</v>
      </c>
    </row>
    <row r="564" spans="2:3">
      <c r="B564" s="332">
        <v>8818241240</v>
      </c>
      <c r="C564" s="126">
        <v>7.02</v>
      </c>
    </row>
    <row r="565" spans="2:3">
      <c r="B565" s="332">
        <v>8818241345</v>
      </c>
      <c r="C565" s="126">
        <v>7.03</v>
      </c>
    </row>
    <row r="566" spans="2:3">
      <c r="B566" s="332">
        <v>8818241347</v>
      </c>
      <c r="C566" s="126">
        <v>7.03</v>
      </c>
    </row>
    <row r="567" spans="2:3">
      <c r="B567" s="332">
        <v>8818241253</v>
      </c>
      <c r="C567" s="126">
        <v>7.02</v>
      </c>
    </row>
    <row r="568" spans="2:3">
      <c r="B568" s="332">
        <v>8818241207</v>
      </c>
      <c r="C568" s="126">
        <v>7.02</v>
      </c>
    </row>
    <row r="569" spans="2:3">
      <c r="B569" s="332">
        <v>8818241139</v>
      </c>
      <c r="C569" s="126">
        <v>7.02</v>
      </c>
    </row>
    <row r="570" spans="2:3">
      <c r="B570" s="332">
        <v>8812380466</v>
      </c>
      <c r="C570" s="126">
        <v>7.02</v>
      </c>
    </row>
    <row r="571" spans="2:3">
      <c r="B571" s="332">
        <v>8818241237</v>
      </c>
      <c r="C571" s="126">
        <v>7.02</v>
      </c>
    </row>
    <row r="572" spans="2:3">
      <c r="B572" s="332">
        <v>8818241185</v>
      </c>
      <c r="C572" s="126">
        <v>7.02</v>
      </c>
    </row>
    <row r="573" spans="2:3">
      <c r="B573" s="332">
        <v>8818241144</v>
      </c>
      <c r="C573" s="126">
        <v>7.02</v>
      </c>
    </row>
    <row r="574" spans="2:3">
      <c r="B574" s="332">
        <v>8818241147</v>
      </c>
      <c r="C574" s="126">
        <v>7.02</v>
      </c>
    </row>
    <row r="575" spans="2:3">
      <c r="B575" s="332">
        <v>8818241144</v>
      </c>
      <c r="C575" s="126">
        <v>7.02</v>
      </c>
    </row>
    <row r="576" spans="2:3">
      <c r="B576" s="332">
        <v>88940481</v>
      </c>
      <c r="C576" s="126">
        <v>7.02</v>
      </c>
    </row>
    <row r="577" spans="2:3">
      <c r="B577" s="332">
        <v>8818241294</v>
      </c>
      <c r="C577" s="126">
        <v>7.02</v>
      </c>
    </row>
    <row r="578" spans="2:3">
      <c r="B578" s="332">
        <v>8812392619</v>
      </c>
      <c r="C578" s="126">
        <v>7.02</v>
      </c>
    </row>
    <row r="579" spans="2:3">
      <c r="B579" s="332">
        <v>8812392621</v>
      </c>
      <c r="C579" s="126">
        <v>7.02</v>
      </c>
    </row>
    <row r="580" spans="2:3">
      <c r="B580" s="332">
        <v>8812392620</v>
      </c>
      <c r="C580" s="126">
        <v>7.02</v>
      </c>
    </row>
    <row r="581" spans="2:3">
      <c r="B581" s="332">
        <v>8812392619</v>
      </c>
      <c r="C581" s="126">
        <v>7.02</v>
      </c>
    </row>
    <row r="582" spans="2:3">
      <c r="B582" s="332">
        <v>8812392620</v>
      </c>
      <c r="C582" s="126">
        <v>7.02</v>
      </c>
    </row>
    <row r="583" spans="2:3">
      <c r="B583" s="332">
        <v>8818241259</v>
      </c>
      <c r="C583" s="126">
        <v>7.02</v>
      </c>
    </row>
    <row r="584" spans="2:3">
      <c r="B584" s="332">
        <v>8812380481</v>
      </c>
      <c r="C584" s="126">
        <v>7.02</v>
      </c>
    </row>
    <row r="585" spans="2:3">
      <c r="B585" s="332">
        <v>8812380555</v>
      </c>
      <c r="C585" s="126">
        <v>7.02</v>
      </c>
    </row>
    <row r="586" spans="2:3">
      <c r="B586" s="332">
        <v>8818241241</v>
      </c>
      <c r="C586" s="126">
        <v>7.02</v>
      </c>
    </row>
    <row r="587" spans="2:3">
      <c r="B587" s="332">
        <v>8818241146</v>
      </c>
      <c r="C587" s="126">
        <v>7.02</v>
      </c>
    </row>
    <row r="588" spans="2:3">
      <c r="B588" s="332">
        <v>8818241279</v>
      </c>
      <c r="C588" s="126">
        <v>7.02</v>
      </c>
    </row>
    <row r="589" spans="2:3">
      <c r="B589" s="332">
        <v>8818241191</v>
      </c>
      <c r="C589" s="126">
        <v>7.02</v>
      </c>
    </row>
    <row r="590" spans="2:3">
      <c r="B590" s="332">
        <v>8818241205</v>
      </c>
      <c r="C590" s="126">
        <v>7.02</v>
      </c>
    </row>
    <row r="591" spans="2:3">
      <c r="B591" s="332">
        <v>8818241243</v>
      </c>
      <c r="C591" s="126">
        <v>7.02</v>
      </c>
    </row>
    <row r="592" spans="2:3">
      <c r="B592" s="332">
        <v>8812380404</v>
      </c>
      <c r="C592" s="126">
        <v>7.02</v>
      </c>
    </row>
    <row r="593" spans="2:3">
      <c r="B593" s="332">
        <v>8812380402</v>
      </c>
      <c r="C593" s="126">
        <v>7.02</v>
      </c>
    </row>
    <row r="594" spans="2:3">
      <c r="B594" s="332">
        <v>8812380403</v>
      </c>
      <c r="C594" s="126">
        <v>7.02</v>
      </c>
    </row>
    <row r="595" spans="2:3">
      <c r="B595" s="332">
        <v>8812380334</v>
      </c>
      <c r="C595" s="126">
        <v>7.02</v>
      </c>
    </row>
    <row r="596" spans="2:3">
      <c r="B596" s="332">
        <v>8818241103</v>
      </c>
      <c r="C596" s="126">
        <v>7.02</v>
      </c>
    </row>
    <row r="597" spans="2:3">
      <c r="B597" s="332">
        <v>8812380288</v>
      </c>
      <c r="C597" s="126">
        <v>7.02</v>
      </c>
    </row>
    <row r="598" spans="2:3">
      <c r="B598" s="332">
        <v>8812380347</v>
      </c>
      <c r="C598" s="126">
        <v>7.02</v>
      </c>
    </row>
    <row r="599" spans="2:3">
      <c r="B599" s="332">
        <v>8818241224</v>
      </c>
      <c r="C599" s="126">
        <v>7.02</v>
      </c>
    </row>
    <row r="600" spans="2:3">
      <c r="B600" s="332">
        <v>8812380326</v>
      </c>
      <c r="C600" s="126">
        <v>7.02</v>
      </c>
    </row>
    <row r="601" spans="2:3">
      <c r="B601" s="332">
        <v>8812380312</v>
      </c>
      <c r="C601" s="126">
        <v>7.02</v>
      </c>
    </row>
    <row r="602" spans="2:3">
      <c r="B602" s="332">
        <v>8812380282</v>
      </c>
      <c r="C602" s="126">
        <v>7.02</v>
      </c>
    </row>
    <row r="603" spans="2:3">
      <c r="B603" s="332">
        <v>8818241296</v>
      </c>
      <c r="C603" s="126">
        <v>7.02</v>
      </c>
    </row>
    <row r="604" spans="2:3">
      <c r="B604" s="332">
        <v>8812380278</v>
      </c>
      <c r="C604" s="126">
        <v>7.02</v>
      </c>
    </row>
    <row r="605" spans="2:3">
      <c r="B605" s="332">
        <v>8812380318</v>
      </c>
      <c r="C605" s="126">
        <v>7.02</v>
      </c>
    </row>
    <row r="606" spans="2:3">
      <c r="B606" s="332">
        <v>8818241229</v>
      </c>
      <c r="C606" s="126">
        <v>7.02</v>
      </c>
    </row>
    <row r="607" spans="2:3">
      <c r="B607" s="326">
        <v>8818241271</v>
      </c>
      <c r="C607" s="126">
        <v>7.02</v>
      </c>
    </row>
    <row r="608" spans="2:3">
      <c r="B608" s="326">
        <v>8818241271</v>
      </c>
      <c r="C608" s="126">
        <v>7.02</v>
      </c>
    </row>
    <row r="609" spans="2:3">
      <c r="B609" s="326">
        <v>8812380328</v>
      </c>
      <c r="C609" s="126">
        <v>7.02</v>
      </c>
    </row>
    <row r="610" spans="2:3">
      <c r="B610" s="326">
        <v>8818241271</v>
      </c>
      <c r="C610" s="126">
        <v>7.02</v>
      </c>
    </row>
    <row r="611" spans="2:3">
      <c r="B611" s="326">
        <v>8818241271</v>
      </c>
      <c r="C611" s="126">
        <v>7.02</v>
      </c>
    </row>
    <row r="612" spans="2:3">
      <c r="B612" s="326">
        <v>8812380299</v>
      </c>
      <c r="C612" s="126">
        <v>7.02</v>
      </c>
    </row>
    <row r="613" spans="2:3">
      <c r="B613" s="326">
        <v>8812380328</v>
      </c>
      <c r="C613" s="126">
        <v>7.02</v>
      </c>
    </row>
    <row r="614" spans="2:3">
      <c r="B614" s="326">
        <v>8818241136</v>
      </c>
      <c r="C614" s="126">
        <v>7.02</v>
      </c>
    </row>
    <row r="615" spans="2:3">
      <c r="B615" s="326">
        <v>8818241102</v>
      </c>
      <c r="C615" s="126">
        <v>7.02</v>
      </c>
    </row>
    <row r="616" spans="2:3">
      <c r="B616" s="326">
        <v>8818241197</v>
      </c>
      <c r="C616" s="126">
        <v>7.02</v>
      </c>
    </row>
    <row r="617" spans="2:3">
      <c r="B617" s="326">
        <v>8818241102</v>
      </c>
      <c r="C617" s="126">
        <v>7.02</v>
      </c>
    </row>
    <row r="618" spans="2:3">
      <c r="B618" s="326">
        <v>8818241136</v>
      </c>
      <c r="C618" s="126">
        <v>7.02</v>
      </c>
    </row>
    <row r="619" spans="2:3">
      <c r="B619" s="326">
        <v>8818241197</v>
      </c>
      <c r="C619" s="126">
        <v>7.02</v>
      </c>
    </row>
    <row r="620" spans="2:3">
      <c r="B620" s="326">
        <v>8812380328</v>
      </c>
      <c r="C620" s="126">
        <v>7.02</v>
      </c>
    </row>
    <row r="621" spans="2:3">
      <c r="B621" s="326">
        <v>8818241271</v>
      </c>
      <c r="C621" s="126">
        <v>7.02</v>
      </c>
    </row>
    <row r="622" spans="2:3">
      <c r="B622" s="326">
        <v>8812380358</v>
      </c>
      <c r="C622" s="126">
        <v>7.02</v>
      </c>
    </row>
    <row r="623" spans="2:3">
      <c r="B623" s="326">
        <v>8812380303</v>
      </c>
      <c r="C623" s="126">
        <v>7.02</v>
      </c>
    </row>
    <row r="624" spans="2:3">
      <c r="B624" s="326">
        <v>8812380369</v>
      </c>
      <c r="C624" s="126">
        <v>7.02</v>
      </c>
    </row>
    <row r="625" spans="2:3">
      <c r="B625" s="326">
        <v>8818241271</v>
      </c>
      <c r="C625" s="126">
        <v>7.02</v>
      </c>
    </row>
    <row r="626" spans="2:3">
      <c r="B626" s="326">
        <v>8812380328</v>
      </c>
      <c r="C626" s="126">
        <v>7.02</v>
      </c>
    </row>
    <row r="627" spans="2:3">
      <c r="B627" s="326">
        <v>8818241110</v>
      </c>
      <c r="C627" s="126">
        <v>7.02</v>
      </c>
    </row>
    <row r="628" spans="2:3">
      <c r="B628" s="326">
        <v>8818241124</v>
      </c>
      <c r="C628" s="126">
        <v>7.02</v>
      </c>
    </row>
    <row r="629" spans="2:3">
      <c r="B629" s="326">
        <v>8818241162</v>
      </c>
      <c r="C629" s="126">
        <v>7.02</v>
      </c>
    </row>
    <row r="630" spans="2:3">
      <c r="B630" s="326">
        <v>8818241289</v>
      </c>
      <c r="C630" s="126">
        <v>7.02</v>
      </c>
    </row>
    <row r="631" spans="2:3">
      <c r="B631" s="326">
        <v>8812380383</v>
      </c>
      <c r="C631" s="126">
        <v>7.02</v>
      </c>
    </row>
    <row r="632" spans="2:3">
      <c r="B632" s="326">
        <v>8818241280</v>
      </c>
      <c r="C632" s="126">
        <v>7.02</v>
      </c>
    </row>
    <row r="633" spans="2:3">
      <c r="B633" s="326">
        <v>8812380313</v>
      </c>
      <c r="C633" s="126">
        <v>7.02</v>
      </c>
    </row>
    <row r="634" spans="2:3">
      <c r="B634" s="326">
        <v>8812380456</v>
      </c>
      <c r="C634" s="126">
        <v>7.02</v>
      </c>
    </row>
    <row r="635" spans="2:3">
      <c r="B635" s="326">
        <v>8812380271</v>
      </c>
      <c r="C635" s="126">
        <v>7.02</v>
      </c>
    </row>
    <row r="636" spans="2:3">
      <c r="B636" s="326">
        <v>8812098857</v>
      </c>
      <c r="C636" s="126">
        <v>7.03</v>
      </c>
    </row>
    <row r="637" spans="2:3">
      <c r="B637" s="326">
        <v>8812098857</v>
      </c>
      <c r="C637" s="126">
        <v>7.03</v>
      </c>
    </row>
    <row r="638" spans="2:3">
      <c r="B638" s="326">
        <v>8812098857</v>
      </c>
      <c r="C638" s="126">
        <v>7.03</v>
      </c>
    </row>
    <row r="639" spans="2:3">
      <c r="B639" s="326">
        <v>8812098857</v>
      </c>
      <c r="C639" s="126">
        <v>7.03</v>
      </c>
    </row>
    <row r="640" spans="2:3">
      <c r="B640" s="326">
        <v>8812098857</v>
      </c>
      <c r="C640" s="126">
        <v>7.03</v>
      </c>
    </row>
    <row r="641" spans="2:3">
      <c r="B641" s="326">
        <v>8812098857</v>
      </c>
      <c r="C641" s="126">
        <v>7.03</v>
      </c>
    </row>
    <row r="642" spans="2:3">
      <c r="B642" s="326">
        <v>8812098857</v>
      </c>
      <c r="C642" s="126">
        <v>7.03</v>
      </c>
    </row>
    <row r="643" spans="2:3">
      <c r="B643" s="326">
        <v>8812098857</v>
      </c>
      <c r="C643" s="126">
        <v>7.03</v>
      </c>
    </row>
    <row r="644" spans="2:3">
      <c r="B644" s="326">
        <v>8812098857</v>
      </c>
      <c r="C644" s="126">
        <v>7.03</v>
      </c>
    </row>
    <row r="645" spans="2:3">
      <c r="B645" s="326">
        <v>8812098857</v>
      </c>
      <c r="C645" s="126">
        <v>7.03</v>
      </c>
    </row>
    <row r="646" spans="2:3">
      <c r="B646" s="326">
        <v>8812098857</v>
      </c>
      <c r="C646" s="126">
        <v>7.03</v>
      </c>
    </row>
    <row r="647" spans="2:3">
      <c r="B647" s="326">
        <v>8812098857</v>
      </c>
      <c r="C647" s="126">
        <v>7.03</v>
      </c>
    </row>
    <row r="648" spans="2:3">
      <c r="B648" s="326">
        <v>8812098857</v>
      </c>
      <c r="C648" s="126">
        <v>7.03</v>
      </c>
    </row>
    <row r="649" spans="2:3">
      <c r="B649" s="326">
        <v>8812098857</v>
      </c>
      <c r="C649" s="126">
        <v>7.03</v>
      </c>
    </row>
    <row r="650" spans="2:3">
      <c r="B650" s="326">
        <v>8812098857</v>
      </c>
      <c r="C650" s="126">
        <v>7.03</v>
      </c>
    </row>
    <row r="651" spans="2:3">
      <c r="B651" s="326">
        <v>8812098857</v>
      </c>
      <c r="C651" s="126">
        <v>7.03</v>
      </c>
    </row>
    <row r="652" spans="2:3">
      <c r="B652" s="326">
        <v>8812098857</v>
      </c>
      <c r="C652" s="126">
        <v>7.03</v>
      </c>
    </row>
    <row r="653" spans="2:3">
      <c r="B653" s="326">
        <v>8812380384</v>
      </c>
      <c r="C653" s="126">
        <v>7.02</v>
      </c>
    </row>
    <row r="654" spans="2:3">
      <c r="B654" s="326">
        <v>8812098857</v>
      </c>
      <c r="C654" s="126">
        <v>7.03</v>
      </c>
    </row>
    <row r="655" spans="2:3">
      <c r="B655" s="326">
        <v>8812098857</v>
      </c>
      <c r="C655" s="126">
        <v>7.03</v>
      </c>
    </row>
    <row r="656" spans="2:3">
      <c r="B656" s="326">
        <v>8812098857</v>
      </c>
      <c r="C656" s="126">
        <v>7.03</v>
      </c>
    </row>
    <row r="657" spans="2:3">
      <c r="B657" s="326">
        <v>8812380274</v>
      </c>
      <c r="C657" s="126">
        <v>7.02</v>
      </c>
    </row>
    <row r="658" spans="2:3">
      <c r="B658" s="326">
        <v>8812380445</v>
      </c>
      <c r="C658" s="126">
        <v>7.02</v>
      </c>
    </row>
    <row r="659" spans="2:3">
      <c r="B659" s="326">
        <v>8812380370</v>
      </c>
      <c r="C659" s="126">
        <v>7.02</v>
      </c>
    </row>
    <row r="660" spans="2:3">
      <c r="B660" s="326">
        <v>8812380439</v>
      </c>
      <c r="C660" s="126">
        <v>7.02</v>
      </c>
    </row>
    <row r="661" spans="2:3">
      <c r="B661" s="326">
        <v>8812380439</v>
      </c>
      <c r="C661" s="126">
        <v>7.02</v>
      </c>
    </row>
    <row r="662" spans="2:3">
      <c r="B662" s="326">
        <v>8818241273</v>
      </c>
      <c r="C662" s="126">
        <v>7.02</v>
      </c>
    </row>
    <row r="663" spans="2:3">
      <c r="B663" s="326">
        <v>8812380283</v>
      </c>
      <c r="C663" s="126">
        <v>7.02</v>
      </c>
    </row>
    <row r="664" spans="2:3">
      <c r="B664" s="326">
        <v>8818241144</v>
      </c>
      <c r="C664" s="126">
        <v>7.02</v>
      </c>
    </row>
    <row r="665" spans="2:3">
      <c r="B665" s="326">
        <v>8812380437</v>
      </c>
      <c r="C665" s="126">
        <v>7.02</v>
      </c>
    </row>
    <row r="666" spans="2:3">
      <c r="B666" s="326">
        <v>8812380437</v>
      </c>
      <c r="C666" s="126">
        <v>7.02</v>
      </c>
    </row>
    <row r="667" spans="2:3">
      <c r="B667" s="326">
        <v>8812380409</v>
      </c>
      <c r="C667" s="126">
        <v>7.02</v>
      </c>
    </row>
    <row r="668" spans="2:3">
      <c r="B668" s="326">
        <v>8812380409</v>
      </c>
      <c r="C668" s="126">
        <v>7.02</v>
      </c>
    </row>
    <row r="669" spans="2:3">
      <c r="B669" s="326">
        <v>8812380409</v>
      </c>
      <c r="C669" s="126">
        <v>7.02</v>
      </c>
    </row>
    <row r="670" spans="2:3">
      <c r="B670" s="326">
        <v>8812380409</v>
      </c>
      <c r="C670" s="126">
        <v>7.02</v>
      </c>
    </row>
    <row r="671" spans="2:3">
      <c r="B671" s="326">
        <v>8812380409</v>
      </c>
      <c r="C671" s="126">
        <v>7.02</v>
      </c>
    </row>
    <row r="672" spans="2:3">
      <c r="B672" s="326">
        <v>8812380409</v>
      </c>
      <c r="C672" s="126">
        <v>7.02</v>
      </c>
    </row>
    <row r="673" spans="2:3">
      <c r="B673" s="326">
        <v>8812380409</v>
      </c>
      <c r="C673" s="126">
        <v>7.02</v>
      </c>
    </row>
    <row r="674" spans="2:3">
      <c r="B674" s="326">
        <v>8812380409</v>
      </c>
      <c r="C674" s="126">
        <v>7.02</v>
      </c>
    </row>
    <row r="675" spans="2:3">
      <c r="B675" s="326">
        <v>8812380410</v>
      </c>
      <c r="C675" s="126">
        <v>7.02</v>
      </c>
    </row>
    <row r="676" spans="2:3">
      <c r="B676" s="326">
        <v>8812380409</v>
      </c>
      <c r="C676" s="126">
        <v>7.02</v>
      </c>
    </row>
    <row r="677" spans="2:3">
      <c r="B677" s="326">
        <v>8812380409</v>
      </c>
      <c r="C677" s="126">
        <v>7.02</v>
      </c>
    </row>
    <row r="678" spans="2:3">
      <c r="B678" s="326">
        <v>8812380410</v>
      </c>
      <c r="C678" s="126">
        <v>7.02</v>
      </c>
    </row>
    <row r="679" spans="2:3">
      <c r="B679" s="326">
        <v>8818241133</v>
      </c>
      <c r="C679" s="126">
        <v>7.02</v>
      </c>
    </row>
    <row r="680" spans="2:3">
      <c r="B680" s="326">
        <v>8812380438</v>
      </c>
      <c r="C680" s="126">
        <v>7.02</v>
      </c>
    </row>
    <row r="681" spans="2:3">
      <c r="B681" s="326">
        <v>8812380437</v>
      </c>
      <c r="C681" s="126">
        <v>7.02</v>
      </c>
    </row>
    <row r="682" spans="2:3">
      <c r="B682" s="326">
        <v>8812380438</v>
      </c>
      <c r="C682" s="126">
        <v>7.02</v>
      </c>
    </row>
    <row r="683" spans="2:3">
      <c r="B683" s="326">
        <v>8812380273</v>
      </c>
      <c r="C683" s="126">
        <v>7.02</v>
      </c>
    </row>
    <row r="684" spans="2:3">
      <c r="B684" s="326">
        <v>8812380437</v>
      </c>
      <c r="C684" s="126">
        <v>7.02</v>
      </c>
    </row>
    <row r="685" spans="2:3">
      <c r="B685" s="326">
        <v>8812380437</v>
      </c>
      <c r="C685" s="126">
        <v>7.02</v>
      </c>
    </row>
    <row r="686" spans="2:3">
      <c r="B686" s="326">
        <v>8812380437</v>
      </c>
      <c r="C686" s="126">
        <v>7.02</v>
      </c>
    </row>
    <row r="687" spans="2:3">
      <c r="B687" s="326">
        <v>8812380314</v>
      </c>
      <c r="C687" s="126">
        <v>7.02</v>
      </c>
    </row>
    <row r="688" spans="2:3">
      <c r="B688" s="326">
        <v>8812380387</v>
      </c>
      <c r="C688" s="126">
        <v>7.02</v>
      </c>
    </row>
    <row r="689" spans="2:3">
      <c r="B689" s="326">
        <v>8812380367</v>
      </c>
      <c r="C689" s="126">
        <v>7.02</v>
      </c>
    </row>
    <row r="690" spans="2:3">
      <c r="B690" s="326">
        <v>8818241203</v>
      </c>
      <c r="C690" s="126">
        <v>7.02</v>
      </c>
    </row>
    <row r="691" spans="2:3">
      <c r="B691" s="326">
        <v>8818241187</v>
      </c>
      <c r="C691" s="126">
        <v>7.02</v>
      </c>
    </row>
    <row r="692" spans="2:3">
      <c r="B692" s="326">
        <v>8818241187</v>
      </c>
      <c r="C692" s="126">
        <v>7.02</v>
      </c>
    </row>
    <row r="693" spans="2:3">
      <c r="B693" s="326">
        <v>8818241280</v>
      </c>
      <c r="C693" s="126">
        <v>7.02</v>
      </c>
    </row>
    <row r="694" spans="2:3">
      <c r="B694" s="326">
        <v>8818241271</v>
      </c>
      <c r="C694" s="126">
        <v>7.02</v>
      </c>
    </row>
    <row r="695" spans="2:3">
      <c r="B695" s="326">
        <v>8812380367</v>
      </c>
      <c r="C695" s="126">
        <v>7.02</v>
      </c>
    </row>
    <row r="696" spans="2:3">
      <c r="B696" s="326">
        <v>8812380298</v>
      </c>
      <c r="C696" s="126">
        <v>7.02</v>
      </c>
    </row>
    <row r="697" spans="2:3">
      <c r="B697" s="326">
        <v>8812380387</v>
      </c>
      <c r="C697" s="126">
        <v>7.02</v>
      </c>
    </row>
    <row r="698" spans="2:3">
      <c r="B698" s="326">
        <v>8812380367</v>
      </c>
      <c r="C698" s="126">
        <v>7.02</v>
      </c>
    </row>
    <row r="699" spans="2:3">
      <c r="B699" s="326">
        <v>8812380320</v>
      </c>
      <c r="C699" s="126">
        <v>7.02</v>
      </c>
    </row>
    <row r="700" spans="2:3">
      <c r="B700" s="326">
        <v>8812380320</v>
      </c>
      <c r="C700" s="126">
        <v>7.02</v>
      </c>
    </row>
    <row r="701" spans="2:3">
      <c r="B701" s="326">
        <v>8812380387</v>
      </c>
      <c r="C701" s="126">
        <v>7.02</v>
      </c>
    </row>
    <row r="702" spans="2:3">
      <c r="B702" s="326">
        <v>8818241257</v>
      </c>
      <c r="C702" s="126">
        <v>7.02</v>
      </c>
    </row>
    <row r="703" spans="2:3">
      <c r="B703" s="326">
        <v>8818241271</v>
      </c>
      <c r="C703" s="126">
        <v>7.02</v>
      </c>
    </row>
    <row r="704" spans="2:3">
      <c r="B704" s="326">
        <v>8812380387</v>
      </c>
      <c r="C704" s="126">
        <v>7.02</v>
      </c>
    </row>
    <row r="705" spans="2:3">
      <c r="B705" s="326">
        <v>8812380320</v>
      </c>
      <c r="C705" s="126">
        <v>7.02</v>
      </c>
    </row>
    <row r="706" spans="2:3">
      <c r="B706" s="326">
        <v>8818241187</v>
      </c>
      <c r="C706" s="126">
        <v>7.02</v>
      </c>
    </row>
    <row r="707" spans="2:3">
      <c r="B707" s="326">
        <v>8812380387</v>
      </c>
      <c r="C707" s="126">
        <v>7.02</v>
      </c>
    </row>
    <row r="708" spans="2:3">
      <c r="B708" s="326">
        <v>8812380321</v>
      </c>
      <c r="C708" s="126">
        <v>7.02</v>
      </c>
    </row>
    <row r="709" spans="2:3">
      <c r="B709" s="326">
        <v>8812380367</v>
      </c>
      <c r="C709" s="126">
        <v>7.02</v>
      </c>
    </row>
    <row r="710" spans="2:3">
      <c r="B710" s="326">
        <v>8812380351</v>
      </c>
      <c r="C710" s="126">
        <v>7.02</v>
      </c>
    </row>
    <row r="711" spans="2:3">
      <c r="B711" s="326">
        <v>8812380325</v>
      </c>
      <c r="C711" s="126">
        <v>7.02</v>
      </c>
    </row>
    <row r="712" spans="2:3">
      <c r="B712" s="326">
        <v>8818241271</v>
      </c>
      <c r="C712" s="126">
        <v>7.02</v>
      </c>
    </row>
    <row r="713" spans="2:3">
      <c r="B713" s="326">
        <v>8812380271</v>
      </c>
      <c r="C713" s="126">
        <v>7.02</v>
      </c>
    </row>
    <row r="714" spans="2:3">
      <c r="B714" s="326">
        <v>8818241266</v>
      </c>
      <c r="C714" s="126">
        <v>7.02</v>
      </c>
    </row>
    <row r="715" spans="2:3">
      <c r="B715" s="326">
        <v>8812111979</v>
      </c>
      <c r="C715" s="126">
        <v>7.02</v>
      </c>
    </row>
    <row r="716" spans="2:3">
      <c r="B716" s="326">
        <v>8812380437</v>
      </c>
      <c r="C716" s="126">
        <v>7.02</v>
      </c>
    </row>
    <row r="717" spans="2:3">
      <c r="B717" s="326">
        <v>8812380417</v>
      </c>
      <c r="C717" s="126">
        <v>7.02</v>
      </c>
    </row>
    <row r="718" spans="2:3">
      <c r="B718" s="326">
        <v>8818241347</v>
      </c>
      <c r="C718" s="126">
        <v>7.03</v>
      </c>
    </row>
    <row r="719" spans="2:3">
      <c r="B719" s="326">
        <v>8818241347</v>
      </c>
      <c r="C719" s="126">
        <v>7.03</v>
      </c>
    </row>
    <row r="720" spans="2:3">
      <c r="B720" s="326">
        <v>8818241347</v>
      </c>
      <c r="C720" s="126">
        <v>7.03</v>
      </c>
    </row>
    <row r="721" spans="2:3">
      <c r="B721" s="326">
        <v>8818241347</v>
      </c>
      <c r="C721" s="126">
        <v>7.03</v>
      </c>
    </row>
    <row r="722" spans="2:3">
      <c r="B722" s="326">
        <v>8818241347</v>
      </c>
      <c r="C722" s="126">
        <v>7.03</v>
      </c>
    </row>
    <row r="723" spans="2:3">
      <c r="B723" s="326">
        <v>8818241347</v>
      </c>
      <c r="C723" s="126">
        <v>7.03</v>
      </c>
    </row>
    <row r="724" spans="2:3">
      <c r="B724" s="326">
        <v>8818241347</v>
      </c>
      <c r="C724" s="126">
        <v>7.03</v>
      </c>
    </row>
    <row r="725" spans="2:3">
      <c r="B725" s="326">
        <v>8818241347</v>
      </c>
      <c r="C725" s="126">
        <v>7.03</v>
      </c>
    </row>
    <row r="726" spans="2:3">
      <c r="B726" s="326">
        <v>8818241347</v>
      </c>
      <c r="C726" s="126">
        <v>7.03</v>
      </c>
    </row>
    <row r="727" spans="2:3">
      <c r="B727" s="326">
        <v>8818241347</v>
      </c>
      <c r="C727" s="126">
        <v>7.03</v>
      </c>
    </row>
    <row r="728" spans="2:3">
      <c r="B728" s="326">
        <v>8818241347</v>
      </c>
      <c r="C728" s="126">
        <v>7.03</v>
      </c>
    </row>
    <row r="729" spans="2:3">
      <c r="B729" s="326">
        <v>8818241347</v>
      </c>
      <c r="C729" s="126">
        <v>7.03</v>
      </c>
    </row>
    <row r="730" spans="2:3">
      <c r="B730" s="326">
        <v>8818241347</v>
      </c>
      <c r="C730" s="126">
        <v>7.03</v>
      </c>
    </row>
    <row r="731" spans="2:3">
      <c r="B731" s="326">
        <v>8818241347</v>
      </c>
      <c r="C731" s="126">
        <v>7.03</v>
      </c>
    </row>
    <row r="732" spans="2:3">
      <c r="B732" s="326">
        <v>8818241347</v>
      </c>
      <c r="C732" s="126">
        <v>7.03</v>
      </c>
    </row>
    <row r="733" spans="2:3">
      <c r="B733" s="326">
        <v>8818241347</v>
      </c>
      <c r="C733" s="126">
        <v>7.03</v>
      </c>
    </row>
    <row r="734" spans="2:3">
      <c r="B734" s="326">
        <v>8818241347</v>
      </c>
      <c r="C734" s="126">
        <v>7.03</v>
      </c>
    </row>
    <row r="735" spans="2:3">
      <c r="B735" s="326">
        <v>8812380319</v>
      </c>
      <c r="C735" s="126">
        <v>7.02</v>
      </c>
    </row>
    <row r="736" spans="2:3">
      <c r="B736" s="326">
        <v>8818241281</v>
      </c>
      <c r="C736" s="126">
        <v>7.02</v>
      </c>
    </row>
    <row r="737" spans="2:3">
      <c r="B737" s="326">
        <v>8812380274</v>
      </c>
      <c r="C737" s="126">
        <v>7.02</v>
      </c>
    </row>
    <row r="738" spans="2:3">
      <c r="B738" s="326">
        <v>8812380387</v>
      </c>
      <c r="C738" s="126">
        <v>7.02</v>
      </c>
    </row>
    <row r="739" spans="2:3">
      <c r="B739" s="326">
        <v>8812380372</v>
      </c>
      <c r="C739" s="126">
        <v>7.02</v>
      </c>
    </row>
    <row r="740" spans="2:3">
      <c r="B740" s="326">
        <v>8812380368</v>
      </c>
      <c r="C740" s="126">
        <v>7.02</v>
      </c>
    </row>
    <row r="741" spans="2:3">
      <c r="B741" s="326">
        <v>8812380354</v>
      </c>
      <c r="C741" s="126">
        <v>7.02</v>
      </c>
    </row>
    <row r="742" spans="2:3">
      <c r="B742" s="326">
        <v>8812380316</v>
      </c>
      <c r="C742" s="126">
        <v>7.02</v>
      </c>
    </row>
    <row r="743" spans="2:3">
      <c r="B743" s="326">
        <v>8812380358</v>
      </c>
      <c r="C743" s="126">
        <v>7.02</v>
      </c>
    </row>
    <row r="744" spans="2:3">
      <c r="B744" s="326">
        <v>8812111979</v>
      </c>
      <c r="C744" s="126">
        <v>7.02</v>
      </c>
    </row>
    <row r="745" spans="2:3">
      <c r="B745" s="326">
        <v>8812380399</v>
      </c>
      <c r="C745" s="126">
        <v>7.03</v>
      </c>
    </row>
    <row r="746" spans="2:3">
      <c r="B746" s="326">
        <v>8812380399</v>
      </c>
      <c r="C746" s="126">
        <v>7.03</v>
      </c>
    </row>
    <row r="747" spans="2:3">
      <c r="B747" s="326">
        <v>8812380399</v>
      </c>
      <c r="C747" s="126">
        <v>7.03</v>
      </c>
    </row>
    <row r="748" spans="2:3">
      <c r="B748" s="326">
        <v>8812380399</v>
      </c>
      <c r="C748" s="126">
        <v>7.03</v>
      </c>
    </row>
    <row r="749" spans="2:3">
      <c r="B749" s="326">
        <v>8812380399</v>
      </c>
      <c r="C749" s="126">
        <v>7.03</v>
      </c>
    </row>
    <row r="750" spans="2:3">
      <c r="B750" s="326">
        <v>8812380399</v>
      </c>
      <c r="C750" s="126">
        <v>7.03</v>
      </c>
    </row>
    <row r="751" spans="2:3">
      <c r="B751" s="326">
        <v>8812380399</v>
      </c>
      <c r="C751" s="126">
        <v>7.03</v>
      </c>
    </row>
    <row r="752" spans="2:3">
      <c r="B752" s="326">
        <v>8812380399</v>
      </c>
      <c r="C752" s="126">
        <v>7.03</v>
      </c>
    </row>
    <row r="753" spans="2:3">
      <c r="B753" s="326">
        <v>8812380399</v>
      </c>
      <c r="C753" s="126">
        <v>7.03</v>
      </c>
    </row>
    <row r="754" spans="2:3">
      <c r="B754" s="326">
        <v>8812380399</v>
      </c>
      <c r="C754" s="126">
        <v>7.03</v>
      </c>
    </row>
    <row r="755" spans="2:3">
      <c r="B755" s="326">
        <v>8812380399</v>
      </c>
      <c r="C755" s="126">
        <v>7.03</v>
      </c>
    </row>
    <row r="756" spans="2:3">
      <c r="B756" s="326">
        <v>8812380399</v>
      </c>
      <c r="C756" s="126">
        <v>7.03</v>
      </c>
    </row>
    <row r="757" spans="2:3">
      <c r="B757" s="326">
        <v>8812380399</v>
      </c>
      <c r="C757" s="126">
        <v>7.03</v>
      </c>
    </row>
    <row r="758" spans="2:3">
      <c r="B758" s="326">
        <v>8812380399</v>
      </c>
      <c r="C758" s="126">
        <v>7.03</v>
      </c>
    </row>
    <row r="759" spans="2:3">
      <c r="B759" s="326">
        <v>8812380399</v>
      </c>
      <c r="C759" s="126">
        <v>7.03</v>
      </c>
    </row>
    <row r="760" spans="2:3">
      <c r="B760" s="326">
        <v>8812380399</v>
      </c>
      <c r="C760" s="126">
        <v>7.03</v>
      </c>
    </row>
    <row r="761" spans="2:3">
      <c r="B761" s="326">
        <v>8812380399</v>
      </c>
      <c r="C761" s="126">
        <v>7.03</v>
      </c>
    </row>
    <row r="762" spans="2:3">
      <c r="B762" s="326">
        <v>8812380399</v>
      </c>
      <c r="C762" s="126">
        <v>7.03</v>
      </c>
    </row>
    <row r="763" spans="2:3">
      <c r="B763" s="326">
        <v>8812380399</v>
      </c>
      <c r="C763" s="126">
        <v>7.03</v>
      </c>
    </row>
    <row r="764" spans="2:3">
      <c r="B764" s="326">
        <v>8812380399</v>
      </c>
      <c r="C764" s="126">
        <v>7.03</v>
      </c>
    </row>
    <row r="765" spans="2:3">
      <c r="B765" s="326">
        <v>8812380399</v>
      </c>
      <c r="C765" s="126">
        <v>7.03</v>
      </c>
    </row>
    <row r="766" spans="2:3">
      <c r="B766" s="326">
        <v>8812380399</v>
      </c>
      <c r="C766" s="126">
        <v>7.03</v>
      </c>
    </row>
    <row r="767" spans="2:3">
      <c r="B767" s="326">
        <v>8818241140</v>
      </c>
      <c r="C767" s="126">
        <v>7.02</v>
      </c>
    </row>
    <row r="768" spans="2:3">
      <c r="B768" s="326">
        <v>8818241140</v>
      </c>
      <c r="C768" s="126">
        <v>7.02</v>
      </c>
    </row>
    <row r="769" spans="2:3">
      <c r="B769" s="326">
        <v>8818241140</v>
      </c>
      <c r="C769" s="126">
        <v>7.02</v>
      </c>
    </row>
    <row r="770" spans="2:3">
      <c r="B770" s="326">
        <v>8818241276</v>
      </c>
      <c r="C770" s="126">
        <v>7.02</v>
      </c>
    </row>
    <row r="771" spans="2:3">
      <c r="B771" s="326">
        <v>8812380357</v>
      </c>
      <c r="C771" s="126">
        <v>7.02</v>
      </c>
    </row>
    <row r="772" spans="2:3">
      <c r="B772" s="326">
        <v>8812380555</v>
      </c>
      <c r="C772" s="126">
        <v>7.02</v>
      </c>
    </row>
    <row r="773" spans="2:3">
      <c r="B773" s="326">
        <v>8812380357</v>
      </c>
      <c r="C773" s="126">
        <v>7.02</v>
      </c>
    </row>
    <row r="774" spans="2:3">
      <c r="B774" s="326">
        <v>8818241277</v>
      </c>
      <c r="C774" s="126">
        <v>7.02</v>
      </c>
    </row>
    <row r="775" spans="2:3">
      <c r="B775" s="326">
        <v>8818241275</v>
      </c>
      <c r="C775" s="126">
        <v>7.02</v>
      </c>
    </row>
    <row r="776" spans="2:3">
      <c r="B776" s="326">
        <v>8818241350</v>
      </c>
      <c r="C776" s="126">
        <v>7.03</v>
      </c>
    </row>
    <row r="777" spans="2:3">
      <c r="B777" s="326">
        <v>8812380441</v>
      </c>
      <c r="C777" s="126">
        <v>7.02</v>
      </c>
    </row>
    <row r="778" spans="2:3">
      <c r="B778" s="326">
        <v>8818241229</v>
      </c>
      <c r="C778" s="126">
        <v>7.02</v>
      </c>
    </row>
    <row r="779" spans="2:3">
      <c r="B779" s="326">
        <v>8818241350</v>
      </c>
      <c r="C779" s="126">
        <v>7.02</v>
      </c>
    </row>
    <row r="780" spans="2:3">
      <c r="B780" s="326">
        <v>8818241270</v>
      </c>
      <c r="C780" s="126">
        <v>7.02</v>
      </c>
    </row>
    <row r="781" spans="2:3">
      <c r="B781" s="326">
        <v>8818241275</v>
      </c>
      <c r="C781" s="126">
        <v>7.02</v>
      </c>
    </row>
    <row r="782" spans="2:3">
      <c r="B782" s="326">
        <v>8818241255</v>
      </c>
      <c r="C782" s="126">
        <v>7.02</v>
      </c>
    </row>
    <row r="783" spans="2:3">
      <c r="B783" s="326">
        <v>8818241126</v>
      </c>
      <c r="C783" s="126">
        <v>7.02</v>
      </c>
    </row>
    <row r="784" spans="2:3">
      <c r="B784" s="326">
        <v>8818241293</v>
      </c>
      <c r="C784" s="126">
        <v>7.02</v>
      </c>
    </row>
    <row r="785" spans="2:3">
      <c r="B785" s="326">
        <v>8818241270</v>
      </c>
      <c r="C785" s="126">
        <v>7.02</v>
      </c>
    </row>
    <row r="786" spans="2:3">
      <c r="B786" s="326">
        <v>8812188116</v>
      </c>
      <c r="C786" s="126">
        <v>7.03</v>
      </c>
    </row>
    <row r="787" spans="2:3">
      <c r="B787" s="326">
        <v>8812310868</v>
      </c>
      <c r="C787" s="126">
        <v>7.02</v>
      </c>
    </row>
    <row r="788" spans="2:3">
      <c r="B788" s="326">
        <v>8812310874</v>
      </c>
      <c r="C788" s="126">
        <v>7.02</v>
      </c>
    </row>
    <row r="789" spans="2:3">
      <c r="B789" s="326">
        <v>8812310813</v>
      </c>
      <c r="C789" s="126">
        <v>7.02</v>
      </c>
    </row>
    <row r="790" spans="2:3">
      <c r="B790" s="326">
        <v>8818241269</v>
      </c>
      <c r="C790" s="126">
        <v>7.02</v>
      </c>
    </row>
    <row r="791" spans="2:3">
      <c r="B791" s="326">
        <v>8812188116</v>
      </c>
      <c r="C791" s="126">
        <v>7.03</v>
      </c>
    </row>
    <row r="792" spans="2:3">
      <c r="B792" s="326">
        <v>8818241274</v>
      </c>
      <c r="C792" s="126">
        <v>7.02</v>
      </c>
    </row>
    <row r="793" spans="2:3">
      <c r="B793" s="326">
        <v>8812380364</v>
      </c>
      <c r="C793" s="126">
        <v>7.02</v>
      </c>
    </row>
    <row r="794" spans="2:3">
      <c r="B794" s="326">
        <v>8812380275</v>
      </c>
      <c r="C794" s="126">
        <v>7.02</v>
      </c>
    </row>
    <row r="795" spans="2:3">
      <c r="B795" s="326">
        <v>8812380364</v>
      </c>
      <c r="C795" s="126">
        <v>7.02</v>
      </c>
    </row>
    <row r="796" spans="2:3">
      <c r="B796" s="326">
        <v>8812378287</v>
      </c>
      <c r="C796" s="126">
        <v>7.02</v>
      </c>
    </row>
    <row r="797" spans="2:3">
      <c r="B797" s="326">
        <v>8812380376</v>
      </c>
      <c r="C797" s="126">
        <v>7.02</v>
      </c>
    </row>
    <row r="798" spans="2:3">
      <c r="B798" s="326">
        <v>8812380305</v>
      </c>
      <c r="C798" s="126">
        <v>7.02</v>
      </c>
    </row>
    <row r="799" spans="2:3">
      <c r="B799" s="326">
        <v>8812380379</v>
      </c>
      <c r="C799" s="126">
        <v>7.02</v>
      </c>
    </row>
    <row r="800" spans="2:3">
      <c r="B800" s="326">
        <v>8812380379</v>
      </c>
      <c r="C800" s="126">
        <v>7.02</v>
      </c>
    </row>
    <row r="801" spans="2:3">
      <c r="B801" s="326">
        <v>8812380277</v>
      </c>
      <c r="C801" s="126">
        <v>7.02</v>
      </c>
    </row>
    <row r="802" spans="2:3">
      <c r="B802" s="113">
        <v>8818241148</v>
      </c>
      <c r="C802" s="126">
        <v>7.02</v>
      </c>
    </row>
    <row r="803" spans="2:3">
      <c r="B803" s="326">
        <v>8818113674</v>
      </c>
      <c r="C803" s="126">
        <v>7.03</v>
      </c>
    </row>
    <row r="804" spans="2:3">
      <c r="B804" s="326">
        <v>8812380363</v>
      </c>
      <c r="C804" s="126">
        <v>7.02</v>
      </c>
    </row>
    <row r="805" spans="2:3">
      <c r="B805" s="326">
        <v>8812380411</v>
      </c>
      <c r="C805" s="126">
        <v>7.02</v>
      </c>
    </row>
    <row r="806" spans="2:3">
      <c r="B806" s="326">
        <v>8812392621</v>
      </c>
      <c r="C806" s="126">
        <v>7.02</v>
      </c>
    </row>
    <row r="807" spans="2:3">
      <c r="B807" s="326">
        <v>8812380556</v>
      </c>
      <c r="C807" s="126">
        <v>7.02</v>
      </c>
    </row>
    <row r="808" spans="2:3">
      <c r="B808" s="326">
        <v>8812380371</v>
      </c>
      <c r="C808" s="126">
        <v>7.02</v>
      </c>
    </row>
    <row r="809" spans="2:3">
      <c r="B809" s="326">
        <v>8812380382</v>
      </c>
      <c r="C809" s="126">
        <v>7.02</v>
      </c>
    </row>
    <row r="810" spans="2:3">
      <c r="B810" s="326">
        <v>8812380373</v>
      </c>
      <c r="C810" s="126">
        <v>7.02</v>
      </c>
    </row>
    <row r="811" spans="2:3">
      <c r="B811" s="326">
        <v>8812380381</v>
      </c>
      <c r="C811" s="126">
        <v>7.02</v>
      </c>
    </row>
    <row r="812" spans="2:3">
      <c r="B812" s="326">
        <v>8812288284</v>
      </c>
      <c r="C812" s="126">
        <v>7.02</v>
      </c>
    </row>
    <row r="813" spans="2:3">
      <c r="B813" s="326">
        <v>8812288356</v>
      </c>
      <c r="C813" s="126">
        <v>7.02</v>
      </c>
    </row>
    <row r="814" spans="2:3">
      <c r="B814" s="326">
        <v>8812288284</v>
      </c>
      <c r="C814" s="126">
        <v>7.02</v>
      </c>
    </row>
    <row r="815" spans="2:3">
      <c r="B815" s="326">
        <v>8812288356</v>
      </c>
      <c r="C815" s="126">
        <v>7.02</v>
      </c>
    </row>
    <row r="816" spans="2:3">
      <c r="B816" s="326">
        <v>8812288400</v>
      </c>
      <c r="C816" s="126">
        <v>7.02</v>
      </c>
    </row>
    <row r="817" spans="2:3">
      <c r="B817" s="326">
        <v>8812288381</v>
      </c>
      <c r="C817" s="126">
        <v>7.02</v>
      </c>
    </row>
    <row r="818" spans="2:3">
      <c r="B818" s="326">
        <v>8812288373</v>
      </c>
      <c r="C818" s="126">
        <v>7.02</v>
      </c>
    </row>
    <row r="819" spans="2:3">
      <c r="B819" s="326">
        <v>8818188236</v>
      </c>
      <c r="C819" s="126">
        <v>7.02</v>
      </c>
    </row>
    <row r="820" spans="2:3">
      <c r="B820" s="326">
        <v>8812288386</v>
      </c>
      <c r="C820" s="126">
        <v>7.02</v>
      </c>
    </row>
    <row r="821" spans="2:3">
      <c r="B821" s="326">
        <v>8812288400</v>
      </c>
      <c r="C821" s="126">
        <v>7.02</v>
      </c>
    </row>
    <row r="822" spans="2:3">
      <c r="B822" s="326">
        <v>8812288369</v>
      </c>
      <c r="C822" s="126">
        <v>7.03</v>
      </c>
    </row>
    <row r="823" spans="2:3">
      <c r="B823" s="326">
        <v>8812288383</v>
      </c>
      <c r="C823" s="126">
        <v>7.02</v>
      </c>
    </row>
    <row r="824" spans="2:3">
      <c r="B824" s="326">
        <v>8812288396</v>
      </c>
      <c r="C824" s="126">
        <v>7.02</v>
      </c>
    </row>
    <row r="825" spans="2:3">
      <c r="B825" s="326">
        <v>8812288287</v>
      </c>
      <c r="C825" s="126">
        <v>7.02</v>
      </c>
    </row>
    <row r="826" spans="2:3">
      <c r="B826" s="326">
        <v>8812288273</v>
      </c>
      <c r="C826" s="126">
        <v>7.02</v>
      </c>
    </row>
    <row r="827" spans="2:3">
      <c r="B827" s="326">
        <v>8812288398</v>
      </c>
      <c r="C827" s="126">
        <v>7.02</v>
      </c>
    </row>
    <row r="828" spans="2:3">
      <c r="B828" s="326">
        <v>8812380468</v>
      </c>
      <c r="C828" s="126">
        <v>7.02</v>
      </c>
    </row>
    <row r="829" spans="2:3">
      <c r="B829" s="326">
        <v>8812380491</v>
      </c>
      <c r="C829" s="126">
        <v>7.02</v>
      </c>
    </row>
    <row r="830" spans="2:3">
      <c r="B830" s="326">
        <v>8812380474</v>
      </c>
      <c r="C830" s="126">
        <v>7.02</v>
      </c>
    </row>
    <row r="831" spans="2:3">
      <c r="B831" s="326">
        <v>8812380466</v>
      </c>
      <c r="C831" s="126">
        <v>7.02</v>
      </c>
    </row>
    <row r="832" spans="2:3">
      <c r="B832" s="326">
        <v>8818241210</v>
      </c>
      <c r="C832" s="126">
        <v>7.02</v>
      </c>
    </row>
    <row r="833" spans="2:3">
      <c r="B833" s="326">
        <v>8818241259</v>
      </c>
      <c r="C833" s="126">
        <v>7.02</v>
      </c>
    </row>
    <row r="834" spans="2:3">
      <c r="B834" s="326">
        <v>8818241254</v>
      </c>
      <c r="C834" s="126">
        <v>7.02</v>
      </c>
    </row>
    <row r="835" spans="2:3">
      <c r="B835" s="326">
        <v>8818113674</v>
      </c>
      <c r="C835" s="126">
        <v>7.02</v>
      </c>
    </row>
    <row r="836" spans="2:3">
      <c r="B836" s="326">
        <v>8818113674</v>
      </c>
      <c r="C836" s="126">
        <v>7.02</v>
      </c>
    </row>
    <row r="837" spans="2:3">
      <c r="B837" s="326">
        <v>8818113674</v>
      </c>
      <c r="C837" s="126">
        <v>7.02</v>
      </c>
    </row>
    <row r="838" spans="2:3">
      <c r="B838" s="326">
        <v>8818113674</v>
      </c>
      <c r="C838" s="126">
        <v>7.02</v>
      </c>
    </row>
    <row r="839" spans="2:3">
      <c r="B839" s="326">
        <v>8812380291</v>
      </c>
      <c r="C839" s="126">
        <v>7.02</v>
      </c>
    </row>
    <row r="840" spans="2:3">
      <c r="B840" s="326">
        <v>8818113674</v>
      </c>
      <c r="C840" s="126">
        <v>7.02</v>
      </c>
    </row>
    <row r="841" spans="2:3">
      <c r="B841" s="326">
        <v>8818113674</v>
      </c>
      <c r="C841" s="126">
        <v>7.02</v>
      </c>
    </row>
    <row r="842" spans="2:3">
      <c r="B842" s="326">
        <v>8818113674</v>
      </c>
      <c r="C842" s="126">
        <v>7.02</v>
      </c>
    </row>
    <row r="843" spans="2:3">
      <c r="B843" s="326">
        <v>8818113674</v>
      </c>
      <c r="C843" s="126">
        <v>7.02</v>
      </c>
    </row>
    <row r="844" spans="2:3">
      <c r="B844" s="326">
        <v>8818113674</v>
      </c>
      <c r="C844" s="126">
        <v>7.02</v>
      </c>
    </row>
    <row r="845" spans="2:3">
      <c r="B845" s="326">
        <v>8818113674</v>
      </c>
      <c r="C845" s="126">
        <v>7.02</v>
      </c>
    </row>
    <row r="846" spans="2:3">
      <c r="B846" s="326">
        <v>8818241253</v>
      </c>
      <c r="C846" s="126">
        <v>7.02</v>
      </c>
    </row>
    <row r="847" spans="2:3">
      <c r="B847" s="326">
        <v>8812380397</v>
      </c>
      <c r="C847" s="126">
        <v>7.03</v>
      </c>
    </row>
    <row r="848" spans="2:3">
      <c r="B848" s="326">
        <v>8818241258</v>
      </c>
      <c r="C848" s="126">
        <v>7.02</v>
      </c>
    </row>
    <row r="849" spans="2:3">
      <c r="B849" s="326">
        <v>8812381537</v>
      </c>
      <c r="C849" s="126">
        <v>7.02</v>
      </c>
    </row>
    <row r="850" spans="2:3">
      <c r="B850" s="326">
        <v>8812411585</v>
      </c>
      <c r="C850" s="126">
        <v>7.02</v>
      </c>
    </row>
    <row r="851" spans="2:3">
      <c r="B851" s="326">
        <v>8812411628</v>
      </c>
      <c r="C851" s="126">
        <v>7.02</v>
      </c>
    </row>
    <row r="852" spans="2:3">
      <c r="B852" s="326">
        <v>8812411607</v>
      </c>
      <c r="C852" s="126">
        <v>7.02</v>
      </c>
    </row>
    <row r="853" spans="2:3">
      <c r="B853" s="326">
        <v>8818241349</v>
      </c>
      <c r="C853" s="126">
        <v>7.03</v>
      </c>
    </row>
    <row r="854" spans="2:3">
      <c r="B854" s="326">
        <v>8812411618</v>
      </c>
      <c r="C854" s="126">
        <v>7.02</v>
      </c>
    </row>
    <row r="855" spans="2:3">
      <c r="B855" s="326">
        <v>8818255112</v>
      </c>
      <c r="C855" s="126">
        <v>7.02</v>
      </c>
    </row>
    <row r="856" spans="2:3">
      <c r="B856" s="326">
        <v>8812411620</v>
      </c>
      <c r="C856" s="126">
        <v>7.02</v>
      </c>
    </row>
    <row r="857" spans="2:3">
      <c r="B857" s="326">
        <v>8812411623</v>
      </c>
      <c r="C857" s="126">
        <v>7.02</v>
      </c>
    </row>
    <row r="858" spans="2:3">
      <c r="B858" s="326">
        <v>8812380270</v>
      </c>
      <c r="C858" s="126">
        <v>7.02</v>
      </c>
    </row>
    <row r="859" spans="2:3">
      <c r="B859" s="326">
        <v>8818241108</v>
      </c>
      <c r="C859" s="126">
        <v>7.02</v>
      </c>
    </row>
    <row r="860" spans="2:3">
      <c r="B860" s="326">
        <v>8818241185</v>
      </c>
      <c r="C860" s="126">
        <v>7.02</v>
      </c>
    </row>
    <row r="861" spans="2:3">
      <c r="B861" s="326">
        <v>8812411587</v>
      </c>
      <c r="C861" s="126">
        <v>7.02</v>
      </c>
    </row>
    <row r="862" spans="2:3">
      <c r="B862" s="326">
        <v>8812399036</v>
      </c>
      <c r="C862" s="126">
        <v>7.02</v>
      </c>
    </row>
    <row r="863" spans="2:3">
      <c r="B863" s="326">
        <v>88940461</v>
      </c>
      <c r="C863" s="126">
        <v>7.02</v>
      </c>
    </row>
    <row r="864" spans="2:3">
      <c r="B864" s="326">
        <v>8812411618</v>
      </c>
      <c r="C864" s="126">
        <v>7.02</v>
      </c>
    </row>
    <row r="865" spans="2:3">
      <c r="B865" s="326">
        <v>8812411618</v>
      </c>
      <c r="C865" s="126">
        <v>7.02</v>
      </c>
    </row>
    <row r="866" spans="2:3">
      <c r="B866" s="326">
        <v>8812411587</v>
      </c>
      <c r="C866" s="126">
        <v>7.02</v>
      </c>
    </row>
    <row r="867" spans="2:3">
      <c r="B867" s="326">
        <v>8812411620</v>
      </c>
      <c r="C867" s="126">
        <v>7.02</v>
      </c>
    </row>
    <row r="868" spans="2:3">
      <c r="B868" s="326">
        <v>8812411607</v>
      </c>
      <c r="C868" s="126">
        <v>7.02</v>
      </c>
    </row>
    <row r="869" spans="2:3">
      <c r="B869" s="326">
        <v>8812411618</v>
      </c>
      <c r="C869" s="126">
        <v>7.02</v>
      </c>
    </row>
    <row r="870" spans="2:3">
      <c r="B870" s="326">
        <v>8812411607</v>
      </c>
      <c r="C870" s="126">
        <v>7.02</v>
      </c>
    </row>
    <row r="871" spans="2:3">
      <c r="B871" s="326">
        <v>8812411607</v>
      </c>
      <c r="C871" s="126">
        <v>7.02</v>
      </c>
    </row>
    <row r="872" spans="2:3">
      <c r="B872" s="326">
        <v>8812411618</v>
      </c>
      <c r="C872" s="126">
        <v>7.02</v>
      </c>
    </row>
    <row r="873" spans="2:3">
      <c r="B873" s="326">
        <v>8812411585</v>
      </c>
      <c r="C873" s="126">
        <v>7.02</v>
      </c>
    </row>
    <row r="874" spans="2:3">
      <c r="B874" s="326">
        <v>8812411585</v>
      </c>
      <c r="C874" s="126">
        <v>7.02</v>
      </c>
    </row>
    <row r="875" spans="2:3">
      <c r="B875" s="326">
        <v>8812411618</v>
      </c>
      <c r="C875" s="126">
        <v>7.02</v>
      </c>
    </row>
    <row r="876" spans="2:3">
      <c r="B876" s="326">
        <v>8812411607</v>
      </c>
      <c r="C876" s="126">
        <v>7.02</v>
      </c>
    </row>
    <row r="877" spans="2:3">
      <c r="B877" s="326">
        <v>8812411618</v>
      </c>
      <c r="C877" s="126">
        <v>7.02</v>
      </c>
    </row>
    <row r="878" spans="2:3">
      <c r="B878" s="326">
        <v>8812411623</v>
      </c>
      <c r="C878" s="126">
        <v>7.02</v>
      </c>
    </row>
    <row r="879" spans="2:3">
      <c r="B879" s="326">
        <v>8812411618</v>
      </c>
      <c r="C879" s="126">
        <v>7.02</v>
      </c>
    </row>
    <row r="880" spans="2:3">
      <c r="B880" s="326">
        <v>8812411607</v>
      </c>
      <c r="C880" s="126">
        <v>7.02</v>
      </c>
    </row>
    <row r="881" spans="2:3">
      <c r="B881" s="326">
        <v>8812411623</v>
      </c>
      <c r="C881" s="126">
        <v>7.02</v>
      </c>
    </row>
    <row r="882" spans="2:3">
      <c r="B882" s="326">
        <v>8812411607</v>
      </c>
      <c r="C882" s="126">
        <v>7.02</v>
      </c>
    </row>
    <row r="883" spans="2:3">
      <c r="B883" s="326">
        <v>8812411585</v>
      </c>
      <c r="C883" s="126">
        <v>7.02</v>
      </c>
    </row>
    <row r="884" spans="2:3">
      <c r="B884" s="326">
        <v>8812411607</v>
      </c>
      <c r="C884" s="126">
        <v>7.02</v>
      </c>
    </row>
    <row r="885" spans="2:3">
      <c r="B885" s="326">
        <v>8812411607</v>
      </c>
      <c r="C885" s="126">
        <v>7.02</v>
      </c>
    </row>
    <row r="886" spans="2:3">
      <c r="B886" s="326">
        <v>8812411607</v>
      </c>
      <c r="C886" s="126">
        <v>7.02</v>
      </c>
    </row>
    <row r="887" spans="2:3">
      <c r="B887" s="326">
        <v>8812411607</v>
      </c>
      <c r="C887" s="126">
        <v>7.02</v>
      </c>
    </row>
    <row r="888" spans="2:3">
      <c r="B888" s="326">
        <v>8812411607</v>
      </c>
      <c r="C888" s="126">
        <v>7.02</v>
      </c>
    </row>
    <row r="889" spans="2:3">
      <c r="B889" s="326">
        <v>8812411618</v>
      </c>
      <c r="C889" s="126">
        <v>7.02</v>
      </c>
    </row>
    <row r="890" spans="2:3">
      <c r="B890" s="326">
        <v>8812411585</v>
      </c>
      <c r="C890" s="126">
        <v>7.02</v>
      </c>
    </row>
    <row r="891" spans="2:3">
      <c r="B891" s="326">
        <v>8812411618</v>
      </c>
      <c r="C891" s="126">
        <v>7.02</v>
      </c>
    </row>
    <row r="892" spans="2:3">
      <c r="B892" s="326">
        <v>8812411607</v>
      </c>
      <c r="C892" s="126">
        <v>7.02</v>
      </c>
    </row>
    <row r="893" spans="2:3">
      <c r="B893" s="326">
        <v>8812411607</v>
      </c>
      <c r="C893" s="126">
        <v>7.02</v>
      </c>
    </row>
    <row r="894" spans="2:3">
      <c r="B894" s="326">
        <v>8812411618</v>
      </c>
      <c r="C894" s="126">
        <v>7.02</v>
      </c>
    </row>
    <row r="895" spans="2:3">
      <c r="B895" s="326">
        <v>8812411623</v>
      </c>
      <c r="C895" s="126">
        <v>7.02</v>
      </c>
    </row>
    <row r="896" spans="2:3">
      <c r="B896" s="326">
        <v>8812411585</v>
      </c>
      <c r="C896" s="126">
        <v>7.02</v>
      </c>
    </row>
    <row r="897" spans="2:3">
      <c r="B897" s="326">
        <v>8812411607</v>
      </c>
      <c r="C897" s="126">
        <v>7.02</v>
      </c>
    </row>
    <row r="898" spans="2:3">
      <c r="B898" s="326">
        <v>8812411618</v>
      </c>
      <c r="C898" s="126">
        <v>7.02</v>
      </c>
    </row>
    <row r="899" spans="2:3">
      <c r="B899" s="326">
        <v>8812411623</v>
      </c>
      <c r="C899" s="126">
        <v>7.02</v>
      </c>
    </row>
    <row r="900" spans="2:3">
      <c r="B900" s="326">
        <v>8812411607</v>
      </c>
      <c r="C900" s="126">
        <v>7.02</v>
      </c>
    </row>
    <row r="901" spans="2:3">
      <c r="B901" s="326">
        <v>8812411623</v>
      </c>
      <c r="C901" s="126">
        <v>7.02</v>
      </c>
    </row>
    <row r="902" spans="2:3">
      <c r="B902" s="326">
        <v>8812411623</v>
      </c>
      <c r="C902" s="126">
        <v>7.02</v>
      </c>
    </row>
    <row r="903" spans="2:3">
      <c r="B903" s="326">
        <v>8812411585</v>
      </c>
      <c r="C903" s="126">
        <v>7.02</v>
      </c>
    </row>
    <row r="904" spans="2:3">
      <c r="B904" s="326">
        <v>8812411618</v>
      </c>
      <c r="C904" s="126">
        <v>7.02</v>
      </c>
    </row>
    <row r="905" spans="2:3">
      <c r="B905" s="326">
        <v>8812411623</v>
      </c>
      <c r="C905" s="126">
        <v>7.02</v>
      </c>
    </row>
    <row r="906" spans="2:3">
      <c r="B906" s="326">
        <v>8812411587</v>
      </c>
      <c r="C906" s="126">
        <v>7.02</v>
      </c>
    </row>
    <row r="907" spans="2:3">
      <c r="B907" s="326">
        <v>8812411587</v>
      </c>
      <c r="C907" s="126">
        <v>7.02</v>
      </c>
    </row>
    <row r="908" spans="2:3">
      <c r="B908" s="326">
        <v>8812411623</v>
      </c>
      <c r="C908" s="126">
        <v>7.02</v>
      </c>
    </row>
    <row r="909" spans="2:3">
      <c r="B909" s="326">
        <v>8812411585</v>
      </c>
      <c r="C909" s="126">
        <v>7.02</v>
      </c>
    </row>
    <row r="910" spans="2:3">
      <c r="B910" s="326">
        <v>8812411607</v>
      </c>
      <c r="C910" s="126">
        <v>7.02</v>
      </c>
    </row>
    <row r="911" spans="2:3">
      <c r="B911" s="326">
        <v>8812411623</v>
      </c>
      <c r="C911" s="126">
        <v>7.02</v>
      </c>
    </row>
    <row r="912" spans="2:3">
      <c r="B912" s="326">
        <v>8812411585</v>
      </c>
      <c r="C912" s="126">
        <v>7.02</v>
      </c>
    </row>
    <row r="913" spans="2:3">
      <c r="B913" s="326">
        <v>8812411623</v>
      </c>
      <c r="C913" s="126">
        <v>7.02</v>
      </c>
    </row>
    <row r="914" spans="2:3">
      <c r="B914" s="326">
        <v>8812411623</v>
      </c>
      <c r="C914" s="126">
        <v>7.02</v>
      </c>
    </row>
    <row r="915" spans="2:3">
      <c r="B915" s="326">
        <v>8812411618</v>
      </c>
      <c r="C915" s="126">
        <v>7.02</v>
      </c>
    </row>
    <row r="916" spans="2:3">
      <c r="B916" s="326">
        <v>8812411623</v>
      </c>
      <c r="C916" s="126">
        <v>7.02</v>
      </c>
    </row>
    <row r="917" spans="2:3">
      <c r="B917" s="326">
        <v>8812381537</v>
      </c>
      <c r="C917" s="126">
        <v>7.02</v>
      </c>
    </row>
    <row r="918" spans="2:3">
      <c r="B918" s="326">
        <v>8812380312</v>
      </c>
      <c r="C918" s="126">
        <v>7.02</v>
      </c>
    </row>
    <row r="919" spans="2:3">
      <c r="B919" s="326">
        <v>8812380284</v>
      </c>
      <c r="C919" s="126">
        <v>7.02</v>
      </c>
    </row>
    <row r="920" spans="2:3">
      <c r="B920" s="326">
        <v>8812380458</v>
      </c>
      <c r="C920" s="126">
        <v>7.02</v>
      </c>
    </row>
    <row r="921" spans="2:3">
      <c r="B921" s="326">
        <v>8812380407</v>
      </c>
      <c r="C921" s="126">
        <v>7.02</v>
      </c>
    </row>
    <row r="922" spans="2:3">
      <c r="B922" s="326">
        <v>8812411575</v>
      </c>
      <c r="C922" s="126">
        <v>7.03</v>
      </c>
    </row>
    <row r="923" spans="2:3">
      <c r="B923" s="326" t="s">
        <v>7906</v>
      </c>
      <c r="C923" s="126">
        <v>7.03</v>
      </c>
    </row>
    <row r="924" spans="2:3">
      <c r="B924" s="326" t="s">
        <v>7907</v>
      </c>
      <c r="C924" s="126">
        <v>7.02</v>
      </c>
    </row>
    <row r="925" spans="2:3">
      <c r="B925" s="326">
        <v>8818241104</v>
      </c>
      <c r="C925" s="126">
        <v>7.02</v>
      </c>
    </row>
    <row r="926" spans="2:3">
      <c r="B926" s="326">
        <v>8812380455</v>
      </c>
      <c r="C926" s="126">
        <v>7.02</v>
      </c>
    </row>
    <row r="927" spans="2:3">
      <c r="B927" s="326">
        <v>8818255112</v>
      </c>
      <c r="C927" s="126">
        <v>7.02</v>
      </c>
    </row>
    <row r="928" spans="2:3">
      <c r="B928" s="326">
        <v>8812380288</v>
      </c>
      <c r="C928" s="126">
        <v>7.02</v>
      </c>
    </row>
    <row r="929" spans="2:5">
      <c r="B929" s="326">
        <v>8818241142</v>
      </c>
      <c r="C929" s="126">
        <v>7.02</v>
      </c>
    </row>
    <row r="930" spans="2:5">
      <c r="B930" s="326">
        <v>8812380281</v>
      </c>
      <c r="C930" s="126">
        <v>7.02</v>
      </c>
    </row>
    <row r="931" spans="2:5">
      <c r="B931" s="326">
        <v>8812380292</v>
      </c>
      <c r="C931" s="126">
        <v>7.02</v>
      </c>
    </row>
    <row r="932" spans="2:5">
      <c r="B932" s="326">
        <v>8812425494</v>
      </c>
      <c r="C932" s="126">
        <v>7.02</v>
      </c>
      <c r="E932" s="113">
        <v>8818241258</v>
      </c>
    </row>
    <row r="933" spans="2:5">
      <c r="B933" s="338">
        <v>8818241133</v>
      </c>
      <c r="C933" s="126">
        <v>7.02</v>
      </c>
      <c r="E933" s="113">
        <v>8812378285</v>
      </c>
    </row>
    <row r="934" spans="2:5">
      <c r="B934" s="326">
        <v>8812411628</v>
      </c>
      <c r="C934" s="126">
        <v>7.02</v>
      </c>
      <c r="E934" s="113">
        <v>8812378287</v>
      </c>
    </row>
    <row r="935" spans="2:5">
      <c r="B935" s="326">
        <v>8812378287</v>
      </c>
      <c r="C935" s="126">
        <v>7.02</v>
      </c>
      <c r="E935" s="113">
        <v>8812425494</v>
      </c>
    </row>
    <row r="936" spans="2:5">
      <c r="B936" s="326">
        <v>8812378285</v>
      </c>
      <c r="C936" s="126">
        <v>7.02</v>
      </c>
      <c r="E936" s="113">
        <v>8812378285</v>
      </c>
    </row>
    <row r="937" spans="2:5">
      <c r="B937" s="326">
        <v>8812378287</v>
      </c>
      <c r="C937" s="126">
        <v>7.02</v>
      </c>
      <c r="E937" s="113">
        <v>8812425494</v>
      </c>
    </row>
    <row r="938" spans="2:5">
      <c r="B938" s="326">
        <v>8812380378</v>
      </c>
      <c r="C938" s="126">
        <v>7.02</v>
      </c>
      <c r="E938" s="113">
        <v>8812378287</v>
      </c>
    </row>
    <row r="939" spans="2:5">
      <c r="B939" s="326">
        <v>8812411628</v>
      </c>
      <c r="C939" s="126">
        <v>7.02</v>
      </c>
      <c r="E939" s="113">
        <v>8818241258</v>
      </c>
    </row>
    <row r="940" spans="2:5">
      <c r="B940" s="326">
        <v>8812378285</v>
      </c>
      <c r="C940" s="126">
        <v>7.02</v>
      </c>
      <c r="E940" s="113">
        <v>8818241258</v>
      </c>
    </row>
    <row r="941" spans="2:5">
      <c r="B941" s="326">
        <v>8818241137</v>
      </c>
      <c r="C941" s="126">
        <v>7.02</v>
      </c>
      <c r="E941" s="113">
        <v>8818241284</v>
      </c>
    </row>
    <row r="942" spans="2:5">
      <c r="B942" s="326">
        <v>8818241114</v>
      </c>
      <c r="C942" s="126">
        <v>7.02</v>
      </c>
      <c r="E942" s="95"/>
    </row>
    <row r="943" spans="2:5">
      <c r="B943" s="326">
        <v>8818241106</v>
      </c>
      <c r="C943" s="126">
        <v>7.02</v>
      </c>
      <c r="E943" s="95"/>
    </row>
    <row r="944" spans="2:5">
      <c r="B944" s="326">
        <v>8818241222</v>
      </c>
      <c r="C944" s="126">
        <v>7.02</v>
      </c>
      <c r="E944" s="95"/>
    </row>
    <row r="945" spans="2:5">
      <c r="B945" s="326">
        <v>8812399035</v>
      </c>
      <c r="C945" s="126">
        <v>7.02</v>
      </c>
      <c r="E945" s="95"/>
    </row>
    <row r="946" spans="2:5">
      <c r="B946" s="326">
        <v>8818113674</v>
      </c>
      <c r="C946" s="126">
        <v>7.03</v>
      </c>
      <c r="E946" s="95"/>
    </row>
    <row r="947" spans="2:5">
      <c r="B947" s="326">
        <v>8812380278</v>
      </c>
      <c r="C947" s="126">
        <v>7.02</v>
      </c>
      <c r="E947" s="95"/>
    </row>
    <row r="948" spans="2:5">
      <c r="B948" s="326">
        <v>8818241237</v>
      </c>
      <c r="C948" s="126">
        <v>7.02</v>
      </c>
      <c r="E948" s="95"/>
    </row>
    <row r="949" spans="2:5">
      <c r="B949" s="326">
        <v>8818241225</v>
      </c>
      <c r="C949" s="126">
        <v>7.02</v>
      </c>
      <c r="E949" s="95"/>
    </row>
    <row r="950" spans="2:5">
      <c r="B950" s="326">
        <v>8812380298</v>
      </c>
      <c r="C950" s="126">
        <v>7.02</v>
      </c>
      <c r="E950" s="95"/>
    </row>
    <row r="951" spans="2:5">
      <c r="B951" s="326">
        <v>8812099087</v>
      </c>
      <c r="C951" s="126">
        <v>7.02</v>
      </c>
      <c r="E951" s="95"/>
    </row>
    <row r="952" spans="2:5">
      <c r="B952" s="326">
        <v>8812411637</v>
      </c>
      <c r="C952" s="126">
        <v>7.02</v>
      </c>
      <c r="E952" s="95"/>
    </row>
    <row r="953" spans="2:5">
      <c r="B953" s="326">
        <v>8812380367</v>
      </c>
      <c r="C953" s="126">
        <v>7.02</v>
      </c>
      <c r="E953" s="95"/>
    </row>
    <row r="954" spans="2:5">
      <c r="B954" s="326">
        <v>8812380357</v>
      </c>
      <c r="C954" s="126">
        <v>7.02</v>
      </c>
      <c r="E954" s="95"/>
    </row>
    <row r="955" spans="2:5">
      <c r="B955" s="326">
        <v>8812380321</v>
      </c>
      <c r="C955" s="126">
        <v>7.02</v>
      </c>
      <c r="E955" s="95"/>
    </row>
    <row r="956" spans="2:5">
      <c r="B956" s="326">
        <v>8812380321</v>
      </c>
      <c r="C956" s="126">
        <v>7.02</v>
      </c>
      <c r="E956" s="95"/>
    </row>
    <row r="957" spans="2:5">
      <c r="B957" s="326">
        <v>8812380321</v>
      </c>
      <c r="C957" s="126">
        <v>7.02</v>
      </c>
      <c r="E957" s="95"/>
    </row>
    <row r="958" spans="2:5">
      <c r="B958" s="326">
        <v>8812441652</v>
      </c>
      <c r="C958" s="126">
        <v>7.02</v>
      </c>
      <c r="E958" s="95"/>
    </row>
    <row r="959" spans="2:5">
      <c r="B959" s="326">
        <v>8812441757</v>
      </c>
      <c r="C959" s="126">
        <v>7.02</v>
      </c>
      <c r="E959" s="95"/>
    </row>
    <row r="960" spans="2:5">
      <c r="B960" s="326">
        <v>8812441759</v>
      </c>
      <c r="C960" s="126">
        <v>7.02</v>
      </c>
      <c r="E960" s="95"/>
    </row>
    <row r="961" spans="2:5">
      <c r="B961" s="326">
        <v>8812441797</v>
      </c>
      <c r="C961" s="126">
        <v>7.02</v>
      </c>
      <c r="E961" s="95"/>
    </row>
    <row r="962" spans="2:5">
      <c r="B962" s="326">
        <v>8812441644</v>
      </c>
      <c r="C962" s="126">
        <v>7.02</v>
      </c>
      <c r="E962" s="95"/>
    </row>
    <row r="963" spans="2:5">
      <c r="B963" s="326">
        <v>8812380419</v>
      </c>
      <c r="C963" s="126">
        <v>7.02</v>
      </c>
      <c r="E963" s="95"/>
    </row>
    <row r="964" spans="2:5">
      <c r="B964" s="326">
        <v>8812441617</v>
      </c>
      <c r="C964" s="126">
        <v>7.03</v>
      </c>
      <c r="E964" s="95"/>
    </row>
    <row r="965" spans="2:5">
      <c r="B965" s="326">
        <v>8812411586</v>
      </c>
      <c r="C965" s="126">
        <v>7.02</v>
      </c>
      <c r="E965" s="95"/>
    </row>
    <row r="966" spans="2:5">
      <c r="B966" s="326">
        <v>8812441639</v>
      </c>
      <c r="C966" s="126">
        <v>7.02</v>
      </c>
      <c r="E966" s="95"/>
    </row>
    <row r="967" spans="2:5">
      <c r="B967" s="326">
        <v>8814269524</v>
      </c>
      <c r="C967" s="126">
        <v>7.02</v>
      </c>
      <c r="E967" s="95"/>
    </row>
    <row r="968" spans="2:5">
      <c r="B968" s="326">
        <v>8812441619</v>
      </c>
      <c r="C968" s="126">
        <v>7.03</v>
      </c>
      <c r="E968" s="95"/>
    </row>
    <row r="969" spans="2:5">
      <c r="B969" s="326">
        <v>8812441621</v>
      </c>
      <c r="C969" s="126">
        <v>7.03</v>
      </c>
      <c r="E969" s="95"/>
    </row>
    <row r="970" spans="2:5">
      <c r="B970" s="326">
        <v>8812441607</v>
      </c>
      <c r="C970" s="126">
        <v>7.03</v>
      </c>
      <c r="E970" s="95"/>
    </row>
    <row r="971" spans="2:5">
      <c r="B971" s="326">
        <v>8812441599</v>
      </c>
      <c r="C971" s="126">
        <v>7.03</v>
      </c>
      <c r="E971" s="95"/>
    </row>
    <row r="972" spans="2:5">
      <c r="B972" s="326">
        <v>8812441615</v>
      </c>
      <c r="C972" s="126">
        <v>7.03</v>
      </c>
      <c r="E972" s="95"/>
    </row>
    <row r="973" spans="2:5">
      <c r="B973" s="326">
        <v>8812441784</v>
      </c>
      <c r="C973" s="126">
        <v>7.02</v>
      </c>
      <c r="E973" s="95"/>
    </row>
    <row r="974" spans="2:5">
      <c r="B974" s="326">
        <v>8818277888</v>
      </c>
      <c r="C974" s="126">
        <v>7.02</v>
      </c>
      <c r="E974" s="95"/>
    </row>
    <row r="975" spans="2:5">
      <c r="B975" s="326">
        <v>8814318952</v>
      </c>
      <c r="C975" s="126">
        <v>7.02</v>
      </c>
      <c r="E975" s="95"/>
    </row>
    <row r="976" spans="2:5">
      <c r="B976" s="326">
        <v>8812441662</v>
      </c>
      <c r="C976" s="126">
        <v>7.02</v>
      </c>
      <c r="E976" s="95"/>
    </row>
    <row r="977" spans="2:5">
      <c r="B977" s="326">
        <v>8812441681</v>
      </c>
      <c r="C977" s="126">
        <v>7.02</v>
      </c>
      <c r="E977" s="95"/>
    </row>
    <row r="978" spans="2:5">
      <c r="B978" s="326">
        <v>8812441688</v>
      </c>
      <c r="C978" s="126">
        <v>7.02</v>
      </c>
      <c r="E978" s="95"/>
    </row>
    <row r="979" spans="2:5">
      <c r="B979" s="326">
        <v>8812441662</v>
      </c>
      <c r="C979" s="126">
        <v>7.02</v>
      </c>
      <c r="E979" s="95"/>
    </row>
    <row r="980" spans="2:5">
      <c r="B980" s="326">
        <v>8814318946</v>
      </c>
      <c r="C980" s="126">
        <v>7.02</v>
      </c>
      <c r="E980" s="95"/>
    </row>
    <row r="981" spans="2:5">
      <c r="B981" s="326">
        <v>8812441631</v>
      </c>
      <c r="C981" s="126">
        <v>7.02</v>
      </c>
      <c r="E981" s="95"/>
    </row>
    <row r="982" spans="2:5">
      <c r="B982" s="326">
        <v>8814318946</v>
      </c>
      <c r="C982" s="126">
        <v>7.02</v>
      </c>
      <c r="E982" s="95"/>
    </row>
    <row r="983" spans="2:5">
      <c r="B983" s="326">
        <v>8812441784</v>
      </c>
      <c r="C983" s="126">
        <v>7.02</v>
      </c>
      <c r="E983" s="95"/>
    </row>
    <row r="984" spans="2:5">
      <c r="B984" s="326">
        <v>8812441704</v>
      </c>
      <c r="C984" s="126">
        <v>7.02</v>
      </c>
      <c r="E984" s="95"/>
    </row>
    <row r="985" spans="2:5">
      <c r="B985" s="326">
        <v>8812441631</v>
      </c>
      <c r="C985" s="126">
        <v>7.02</v>
      </c>
      <c r="E985" s="95"/>
    </row>
    <row r="986" spans="2:5">
      <c r="B986" s="326">
        <v>8812441681</v>
      </c>
      <c r="C986" s="126">
        <v>7.02</v>
      </c>
      <c r="E986" s="95"/>
    </row>
    <row r="987" spans="2:5">
      <c r="B987" s="326">
        <v>8812441783</v>
      </c>
      <c r="C987" s="126">
        <v>7.02</v>
      </c>
      <c r="E987" s="95"/>
    </row>
    <row r="988" spans="2:5">
      <c r="B988" s="326">
        <v>8812441777</v>
      </c>
      <c r="C988" s="126">
        <v>7.02</v>
      </c>
      <c r="E988" s="95"/>
    </row>
    <row r="989" spans="2:5">
      <c r="B989" s="326">
        <v>8812441765</v>
      </c>
      <c r="C989" s="126">
        <v>7.02</v>
      </c>
      <c r="E989" s="95"/>
    </row>
    <row r="990" spans="2:5">
      <c r="B990" s="326">
        <v>8812441784</v>
      </c>
      <c r="C990" s="126">
        <v>7.02</v>
      </c>
      <c r="E990" s="95"/>
    </row>
    <row r="991" spans="2:5">
      <c r="B991" s="326">
        <v>8812441747</v>
      </c>
      <c r="C991" s="126">
        <v>7.02</v>
      </c>
      <c r="E991" s="95"/>
    </row>
    <row r="992" spans="2:5">
      <c r="B992" s="326">
        <v>8812441784</v>
      </c>
      <c r="C992" s="126">
        <v>7.02</v>
      </c>
      <c r="E992" s="95"/>
    </row>
    <row r="993" spans="2:3">
      <c r="B993" s="326">
        <v>8812441783</v>
      </c>
      <c r="C993" s="126">
        <v>7.02</v>
      </c>
    </row>
    <row r="994" spans="2:3">
      <c r="B994" s="326">
        <v>8812441784</v>
      </c>
      <c r="C994" s="126">
        <v>7.02</v>
      </c>
    </row>
    <row r="995" spans="2:3">
      <c r="B995" s="326">
        <v>8812441631</v>
      </c>
      <c r="C995" s="126">
        <v>7.02</v>
      </c>
    </row>
    <row r="996" spans="2:3">
      <c r="B996" s="326">
        <v>8814318946</v>
      </c>
      <c r="C996" s="126">
        <v>7.02</v>
      </c>
    </row>
    <row r="997" spans="2:3">
      <c r="B997" s="326">
        <v>8812441767</v>
      </c>
      <c r="C997" s="126">
        <v>7.02</v>
      </c>
    </row>
    <row r="998" spans="2:3">
      <c r="B998" s="326">
        <v>8812441631</v>
      </c>
      <c r="C998" s="126">
        <v>7.02</v>
      </c>
    </row>
    <row r="999" spans="2:3">
      <c r="B999" s="326">
        <v>8812441792</v>
      </c>
      <c r="C999" s="126">
        <v>7.02</v>
      </c>
    </row>
    <row r="1000" spans="2:3">
      <c r="B1000" s="326">
        <v>8812441765</v>
      </c>
      <c r="C1000" s="126">
        <v>7.02</v>
      </c>
    </row>
    <row r="1001" spans="2:3">
      <c r="B1001" s="326">
        <v>8812441777</v>
      </c>
      <c r="C1001" s="126">
        <v>7.02</v>
      </c>
    </row>
    <row r="1002" spans="2:3">
      <c r="B1002" s="326">
        <v>8818241142</v>
      </c>
      <c r="C1002" s="126">
        <v>7.02</v>
      </c>
    </row>
    <row r="1003" spans="2:3">
      <c r="B1003" s="326">
        <v>8812441763</v>
      </c>
      <c r="C1003" s="126">
        <v>7.02</v>
      </c>
    </row>
    <row r="1004" spans="2:3">
      <c r="B1004" s="326">
        <v>8812441745</v>
      </c>
      <c r="C1004" s="126">
        <v>7.02</v>
      </c>
    </row>
    <row r="1005" spans="2:3">
      <c r="B1005" s="326">
        <v>8812441641</v>
      </c>
      <c r="C1005" s="126">
        <v>7.02</v>
      </c>
    </row>
    <row r="1006" spans="2:3">
      <c r="B1006" s="326">
        <v>8812441786</v>
      </c>
      <c r="C1006" s="126">
        <v>7.02</v>
      </c>
    </row>
    <row r="1007" spans="2:3">
      <c r="B1007" s="326">
        <v>8812441679</v>
      </c>
      <c r="C1007" s="126">
        <v>7.02</v>
      </c>
    </row>
    <row r="1008" spans="2:3">
      <c r="B1008" s="326">
        <v>8818277879</v>
      </c>
      <c r="C1008" s="126">
        <v>7.02</v>
      </c>
    </row>
    <row r="1009" spans="2:3">
      <c r="B1009" s="326">
        <v>8812441646</v>
      </c>
      <c r="C1009" s="126">
        <v>7.02</v>
      </c>
    </row>
    <row r="1010" spans="2:3">
      <c r="B1010" s="326">
        <v>8812441781</v>
      </c>
      <c r="C1010" s="126">
        <v>7.02</v>
      </c>
    </row>
    <row r="1011" spans="2:3">
      <c r="B1011" s="326">
        <v>8818277870</v>
      </c>
      <c r="C1011" s="126">
        <v>7.02</v>
      </c>
    </row>
    <row r="1012" spans="2:3">
      <c r="B1012" s="326">
        <v>8812441613</v>
      </c>
      <c r="C1012" s="126">
        <v>7.03</v>
      </c>
    </row>
    <row r="1013" spans="2:3">
      <c r="B1013" s="326">
        <v>8812441779</v>
      </c>
      <c r="C1013" s="126">
        <v>7.02</v>
      </c>
    </row>
    <row r="1014" spans="2:3">
      <c r="B1014" s="326">
        <v>8812441743</v>
      </c>
      <c r="C1014" s="126">
        <v>7.02</v>
      </c>
    </row>
    <row r="1015" spans="2:3">
      <c r="B1015" s="326">
        <v>8812441650</v>
      </c>
      <c r="C1015" s="126">
        <v>7.02</v>
      </c>
    </row>
    <row r="1016" spans="2:3">
      <c r="B1016" s="326">
        <v>8812380446</v>
      </c>
      <c r="C1016" s="126">
        <v>7.02</v>
      </c>
    </row>
    <row r="1017" spans="2:3">
      <c r="B1017" s="326">
        <v>8812380446</v>
      </c>
      <c r="C1017" s="126">
        <v>7.02</v>
      </c>
    </row>
    <row r="1018" spans="2:3">
      <c r="B1018" s="326">
        <v>8812441798</v>
      </c>
      <c r="C1018" s="126">
        <v>7.02</v>
      </c>
    </row>
    <row r="1019" spans="2:3">
      <c r="B1019" s="326">
        <v>8812441770</v>
      </c>
      <c r="C1019" s="126">
        <v>7.02</v>
      </c>
    </row>
    <row r="1020" spans="2:3">
      <c r="B1020" s="326">
        <v>8818241282</v>
      </c>
      <c r="C1020" s="126">
        <v>7.02</v>
      </c>
    </row>
    <row r="1021" spans="2:3">
      <c r="B1021" s="326">
        <v>8812441773</v>
      </c>
      <c r="C1021" s="126">
        <v>7.02</v>
      </c>
    </row>
    <row r="1022" spans="2:3">
      <c r="B1022" s="326">
        <v>8812441775</v>
      </c>
      <c r="C1022" s="126">
        <v>7.02</v>
      </c>
    </row>
    <row r="1023" spans="2:3">
      <c r="B1023" s="326">
        <v>8812441796</v>
      </c>
      <c r="C1023" s="126">
        <v>7.02</v>
      </c>
    </row>
    <row r="1024" spans="2:3">
      <c r="B1024" s="326">
        <v>8812441780</v>
      </c>
      <c r="C1024" s="126">
        <v>7.02</v>
      </c>
    </row>
    <row r="1025" spans="2:3">
      <c r="B1025" s="326">
        <v>8812441692</v>
      </c>
      <c r="C1025" s="126">
        <v>7.02</v>
      </c>
    </row>
    <row r="1026" spans="2:3">
      <c r="B1026" s="326">
        <v>8812441793</v>
      </c>
      <c r="C1026" s="126">
        <v>7.02</v>
      </c>
    </row>
    <row r="1027" spans="2:3">
      <c r="B1027" s="326">
        <v>8812441623</v>
      </c>
      <c r="C1027" s="126">
        <v>7.03</v>
      </c>
    </row>
    <row r="1028" spans="2:3">
      <c r="B1028" s="326">
        <v>8812441751</v>
      </c>
      <c r="C1028" s="126">
        <v>7.02</v>
      </c>
    </row>
    <row r="1029" spans="2:3">
      <c r="B1029" s="326">
        <v>8812441705</v>
      </c>
      <c r="C1029" s="126">
        <v>7.02</v>
      </c>
    </row>
    <row r="1030" spans="2:3">
      <c r="B1030" s="326">
        <v>8818241239</v>
      </c>
      <c r="C1030" s="126">
        <v>7.02</v>
      </c>
    </row>
    <row r="1031" spans="2:3">
      <c r="B1031" s="326">
        <v>8818241297</v>
      </c>
      <c r="C1031" s="126">
        <v>7.02</v>
      </c>
    </row>
    <row r="1032" spans="2:3">
      <c r="B1032" s="326">
        <v>8812441690</v>
      </c>
      <c r="C1032" s="126">
        <v>7.02</v>
      </c>
    </row>
    <row r="1033" spans="2:3">
      <c r="B1033" s="326">
        <v>8812441683</v>
      </c>
      <c r="C1033" s="126">
        <v>7.02</v>
      </c>
    </row>
    <row r="1034" spans="2:3">
      <c r="B1034" s="326">
        <v>8812441761</v>
      </c>
      <c r="C1034" s="126">
        <v>7.02</v>
      </c>
    </row>
    <row r="1035" spans="2:3">
      <c r="B1035" s="326">
        <v>8812441685</v>
      </c>
      <c r="C1035" s="126">
        <v>7.02</v>
      </c>
    </row>
    <row r="1036" spans="2:3">
      <c r="B1036" s="326">
        <v>8812441753</v>
      </c>
      <c r="C1036" s="126">
        <v>7.02</v>
      </c>
    </row>
    <row r="1037" spans="2:3">
      <c r="B1037" s="326">
        <v>8812441755</v>
      </c>
      <c r="C1037" s="126">
        <v>7.02</v>
      </c>
    </row>
    <row r="1038" spans="2:3">
      <c r="B1038" s="326">
        <v>8818241156</v>
      </c>
      <c r="C1038" s="126">
        <v>7.02</v>
      </c>
    </row>
    <row r="1039" spans="2:3">
      <c r="B1039" s="326">
        <v>8814318956</v>
      </c>
      <c r="C1039" s="126">
        <v>7.02</v>
      </c>
    </row>
    <row r="1040" spans="2:3">
      <c r="B1040" s="326">
        <v>8812441739</v>
      </c>
      <c r="C1040" s="126">
        <v>7.02</v>
      </c>
    </row>
    <row r="1041" spans="2:3">
      <c r="B1041" s="326">
        <v>8812441806</v>
      </c>
      <c r="C1041" s="126">
        <v>7.02</v>
      </c>
    </row>
    <row r="1042" spans="2:3">
      <c r="B1042" s="326">
        <v>8818277903</v>
      </c>
      <c r="C1042" s="126">
        <v>7.02</v>
      </c>
    </row>
    <row r="1043" spans="2:3">
      <c r="B1043" s="326">
        <v>8812441749</v>
      </c>
      <c r="C1043" s="126">
        <v>7.02</v>
      </c>
    </row>
    <row r="1044" spans="2:3">
      <c r="B1044" s="326">
        <v>8812441599</v>
      </c>
      <c r="C1044" s="126">
        <v>7.03</v>
      </c>
    </row>
    <row r="1045" spans="2:3">
      <c r="B1045" s="326">
        <v>8812441623</v>
      </c>
      <c r="C1045" s="126">
        <v>7.03</v>
      </c>
    </row>
    <row r="1046" spans="2:3">
      <c r="B1046" s="326">
        <v>8818241240</v>
      </c>
      <c r="C1046" s="126">
        <v>7.02</v>
      </c>
    </row>
    <row r="1047" spans="2:3">
      <c r="B1047" s="326">
        <v>8812441652</v>
      </c>
      <c r="C1047" s="126">
        <v>7.02</v>
      </c>
    </row>
    <row r="1048" spans="2:3">
      <c r="B1048" s="326">
        <v>8812441749</v>
      </c>
      <c r="C1048" s="126">
        <v>7.02</v>
      </c>
    </row>
    <row r="1049" spans="2:3">
      <c r="B1049" s="326">
        <v>8812441602</v>
      </c>
      <c r="C1049" s="126">
        <v>7.03</v>
      </c>
    </row>
    <row r="1050" spans="2:3">
      <c r="B1050" s="326">
        <v>8818241228</v>
      </c>
      <c r="C1050" s="126">
        <v>7.02</v>
      </c>
    </row>
    <row r="1051" spans="2:3">
      <c r="B1051" s="326">
        <v>8812441696</v>
      </c>
      <c r="C1051" s="126">
        <v>7.02</v>
      </c>
    </row>
    <row r="1052" spans="2:3">
      <c r="B1052" s="326">
        <v>8812441602</v>
      </c>
      <c r="C1052" s="126">
        <v>7.03</v>
      </c>
    </row>
    <row r="1053" spans="2:3">
      <c r="B1053" s="326">
        <v>8812411636</v>
      </c>
      <c r="C1053" s="126">
        <v>7.02</v>
      </c>
    </row>
    <row r="1054" spans="2:3">
      <c r="B1054" s="326">
        <v>8814318950</v>
      </c>
      <c r="C1054" s="126">
        <v>7.02</v>
      </c>
    </row>
    <row r="1055" spans="2:3">
      <c r="B1055" s="326">
        <v>8812441624</v>
      </c>
      <c r="C1055" s="126">
        <v>7.02</v>
      </c>
    </row>
    <row r="1056" spans="2:3">
      <c r="B1056" s="326">
        <v>8814318948</v>
      </c>
      <c r="C1056" s="126">
        <v>7.02</v>
      </c>
    </row>
    <row r="1057" spans="2:3">
      <c r="B1057" s="326">
        <v>8812428763</v>
      </c>
      <c r="C1057" s="126">
        <v>7.03</v>
      </c>
    </row>
    <row r="1058" spans="2:3">
      <c r="B1058" s="326">
        <v>8812441785</v>
      </c>
      <c r="C1058" s="126">
        <v>7.02</v>
      </c>
    </row>
    <row r="1059" spans="2:3">
      <c r="B1059" s="326">
        <v>8812441774</v>
      </c>
      <c r="C1059" s="126">
        <v>7.02</v>
      </c>
    </row>
    <row r="1060" spans="2:3">
      <c r="B1060" s="326">
        <v>8812441787</v>
      </c>
      <c r="C1060" s="126">
        <v>7.02</v>
      </c>
    </row>
    <row r="1061" spans="2:3">
      <c r="B1061" s="326">
        <v>8812441633</v>
      </c>
      <c r="C1061" s="126">
        <v>7.02</v>
      </c>
    </row>
    <row r="1062" spans="2:3">
      <c r="B1062" s="326">
        <v>8812441700</v>
      </c>
      <c r="C1062" s="126">
        <v>7.02</v>
      </c>
    </row>
    <row r="1063" spans="2:3">
      <c r="B1063" s="326">
        <v>8812441606</v>
      </c>
      <c r="C1063" s="126">
        <v>7.03</v>
      </c>
    </row>
    <row r="1064" spans="2:3">
      <c r="B1064" s="326">
        <v>8812430046</v>
      </c>
      <c r="C1064" s="126">
        <v>7.02</v>
      </c>
    </row>
    <row r="1065" spans="2:3">
      <c r="B1065" s="326">
        <v>8812441697</v>
      </c>
      <c r="C1065" s="126">
        <v>7.02</v>
      </c>
    </row>
    <row r="1066" spans="2:3">
      <c r="B1066" s="326">
        <v>8812441660</v>
      </c>
      <c r="C1066" s="126">
        <v>7.02</v>
      </c>
    </row>
    <row r="1067" spans="2:3">
      <c r="B1067" s="326">
        <v>8818241149</v>
      </c>
      <c r="C1067" s="126">
        <v>7.02</v>
      </c>
    </row>
    <row r="1068" spans="2:3">
      <c r="B1068" s="326">
        <v>8818241103</v>
      </c>
      <c r="C1068" s="126">
        <v>7.02</v>
      </c>
    </row>
    <row r="1069" spans="2:3">
      <c r="B1069" s="326">
        <v>8812441765</v>
      </c>
      <c r="C1069" s="126">
        <v>7.02</v>
      </c>
    </row>
    <row r="1070" spans="2:3">
      <c r="B1070" s="326">
        <v>8818241284</v>
      </c>
      <c r="C1070" s="126">
        <v>7.02</v>
      </c>
    </row>
    <row r="1071" spans="2:3">
      <c r="B1071" s="326">
        <v>8812441681</v>
      </c>
      <c r="C1071" s="126">
        <v>7.02</v>
      </c>
    </row>
    <row r="1072" spans="2:3">
      <c r="B1072" s="326">
        <v>8812411632</v>
      </c>
      <c r="C1072" s="126">
        <v>7.02</v>
      </c>
    </row>
    <row r="1073" spans="2:3">
      <c r="B1073" s="326">
        <v>8812441789</v>
      </c>
      <c r="C1073" s="126">
        <v>7.02</v>
      </c>
    </row>
    <row r="1074" spans="2:3">
      <c r="B1074" s="326">
        <v>8812411632</v>
      </c>
      <c r="C1074" s="126">
        <v>7.02</v>
      </c>
    </row>
    <row r="1075" spans="2:3">
      <c r="B1075" s="326">
        <v>8812434002</v>
      </c>
      <c r="C1075" s="126">
        <v>7.02</v>
      </c>
    </row>
    <row r="1076" spans="2:3">
      <c r="B1076" s="326">
        <v>8812441675</v>
      </c>
      <c r="C1076" s="126">
        <v>7.02</v>
      </c>
    </row>
    <row r="1077" spans="2:3">
      <c r="B1077" s="326">
        <v>8812441629</v>
      </c>
      <c r="C1077" s="126">
        <v>7.02</v>
      </c>
    </row>
    <row r="1078" spans="2:3">
      <c r="B1078" s="326">
        <v>8818277881</v>
      </c>
      <c r="C1078" s="126">
        <v>7.02</v>
      </c>
    </row>
    <row r="1079" spans="2:3">
      <c r="B1079" s="326">
        <v>8812434493</v>
      </c>
      <c r="C1079" s="126">
        <v>7.02</v>
      </c>
    </row>
    <row r="1080" spans="2:3">
      <c r="B1080" s="326">
        <v>8812411592</v>
      </c>
      <c r="C1080" s="126">
        <v>7.02</v>
      </c>
    </row>
    <row r="1081" spans="2:3">
      <c r="B1081" s="326">
        <v>8812380478</v>
      </c>
      <c r="C1081" s="126">
        <v>7.02</v>
      </c>
    </row>
    <row r="1082" spans="2:3">
      <c r="B1082" s="326">
        <v>8812441659</v>
      </c>
      <c r="C1082" s="126">
        <v>7.02</v>
      </c>
    </row>
    <row r="1083" spans="2:3">
      <c r="B1083" s="326">
        <v>8818277886</v>
      </c>
      <c r="C1083" s="126">
        <v>7.02</v>
      </c>
    </row>
    <row r="1084" spans="2:3">
      <c r="B1084" s="326">
        <v>8812441642</v>
      </c>
      <c r="C1084" s="126">
        <v>7.02</v>
      </c>
    </row>
    <row r="1085" spans="2:3">
      <c r="B1085" s="326">
        <v>8812441746</v>
      </c>
      <c r="C1085" s="126">
        <v>7.02</v>
      </c>
    </row>
    <row r="1086" spans="2:3">
      <c r="B1086" s="326">
        <v>8812441663</v>
      </c>
      <c r="C1086" s="126">
        <v>7.02</v>
      </c>
    </row>
    <row r="1087" spans="2:3">
      <c r="B1087" s="326">
        <v>8812441648</v>
      </c>
      <c r="C1087" s="126">
        <v>7.02</v>
      </c>
    </row>
    <row r="1088" spans="2:3">
      <c r="B1088" s="326">
        <v>8818241134</v>
      </c>
      <c r="C1088" s="126">
        <v>7.02</v>
      </c>
    </row>
    <row r="1089" spans="2:3">
      <c r="B1089" s="326">
        <v>8818277894</v>
      </c>
      <c r="C1089" s="126">
        <v>7.02</v>
      </c>
    </row>
    <row r="1090" spans="2:3">
      <c r="B1090" s="326">
        <v>8818241106</v>
      </c>
      <c r="C1090" s="126">
        <v>7.02</v>
      </c>
    </row>
    <row r="1091" spans="2:3">
      <c r="B1091" s="326">
        <v>8818241161</v>
      </c>
      <c r="C1091" s="126">
        <v>7.02</v>
      </c>
    </row>
    <row r="1092" spans="2:3">
      <c r="B1092" s="326">
        <v>8812441664</v>
      </c>
      <c r="C1092" s="126">
        <v>7.02</v>
      </c>
    </row>
    <row r="1093" spans="2:3">
      <c r="B1093" s="326">
        <v>8812441750</v>
      </c>
      <c r="C1093" s="126">
        <v>7.02</v>
      </c>
    </row>
    <row r="1094" spans="2:3">
      <c r="B1094" s="326">
        <v>8812441807</v>
      </c>
      <c r="C1094" s="126">
        <v>7.02</v>
      </c>
    </row>
    <row r="1095" spans="2:3">
      <c r="B1095" s="326">
        <v>8818277884</v>
      </c>
      <c r="C1095" s="126">
        <v>7.02</v>
      </c>
    </row>
    <row r="1096" spans="2:3">
      <c r="B1096" s="326">
        <v>8814318954</v>
      </c>
      <c r="C1096" s="126">
        <v>7.02</v>
      </c>
    </row>
    <row r="1097" spans="2:3">
      <c r="B1097" s="326">
        <v>8812441626</v>
      </c>
      <c r="C1097" s="126">
        <v>7.02</v>
      </c>
    </row>
    <row r="1098" spans="2:3">
      <c r="B1098" s="326">
        <v>8818277882</v>
      </c>
      <c r="C1098" s="126">
        <v>7.02</v>
      </c>
    </row>
    <row r="1099" spans="2:3">
      <c r="B1099" s="326">
        <v>8812380294</v>
      </c>
      <c r="C1099" s="126">
        <v>7.02</v>
      </c>
    </row>
    <row r="1100" spans="2:3">
      <c r="B1100" s="326">
        <v>8812411633</v>
      </c>
      <c r="C1100" s="126">
        <v>7.02</v>
      </c>
    </row>
    <row r="1101" spans="2:3">
      <c r="B1101" s="326">
        <v>8814318951</v>
      </c>
      <c r="C1101" s="126">
        <v>7.02</v>
      </c>
    </row>
    <row r="1102" spans="2:3">
      <c r="B1102" s="326">
        <v>8812441661</v>
      </c>
      <c r="C1102" s="126">
        <v>7.02</v>
      </c>
    </row>
    <row r="1103" spans="2:3">
      <c r="B1103" s="326">
        <v>8818241130</v>
      </c>
      <c r="C1103" s="126">
        <v>7.02</v>
      </c>
    </row>
    <row r="1104" spans="2:3">
      <c r="B1104" s="326">
        <v>8812428526</v>
      </c>
      <c r="C1104" s="126">
        <v>31.01</v>
      </c>
    </row>
    <row r="1105" spans="2:5">
      <c r="B1105" s="326">
        <v>8818241169</v>
      </c>
      <c r="C1105" s="126">
        <v>7.02</v>
      </c>
    </row>
    <row r="1106" spans="2:5">
      <c r="B1106" s="326">
        <v>8812441600</v>
      </c>
      <c r="C1106" s="126">
        <v>7.03</v>
      </c>
    </row>
    <row r="1107" spans="2:5">
      <c r="B1107" s="326">
        <v>8812441600</v>
      </c>
      <c r="C1107" s="126">
        <v>7.03</v>
      </c>
    </row>
    <row r="1108" spans="2:5">
      <c r="B1108" s="326">
        <v>8812441628</v>
      </c>
      <c r="C1108" s="126">
        <v>7.02</v>
      </c>
    </row>
    <row r="1109" spans="2:5">
      <c r="B1109" s="326">
        <v>8812428525</v>
      </c>
      <c r="C1109" s="126">
        <v>31.01</v>
      </c>
    </row>
    <row r="1110" spans="2:5">
      <c r="B1110" s="326">
        <v>8812441698</v>
      </c>
      <c r="C1110" s="126">
        <v>7.02</v>
      </c>
    </row>
    <row r="1111" spans="2:5">
      <c r="B1111" s="326">
        <v>8812441748</v>
      </c>
      <c r="C1111" s="126">
        <v>7.02</v>
      </c>
    </row>
    <row r="1112" spans="2:5">
      <c r="B1112" s="326">
        <v>8812441724</v>
      </c>
      <c r="C1112" s="126">
        <v>7.02</v>
      </c>
    </row>
    <row r="1113" spans="2:5">
      <c r="B1113" s="326">
        <v>8812441752</v>
      </c>
      <c r="C1113" s="126">
        <v>7.02</v>
      </c>
    </row>
    <row r="1114" spans="2:5">
      <c r="B1114" s="326"/>
      <c r="C1114" s="126"/>
    </row>
    <row r="1115" spans="2:5">
      <c r="B1115" s="326"/>
      <c r="C1115" s="126"/>
    </row>
    <row r="1116" spans="2:5">
      <c r="B1116" s="326"/>
      <c r="C1116" s="126"/>
    </row>
    <row r="1117" spans="2:5">
      <c r="B1117" s="326"/>
      <c r="C1117" s="126"/>
    </row>
    <row r="1118" spans="2:5">
      <c r="B1118" s="326"/>
      <c r="C1118" s="126"/>
    </row>
    <row r="1119" spans="2:5">
      <c r="B1119" s="326"/>
      <c r="C1119" s="126"/>
    </row>
    <row r="1120" spans="2:5" ht="20.399999999999999">
      <c r="B1120" s="339" t="s">
        <v>8310</v>
      </c>
      <c r="C1120" s="314" t="s">
        <v>8311</v>
      </c>
      <c r="D1120" s="315" t="s">
        <v>8312</v>
      </c>
      <c r="E1120" s="316" t="s">
        <v>8313</v>
      </c>
    </row>
    <row r="1121" spans="2:5">
      <c r="B1121" s="317"/>
      <c r="C1121" s="318"/>
      <c r="D1121" s="317"/>
      <c r="E1121" s="319"/>
    </row>
    <row r="1122" spans="2:5">
      <c r="B1122" s="340">
        <v>8812441599</v>
      </c>
      <c r="C1122" s="320">
        <v>7.03</v>
      </c>
      <c r="D1122" s="321" t="s">
        <v>8314</v>
      </c>
      <c r="E1122" s="322">
        <v>100</v>
      </c>
    </row>
    <row r="1123" spans="2:5">
      <c r="B1123" s="340">
        <v>8812441601</v>
      </c>
      <c r="C1123" s="320">
        <v>7.03</v>
      </c>
      <c r="D1123" s="321" t="s">
        <v>8314</v>
      </c>
      <c r="E1123" s="322">
        <v>100</v>
      </c>
    </row>
    <row r="1124" spans="2:5">
      <c r="B1124" s="340">
        <v>8812441603</v>
      </c>
      <c r="C1124" s="320">
        <v>7.03</v>
      </c>
      <c r="D1124" s="321" t="s">
        <v>8314</v>
      </c>
      <c r="E1124" s="322">
        <v>100</v>
      </c>
    </row>
    <row r="1125" spans="2:5">
      <c r="B1125" s="340">
        <v>8812441605</v>
      </c>
      <c r="C1125" s="320">
        <v>7.03</v>
      </c>
      <c r="D1125" s="321" t="s">
        <v>8314</v>
      </c>
      <c r="E1125" s="322">
        <v>100</v>
      </c>
    </row>
    <row r="1126" spans="2:5">
      <c r="B1126" s="340">
        <v>8812441607</v>
      </c>
      <c r="C1126" s="320">
        <v>7.03</v>
      </c>
      <c r="D1126" s="321" t="s">
        <v>8314</v>
      </c>
      <c r="E1126" s="322">
        <v>100</v>
      </c>
    </row>
    <row r="1127" spans="2:5">
      <c r="B1127" s="340">
        <v>8812441609</v>
      </c>
      <c r="C1127" s="320">
        <v>7.03</v>
      </c>
      <c r="D1127" s="321" t="s">
        <v>8314</v>
      </c>
      <c r="E1127" s="322">
        <v>100</v>
      </c>
    </row>
    <row r="1128" spans="2:5">
      <c r="B1128" s="340">
        <v>8812441611</v>
      </c>
      <c r="C1128" s="320">
        <v>7.03</v>
      </c>
      <c r="D1128" s="321" t="s">
        <v>8314</v>
      </c>
      <c r="E1128" s="322">
        <v>100</v>
      </c>
    </row>
    <row r="1129" spans="2:5">
      <c r="B1129" s="317"/>
      <c r="C1129" s="318"/>
      <c r="D1129" s="323"/>
      <c r="E1129" s="319"/>
    </row>
    <row r="1130" spans="2:5">
      <c r="B1130" s="340">
        <v>8812441613</v>
      </c>
      <c r="C1130" s="320">
        <v>7.03</v>
      </c>
      <c r="D1130" s="321" t="s">
        <v>8315</v>
      </c>
      <c r="E1130" s="322">
        <v>100</v>
      </c>
    </row>
    <row r="1131" spans="2:5">
      <c r="B1131" s="340">
        <v>8812441615</v>
      </c>
      <c r="C1131" s="320">
        <v>7.03</v>
      </c>
      <c r="D1131" s="321" t="s">
        <v>8315</v>
      </c>
      <c r="E1131" s="322">
        <v>100</v>
      </c>
    </row>
    <row r="1132" spans="2:5">
      <c r="B1132" s="340">
        <v>8812441617</v>
      </c>
      <c r="C1132" s="320">
        <v>7.03</v>
      </c>
      <c r="D1132" s="321" t="s">
        <v>8315</v>
      </c>
      <c r="E1132" s="322">
        <v>100</v>
      </c>
    </row>
    <row r="1133" spans="2:5">
      <c r="B1133" s="340">
        <v>8812441619</v>
      </c>
      <c r="C1133" s="320">
        <v>7.03</v>
      </c>
      <c r="D1133" s="321" t="s">
        <v>8315</v>
      </c>
      <c r="E1133" s="322">
        <v>100</v>
      </c>
    </row>
    <row r="1134" spans="2:5">
      <c r="B1134" s="340">
        <v>8812441621</v>
      </c>
      <c r="C1134" s="320">
        <v>7.03</v>
      </c>
      <c r="D1134" s="321" t="s">
        <v>8315</v>
      </c>
      <c r="E1134" s="322">
        <v>100</v>
      </c>
    </row>
    <row r="1135" spans="2:5">
      <c r="B1135" s="340">
        <v>8812441623</v>
      </c>
      <c r="C1135" s="320">
        <v>7.03</v>
      </c>
      <c r="D1135" s="321" t="s">
        <v>8315</v>
      </c>
      <c r="E1135" s="322">
        <v>100</v>
      </c>
    </row>
    <row r="1136" spans="2:5">
      <c r="B1136" s="340">
        <v>8812441625</v>
      </c>
      <c r="C1136" s="320">
        <v>7.03</v>
      </c>
      <c r="D1136" s="321" t="s">
        <v>8315</v>
      </c>
      <c r="E1136" s="322">
        <v>100</v>
      </c>
    </row>
    <row r="1137" spans="2:5">
      <c r="B1137" s="340">
        <v>8812441627</v>
      </c>
      <c r="C1137" s="320">
        <v>7.03</v>
      </c>
      <c r="D1137" s="321" t="s">
        <v>8315</v>
      </c>
      <c r="E1137" s="322">
        <v>100</v>
      </c>
    </row>
    <row r="1138" spans="2:5">
      <c r="B1138" s="317"/>
      <c r="C1138" s="318"/>
      <c r="D1138" s="323"/>
      <c r="E1138" s="319"/>
    </row>
    <row r="1139" spans="2:5">
      <c r="B1139" s="340">
        <v>8812441629</v>
      </c>
      <c r="C1139" s="320">
        <v>7.02</v>
      </c>
      <c r="D1139" s="321" t="s">
        <v>8316</v>
      </c>
      <c r="E1139" s="322" t="s">
        <v>8317</v>
      </c>
    </row>
    <row r="1140" spans="2:5">
      <c r="B1140" s="340">
        <v>8812441631</v>
      </c>
      <c r="C1140" s="320">
        <v>7.02</v>
      </c>
      <c r="D1140" s="321" t="s">
        <v>8316</v>
      </c>
      <c r="E1140" s="322" t="s">
        <v>8317</v>
      </c>
    </row>
    <row r="1141" spans="2:5">
      <c r="B1141" s="340">
        <v>8812441633</v>
      </c>
      <c r="C1141" s="320">
        <v>7.02</v>
      </c>
      <c r="D1141" s="321" t="s">
        <v>8316</v>
      </c>
      <c r="E1141" s="322" t="s">
        <v>8317</v>
      </c>
    </row>
    <row r="1142" spans="2:5">
      <c r="B1142" s="340">
        <v>8812441635</v>
      </c>
      <c r="C1142" s="320">
        <v>7.02</v>
      </c>
      <c r="D1142" s="321" t="s">
        <v>8316</v>
      </c>
      <c r="E1142" s="322" t="s">
        <v>8317</v>
      </c>
    </row>
    <row r="1143" spans="2:5">
      <c r="B1143" s="340">
        <v>8812441637</v>
      </c>
      <c r="C1143" s="320">
        <v>7.02</v>
      </c>
      <c r="D1143" s="321" t="s">
        <v>8316</v>
      </c>
      <c r="E1143" s="322" t="s">
        <v>8317</v>
      </c>
    </row>
    <row r="1144" spans="2:5">
      <c r="B1144" s="340">
        <v>8812441639</v>
      </c>
      <c r="C1144" s="320">
        <v>7.02</v>
      </c>
      <c r="D1144" s="321" t="s">
        <v>8316</v>
      </c>
      <c r="E1144" s="322" t="s">
        <v>8317</v>
      </c>
    </row>
    <row r="1145" spans="2:5">
      <c r="B1145" s="340">
        <v>8812441641</v>
      </c>
      <c r="C1145" s="320">
        <v>7.02</v>
      </c>
      <c r="D1145" s="321" t="s">
        <v>8316</v>
      </c>
      <c r="E1145" s="322" t="s">
        <v>8317</v>
      </c>
    </row>
    <row r="1146" spans="2:5">
      <c r="B1146" s="340">
        <v>8812441644</v>
      </c>
      <c r="C1146" s="320">
        <v>7.02</v>
      </c>
      <c r="D1146" s="321" t="s">
        <v>8316</v>
      </c>
      <c r="E1146" s="322" t="s">
        <v>8317</v>
      </c>
    </row>
    <row r="1147" spans="2:5">
      <c r="B1147" s="340">
        <v>8812441646</v>
      </c>
      <c r="C1147" s="320">
        <v>7.02</v>
      </c>
      <c r="D1147" s="321" t="s">
        <v>8316</v>
      </c>
      <c r="E1147" s="322" t="s">
        <v>8317</v>
      </c>
    </row>
    <row r="1148" spans="2:5">
      <c r="B1148" s="340">
        <v>8812441648</v>
      </c>
      <c r="C1148" s="320">
        <v>7.02</v>
      </c>
      <c r="D1148" s="321" t="s">
        <v>8316</v>
      </c>
      <c r="E1148" s="322" t="s">
        <v>8317</v>
      </c>
    </row>
    <row r="1149" spans="2:5">
      <c r="B1149" s="340">
        <v>8812441650</v>
      </c>
      <c r="C1149" s="320">
        <v>7.02</v>
      </c>
      <c r="D1149" s="321" t="s">
        <v>8316</v>
      </c>
      <c r="E1149" s="322" t="s">
        <v>8317</v>
      </c>
    </row>
    <row r="1150" spans="2:5">
      <c r="B1150" s="340">
        <v>8812441652</v>
      </c>
      <c r="C1150" s="320">
        <v>7.02</v>
      </c>
      <c r="D1150" s="321" t="s">
        <v>8316</v>
      </c>
      <c r="E1150" s="322" t="s">
        <v>8317</v>
      </c>
    </row>
    <row r="1151" spans="2:5">
      <c r="B1151" s="340">
        <v>8812441654</v>
      </c>
      <c r="C1151" s="320">
        <v>7.02</v>
      </c>
      <c r="D1151" s="321" t="s">
        <v>8316</v>
      </c>
      <c r="E1151" s="322" t="s">
        <v>8317</v>
      </c>
    </row>
    <row r="1152" spans="2:5">
      <c r="B1152" s="340">
        <v>8812441656</v>
      </c>
      <c r="C1152" s="320">
        <v>7.02</v>
      </c>
      <c r="D1152" s="321" t="s">
        <v>8316</v>
      </c>
      <c r="E1152" s="322" t="s">
        <v>8317</v>
      </c>
    </row>
    <row r="1153" spans="2:5">
      <c r="B1153" s="340">
        <v>8812441658</v>
      </c>
      <c r="C1153" s="320">
        <v>7.02</v>
      </c>
      <c r="D1153" s="321" t="s">
        <v>8316</v>
      </c>
      <c r="E1153" s="322" t="s">
        <v>8317</v>
      </c>
    </row>
    <row r="1154" spans="2:5">
      <c r="B1154" s="340">
        <v>8812441660</v>
      </c>
      <c r="C1154" s="320">
        <v>7.02</v>
      </c>
      <c r="D1154" s="321" t="s">
        <v>8316</v>
      </c>
      <c r="E1154" s="322" t="s">
        <v>8317</v>
      </c>
    </row>
    <row r="1155" spans="2:5">
      <c r="B1155" s="340">
        <v>8812441662</v>
      </c>
      <c r="C1155" s="320">
        <v>7.02</v>
      </c>
      <c r="D1155" s="321" t="s">
        <v>8316</v>
      </c>
      <c r="E1155" s="322" t="s">
        <v>8317</v>
      </c>
    </row>
    <row r="1156" spans="2:5">
      <c r="B1156" s="340">
        <v>8812441664</v>
      </c>
      <c r="C1156" s="320">
        <v>7.02</v>
      </c>
      <c r="D1156" s="321" t="s">
        <v>8316</v>
      </c>
      <c r="E1156" s="322" t="s">
        <v>8317</v>
      </c>
    </row>
    <row r="1157" spans="2:5">
      <c r="B1157" s="340">
        <v>8812441666</v>
      </c>
      <c r="C1157" s="320">
        <v>7.02</v>
      </c>
      <c r="D1157" s="321" t="s">
        <v>8316</v>
      </c>
      <c r="E1157" s="322" t="s">
        <v>8317</v>
      </c>
    </row>
    <row r="1158" spans="2:5">
      <c r="B1158" s="340">
        <v>8812441669</v>
      </c>
      <c r="C1158" s="320">
        <v>7.02</v>
      </c>
      <c r="D1158" s="321" t="s">
        <v>8316</v>
      </c>
      <c r="E1158" s="322" t="s">
        <v>8317</v>
      </c>
    </row>
    <row r="1159" spans="2:5">
      <c r="B1159" s="340">
        <v>8812441671</v>
      </c>
      <c r="C1159" s="320">
        <v>7.02</v>
      </c>
      <c r="D1159" s="321" t="s">
        <v>8316</v>
      </c>
      <c r="E1159" s="322" t="s">
        <v>8317</v>
      </c>
    </row>
    <row r="1160" spans="2:5">
      <c r="B1160" s="340">
        <v>8812441672</v>
      </c>
      <c r="C1160" s="320">
        <v>7.02</v>
      </c>
      <c r="D1160" s="321" t="s">
        <v>8316</v>
      </c>
      <c r="E1160" s="322" t="s">
        <v>8317</v>
      </c>
    </row>
    <row r="1161" spans="2:5">
      <c r="B1161" s="340">
        <v>8812441674</v>
      </c>
      <c r="C1161" s="320">
        <v>7.02</v>
      </c>
      <c r="D1161" s="321" t="s">
        <v>8316</v>
      </c>
      <c r="E1161" s="322" t="s">
        <v>8317</v>
      </c>
    </row>
    <row r="1162" spans="2:5">
      <c r="B1162" s="340">
        <v>8812441676</v>
      </c>
      <c r="C1162" s="320">
        <v>7.02</v>
      </c>
      <c r="D1162" s="321" t="s">
        <v>8316</v>
      </c>
      <c r="E1162" s="322" t="s">
        <v>8317</v>
      </c>
    </row>
    <row r="1163" spans="2:5">
      <c r="B1163" s="340">
        <v>8812441678</v>
      </c>
      <c r="C1163" s="320">
        <v>7.02</v>
      </c>
      <c r="D1163" s="321" t="s">
        <v>8316</v>
      </c>
      <c r="E1163" s="322" t="s">
        <v>8317</v>
      </c>
    </row>
    <row r="1164" spans="2:5">
      <c r="B1164" s="317"/>
      <c r="C1164" s="318"/>
      <c r="D1164" s="323"/>
      <c r="E1164" s="319"/>
    </row>
    <row r="1165" spans="2:5">
      <c r="B1165" s="340">
        <v>8812441679</v>
      </c>
      <c r="C1165" s="320">
        <v>7.02</v>
      </c>
      <c r="D1165" s="321" t="s">
        <v>8316</v>
      </c>
      <c r="E1165" s="322" t="s">
        <v>8317</v>
      </c>
    </row>
    <row r="1166" spans="2:5">
      <c r="B1166" s="340">
        <v>8812441681</v>
      </c>
      <c r="C1166" s="320">
        <v>7.02</v>
      </c>
      <c r="D1166" s="321" t="s">
        <v>8316</v>
      </c>
      <c r="E1166" s="322" t="s">
        <v>8317</v>
      </c>
    </row>
    <row r="1167" spans="2:5">
      <c r="B1167" s="340">
        <v>8812441683</v>
      </c>
      <c r="C1167" s="320">
        <v>7.02</v>
      </c>
      <c r="D1167" s="321" t="s">
        <v>8316</v>
      </c>
      <c r="E1167" s="322" t="s">
        <v>8317</v>
      </c>
    </row>
    <row r="1168" spans="2:5">
      <c r="B1168" s="340">
        <v>8812441685</v>
      </c>
      <c r="C1168" s="320">
        <v>7.02</v>
      </c>
      <c r="D1168" s="321" t="s">
        <v>8316</v>
      </c>
      <c r="E1168" s="322" t="s">
        <v>8317</v>
      </c>
    </row>
    <row r="1169" spans="2:5">
      <c r="B1169" s="340">
        <v>8812441687</v>
      </c>
      <c r="C1169" s="320">
        <v>7.02</v>
      </c>
      <c r="D1169" s="321" t="s">
        <v>8316</v>
      </c>
      <c r="E1169" s="322" t="s">
        <v>8317</v>
      </c>
    </row>
    <row r="1170" spans="2:5">
      <c r="B1170" s="340">
        <v>8812441688</v>
      </c>
      <c r="C1170" s="320">
        <v>7.02</v>
      </c>
      <c r="D1170" s="321" t="s">
        <v>8316</v>
      </c>
      <c r="E1170" s="322" t="s">
        <v>8317</v>
      </c>
    </row>
    <row r="1171" spans="2:5">
      <c r="B1171" s="340">
        <v>8812441690</v>
      </c>
      <c r="C1171" s="320">
        <v>7.02</v>
      </c>
      <c r="D1171" s="321" t="s">
        <v>8316</v>
      </c>
      <c r="E1171" s="322" t="s">
        <v>8317</v>
      </c>
    </row>
    <row r="1172" spans="2:5">
      <c r="B1172" s="340">
        <v>8812441692</v>
      </c>
      <c r="C1172" s="320">
        <v>7.02</v>
      </c>
      <c r="D1172" s="321" t="s">
        <v>8316</v>
      </c>
      <c r="E1172" s="322" t="s">
        <v>8317</v>
      </c>
    </row>
    <row r="1173" spans="2:5">
      <c r="B1173" s="340">
        <v>8812441694</v>
      </c>
      <c r="C1173" s="320">
        <v>7.02</v>
      </c>
      <c r="D1173" s="321" t="s">
        <v>8316</v>
      </c>
      <c r="E1173" s="322" t="s">
        <v>8317</v>
      </c>
    </row>
    <row r="1174" spans="2:5">
      <c r="B1174" s="340">
        <v>8812441696</v>
      </c>
      <c r="C1174" s="320">
        <v>7.02</v>
      </c>
      <c r="D1174" s="321" t="s">
        <v>8316</v>
      </c>
      <c r="E1174" s="322" t="s">
        <v>8317</v>
      </c>
    </row>
    <row r="1175" spans="2:5">
      <c r="B1175" s="340">
        <v>8812441699</v>
      </c>
      <c r="C1175" s="320">
        <v>7.02</v>
      </c>
      <c r="D1175" s="321" t="s">
        <v>8316</v>
      </c>
      <c r="E1175" s="322" t="s">
        <v>8317</v>
      </c>
    </row>
    <row r="1176" spans="2:5">
      <c r="B1176" s="340">
        <v>8812441700</v>
      </c>
      <c r="C1176" s="320">
        <v>7.02</v>
      </c>
      <c r="D1176" s="321" t="s">
        <v>8316</v>
      </c>
      <c r="E1176" s="322" t="s">
        <v>8317</v>
      </c>
    </row>
    <row r="1177" spans="2:5">
      <c r="B1177" s="340">
        <v>8812441702</v>
      </c>
      <c r="C1177" s="320">
        <v>7.02</v>
      </c>
      <c r="D1177" s="321" t="s">
        <v>8316</v>
      </c>
      <c r="E1177" s="322" t="s">
        <v>8317</v>
      </c>
    </row>
    <row r="1178" spans="2:5">
      <c r="B1178" s="340">
        <v>8812441704</v>
      </c>
      <c r="C1178" s="320">
        <v>7.02</v>
      </c>
      <c r="D1178" s="321" t="s">
        <v>8316</v>
      </c>
      <c r="E1178" s="322" t="s">
        <v>8317</v>
      </c>
    </row>
    <row r="1179" spans="2:5">
      <c r="B1179" s="340">
        <v>8812441705</v>
      </c>
      <c r="C1179" s="320">
        <v>7.02</v>
      </c>
      <c r="D1179" s="321" t="s">
        <v>8316</v>
      </c>
      <c r="E1179" s="322" t="s">
        <v>8317</v>
      </c>
    </row>
    <row r="1180" spans="2:5">
      <c r="B1180" s="340">
        <v>8812441707</v>
      </c>
      <c r="C1180" s="320">
        <v>7.02</v>
      </c>
      <c r="D1180" s="321" t="s">
        <v>8316</v>
      </c>
      <c r="E1180" s="322" t="s">
        <v>8317</v>
      </c>
    </row>
    <row r="1181" spans="2:5">
      <c r="B1181" s="340">
        <v>8812441709</v>
      </c>
      <c r="C1181" s="320">
        <v>7.02</v>
      </c>
      <c r="D1181" s="321" t="s">
        <v>8316</v>
      </c>
      <c r="E1181" s="322" t="s">
        <v>8317</v>
      </c>
    </row>
    <row r="1182" spans="2:5">
      <c r="B1182" s="340">
        <v>8812441711</v>
      </c>
      <c r="C1182" s="320">
        <v>7.02</v>
      </c>
      <c r="D1182" s="321" t="s">
        <v>8316</v>
      </c>
      <c r="E1182" s="322" t="s">
        <v>8317</v>
      </c>
    </row>
    <row r="1183" spans="2:5">
      <c r="B1183" s="317"/>
      <c r="C1183" s="318"/>
      <c r="D1183" s="323"/>
      <c r="E1183" s="319"/>
    </row>
    <row r="1184" spans="2:5">
      <c r="B1184" s="340">
        <v>8812441713</v>
      </c>
      <c r="C1184" s="320">
        <v>7.02</v>
      </c>
      <c r="D1184" s="321" t="s">
        <v>8316</v>
      </c>
      <c r="E1184" s="322" t="s">
        <v>8317</v>
      </c>
    </row>
    <row r="1185" spans="2:5">
      <c r="B1185" s="340">
        <v>8812441715</v>
      </c>
      <c r="C1185" s="320">
        <v>7.02</v>
      </c>
      <c r="D1185" s="321" t="s">
        <v>8316</v>
      </c>
      <c r="E1185" s="322" t="s">
        <v>8317</v>
      </c>
    </row>
    <row r="1186" spans="2:5">
      <c r="B1186" s="340">
        <v>8812441717</v>
      </c>
      <c r="C1186" s="320">
        <v>7.02</v>
      </c>
      <c r="D1186" s="321" t="s">
        <v>8316</v>
      </c>
      <c r="E1186" s="322" t="s">
        <v>8317</v>
      </c>
    </row>
    <row r="1187" spans="2:5">
      <c r="B1187" s="340">
        <v>8812441719</v>
      </c>
      <c r="C1187" s="320">
        <v>7.02</v>
      </c>
      <c r="D1187" s="321" t="s">
        <v>8316</v>
      </c>
      <c r="E1187" s="322" t="s">
        <v>8317</v>
      </c>
    </row>
    <row r="1188" spans="2:5">
      <c r="B1188" s="340">
        <v>8812441721</v>
      </c>
      <c r="C1188" s="320">
        <v>7.02</v>
      </c>
      <c r="D1188" s="321" t="s">
        <v>8316</v>
      </c>
      <c r="E1188" s="322" t="s">
        <v>8317</v>
      </c>
    </row>
    <row r="1189" spans="2:5">
      <c r="B1189" s="340">
        <v>8812441723</v>
      </c>
      <c r="C1189" s="320">
        <v>7.02</v>
      </c>
      <c r="D1189" s="321" t="s">
        <v>8316</v>
      </c>
      <c r="E1189" s="322" t="s">
        <v>8317</v>
      </c>
    </row>
    <row r="1190" spans="2:5">
      <c r="B1190" s="340">
        <v>8812441725</v>
      </c>
      <c r="C1190" s="320">
        <v>7.02</v>
      </c>
      <c r="D1190" s="321" t="s">
        <v>8316</v>
      </c>
      <c r="E1190" s="322" t="s">
        <v>8317</v>
      </c>
    </row>
    <row r="1191" spans="2:5">
      <c r="B1191" s="340">
        <v>8812441727</v>
      </c>
      <c r="C1191" s="320">
        <v>7.02</v>
      </c>
      <c r="D1191" s="321" t="s">
        <v>8316</v>
      </c>
      <c r="E1191" s="322" t="s">
        <v>8317</v>
      </c>
    </row>
    <row r="1192" spans="2:5">
      <c r="B1192" s="340">
        <v>8812441729</v>
      </c>
      <c r="C1192" s="320">
        <v>7.02</v>
      </c>
      <c r="D1192" s="321" t="s">
        <v>8316</v>
      </c>
      <c r="E1192" s="322" t="s">
        <v>8317</v>
      </c>
    </row>
    <row r="1193" spans="2:5">
      <c r="B1193" s="340">
        <v>8812441731</v>
      </c>
      <c r="C1193" s="320">
        <v>7.02</v>
      </c>
      <c r="D1193" s="321" t="s">
        <v>8316</v>
      </c>
      <c r="E1193" s="322" t="s">
        <v>8317</v>
      </c>
    </row>
    <row r="1194" spans="2:5">
      <c r="B1194" s="317"/>
      <c r="C1194" s="318"/>
      <c r="D1194" s="317"/>
      <c r="E1194" s="319"/>
    </row>
    <row r="1195" spans="2:5">
      <c r="B1195" s="340">
        <v>8812441733</v>
      </c>
      <c r="C1195" s="320">
        <v>7.02</v>
      </c>
      <c r="D1195" s="321" t="s">
        <v>8316</v>
      </c>
      <c r="E1195" s="322" t="s">
        <v>8317</v>
      </c>
    </row>
    <row r="1196" spans="2:5">
      <c r="B1196" s="340">
        <v>8812441734</v>
      </c>
      <c r="C1196" s="320">
        <v>7.02</v>
      </c>
      <c r="D1196" s="321" t="s">
        <v>8316</v>
      </c>
      <c r="E1196" s="322" t="s">
        <v>8317</v>
      </c>
    </row>
    <row r="1197" spans="2:5">
      <c r="B1197" s="340">
        <v>8812441736</v>
      </c>
      <c r="C1197" s="320">
        <v>7.02</v>
      </c>
      <c r="D1197" s="321" t="s">
        <v>8316</v>
      </c>
      <c r="E1197" s="322" t="s">
        <v>8317</v>
      </c>
    </row>
    <row r="1198" spans="2:5">
      <c r="B1198" s="317"/>
      <c r="C1198" s="318"/>
      <c r="D1198" s="323"/>
      <c r="E1198" s="319"/>
    </row>
    <row r="1199" spans="2:5">
      <c r="B1199" s="340">
        <v>8812380347</v>
      </c>
      <c r="C1199" s="320">
        <v>7.02</v>
      </c>
      <c r="D1199" s="321" t="s">
        <v>8318</v>
      </c>
      <c r="E1199" s="322" t="s">
        <v>8317</v>
      </c>
    </row>
    <row r="1200" spans="2:5">
      <c r="B1200" s="340">
        <v>8812441739</v>
      </c>
      <c r="C1200" s="320">
        <v>7.02</v>
      </c>
      <c r="D1200" s="321" t="s">
        <v>8318</v>
      </c>
      <c r="E1200" s="322" t="s">
        <v>8317</v>
      </c>
    </row>
    <row r="1201" spans="2:5">
      <c r="B1201" s="340">
        <v>8812441741</v>
      </c>
      <c r="C1201" s="320">
        <v>7.02</v>
      </c>
      <c r="D1201" s="321" t="s">
        <v>8318</v>
      </c>
      <c r="E1201" s="322" t="s">
        <v>8317</v>
      </c>
    </row>
    <row r="1202" spans="2:5">
      <c r="B1202" s="340">
        <v>8812441743</v>
      </c>
      <c r="C1202" s="320">
        <v>7.02</v>
      </c>
      <c r="D1202" s="321" t="s">
        <v>8318</v>
      </c>
      <c r="E1202" s="322" t="s">
        <v>8317</v>
      </c>
    </row>
    <row r="1203" spans="2:5">
      <c r="B1203" s="340">
        <v>8812441745</v>
      </c>
      <c r="C1203" s="320">
        <v>7.02</v>
      </c>
      <c r="D1203" s="321" t="s">
        <v>8318</v>
      </c>
      <c r="E1203" s="322" t="s">
        <v>8317</v>
      </c>
    </row>
    <row r="1204" spans="2:5">
      <c r="B1204" s="340">
        <v>8812441747</v>
      </c>
      <c r="C1204" s="320">
        <v>7.02</v>
      </c>
      <c r="D1204" s="321" t="s">
        <v>8318</v>
      </c>
      <c r="E1204" s="322" t="s">
        <v>8317</v>
      </c>
    </row>
    <row r="1205" spans="2:5">
      <c r="B1205" s="340">
        <v>8812441749</v>
      </c>
      <c r="C1205" s="320">
        <v>7.02</v>
      </c>
      <c r="D1205" s="321" t="s">
        <v>8318</v>
      </c>
      <c r="E1205" s="322" t="s">
        <v>8317</v>
      </c>
    </row>
    <row r="1206" spans="2:5">
      <c r="B1206" s="340">
        <v>8812441751</v>
      </c>
      <c r="C1206" s="320">
        <v>7.02</v>
      </c>
      <c r="D1206" s="321" t="s">
        <v>8318</v>
      </c>
      <c r="E1206" s="322" t="s">
        <v>8317</v>
      </c>
    </row>
    <row r="1207" spans="2:5">
      <c r="B1207" s="340">
        <v>8812441753</v>
      </c>
      <c r="C1207" s="320">
        <v>7.02</v>
      </c>
      <c r="D1207" s="321" t="s">
        <v>8318</v>
      </c>
      <c r="E1207" s="322" t="s">
        <v>8317</v>
      </c>
    </row>
    <row r="1208" spans="2:5">
      <c r="B1208" s="340">
        <v>8812441755</v>
      </c>
      <c r="C1208" s="320">
        <v>7.02</v>
      </c>
      <c r="D1208" s="321" t="s">
        <v>8318</v>
      </c>
      <c r="E1208" s="322" t="s">
        <v>8317</v>
      </c>
    </row>
    <row r="1209" spans="2:5">
      <c r="B1209" s="340">
        <v>8812441757</v>
      </c>
      <c r="C1209" s="320">
        <v>7.02</v>
      </c>
      <c r="D1209" s="321" t="s">
        <v>8318</v>
      </c>
      <c r="E1209" s="322" t="s">
        <v>8317</v>
      </c>
    </row>
    <row r="1210" spans="2:5">
      <c r="B1210" s="340">
        <v>8812441759</v>
      </c>
      <c r="C1210" s="320">
        <v>7.02</v>
      </c>
      <c r="D1210" s="321" t="s">
        <v>8318</v>
      </c>
      <c r="E1210" s="322" t="s">
        <v>8317</v>
      </c>
    </row>
    <row r="1211" spans="2:5">
      <c r="B1211" s="340">
        <v>8812441761</v>
      </c>
      <c r="C1211" s="320">
        <v>7.02</v>
      </c>
      <c r="D1211" s="321" t="s">
        <v>8318</v>
      </c>
      <c r="E1211" s="322" t="s">
        <v>8317</v>
      </c>
    </row>
    <row r="1212" spans="2:5">
      <c r="B1212" s="340">
        <v>8812441763</v>
      </c>
      <c r="C1212" s="320">
        <v>7.02</v>
      </c>
      <c r="D1212" s="321" t="s">
        <v>8318</v>
      </c>
      <c r="E1212" s="322" t="s">
        <v>8317</v>
      </c>
    </row>
    <row r="1213" spans="2:5">
      <c r="B1213" s="340">
        <v>8812441765</v>
      </c>
      <c r="C1213" s="320">
        <v>7.02</v>
      </c>
      <c r="D1213" s="321" t="s">
        <v>8318</v>
      </c>
      <c r="E1213" s="322" t="s">
        <v>8317</v>
      </c>
    </row>
    <row r="1214" spans="2:5">
      <c r="B1214" s="340">
        <v>8812441767</v>
      </c>
      <c r="C1214" s="320">
        <v>7.02</v>
      </c>
      <c r="D1214" s="321" t="s">
        <v>8318</v>
      </c>
      <c r="E1214" s="322" t="s">
        <v>8317</v>
      </c>
    </row>
    <row r="1215" spans="2:5">
      <c r="B1215" s="340">
        <v>8812441769</v>
      </c>
      <c r="C1215" s="320">
        <v>7.02</v>
      </c>
      <c r="D1215" s="321" t="s">
        <v>8318</v>
      </c>
      <c r="E1215" s="322" t="s">
        <v>8317</v>
      </c>
    </row>
    <row r="1216" spans="2:5">
      <c r="B1216" s="340">
        <v>8812380370</v>
      </c>
      <c r="C1216" s="320">
        <v>7.02</v>
      </c>
      <c r="D1216" s="321" t="s">
        <v>8318</v>
      </c>
      <c r="E1216" s="322" t="s">
        <v>8317</v>
      </c>
    </row>
    <row r="1217" spans="2:5">
      <c r="B1217" s="340">
        <v>8812380371</v>
      </c>
      <c r="C1217" s="320">
        <v>7.02</v>
      </c>
      <c r="D1217" s="321" t="s">
        <v>8318</v>
      </c>
      <c r="E1217" s="322" t="s">
        <v>8317</v>
      </c>
    </row>
    <row r="1218" spans="2:5">
      <c r="B1218" s="340">
        <v>8812441770</v>
      </c>
      <c r="C1218" s="320">
        <v>7.02</v>
      </c>
      <c r="D1218" s="321" t="s">
        <v>8318</v>
      </c>
      <c r="E1218" s="322" t="s">
        <v>8317</v>
      </c>
    </row>
    <row r="1219" spans="2:5">
      <c r="B1219" s="340">
        <v>8812441773</v>
      </c>
      <c r="C1219" s="320">
        <v>7.02</v>
      </c>
      <c r="D1219" s="321" t="s">
        <v>8318</v>
      </c>
      <c r="E1219" s="322" t="s">
        <v>8317</v>
      </c>
    </row>
    <row r="1220" spans="2:5">
      <c r="B1220" s="340">
        <v>8812441775</v>
      </c>
      <c r="C1220" s="320">
        <v>7.02</v>
      </c>
      <c r="D1220" s="321" t="s">
        <v>8318</v>
      </c>
      <c r="E1220" s="322" t="s">
        <v>8317</v>
      </c>
    </row>
    <row r="1221" spans="2:5">
      <c r="B1221" s="340">
        <v>8812441777</v>
      </c>
      <c r="C1221" s="320">
        <v>7.02</v>
      </c>
      <c r="D1221" s="321" t="s">
        <v>8318</v>
      </c>
      <c r="E1221" s="322" t="s">
        <v>8317</v>
      </c>
    </row>
    <row r="1222" spans="2:5">
      <c r="B1222" s="340">
        <v>8812441779</v>
      </c>
      <c r="C1222" s="320">
        <v>7.02</v>
      </c>
      <c r="D1222" s="321" t="s">
        <v>8318</v>
      </c>
      <c r="E1222" s="322" t="s">
        <v>8317</v>
      </c>
    </row>
    <row r="1223" spans="2:5">
      <c r="B1223" s="340">
        <v>8812441780</v>
      </c>
      <c r="C1223" s="320">
        <v>7.02</v>
      </c>
      <c r="D1223" s="321" t="s">
        <v>8318</v>
      </c>
      <c r="E1223" s="322" t="s">
        <v>8317</v>
      </c>
    </row>
    <row r="1224" spans="2:5">
      <c r="B1224" s="340">
        <v>8812441781</v>
      </c>
      <c r="C1224" s="320">
        <v>7.02</v>
      </c>
      <c r="D1224" s="321" t="s">
        <v>8318</v>
      </c>
      <c r="E1224" s="322" t="s">
        <v>8317</v>
      </c>
    </row>
    <row r="1225" spans="2:5">
      <c r="B1225" s="340">
        <v>8812380379</v>
      </c>
      <c r="C1225" s="320">
        <v>7.02</v>
      </c>
      <c r="D1225" s="321" t="s">
        <v>8318</v>
      </c>
      <c r="E1225" s="322" t="s">
        <v>8317</v>
      </c>
    </row>
    <row r="1226" spans="2:5">
      <c r="B1226" s="340">
        <v>8812441782</v>
      </c>
      <c r="C1226" s="320">
        <v>7.02</v>
      </c>
      <c r="D1226" s="321" t="s">
        <v>8318</v>
      </c>
      <c r="E1226" s="322" t="s">
        <v>8317</v>
      </c>
    </row>
    <row r="1227" spans="2:5">
      <c r="B1227" s="340">
        <v>8812441783</v>
      </c>
      <c r="C1227" s="320">
        <v>7.02</v>
      </c>
      <c r="D1227" s="321" t="s">
        <v>8318</v>
      </c>
      <c r="E1227" s="322" t="s">
        <v>8317</v>
      </c>
    </row>
    <row r="1228" spans="2:5">
      <c r="B1228" s="340">
        <v>8812441784</v>
      </c>
      <c r="C1228" s="320">
        <v>7.02</v>
      </c>
      <c r="D1228" s="321" t="s">
        <v>8318</v>
      </c>
      <c r="E1228" s="322" t="s">
        <v>8317</v>
      </c>
    </row>
    <row r="1229" spans="2:5">
      <c r="B1229" s="340">
        <v>8812441788</v>
      </c>
      <c r="C1229" s="320">
        <v>7.02</v>
      </c>
      <c r="D1229" s="321" t="s">
        <v>8318</v>
      </c>
      <c r="E1229" s="322" t="s">
        <v>8317</v>
      </c>
    </row>
    <row r="1230" spans="2:5">
      <c r="B1230" s="340">
        <v>8812441792</v>
      </c>
      <c r="C1230" s="320">
        <v>7.02</v>
      </c>
      <c r="D1230" s="321" t="s">
        <v>8318</v>
      </c>
      <c r="E1230" s="322" t="s">
        <v>8317</v>
      </c>
    </row>
    <row r="1231" spans="2:5">
      <c r="B1231" s="340">
        <v>8812441793</v>
      </c>
      <c r="C1231" s="320">
        <v>7.02</v>
      </c>
      <c r="D1231" s="321" t="s">
        <v>8318</v>
      </c>
      <c r="E1231" s="322" t="s">
        <v>8317</v>
      </c>
    </row>
    <row r="1232" spans="2:5">
      <c r="B1232" s="340">
        <v>8812380402</v>
      </c>
      <c r="C1232" s="320">
        <v>7.02</v>
      </c>
      <c r="D1232" s="321" t="s">
        <v>8318</v>
      </c>
      <c r="E1232" s="322" t="s">
        <v>8317</v>
      </c>
    </row>
    <row r="1233" spans="2:5">
      <c r="B1233" s="340">
        <v>8812441787</v>
      </c>
      <c r="C1233" s="320">
        <v>7.02</v>
      </c>
      <c r="D1233" s="321" t="s">
        <v>8318</v>
      </c>
      <c r="E1233" s="322" t="s">
        <v>8317</v>
      </c>
    </row>
    <row r="1234" spans="2:5">
      <c r="B1234" s="340">
        <v>8812380404</v>
      </c>
      <c r="C1234" s="320">
        <v>7.02</v>
      </c>
      <c r="D1234" s="321" t="s">
        <v>8318</v>
      </c>
      <c r="E1234" s="322" t="s">
        <v>8317</v>
      </c>
    </row>
    <row r="1235" spans="2:5">
      <c r="B1235" s="340">
        <v>8812441785</v>
      </c>
      <c r="C1235" s="320">
        <v>7.02</v>
      </c>
      <c r="D1235" s="321" t="s">
        <v>8318</v>
      </c>
      <c r="E1235" s="322">
        <v>100</v>
      </c>
    </row>
    <row r="1236" spans="2:5">
      <c r="B1236" s="340">
        <v>8812380383</v>
      </c>
      <c r="C1236" s="320">
        <v>7.02</v>
      </c>
      <c r="D1236" s="321" t="s">
        <v>8318</v>
      </c>
      <c r="E1236" s="322">
        <v>100</v>
      </c>
    </row>
    <row r="1237" spans="2:5">
      <c r="B1237" s="340">
        <v>8812441796</v>
      </c>
      <c r="C1237" s="320">
        <v>7.02</v>
      </c>
      <c r="D1237" s="321" t="s">
        <v>8318</v>
      </c>
      <c r="E1237" s="322">
        <v>100</v>
      </c>
    </row>
    <row r="1238" spans="2:5">
      <c r="B1238" s="340">
        <v>8812441790</v>
      </c>
      <c r="C1238" s="320">
        <v>7.02</v>
      </c>
      <c r="D1238" s="321" t="s">
        <v>8318</v>
      </c>
      <c r="E1238" s="322">
        <v>100</v>
      </c>
    </row>
    <row r="1239" spans="2:5">
      <c r="B1239" s="340">
        <v>8812441786</v>
      </c>
      <c r="C1239" s="320">
        <v>7.02</v>
      </c>
      <c r="D1239" s="321" t="s">
        <v>8318</v>
      </c>
      <c r="E1239" s="322">
        <v>100</v>
      </c>
    </row>
    <row r="1240" spans="2:5">
      <c r="B1240" s="340">
        <v>8812428763</v>
      </c>
      <c r="C1240" s="320">
        <v>7.02</v>
      </c>
      <c r="D1240" s="321" t="s">
        <v>8318</v>
      </c>
      <c r="E1240" s="322">
        <v>100</v>
      </c>
    </row>
    <row r="1241" spans="2:5">
      <c r="B1241" s="340">
        <v>8812441789</v>
      </c>
      <c r="C1241" s="320">
        <v>7.02</v>
      </c>
      <c r="D1241" s="321" t="s">
        <v>8318</v>
      </c>
      <c r="E1241" s="322">
        <v>100</v>
      </c>
    </row>
    <row r="1242" spans="2:5">
      <c r="B1242" s="340">
        <v>8812441791</v>
      </c>
      <c r="C1242" s="320">
        <v>7.02</v>
      </c>
      <c r="D1242" s="321" t="s">
        <v>8318</v>
      </c>
      <c r="E1242" s="322">
        <v>100</v>
      </c>
    </row>
    <row r="1243" spans="2:5">
      <c r="B1243" s="340">
        <v>8812441794</v>
      </c>
      <c r="C1243" s="320">
        <v>7.02</v>
      </c>
      <c r="D1243" s="321" t="s">
        <v>8318</v>
      </c>
      <c r="E1243" s="322">
        <v>100</v>
      </c>
    </row>
    <row r="1244" spans="2:5">
      <c r="B1244" s="340">
        <v>8812441795</v>
      </c>
      <c r="C1244" s="320">
        <v>7.02</v>
      </c>
      <c r="D1244" s="321" t="s">
        <v>8318</v>
      </c>
      <c r="E1244" s="322">
        <v>100</v>
      </c>
    </row>
    <row r="1245" spans="2:5">
      <c r="B1245" s="317"/>
      <c r="C1245" s="318"/>
      <c r="D1245" s="323"/>
      <c r="E1245" s="319"/>
    </row>
    <row r="1246" spans="2:5">
      <c r="B1246" s="340">
        <v>8812441797</v>
      </c>
      <c r="C1246" s="320">
        <v>7.02</v>
      </c>
      <c r="D1246" s="321" t="s">
        <v>8318</v>
      </c>
      <c r="E1246" s="322" t="s">
        <v>8317</v>
      </c>
    </row>
    <row r="1247" spans="2:5">
      <c r="B1247" s="340">
        <v>8812380386</v>
      </c>
      <c r="C1247" s="320">
        <v>7.02</v>
      </c>
      <c r="D1247" s="321" t="s">
        <v>8318</v>
      </c>
      <c r="E1247" s="322" t="s">
        <v>8317</v>
      </c>
    </row>
    <row r="1248" spans="2:5">
      <c r="B1248" s="340">
        <v>8812441798</v>
      </c>
      <c r="C1248" s="320">
        <v>7.02</v>
      </c>
      <c r="D1248" s="321" t="s">
        <v>8318</v>
      </c>
      <c r="E1248" s="322" t="s">
        <v>8317</v>
      </c>
    </row>
    <row r="1249" spans="2:5">
      <c r="B1249" s="340">
        <v>8812441799</v>
      </c>
      <c r="C1249" s="320">
        <v>7.02</v>
      </c>
      <c r="D1249" s="321" t="s">
        <v>8318</v>
      </c>
      <c r="E1249" s="322" t="s">
        <v>8317</v>
      </c>
    </row>
    <row r="1250" spans="2:5">
      <c r="B1250" s="317"/>
      <c r="C1250" s="318"/>
      <c r="D1250" s="323"/>
      <c r="E1250" s="319"/>
    </row>
    <row r="1251" spans="2:5">
      <c r="B1251" s="340">
        <v>8812441800</v>
      </c>
      <c r="C1251" s="320">
        <v>7.02</v>
      </c>
      <c r="D1251" s="321" t="s">
        <v>8319</v>
      </c>
      <c r="E1251" s="322" t="s">
        <v>8317</v>
      </c>
    </row>
    <row r="1252" spans="2:5">
      <c r="B1252" s="340">
        <v>8812441801</v>
      </c>
      <c r="C1252" s="320">
        <v>7.02</v>
      </c>
      <c r="D1252" s="321" t="s">
        <v>8319</v>
      </c>
      <c r="E1252" s="322" t="s">
        <v>8317</v>
      </c>
    </row>
    <row r="1253" spans="2:5">
      <c r="B1253" s="340">
        <v>8812441802</v>
      </c>
      <c r="C1253" s="320">
        <v>7.02</v>
      </c>
      <c r="D1253" s="321" t="s">
        <v>8319</v>
      </c>
      <c r="E1253" s="322" t="s">
        <v>8317</v>
      </c>
    </row>
    <row r="1254" spans="2:5">
      <c r="B1254" s="340">
        <v>8812441803</v>
      </c>
      <c r="C1254" s="320">
        <v>7.02</v>
      </c>
      <c r="D1254" s="321" t="s">
        <v>8319</v>
      </c>
      <c r="E1254" s="322" t="s">
        <v>8317</v>
      </c>
    </row>
    <row r="1255" spans="2:5">
      <c r="B1255" s="340">
        <v>8812441804</v>
      </c>
      <c r="C1255" s="320">
        <v>7.02</v>
      </c>
      <c r="D1255" s="321" t="s">
        <v>8319</v>
      </c>
      <c r="E1255" s="322" t="s">
        <v>8317</v>
      </c>
    </row>
    <row r="1256" spans="2:5">
      <c r="B1256" s="340">
        <v>8812441805</v>
      </c>
      <c r="C1256" s="320">
        <v>7.02</v>
      </c>
      <c r="D1256" s="321" t="s">
        <v>8319</v>
      </c>
      <c r="E1256" s="322" t="s">
        <v>8317</v>
      </c>
    </row>
    <row r="1257" spans="2:5">
      <c r="B1257" s="340">
        <v>8812380395</v>
      </c>
      <c r="C1257" s="320">
        <v>7.02</v>
      </c>
      <c r="D1257" s="321" t="s">
        <v>8319</v>
      </c>
      <c r="E1257" s="322" t="s">
        <v>8317</v>
      </c>
    </row>
    <row r="1258" spans="2:5">
      <c r="B1258" s="340">
        <v>8812380396</v>
      </c>
      <c r="C1258" s="320">
        <v>7.02</v>
      </c>
      <c r="D1258" s="321" t="s">
        <v>8319</v>
      </c>
      <c r="E1258" s="322" t="s">
        <v>8317</v>
      </c>
    </row>
    <row r="1259" spans="2:5">
      <c r="B1259" s="317"/>
      <c r="C1259" s="318"/>
      <c r="D1259" s="323"/>
      <c r="E1259" s="319"/>
    </row>
    <row r="1260" spans="2:5">
      <c r="B1260" s="340">
        <v>8812441806</v>
      </c>
      <c r="C1260" s="320">
        <v>7.02</v>
      </c>
      <c r="D1260" s="321" t="s">
        <v>8320</v>
      </c>
      <c r="E1260" s="322" t="s">
        <v>8317</v>
      </c>
    </row>
    <row r="1261" spans="2:5">
      <c r="B1261" s="340">
        <v>8812441807</v>
      </c>
      <c r="C1261" s="320">
        <v>7.02</v>
      </c>
      <c r="D1261" s="321" t="s">
        <v>8320</v>
      </c>
      <c r="E1261" s="322" t="s">
        <v>8317</v>
      </c>
    </row>
  </sheetData>
  <autoFilter ref="A170:C193" xr:uid="{00000000-0001-0000-0A00-000000000000}"/>
  <conditionalFormatting sqref="B1:B1048576">
    <cfRule type="duplicateValues" dxfId="35" priority="1"/>
  </conditionalFormatting>
  <conditionalFormatting sqref="B195:B196">
    <cfRule type="duplicateValues" dxfId="34" priority="4"/>
    <cfRule type="duplicateValues" dxfId="33" priority="5"/>
  </conditionalFormatting>
  <conditionalFormatting sqref="B197:B202">
    <cfRule type="duplicateValues" dxfId="32" priority="6"/>
    <cfRule type="duplicateValues" dxfId="31" priority="7"/>
  </conditionalFormatting>
  <conditionalFormatting sqref="B203:B204">
    <cfRule type="duplicateValues" dxfId="30" priority="2"/>
    <cfRule type="duplicateValues" dxfId="29" priority="3"/>
  </conditionalFormatting>
  <pageMargins left="0.511811024" right="0.511811024" top="0.78740157499999996" bottom="0.78740157499999996" header="0.31496062000000002" footer="0.31496062000000002"/>
  <ignoredErrors>
    <ignoredError sqref="C360 C489 B861:B863 C327 C328 C329 C330 C331 C332 C333 C334 C335 C336 C337 C338 C339 C340 C341 C342 C343 C344 C345 C346 C347 C348 C349 C350 C351 C352 C353 C354 C355 C356 C357 C358 C359 C472 C473 C474 C475 C476 C477 C478 C479 C480 C481 C482 C483 C484 C485 C486 C487 C488 B920 B922:B924"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C24"/>
  <sheetViews>
    <sheetView workbookViewId="0">
      <selection activeCell="B23" sqref="B23"/>
    </sheetView>
  </sheetViews>
  <sheetFormatPr defaultRowHeight="14.4"/>
  <cols>
    <col min="2" max="3" width="10.33203125" customWidth="1"/>
  </cols>
  <sheetData>
    <row r="2" spans="2:3">
      <c r="B2" s="170" t="s">
        <v>0</v>
      </c>
      <c r="C2" s="170" t="s">
        <v>3066</v>
      </c>
    </row>
    <row r="3" spans="2:3">
      <c r="B3" s="170" t="s">
        <v>1958</v>
      </c>
      <c r="C3" s="170" t="s">
        <v>1958</v>
      </c>
    </row>
    <row r="4" spans="2:3">
      <c r="B4" s="170" t="s">
        <v>1960</v>
      </c>
      <c r="C4" s="170" t="s">
        <v>1958</v>
      </c>
    </row>
    <row r="5" spans="2:3">
      <c r="B5" s="170" t="s">
        <v>1953</v>
      </c>
      <c r="C5" s="170" t="s">
        <v>2271</v>
      </c>
    </row>
    <row r="6" spans="2:3">
      <c r="B6" s="170" t="s">
        <v>1951</v>
      </c>
      <c r="C6" s="170" t="s">
        <v>2271</v>
      </c>
    </row>
    <row r="7" spans="2:3">
      <c r="B7" s="170" t="s">
        <v>1955</v>
      </c>
      <c r="C7" s="170" t="s">
        <v>2271</v>
      </c>
    </row>
    <row r="8" spans="2:3">
      <c r="B8" s="170" t="s">
        <v>1954</v>
      </c>
      <c r="C8" s="170" t="s">
        <v>2271</v>
      </c>
    </row>
    <row r="9" spans="2:3">
      <c r="B9" s="170" t="s">
        <v>1956</v>
      </c>
      <c r="C9" s="170" t="s">
        <v>2270</v>
      </c>
    </row>
    <row r="10" spans="2:3">
      <c r="B10" s="170" t="s">
        <v>1952</v>
      </c>
      <c r="C10" s="170" t="s">
        <v>2270</v>
      </c>
    </row>
    <row r="11" spans="2:3">
      <c r="B11" s="170" t="s">
        <v>2887</v>
      </c>
      <c r="C11" s="170" t="s">
        <v>2270</v>
      </c>
    </row>
    <row r="12" spans="2:3">
      <c r="B12" s="170" t="s">
        <v>1957</v>
      </c>
      <c r="C12" s="170" t="s">
        <v>8300</v>
      </c>
    </row>
    <row r="13" spans="2:3">
      <c r="B13" s="170" t="s">
        <v>1959</v>
      </c>
      <c r="C13" s="170" t="s">
        <v>8300</v>
      </c>
    </row>
    <row r="14" spans="2:3">
      <c r="B14" s="170" t="s">
        <v>2220</v>
      </c>
      <c r="C14" s="170" t="s">
        <v>8301</v>
      </c>
    </row>
    <row r="15" spans="2:3">
      <c r="B15" s="170" t="s">
        <v>2216</v>
      </c>
      <c r="C15" s="170" t="s">
        <v>8301</v>
      </c>
    </row>
    <row r="16" spans="2:3">
      <c r="B16" s="170" t="s">
        <v>2274</v>
      </c>
      <c r="C16" s="170" t="s">
        <v>8301</v>
      </c>
    </row>
    <row r="17" spans="2:3">
      <c r="B17" s="170" t="s">
        <v>3067</v>
      </c>
      <c r="C17" s="170" t="s">
        <v>8302</v>
      </c>
    </row>
    <row r="18" spans="2:3">
      <c r="B18" s="170" t="s">
        <v>2219</v>
      </c>
      <c r="C18" s="170" t="s">
        <v>8302</v>
      </c>
    </row>
    <row r="19" spans="2:3">
      <c r="B19" s="170" t="s">
        <v>2217</v>
      </c>
      <c r="C19" s="170" t="s">
        <v>2273</v>
      </c>
    </row>
    <row r="20" spans="2:3">
      <c r="B20" s="170" t="s">
        <v>2218</v>
      </c>
      <c r="C20" s="170" t="s">
        <v>2273</v>
      </c>
    </row>
    <row r="21" spans="2:3">
      <c r="B21" s="170" t="s">
        <v>2272</v>
      </c>
      <c r="C21" s="170" t="s">
        <v>2273</v>
      </c>
    </row>
    <row r="22" spans="2:3">
      <c r="B22" s="196" t="s">
        <v>4684</v>
      </c>
      <c r="C22" s="196" t="s">
        <v>4685</v>
      </c>
    </row>
    <row r="23" spans="2:3">
      <c r="B23" s="170" t="s">
        <v>5662</v>
      </c>
      <c r="C23" s="170" t="s">
        <v>5662</v>
      </c>
    </row>
    <row r="24" spans="2:3">
      <c r="B24" s="170" t="s">
        <v>6237</v>
      </c>
      <c r="C24" s="170" t="s">
        <v>6237</v>
      </c>
    </row>
  </sheetData>
  <pageMargins left="0.511811024" right="0.511811024" top="0.78740157499999996" bottom="0.78740157499999996" header="0.31496062000000002" footer="0.31496062000000002"/>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C281"/>
  <sheetViews>
    <sheetView workbookViewId="0">
      <selection activeCell="B2" sqref="B2:C281"/>
    </sheetView>
  </sheetViews>
  <sheetFormatPr defaultRowHeight="14.4"/>
  <cols>
    <col min="2" max="2" width="11" bestFit="1" customWidth="1"/>
    <col min="3" max="3" width="10.44140625" bestFit="1" customWidth="1"/>
  </cols>
  <sheetData>
    <row r="2" spans="2:3">
      <c r="B2" s="73" t="s">
        <v>42</v>
      </c>
    </row>
    <row r="3" spans="2:3">
      <c r="B3" s="74" t="s">
        <v>40</v>
      </c>
      <c r="C3" s="38" t="s">
        <v>41</v>
      </c>
    </row>
    <row r="4" spans="2:3">
      <c r="B4" s="76">
        <v>8812288263</v>
      </c>
      <c r="C4" s="40" t="s">
        <v>16</v>
      </c>
    </row>
    <row r="5" spans="2:3">
      <c r="B5" s="76">
        <v>8812288264</v>
      </c>
      <c r="C5" s="40">
        <v>7.02</v>
      </c>
    </row>
    <row r="6" spans="2:3">
      <c r="B6" s="76">
        <v>8812288265</v>
      </c>
      <c r="C6" s="40">
        <v>7.02</v>
      </c>
    </row>
    <row r="7" spans="2:3">
      <c r="B7" s="76">
        <v>8812288266</v>
      </c>
      <c r="C7" s="40">
        <v>7.02</v>
      </c>
    </row>
    <row r="8" spans="2:3">
      <c r="B8" s="76">
        <v>8812288267</v>
      </c>
      <c r="C8" s="40" t="s">
        <v>16</v>
      </c>
    </row>
    <row r="9" spans="2:3">
      <c r="B9" s="76">
        <v>8812288268</v>
      </c>
      <c r="C9" s="40" t="s">
        <v>16</v>
      </c>
    </row>
    <row r="10" spans="2:3">
      <c r="B10" s="76">
        <v>8812288269</v>
      </c>
      <c r="C10" s="40" t="s">
        <v>16</v>
      </c>
    </row>
    <row r="11" spans="2:3">
      <c r="B11" s="76">
        <v>8812288270</v>
      </c>
      <c r="C11" s="40" t="s">
        <v>16</v>
      </c>
    </row>
    <row r="12" spans="2:3">
      <c r="B12" s="76">
        <v>8812288271</v>
      </c>
      <c r="C12" s="40" t="s">
        <v>16</v>
      </c>
    </row>
    <row r="13" spans="2:3">
      <c r="B13" s="76">
        <v>8812288272</v>
      </c>
      <c r="C13" s="40" t="s">
        <v>16</v>
      </c>
    </row>
    <row r="14" spans="2:3">
      <c r="B14" s="78">
        <v>8812288273</v>
      </c>
      <c r="C14" s="40" t="s">
        <v>16</v>
      </c>
    </row>
    <row r="15" spans="2:3">
      <c r="B15" s="79">
        <v>8812288274</v>
      </c>
      <c r="C15" s="42" t="s">
        <v>16</v>
      </c>
    </row>
    <row r="16" spans="2:3">
      <c r="B16" s="80">
        <v>8812288275</v>
      </c>
      <c r="C16" s="42" t="s">
        <v>16</v>
      </c>
    </row>
    <row r="17" spans="2:3">
      <c r="B17" s="78">
        <v>8812288276</v>
      </c>
      <c r="C17" s="40" t="s">
        <v>16</v>
      </c>
    </row>
    <row r="18" spans="2:3">
      <c r="B18" s="78">
        <v>8812288277</v>
      </c>
      <c r="C18" s="40" t="s">
        <v>16</v>
      </c>
    </row>
    <row r="19" spans="2:3">
      <c r="B19" s="78">
        <v>8812288278</v>
      </c>
      <c r="C19" s="40" t="s">
        <v>16</v>
      </c>
    </row>
    <row r="20" spans="2:3">
      <c r="B20" s="80">
        <v>8812288279</v>
      </c>
      <c r="C20" s="42" t="s">
        <v>16</v>
      </c>
    </row>
    <row r="21" spans="2:3">
      <c r="B21" s="78">
        <v>8812288280</v>
      </c>
      <c r="C21" s="40" t="s">
        <v>16</v>
      </c>
    </row>
    <row r="22" spans="2:3">
      <c r="B22" s="80">
        <v>8812288281</v>
      </c>
      <c r="C22" s="42" t="s">
        <v>16</v>
      </c>
    </row>
    <row r="23" spans="2:3">
      <c r="B23" s="80">
        <v>8812288282</v>
      </c>
      <c r="C23" s="42" t="s">
        <v>16</v>
      </c>
    </row>
    <row r="24" spans="2:3">
      <c r="B24" s="80">
        <v>8812288283</v>
      </c>
      <c r="C24" s="42" t="s">
        <v>16</v>
      </c>
    </row>
    <row r="25" spans="2:3">
      <c r="B25" s="81">
        <v>8812288284</v>
      </c>
      <c r="C25" s="42" t="s">
        <v>16</v>
      </c>
    </row>
    <row r="26" spans="2:3">
      <c r="B26" s="81">
        <v>8812288285</v>
      </c>
      <c r="C26" s="42" t="s">
        <v>16</v>
      </c>
    </row>
    <row r="27" spans="2:3">
      <c r="B27" s="78">
        <v>8812288286</v>
      </c>
      <c r="C27" s="40" t="s">
        <v>16</v>
      </c>
    </row>
    <row r="28" spans="2:3">
      <c r="B28" s="78">
        <v>8812288287</v>
      </c>
      <c r="C28" s="40" t="s">
        <v>16</v>
      </c>
    </row>
    <row r="29" spans="2:3">
      <c r="B29" s="78">
        <v>8812288288</v>
      </c>
      <c r="C29" s="42" t="s">
        <v>16</v>
      </c>
    </row>
    <row r="30" spans="2:3">
      <c r="B30" s="78">
        <v>8812288289</v>
      </c>
      <c r="C30" s="40" t="s">
        <v>16</v>
      </c>
    </row>
    <row r="31" spans="2:3">
      <c r="B31" s="78">
        <v>8818188292</v>
      </c>
      <c r="C31" s="40" t="s">
        <v>16</v>
      </c>
    </row>
    <row r="32" spans="2:3">
      <c r="B32" s="78">
        <v>8818188293</v>
      </c>
      <c r="C32" s="40" t="s">
        <v>16</v>
      </c>
    </row>
    <row r="33" spans="2:3">
      <c r="B33" s="78">
        <v>8818188294</v>
      </c>
      <c r="C33" s="40" t="s">
        <v>16</v>
      </c>
    </row>
    <row r="34" spans="2:3">
      <c r="B34" s="78">
        <v>8818188295</v>
      </c>
      <c r="C34" s="40" t="s">
        <v>16</v>
      </c>
    </row>
    <row r="35" spans="2:3">
      <c r="B35" s="78">
        <v>8818188296</v>
      </c>
      <c r="C35" s="40" t="s">
        <v>16</v>
      </c>
    </row>
    <row r="36" spans="2:3">
      <c r="B36" s="78">
        <v>8818188297</v>
      </c>
      <c r="C36" s="40" t="s">
        <v>16</v>
      </c>
    </row>
    <row r="37" spans="2:3">
      <c r="B37" s="78">
        <v>8818188298</v>
      </c>
      <c r="C37" s="40" t="s">
        <v>16</v>
      </c>
    </row>
    <row r="38" spans="2:3">
      <c r="B38" s="83">
        <v>8812288290</v>
      </c>
      <c r="C38" s="40" t="s">
        <v>16</v>
      </c>
    </row>
    <row r="39" spans="2:3">
      <c r="B39" s="83">
        <v>8812288291</v>
      </c>
      <c r="C39" s="40" t="s">
        <v>16</v>
      </c>
    </row>
    <row r="40" spans="2:3">
      <c r="B40" s="83">
        <v>8812288292</v>
      </c>
      <c r="C40" s="40" t="s">
        <v>16</v>
      </c>
    </row>
    <row r="41" spans="2:3">
      <c r="B41" s="83">
        <v>8812288293</v>
      </c>
      <c r="C41" s="40" t="s">
        <v>16</v>
      </c>
    </row>
    <row r="42" spans="2:3">
      <c r="B42" s="83">
        <v>8812288294</v>
      </c>
      <c r="C42" s="40" t="s">
        <v>16</v>
      </c>
    </row>
    <row r="43" spans="2:3">
      <c r="B43" s="83">
        <v>8812288295</v>
      </c>
      <c r="C43" s="40" t="s">
        <v>16</v>
      </c>
    </row>
    <row r="44" spans="2:3">
      <c r="B44" s="83">
        <v>8812288296</v>
      </c>
      <c r="C44" s="40" t="s">
        <v>16</v>
      </c>
    </row>
    <row r="45" spans="2:3">
      <c r="B45" s="78">
        <v>8812288297</v>
      </c>
      <c r="C45" s="40" t="s">
        <v>16</v>
      </c>
    </row>
    <row r="46" spans="2:3">
      <c r="B46" s="78">
        <v>8812288298</v>
      </c>
      <c r="C46" s="40" t="s">
        <v>16</v>
      </c>
    </row>
    <row r="47" spans="2:3">
      <c r="B47" s="78">
        <v>8812288299</v>
      </c>
      <c r="C47" s="40" t="s">
        <v>16</v>
      </c>
    </row>
    <row r="48" spans="2:3">
      <c r="B48" s="78">
        <v>8812288300</v>
      </c>
      <c r="C48" s="40" t="s">
        <v>16</v>
      </c>
    </row>
    <row r="49" spans="2:3">
      <c r="B49" s="78">
        <v>8812288301</v>
      </c>
      <c r="C49" s="40" t="s">
        <v>16</v>
      </c>
    </row>
    <row r="50" spans="2:3">
      <c r="B50" s="83">
        <v>8812288302</v>
      </c>
      <c r="C50" s="40" t="s">
        <v>16</v>
      </c>
    </row>
    <row r="51" spans="2:3">
      <c r="B51" s="83">
        <v>8812288303</v>
      </c>
      <c r="C51" s="40" t="s">
        <v>16</v>
      </c>
    </row>
    <row r="52" spans="2:3">
      <c r="B52" s="78">
        <v>8812288304</v>
      </c>
      <c r="C52" s="40" t="s">
        <v>16</v>
      </c>
    </row>
    <row r="53" spans="2:3">
      <c r="B53" s="78">
        <v>8812288305</v>
      </c>
      <c r="C53" s="40" t="s">
        <v>16</v>
      </c>
    </row>
    <row r="54" spans="2:3">
      <c r="B54" s="83">
        <v>8812288306</v>
      </c>
      <c r="C54" s="40" t="s">
        <v>16</v>
      </c>
    </row>
    <row r="55" spans="2:3">
      <c r="B55" s="83">
        <v>8812288307</v>
      </c>
      <c r="C55" s="40" t="s">
        <v>16</v>
      </c>
    </row>
    <row r="56" spans="2:3">
      <c r="B56" s="78">
        <v>8812288308</v>
      </c>
      <c r="C56" s="42" t="s">
        <v>16</v>
      </c>
    </row>
    <row r="57" spans="2:3">
      <c r="B57" s="78">
        <v>8812288309</v>
      </c>
      <c r="C57" s="42" t="s">
        <v>16</v>
      </c>
    </row>
    <row r="58" spans="2:3">
      <c r="B58" s="78">
        <v>8812288310</v>
      </c>
      <c r="C58" s="42" t="s">
        <v>16</v>
      </c>
    </row>
    <row r="59" spans="2:3">
      <c r="B59" s="78">
        <v>8812288311</v>
      </c>
      <c r="C59" s="42" t="s">
        <v>16</v>
      </c>
    </row>
    <row r="60" spans="2:3">
      <c r="B60" s="80">
        <v>8812288312</v>
      </c>
      <c r="C60" s="42" t="s">
        <v>16</v>
      </c>
    </row>
    <row r="61" spans="2:3">
      <c r="B61" s="80">
        <v>8812288313</v>
      </c>
      <c r="C61" s="42" t="s">
        <v>16</v>
      </c>
    </row>
    <row r="62" spans="2:3">
      <c r="B62" s="83">
        <v>8812288314</v>
      </c>
      <c r="C62" s="40" t="s">
        <v>16</v>
      </c>
    </row>
    <row r="63" spans="2:3">
      <c r="B63" s="80">
        <v>8812288315</v>
      </c>
      <c r="C63" s="42" t="s">
        <v>16</v>
      </c>
    </row>
    <row r="64" spans="2:3">
      <c r="B64" s="83">
        <v>8812288316</v>
      </c>
      <c r="C64" s="40" t="s">
        <v>16</v>
      </c>
    </row>
    <row r="65" spans="2:3">
      <c r="B65" s="78">
        <v>8812288317</v>
      </c>
      <c r="C65" s="40" t="s">
        <v>16</v>
      </c>
    </row>
    <row r="66" spans="2:3">
      <c r="B66" s="78">
        <v>8812288318</v>
      </c>
      <c r="C66" s="40" t="s">
        <v>16</v>
      </c>
    </row>
    <row r="67" spans="2:3">
      <c r="B67" s="78">
        <v>8812288319</v>
      </c>
      <c r="C67" s="42" t="s">
        <v>16</v>
      </c>
    </row>
    <row r="68" spans="2:3">
      <c r="B68" s="78">
        <v>8812288320</v>
      </c>
      <c r="C68" s="42" t="s">
        <v>16</v>
      </c>
    </row>
    <row r="69" spans="2:3">
      <c r="B69" s="78">
        <v>8812288321</v>
      </c>
      <c r="C69" s="42" t="s">
        <v>16</v>
      </c>
    </row>
    <row r="70" spans="2:3">
      <c r="B70" s="78">
        <v>8812288322</v>
      </c>
      <c r="C70" s="42" t="s">
        <v>16</v>
      </c>
    </row>
    <row r="71" spans="2:3">
      <c r="B71" s="81">
        <v>8812288323</v>
      </c>
      <c r="C71" s="42" t="s">
        <v>16</v>
      </c>
    </row>
    <row r="72" spans="2:3">
      <c r="B72" s="78">
        <v>8812288324</v>
      </c>
      <c r="C72" s="42" t="s">
        <v>16</v>
      </c>
    </row>
    <row r="73" spans="2:3">
      <c r="B73" s="78">
        <v>8812288325</v>
      </c>
      <c r="C73" s="42" t="s">
        <v>16</v>
      </c>
    </row>
    <row r="74" spans="2:3">
      <c r="B74" s="78">
        <v>8812288326</v>
      </c>
      <c r="C74" s="42" t="s">
        <v>16</v>
      </c>
    </row>
    <row r="75" spans="2:3">
      <c r="B75" s="78">
        <v>8812288327</v>
      </c>
      <c r="C75" s="42" t="s">
        <v>16</v>
      </c>
    </row>
    <row r="76" spans="2:3">
      <c r="B76" s="78">
        <v>8812288328</v>
      </c>
      <c r="C76" s="42" t="s">
        <v>16</v>
      </c>
    </row>
    <row r="77" spans="2:3">
      <c r="B77" s="78">
        <v>8812288329</v>
      </c>
      <c r="C77" s="42" t="s">
        <v>16</v>
      </c>
    </row>
    <row r="78" spans="2:3">
      <c r="B78" s="78">
        <v>8812288330</v>
      </c>
      <c r="C78" s="42" t="s">
        <v>16</v>
      </c>
    </row>
    <row r="79" spans="2:3">
      <c r="B79" s="78">
        <v>8812288331</v>
      </c>
      <c r="C79" s="42" t="s">
        <v>16</v>
      </c>
    </row>
    <row r="80" spans="2:3">
      <c r="B80" s="78">
        <v>8812288332</v>
      </c>
      <c r="C80" s="42" t="s">
        <v>16</v>
      </c>
    </row>
    <row r="81" spans="2:3">
      <c r="B81" s="78">
        <v>8812288333</v>
      </c>
      <c r="C81" s="42" t="s">
        <v>16</v>
      </c>
    </row>
    <row r="82" spans="2:3">
      <c r="B82" s="78">
        <v>8812288334</v>
      </c>
      <c r="C82" s="42" t="s">
        <v>16</v>
      </c>
    </row>
    <row r="83" spans="2:3">
      <c r="B83" s="78">
        <v>8812288335</v>
      </c>
      <c r="C83" s="42" t="s">
        <v>16</v>
      </c>
    </row>
    <row r="84" spans="2:3">
      <c r="B84" s="78">
        <v>8812288336</v>
      </c>
      <c r="C84" s="42" t="s">
        <v>16</v>
      </c>
    </row>
    <row r="85" spans="2:3">
      <c r="B85" s="78">
        <v>8812288337</v>
      </c>
      <c r="C85" s="42" t="s">
        <v>16</v>
      </c>
    </row>
    <row r="86" spans="2:3">
      <c r="B86" s="78">
        <v>8812288338</v>
      </c>
      <c r="C86" s="42" t="s">
        <v>16</v>
      </c>
    </row>
    <row r="87" spans="2:3">
      <c r="B87" s="78">
        <v>8812288339</v>
      </c>
      <c r="C87" s="43" t="s">
        <v>17</v>
      </c>
    </row>
    <row r="88" spans="2:3">
      <c r="B88" s="78">
        <v>8812288340</v>
      </c>
      <c r="C88" s="43" t="s">
        <v>17</v>
      </c>
    </row>
    <row r="89" spans="2:3">
      <c r="B89" s="78">
        <v>8812288341</v>
      </c>
      <c r="C89" s="43" t="s">
        <v>17</v>
      </c>
    </row>
    <row r="90" spans="2:3">
      <c r="B90" s="78">
        <v>8812288342</v>
      </c>
      <c r="C90" s="43" t="s">
        <v>17</v>
      </c>
    </row>
    <row r="91" spans="2:3">
      <c r="B91" s="78">
        <v>8812288343</v>
      </c>
      <c r="C91" s="43" t="s">
        <v>17</v>
      </c>
    </row>
    <row r="92" spans="2:3">
      <c r="B92" s="78">
        <v>8812288344</v>
      </c>
      <c r="C92" s="43" t="s">
        <v>17</v>
      </c>
    </row>
    <row r="93" spans="2:3">
      <c r="B93" s="78">
        <v>8812288345</v>
      </c>
      <c r="C93" s="43" t="s">
        <v>17</v>
      </c>
    </row>
    <row r="94" spans="2:3">
      <c r="B94" s="84">
        <v>8812288346</v>
      </c>
      <c r="C94" s="43" t="s">
        <v>17</v>
      </c>
    </row>
    <row r="95" spans="2:3">
      <c r="B95" s="78">
        <v>8818188299</v>
      </c>
      <c r="C95" s="43" t="s">
        <v>17</v>
      </c>
    </row>
    <row r="96" spans="2:3">
      <c r="B96" s="78">
        <v>8818188300</v>
      </c>
      <c r="C96" s="43" t="s">
        <v>17</v>
      </c>
    </row>
    <row r="97" spans="2:3">
      <c r="B97" s="78">
        <v>8818188301</v>
      </c>
      <c r="C97" s="43" t="s">
        <v>17</v>
      </c>
    </row>
    <row r="98" spans="2:3">
      <c r="B98" s="78">
        <v>8818188302</v>
      </c>
      <c r="C98" s="43" t="s">
        <v>17</v>
      </c>
    </row>
    <row r="99" spans="2:3">
      <c r="B99" s="78">
        <v>8818188303</v>
      </c>
      <c r="C99" s="43" t="s">
        <v>17</v>
      </c>
    </row>
    <row r="100" spans="2:3">
      <c r="B100" s="78">
        <v>8818188304</v>
      </c>
      <c r="C100" s="43" t="s">
        <v>17</v>
      </c>
    </row>
    <row r="101" spans="2:3">
      <c r="B101" s="78">
        <v>8818188305</v>
      </c>
      <c r="C101" s="43" t="s">
        <v>17</v>
      </c>
    </row>
    <row r="102" spans="2:3">
      <c r="B102" s="78">
        <v>8818188306</v>
      </c>
      <c r="C102" s="43" t="s">
        <v>17</v>
      </c>
    </row>
    <row r="103" spans="2:3">
      <c r="B103" s="78">
        <v>8818188307</v>
      </c>
      <c r="C103" s="43" t="s">
        <v>17</v>
      </c>
    </row>
    <row r="104" spans="2:3">
      <c r="B104" s="78">
        <v>8818188308</v>
      </c>
      <c r="C104" s="40" t="s">
        <v>16</v>
      </c>
    </row>
    <row r="105" spans="2:3">
      <c r="B105" s="78">
        <v>8818188309</v>
      </c>
      <c r="C105" s="40" t="s">
        <v>16</v>
      </c>
    </row>
    <row r="106" spans="2:3">
      <c r="B106" s="78">
        <v>8818188310</v>
      </c>
      <c r="C106" s="40" t="s">
        <v>16</v>
      </c>
    </row>
    <row r="107" spans="2:3">
      <c r="B107" s="88">
        <v>8812288355</v>
      </c>
      <c r="C107" s="47" t="s">
        <v>16</v>
      </c>
    </row>
    <row r="108" spans="2:3">
      <c r="B108" s="88">
        <v>8812288356</v>
      </c>
      <c r="C108" s="47" t="s">
        <v>16</v>
      </c>
    </row>
    <row r="109" spans="2:3">
      <c r="B109" s="88">
        <v>8812288357</v>
      </c>
      <c r="C109" s="47" t="s">
        <v>16</v>
      </c>
    </row>
    <row r="110" spans="2:3">
      <c r="B110" s="88">
        <v>8812288358</v>
      </c>
      <c r="C110" s="47" t="s">
        <v>16</v>
      </c>
    </row>
    <row r="111" spans="2:3">
      <c r="B111" s="88">
        <v>8812288359</v>
      </c>
      <c r="C111" s="47" t="s">
        <v>16</v>
      </c>
    </row>
    <row r="112" spans="2:3">
      <c r="B112" s="88">
        <v>8812288360</v>
      </c>
      <c r="C112" s="47" t="s">
        <v>16</v>
      </c>
    </row>
    <row r="113" spans="2:3">
      <c r="B113" s="88">
        <v>8812288361</v>
      </c>
      <c r="C113" s="47" t="s">
        <v>16</v>
      </c>
    </row>
    <row r="114" spans="2:3">
      <c r="B114" s="88">
        <v>8812288362</v>
      </c>
      <c r="C114" s="47" t="s">
        <v>16</v>
      </c>
    </row>
    <row r="115" spans="2:3">
      <c r="B115" s="88">
        <v>8812288363</v>
      </c>
      <c r="C115" s="47" t="s">
        <v>16</v>
      </c>
    </row>
    <row r="116" spans="2:3">
      <c r="B116" s="88">
        <v>8812288364</v>
      </c>
      <c r="C116" s="47" t="s">
        <v>16</v>
      </c>
    </row>
    <row r="117" spans="2:3">
      <c r="B117" s="88">
        <v>8812288365</v>
      </c>
      <c r="C117" s="47" t="s">
        <v>16</v>
      </c>
    </row>
    <row r="118" spans="2:3">
      <c r="B118" s="88">
        <v>8812288366</v>
      </c>
      <c r="C118" s="47" t="s">
        <v>16</v>
      </c>
    </row>
    <row r="119" spans="2:3">
      <c r="B119" s="88">
        <v>8812288367</v>
      </c>
      <c r="C119" s="47" t="s">
        <v>16</v>
      </c>
    </row>
    <row r="120" spans="2:3">
      <c r="B120" s="88">
        <v>8812288368</v>
      </c>
      <c r="C120" s="47" t="s">
        <v>16</v>
      </c>
    </row>
    <row r="121" spans="2:3">
      <c r="B121" s="88">
        <v>8812288369</v>
      </c>
      <c r="C121" s="47" t="s">
        <v>17</v>
      </c>
    </row>
    <row r="122" spans="2:3">
      <c r="B122" s="88">
        <v>8812288370</v>
      </c>
      <c r="C122" s="47" t="s">
        <v>16</v>
      </c>
    </row>
    <row r="123" spans="2:3">
      <c r="B123" s="88">
        <v>8812288371</v>
      </c>
      <c r="C123" s="49" t="s">
        <v>16</v>
      </c>
    </row>
    <row r="124" spans="2:3">
      <c r="B124" s="88">
        <v>8812288372</v>
      </c>
      <c r="C124" s="49" t="s">
        <v>16</v>
      </c>
    </row>
    <row r="125" spans="2:3">
      <c r="B125" s="88">
        <v>8812288373</v>
      </c>
      <c r="C125" s="47" t="s">
        <v>16</v>
      </c>
    </row>
    <row r="126" spans="2:3">
      <c r="B126" s="88">
        <v>8812288374</v>
      </c>
      <c r="C126" s="47" t="s">
        <v>16</v>
      </c>
    </row>
    <row r="127" spans="2:3">
      <c r="B127" s="88">
        <v>8812288375</v>
      </c>
      <c r="C127" s="47" t="s">
        <v>16</v>
      </c>
    </row>
    <row r="128" spans="2:3">
      <c r="B128" s="88">
        <v>8812288376</v>
      </c>
      <c r="C128" s="47" t="s">
        <v>16</v>
      </c>
    </row>
    <row r="129" spans="2:3">
      <c r="B129" s="88">
        <v>8812288377</v>
      </c>
      <c r="C129" s="47" t="s">
        <v>17</v>
      </c>
    </row>
    <row r="130" spans="2:3">
      <c r="B130" s="88">
        <v>8812288378</v>
      </c>
      <c r="C130" s="47" t="s">
        <v>17</v>
      </c>
    </row>
    <row r="131" spans="2:3">
      <c r="B131" s="88">
        <v>8818188929</v>
      </c>
      <c r="C131" s="47" t="s">
        <v>17</v>
      </c>
    </row>
    <row r="132" spans="2:3">
      <c r="B132" s="88">
        <v>8818188930</v>
      </c>
      <c r="C132" s="47" t="s">
        <v>17</v>
      </c>
    </row>
    <row r="133" spans="2:3">
      <c r="B133" s="88">
        <v>8818188931</v>
      </c>
      <c r="C133" s="47" t="s">
        <v>17</v>
      </c>
    </row>
    <row r="134" spans="2:3">
      <c r="B134" s="88">
        <v>8818188932</v>
      </c>
      <c r="C134" s="47" t="s">
        <v>17</v>
      </c>
    </row>
    <row r="135" spans="2:3">
      <c r="B135" s="88">
        <v>8818188942</v>
      </c>
      <c r="C135" s="47" t="s">
        <v>17</v>
      </c>
    </row>
    <row r="136" spans="2:3">
      <c r="B136" s="88">
        <v>8818188933</v>
      </c>
      <c r="C136" s="47" t="s">
        <v>17</v>
      </c>
    </row>
    <row r="137" spans="2:3">
      <c r="B137" s="88">
        <v>8818188934</v>
      </c>
      <c r="C137" s="47" t="s">
        <v>17</v>
      </c>
    </row>
    <row r="138" spans="2:3">
      <c r="B138" s="88">
        <v>8818188935</v>
      </c>
      <c r="C138" s="47" t="s">
        <v>17</v>
      </c>
    </row>
    <row r="139" spans="2:3">
      <c r="B139" s="88">
        <v>8818188936</v>
      </c>
      <c r="C139" s="47" t="s">
        <v>17</v>
      </c>
    </row>
    <row r="140" spans="2:3">
      <c r="B140" s="88">
        <v>8812288380</v>
      </c>
      <c r="C140" s="47" t="s">
        <v>16</v>
      </c>
    </row>
    <row r="141" spans="2:3">
      <c r="B141" s="88">
        <v>8812288381</v>
      </c>
      <c r="C141" s="47" t="s">
        <v>16</v>
      </c>
    </row>
    <row r="142" spans="2:3">
      <c r="B142" s="88">
        <v>8812288382</v>
      </c>
      <c r="C142" s="47" t="s">
        <v>16</v>
      </c>
    </row>
    <row r="143" spans="2:3">
      <c r="B143" s="88">
        <v>8812288383</v>
      </c>
      <c r="C143" s="47" t="s">
        <v>16</v>
      </c>
    </row>
    <row r="144" spans="2:3">
      <c r="B144" s="88">
        <v>8812288384</v>
      </c>
      <c r="C144" s="47" t="s">
        <v>16</v>
      </c>
    </row>
    <row r="145" spans="2:3">
      <c r="B145" s="88">
        <v>8812288385</v>
      </c>
      <c r="C145" s="47" t="s">
        <v>16</v>
      </c>
    </row>
    <row r="146" spans="2:3">
      <c r="B146" s="88">
        <v>8812288386</v>
      </c>
      <c r="C146" s="47" t="s">
        <v>16</v>
      </c>
    </row>
    <row r="147" spans="2:3">
      <c r="B147" s="88">
        <v>8812288387</v>
      </c>
      <c r="C147" s="47" t="s">
        <v>16</v>
      </c>
    </row>
    <row r="148" spans="2:3">
      <c r="B148" s="88">
        <v>8812288388</v>
      </c>
      <c r="C148" s="47" t="s">
        <v>16</v>
      </c>
    </row>
    <row r="149" spans="2:3">
      <c r="B149" s="88">
        <v>8812288389</v>
      </c>
      <c r="C149" s="47" t="s">
        <v>16</v>
      </c>
    </row>
    <row r="150" spans="2:3">
      <c r="B150" s="88">
        <v>8812288390</v>
      </c>
      <c r="C150" s="47" t="s">
        <v>16</v>
      </c>
    </row>
    <row r="151" spans="2:3">
      <c r="B151" s="88">
        <v>8812288391</v>
      </c>
      <c r="C151" s="47" t="s">
        <v>16</v>
      </c>
    </row>
    <row r="152" spans="2:3">
      <c r="B152" s="88">
        <v>8812288392</v>
      </c>
      <c r="C152" s="47" t="s">
        <v>16</v>
      </c>
    </row>
    <row r="153" spans="2:3">
      <c r="B153" s="88">
        <v>8812288393</v>
      </c>
      <c r="C153" s="47" t="s">
        <v>16</v>
      </c>
    </row>
    <row r="154" spans="2:3">
      <c r="B154" s="88">
        <v>8812288394</v>
      </c>
      <c r="C154" s="47" t="s">
        <v>16</v>
      </c>
    </row>
    <row r="155" spans="2:3">
      <c r="B155" s="88">
        <v>8812288395</v>
      </c>
      <c r="C155" s="47" t="s">
        <v>16</v>
      </c>
    </row>
    <row r="156" spans="2:3">
      <c r="B156" s="88">
        <v>8812288396</v>
      </c>
      <c r="C156" s="47" t="s">
        <v>16</v>
      </c>
    </row>
    <row r="157" spans="2:3">
      <c r="B157" s="88">
        <v>8812288397</v>
      </c>
      <c r="C157" s="47" t="s">
        <v>16</v>
      </c>
    </row>
    <row r="158" spans="2:3">
      <c r="B158" s="88">
        <v>8812288398</v>
      </c>
      <c r="C158" s="47" t="s">
        <v>16</v>
      </c>
    </row>
    <row r="159" spans="2:3">
      <c r="B159" s="88">
        <v>8812288399</v>
      </c>
      <c r="C159" s="47" t="s">
        <v>16</v>
      </c>
    </row>
    <row r="160" spans="2:3">
      <c r="B160" s="88">
        <v>8812288400</v>
      </c>
      <c r="C160" s="47" t="s">
        <v>16</v>
      </c>
    </row>
    <row r="161" spans="2:3">
      <c r="B161" s="88">
        <v>8812288401</v>
      </c>
      <c r="C161" s="47" t="s">
        <v>16</v>
      </c>
    </row>
    <row r="162" spans="2:3">
      <c r="B162" s="90">
        <v>8818188174</v>
      </c>
      <c r="C162" s="52" t="s">
        <v>16</v>
      </c>
    </row>
    <row r="163" spans="2:3">
      <c r="B163" s="90">
        <v>8818188175</v>
      </c>
      <c r="C163" s="52" t="s">
        <v>16</v>
      </c>
    </row>
    <row r="164" spans="2:3">
      <c r="B164" s="90">
        <v>8818188176</v>
      </c>
      <c r="C164" s="52" t="s">
        <v>16</v>
      </c>
    </row>
    <row r="165" spans="2:3">
      <c r="B165" s="90">
        <v>8818188177</v>
      </c>
      <c r="C165" s="52" t="s">
        <v>16</v>
      </c>
    </row>
    <row r="166" spans="2:3">
      <c r="B166" s="90">
        <v>8818188178</v>
      </c>
      <c r="C166" s="52" t="s">
        <v>16</v>
      </c>
    </row>
    <row r="167" spans="2:3">
      <c r="B167" s="90">
        <v>8818188179</v>
      </c>
      <c r="C167" s="52" t="s">
        <v>16</v>
      </c>
    </row>
    <row r="168" spans="2:3">
      <c r="B168" s="90">
        <v>8818188180</v>
      </c>
      <c r="C168" s="52" t="s">
        <v>16</v>
      </c>
    </row>
    <row r="169" spans="2:3">
      <c r="B169" s="90">
        <v>8818188181</v>
      </c>
      <c r="C169" s="52" t="s">
        <v>16</v>
      </c>
    </row>
    <row r="170" spans="2:3">
      <c r="B170" s="90">
        <v>8818188182</v>
      </c>
      <c r="C170" s="52" t="s">
        <v>16</v>
      </c>
    </row>
    <row r="171" spans="2:3">
      <c r="B171" s="90">
        <v>8818188183</v>
      </c>
      <c r="C171" s="52" t="s">
        <v>16</v>
      </c>
    </row>
    <row r="172" spans="2:3">
      <c r="B172" s="90">
        <v>8818188184</v>
      </c>
      <c r="C172" s="52" t="s">
        <v>16</v>
      </c>
    </row>
    <row r="173" spans="2:3">
      <c r="B173" s="90">
        <v>8818188185</v>
      </c>
      <c r="C173" s="52" t="s">
        <v>16</v>
      </c>
    </row>
    <row r="174" spans="2:3">
      <c r="B174" s="90">
        <v>8818188186</v>
      </c>
      <c r="C174" s="52" t="s">
        <v>16</v>
      </c>
    </row>
    <row r="175" spans="2:3">
      <c r="B175" s="90">
        <v>8818188187</v>
      </c>
      <c r="C175" s="52" t="s">
        <v>16</v>
      </c>
    </row>
    <row r="176" spans="2:3">
      <c r="B176" s="90">
        <v>8818188188</v>
      </c>
      <c r="C176" s="52" t="s">
        <v>16</v>
      </c>
    </row>
    <row r="177" spans="2:3">
      <c r="B177" s="90">
        <v>8818188189</v>
      </c>
      <c r="C177" s="52" t="s">
        <v>16</v>
      </c>
    </row>
    <row r="178" spans="2:3">
      <c r="B178" s="90">
        <v>8818188190</v>
      </c>
      <c r="C178" s="52" t="s">
        <v>16</v>
      </c>
    </row>
    <row r="179" spans="2:3">
      <c r="B179" s="90">
        <v>8818188191</v>
      </c>
      <c r="C179" s="52" t="s">
        <v>16</v>
      </c>
    </row>
    <row r="180" spans="2:3">
      <c r="B180" s="90">
        <v>8818188192</v>
      </c>
      <c r="C180" s="52" t="s">
        <v>16</v>
      </c>
    </row>
    <row r="181" spans="2:3">
      <c r="B181" s="90">
        <v>8818188193</v>
      </c>
      <c r="C181" s="52" t="s">
        <v>16</v>
      </c>
    </row>
    <row r="182" spans="2:3">
      <c r="B182" s="90">
        <v>8818188194</v>
      </c>
      <c r="C182" s="52" t="s">
        <v>16</v>
      </c>
    </row>
    <row r="183" spans="2:3">
      <c r="B183" s="90">
        <v>8818188195</v>
      </c>
      <c r="C183" s="52" t="s">
        <v>16</v>
      </c>
    </row>
    <row r="184" spans="2:3">
      <c r="B184" s="90">
        <v>8818188196</v>
      </c>
      <c r="C184" s="52" t="s">
        <v>16</v>
      </c>
    </row>
    <row r="185" spans="2:3">
      <c r="B185" s="90">
        <v>8818188197</v>
      </c>
      <c r="C185" s="52" t="s">
        <v>16</v>
      </c>
    </row>
    <row r="186" spans="2:3">
      <c r="B186" s="90">
        <v>8818188198</v>
      </c>
      <c r="C186" s="52" t="s">
        <v>16</v>
      </c>
    </row>
    <row r="187" spans="2:3">
      <c r="B187" s="90">
        <v>8818188199</v>
      </c>
      <c r="C187" s="52" t="s">
        <v>16</v>
      </c>
    </row>
    <row r="188" spans="2:3">
      <c r="B188" s="90">
        <v>8818188200</v>
      </c>
      <c r="C188" s="52" t="s">
        <v>16</v>
      </c>
    </row>
    <row r="189" spans="2:3">
      <c r="B189" s="90">
        <v>8818188201</v>
      </c>
      <c r="C189" s="52" t="s">
        <v>16</v>
      </c>
    </row>
    <row r="190" spans="2:3">
      <c r="B190" s="90">
        <v>8818188202</v>
      </c>
      <c r="C190" s="52" t="s">
        <v>16</v>
      </c>
    </row>
    <row r="191" spans="2:3">
      <c r="B191" s="90">
        <v>8818188203</v>
      </c>
      <c r="C191" s="52" t="s">
        <v>16</v>
      </c>
    </row>
    <row r="192" spans="2:3">
      <c r="B192" s="90">
        <v>8818188204</v>
      </c>
      <c r="C192" s="52" t="s">
        <v>16</v>
      </c>
    </row>
    <row r="193" spans="2:3">
      <c r="B193" s="90">
        <v>8818188205</v>
      </c>
      <c r="C193" s="52" t="s">
        <v>16</v>
      </c>
    </row>
    <row r="194" spans="2:3">
      <c r="B194" s="90">
        <v>8818188206</v>
      </c>
      <c r="C194" s="52" t="s">
        <v>16</v>
      </c>
    </row>
    <row r="195" spans="2:3">
      <c r="B195" s="90">
        <v>8818188207</v>
      </c>
      <c r="C195" s="52" t="s">
        <v>16</v>
      </c>
    </row>
    <row r="196" spans="2:3">
      <c r="B196" s="90">
        <v>8818188208</v>
      </c>
      <c r="C196" s="52" t="s">
        <v>16</v>
      </c>
    </row>
    <row r="197" spans="2:3">
      <c r="B197" s="90">
        <v>8818188209</v>
      </c>
      <c r="C197" s="52" t="s">
        <v>16</v>
      </c>
    </row>
    <row r="198" spans="2:3">
      <c r="B198" s="90">
        <v>8818188210</v>
      </c>
      <c r="C198" s="52" t="s">
        <v>16</v>
      </c>
    </row>
    <row r="199" spans="2:3">
      <c r="B199" s="90">
        <v>8818188211</v>
      </c>
      <c r="C199" s="52" t="s">
        <v>16</v>
      </c>
    </row>
    <row r="200" spans="2:3">
      <c r="B200" s="90">
        <v>8818188212</v>
      </c>
      <c r="C200" s="52" t="s">
        <v>16</v>
      </c>
    </row>
    <row r="201" spans="2:3">
      <c r="B201" s="90">
        <v>8818188213</v>
      </c>
      <c r="C201" s="52" t="s">
        <v>16</v>
      </c>
    </row>
    <row r="202" spans="2:3">
      <c r="B202" s="90">
        <v>8818188214</v>
      </c>
      <c r="C202" s="52" t="s">
        <v>16</v>
      </c>
    </row>
    <row r="203" spans="2:3">
      <c r="B203" s="90">
        <v>8818188215</v>
      </c>
      <c r="C203" s="52" t="s">
        <v>16</v>
      </c>
    </row>
    <row r="204" spans="2:3">
      <c r="B204" s="90">
        <v>8818188216</v>
      </c>
      <c r="C204" s="52" t="s">
        <v>16</v>
      </c>
    </row>
    <row r="205" spans="2:3">
      <c r="B205" s="90">
        <v>8818188217</v>
      </c>
      <c r="C205" s="52" t="s">
        <v>16</v>
      </c>
    </row>
    <row r="206" spans="2:3">
      <c r="B206" s="90">
        <v>8818188218</v>
      </c>
      <c r="C206" s="52" t="s">
        <v>16</v>
      </c>
    </row>
    <row r="207" spans="2:3">
      <c r="B207" s="90">
        <v>8818188219</v>
      </c>
      <c r="C207" s="52" t="s">
        <v>16</v>
      </c>
    </row>
    <row r="208" spans="2:3">
      <c r="B208" s="90">
        <v>8818188220</v>
      </c>
      <c r="C208" s="52" t="s">
        <v>16</v>
      </c>
    </row>
    <row r="209" spans="2:3">
      <c r="B209" s="90">
        <v>8818188221</v>
      </c>
      <c r="C209" s="52" t="s">
        <v>16</v>
      </c>
    </row>
    <row r="210" spans="2:3">
      <c r="B210" s="90">
        <v>8818188222</v>
      </c>
      <c r="C210" s="52" t="s">
        <v>16</v>
      </c>
    </row>
    <row r="211" spans="2:3">
      <c r="B211" s="90">
        <v>8818188223</v>
      </c>
      <c r="C211" s="52" t="s">
        <v>16</v>
      </c>
    </row>
    <row r="212" spans="2:3">
      <c r="B212" s="90">
        <v>8818188224</v>
      </c>
      <c r="C212" s="52" t="s">
        <v>16</v>
      </c>
    </row>
    <row r="213" spans="2:3">
      <c r="B213" s="90">
        <v>8818188225</v>
      </c>
      <c r="C213" s="52" t="s">
        <v>16</v>
      </c>
    </row>
    <row r="214" spans="2:3">
      <c r="B214" s="90">
        <v>8818188226</v>
      </c>
      <c r="C214" s="52" t="s">
        <v>16</v>
      </c>
    </row>
    <row r="215" spans="2:3">
      <c r="B215" s="90">
        <v>8818188227</v>
      </c>
      <c r="C215" s="52" t="s">
        <v>16</v>
      </c>
    </row>
    <row r="216" spans="2:3">
      <c r="B216" s="90">
        <v>8818188228</v>
      </c>
      <c r="C216" s="52" t="s">
        <v>16</v>
      </c>
    </row>
    <row r="217" spans="2:3">
      <c r="B217" s="90">
        <v>8818188229</v>
      </c>
      <c r="C217" s="52" t="s">
        <v>16</v>
      </c>
    </row>
    <row r="218" spans="2:3">
      <c r="B218" s="90">
        <v>8818188230</v>
      </c>
      <c r="C218" s="52" t="s">
        <v>16</v>
      </c>
    </row>
    <row r="219" spans="2:3">
      <c r="B219" s="90">
        <v>8818188231</v>
      </c>
      <c r="C219" s="52" t="s">
        <v>16</v>
      </c>
    </row>
    <row r="220" spans="2:3">
      <c r="B220" s="90">
        <v>8818188232</v>
      </c>
      <c r="C220" s="52" t="s">
        <v>16</v>
      </c>
    </row>
    <row r="221" spans="2:3">
      <c r="B221" s="90">
        <v>8818188233</v>
      </c>
      <c r="C221" s="52" t="s">
        <v>16</v>
      </c>
    </row>
    <row r="222" spans="2:3">
      <c r="B222" s="90">
        <v>8818188234</v>
      </c>
      <c r="C222" s="53" t="s">
        <v>16</v>
      </c>
    </row>
    <row r="223" spans="2:3">
      <c r="B223" s="90">
        <v>8818188235</v>
      </c>
      <c r="C223" s="53" t="s">
        <v>16</v>
      </c>
    </row>
    <row r="224" spans="2:3">
      <c r="B224" s="90">
        <v>8818188236</v>
      </c>
      <c r="C224" s="52" t="s">
        <v>16</v>
      </c>
    </row>
    <row r="225" spans="2:3">
      <c r="B225" s="90">
        <v>8818188237</v>
      </c>
      <c r="C225" s="52" t="s">
        <v>16</v>
      </c>
    </row>
    <row r="226" spans="2:3">
      <c r="B226" s="90">
        <v>8818188238</v>
      </c>
      <c r="C226" s="52" t="s">
        <v>16</v>
      </c>
    </row>
    <row r="227" spans="2:3">
      <c r="B227" s="90">
        <v>8818188239</v>
      </c>
      <c r="C227" s="52" t="s">
        <v>16</v>
      </c>
    </row>
    <row r="228" spans="2:3">
      <c r="B228" s="90">
        <v>8818188240</v>
      </c>
      <c r="C228" s="52" t="s">
        <v>16</v>
      </c>
    </row>
    <row r="229" spans="2:3">
      <c r="B229" s="90">
        <v>8818188241</v>
      </c>
      <c r="C229" s="52" t="s">
        <v>16</v>
      </c>
    </row>
    <row r="230" spans="2:3">
      <c r="B230" s="90">
        <v>8818188242</v>
      </c>
      <c r="C230" s="52" t="s">
        <v>16</v>
      </c>
    </row>
    <row r="231" spans="2:3">
      <c r="B231" s="90">
        <v>8818188243</v>
      </c>
      <c r="C231" s="52" t="s">
        <v>16</v>
      </c>
    </row>
    <row r="232" spans="2:3">
      <c r="B232" s="90">
        <v>8818188244</v>
      </c>
      <c r="C232" s="52" t="s">
        <v>16</v>
      </c>
    </row>
    <row r="233" spans="2:3">
      <c r="B233" s="90">
        <v>8818188245</v>
      </c>
      <c r="C233" s="52" t="s">
        <v>16</v>
      </c>
    </row>
    <row r="234" spans="2:3">
      <c r="B234" s="90">
        <v>8818188246</v>
      </c>
      <c r="C234" s="52" t="s">
        <v>16</v>
      </c>
    </row>
    <row r="235" spans="2:3">
      <c r="B235" s="90">
        <v>8818188247</v>
      </c>
      <c r="C235" s="52" t="s">
        <v>16</v>
      </c>
    </row>
    <row r="236" spans="2:3">
      <c r="B236" s="90">
        <v>8818188248</v>
      </c>
      <c r="C236" s="52" t="s">
        <v>16</v>
      </c>
    </row>
    <row r="237" spans="2:3">
      <c r="B237" s="90">
        <v>8818188249</v>
      </c>
      <c r="C237" s="52" t="s">
        <v>16</v>
      </c>
    </row>
    <row r="238" spans="2:3">
      <c r="B238" s="90">
        <v>8818188250</v>
      </c>
      <c r="C238" s="52" t="s">
        <v>16</v>
      </c>
    </row>
    <row r="239" spans="2:3">
      <c r="B239" s="90">
        <v>8818188251</v>
      </c>
      <c r="C239" s="52" t="s">
        <v>16</v>
      </c>
    </row>
    <row r="240" spans="2:3">
      <c r="B240" s="90">
        <v>8818188252</v>
      </c>
      <c r="C240" s="52" t="s">
        <v>16</v>
      </c>
    </row>
    <row r="241" spans="2:3">
      <c r="B241" s="90">
        <v>8818188253</v>
      </c>
      <c r="C241" s="52" t="s">
        <v>16</v>
      </c>
    </row>
    <row r="242" spans="2:3">
      <c r="B242" s="90">
        <v>8818188254</v>
      </c>
      <c r="C242" s="52" t="s">
        <v>16</v>
      </c>
    </row>
    <row r="243" spans="2:3">
      <c r="B243" s="90">
        <v>8818188255</v>
      </c>
      <c r="C243" s="52" t="s">
        <v>16</v>
      </c>
    </row>
    <row r="244" spans="2:3">
      <c r="B244" s="90">
        <v>8818188256</v>
      </c>
      <c r="C244" s="52" t="s">
        <v>16</v>
      </c>
    </row>
    <row r="245" spans="2:3">
      <c r="B245" s="90">
        <v>8818188257</v>
      </c>
      <c r="C245" s="52" t="s">
        <v>16</v>
      </c>
    </row>
    <row r="246" spans="2:3">
      <c r="B246" s="90">
        <v>8818188258</v>
      </c>
      <c r="C246" s="52" t="s">
        <v>16</v>
      </c>
    </row>
    <row r="247" spans="2:3">
      <c r="B247" s="90">
        <v>8818188259</v>
      </c>
      <c r="C247" s="52" t="s">
        <v>16</v>
      </c>
    </row>
    <row r="248" spans="2:3">
      <c r="B248" s="90">
        <v>8818188260</v>
      </c>
      <c r="C248" s="52" t="s">
        <v>16</v>
      </c>
    </row>
    <row r="249" spans="2:3">
      <c r="B249" s="90">
        <v>8818188261</v>
      </c>
      <c r="C249" s="52" t="s">
        <v>16</v>
      </c>
    </row>
    <row r="250" spans="2:3">
      <c r="B250" s="90">
        <v>8818188262</v>
      </c>
      <c r="C250" s="52" t="s">
        <v>16</v>
      </c>
    </row>
    <row r="251" spans="2:3">
      <c r="B251" s="90">
        <v>8818188263</v>
      </c>
      <c r="C251" s="52" t="s">
        <v>16</v>
      </c>
    </row>
    <row r="252" spans="2:3">
      <c r="B252" s="90">
        <v>8818188264</v>
      </c>
      <c r="C252" s="52" t="s">
        <v>16</v>
      </c>
    </row>
    <row r="253" spans="2:3">
      <c r="B253" s="90">
        <v>8818188265</v>
      </c>
      <c r="C253" s="52" t="s">
        <v>16</v>
      </c>
    </row>
    <row r="254" spans="2:3">
      <c r="B254" s="90">
        <v>8818188266</v>
      </c>
      <c r="C254" s="52" t="s">
        <v>16</v>
      </c>
    </row>
    <row r="255" spans="2:3">
      <c r="B255" s="90">
        <v>8818188267</v>
      </c>
      <c r="C255" s="52" t="s">
        <v>16</v>
      </c>
    </row>
    <row r="256" spans="2:3">
      <c r="B256" s="90">
        <v>8818188268</v>
      </c>
      <c r="C256" s="52" t="s">
        <v>16</v>
      </c>
    </row>
    <row r="257" spans="2:3">
      <c r="B257" s="90">
        <v>8818188269</v>
      </c>
      <c r="C257" s="52" t="s">
        <v>16</v>
      </c>
    </row>
    <row r="258" spans="2:3">
      <c r="B258" s="90">
        <v>8818188270</v>
      </c>
      <c r="C258" s="52" t="s">
        <v>16</v>
      </c>
    </row>
    <row r="259" spans="2:3">
      <c r="B259" s="90">
        <v>8818188271</v>
      </c>
      <c r="C259" s="52" t="s">
        <v>16</v>
      </c>
    </row>
    <row r="260" spans="2:3">
      <c r="B260" s="90">
        <v>8818188272</v>
      </c>
      <c r="C260" s="52" t="s">
        <v>16</v>
      </c>
    </row>
    <row r="261" spans="2:3">
      <c r="B261" s="90">
        <v>8818188273</v>
      </c>
      <c r="C261" s="52" t="s">
        <v>16</v>
      </c>
    </row>
    <row r="262" spans="2:3">
      <c r="B262" s="90">
        <v>8818188274</v>
      </c>
      <c r="C262" s="52" t="s">
        <v>16</v>
      </c>
    </row>
    <row r="263" spans="2:3">
      <c r="B263" s="90">
        <v>8818188275</v>
      </c>
      <c r="C263" s="52" t="s">
        <v>16</v>
      </c>
    </row>
    <row r="264" spans="2:3">
      <c r="B264" s="90">
        <v>8818188276</v>
      </c>
      <c r="C264" s="52" t="s">
        <v>16</v>
      </c>
    </row>
    <row r="265" spans="2:3">
      <c r="B265" s="90">
        <v>8818188277</v>
      </c>
      <c r="C265" s="52" t="s">
        <v>16</v>
      </c>
    </row>
    <row r="266" spans="2:3">
      <c r="B266" s="90">
        <v>8818188278</v>
      </c>
      <c r="C266" s="52" t="s">
        <v>16</v>
      </c>
    </row>
    <row r="267" spans="2:3">
      <c r="B267" s="90">
        <v>8818188279</v>
      </c>
      <c r="C267" s="52" t="s">
        <v>16</v>
      </c>
    </row>
    <row r="268" spans="2:3">
      <c r="B268" s="90">
        <v>8818188280</v>
      </c>
      <c r="C268" s="52" t="s">
        <v>16</v>
      </c>
    </row>
    <row r="269" spans="2:3">
      <c r="B269" s="90">
        <v>8818188281</v>
      </c>
      <c r="C269" s="52" t="s">
        <v>16</v>
      </c>
    </row>
    <row r="270" spans="2:3">
      <c r="B270" s="90">
        <v>8818188282</v>
      </c>
      <c r="C270" s="52" t="s">
        <v>16</v>
      </c>
    </row>
    <row r="271" spans="2:3">
      <c r="B271" s="90">
        <v>8818188283</v>
      </c>
      <c r="C271" s="52" t="s">
        <v>16</v>
      </c>
    </row>
    <row r="272" spans="2:3">
      <c r="B272" s="90">
        <v>8818188284</v>
      </c>
      <c r="C272" s="52" t="s">
        <v>16</v>
      </c>
    </row>
    <row r="273" spans="2:3">
      <c r="B273" s="91">
        <v>8818188285</v>
      </c>
      <c r="C273" s="54" t="s">
        <v>17</v>
      </c>
    </row>
    <row r="274" spans="2:3">
      <c r="B274" s="91">
        <v>8818188286</v>
      </c>
      <c r="C274" s="54" t="s">
        <v>17</v>
      </c>
    </row>
    <row r="275" spans="2:3">
      <c r="B275" s="91">
        <v>8818188287</v>
      </c>
      <c r="C275" s="52" t="s">
        <v>16</v>
      </c>
    </row>
    <row r="276" spans="2:3">
      <c r="B276" s="91">
        <v>8818188288</v>
      </c>
      <c r="C276" s="52" t="s">
        <v>16</v>
      </c>
    </row>
    <row r="277" spans="2:3">
      <c r="B277" s="91">
        <v>8818188289</v>
      </c>
      <c r="C277" s="52" t="s">
        <v>16</v>
      </c>
    </row>
    <row r="278" spans="2:3">
      <c r="B278" s="91">
        <v>8818188290</v>
      </c>
      <c r="C278" s="52" t="s">
        <v>16</v>
      </c>
    </row>
    <row r="279" spans="2:3">
      <c r="B279" s="91">
        <v>8818188291</v>
      </c>
      <c r="C279" s="52" t="s">
        <v>16</v>
      </c>
    </row>
    <row r="280" spans="2:3">
      <c r="B280" s="91">
        <v>8812326193</v>
      </c>
      <c r="C280" s="52" t="s">
        <v>16</v>
      </c>
    </row>
    <row r="281" spans="2:3">
      <c r="B281" s="91">
        <v>88940461</v>
      </c>
      <c r="C281" s="52" t="s">
        <v>16</v>
      </c>
    </row>
  </sheetData>
  <conditionalFormatting sqref="B4:B5">
    <cfRule type="duplicateValues" dxfId="28" priority="3"/>
    <cfRule type="duplicateValues" dxfId="27" priority="4"/>
  </conditionalFormatting>
  <conditionalFormatting sqref="B6:B11">
    <cfRule type="duplicateValues" dxfId="26" priority="5"/>
    <cfRule type="duplicateValues" dxfId="25" priority="6"/>
  </conditionalFormatting>
  <conditionalFormatting sqref="B12:B13">
    <cfRule type="duplicateValues" dxfId="24" priority="1"/>
    <cfRule type="duplicateValues" dxfId="23" priority="2"/>
  </conditionalFormatting>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14</vt:i4>
      </vt:variant>
    </vt:vector>
  </HeadingPairs>
  <TitlesOfParts>
    <vt:vector size="14" baseType="lpstr">
      <vt:lpstr>RESUMO</vt:lpstr>
      <vt:lpstr>PRIORIDADES</vt:lpstr>
      <vt:lpstr>7.03</vt:lpstr>
      <vt:lpstr>31.01</vt:lpstr>
      <vt:lpstr>7.02 </vt:lpstr>
      <vt:lpstr>BASE</vt:lpstr>
      <vt:lpstr>BASE FINANCEIRO</vt:lpstr>
      <vt:lpstr>COD. PROJETOS</vt:lpstr>
      <vt:lpstr>BASE MUNICÍPIO</vt:lpstr>
      <vt:lpstr>COD. FAT</vt:lpstr>
      <vt:lpstr>MUNICIPIO</vt:lpstr>
      <vt:lpstr>COD.FAT</vt:lpstr>
      <vt:lpstr>BASE CC</vt:lpstr>
      <vt:lpstr>Planilha2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premcell</dc:creator>
  <cp:lastModifiedBy>Tauan Silvestre</cp:lastModifiedBy>
  <cp:lastPrinted>2024-02-08T20:53:01Z</cp:lastPrinted>
  <dcterms:created xsi:type="dcterms:W3CDTF">2019-01-02T13:49:28Z</dcterms:created>
  <dcterms:modified xsi:type="dcterms:W3CDTF">2025-12-03T18:26:10Z</dcterms:modified>
</cp:coreProperties>
</file>