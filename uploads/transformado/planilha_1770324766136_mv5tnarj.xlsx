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ção 7.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3"/>
  <sheetViews>
    <sheetView workbookViewId="0"/>
  </sheetViews>
  <sheetData>
    <row r="1">
      <c r="A1" t="str">
        <v>Razão Social</v>
      </c>
      <c r="B1" t="str">
        <v>Nome Fantasia</v>
      </c>
      <c r="C1" t="str">
        <v>Documento_Tomador</v>
      </c>
      <c r="D1" t="str">
        <v>E-mail</v>
      </c>
      <c r="E1" t="str">
        <v>Logradouro</v>
      </c>
      <c r="F1" t="str">
        <v>Número</v>
      </c>
      <c r="G1" t="str">
        <v>Complemento</v>
      </c>
      <c r="H1" t="str">
        <v>Cidade_Tomador</v>
      </c>
      <c r="I1" t="str">
        <v>Codigo_Municipio_Tomador</v>
      </c>
      <c r="J1" t="str">
        <v>Bairro</v>
      </c>
      <c r="K1" t="str">
        <v>UF_Tomador</v>
      </c>
      <c r="L1" t="str">
        <v>telefone_tomador</v>
      </c>
      <c r="M1" t="str">
        <v>CEP</v>
      </c>
      <c r="N1" t="str">
        <v>HUAWEI</v>
      </c>
      <c r="O1" t="str">
        <v>data_emissao</v>
      </c>
      <c r="P1" t="str">
        <v>Ref</v>
      </c>
      <c r="Q1" t="str">
        <v>Parcela/AC</v>
      </c>
      <c r="R1" t="str">
        <v>PO</v>
      </c>
      <c r="S1" t="str">
        <v>Line</v>
      </c>
      <c r="T1" t="str">
        <v>Cidade_Servico</v>
      </c>
      <c r="U1" t="str">
        <v>UF_Servico</v>
      </c>
      <c r="V1" t="str">
        <v>codigo_municipio_servico</v>
      </c>
      <c r="W1" t="str">
        <v>Valor Liquido</v>
      </c>
      <c r="X1" t="str">
        <v>valor_servico</v>
      </c>
      <c r="Y1" t="str">
        <v>outras_retencoes</v>
      </c>
      <c r="Z1" t="str">
        <v>valor_inss</v>
      </c>
      <c r="AA1" t="str">
        <v>valor_iss</v>
      </c>
      <c r="AB1" t="str">
        <v>valor_iss_retido</v>
      </c>
      <c r="AC1" t="str">
        <v>RET. INSS</v>
      </c>
      <c r="AD1" t="str">
        <v>item_lista_servico</v>
      </c>
      <c r="AE1" t="str">
        <v>descricao_servico</v>
      </c>
      <c r="AF1" t="str">
        <v>aliquota_iss</v>
      </c>
      <c r="AG1" t="str">
        <v>iss_retido</v>
      </c>
      <c r="AH1" t="str">
        <v>optante_simples_nacional</v>
      </c>
      <c r="AI1" t="str">
        <v>natureza_operacao</v>
      </c>
      <c r="AJ1" t="str">
        <v>tributacao_iss</v>
      </c>
      <c r="AK1" t="str">
        <v>cnpj_prestador</v>
      </c>
      <c r="AL1" t="str">
        <v>CEP_Obra</v>
      </c>
      <c r="AM1" t="str">
        <v>Logradouro_Obra</v>
      </c>
      <c r="AN1" t="str">
        <v>Numero_Obra</v>
      </c>
      <c r="AO1" t="str">
        <v>Bairro_Obra</v>
      </c>
      <c r="AP1" t="str">
        <v>UF_Obra</v>
      </c>
      <c r="AQ1" t="str">
        <v>Codigo_Municipio_Obra</v>
      </c>
      <c r="AR1" t="str">
        <v>SITE</v>
      </c>
    </row>
    <row r="2">
      <c r="A2" t="str">
        <v>Huawei Gestao e Servicos de Telecomunicacoes do Brasil Ltda</v>
      </c>
      <c r="B2" t="str">
        <v>Huawei Gestao e Servicos de Telecomunicacoes do Brasil Ltda</v>
      </c>
      <c r="C2" t="str">
        <v>10.519.123/0001-97</v>
      </c>
      <c r="D2" t="str">
        <v>huawei@slgestao.com</v>
      </c>
      <c r="E2" t="str">
        <v>Avenida Jerome Case</v>
      </c>
      <c r="F2" t="str">
        <v>2600</v>
      </c>
      <c r="G2" t="str">
        <v>Galpão A3 A9 Quadra 25 Lote 7/A</v>
      </c>
      <c r="H2" t="str">
        <v>Sorocaba</v>
      </c>
      <c r="I2" t="str">
        <v>3552205</v>
      </c>
      <c r="J2" t="str">
        <v>Eden</v>
      </c>
      <c r="K2" t="str">
        <v>SP</v>
      </c>
      <c r="L2" t="str">
        <v>(11) 3930-8580</v>
      </c>
      <c r="M2" t="str">
        <v>18087-220</v>
      </c>
      <c r="N2" t="str">
        <v/>
      </c>
      <c r="O2" s="1">
        <f>=TODAY()</f>
      </c>
      <c r="P2" t="str">
        <v>6211HG3360340-3945-1-10519123000197-2232.50</v>
      </c>
      <c r="Q2" t="str">
        <v>10519123000197</v>
      </c>
      <c r="R2" t="str">
        <v>PO: 6211HG3360340-3945 Line 1  PO: 6211HG3360340-3371 Line 1</v>
      </c>
      <c r="S2" t="str">
        <v>1</v>
      </c>
      <c r="T2" t="str">
        <v>BAURU</v>
      </c>
      <c r="U2" t="str">
        <v>SP</v>
      </c>
      <c r="V2" t="str">
        <v>3506003</v>
      </c>
      <c r="W2">
        <v>2187.85</v>
      </c>
      <c r="X2">
        <v>2232.5</v>
      </c>
      <c r="Y2" t="str">
        <v/>
      </c>
      <c r="Z2">
        <v>0</v>
      </c>
      <c r="AA2">
        <v>44.65</v>
      </c>
      <c r="AB2">
        <v>44.65</v>
      </c>
      <c r="AC2">
        <v>0</v>
      </c>
      <c r="AD2" t="str">
        <v>070203</v>
      </c>
      <c r="AE2" t="str">
        <v>Elaboração de projetos de obras de construção civil e elétrica, referente a adequação de infraestrutura, instalação e montagem de equipamentos de rede de telefonia celular, conforme pedidos de compra abaixo: PO: 6211HG3360340-3945 Line 1  PO: 6211HG3360340-3371 Line 1 Retenções: PIS 0,65% R$ 14.51 COFINS 3% R$ 66.97 IRRF 1,5% R$ 33.49 CSLL 1% R$ 22.33</v>
      </c>
      <c r="AF2">
        <v>2</v>
      </c>
      <c r="AG2">
        <v>2</v>
      </c>
      <c r="AH2" t="b">
        <v>0</v>
      </c>
      <c r="AI2">
        <v>2</v>
      </c>
      <c r="AJ2">
        <v>1</v>
      </c>
      <c r="AK2" t="str">
        <v>06175128000172</v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>PEMDL04</v>
      </c>
    </row>
    <row r="3">
      <c r="A3" t="str">
        <v>Huawei Gestao e Servicos de Telecomunicacoes do Brasil Ltda</v>
      </c>
      <c r="B3" t="str">
        <v>Huawei Gestao e Servicos de Telecomunicacoes do Brasil Ltda</v>
      </c>
      <c r="C3" t="str">
        <v>10.519.123/0001-97</v>
      </c>
      <c r="D3" t="str">
        <v>huawei@slgestao.com</v>
      </c>
      <c r="E3" t="str">
        <v>Avenida Jerome Case</v>
      </c>
      <c r="F3" t="str">
        <v>2600</v>
      </c>
      <c r="G3" t="str">
        <v>Galpão A3 A9 Quadra 25 Lote 7/A</v>
      </c>
      <c r="H3" t="str">
        <v>Sorocaba</v>
      </c>
      <c r="I3" t="str">
        <v>3552205</v>
      </c>
      <c r="J3" t="str">
        <v>Eden</v>
      </c>
      <c r="K3" t="str">
        <v>SP</v>
      </c>
      <c r="L3" t="str">
        <v>(11) 3930-8580</v>
      </c>
      <c r="M3" t="str">
        <v>18087-220</v>
      </c>
      <c r="N3" t="str">
        <v/>
      </c>
      <c r="O3" s="1">
        <f>=TODAY()</f>
      </c>
      <c r="P3" t="str">
        <v>6211HG3360340-3174-1-10519123000197-8493.34</v>
      </c>
      <c r="Q3" t="str">
        <v>10519123000197</v>
      </c>
      <c r="R3" t="str">
        <v>PO: 6211HG3360340-3174 Line 1</v>
      </c>
      <c r="S3" t="str">
        <v>1</v>
      </c>
      <c r="T3" t="str">
        <v>PENEDO</v>
      </c>
      <c r="U3" t="str">
        <v>AL</v>
      </c>
      <c r="V3" t="str">
        <v/>
      </c>
      <c r="W3">
        <v>8196.07</v>
      </c>
      <c r="X3">
        <v>8493.336</v>
      </c>
      <c r="Y3" t="str">
        <v/>
      </c>
      <c r="Z3">
        <v>297.27</v>
      </c>
      <c r="AA3">
        <v>0</v>
      </c>
      <c r="AB3">
        <v>0</v>
      </c>
      <c r="AC3">
        <v>3.5</v>
      </c>
      <c r="AD3" t="str">
        <v>070202</v>
      </c>
      <c r="AE3" t="str">
        <v>Execução por empreitada de obras de construção civil e elétrica – adequação de infraestrutura, instalação e montagem de equipamentos de rede de telefonia celular, conforme pedidos de compra abaixo: PO: 6211HG3360340-3174 Line 1 MUNICIPIO: PENEDO / AL MATERIAL: SERVIÇO: 8493.34 BASE DE CÁLCULO ISS: 8493.34 BASE DE CÁLCULO INSS: 8493.34 Retenções ISS % Município: PENEDO / AL Retenções INSS 3.5% NFS-e: O ISS desta NFS-e será retido pelo tomador de serviço.</v>
      </c>
      <c r="AF3" t="str">
        <v/>
      </c>
      <c r="AG3">
        <v>2</v>
      </c>
      <c r="AH3" t="b">
        <v>0</v>
      </c>
      <c r="AI3">
        <v>2</v>
      </c>
      <c r="AJ3">
        <v>1</v>
      </c>
      <c r="AK3" t="str">
        <v>06175128000172</v>
      </c>
      <c r="AL3" t="str">
        <v>57200000</v>
      </c>
      <c r="AM3" t="str">
        <v>A</v>
      </c>
      <c r="AN3" t="str">
        <v>S/N</v>
      </c>
      <c r="AO3" t="str">
        <v>FATIMA</v>
      </c>
      <c r="AP3" t="str">
        <v>AL</v>
      </c>
      <c r="AQ3" t="str">
        <v/>
      </c>
      <c r="AR3" t="str">
        <v>ALPND01</v>
      </c>
    </row>
  </sheetData>
  <ignoredErrors>
    <ignoredError numberStoredAsText="1" sqref="A1:A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Automação 7.02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