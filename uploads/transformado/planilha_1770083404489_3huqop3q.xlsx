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</v>
      </c>
      <c r="B2" t="str">
        <v>Huawei Gestao e Servicos de Telecomunicacoes do Brasil Ltda</v>
      </c>
      <c r="C2" t="str">
        <v>10.519.123/0001-97</v>
      </c>
      <c r="D2" t="str">
        <v>huawei@slgestao.com</v>
      </c>
      <c r="E2" t="str">
        <v>Avenida Jerome Case</v>
      </c>
      <c r="F2" t="str">
        <v>2600</v>
      </c>
      <c r="G2" t="str">
        <v>Galpão A3 A9 Quadra 25 Lote 7/A</v>
      </c>
      <c r="H2" t="str">
        <v>Sorocaba</v>
      </c>
      <c r="I2" t="str">
        <v>3552205</v>
      </c>
      <c r="J2" t="str">
        <v>Eden</v>
      </c>
      <c r="K2" t="str">
        <v>SP</v>
      </c>
      <c r="L2" t="str">
        <v>(11) 3930-8580</v>
      </c>
      <c r="M2" t="str">
        <v>18087-220</v>
      </c>
      <c r="N2" t="str">
        <v/>
      </c>
      <c r="O2" s="1">
        <f>=TODAY()</f>
      </c>
      <c r="P2" t="str">
        <v>6211HG3360340-1369-1-10519123000197</v>
      </c>
      <c r="Q2" t="str">
        <v>10519123000197</v>
      </c>
      <c r="R2" t="str">
        <v>PO: 6211HG3360340-1369 Line 1</v>
      </c>
      <c r="S2" t="str">
        <v>1</v>
      </c>
      <c r="T2" t="str">
        <v>SOBRAL</v>
      </c>
      <c r="U2" t="str">
        <v>CE</v>
      </c>
      <c r="V2" t="str">
        <v>2312908</v>
      </c>
      <c r="W2">
        <v>38.42</v>
      </c>
      <c r="X2">
        <v>40.649</v>
      </c>
      <c r="Y2" t="str">
        <v/>
      </c>
      <c r="Z2">
        <v>1.42</v>
      </c>
      <c r="AA2">
        <v>0.81</v>
      </c>
      <c r="AB2">
        <v>0.81</v>
      </c>
      <c r="AC2">
        <v>3.5</v>
      </c>
      <c r="AD2" t="str">
        <v>070202</v>
      </c>
      <c r="AE2" t="str">
        <v>Execução por empreitada de obras de construção civil e elétrica – adequação de infraestrutura, instalação e montagem de equipamentos de rede de telefonia celular, conforme pedidos de compra abaixo: PO: 6211HG3360340-1369 LINE: 1 MUNICIPIO: SOBRAL / CE MATERIAL: SERVIÇO: 40.65 BASE DE CÁLCULO ISS: 40.65 BASE DE CÁLCULO INSS: 40.65 Retenções ISS 2% Município: SOBRAL / CE Retenções INSS 3.5% NFS-e: O ISS desta NFS-e será retido pelo tomador de serviço.</v>
      </c>
      <c r="AF2">
        <v>2</v>
      </c>
      <c r="AG2">
        <v>2</v>
      </c>
      <c r="AH2" t="b">
        <v>0</v>
      </c>
      <c r="AI2">
        <v>2</v>
      </c>
      <c r="AJ2">
        <v>1</v>
      </c>
      <c r="AK2" t="str">
        <v>06175128000172</v>
      </c>
      <c r="AL2" t="str">
        <v>62031150</v>
      </c>
      <c r="AM2" t="str">
        <v>Rua Raimundo Alves</v>
      </c>
      <c r="AN2" t="str">
        <v>91</v>
      </c>
      <c r="AO2" t="str">
        <v>José Euclides</v>
      </c>
      <c r="AP2" t="str">
        <v>CE</v>
      </c>
      <c r="AQ2" t="str">
        <v>2312908</v>
      </c>
      <c r="AR2" t="str">
        <v>SR-SOJCJ3</v>
      </c>
    </row>
    <row r="3">
      <c r="A3" t="str">
        <v>Huawei Gestao e Servicos de Telecomunicacoes do Brasil Ltda</v>
      </c>
      <c r="B3" t="str">
        <v>Huawei Gestao e Servicos de Telecomunicacoes do Brasil Ltda</v>
      </c>
      <c r="C3" t="str">
        <v>10.519.123/0001-97</v>
      </c>
      <c r="D3" t="str">
        <v>huawei@slgestao.com</v>
      </c>
      <c r="E3" t="str">
        <v>Avenida Jerome Case</v>
      </c>
      <c r="F3" t="str">
        <v>2600</v>
      </c>
      <c r="G3" t="str">
        <v>Galpão A3 A9 Quadra 25 Lote 7/A</v>
      </c>
      <c r="H3" t="str">
        <v>Sorocaba</v>
      </c>
      <c r="I3" t="str">
        <v>3552205</v>
      </c>
      <c r="J3" t="str">
        <v>Eden</v>
      </c>
      <c r="K3" t="str">
        <v>SP</v>
      </c>
      <c r="L3" t="str">
        <v>(11) 3930-8580</v>
      </c>
      <c r="M3" t="str">
        <v>18087-220</v>
      </c>
      <c r="N3" t="str">
        <v/>
      </c>
      <c r="O3" s="1">
        <f>=TODAY()</f>
      </c>
      <c r="P3" t="str">
        <v>6211HG3360340-3613-1-10519123000197</v>
      </c>
      <c r="Q3" t="str">
        <v>10519123000197</v>
      </c>
      <c r="R3" t="str">
        <v>PO: 6211HG3360340-3613 Line 1  PO: 6211HG3360340-3613 Line 2  PO: 6211HG3360340-3613 Line 3</v>
      </c>
      <c r="S3" t="str">
        <v>1</v>
      </c>
      <c r="T3" t="str">
        <v>SOBRAL</v>
      </c>
      <c r="U3" t="str">
        <v>CE</v>
      </c>
      <c r="V3" t="str">
        <v>2312908</v>
      </c>
      <c r="W3">
        <v>3519.01</v>
      </c>
      <c r="X3">
        <v>3723.8199999999997</v>
      </c>
      <c r="Y3" t="str">
        <v/>
      </c>
      <c r="Z3">
        <v>130.33</v>
      </c>
      <c r="AA3">
        <v>74.48</v>
      </c>
      <c r="AB3">
        <v>74.48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6211HG3360340-3613 LINE: 1 MUNICIPIO: SOBRAL / CE MATERIAL: SERVIÇO: 3723.82 BASE DE CÁLCULO ISS: 3723.82 BASE DE CÁLCULO INSS: 3723.82 Retenções ISS 2% Município: SOBRAL / CE Retenções INSS 3.5% NFS-e: O ISS desta NFS-e será retido pelo tomador de serviço.</v>
      </c>
      <c r="AF3">
        <v>2</v>
      </c>
      <c r="AG3">
        <v>2</v>
      </c>
      <c r="AH3" t="b">
        <v>0</v>
      </c>
      <c r="AI3">
        <v>2</v>
      </c>
      <c r="AJ3">
        <v>1</v>
      </c>
      <c r="AK3" t="str">
        <v>06175128000172</v>
      </c>
      <c r="AL3" t="str">
        <v>62031150</v>
      </c>
      <c r="AM3" t="str">
        <v>Rua Raimundo Alves</v>
      </c>
      <c r="AN3" t="str">
        <v>1005</v>
      </c>
      <c r="AO3" t="str">
        <v>José Euclides</v>
      </c>
      <c r="AP3" t="str">
        <v>CE</v>
      </c>
      <c r="AQ3" t="str">
        <v>2312908</v>
      </c>
      <c r="AR3" t="str">
        <v>SR-SOCEJ2</v>
      </c>
    </row>
    <row r="4">
      <c r="A4" t="str">
        <v>Huawei Gestao e Servicos de Telecomunicacoes do Brasil Ltda</v>
      </c>
      <c r="B4" t="str">
        <v>Huawei Gestao e Servicos de Telecomunicacoes do Brasil Ltda</v>
      </c>
      <c r="C4" t="str">
        <v>10.519.123/0001-97</v>
      </c>
      <c r="D4" t="str">
        <v>huawei@slgestao.com</v>
      </c>
      <c r="E4" t="str">
        <v>Avenida Jerome Case</v>
      </c>
      <c r="F4" t="str">
        <v>2600</v>
      </c>
      <c r="G4" t="str">
        <v>Galpão A3 A9 Quadra 25 Lote 7/A</v>
      </c>
      <c r="H4" t="str">
        <v>Sorocaba</v>
      </c>
      <c r="I4" t="str">
        <v>3552205</v>
      </c>
      <c r="J4" t="str">
        <v>Eden</v>
      </c>
      <c r="K4" t="str">
        <v>SP</v>
      </c>
      <c r="L4" t="str">
        <v>(11) 3930-8580</v>
      </c>
      <c r="M4" t="str">
        <v>18087-220</v>
      </c>
      <c r="N4" t="str">
        <v/>
      </c>
      <c r="O4" s="1">
        <f>=TODAY()</f>
      </c>
      <c r="P4" t="str">
        <v>6211HG3360338-596-1-10519123000197</v>
      </c>
      <c r="Q4" t="str">
        <v>10519123000197</v>
      </c>
      <c r="R4" t="str">
        <v>PO: 6211HG3360338-596 Line 1</v>
      </c>
      <c r="S4" t="str">
        <v>1</v>
      </c>
      <c r="T4" t="str">
        <v>SAO JOSE DOS CAMPOS</v>
      </c>
      <c r="U4" t="str">
        <v>SP</v>
      </c>
      <c r="V4" t="str">
        <v>3549904</v>
      </c>
      <c r="W4">
        <v>342.03</v>
      </c>
      <c r="X4">
        <v>342.03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Execução por empreitada de obras de construção civil e elétrica – adequação de infraestrutura, instalação e montagem de equipamentos de rede de telefonia celular, conforme pedidos de compra abaixo: PO: 6211HG3360338-596 LINE: 1 MUNICIPIO: SAO JOSE DOS CAMPOS / SP MATERIAL: SERVIÇO: 342.03 BASE DE CÁLCULO ISS: 342.03 BASE DE CÁLCULO INSS: 342.03 Retenções ISS 3% Município: SAO JOSE DOS CAMPOS / SP Retenções INSS % NFS-e: O ISS desta NFS-e será retido pelo tomador de serviço.</v>
      </c>
      <c r="AF4">
        <v>3</v>
      </c>
      <c r="AG4" t="str">
        <v/>
      </c>
      <c r="AH4" t="str">
        <v/>
      </c>
      <c r="AI4">
        <v>1</v>
      </c>
      <c r="AJ4">
        <v>1</v>
      </c>
      <c r="AK4" t="str">
        <v>06175128000172</v>
      </c>
      <c r="AL4" t="str">
        <v>12460128</v>
      </c>
      <c r="AM4" t="str">
        <v>Avenida Macedo Soares</v>
      </c>
      <c r="AN4" t="str">
        <v>1</v>
      </c>
      <c r="AO4" t="str">
        <v>Vila Capivari</v>
      </c>
      <c r="AP4" t="str">
        <v>SP</v>
      </c>
      <c r="AQ4" t="str">
        <v>3509700</v>
      </c>
      <c r="AR4" t="str">
        <v>T15</v>
      </c>
    </row>
    <row r="5">
      <c r="A5" t="str">
        <v>Huawei Gestao e Servicos de Telecomunicacoes do Brasil Ltda</v>
      </c>
      <c r="B5" t="str">
        <v>Huawei Gestao e Servicos de Telecomunicacoes do Brasil Ltda</v>
      </c>
      <c r="C5" t="str">
        <v>10.519.123/0001-97</v>
      </c>
      <c r="D5" t="str">
        <v>huawei@slgestao.com</v>
      </c>
      <c r="E5" t="str">
        <v>Avenida Jerome Case</v>
      </c>
      <c r="F5" t="str">
        <v>2600</v>
      </c>
      <c r="G5" t="str">
        <v>Galpão A3 A9 Quadra 25 Lote 7/A</v>
      </c>
      <c r="H5" t="str">
        <v>Sorocaba</v>
      </c>
      <c r="I5" t="str">
        <v>3552205</v>
      </c>
      <c r="J5" t="str">
        <v>Eden</v>
      </c>
      <c r="K5" t="str">
        <v>SP</v>
      </c>
      <c r="L5" t="str">
        <v>(11) 3930-8580</v>
      </c>
      <c r="M5" t="str">
        <v>18087-220</v>
      </c>
      <c r="N5" t="str">
        <v/>
      </c>
      <c r="O5" s="1">
        <f>=TODAY()</f>
      </c>
      <c r="P5" t="str">
        <v>6211HG3360338-930-1-10519123000197</v>
      </c>
      <c r="Q5" t="str">
        <v>10519123000197</v>
      </c>
      <c r="R5" t="str">
        <v>PO: 6211HG3360338-930 Line 1</v>
      </c>
      <c r="S5" t="str">
        <v>1</v>
      </c>
      <c r="T5" t="str">
        <v>TAUBATE</v>
      </c>
      <c r="U5" t="str">
        <v>SP</v>
      </c>
      <c r="V5" t="str">
        <v>3554102</v>
      </c>
      <c r="W5">
        <v>4666.38</v>
      </c>
      <c r="X5">
        <v>4990.779</v>
      </c>
      <c r="Y5" t="str">
        <v/>
      </c>
      <c r="Z5">
        <v>174.68</v>
      </c>
      <c r="AA5">
        <v>149.72</v>
      </c>
      <c r="AB5">
        <v>149.72</v>
      </c>
      <c r="AC5">
        <v>3.5</v>
      </c>
      <c r="AD5" t="str">
        <v>070202</v>
      </c>
      <c r="AE5" t="str">
        <v>Execução por empreitada de obras de construção civil e elétrica – adequação de infraestrutura, instalação e montagem de equipamentos de rede de telefonia celular, conforme pedidos de compra abaixo: PO: 6211HG3360338-930 LINE: 1 MUNICIPIO: TAUBATE / SP MATERIAL: SERVIÇO: 4990.78 BASE DE CÁLCULO ISS: 4990.78 BASE DE CÁLCULO INSS: 4990.78 Retenções ISS 3% Município: TAUBATE / SP Retenções INSS 3.5% NFS-e: O ISS desta NFS-e será retido pelo tomador de serviço.</v>
      </c>
      <c r="AF5">
        <v>3</v>
      </c>
      <c r="AG5">
        <v>2</v>
      </c>
      <c r="AH5" t="b">
        <v>0</v>
      </c>
      <c r="AI5">
        <v>2</v>
      </c>
      <c r="AJ5">
        <v>1</v>
      </c>
      <c r="AK5" t="str">
        <v>06175128000172</v>
      </c>
      <c r="AL5" t="str">
        <v>12061600</v>
      </c>
      <c r="AM5" t="str">
        <v>Rua Padre Fischer</v>
      </c>
      <c r="AN5" t="str">
        <v>SN</v>
      </c>
      <c r="AO5" t="str">
        <v>Parque São Luís</v>
      </c>
      <c r="AP5" t="str">
        <v>SP</v>
      </c>
      <c r="AQ5" t="str">
        <v>3554102</v>
      </c>
      <c r="AR5" t="str">
        <v>TC9</v>
      </c>
    </row>
    <row r="6">
      <c r="A6" t="str">
        <v>Huawei Gestao e Servicos de Telecomunicacoes do Brasil Ltda</v>
      </c>
      <c r="B6" t="str">
        <v>Huawei Gestao e Servicos de Telecomunicacoes do Brasil Ltda</v>
      </c>
      <c r="C6" t="str">
        <v>10.519.123/0001-97</v>
      </c>
      <c r="D6" t="str">
        <v>huawei@slgestao.com</v>
      </c>
      <c r="E6" t="str">
        <v>Avenida Jerome Case</v>
      </c>
      <c r="F6" t="str">
        <v>2600</v>
      </c>
      <c r="G6" t="str">
        <v>Galpão A3 A9 Quadra 25 Lote 7/A</v>
      </c>
      <c r="H6" t="str">
        <v>Sorocaba</v>
      </c>
      <c r="I6" t="str">
        <v>3552205</v>
      </c>
      <c r="J6" t="str">
        <v>Eden</v>
      </c>
      <c r="K6" t="str">
        <v>SP</v>
      </c>
      <c r="L6" t="str">
        <v>(11) 3930-8580</v>
      </c>
      <c r="M6" t="str">
        <v>18087-220</v>
      </c>
      <c r="N6" t="str">
        <v/>
      </c>
      <c r="O6" s="1">
        <f>=TODAY()</f>
      </c>
      <c r="P6" t="str">
        <v>6211HG3295910-310-2-10519123000197</v>
      </c>
      <c r="Q6" t="str">
        <v>10519123000197</v>
      </c>
      <c r="R6" t="str">
        <v>PO: 6211HG3295910-310 Line 2</v>
      </c>
      <c r="S6" t="str">
        <v>2</v>
      </c>
      <c r="T6" t="str">
        <v>SAO PAULO</v>
      </c>
      <c r="U6" t="str">
        <v>SP</v>
      </c>
      <c r="V6" t="str">
        <v>3550308</v>
      </c>
      <c r="W6">
        <v>1341.38</v>
      </c>
      <c r="X6">
        <v>1465.99</v>
      </c>
      <c r="Y6" t="str">
        <v/>
      </c>
      <c r="Z6">
        <v>51.31</v>
      </c>
      <c r="AA6">
        <v>73.3</v>
      </c>
      <c r="AB6">
        <v>73.3</v>
      </c>
      <c r="AC6">
        <v>3.5</v>
      </c>
      <c r="AD6" t="str">
        <v>070202</v>
      </c>
      <c r="AE6" t="str">
        <v>Execução por empreitada de obras de construção civil e elétrica – adequação de infraestrutura, instalação e montagem de equipamentos de rede de telefonia celular, conforme pedidos de compra abaixo: PO: 6211HG3295910-310 LINE: 2 MUNICIPIO: SAO PAULO / SP MATERIAL: SERVIÇO: 1465.99 BASE DE CÁLCULO ISS: 1465.99 BASE DE CÁLCULO INSS: 1465.99 Retenções ISS 5% Município: SAO PAULO / SP Retenções INSS 3.5% NFS-e: O ISS desta NFS-e será retido pelo tomador de serviço.</v>
      </c>
      <c r="AF6">
        <v>5</v>
      </c>
      <c r="AG6">
        <v>2</v>
      </c>
      <c r="AH6" t="b">
        <v>0</v>
      </c>
      <c r="AI6">
        <v>2</v>
      </c>
      <c r="AJ6">
        <v>1</v>
      </c>
      <c r="AK6" t="str">
        <v>06175128000172</v>
      </c>
      <c r="AL6" t="str">
        <v>05224010</v>
      </c>
      <c r="AM6" t="str">
        <v>Rua Ana Maria Franco Laranjeira</v>
      </c>
      <c r="AN6" t="str">
        <v>SN</v>
      </c>
      <c r="AO6" t="str">
        <v>Sítio Areião</v>
      </c>
      <c r="AP6" t="str">
        <v>SP</v>
      </c>
      <c r="AQ6" t="str">
        <v>3550308</v>
      </c>
      <c r="AR6" t="str">
        <v>SR-SPPS04</v>
      </c>
    </row>
    <row r="7">
      <c r="A7" t="str">
        <v>Huawei Gestao e Servicos de Telecomunicacoes do Brasil Ltda</v>
      </c>
      <c r="B7" t="str">
        <v>Huawei Gestao e Servicos de Telecomunicacoes do Brasil Ltda</v>
      </c>
      <c r="C7" t="str">
        <v>10.519.123/0001-97</v>
      </c>
      <c r="D7" t="str">
        <v>huawei@slgestao.com</v>
      </c>
      <c r="E7" t="str">
        <v>Avenida Jerome Case</v>
      </c>
      <c r="F7" t="str">
        <v>2600</v>
      </c>
      <c r="G7" t="str">
        <v>Galpão A3 A9 Quadra 25 Lote 7/A</v>
      </c>
      <c r="H7" t="str">
        <v>Sorocaba</v>
      </c>
      <c r="I7" t="str">
        <v>3552205</v>
      </c>
      <c r="J7" t="str">
        <v>Eden</v>
      </c>
      <c r="K7" t="str">
        <v>SP</v>
      </c>
      <c r="L7" t="str">
        <v>(11) 3930-8580</v>
      </c>
      <c r="M7" t="str">
        <v>18087-220</v>
      </c>
      <c r="N7" t="str">
        <v/>
      </c>
      <c r="O7" s="1">
        <f>=TODAY()</f>
      </c>
      <c r="P7" t="str">
        <v>6211HG3295910-146-2-10519123000197</v>
      </c>
      <c r="Q7" t="str">
        <v>10519123000197</v>
      </c>
      <c r="R7" t="str">
        <v>PO: 6211HG3295910-146 Line 2</v>
      </c>
      <c r="S7" t="str">
        <v>2</v>
      </c>
      <c r="T7" t="str">
        <v>SAO PAULO</v>
      </c>
      <c r="U7" t="str">
        <v>SP</v>
      </c>
      <c r="V7" t="str">
        <v>3550308</v>
      </c>
      <c r="W7">
        <v>130.98</v>
      </c>
      <c r="X7">
        <v>143.154</v>
      </c>
      <c r="Y7" t="str">
        <v/>
      </c>
      <c r="Z7">
        <v>5.01</v>
      </c>
      <c r="AA7">
        <v>7.16</v>
      </c>
      <c r="AB7">
        <v>7.16</v>
      </c>
      <c r="AC7">
        <v>3.5</v>
      </c>
      <c r="AD7" t="str">
        <v>070202</v>
      </c>
      <c r="AE7" t="str">
        <v>Execução por empreitada de obras de construção civil e elétrica – adequação de infraestrutura, instalação e montagem de equipamentos de rede de telefonia celular, conforme pedidos de compra abaixo: PO: 6211HG3295910-146 LINE: 2 MUNICIPIO: SAO PAULO / SP MATERIAL: SERVIÇO: 143.15 BASE DE CÁLCULO ISS: 143.15 BASE DE CÁLCULO INSS: 143.15 Retenções ISS 5% Município: SAO PAULO / SP Retenções INSS 3.5% NFS-e: O ISS desta NFS-e será retido pelo tomador de serviço.</v>
      </c>
      <c r="AF7">
        <v>5</v>
      </c>
      <c r="AG7">
        <v>2</v>
      </c>
      <c r="AH7" t="b">
        <v>0</v>
      </c>
      <c r="AI7">
        <v>2</v>
      </c>
      <c r="AJ7">
        <v>1</v>
      </c>
      <c r="AK7" t="str">
        <v>06175128000172</v>
      </c>
      <c r="AL7" t="str">
        <v>05118100</v>
      </c>
      <c r="AM7" t="str">
        <v>Avenida Marginal Direita do Tietê</v>
      </c>
      <c r="AN7" t="str">
        <v>SN</v>
      </c>
      <c r="AO7" t="str">
        <v>Vila Jaguara</v>
      </c>
      <c r="AP7" t="str">
        <v>SP</v>
      </c>
      <c r="AQ7" t="str">
        <v>3550308</v>
      </c>
      <c r="AR7" t="str">
        <v>SR-SPVL19</v>
      </c>
    </row>
    <row r="8">
      <c r="A8" t="str">
        <v>Huawei Gestao e Servicos de Telecomunicacoes do Brasil Ltda</v>
      </c>
      <c r="B8" t="str">
        <v>Huawei Gestao e Servicos de Telecomunicacoes do Brasil Ltda</v>
      </c>
      <c r="C8" t="str">
        <v>10.519.123/0001-97</v>
      </c>
      <c r="D8" t="str">
        <v>huawei@slgestao.com</v>
      </c>
      <c r="E8" t="str">
        <v>Avenida Jerome Case</v>
      </c>
      <c r="F8" t="str">
        <v>2600</v>
      </c>
      <c r="G8" t="str">
        <v>Galpão A3 A9 Quadra 25 Lote 7/A</v>
      </c>
      <c r="H8" t="str">
        <v>Sorocaba</v>
      </c>
      <c r="I8" t="str">
        <v>3552205</v>
      </c>
      <c r="J8" t="str">
        <v>Eden</v>
      </c>
      <c r="K8" t="str">
        <v>SP</v>
      </c>
      <c r="L8" t="str">
        <v>(11) 3930-8580</v>
      </c>
      <c r="M8" t="str">
        <v>18087-220</v>
      </c>
      <c r="N8" t="str">
        <v/>
      </c>
      <c r="O8" s="1">
        <f>=TODAY()</f>
      </c>
      <c r="P8" t="str">
        <v>6211HG3360340-1066-2-10519123000197</v>
      </c>
      <c r="Q8" t="str">
        <v>10519123000197</v>
      </c>
      <c r="R8" t="str">
        <v>PO: 6211HG3360340-1066 Line 2  PO: 6211HG3360340-1066 Line 4</v>
      </c>
      <c r="S8" t="str">
        <v>2</v>
      </c>
      <c r="T8" t="str">
        <v>LAURO DE FREITAS</v>
      </c>
      <c r="U8" t="str">
        <v>BA</v>
      </c>
      <c r="V8" t="str">
        <v>2919207</v>
      </c>
      <c r="W8">
        <v>10844.3</v>
      </c>
      <c r="X8">
        <v>11851.704</v>
      </c>
      <c r="Y8" t="str">
        <v/>
      </c>
      <c r="Z8">
        <v>414.81</v>
      </c>
      <c r="AA8">
        <v>592.59</v>
      </c>
      <c r="AB8">
        <v>592.59</v>
      </c>
      <c r="AC8">
        <v>3.5</v>
      </c>
      <c r="AD8" t="str">
        <v>070202</v>
      </c>
      <c r="AE8" t="str">
        <v>Execução por empreitada de obras de construção civil e elétrica – adequação de infraestrutura, instalação e montagem de equipamentos de rede de telefonia celular, conforme pedidos de compra abaixo: PO: 6211HG3360340-1066 LINE: 2 MUNICIPIO: LAURO DE FREITAS / BA MATERIAL: SERVIÇO: 11851.70 BASE DE CÁLCULO ISS: 11851.70 BASE DE CÁLCULO INSS: 11851.70 Retenções ISS 5% Município: LAURO DE FREITAS / BA Retenções INSS 3.5% NFS-e: O ISS desta NFS-e será retido pelo tomador de serviço.</v>
      </c>
      <c r="AF8">
        <v>5</v>
      </c>
      <c r="AG8">
        <v>2</v>
      </c>
      <c r="AH8" t="b">
        <v>0</v>
      </c>
      <c r="AI8">
        <v>2</v>
      </c>
      <c r="AJ8">
        <v>1</v>
      </c>
      <c r="AK8" t="str">
        <v>06175128000172</v>
      </c>
      <c r="AL8" t="str">
        <v>42702400</v>
      </c>
      <c r="AM8" t="str">
        <v>Avenida Santos Dumont</v>
      </c>
      <c r="AN8" t="str">
        <v>989</v>
      </c>
      <c r="AO8" t="str">
        <v>Centro</v>
      </c>
      <c r="AP8" t="str">
        <v>BA</v>
      </c>
      <c r="AQ8" t="str">
        <v>2919207</v>
      </c>
      <c r="AR8" t="str">
        <v>BAITA90</v>
      </c>
    </row>
  </sheetData>
  <ignoredErrors>
    <ignoredError numberStoredAsText="1" sqref="A1:AR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