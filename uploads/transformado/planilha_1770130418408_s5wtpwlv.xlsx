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4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6211HG3360337-55-1-10519123000197</v>
      </c>
      <c r="Q2" t="str">
        <v>10519123000197</v>
      </c>
      <c r="R2" t="str">
        <v>PO: 6211HG3360337-55 Line 1</v>
      </c>
      <c r="S2" t="str">
        <v>1</v>
      </c>
      <c r="T2" t="str">
        <v>MARECHAL CANDIDO RONDON</v>
      </c>
      <c r="U2" t="str">
        <v>PR</v>
      </c>
      <c r="V2" t="str">
        <v>4114609</v>
      </c>
      <c r="W2">
        <v>992</v>
      </c>
      <c r="X2">
        <v>992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070203</v>
      </c>
      <c r="AE2" t="str">
        <v>Execução por empreitada de obras de construção civil e elétrica – adequação de infraestrutura, instalação e montagem de equipamentos de rede de telefonia celular, conforme pedidos de compra abaixo: PO: 6211HG3360337-55 LINE: 1 MUNICIPIO: MARECHAL CANDIDO RONDON / PR MATERIAL: SERVIÇO: 992.00 BASE DE CÁLCULO ISS: 992.00 BASE DE CÁLCULO INSS: 992.00 Retenções ISS 3% Município: MARECHAL CANDIDO RONDON / PR Retenções INSS % NFS-e: O ISS desta NFS-e será retido pelo tomador de serviço.</v>
      </c>
      <c r="AF2">
        <v>3</v>
      </c>
      <c r="AG2" t="str">
        <v/>
      </c>
      <c r="AH2" t="str">
        <v/>
      </c>
      <c r="AI2">
        <v>1</v>
      </c>
      <c r="AJ2">
        <v>1</v>
      </c>
      <c r="AK2" t="str">
        <v>06175128000172</v>
      </c>
      <c r="AL2" t="str">
        <v>85963174</v>
      </c>
      <c r="AM2" t="str">
        <v>Rua Pastor Mário Hort</v>
      </c>
      <c r="AN2" t="str">
        <v>SN</v>
      </c>
      <c r="AO2" t="str">
        <v>Primavera</v>
      </c>
      <c r="AP2" t="str">
        <v>PR</v>
      </c>
      <c r="AQ2" t="str">
        <v>4114609</v>
      </c>
      <c r="AR2" t="str">
        <v>PRMRH02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6211HG3360337-81-2-10519123000197</v>
      </c>
      <c r="Q3" t="str">
        <v>10519123000197</v>
      </c>
      <c r="R3" t="str">
        <v>PO: 6211HG3360337-81 Line 2  PO: 6211HG3360337-81 Line 5  PO: 6211HG3360337-82 Line 1  PO: 6211HG3360337-81 Line 1  PO: 6211HG3360337-81 Line 4  PO: 6211HG3360337-82 Line 2  PO: 6211HG3360337-82 Line 5  PO: 6211HG3360337-81 Line 3  PO: 6211HG3360337-81 Line 7  PO: 6211HG3360337-82 Line 3</v>
      </c>
      <c r="S3" t="str">
        <v>2</v>
      </c>
      <c r="T3" t="str">
        <v>NOVA ESPERANCA</v>
      </c>
      <c r="U3" t="str">
        <v>PR</v>
      </c>
      <c r="V3" t="str">
        <v>4116901</v>
      </c>
      <c r="W3">
        <v>13738.86</v>
      </c>
      <c r="X3">
        <v>14538.483000000002</v>
      </c>
      <c r="Y3" t="str">
        <v/>
      </c>
      <c r="Z3">
        <v>508.85</v>
      </c>
      <c r="AA3">
        <v>290.77</v>
      </c>
      <c r="AB3">
        <v>290.77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6211HG3360337-81 LINE: 2 MUNICIPIO: NOVA ESPERANCA / PR MATERIAL: SERVIÇO: 14538.48 BASE DE CÁLCULO ISS: 14538.48 BASE DE CÁLCULO INSS: 14538.48 Retenções ISS 2% Município: NOVA ESPERANCA / PR Retenções INSS 3.5% NFS-e: O ISS desta NFS-e será retido pelo tomador de serviço.</v>
      </c>
      <c r="AF3">
        <v>2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87600000</v>
      </c>
      <c r="AM3" t="str">
        <v>Av São José</v>
      </c>
      <c r="AN3" t="str">
        <v>SN</v>
      </c>
      <c r="AO3" t="str">
        <v>Centro</v>
      </c>
      <c r="AP3" t="str">
        <v>PR</v>
      </c>
      <c r="AQ3" t="str">
        <v>4116901</v>
      </c>
      <c r="AR3" t="str">
        <v>PRNEA01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6211HG3360340-3175-2-10519123000197</v>
      </c>
      <c r="Q4" t="str">
        <v>10519123000197</v>
      </c>
      <c r="R4" t="str">
        <v>PO: 6211HG3360340-3175 Line 2  PO: 6211HG3360340-3175 Line 1  PO: 6211HG3360340-3175 Line 3</v>
      </c>
      <c r="S4" t="str">
        <v>2</v>
      </c>
      <c r="T4" t="str">
        <v>FEIRA DE SANTANA</v>
      </c>
      <c r="U4" t="str">
        <v>BA</v>
      </c>
      <c r="V4" t="str">
        <v>2910800</v>
      </c>
      <c r="W4">
        <v>606.77</v>
      </c>
      <c r="X4">
        <v>663.144</v>
      </c>
      <c r="Y4" t="str">
        <v/>
      </c>
      <c r="Z4">
        <v>23.21</v>
      </c>
      <c r="AA4">
        <v>33.16</v>
      </c>
      <c r="AB4">
        <v>33.16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6211HG3360340-3175 LINE: 2 MUNICIPIO: FEIRA DE SANTANA / BA MATERIAL: SERVIÇO: 663.14 BASE DE CÁLCULO ISS: 663.14 BASE DE CÁLCULO INSS: 663.14 Retenções ISS 5% Município: FEIRA DE SANTANA / BA Retenções INSS 3.5% 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>44085162</v>
      </c>
      <c r="AM4" t="str">
        <v>Rua Alto Alegre</v>
      </c>
      <c r="AN4" t="str">
        <v>SN</v>
      </c>
      <c r="AO4" t="str">
        <v>SIM</v>
      </c>
      <c r="AP4" t="str">
        <v>BA</v>
      </c>
      <c r="AQ4" t="str">
        <v>2910800</v>
      </c>
      <c r="AR4" t="str">
        <v>BAFSA87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6211HG3360340-3176-2-10519123000197</v>
      </c>
      <c r="Q5" t="str">
        <v>10519123000197</v>
      </c>
      <c r="R5" t="str">
        <v>PO: 6211HG3360340-3176 Line 2  PO: 6211HG3360340-3176 Line 1  PO: 6211HG3360340-3176 Line 3</v>
      </c>
      <c r="S5" t="str">
        <v>2</v>
      </c>
      <c r="T5" t="str">
        <v>SANTO AMARO</v>
      </c>
      <c r="U5" t="str">
        <v>BA</v>
      </c>
      <c r="V5" t="str">
        <v>2928604</v>
      </c>
      <c r="W5">
        <v>606.77</v>
      </c>
      <c r="X5">
        <v>663.144</v>
      </c>
      <c r="Y5" t="str">
        <v/>
      </c>
      <c r="Z5">
        <v>23.21</v>
      </c>
      <c r="AA5">
        <v>33.16</v>
      </c>
      <c r="AB5">
        <v>33.16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6211HG3360340-3176 LINE: 2 MUNICIPIO: SANTO AMARO / BA MATERIAL: SERVIÇO: 663.14 BASE DE CÁLCULO ISS: 663.14 BASE DE CÁLCULO INSS: 663.14 Retenções ISS 5% Município: SANTO AMARO / BA Retenções INSS 3.5% 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>44200000</v>
      </c>
      <c r="AM5" t="str">
        <v>R RUA LUIS TORRES</v>
      </c>
      <c r="AN5" t="str">
        <v>SN</v>
      </c>
      <c r="AO5" t="str">
        <v>Centro</v>
      </c>
      <c r="AP5" t="str">
        <v>BA</v>
      </c>
      <c r="AQ5" t="str">
        <v>2928604</v>
      </c>
      <c r="AR5" t="str">
        <v>BASAM06</v>
      </c>
    </row>
    <row r="6">
      <c r="A6" t="str">
        <v>Huawei Gestao e Servicos de Telecomunicacoes do Brasil Ltda</v>
      </c>
      <c r="B6" t="str">
        <v>Huawei Gestao e Servicos de Telecomunicacoes do Brasil Ltda</v>
      </c>
      <c r="C6" t="str">
        <v>10.519.123/0001-97</v>
      </c>
      <c r="D6" t="str">
        <v>huawei@slgestao.com</v>
      </c>
      <c r="E6" t="str">
        <v>Avenida Jerome Case</v>
      </c>
      <c r="F6" t="str">
        <v>2600</v>
      </c>
      <c r="G6" t="str">
        <v>Galpão A3 A9 Quadra 25 Lote 7/A</v>
      </c>
      <c r="H6" t="str">
        <v>Sorocaba</v>
      </c>
      <c r="I6" t="str">
        <v>3552205</v>
      </c>
      <c r="J6" t="str">
        <v>Eden</v>
      </c>
      <c r="K6" t="str">
        <v>SP</v>
      </c>
      <c r="L6" t="str">
        <v>(11) 3930-8580</v>
      </c>
      <c r="M6" t="str">
        <v>18087-220</v>
      </c>
      <c r="N6" t="str">
        <v/>
      </c>
      <c r="O6" s="1">
        <f>=TODAY()</f>
      </c>
      <c r="P6" t="str">
        <v>6211HG3360340-3178-3-10519123000197</v>
      </c>
      <c r="Q6" t="str">
        <v>10519123000197</v>
      </c>
      <c r="R6" t="str">
        <v>PO: 6211HG3360340-3178 Line 3  PO: 6211HG3360340-3178 Line 4  PO: 6211HG3360340-3178 Line 1  PO: 6211HG3360340-3178 Line 2</v>
      </c>
      <c r="S6" t="str">
        <v>3</v>
      </c>
      <c r="T6" t="str">
        <v>SAO FRANCISCO DO CONDE</v>
      </c>
      <c r="U6" t="str">
        <v>BA</v>
      </c>
      <c r="V6" t="str">
        <v>2908606</v>
      </c>
      <c r="W6">
        <v>749.58</v>
      </c>
      <c r="X6">
        <v>819.209</v>
      </c>
      <c r="Y6" t="str">
        <v/>
      </c>
      <c r="Z6">
        <v>28.67</v>
      </c>
      <c r="AA6">
        <v>40.96</v>
      </c>
      <c r="AB6">
        <v>40.96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6211HG3360340-3178 LINE: 3 MUNICIPIO: SAO FRANCISCO DO CONDE / BA MATERIAL: SERVIÇO: 819.21 BASE DE CÁLCULO ISS: 819.21 BASE DE CÁLCULO INSS: 819.21 Retenções ISS 5% Município: SAO FRANCISCO DO CONDE / BA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>06175128000172</v>
      </c>
      <c r="AL6" t="str">
        <v>43900000</v>
      </c>
      <c r="AM6" t="str">
        <v>NITEROI</v>
      </c>
      <c r="AN6" t="str">
        <v>S/N</v>
      </c>
      <c r="AO6" t="str">
        <v>CENTRO</v>
      </c>
      <c r="AP6" t="str">
        <v>BA</v>
      </c>
      <c r="AQ6" t="str">
        <v>2929206</v>
      </c>
      <c r="AR6" t="str">
        <v>BASFN11</v>
      </c>
    </row>
    <row r="7">
      <c r="A7" t="str">
        <v>Huawei Gestao e Servicos de Telecomunicacoes do Brasil Ltda</v>
      </c>
      <c r="B7" t="str">
        <v>Huawei Gestao e Servicos de Telecomunicacoes do Brasil Ltda</v>
      </c>
      <c r="C7" t="str">
        <v>10.519.123/0001-97</v>
      </c>
      <c r="D7" t="str">
        <v>huawei@slgestao.com</v>
      </c>
      <c r="E7" t="str">
        <v>Avenida Jerome Case</v>
      </c>
      <c r="F7" t="str">
        <v>2600</v>
      </c>
      <c r="G7" t="str">
        <v>Galpão A3 A9 Quadra 25 Lote 7/A</v>
      </c>
      <c r="H7" t="str">
        <v>Sorocaba</v>
      </c>
      <c r="I7" t="str">
        <v>3552205</v>
      </c>
      <c r="J7" t="str">
        <v>Eden</v>
      </c>
      <c r="K7" t="str">
        <v>SP</v>
      </c>
      <c r="L7" t="str">
        <v>(11) 3930-8580</v>
      </c>
      <c r="M7" t="str">
        <v>18087-220</v>
      </c>
      <c r="N7" t="str">
        <v/>
      </c>
      <c r="O7" s="1">
        <f>=TODAY()</f>
      </c>
      <c r="P7" t="str">
        <v>6211HG3360340-2487-2-10519123000197</v>
      </c>
      <c r="Q7" t="str">
        <v>10519123000197</v>
      </c>
      <c r="R7" t="str">
        <v>PO: 6211HG3360340-2487 Line 2  PO: 6211HG3360340-2487 Line 1</v>
      </c>
      <c r="S7" t="str">
        <v>2</v>
      </c>
      <c r="T7" t="str">
        <v>PRADO</v>
      </c>
      <c r="U7" t="str">
        <v>BA</v>
      </c>
      <c r="V7" t="str">
        <v>2925501</v>
      </c>
      <c r="W7">
        <v>5225.38</v>
      </c>
      <c r="X7">
        <v>5710.7970000000005</v>
      </c>
      <c r="Y7" t="str">
        <v/>
      </c>
      <c r="Z7">
        <v>199.88</v>
      </c>
      <c r="AA7">
        <v>285.54</v>
      </c>
      <c r="AB7">
        <v>285.54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6211HG3360340-2487 LINE: 2 MUNICIPIO: PRADO / BA MATERIAL: SERVIÇO: 5710.80 BASE DE CÁLCULO ISS: 5710.80 BASE DE CÁLCULO INSS: 5710.80 Retenções ISS 5% Município: PRADO / BA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>06175128000172</v>
      </c>
      <c r="AL7" t="str">
        <v>45980000</v>
      </c>
      <c r="AM7" t="str">
        <v>BR 101</v>
      </c>
      <c r="AN7" t="str">
        <v>S/N</v>
      </c>
      <c r="AO7" t="str">
        <v>REGIÃO RIO SUL E SÃO FRANCISCO DE ASSIS</v>
      </c>
      <c r="AP7" t="str">
        <v>BA</v>
      </c>
      <c r="AQ7" t="str">
        <v/>
      </c>
      <c r="AR7" t="str">
        <v>BAPDO02</v>
      </c>
    </row>
    <row r="8">
      <c r="A8" t="str">
        <v>Huawei Gestao e Servicos de Telecomunicacoes do Brasil Ltda</v>
      </c>
      <c r="B8" t="str">
        <v>Huawei Gestao e Servicos de Telecomunicacoes do Brasil Ltda</v>
      </c>
      <c r="C8" t="str">
        <v>10.519.123/0001-97</v>
      </c>
      <c r="D8" t="str">
        <v>huawei@slgestao.com</v>
      </c>
      <c r="E8" t="str">
        <v>Avenida Jerome Case</v>
      </c>
      <c r="F8" t="str">
        <v>2600</v>
      </c>
      <c r="G8" t="str">
        <v>Galpão A3 A9 Quadra 25 Lote 7/A</v>
      </c>
      <c r="H8" t="str">
        <v>Sorocaba</v>
      </c>
      <c r="I8" t="str">
        <v>3552205</v>
      </c>
      <c r="J8" t="str">
        <v>Eden</v>
      </c>
      <c r="K8" t="str">
        <v>SP</v>
      </c>
      <c r="L8" t="str">
        <v>(11) 3930-8580</v>
      </c>
      <c r="M8" t="str">
        <v>18087-220</v>
      </c>
      <c r="N8" t="str">
        <v/>
      </c>
      <c r="O8" s="1">
        <f>=TODAY()</f>
      </c>
      <c r="P8" t="str">
        <v>6211HG3360340-3384-1-10519123000197</v>
      </c>
      <c r="Q8" t="str">
        <v>10519123000197</v>
      </c>
      <c r="R8" t="str">
        <v>PO: 6211HG3360340-3384 Line 1  PO: 6211HG3360340-3384 Line 6  PO: 6211HG3360340-3384 Line 7  PO: 6211HG3360340-3364 Line 1  PO: 6211HG3360340-3384 Line 2  PO: 6211HG3360340-3384 Line 4  PO: 6211HG3360340-3364 Line 2  PO: 6211HG3360340-3384 Line 3  PO: 6211HG3360340-3364 Line 3  PO: 6211HG3360340-3364 Line 4</v>
      </c>
      <c r="S8" t="str">
        <v>1</v>
      </c>
      <c r="T8" t="str">
        <v>TEIXEIRA DE FREITAS</v>
      </c>
      <c r="U8" t="str">
        <v>BA</v>
      </c>
      <c r="V8" t="str">
        <v>2931350</v>
      </c>
      <c r="W8">
        <v>13781.57</v>
      </c>
      <c r="X8">
        <v>14739.651000000002</v>
      </c>
      <c r="Y8" t="str">
        <v/>
      </c>
      <c r="Z8">
        <v>515.89</v>
      </c>
      <c r="AA8">
        <v>442.19</v>
      </c>
      <c r="AB8">
        <v>442.19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6211HG3360340-3384 LINE: 1 MUNICIPIO: TEIXEIRA DE FREITAS / BA MATERIAL: SERVIÇO: 14739.65 BASE DE CÁLCULO ISS: 14739.65 BASE DE CÁLCULO INSS: 14739.65 Retenções ISS 3% Município: TEIXEIRA DE FREITAS / BA Retenções INSS 3.5% NFS-e: O ISS desta NFS-e será retido pelo tomador de serviço.</v>
      </c>
      <c r="AF8">
        <v>3</v>
      </c>
      <c r="AG8">
        <v>2</v>
      </c>
      <c r="AH8" t="b">
        <v>0</v>
      </c>
      <c r="AI8">
        <v>2</v>
      </c>
      <c r="AJ8">
        <v>1</v>
      </c>
      <c r="AK8" t="str">
        <v>06175128000172</v>
      </c>
      <c r="AL8" t="str">
        <v>45992099</v>
      </c>
      <c r="AM8" t="str">
        <v>BAHIA</v>
      </c>
      <c r="AN8" t="str">
        <v>45</v>
      </c>
      <c r="AO8" t="str">
        <v>SÃO LOURENÇO</v>
      </c>
      <c r="AP8" t="str">
        <v>BA</v>
      </c>
      <c r="AQ8" t="str">
        <v/>
      </c>
      <c r="AR8" t="str">
        <v>BATAF02</v>
      </c>
    </row>
    <row r="9">
      <c r="A9" t="str">
        <v>Huawei Gestao e Servicos de Telecomunicacoes do Brasil Ltda</v>
      </c>
      <c r="B9" t="str">
        <v>Huawei Gestao e Servicos de Telecomunicacoes do Brasil Ltda</v>
      </c>
      <c r="C9" t="str">
        <v>10.519.123/0001-97</v>
      </c>
      <c r="D9" t="str">
        <v>huawei@slgestao.com</v>
      </c>
      <c r="E9" t="str">
        <v>Avenida Jerome Case</v>
      </c>
      <c r="F9" t="str">
        <v>2600</v>
      </c>
      <c r="G9" t="str">
        <v>Galpão A3 A9 Quadra 25 Lote 7/A</v>
      </c>
      <c r="H9" t="str">
        <v>Sorocaba</v>
      </c>
      <c r="I9" t="str">
        <v>3552205</v>
      </c>
      <c r="J9" t="str">
        <v>Eden</v>
      </c>
      <c r="K9" t="str">
        <v>SP</v>
      </c>
      <c r="L9" t="str">
        <v>(11) 3930-8580</v>
      </c>
      <c r="M9" t="str">
        <v>18087-220</v>
      </c>
      <c r="N9" t="str">
        <v/>
      </c>
      <c r="O9" s="1">
        <f>=TODAY()</f>
      </c>
      <c r="P9" t="str">
        <v>6211HG3360340-2557-1-10519123000197</v>
      </c>
      <c r="Q9" t="str">
        <v>10519123000197</v>
      </c>
      <c r="R9" t="str">
        <v>PO: 6211HG3360340-2557 Line 1</v>
      </c>
      <c r="S9" t="str">
        <v>1</v>
      </c>
      <c r="T9" t="str">
        <v>PRADO</v>
      </c>
      <c r="U9" t="str">
        <v>BA</v>
      </c>
      <c r="V9" t="str">
        <v>2925501</v>
      </c>
      <c r="W9">
        <v>1419</v>
      </c>
      <c r="X9">
        <v>1419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070203</v>
      </c>
      <c r="AE9" t="str">
        <v>Execução por empreitada de obras de construção civil e elétrica – adequação de infraestrutura, instalação e montagem de equipamentos de rede de telefonia celular, conforme pedidos de compra abaixo: PO: 6211HG3360340-2557 LINE: 1 MUNICIPIO: PRADO / BA MATERIAL: SERVIÇO: 1419.00 BASE DE CÁLCULO ISS: 1419.00 BASE DE CÁLCULO INSS: 1419.00 Retenções ISS 5% Município: PRADO / BA Retenções INSS % NFS-e: O ISS desta NFS-e será retido pelo tomador de serviço.</v>
      </c>
      <c r="AF9">
        <v>5</v>
      </c>
      <c r="AG9" t="str">
        <v/>
      </c>
      <c r="AH9" t="str">
        <v/>
      </c>
      <c r="AI9">
        <v>1</v>
      </c>
      <c r="AJ9">
        <v>1</v>
      </c>
      <c r="AK9" t="str">
        <v>06175128000172</v>
      </c>
      <c r="AL9" t="str">
        <v>45980000</v>
      </c>
      <c r="AM9" t="str">
        <v>SETE</v>
      </c>
      <c r="AN9" t="str">
        <v>S/N</v>
      </c>
      <c r="AO9" t="str">
        <v>NOVO</v>
      </c>
      <c r="AP9" t="str">
        <v>BA</v>
      </c>
      <c r="AQ9" t="str">
        <v>2925501</v>
      </c>
      <c r="AR9" t="str">
        <v>BAPDO01</v>
      </c>
    </row>
    <row r="10">
      <c r="A10" t="str">
        <v>Huawei Gestao e Servicos de Telecomunicacoes do Brasil Ltda</v>
      </c>
      <c r="B10" t="str">
        <v>Huawei Gestao e Servicos de Telecomunicacoes do Brasil Ltda</v>
      </c>
      <c r="C10" t="str">
        <v>10.519.123/0001-97</v>
      </c>
      <c r="D10" t="str">
        <v>huawei@slgestao.com</v>
      </c>
      <c r="E10" t="str">
        <v>Avenida Jerome Case</v>
      </c>
      <c r="F10" t="str">
        <v>2600</v>
      </c>
      <c r="G10" t="str">
        <v>Galpão A3 A9 Quadra 25 Lote 7/A</v>
      </c>
      <c r="H10" t="str">
        <v>Sorocaba</v>
      </c>
      <c r="I10" t="str">
        <v>3552205</v>
      </c>
      <c r="J10" t="str">
        <v>Eden</v>
      </c>
      <c r="K10" t="str">
        <v>SP</v>
      </c>
      <c r="L10" t="str">
        <v>(11) 3930-8580</v>
      </c>
      <c r="M10" t="str">
        <v>18087-220</v>
      </c>
      <c r="N10" t="str">
        <v/>
      </c>
      <c r="O10" s="1">
        <f>=TODAY()</f>
      </c>
      <c r="P10" t="str">
        <v>6211HG3360340-2830-1-10519123000197</v>
      </c>
      <c r="Q10" t="str">
        <v>10519123000197</v>
      </c>
      <c r="R10" t="str">
        <v>PO: 6211HG3360340-2830 Line 1  PO: 6211HG3360340-2830 Line 3  PO: 6211HG3360340-2830 Line 4  PO: 6211HG3360340-2830 Line 2  PO: 6211HG3360340-2830 Line 5</v>
      </c>
      <c r="S10" t="str">
        <v>1</v>
      </c>
      <c r="T10" t="str">
        <v>AFOGADOS DA INGAZEIRA</v>
      </c>
      <c r="U10" t="str">
        <v>PE</v>
      </c>
      <c r="V10" t="str">
        <v>2600104</v>
      </c>
      <c r="W10">
        <v>436.46</v>
      </c>
      <c r="X10">
        <v>477.008</v>
      </c>
      <c r="Y10" t="str">
        <v/>
      </c>
      <c r="Z10">
        <v>16.7</v>
      </c>
      <c r="AA10">
        <v>23.85</v>
      </c>
      <c r="AB10">
        <v>23.85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6211HG3360340-2830 LINE: 1 MUNICIPIO: AFOGADOS DA INGAZEIRA / PE MATERIAL: SERVIÇO: 477.01 BASE DE CÁLCULO ISS: 477.01 BASE DE CÁLCULO INSS: 477.01 Retenções ISS 5% Município: AFOGADOS DA INGAZEIRA / PE Retenções INSS 3.5% NFS-e: O ISS desta NFS-e será retido pelo tomador de serviço.</v>
      </c>
      <c r="AF10">
        <v>5</v>
      </c>
      <c r="AG10">
        <v>2</v>
      </c>
      <c r="AH10" t="b">
        <v>0</v>
      </c>
      <c r="AI10">
        <v>2</v>
      </c>
      <c r="AJ10">
        <v>1</v>
      </c>
      <c r="AK10" t="str">
        <v>06175128000172</v>
      </c>
      <c r="AL10" t="str">
        <v>56800000</v>
      </c>
      <c r="AM10" t="str">
        <v>RUA ARTUR PADILHA</v>
      </c>
      <c r="AN10" t="str">
        <v>SN</v>
      </c>
      <c r="AO10" t="str">
        <v>CENTRO</v>
      </c>
      <c r="AP10" t="str">
        <v>PE</v>
      </c>
      <c r="AQ10" t="str">
        <v>2600104</v>
      </c>
      <c r="AR10" t="str">
        <v>AFI</v>
      </c>
    </row>
    <row r="11">
      <c r="A11" t="str">
        <v>Huawei Gestao e Servicos de Telecomunicacoes do Brasil Ltda</v>
      </c>
      <c r="B11" t="str">
        <v>Huawei Gestao e Servicos de Telecomunicacoes do Brasil Ltda</v>
      </c>
      <c r="C11" t="str">
        <v>10.519.123/0001-97</v>
      </c>
      <c r="D11" t="str">
        <v>huawei@slgestao.com</v>
      </c>
      <c r="E11" t="str">
        <v>Avenida Jerome Case</v>
      </c>
      <c r="F11" t="str">
        <v>2600</v>
      </c>
      <c r="G11" t="str">
        <v>Galpão A3 A9 Quadra 25 Lote 7/A</v>
      </c>
      <c r="H11" t="str">
        <v>Sorocaba</v>
      </c>
      <c r="I11" t="str">
        <v>3552205</v>
      </c>
      <c r="J11" t="str">
        <v>Eden</v>
      </c>
      <c r="K11" t="str">
        <v>SP</v>
      </c>
      <c r="L11" t="str">
        <v>(11) 3930-8580</v>
      </c>
      <c r="M11" t="str">
        <v>18087-220</v>
      </c>
      <c r="N11" t="str">
        <v/>
      </c>
      <c r="O11" s="1">
        <f>=TODAY()</f>
      </c>
      <c r="P11" t="str">
        <v>6211HG3360340-3283-1-10519123000197</v>
      </c>
      <c r="Q11" t="str">
        <v>10519123000197</v>
      </c>
      <c r="R11" t="str">
        <v>PO: 6211HG3360340-3283 Line 1  PO: 6211HG3360340-3284 Line 1  PO: 6211HG3360340-3284 Line 2  PO: 6211HG3360340-3284 Line 3  PO: 6211HG3360340-3284 Line 4</v>
      </c>
      <c r="S11" t="str">
        <v>1</v>
      </c>
      <c r="T11" t="str">
        <v>POTIRAGUA</v>
      </c>
      <c r="U11" t="str">
        <v>BA</v>
      </c>
      <c r="V11" t="str">
        <v>2925402</v>
      </c>
      <c r="W11">
        <v>1800.68</v>
      </c>
      <c r="X11">
        <v>1967.9589999999998</v>
      </c>
      <c r="Y11" t="str">
        <v/>
      </c>
      <c r="Z11">
        <v>68.88</v>
      </c>
      <c r="AA11">
        <v>98.4</v>
      </c>
      <c r="AB11">
        <v>98.4</v>
      </c>
      <c r="AC11">
        <v>3.5</v>
      </c>
      <c r="AD11" t="str">
        <v>070202</v>
      </c>
      <c r="AE11" t="str">
        <v>Execução por empreitada de obras de construção civil e elétrica – adequação de infraestrutura, instalação e montagem de equipamentos de rede de telefonia celular, conforme pedidos de compra abaixo: PO: 6211HG3360340-3283 LINE: 1 MUNICIPIO: POTIRAGUA / BA MATERIAL: SERVIÇO: 1967.96 BASE DE CÁLCULO ISS: 1967.96 BASE DE CÁLCULO INSS: 1967.96 Retenções ISS 5% Município: POTIRAGUA / BA Retenções INSS 3.5% NFS-e: O ISS desta NFS-e será retido pelo tomador de serviço.</v>
      </c>
      <c r="AF11">
        <v>5</v>
      </c>
      <c r="AG11">
        <v>2</v>
      </c>
      <c r="AH11" t="b">
        <v>0</v>
      </c>
      <c r="AI11">
        <v>2</v>
      </c>
      <c r="AJ11">
        <v>1</v>
      </c>
      <c r="AK11" t="str">
        <v>06175128000172</v>
      </c>
      <c r="AL11" t="str">
        <v>45790000</v>
      </c>
      <c r="AM11" t="str">
        <v>ANTONIO GONCALVES</v>
      </c>
      <c r="AN11" t="str">
        <v>S/N</v>
      </c>
      <c r="AO11" t="str">
        <v>CENTRO</v>
      </c>
      <c r="AP11" t="str">
        <v>BA</v>
      </c>
      <c r="AQ11" t="str">
        <v>2925402</v>
      </c>
      <c r="AR11" t="str">
        <v>BAPOG01</v>
      </c>
    </row>
    <row r="12">
      <c r="A12" t="str">
        <v>Huawei Gestao e Servicos de Telecomunicacoes do Brasil Ltda</v>
      </c>
      <c r="B12" t="str">
        <v>Huawei Gestao e Servicos de Telecomunicacoes do Brasil Ltda</v>
      </c>
      <c r="C12" t="str">
        <v>10.519.123/0001-97</v>
      </c>
      <c r="D12" t="str">
        <v>huawei@slgestao.com</v>
      </c>
      <c r="E12" t="str">
        <v>Avenida Jerome Case</v>
      </c>
      <c r="F12" t="str">
        <v>2600</v>
      </c>
      <c r="G12" t="str">
        <v>Galpão A3 A9 Quadra 25 Lote 7/A</v>
      </c>
      <c r="H12" t="str">
        <v>Sorocaba</v>
      </c>
      <c r="I12" t="str">
        <v>3552205</v>
      </c>
      <c r="J12" t="str">
        <v>Eden</v>
      </c>
      <c r="K12" t="str">
        <v>SP</v>
      </c>
      <c r="L12" t="str">
        <v>(11) 3930-8580</v>
      </c>
      <c r="M12" t="str">
        <v>18087-220</v>
      </c>
      <c r="N12" t="str">
        <v/>
      </c>
      <c r="O12" s="1">
        <f>=TODAY()</f>
      </c>
      <c r="P12" t="str">
        <v>6211HG3360342-805-1-10519123000197</v>
      </c>
      <c r="Q12" t="str">
        <v>10519123000197</v>
      </c>
      <c r="R12" t="str">
        <v>PO: 6211HG3360342-805 Line 1</v>
      </c>
      <c r="S12" t="str">
        <v>1</v>
      </c>
      <c r="T12" t="str">
        <v>GOIANIA</v>
      </c>
      <c r="U12" t="str">
        <v>GO</v>
      </c>
      <c r="V12" t="str">
        <v>5201405</v>
      </c>
      <c r="W12">
        <v>6090.33</v>
      </c>
      <c r="X12">
        <v>6656.094</v>
      </c>
      <c r="Y12" t="str">
        <v/>
      </c>
      <c r="Z12">
        <v>232.96</v>
      </c>
      <c r="AA12">
        <v>332.8</v>
      </c>
      <c r="AB12">
        <v>332.8</v>
      </c>
      <c r="AC12">
        <v>3.5</v>
      </c>
      <c r="AD12" t="str">
        <v>070202</v>
      </c>
      <c r="AE12" t="str">
        <v>Execução por empreitada de obras de construção civil e elétrica – adequação de infraestrutura, instalação e montagem de equipamentos de rede de telefonia celular, conforme pedidos de compra abaixo: PO: 6211HG3360342-805 LINE: 1 MUNICIPIO: GOIANIA / GO MATERIAL: SERVIÇO: 6656.09 BASE DE CÁLCULO ISS: 6656.09 BASE DE CÁLCULO INSS: 6656.09 Retenções ISS 5% Município: GOIANIA / GO Retenções INSS 3.5% NFS-e: O ISS desta NFS-e será retido pelo tomador de serviço.</v>
      </c>
      <c r="AF12">
        <v>5</v>
      </c>
      <c r="AG12">
        <v>2</v>
      </c>
      <c r="AH12" t="b">
        <v>0</v>
      </c>
      <c r="AI12">
        <v>2</v>
      </c>
      <c r="AJ12">
        <v>1</v>
      </c>
      <c r="AK12" t="str">
        <v>06175128000172</v>
      </c>
      <c r="AL12" t="str">
        <v>74482270</v>
      </c>
      <c r="AM12" t="str">
        <v>Alameda Mangalôs</v>
      </c>
      <c r="AN12" t="str">
        <v>SN</v>
      </c>
      <c r="AO12" t="str">
        <v>Sítios de Recreio dos Bandeirantes</v>
      </c>
      <c r="AP12" t="str">
        <v>GO</v>
      </c>
      <c r="AQ12" t="str">
        <v>5208707</v>
      </c>
      <c r="AR12" t="str">
        <v>SRB</v>
      </c>
    </row>
    <row r="13">
      <c r="A13" t="str">
        <v>Huawei Gestao e Servicos de Telecomunicacoes do Brasil Ltda</v>
      </c>
      <c r="B13" t="str">
        <v>Huawei Gestao e Servicos de Telecomunicacoes do Brasil Ltda</v>
      </c>
      <c r="C13" t="str">
        <v>10.519.123/0001-97</v>
      </c>
      <c r="D13" t="str">
        <v>huawei@slgestao.com</v>
      </c>
      <c r="E13" t="str">
        <v>Avenida Jerome Case</v>
      </c>
      <c r="F13" t="str">
        <v>2600</v>
      </c>
      <c r="G13" t="str">
        <v>Galpão A3 A9 Quadra 25 Lote 7/A</v>
      </c>
      <c r="H13" t="str">
        <v>Sorocaba</v>
      </c>
      <c r="I13" t="str">
        <v>3552205</v>
      </c>
      <c r="J13" t="str">
        <v>Eden</v>
      </c>
      <c r="K13" t="str">
        <v>SP</v>
      </c>
      <c r="L13" t="str">
        <v>(11) 3930-8580</v>
      </c>
      <c r="M13" t="str">
        <v>18087-220</v>
      </c>
      <c r="N13" t="str">
        <v/>
      </c>
      <c r="O13" s="1">
        <f>=TODAY()</f>
      </c>
      <c r="P13" t="str">
        <v>6211HG3360340-3254-2-10519123000197</v>
      </c>
      <c r="Q13" t="str">
        <v>10519123000197</v>
      </c>
      <c r="R13" t="str">
        <v>PO: 6211HG3360340-3254 Line 2  PO: 6211HG3360340-3692 Line 1  PO: 6211HG3360340-3692 Line 2  PO: 6211HG3360340-3254 Line 1  PO: 6211HG3360340-3254 Line 4  PO: 6211HG3360340-3254 Line 3</v>
      </c>
      <c r="S13" t="str">
        <v>2</v>
      </c>
      <c r="T13" t="str">
        <v>SALVADOR</v>
      </c>
      <c r="U13" t="str">
        <v>BA</v>
      </c>
      <c r="V13" t="str">
        <v>2927408</v>
      </c>
      <c r="W13">
        <v>1364.29</v>
      </c>
      <c r="X13">
        <v>1491.0330000000001</v>
      </c>
      <c r="Y13" t="str">
        <v/>
      </c>
      <c r="Z13">
        <v>52.19</v>
      </c>
      <c r="AA13">
        <v>74.55</v>
      </c>
      <c r="AB13">
        <v>74.55</v>
      </c>
      <c r="AC13">
        <v>3.5</v>
      </c>
      <c r="AD13" t="str">
        <v>070202</v>
      </c>
      <c r="AE13" t="str">
        <v>Execução por empreitada de obras de construção civil e elétrica – adequação de infraestrutura, instalação e montagem de equipamentos de rede de telefonia celular, conforme pedidos de compra abaixo: PO: 6211HG3360340-3254 LINE: 2 MUNICIPIO: SALVADOR / BA MATERIAL: SERVIÇO: 1491.03 BASE DE CÁLCULO ISS: 1491.03 BASE DE CÁLCULO INSS: 1491.03 Retenções ISS 5% Município: SALVADOR / BA Retenções INSS 3.5% NFS-e: O ISS desta NFS-e será retido pelo tomador de serviço.</v>
      </c>
      <c r="AF13">
        <v>5</v>
      </c>
      <c r="AG13">
        <v>2</v>
      </c>
      <c r="AH13" t="b">
        <v>0</v>
      </c>
      <c r="AI13">
        <v>2</v>
      </c>
      <c r="AJ13">
        <v>1</v>
      </c>
      <c r="AK13" t="str">
        <v>06175128000172</v>
      </c>
      <c r="AL13" t="str">
        <v>42816140</v>
      </c>
      <c r="AM13" t="str">
        <v>Rua Hidrogênio</v>
      </c>
      <c r="AN13" t="str">
        <v>SN</v>
      </c>
      <c r="AO13" t="str">
        <v>Pólo Industrial de Camaçari</v>
      </c>
      <c r="AP13" t="str">
        <v>BA</v>
      </c>
      <c r="AQ13" t="str">
        <v>2905701</v>
      </c>
      <c r="AR13" t="str">
        <v>BACAR99</v>
      </c>
    </row>
    <row r="14">
      <c r="A14" t="str">
        <v>Huawei Gestao e Servicos de Telecomunicacoes do Brasil Ltda</v>
      </c>
      <c r="B14" t="str">
        <v>Huawei Gestao e Servicos de Telecomunicacoes do Brasil Ltda</v>
      </c>
      <c r="C14" t="str">
        <v>10.519.123/0001-97</v>
      </c>
      <c r="D14" t="str">
        <v>huawei@slgestao.com</v>
      </c>
      <c r="E14" t="str">
        <v>Avenida Jerome Case</v>
      </c>
      <c r="F14" t="str">
        <v>2600</v>
      </c>
      <c r="G14" t="str">
        <v>Galpão A3 A9 Quadra 25 Lote 7/A</v>
      </c>
      <c r="H14" t="str">
        <v>Sorocaba</v>
      </c>
      <c r="I14" t="str">
        <v>3552205</v>
      </c>
      <c r="J14" t="str">
        <v>Eden</v>
      </c>
      <c r="K14" t="str">
        <v>SP</v>
      </c>
      <c r="L14" t="str">
        <v>(11) 3930-8580</v>
      </c>
      <c r="M14" t="str">
        <v>18087-220</v>
      </c>
      <c r="N14" t="str">
        <v/>
      </c>
      <c r="O14" s="1">
        <f>=TODAY()</f>
      </c>
      <c r="P14" t="str">
        <v>6211HG3295910-1034-1-10519123000197</v>
      </c>
      <c r="Q14" t="str">
        <v>10519123000197</v>
      </c>
      <c r="R14" t="str">
        <v>PO: 6211HG3295910-1034 Line 1  PO: 6211HG3295910-1037 Line 1</v>
      </c>
      <c r="S14" t="str">
        <v>1</v>
      </c>
      <c r="T14" t="str">
        <v>SAO JOSE DOS CAMPOS</v>
      </c>
      <c r="U14" t="str">
        <v>SP</v>
      </c>
      <c r="V14" t="str">
        <v>3549904</v>
      </c>
      <c r="W14">
        <v>1725.61</v>
      </c>
      <c r="X14">
        <v>1845.576</v>
      </c>
      <c r="Y14" t="str">
        <v/>
      </c>
      <c r="Z14">
        <v>64.6</v>
      </c>
      <c r="AA14">
        <v>55.37</v>
      </c>
      <c r="AB14">
        <v>55.37</v>
      </c>
      <c r="AC14">
        <v>3.5</v>
      </c>
      <c r="AD14" t="str">
        <v>070202</v>
      </c>
      <c r="AE14" t="str">
        <v>Execução por empreitada de obras de construção civil e elétrica – adequação de infraestrutura, instalação e montagem de equipamentos de rede de telefonia celular, conforme pedidos de compra abaixo: PO: 6211HG3295910-1034 LINE: 1 MUNICIPIO: SAO JOSE DOS CAMPOS / SP MATERIAL: SERVIÇO: 1845.58 BASE DE CÁLCULO ISS: 1845.58 BASE DE CÁLCULO INSS: 1845.58 Retenções ISS 3% Município: SAO JOSE DOS CAMPOS / SP Retenções INSS 3.5% NFS-e: O ISS desta NFS-e será retido pelo tomador de serviço.</v>
      </c>
      <c r="AF14">
        <v>3</v>
      </c>
      <c r="AG14">
        <v>2</v>
      </c>
      <c r="AH14" t="b">
        <v>0</v>
      </c>
      <c r="AI14">
        <v>2</v>
      </c>
      <c r="AJ14">
        <v>1</v>
      </c>
      <c r="AK14" t="str">
        <v>06175128000172</v>
      </c>
      <c r="AL14" t="str">
        <v>12215380</v>
      </c>
      <c r="AM14" t="str">
        <v>Avenida Presidente Juscelino Kubitschek</v>
      </c>
      <c r="AN14" t="str">
        <v>SN</v>
      </c>
      <c r="AO14" t="str">
        <v>Monte Castelo</v>
      </c>
      <c r="AP14" t="str">
        <v>SP</v>
      </c>
      <c r="AQ14" t="str">
        <v>3549904</v>
      </c>
      <c r="AR14" t="str">
        <v>SPSJC</v>
      </c>
    </row>
    <row r="15">
      <c r="A15" t="str">
        <v>Huawei Gestao e Servicos de Telecomunicacoes do Brasil Ltda</v>
      </c>
      <c r="B15" t="str">
        <v>Huawei Gestao e Servicos de Telecomunicacoes do Brasil Ltda</v>
      </c>
      <c r="C15" t="str">
        <v>10.519.123/0001-97</v>
      </c>
      <c r="D15" t="str">
        <v>huawei@slgestao.com</v>
      </c>
      <c r="E15" t="str">
        <v>Avenida Jerome Case</v>
      </c>
      <c r="F15" t="str">
        <v>2600</v>
      </c>
      <c r="G15" t="str">
        <v>Galpão A3 A9 Quadra 25 Lote 7/A</v>
      </c>
      <c r="H15" t="str">
        <v>Sorocaba</v>
      </c>
      <c r="I15" t="str">
        <v>3552205</v>
      </c>
      <c r="J15" t="str">
        <v>Eden</v>
      </c>
      <c r="K15" t="str">
        <v>SP</v>
      </c>
      <c r="L15" t="str">
        <v>(11) 3930-8580</v>
      </c>
      <c r="M15" t="str">
        <v>18087-220</v>
      </c>
      <c r="N15" t="str">
        <v/>
      </c>
      <c r="O15" s="1">
        <f>=TODAY()</f>
      </c>
      <c r="P15" t="str">
        <v>6211HG3360342-978-1-10519123000197</v>
      </c>
      <c r="Q15" t="str">
        <v>10519123000197</v>
      </c>
      <c r="R15" t="str">
        <v>PO: 6211HG3360342-978 Line 1  PO: 6211HG3360342-978 Line 3  PO: 6211HG3360342-978 Line 2  PO: 6211HG3360342-981 Line 1</v>
      </c>
      <c r="S15" t="str">
        <v>1</v>
      </c>
      <c r="T15" t="str">
        <v>BRASILIA</v>
      </c>
      <c r="U15" t="str">
        <v>DF</v>
      </c>
      <c r="V15" t="str">
        <v>5300108</v>
      </c>
      <c r="W15">
        <v>943.81</v>
      </c>
      <c r="X15">
        <v>998.754</v>
      </c>
      <c r="Y15" t="str">
        <v/>
      </c>
      <c r="Z15">
        <v>34.96</v>
      </c>
      <c r="AA15">
        <v>19.98</v>
      </c>
      <c r="AB15">
        <v>19.98</v>
      </c>
      <c r="AC15">
        <v>3.5</v>
      </c>
      <c r="AD15" t="str">
        <v>070202</v>
      </c>
      <c r="AE15" t="str">
        <v>Execução por empreitada de obras de construção civil e elétrica – adequação de infraestrutura, instalação e montagem de equipamentos de rede de telefonia celular, conforme pedidos de compra abaixo: PO: 6211HG3360342-978 LINE: 1 MUNICIPIO: BRASILIA / DF MATERIAL: SERVIÇO: 998.75 BASE DE CÁLCULO ISS: 998.75 BASE DE CÁLCULO INSS: 998.75 Retenções ISS 2% Município: BRASILIA / DF Retenções INSS 3.5% NFS-e: O ISS desta NFS-e será retido pelo tomador de serviço.</v>
      </c>
      <c r="AF15">
        <v>2</v>
      </c>
      <c r="AG15">
        <v>2</v>
      </c>
      <c r="AH15" t="b">
        <v>0</v>
      </c>
      <c r="AI15">
        <v>2</v>
      </c>
      <c r="AJ15">
        <v>1</v>
      </c>
      <c r="AK15" t="str">
        <v>06175128000172</v>
      </c>
      <c r="AL15" t="str">
        <v>72250300</v>
      </c>
      <c r="AM15" t="str">
        <v>Quadra QNO 3</v>
      </c>
      <c r="AN15" t="str">
        <v>28</v>
      </c>
      <c r="AO15" t="str">
        <v>Ceilândia Norte</v>
      </c>
      <c r="AP15" t="str">
        <v>DF</v>
      </c>
      <c r="AQ15" t="str">
        <v>5300108</v>
      </c>
      <c r="AR15" t="str">
        <v>DFTAGA7</v>
      </c>
    </row>
    <row r="16">
      <c r="A16" t="str">
        <v>Huawei Gestao e Servicos de Telecomunicacoes do Brasil Ltda</v>
      </c>
      <c r="B16" t="str">
        <v>Huawei Gestao e Servicos de Telecomunicacoes do Brasil Ltda</v>
      </c>
      <c r="C16" t="str">
        <v>10.519.123/0001-97</v>
      </c>
      <c r="D16" t="str">
        <v>huawei@slgestao.com</v>
      </c>
      <c r="E16" t="str">
        <v>Avenida Jerome Case</v>
      </c>
      <c r="F16" t="str">
        <v>2600</v>
      </c>
      <c r="G16" t="str">
        <v>Galpão A3 A9 Quadra 25 Lote 7/A</v>
      </c>
      <c r="H16" t="str">
        <v>Sorocaba</v>
      </c>
      <c r="I16" t="str">
        <v>3552205</v>
      </c>
      <c r="J16" t="str">
        <v>Eden</v>
      </c>
      <c r="K16" t="str">
        <v>SP</v>
      </c>
      <c r="L16" t="str">
        <v>(11) 3930-8580</v>
      </c>
      <c r="M16" t="str">
        <v>18087-220</v>
      </c>
      <c r="N16" t="str">
        <v/>
      </c>
      <c r="O16" s="1">
        <f>=TODAY()</f>
      </c>
      <c r="P16" t="str">
        <v>6211HG3360340-3446-1-10519123000197</v>
      </c>
      <c r="Q16" t="str">
        <v>10519123000197</v>
      </c>
      <c r="R16" t="str">
        <v>PO: 6211HG3360340-3446 Line 1  PO: 6211HG3360340-3455 Line 2  PO: 6211HG3360340-3455 Line 1</v>
      </c>
      <c r="S16" t="str">
        <v>1</v>
      </c>
      <c r="T16" t="str">
        <v>SOBRAL</v>
      </c>
      <c r="U16" t="str">
        <v>CE</v>
      </c>
      <c r="V16" t="str">
        <v>2312908</v>
      </c>
      <c r="W16">
        <v>4885.3</v>
      </c>
      <c r="X16">
        <v>5169.6269999999995</v>
      </c>
      <c r="Y16" t="str">
        <v/>
      </c>
      <c r="Z16">
        <v>180.94</v>
      </c>
      <c r="AA16">
        <v>103.39</v>
      </c>
      <c r="AB16">
        <v>103.39</v>
      </c>
      <c r="AC16">
        <v>3.5</v>
      </c>
      <c r="AD16" t="str">
        <v>070202</v>
      </c>
      <c r="AE16" t="str">
        <v>Execução por empreitada de obras de construção civil e elétrica – adequação de infraestrutura, instalação e montagem de equipamentos de rede de telefonia celular, conforme pedidos de compra abaixo: PO: 6211HG3360340-3446 LINE: 1 MUNICIPIO: SOBRAL / CE MATERIAL: SERVIÇO: 5169.63 BASE DE CÁLCULO ISS: 5169.63 BASE DE CÁLCULO INSS: 5169.63 Retenções ISS 2% Município: SOBRAL / CE Retenções INSS 3.5% NFS-e: O ISS desta NFS-e será retido pelo tomador de serviço.</v>
      </c>
      <c r="AF16">
        <v>2</v>
      </c>
      <c r="AG16">
        <v>2</v>
      </c>
      <c r="AH16" t="b">
        <v>0</v>
      </c>
      <c r="AI16">
        <v>2</v>
      </c>
      <c r="AJ16">
        <v>1</v>
      </c>
      <c r="AK16" t="str">
        <v>06175128000172</v>
      </c>
      <c r="AL16" t="str">
        <v>620401000</v>
      </c>
      <c r="AM16" t="str">
        <v>Rua Doutor José Custódio de Azevedo</v>
      </c>
      <c r="AN16" t="str">
        <v>S/N</v>
      </c>
      <c r="AO16" t="str">
        <v>Expectativa</v>
      </c>
      <c r="AP16" t="str">
        <v>CE</v>
      </c>
      <c r="AQ16" t="str">
        <v>2312908</v>
      </c>
      <c r="AR16" t="str">
        <v>SR-SOPSJ0</v>
      </c>
    </row>
    <row r="17">
      <c r="A17" t="str">
        <v>Huawei Gestao e Servicos de Telecomunicacoes do Brasil Ltda</v>
      </c>
      <c r="B17" t="str">
        <v>Huawei Gestao e Servicos de Telecomunicacoes do Brasil Ltda</v>
      </c>
      <c r="C17" t="str">
        <v>10.519.123/0001-97</v>
      </c>
      <c r="D17" t="str">
        <v>huawei@slgestao.com</v>
      </c>
      <c r="E17" t="str">
        <v>Avenida Jerome Case</v>
      </c>
      <c r="F17" t="str">
        <v>2600</v>
      </c>
      <c r="G17" t="str">
        <v>Galpão A3 A9 Quadra 25 Lote 7/A</v>
      </c>
      <c r="H17" t="str">
        <v>Sorocaba</v>
      </c>
      <c r="I17" t="str">
        <v>3552205</v>
      </c>
      <c r="J17" t="str">
        <v>Eden</v>
      </c>
      <c r="K17" t="str">
        <v>SP</v>
      </c>
      <c r="L17" t="str">
        <v>(11) 3930-8580</v>
      </c>
      <c r="M17" t="str">
        <v>18087-220</v>
      </c>
      <c r="N17" t="str">
        <v/>
      </c>
      <c r="O17" s="1">
        <f>=TODAY()</f>
      </c>
      <c r="P17" t="str">
        <v>6211HG3360338-883-2-10519123000197</v>
      </c>
      <c r="Q17" t="str">
        <v>10519123000197</v>
      </c>
      <c r="R17" t="str">
        <v>PO: 6211HG3360338-883 Line 2  PO: 6211HG3360338-875 Line 1  PO: 6211HG3360338-883 Line 1</v>
      </c>
      <c r="S17" t="str">
        <v>2</v>
      </c>
      <c r="T17" t="str">
        <v>COTIA</v>
      </c>
      <c r="U17" t="str">
        <v>SP</v>
      </c>
      <c r="V17" t="str">
        <v>3513009</v>
      </c>
      <c r="W17">
        <v>3882.41</v>
      </c>
      <c r="X17">
        <v>4243.067999999999</v>
      </c>
      <c r="Y17" t="str">
        <v/>
      </c>
      <c r="Z17">
        <v>148.51</v>
      </c>
      <c r="AA17">
        <v>212.15</v>
      </c>
      <c r="AB17">
        <v>212.15</v>
      </c>
      <c r="AC17">
        <v>3.5</v>
      </c>
      <c r="AD17" t="str">
        <v>070202</v>
      </c>
      <c r="AE17" t="str">
        <v>Execução por empreitada de obras de construção civil e elétrica – adequação de infraestrutura, instalação e montagem de equipamentos de rede de telefonia celular, conforme pedidos de compra abaixo: PO: 6211HG3360338-883 LINE: 2 MUNICIPIO: COTIA / SP MATERIAL: SERVIÇO: 4243.07 BASE DE CÁLCULO ISS: 4243.07 BASE DE CÁLCULO INSS: 4243.07 Retenções ISS 5% Município: COTIA / SP Retenções INSS 3.5% NFS-e: O ISS desta NFS-e será retido pelo tomador de serviço.</v>
      </c>
      <c r="AF17">
        <v>5</v>
      </c>
      <c r="AG17">
        <v>2</v>
      </c>
      <c r="AH17" t="b">
        <v>0</v>
      </c>
      <c r="AI17">
        <v>2</v>
      </c>
      <c r="AJ17">
        <v>1</v>
      </c>
      <c r="AK17" t="str">
        <v>06175128000172</v>
      </c>
      <c r="AL17" t="str">
        <v>06711420</v>
      </c>
      <c r="AM17" t="str">
        <v>Rua dos Cangurus</v>
      </c>
      <c r="AN17" t="str">
        <v>SN</v>
      </c>
      <c r="AO17" t="str">
        <v>Jardim do Engenho</v>
      </c>
      <c r="AP17" t="str">
        <v>SP</v>
      </c>
      <c r="AQ17" t="str">
        <v>3513009</v>
      </c>
      <c r="AR17" t="str">
        <v>SR-COCRJ1</v>
      </c>
    </row>
    <row r="18">
      <c r="A18" t="str">
        <v>Huawei Gestao e Servicos de Telecomunicacoes do Brasil Ltda</v>
      </c>
      <c r="B18" t="str">
        <v>Huawei Gestao e Servicos de Telecomunicacoes do Brasil Ltda</v>
      </c>
      <c r="C18" t="str">
        <v>10.519.123/0001-97</v>
      </c>
      <c r="D18" t="str">
        <v>huawei@slgestao.com</v>
      </c>
      <c r="E18" t="str">
        <v>Avenida Jerome Case</v>
      </c>
      <c r="F18" t="str">
        <v>2600</v>
      </c>
      <c r="G18" t="str">
        <v>Galpão A3 A9 Quadra 25 Lote 7/A</v>
      </c>
      <c r="H18" t="str">
        <v>Sorocaba</v>
      </c>
      <c r="I18" t="str">
        <v>3552205</v>
      </c>
      <c r="J18" t="str">
        <v>Eden</v>
      </c>
      <c r="K18" t="str">
        <v>SP</v>
      </c>
      <c r="L18" t="str">
        <v>(11) 3930-8580</v>
      </c>
      <c r="M18" t="str">
        <v>18087-220</v>
      </c>
      <c r="N18" t="str">
        <v/>
      </c>
      <c r="O18" s="1">
        <f>=TODAY()</f>
      </c>
      <c r="P18" t="str">
        <v>6211HG3360340-3534-1-10519123000197</v>
      </c>
      <c r="Q18" t="str">
        <v>10519123000197</v>
      </c>
      <c r="R18" t="str">
        <v>PO: 6211HG3360340-3534 Line 1  PO: 6211HG3360340-3534 Line 4  PO: 6211HG3360340-3534 Line 2  PO: 6211HG3360340-3534 Line 3</v>
      </c>
      <c r="S18" t="str">
        <v>1</v>
      </c>
      <c r="T18" t="str">
        <v>MORENO</v>
      </c>
      <c r="U18" t="str">
        <v>PE</v>
      </c>
      <c r="V18" t="str">
        <v>2609402</v>
      </c>
      <c r="W18">
        <v>592.31</v>
      </c>
      <c r="X18">
        <v>640.3330000000001</v>
      </c>
      <c r="Y18" t="str">
        <v/>
      </c>
      <c r="Z18">
        <v>22.41</v>
      </c>
      <c r="AA18">
        <v>25.61</v>
      </c>
      <c r="AB18">
        <v>25.61</v>
      </c>
      <c r="AC18">
        <v>3.5</v>
      </c>
      <c r="AD18" t="str">
        <v>070202</v>
      </c>
      <c r="AE18" t="str">
        <v>Execução por empreitada de obras de construção civil e elétrica – adequação de infraestrutura, instalação e montagem de equipamentos de rede de telefonia celular, conforme pedidos de compra abaixo: PO: 6211HG3360340-3534 LINE: 1 MUNICIPIO: MORENO / PE MATERIAL: SERVIÇO: 640.33 BASE DE CÁLCULO ISS: 640.33 BASE DE CÁLCULO INSS: 640.33 Retenções ISS 4% Município: MORENO / PE Retenções INSS 3.5% NFS-e: O ISS desta NFS-e será retido pelo tomador de serviço.</v>
      </c>
      <c r="AF18">
        <v>4</v>
      </c>
      <c r="AG18">
        <v>2</v>
      </c>
      <c r="AH18" t="b">
        <v>0</v>
      </c>
      <c r="AI18">
        <v>2</v>
      </c>
      <c r="AJ18">
        <v>1</v>
      </c>
      <c r="AK18" t="str">
        <v>06175128000172</v>
      </c>
      <c r="AL18" t="str">
        <v>54800000</v>
      </c>
      <c r="AM18" t="str">
        <v>R Professora Laura de Freitas</v>
      </c>
      <c r="AN18" t="str">
        <v>SN</v>
      </c>
      <c r="AO18" t="str">
        <v>Centro</v>
      </c>
      <c r="AP18" t="str">
        <v>PE</v>
      </c>
      <c r="AQ18" t="str">
        <v>2609402</v>
      </c>
      <c r="AR18" t="str">
        <v>MRC</v>
      </c>
    </row>
    <row r="19">
      <c r="A19" t="str">
        <v>Huawei Gestao e Servicos de Telecomunicacoes do Brasil Ltda</v>
      </c>
      <c r="B19" t="str">
        <v>Huawei Gestao e Servicos de Telecomunicacoes do Brasil Ltda</v>
      </c>
      <c r="C19" t="str">
        <v>10.519.123/0001-97</v>
      </c>
      <c r="D19" t="str">
        <v>huawei@slgestao.com</v>
      </c>
      <c r="E19" t="str">
        <v>Avenida Jerome Case</v>
      </c>
      <c r="F19" t="str">
        <v>2600</v>
      </c>
      <c r="G19" t="str">
        <v>Galpão A3 A9 Quadra 25 Lote 7/A</v>
      </c>
      <c r="H19" t="str">
        <v>Sorocaba</v>
      </c>
      <c r="I19" t="str">
        <v>3552205</v>
      </c>
      <c r="J19" t="str">
        <v>Eden</v>
      </c>
      <c r="K19" t="str">
        <v>SP</v>
      </c>
      <c r="L19" t="str">
        <v>(11) 3930-8580</v>
      </c>
      <c r="M19" t="str">
        <v>18087-220</v>
      </c>
      <c r="N19" t="str">
        <v/>
      </c>
      <c r="O19" s="1">
        <f>=TODAY()</f>
      </c>
      <c r="P19" t="str">
        <v>6211HG3360340-3591-2-10519123000197</v>
      </c>
      <c r="Q19" t="str">
        <v>10519123000197</v>
      </c>
      <c r="R19" t="str">
        <v>PO: 6211HG3360340-3591 Line 2  PO: 6211HG3360340-3591 Line 3  PO: 6211HG3360340-3591 Line 4  PO: 6211HG3360340-3591 Line 1</v>
      </c>
      <c r="S19" t="str">
        <v>2</v>
      </c>
      <c r="T19" t="str">
        <v>RECIFE</v>
      </c>
      <c r="U19" t="str">
        <v>PE</v>
      </c>
      <c r="V19" t="str">
        <v>2611606</v>
      </c>
      <c r="W19">
        <v>552.14</v>
      </c>
      <c r="X19">
        <v>603.4259999999999</v>
      </c>
      <c r="Y19" t="str">
        <v/>
      </c>
      <c r="Z19">
        <v>21.12</v>
      </c>
      <c r="AA19">
        <v>30.17</v>
      </c>
      <c r="AB19">
        <v>30.17</v>
      </c>
      <c r="AC19">
        <v>3.5</v>
      </c>
      <c r="AD19" t="str">
        <v>070202</v>
      </c>
      <c r="AE19" t="str">
        <v>Execução por empreitada de obras de construção civil e elétrica – adequação de infraestrutura, instalação e montagem de equipamentos de rede de telefonia celular, conforme pedidos de compra abaixo: PO: 6211HG3360340-3591 LINE: 2 MUNICIPIO: RECIFE / PE MATERIAL: SERVIÇO: 603.43 BASE DE CÁLCULO ISS: 603.43 BASE DE CÁLCULO INSS: 603.43 Retenções ISS 5% Município: RECIFE / PE Retenções INSS 3.5% NFS-e: O ISS desta NFS-e será retido pelo tomador de serviço.</v>
      </c>
      <c r="AF19">
        <v>5</v>
      </c>
      <c r="AG19">
        <v>2</v>
      </c>
      <c r="AH19" t="b">
        <v>0</v>
      </c>
      <c r="AI19">
        <v>2</v>
      </c>
      <c r="AJ19">
        <v>1</v>
      </c>
      <c r="AK19" t="str">
        <v>06175128000172</v>
      </c>
      <c r="AL19" t="str">
        <v>15750370</v>
      </c>
      <c r="AM19" t="str">
        <v>Rua Senador Fabio de Barro</v>
      </c>
      <c r="AN19" t="str">
        <v>250</v>
      </c>
      <c r="AO19" t="str">
        <v>lha do retiro</v>
      </c>
      <c r="AP19" t="str">
        <v>PE</v>
      </c>
      <c r="AQ19" t="str">
        <v>2611606</v>
      </c>
      <c r="AR19" t="str">
        <v>DIV</v>
      </c>
    </row>
    <row r="20">
      <c r="A20" t="str">
        <v>Huawei Gestao e Servicos de Telecomunicacoes do Brasil Ltda</v>
      </c>
      <c r="B20" t="str">
        <v>Huawei Gestao e Servicos de Telecomunicacoes do Brasil Ltda</v>
      </c>
      <c r="C20" t="str">
        <v>10.519.123/0001-97</v>
      </c>
      <c r="D20" t="str">
        <v>huawei@slgestao.com</v>
      </c>
      <c r="E20" t="str">
        <v>Avenida Jerome Case</v>
      </c>
      <c r="F20" t="str">
        <v>2600</v>
      </c>
      <c r="G20" t="str">
        <v>Galpão A3 A9 Quadra 25 Lote 7/A</v>
      </c>
      <c r="H20" t="str">
        <v>Sorocaba</v>
      </c>
      <c r="I20" t="str">
        <v>3552205</v>
      </c>
      <c r="J20" t="str">
        <v>Eden</v>
      </c>
      <c r="K20" t="str">
        <v>SP</v>
      </c>
      <c r="L20" t="str">
        <v>(11) 3930-8580</v>
      </c>
      <c r="M20" t="str">
        <v>18087-220</v>
      </c>
      <c r="N20" t="str">
        <v/>
      </c>
      <c r="O20" s="1">
        <f>=TODAY()</f>
      </c>
      <c r="P20" t="str">
        <v>6211HG3360342-1018-2-10519123000197</v>
      </c>
      <c r="Q20" t="str">
        <v>10519123000197</v>
      </c>
      <c r="R20" t="str">
        <v>PO: 6211HG3360342-1018 Line 2  PO: 6211HG3360342-1018 Line 3  PO: 6211HG3360342-1018 Line 1</v>
      </c>
      <c r="S20" t="str">
        <v>2</v>
      </c>
      <c r="T20" t="str">
        <v>BRASILIA</v>
      </c>
      <c r="U20" t="str">
        <v>DF</v>
      </c>
      <c r="V20" t="str">
        <v>5300108</v>
      </c>
      <c r="W20">
        <v>4863.74</v>
      </c>
      <c r="X20">
        <v>5146.821</v>
      </c>
      <c r="Y20" t="str">
        <v/>
      </c>
      <c r="Z20">
        <v>180.14</v>
      </c>
      <c r="AA20">
        <v>102.94</v>
      </c>
      <c r="AB20">
        <v>102.94</v>
      </c>
      <c r="AC20">
        <v>3.5</v>
      </c>
      <c r="AD20" t="str">
        <v>070202</v>
      </c>
      <c r="AE20" t="str">
        <v>Execução por empreitada de obras de construção civil e elétrica – adequação de infraestrutura, instalação e montagem de equipamentos de rede de telefonia celular, conforme pedidos de compra abaixo: PO: 6211HG3360342-1018 LINE: 2 MUNICIPIO: BRASILIA / DF MATERIAL: SERVIÇO: 5146.82 BASE DE CÁLCULO ISS: 5146.82 BASE DE CÁLCULO INSS: 5146.82 Retenções ISS 2% Município: BRASILIA / DF Retenções INSS 3.5% NFS-e: O ISS desta NFS-e será retido pelo tomador de serviço.</v>
      </c>
      <c r="AF20">
        <v>2</v>
      </c>
      <c r="AG20">
        <v>2</v>
      </c>
      <c r="AH20" t="b">
        <v>0</v>
      </c>
      <c r="AI20">
        <v>2</v>
      </c>
      <c r="AJ20">
        <v>1</v>
      </c>
      <c r="AK20" t="str">
        <v>06175128000172</v>
      </c>
      <c r="AL20" t="str">
        <v>70390100</v>
      </c>
      <c r="AM20" t="str">
        <v>Quadra SGAS 910</v>
      </c>
      <c r="AN20" t="str">
        <v>SN</v>
      </c>
      <c r="AO20" t="str">
        <v>Asa Sul</v>
      </c>
      <c r="AP20" t="str">
        <v>DF</v>
      </c>
      <c r="AQ20" t="str">
        <v>5300108</v>
      </c>
      <c r="AR20" t="str">
        <v>NDZ</v>
      </c>
    </row>
    <row r="21">
      <c r="A21" t="str">
        <v>Huawei Gestao e Servicos de Telecomunicacoes do Brasil Ltda</v>
      </c>
      <c r="B21" t="str">
        <v>Huawei Gestao e Servicos de Telecomunicacoes do Brasil Ltda</v>
      </c>
      <c r="C21" t="str">
        <v>10.519.123/0001-97</v>
      </c>
      <c r="D21" t="str">
        <v>huawei@slgestao.com</v>
      </c>
      <c r="E21" t="str">
        <v>Avenida Jerome Case</v>
      </c>
      <c r="F21" t="str">
        <v>2600</v>
      </c>
      <c r="G21" t="str">
        <v>Galpão A3 A9 Quadra 25 Lote 7/A</v>
      </c>
      <c r="H21" t="str">
        <v>Sorocaba</v>
      </c>
      <c r="I21" t="str">
        <v>3552205</v>
      </c>
      <c r="J21" t="str">
        <v>Eden</v>
      </c>
      <c r="K21" t="str">
        <v>SP</v>
      </c>
      <c r="L21" t="str">
        <v>(11) 3930-8580</v>
      </c>
      <c r="M21" t="str">
        <v>18087-220</v>
      </c>
      <c r="N21" t="str">
        <v/>
      </c>
      <c r="O21" s="1">
        <f>=TODAY()</f>
      </c>
      <c r="P21" t="str">
        <v>6211HG3360340-3707-1-10519123000197</v>
      </c>
      <c r="Q21" t="str">
        <v>10519123000197</v>
      </c>
      <c r="R21" t="str">
        <v>PO: 6211HG3360340-3707 Line 1  PO: 6211HG3360340-3707 Line 4  PO: 6211HG3360340-3707 Line 3  PO: 6211HG3360340-3707 Line 2</v>
      </c>
      <c r="S21" t="str">
        <v>1</v>
      </c>
      <c r="T21" t="str">
        <v>GRAVATA</v>
      </c>
      <c r="U21" t="str">
        <v>PE</v>
      </c>
      <c r="V21" t="str">
        <v>2606408</v>
      </c>
      <c r="W21">
        <v>6060.59</v>
      </c>
      <c r="X21">
        <v>6623.604</v>
      </c>
      <c r="Y21" t="str">
        <v/>
      </c>
      <c r="Z21">
        <v>231.83</v>
      </c>
      <c r="AA21">
        <v>331.18</v>
      </c>
      <c r="AB21">
        <v>331.18</v>
      </c>
      <c r="AC21">
        <v>3.5</v>
      </c>
      <c r="AD21" t="str">
        <v>070202</v>
      </c>
      <c r="AE21" t="str">
        <v>Execução por empreitada de obras de construção civil e elétrica – adequação de infraestrutura, instalação e montagem de equipamentos de rede de telefonia celular, conforme pedidos de compra abaixo: PO: 6211HG3360340-3707 LINE: 1 MUNICIPIO: GRAVATA / PE MATERIAL: SERVIÇO: 6623.60 BASE DE CÁLCULO ISS: 6623.60 BASE DE CÁLCULO INSS: 6623.60 Retenções ISS 5% Município: GRAVATA / PE Retenções INSS 3.5% NFS-e: O ISS desta NFS-e será retido pelo tomador de serviço.</v>
      </c>
      <c r="AF21">
        <v>5</v>
      </c>
      <c r="AG21">
        <v>2</v>
      </c>
      <c r="AH21" t="b">
        <v>0</v>
      </c>
      <c r="AI21">
        <v>2</v>
      </c>
      <c r="AJ21">
        <v>1</v>
      </c>
      <c r="AK21" t="str">
        <v>06175128000172</v>
      </c>
      <c r="AL21" t="str">
        <v>97030080</v>
      </c>
      <c r="AM21" t="str">
        <v>Rua Arcanjo Regalado</v>
      </c>
      <c r="AN21" t="str">
        <v>SN</v>
      </c>
      <c r="AO21" t="str">
        <v>Centro</v>
      </c>
      <c r="AP21" t="str">
        <v>PE</v>
      </c>
      <c r="AQ21" t="str">
        <v>2606408</v>
      </c>
      <c r="AR21" t="str">
        <v>GVC</v>
      </c>
    </row>
    <row r="22">
      <c r="A22" t="str">
        <v>Huawei Gestao e Servicos de Telecomunicacoes do Brasil Ltda</v>
      </c>
      <c r="B22" t="str">
        <v>Huawei Gestao e Servicos de Telecomunicacoes do Brasil Ltda</v>
      </c>
      <c r="C22" t="str">
        <v>10.519.123/0001-97</v>
      </c>
      <c r="D22" t="str">
        <v>huawei@slgestao.com</v>
      </c>
      <c r="E22" t="str">
        <v>Avenida Jerome Case</v>
      </c>
      <c r="F22" t="str">
        <v>2600</v>
      </c>
      <c r="G22" t="str">
        <v>Galpão A3 A9 Quadra 25 Lote 7/A</v>
      </c>
      <c r="H22" t="str">
        <v>Sorocaba</v>
      </c>
      <c r="I22" t="str">
        <v>3552205</v>
      </c>
      <c r="J22" t="str">
        <v>Eden</v>
      </c>
      <c r="K22" t="str">
        <v>SP</v>
      </c>
      <c r="L22" t="str">
        <v>(11) 3930-8580</v>
      </c>
      <c r="M22" t="str">
        <v>18087-220</v>
      </c>
      <c r="N22" t="str">
        <v/>
      </c>
      <c r="O22" s="1">
        <f>=TODAY()</f>
      </c>
      <c r="P22" t="str">
        <v>6211HG3360340-3778-2-10519123000197</v>
      </c>
      <c r="Q22" t="str">
        <v>10519123000197</v>
      </c>
      <c r="R22" t="str">
        <v>PO: 6211HG3360340-3778 Line 2  PO: 6211HG3360340-3778 Line 3  PO: 6211HG3360340-3778 Line 1  PO: 6211HG3360340-3778 Line 4</v>
      </c>
      <c r="S22" t="str">
        <v>2</v>
      </c>
      <c r="T22" t="str">
        <v>NATAL</v>
      </c>
      <c r="U22" t="str">
        <v>RN</v>
      </c>
      <c r="V22" t="str">
        <v>2408102</v>
      </c>
      <c r="W22">
        <v>6060.59</v>
      </c>
      <c r="X22">
        <v>6623.603999999999</v>
      </c>
      <c r="Y22" t="str">
        <v/>
      </c>
      <c r="Z22">
        <v>231.83</v>
      </c>
      <c r="AA22">
        <v>331.18</v>
      </c>
      <c r="AB22">
        <v>331.18</v>
      </c>
      <c r="AC22">
        <v>3.5</v>
      </c>
      <c r="AD22" t="str">
        <v>070202</v>
      </c>
      <c r="AE22" t="str">
        <v>Execução por empreitada de obras de construção civil e elétrica – adequação de infraestrutura, instalação e montagem de equipamentos de rede de telefonia celular, conforme pedidos de compra abaixo: PO: 6211HG3360340-3778 LINE: 2 MUNICIPIO: NATAL / RN MATERIAL: SERVIÇO: 6623.60 BASE DE CÁLCULO ISS: 6623.60 BASE DE CÁLCULO INSS: 6623.60 Retenções ISS 5% Município: NATAL / RN Retenções INSS 3.5% NFS-e: O ISS desta NFS-e será retido pelo tomador de serviço.</v>
      </c>
      <c r="AF22">
        <v>5</v>
      </c>
      <c r="AG22">
        <v>2</v>
      </c>
      <c r="AH22" t="b">
        <v>0</v>
      </c>
      <c r="AI22">
        <v>2</v>
      </c>
      <c r="AJ22">
        <v>1</v>
      </c>
      <c r="AK22" t="str">
        <v>06175128000172</v>
      </c>
      <c r="AL22" t="str">
        <v>83600970</v>
      </c>
      <c r="AM22" t="str">
        <v>Rua Benedito Soares Pinto</v>
      </c>
      <c r="AN22" t="str">
        <v>SN</v>
      </c>
      <c r="AO22" t="str">
        <v>Centro</v>
      </c>
      <c r="AP22" t="str">
        <v>PR</v>
      </c>
      <c r="AQ22" t="str">
        <v>4104204</v>
      </c>
      <c r="AR22" t="str">
        <v>ASU</v>
      </c>
    </row>
    <row r="23">
      <c r="A23" t="str">
        <v>Huawei Gestao e Servicos de Telecomunicacoes do Brasil Ltda</v>
      </c>
      <c r="B23" t="str">
        <v>Huawei Gestao e Servicos de Telecomunicacoes do Brasil Ltda</v>
      </c>
      <c r="C23" t="str">
        <v>10.519.123/0001-97</v>
      </c>
      <c r="D23" t="str">
        <v>huawei@slgestao.com</v>
      </c>
      <c r="E23" t="str">
        <v>Avenida Jerome Case</v>
      </c>
      <c r="F23" t="str">
        <v>2600</v>
      </c>
      <c r="G23" t="str">
        <v>Galpão A3 A9 Quadra 25 Lote 7/A</v>
      </c>
      <c r="H23" t="str">
        <v>Sorocaba</v>
      </c>
      <c r="I23" t="str">
        <v>3552205</v>
      </c>
      <c r="J23" t="str">
        <v>Eden</v>
      </c>
      <c r="K23" t="str">
        <v>SP</v>
      </c>
      <c r="L23" t="str">
        <v>(11) 3930-8580</v>
      </c>
      <c r="M23" t="str">
        <v>18087-220</v>
      </c>
      <c r="N23" t="str">
        <v/>
      </c>
      <c r="O23" s="1">
        <f>=TODAY()</f>
      </c>
      <c r="P23" t="str">
        <v>6211HG3360340-3779-1-10519123000197</v>
      </c>
      <c r="Q23" t="str">
        <v>10519123000197</v>
      </c>
      <c r="R23" t="str">
        <v>PO: 6211HG3360340-3779 Line 1  PO: 6211HG3360340-3779 Line 3  PO: 6211HG3360340-3779 Line 2</v>
      </c>
      <c r="S23" t="str">
        <v>1</v>
      </c>
      <c r="T23" t="str">
        <v>BEZERROS</v>
      </c>
      <c r="U23" t="str">
        <v>PE</v>
      </c>
      <c r="V23" t="str">
        <v>2601904</v>
      </c>
      <c r="W23">
        <v>4916.22</v>
      </c>
      <c r="X23">
        <v>5202.351</v>
      </c>
      <c r="Y23" t="str">
        <v/>
      </c>
      <c r="Z23">
        <v>182.08</v>
      </c>
      <c r="AA23">
        <v>104.05</v>
      </c>
      <c r="AB23">
        <v>104.05</v>
      </c>
      <c r="AC23">
        <v>3.5</v>
      </c>
      <c r="AD23" t="str">
        <v>070202</v>
      </c>
      <c r="AE23" t="str">
        <v>Execução por empreitada de obras de construção civil e elétrica – adequação de infraestrutura, instalação e montagem de equipamentos de rede de telefonia celular, conforme pedidos de compra abaixo: PO: 6211HG3360340-3779 LINE: 1 MUNICIPIO: BEZERROS / PE MATERIAL: SERVIÇO: 5202.35 BASE DE CÁLCULO ISS: 5202.35 BASE DE CÁLCULO INSS: 5202.35 Retenções ISS 2% Município: BEZERROS / PE Retenções INSS 3.5% NFS-e: O ISS desta NFS-e será retido pelo tomador de serviço.</v>
      </c>
      <c r="AF23">
        <v>2</v>
      </c>
      <c r="AG23">
        <v>2</v>
      </c>
      <c r="AH23" t="b">
        <v>0</v>
      </c>
      <c r="AI23">
        <v>2</v>
      </c>
      <c r="AJ23">
        <v>1</v>
      </c>
      <c r="AK23" t="str">
        <v>06175128000172</v>
      </c>
      <c r="AL23" t="str">
        <v>55660970</v>
      </c>
      <c r="AM23" t="str">
        <v>BR232</v>
      </c>
      <c r="AN23" t="str">
        <v>SN</v>
      </c>
      <c r="AO23" t="str">
        <v>Zona Rural</v>
      </c>
      <c r="AP23" t="str">
        <v>PE</v>
      </c>
      <c r="AQ23" t="str">
        <v>2601904</v>
      </c>
      <c r="AR23" t="str">
        <v>BZR</v>
      </c>
    </row>
    <row r="24">
      <c r="A24" t="str">
        <v>Huawei Gestao e Servicos de Telecomunicacoes do Brasil Ltda</v>
      </c>
      <c r="B24" t="str">
        <v>Huawei Gestao e Servicos de Telecomunicacoes do Brasil Ltda</v>
      </c>
      <c r="C24" t="str">
        <v>10.519.123/0001-97</v>
      </c>
      <c r="D24" t="str">
        <v>huawei@slgestao.com</v>
      </c>
      <c r="E24" t="str">
        <v>Avenida Jerome Case</v>
      </c>
      <c r="F24" t="str">
        <v>2600</v>
      </c>
      <c r="G24" t="str">
        <v>Galpão A3 A9 Quadra 25 Lote 7/A</v>
      </c>
      <c r="H24" t="str">
        <v>Sorocaba</v>
      </c>
      <c r="I24" t="str">
        <v>3552205</v>
      </c>
      <c r="J24" t="str">
        <v>Eden</v>
      </c>
      <c r="K24" t="str">
        <v>SP</v>
      </c>
      <c r="L24" t="str">
        <v>(11) 3930-8580</v>
      </c>
      <c r="M24" t="str">
        <v>18087-220</v>
      </c>
      <c r="N24" t="str">
        <v/>
      </c>
      <c r="O24" s="1">
        <f>=TODAY()</f>
      </c>
      <c r="P24" t="str">
        <v>6211HG3360340-3781-1-10519123000197</v>
      </c>
      <c r="Q24" t="str">
        <v>10519123000197</v>
      </c>
      <c r="R24" t="str">
        <v>PO: 6211HG3360340-3781 Line 1  PO: 6211HG3360340-3781 Line 2  PO: 6211HG3360340-3781 Line 3  PO: 6211HG3360340-3781 Line 4</v>
      </c>
      <c r="S24" t="str">
        <v>1</v>
      </c>
      <c r="T24" t="str">
        <v>GRAVATA</v>
      </c>
      <c r="U24" t="str">
        <v>PE</v>
      </c>
      <c r="V24" t="str">
        <v>2606408</v>
      </c>
      <c r="W24">
        <v>5382.72</v>
      </c>
      <c r="X24">
        <v>5882.76</v>
      </c>
      <c r="Y24" t="str">
        <v/>
      </c>
      <c r="Z24">
        <v>205.9</v>
      </c>
      <c r="AA24">
        <v>294.14</v>
      </c>
      <c r="AB24">
        <v>294.14</v>
      </c>
      <c r="AC24">
        <v>3.5</v>
      </c>
      <c r="AD24" t="str">
        <v>070202</v>
      </c>
      <c r="AE24" t="str">
        <v>Execução por empreitada de obras de construção civil e elétrica – adequação de infraestrutura, instalação e montagem de equipamentos de rede de telefonia celular, conforme pedidos de compra abaixo: PO: 6211HG3360340-3781 LINE: 1 MUNICIPIO: GRAVATA / PE MATERIAL: SERVIÇO: 5882.76 BASE DE CÁLCULO ISS: 5882.76 BASE DE CÁLCULO INSS: 5882.76 Retenções ISS 5% Município: GRAVATA / PE Retenções INSS 3.5% NFS-e: O ISS desta NFS-e será retido pelo tomador de serviço.</v>
      </c>
      <c r="AF24">
        <v>5</v>
      </c>
      <c r="AG24">
        <v>2</v>
      </c>
      <c r="AH24" t="b">
        <v>0</v>
      </c>
      <c r="AI24">
        <v>2</v>
      </c>
      <c r="AJ24">
        <v>1</v>
      </c>
      <c r="AK24" t="str">
        <v>06175128000172</v>
      </c>
      <c r="AL24" t="str">
        <v>55645681</v>
      </c>
      <c r="AM24" t="str">
        <v>Rua José Firmino dos Santos</v>
      </c>
      <c r="AN24" t="str">
        <v>SN</v>
      </c>
      <c r="AO24" t="str">
        <v>Santana</v>
      </c>
      <c r="AP24" t="str">
        <v>PE</v>
      </c>
      <c r="AQ24" t="str">
        <v>2606408</v>
      </c>
      <c r="AR24" t="str">
        <v>GTH</v>
      </c>
    </row>
    <row r="25">
      <c r="A25" t="str">
        <v>Huawei Gestao e Servicos de Telecomunicacoes do Brasil Ltda</v>
      </c>
      <c r="B25" t="str">
        <v>Huawei Gestao e Servicos de Telecomunicacoes do Brasil Ltda</v>
      </c>
      <c r="C25" t="str">
        <v>10.519.123/0001-97</v>
      </c>
      <c r="D25" t="str">
        <v>huawei@slgestao.com</v>
      </c>
      <c r="E25" t="str">
        <v>Avenida Jerome Case</v>
      </c>
      <c r="F25" t="str">
        <v>2600</v>
      </c>
      <c r="G25" t="str">
        <v>Galpão A3 A9 Quadra 25 Lote 7/A</v>
      </c>
      <c r="H25" t="str">
        <v>Sorocaba</v>
      </c>
      <c r="I25" t="str">
        <v>3552205</v>
      </c>
      <c r="J25" t="str">
        <v>Eden</v>
      </c>
      <c r="K25" t="str">
        <v>SP</v>
      </c>
      <c r="L25" t="str">
        <v>(11) 3930-8580</v>
      </c>
      <c r="M25" t="str">
        <v>18087-220</v>
      </c>
      <c r="N25" t="str">
        <v/>
      </c>
      <c r="O25" s="1">
        <f>=TODAY()</f>
      </c>
      <c r="P25" t="str">
        <v>6211HG3360340-2713-1-10519123000197</v>
      </c>
      <c r="Q25" t="str">
        <v>10519123000197</v>
      </c>
      <c r="R25" t="str">
        <v>PO: 6211HG3360340-2713 Line 1</v>
      </c>
      <c r="S25" t="str">
        <v>1</v>
      </c>
      <c r="T25" t="str">
        <v>SALVADOR</v>
      </c>
      <c r="U25" t="str">
        <v>BA</v>
      </c>
      <c r="V25" t="str">
        <v>2927408</v>
      </c>
      <c r="W25">
        <v>1419</v>
      </c>
      <c r="X25">
        <v>1419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>070203</v>
      </c>
      <c r="AE25" t="str">
        <v>Execução por empreitada de obras de construção civil e elétrica – adequação de infraestrutura, instalação e montagem de equipamentos de rede de telefonia celular, conforme pedidos de compra abaixo: PO: 6211HG3360340-2713 LINE: 1 MUNICIPIO: SALVADOR / BA MATERIAL: SERVIÇO: 1419.00 BASE DE CÁLCULO ISS: 1419.00 BASE DE CÁLCULO INSS: 1419.00 Retenções ISS 5% Município: SALVADOR / BA Retenções INSS % NFS-e: O ISS desta NFS-e será retido pelo tomador de serviço.</v>
      </c>
      <c r="AF25">
        <v>5</v>
      </c>
      <c r="AG25" t="str">
        <v/>
      </c>
      <c r="AH25" t="str">
        <v/>
      </c>
      <c r="AI25">
        <v>1</v>
      </c>
      <c r="AJ25">
        <v>1</v>
      </c>
      <c r="AK25" t="str">
        <v>06175128000172</v>
      </c>
      <c r="AL25" t="str">
        <v>46360000</v>
      </c>
      <c r="AM25" t="str">
        <v>Rua D</v>
      </c>
      <c r="AN25" t="str">
        <v>SN</v>
      </c>
      <c r="AO25" t="str">
        <v>Centro</v>
      </c>
      <c r="AP25" t="str">
        <v>BA</v>
      </c>
      <c r="AQ25" t="str">
        <v>2905701</v>
      </c>
      <c r="AR25" t="str">
        <v>BAGNB10</v>
      </c>
    </row>
    <row r="26">
      <c r="A26" t="str">
        <v>Huawei Gestao e Servicos de Telecomunicacoes do Brasil Ltda</v>
      </c>
      <c r="B26" t="str">
        <v>Huawei Gestao e Servicos de Telecomunicacoes do Brasil Ltda</v>
      </c>
      <c r="C26" t="str">
        <v>10.519.123/0001-97</v>
      </c>
      <c r="D26" t="str">
        <v>huawei@slgestao.com</v>
      </c>
      <c r="E26" t="str">
        <v>Avenida Jerome Case</v>
      </c>
      <c r="F26" t="str">
        <v>2600</v>
      </c>
      <c r="G26" t="str">
        <v>Galpão A3 A9 Quadra 25 Lote 7/A</v>
      </c>
      <c r="H26" t="str">
        <v>Sorocaba</v>
      </c>
      <c r="I26" t="str">
        <v>3552205</v>
      </c>
      <c r="J26" t="str">
        <v>Eden</v>
      </c>
      <c r="K26" t="str">
        <v>SP</v>
      </c>
      <c r="L26" t="str">
        <v>(11) 3930-8580</v>
      </c>
      <c r="M26" t="str">
        <v>18087-220</v>
      </c>
      <c r="N26" t="str">
        <v/>
      </c>
      <c r="O26" s="1">
        <f>=TODAY()</f>
      </c>
      <c r="P26" t="str">
        <v>6211HG3360340-3243-1-10519123000197</v>
      </c>
      <c r="Q26" t="str">
        <v>10519123000197</v>
      </c>
      <c r="R26" t="str">
        <v>PO: 6211HG3360340-3243 Line 1  PO: 6211HG3360340-3257 Line 1  PO: 6211HG3360340-3257 Line 4  PO: 6211HG3360340-3257 Line 5  PO: 6211HG3360340-3257 Line 7  PO: 6211HG3360340-3243 Line 2  PO: 6211HG3360340-3257 Line 3  PO: 6211HG3360340-3257 Line 6</v>
      </c>
      <c r="S26" t="str">
        <v>1</v>
      </c>
      <c r="T26" t="str">
        <v>SALVADOR</v>
      </c>
      <c r="U26" t="str">
        <v>BA</v>
      </c>
      <c r="V26" t="str">
        <v>2927408</v>
      </c>
      <c r="W26">
        <v>1666.38</v>
      </c>
      <c r="X26">
        <v>1821.1770000000004</v>
      </c>
      <c r="Y26" t="str">
        <v/>
      </c>
      <c r="Z26">
        <v>63.74</v>
      </c>
      <c r="AA26">
        <v>91.06</v>
      </c>
      <c r="AB26">
        <v>91.06</v>
      </c>
      <c r="AC26">
        <v>3.5</v>
      </c>
      <c r="AD26" t="str">
        <v>070202</v>
      </c>
      <c r="AE26" t="str">
        <v>Execução por empreitada de obras de construção civil e elétrica – adequação de infraestrutura, instalação e montagem de equipamentos de rede de telefonia celular, conforme pedidos de compra abaixo: PO: 6211HG3360340-3243 LINE: 1 MUNICIPIO: SALVADOR / BA MATERIAL: SERVIÇO: 1821.18 BASE DE CÁLCULO ISS: 1821.18 BASE DE CÁLCULO INSS: 1821.18 Retenções ISS 5% Município: SALVADOR / BA Retenções INSS 3.5% NFS-e: O ISS desta NFS-e será retido pelo tomador de serviço.</v>
      </c>
      <c r="AF26">
        <v>5</v>
      </c>
      <c r="AG26">
        <v>2</v>
      </c>
      <c r="AH26" t="b">
        <v>0</v>
      </c>
      <c r="AI26">
        <v>2</v>
      </c>
      <c r="AJ26">
        <v>1</v>
      </c>
      <c r="AK26" t="str">
        <v>06175128000172</v>
      </c>
      <c r="AL26" t="str">
        <v>41603090</v>
      </c>
      <c r="AM26" t="str">
        <v>Rua Professor Antônio Augusto Machado</v>
      </c>
      <c r="AN26" t="str">
        <v>219</v>
      </c>
      <c r="AO26" t="str">
        <v>Praia do Flamengo</v>
      </c>
      <c r="AP26" t="str">
        <v>BA</v>
      </c>
      <c r="AQ26" t="str">
        <v>2927408</v>
      </c>
      <c r="AR26" t="str">
        <v>BAITA55</v>
      </c>
    </row>
    <row r="27">
      <c r="A27" t="str">
        <v>Huawei Gestao e Servicos de Telecomunicacoes do Brasil Ltda</v>
      </c>
      <c r="B27" t="str">
        <v>Huawei Gestao e Servicos de Telecomunicacoes do Brasil Ltda</v>
      </c>
      <c r="C27" t="str">
        <v>10.519.123/0001-97</v>
      </c>
      <c r="D27" t="str">
        <v>huawei@slgestao.com</v>
      </c>
      <c r="E27" t="str">
        <v>Avenida Jerome Case</v>
      </c>
      <c r="F27" t="str">
        <v>2600</v>
      </c>
      <c r="G27" t="str">
        <v>Galpão A3 A9 Quadra 25 Lote 7/A</v>
      </c>
      <c r="H27" t="str">
        <v>Sorocaba</v>
      </c>
      <c r="I27" t="str">
        <v>3552205</v>
      </c>
      <c r="J27" t="str">
        <v>Eden</v>
      </c>
      <c r="K27" t="str">
        <v>SP</v>
      </c>
      <c r="L27" t="str">
        <v>(11) 3930-8580</v>
      </c>
      <c r="M27" t="str">
        <v>18087-220</v>
      </c>
      <c r="N27" t="str">
        <v/>
      </c>
      <c r="O27" s="1">
        <f>=TODAY()</f>
      </c>
      <c r="P27" t="str">
        <v>6211HG3360342-913-2-10519123000197</v>
      </c>
      <c r="Q27" t="str">
        <v>10519123000197</v>
      </c>
      <c r="R27" t="str">
        <v>PO: 6211HG3360342-913 Line 2  PO: 6211HG3360342-913 Line 1</v>
      </c>
      <c r="S27" t="str">
        <v>2</v>
      </c>
      <c r="T27" t="str">
        <v>BRASILIA</v>
      </c>
      <c r="U27" t="str">
        <v>DF</v>
      </c>
      <c r="V27" t="str">
        <v>5300108</v>
      </c>
      <c r="W27">
        <v>627.53</v>
      </c>
      <c r="X27">
        <v>664.045</v>
      </c>
      <c r="Y27" t="str">
        <v/>
      </c>
      <c r="Z27">
        <v>23.24</v>
      </c>
      <c r="AA27">
        <v>13.28</v>
      </c>
      <c r="AB27">
        <v>13.28</v>
      </c>
      <c r="AC27">
        <v>3.5</v>
      </c>
      <c r="AD27" t="str">
        <v>070202</v>
      </c>
      <c r="AE27" t="str">
        <v>Execução por empreitada de obras de construção civil e elétrica – adequação de infraestrutura, instalação e montagem de equipamentos de rede de telefonia celular, conforme pedidos de compra abaixo: PO: 6211HG3360342-913 LINE: 2 MUNICIPIO: BRASILIA / DF MATERIAL: SERVIÇO: 664.04 BASE DE CÁLCULO ISS: 664.04 BASE DE CÁLCULO INSS: 664.04 Retenções ISS 2% Município: BRASILIA / DF Retenções INSS 3.5% NFS-e: O ISS desta NFS-e será retido pelo tomador de serviço.</v>
      </c>
      <c r="AF27">
        <v>2</v>
      </c>
      <c r="AG27">
        <v>2</v>
      </c>
      <c r="AH27" t="b">
        <v>0</v>
      </c>
      <c r="AI27">
        <v>2</v>
      </c>
      <c r="AJ27">
        <v>1</v>
      </c>
      <c r="AK27" t="str">
        <v>06175128000172</v>
      </c>
      <c r="AL27" t="str">
        <v>70200004</v>
      </c>
      <c r="AM27" t="str">
        <v>Trecho SCES Trecho 4</v>
      </c>
      <c r="AN27" t="str">
        <v>04</v>
      </c>
      <c r="AO27" t="str">
        <v>Asa Sul</v>
      </c>
      <c r="AP27" t="str">
        <v>DF</v>
      </c>
      <c r="AQ27" t="str">
        <v>5300108</v>
      </c>
      <c r="AR27" t="str">
        <v>BLO</v>
      </c>
    </row>
    <row r="28">
      <c r="A28" t="str">
        <v>Huawei Gestao e Servicos de Telecomunicacoes do Brasil Ltda</v>
      </c>
      <c r="B28" t="str">
        <v>Huawei Gestao e Servicos de Telecomunicacoes do Brasil Ltda</v>
      </c>
      <c r="C28" t="str">
        <v>10.519.123/0001-97</v>
      </c>
      <c r="D28" t="str">
        <v>huawei@slgestao.com</v>
      </c>
      <c r="E28" t="str">
        <v>Avenida Jerome Case</v>
      </c>
      <c r="F28" t="str">
        <v>2600</v>
      </c>
      <c r="G28" t="str">
        <v>Galpão A3 A9 Quadra 25 Lote 7/A</v>
      </c>
      <c r="H28" t="str">
        <v>Sorocaba</v>
      </c>
      <c r="I28" t="str">
        <v>3552205</v>
      </c>
      <c r="J28" t="str">
        <v>Eden</v>
      </c>
      <c r="K28" t="str">
        <v>SP</v>
      </c>
      <c r="L28" t="str">
        <v>(11) 3930-8580</v>
      </c>
      <c r="M28" t="str">
        <v>18087-220</v>
      </c>
      <c r="N28" t="str">
        <v/>
      </c>
      <c r="O28" s="1">
        <f>=TODAY()</f>
      </c>
      <c r="P28" t="str">
        <v>6211HG3360340-3410-1-10519123000197</v>
      </c>
      <c r="Q28" t="str">
        <v>10519123000197</v>
      </c>
      <c r="R28" t="str">
        <v>PO: 6211HG3360340-3410 Line 1  PO: 6211HG3360340-3410 Line 2  PO: 6211HG3360340-3410 Line 3  PO: 6211HG3360340-3402 Line 1  PO: 6211HG3360340-3410 Line 4</v>
      </c>
      <c r="S28" t="str">
        <v>1</v>
      </c>
      <c r="T28" t="str">
        <v>BARREIRAS</v>
      </c>
      <c r="U28" t="str">
        <v>BA</v>
      </c>
      <c r="V28" t="str">
        <v>2903201</v>
      </c>
      <c r="W28">
        <v>521.27</v>
      </c>
      <c r="X28">
        <v>569.6909999999999</v>
      </c>
      <c r="Y28" t="str">
        <v/>
      </c>
      <c r="Z28">
        <v>19.94</v>
      </c>
      <c r="AA28">
        <v>28.48</v>
      </c>
      <c r="AB28">
        <v>28.48</v>
      </c>
      <c r="AC28">
        <v>3.5</v>
      </c>
      <c r="AD28" t="str">
        <v>070202</v>
      </c>
      <c r="AE28" t="str">
        <v>Execução por empreitada de obras de construção civil e elétrica – adequação de infraestrutura, instalação e montagem de equipamentos de rede de telefonia celular, conforme pedidos de compra abaixo: PO: 6211HG3360340-3410 LINE: 1 MUNICIPIO: BARREIRAS / BA MATERIAL: SERVIÇO: 569.69 BASE DE CÁLCULO ISS: 569.69 BASE DE CÁLCULO INSS: 569.69 Retenções ISS 5% Município: BARREIRAS / BA Retenções INSS 3.5% NFS-e: O ISS desta NFS-e será retido pelo tomador de serviço.</v>
      </c>
      <c r="AF28">
        <v>5</v>
      </c>
      <c r="AG28">
        <v>2</v>
      </c>
      <c r="AH28" t="b">
        <v>0</v>
      </c>
      <c r="AI28">
        <v>2</v>
      </c>
      <c r="AJ28">
        <v>1</v>
      </c>
      <c r="AK28" t="str">
        <v>06175128000172</v>
      </c>
      <c r="AL28" t="str">
        <v>47800424</v>
      </c>
      <c r="AM28" t="str">
        <v>Rua Napoleão Macedo</v>
      </c>
      <c r="AN28" t="str">
        <v>S/N</v>
      </c>
      <c r="AO28" t="str">
        <v>São Miguel</v>
      </c>
      <c r="AP28" t="str">
        <v>BA</v>
      </c>
      <c r="AQ28" t="str">
        <v>2903201</v>
      </c>
      <c r="AR28" t="str">
        <v>BABRR03</v>
      </c>
    </row>
    <row r="29">
      <c r="A29" t="str">
        <v>Huawei Gestao e Servicos de Telecomunicacoes do Brasil Ltda</v>
      </c>
      <c r="B29" t="str">
        <v>Huawei Gestao e Servicos de Telecomunicacoes do Brasil Ltda</v>
      </c>
      <c r="C29" t="str">
        <v>10.519.123/0001-97</v>
      </c>
      <c r="D29" t="str">
        <v>huawei@slgestao.com</v>
      </c>
      <c r="E29" t="str">
        <v>Avenida Jerome Case</v>
      </c>
      <c r="F29" t="str">
        <v>2600</v>
      </c>
      <c r="G29" t="str">
        <v>Galpão A3 A9 Quadra 25 Lote 7/A</v>
      </c>
      <c r="H29" t="str">
        <v>Sorocaba</v>
      </c>
      <c r="I29" t="str">
        <v>3552205</v>
      </c>
      <c r="J29" t="str">
        <v>Eden</v>
      </c>
      <c r="K29" t="str">
        <v>SP</v>
      </c>
      <c r="L29" t="str">
        <v>(11) 3930-8580</v>
      </c>
      <c r="M29" t="str">
        <v>18087-220</v>
      </c>
      <c r="N29" t="str">
        <v/>
      </c>
      <c r="O29" s="1">
        <f>=TODAY()</f>
      </c>
      <c r="P29" t="str">
        <v>6211HG3360337-141-1-10519123000197</v>
      </c>
      <c r="Q29" t="str">
        <v>10519123000197</v>
      </c>
      <c r="R29" t="str">
        <v>PO: 6211HG3360337-141 Line 1</v>
      </c>
      <c r="S29" t="str">
        <v>1</v>
      </c>
      <c r="T29" t="str">
        <v>SAO JOSE</v>
      </c>
      <c r="U29" t="str">
        <v>SC</v>
      </c>
      <c r="V29" t="str">
        <v>4216602</v>
      </c>
      <c r="W29">
        <v>992</v>
      </c>
      <c r="X29">
        <v>992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>070203</v>
      </c>
      <c r="AE29" t="str">
        <v>Execução por empreitada de obras de construção civil e elétrica – adequação de infraestrutura, instalação e montagem de equipamentos de rede de telefonia celular, conforme pedidos de compra abaixo: PO: 6211HG3360337-141 LINE: 1 MUNICIPIO: SAO JOSE / SC MATERIAL: SERVIÇO: 992.00 BASE DE CÁLCULO ISS: 992.00 BASE DE CÁLCULO INSS: 992.00 Retenções ISS 3% Município: SAO JOSE / SC Retenções INSS % NFS-e: O ISS desta NFS-e será retido pelo tomador de serviço.</v>
      </c>
      <c r="AF29">
        <v>3</v>
      </c>
      <c r="AG29" t="str">
        <v/>
      </c>
      <c r="AH29" t="str">
        <v/>
      </c>
      <c r="AI29">
        <v>1</v>
      </c>
      <c r="AJ29">
        <v>1</v>
      </c>
      <c r="AK29" t="str">
        <v>06175128000172</v>
      </c>
      <c r="AL29" t="str">
        <v>89600000</v>
      </c>
      <c r="AM29" t="str">
        <v>R. Roldao do Nascimento Maestri</v>
      </c>
      <c r="AN29" t="str">
        <v>40</v>
      </c>
      <c r="AO29" t="str">
        <v>Centro</v>
      </c>
      <c r="AP29" t="str">
        <v>SC</v>
      </c>
      <c r="AQ29" t="str">
        <v>4209003</v>
      </c>
      <c r="AR29" t="str">
        <v>JCC</v>
      </c>
    </row>
    <row r="30">
      <c r="A30" t="str">
        <v>Huawei Gestao e Servicos de Telecomunicacoes do Brasil Ltda</v>
      </c>
      <c r="B30" t="str">
        <v>Huawei Gestao e Servicos de Telecomunicacoes do Brasil Ltda</v>
      </c>
      <c r="C30" t="str">
        <v>10.519.123/0001-97</v>
      </c>
      <c r="D30" t="str">
        <v>huawei@slgestao.com</v>
      </c>
      <c r="E30" t="str">
        <v>Avenida Jerome Case</v>
      </c>
      <c r="F30" t="str">
        <v>2600</v>
      </c>
      <c r="G30" t="str">
        <v>Galpão A3 A9 Quadra 25 Lote 7/A</v>
      </c>
      <c r="H30" t="str">
        <v>Sorocaba</v>
      </c>
      <c r="I30" t="str">
        <v>3552205</v>
      </c>
      <c r="J30" t="str">
        <v>Eden</v>
      </c>
      <c r="K30" t="str">
        <v>SP</v>
      </c>
      <c r="L30" t="str">
        <v>(11) 3930-8580</v>
      </c>
      <c r="M30" t="str">
        <v>18087-220</v>
      </c>
      <c r="N30" t="str">
        <v/>
      </c>
      <c r="O30" s="1">
        <f>=TODAY()</f>
      </c>
      <c r="P30" t="str">
        <v>6211HG3360340-3597-3-10519123000197</v>
      </c>
      <c r="Q30" t="str">
        <v>10519123000197</v>
      </c>
      <c r="R30" t="str">
        <v>PO: 6211HG3360340-3597 Line 3  PO: 6211HG3360340-3597 Line 4  PO: 6211HG3360340-3597 Line 1  PO: 6211HG3360340-3597 Line 2</v>
      </c>
      <c r="S30" t="str">
        <v>3</v>
      </c>
      <c r="T30" t="str">
        <v>ARACATI</v>
      </c>
      <c r="U30" t="str">
        <v>CE</v>
      </c>
      <c r="V30" t="str">
        <v>2301109</v>
      </c>
      <c r="W30">
        <v>6389.35</v>
      </c>
      <c r="X30">
        <v>6982.893</v>
      </c>
      <c r="Y30" t="str">
        <v/>
      </c>
      <c r="Z30">
        <v>244.4</v>
      </c>
      <c r="AA30">
        <v>349.14</v>
      </c>
      <c r="AB30">
        <v>349.14</v>
      </c>
      <c r="AC30">
        <v>3.5</v>
      </c>
      <c r="AD30" t="str">
        <v>070202</v>
      </c>
      <c r="AE30" t="str">
        <v>Execução por empreitada de obras de construção civil e elétrica – adequação de infraestrutura, instalação e montagem de equipamentos de rede de telefonia celular, conforme pedidos de compra abaixo: PO: 6211HG3360340-3597 LINE: 3 MUNICIPIO: ARACATI / CE MATERIAL: SERVIÇO: 6982.89 BASE DE CÁLCULO ISS: 6982.89 BASE DE CÁLCULO INSS: 6982.89 Retenções ISS 5% Município: ARACATI / CE Retenções INSS 3.5% NFS-e: O ISS desta NFS-e será retido pelo tomador de serviço.</v>
      </c>
      <c r="AF30">
        <v>5</v>
      </c>
      <c r="AG30">
        <v>2</v>
      </c>
      <c r="AH30" t="b">
        <v>0</v>
      </c>
      <c r="AI30">
        <v>2</v>
      </c>
      <c r="AJ30">
        <v>1</v>
      </c>
      <c r="AK30" t="str">
        <v>06175128000172</v>
      </c>
      <c r="AL30" t="str">
        <v>62800003</v>
      </c>
      <c r="AM30" t="str">
        <v>Rua Dom Manuel</v>
      </c>
      <c r="AN30" t="str">
        <v>SN</v>
      </c>
      <c r="AO30" t="str">
        <v>Centro</v>
      </c>
      <c r="AP30" t="str">
        <v>CE</v>
      </c>
      <c r="AQ30" t="str">
        <v>2301109</v>
      </c>
      <c r="AR30" t="str">
        <v>ACT</v>
      </c>
    </row>
    <row r="31">
      <c r="A31" t="str">
        <v>Huawei Gestao e Servicos de Telecomunicacoes do Brasil Ltda</v>
      </c>
      <c r="B31" t="str">
        <v>Huawei Gestao e Servicos de Telecomunicacoes do Brasil Ltda</v>
      </c>
      <c r="C31" t="str">
        <v>10.519.123/0001-97</v>
      </c>
      <c r="D31" t="str">
        <v>huawei@slgestao.com</v>
      </c>
      <c r="E31" t="str">
        <v>Avenida Jerome Case</v>
      </c>
      <c r="F31" t="str">
        <v>2600</v>
      </c>
      <c r="G31" t="str">
        <v>Galpão A3 A9 Quadra 25 Lote 7/A</v>
      </c>
      <c r="H31" t="str">
        <v>Sorocaba</v>
      </c>
      <c r="I31" t="str">
        <v>3552205</v>
      </c>
      <c r="J31" t="str">
        <v>Eden</v>
      </c>
      <c r="K31" t="str">
        <v>SP</v>
      </c>
      <c r="L31" t="str">
        <v>(11) 3930-8580</v>
      </c>
      <c r="M31" t="str">
        <v>18087-220</v>
      </c>
      <c r="N31" t="str">
        <v/>
      </c>
      <c r="O31" s="1">
        <f>=TODAY()</f>
      </c>
      <c r="P31" t="str">
        <v>6211HG3360342-948-3-10519123000197</v>
      </c>
      <c r="Q31" t="str">
        <v>10519123000197</v>
      </c>
      <c r="R31" t="str">
        <v>PO: 6211HG3360342-948 Line 3</v>
      </c>
      <c r="S31" t="str">
        <v>3</v>
      </c>
      <c r="T31" t="str">
        <v>GOIANESIA</v>
      </c>
      <c r="U31" t="str">
        <v>GO</v>
      </c>
      <c r="V31" t="str">
        <v>5208608</v>
      </c>
      <c r="W31">
        <v>23.06</v>
      </c>
      <c r="X31">
        <v>25.2</v>
      </c>
      <c r="Y31" t="str">
        <v/>
      </c>
      <c r="Z31">
        <v>0.88</v>
      </c>
      <c r="AA31">
        <v>1.26</v>
      </c>
      <c r="AB31">
        <v>1.26</v>
      </c>
      <c r="AC31">
        <v>3.5</v>
      </c>
      <c r="AD31" t="str">
        <v>070202</v>
      </c>
      <c r="AE31" t="str">
        <v>Execução por empreitada de obras de construção civil e elétrica – adequação de infraestrutura, instalação e montagem de equipamentos de rede de telefonia celular, conforme pedidos de compra abaixo: PO: 6211HG3360342-948 LINE: 3 MUNICIPIO: GOIANESIA / GO MATERIAL: SERVIÇO: 25.20 BASE DE CÁLCULO ISS: 25.20 BASE DE CÁLCULO INSS: 25.20 Retenções ISS 5% Município: GOIANESIA / GO Retenções INSS 3.5% NFS-e: O ISS desta NFS-e será retido pelo tomador de serviço.</v>
      </c>
      <c r="AF31">
        <v>5</v>
      </c>
      <c r="AG31">
        <v>2</v>
      </c>
      <c r="AH31" t="b">
        <v>0</v>
      </c>
      <c r="AI31">
        <v>2</v>
      </c>
      <c r="AJ31">
        <v>1</v>
      </c>
      <c r="AK31" t="str">
        <v>06175128000172</v>
      </c>
      <c r="AL31" t="str">
        <v>76388899</v>
      </c>
      <c r="AM31" t="str">
        <v>Área Rural</v>
      </c>
      <c r="AN31" t="str">
        <v>S/N</v>
      </c>
      <c r="AO31" t="str">
        <v>Área Rural de Goianésia</v>
      </c>
      <c r="AP31" t="str">
        <v>GO</v>
      </c>
      <c r="AQ31" t="str">
        <v>5208608</v>
      </c>
      <c r="AR31" t="str">
        <v>GOGNE09</v>
      </c>
    </row>
    <row r="32">
      <c r="A32" t="str">
        <v>Huawei Gestao e Servicos de Telecomunicacoes do Brasil Ltda</v>
      </c>
      <c r="B32" t="str">
        <v>Huawei Gestao e Servicos de Telecomunicacoes do Brasil Ltda</v>
      </c>
      <c r="C32" t="str">
        <v>10.519.123/0001-97</v>
      </c>
      <c r="D32" t="str">
        <v>huawei@slgestao.com</v>
      </c>
      <c r="E32" t="str">
        <v>Avenida Jerome Case</v>
      </c>
      <c r="F32" t="str">
        <v>2600</v>
      </c>
      <c r="G32" t="str">
        <v>Galpão A3 A9 Quadra 25 Lote 7/A</v>
      </c>
      <c r="H32" t="str">
        <v>Sorocaba</v>
      </c>
      <c r="I32" t="str">
        <v>3552205</v>
      </c>
      <c r="J32" t="str">
        <v>Eden</v>
      </c>
      <c r="K32" t="str">
        <v>SP</v>
      </c>
      <c r="L32" t="str">
        <v>(11) 3930-8580</v>
      </c>
      <c r="M32" t="str">
        <v>18087-220</v>
      </c>
      <c r="N32" t="str">
        <v/>
      </c>
      <c r="O32" s="1">
        <f>=TODAY()</f>
      </c>
      <c r="P32" t="str">
        <v>6211HG3360340-3783-4-10519123000197</v>
      </c>
      <c r="Q32" t="str">
        <v>10519123000197</v>
      </c>
      <c r="R32" t="str">
        <v>PO: 6211HG3360340-3783 Line 4  PO: 6211HG3360340-3783 Line 1  PO: 6211HG3360340-3783 Line 2  PO: 6211HG3360340-3783 Line 3</v>
      </c>
      <c r="S32" t="str">
        <v>4</v>
      </c>
      <c r="T32" t="str">
        <v>GRAVATA</v>
      </c>
      <c r="U32" t="str">
        <v>PE</v>
      </c>
      <c r="V32" t="str">
        <v>2606408</v>
      </c>
      <c r="W32">
        <v>6279.76</v>
      </c>
      <c r="X32">
        <v>6863.129999999999</v>
      </c>
      <c r="Y32" t="str">
        <v/>
      </c>
      <c r="Z32">
        <v>240.21</v>
      </c>
      <c r="AA32">
        <v>343.16</v>
      </c>
      <c r="AB32">
        <v>343.16</v>
      </c>
      <c r="AC32">
        <v>3.5</v>
      </c>
      <c r="AD32" t="str">
        <v>070202</v>
      </c>
      <c r="AE32" t="str">
        <v>Execução por empreitada de obras de construção civil e elétrica – adequação de infraestrutura, instalação e montagem de equipamentos de rede de telefonia celular, conforme pedidos de compra abaixo: PO: 6211HG3360340-3783 LINE: 4 MUNICIPIO: GRAVATA / PE MATERIAL: SERVIÇO: 6863.13 BASE DE CÁLCULO ISS: 6863.13 BASE DE CÁLCULO INSS: 6863.13 Retenções ISS 5% Município: GRAVATA / PE Retenções INSS 3.5% NFS-e: O ISS desta NFS-e será retido pelo tomador de serviço.</v>
      </c>
      <c r="AF32">
        <v>5</v>
      </c>
      <c r="AG32">
        <v>2</v>
      </c>
      <c r="AH32" t="b">
        <v>0</v>
      </c>
      <c r="AI32">
        <v>2</v>
      </c>
      <c r="AJ32">
        <v>1</v>
      </c>
      <c r="AK32" t="str">
        <v>06175128000172</v>
      </c>
      <c r="AL32" t="str">
        <v>55644348</v>
      </c>
      <c r="AM32" t="str">
        <v>Rua Alcides Teixeira</v>
      </c>
      <c r="AN32" t="str">
        <v>SN</v>
      </c>
      <c r="AO32" t="str">
        <v>Cruzeiro</v>
      </c>
      <c r="AP32" t="str">
        <v>PE</v>
      </c>
      <c r="AQ32" t="str">
        <v>2606408</v>
      </c>
      <c r="AR32" t="str">
        <v>GVZ</v>
      </c>
    </row>
    <row r="33">
      <c r="A33" t="str">
        <v>Huawei Gestao e Servicos de Telecomunicacoes do Brasil Ltda</v>
      </c>
      <c r="B33" t="str">
        <v>Huawei Gestao e Servicos de Telecomunicacoes do Brasil Ltda</v>
      </c>
      <c r="C33" t="str">
        <v>10.519.123/0001-97</v>
      </c>
      <c r="D33" t="str">
        <v>huawei@slgestao.com</v>
      </c>
      <c r="E33" t="str">
        <v>Avenida Jerome Case</v>
      </c>
      <c r="F33" t="str">
        <v>2600</v>
      </c>
      <c r="G33" t="str">
        <v>Galpão A3 A9 Quadra 25 Lote 7/A</v>
      </c>
      <c r="H33" t="str">
        <v>Sorocaba</v>
      </c>
      <c r="I33" t="str">
        <v>3552205</v>
      </c>
      <c r="J33" t="str">
        <v>Eden</v>
      </c>
      <c r="K33" t="str">
        <v>SP</v>
      </c>
      <c r="L33" t="str">
        <v>(11) 3930-8580</v>
      </c>
      <c r="M33" t="str">
        <v>18087-220</v>
      </c>
      <c r="N33" t="str">
        <v/>
      </c>
      <c r="O33" s="1">
        <f>=TODAY()</f>
      </c>
      <c r="P33" t="str">
        <v>6211HG3360338-115-1-10519123000197</v>
      </c>
      <c r="Q33" t="str">
        <v>10519123000197</v>
      </c>
      <c r="R33" t="str">
        <v>PO: 6211HG3360338-115 Line 1</v>
      </c>
      <c r="S33" t="str">
        <v>1</v>
      </c>
      <c r="T33" t="str">
        <v>ENGENHEIRO COELHO</v>
      </c>
      <c r="U33" t="str">
        <v>SP</v>
      </c>
      <c r="V33" t="str">
        <v>3515152</v>
      </c>
      <c r="W33">
        <v>520.04</v>
      </c>
      <c r="X33">
        <v>568.345</v>
      </c>
      <c r="Y33" t="str">
        <v/>
      </c>
      <c r="Z33">
        <v>19.89</v>
      </c>
      <c r="AA33">
        <v>28.42</v>
      </c>
      <c r="AB33">
        <v>28.42</v>
      </c>
      <c r="AC33">
        <v>3.5</v>
      </c>
      <c r="AD33" t="str">
        <v>070202</v>
      </c>
      <c r="AE33" t="str">
        <v>Execução por empreitada de obras de construção civil e elétrica – adequação de infraestrutura, instalação e montagem de equipamentos de rede de telefonia celular, conforme pedidos de compra abaixo: PO: 6211HG3360338-115 LINE: 1 MUNICIPIO: ENGENHEIRO COELHO / SP MATERIAL: SERVIÇO: 568.35 BASE DE CÁLCULO ISS: 568.35 BASE DE CÁLCULO INSS: 568.35 Retenções ISS 5% Município: ENGENHEIRO COELHO / SP Retenções INSS 3.5% NFS-e: O ISS desta NFS-e será retido pelo tomador de serviço.</v>
      </c>
      <c r="AF33">
        <v>5</v>
      </c>
      <c r="AG33">
        <v>2</v>
      </c>
      <c r="AH33" t="b">
        <v>0</v>
      </c>
      <c r="AI33">
        <v>2</v>
      </c>
      <c r="AJ33">
        <v>1</v>
      </c>
      <c r="AK33" t="str">
        <v>06175128000172</v>
      </c>
      <c r="AL33" t="str">
        <v>13165000</v>
      </c>
      <c r="AM33" t="str">
        <v>ESTRADA MUNICIPAL PASTOR WALTER BOGER</v>
      </c>
      <c r="AN33" t="str">
        <v>SN</v>
      </c>
      <c r="AO33" t="str">
        <v>LAGOA BONITA</v>
      </c>
      <c r="AP33" t="str">
        <v>SP</v>
      </c>
      <c r="AQ33" t="str">
        <v/>
      </c>
      <c r="AR33" t="str">
        <v>EG0</v>
      </c>
    </row>
    <row r="34">
      <c r="A34" t="str">
        <v>Huawei Gestao e Servicos de Telecomunicacoes do Brasil Ltda</v>
      </c>
      <c r="B34" t="str">
        <v>Huawei Gestao e Servicos de Telecomunicacoes do Brasil Ltda</v>
      </c>
      <c r="C34" t="str">
        <v>10.519.123/0001-97</v>
      </c>
      <c r="D34" t="str">
        <v>huawei@slgestao.com</v>
      </c>
      <c r="E34" t="str">
        <v>Avenida Jerome Case</v>
      </c>
      <c r="F34" t="str">
        <v>2600</v>
      </c>
      <c r="G34" t="str">
        <v>Galpão A3 A9 Quadra 25 Lote 7/A</v>
      </c>
      <c r="H34" t="str">
        <v>Sorocaba</v>
      </c>
      <c r="I34" t="str">
        <v>3552205</v>
      </c>
      <c r="J34" t="str">
        <v>Eden</v>
      </c>
      <c r="K34" t="str">
        <v>SP</v>
      </c>
      <c r="L34" t="str">
        <v>(11) 3930-8580</v>
      </c>
      <c r="M34" t="str">
        <v>18087-220</v>
      </c>
      <c r="N34" t="str">
        <v/>
      </c>
      <c r="O34" s="1">
        <f>=TODAY()</f>
      </c>
      <c r="P34" t="str">
        <v>6211HG3360337-143-1-10519123000197</v>
      </c>
      <c r="Q34" t="str">
        <v>10519123000197</v>
      </c>
      <c r="R34" t="str">
        <v>PO: 6211HG3360337-143 Line 1</v>
      </c>
      <c r="S34" t="str">
        <v>1</v>
      </c>
      <c r="T34" t="str">
        <v>CONCORDIA</v>
      </c>
      <c r="U34" t="str">
        <v>SC</v>
      </c>
      <c r="V34" t="str">
        <v>4204301</v>
      </c>
      <c r="W34">
        <v>992</v>
      </c>
      <c r="X34">
        <v>992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>070203</v>
      </c>
      <c r="AE34" t="str">
        <v>Execução por empreitada de obras de construção civil e elétrica – adequação de infraestrutura, instalação e montagem de equipamentos de rede de telefonia celular, conforme pedidos de compra abaixo: PO: 6211HG3360337-143 LINE: 1 MUNICIPIO: CONCORDIA / SC MATERIAL: SERVIÇO: 992.00 BASE DE CÁLCULO ISS: 992.00 BASE DE CÁLCULO INSS: 992.00 Retenções ISS 2% Município: CONCORDIA / SC Retenções INSS % NFS-e: O ISS desta NFS-e será retido pelo tomador de serviço.</v>
      </c>
      <c r="AF34">
        <v>2</v>
      </c>
      <c r="AG34" t="str">
        <v/>
      </c>
      <c r="AH34" t="str">
        <v/>
      </c>
      <c r="AI34">
        <v>1</v>
      </c>
      <c r="AJ34">
        <v>1</v>
      </c>
      <c r="AK34" t="str">
        <v>06175128000172</v>
      </c>
      <c r="AL34" t="str">
        <v>04617010</v>
      </c>
      <c r="AM34" t="str">
        <v>Rua Vieira de Morais</v>
      </c>
      <c r="AN34" t="str">
        <v>SN</v>
      </c>
      <c r="AO34" t="str">
        <v>Campo Belo</v>
      </c>
      <c r="AP34" t="str">
        <v>SP</v>
      </c>
      <c r="AQ34" t="str">
        <v>3550308</v>
      </c>
      <c r="AR34" t="str">
        <v>TRC</v>
      </c>
    </row>
  </sheetData>
  <ignoredErrors>
    <ignoredError numberStoredAsText="1" sqref="A1:AR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