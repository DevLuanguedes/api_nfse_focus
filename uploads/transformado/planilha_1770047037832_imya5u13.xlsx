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utomação 7.02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dd/mm/yyyy"/>
    <numFmt numFmtId="176" formatCode="yyyy\-mm\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80"/>
  <sheetViews>
    <sheetView workbookViewId="0"/>
  </sheetViews>
  <sheetData>
    <row r="1">
      <c r="A1" t="str">
        <v>Razão Social</v>
      </c>
      <c r="B1" t="str">
        <v>Nome Fantasia</v>
      </c>
      <c r="C1" t="str">
        <v>Documento_Tomador</v>
      </c>
      <c r="D1" t="str">
        <v>E-mail</v>
      </c>
      <c r="E1" t="str">
        <v>Logradouro</v>
      </c>
      <c r="F1" t="str">
        <v>Número</v>
      </c>
      <c r="G1" t="str">
        <v>Complemento</v>
      </c>
      <c r="H1" t="str">
        <v>Cidade_Tomador</v>
      </c>
      <c r="I1" t="str">
        <v>Codigo_Municipio_Tomador</v>
      </c>
      <c r="J1" t="str">
        <v>Bairro</v>
      </c>
      <c r="K1" t="str">
        <v>UF_Tomador</v>
      </c>
      <c r="L1" t="str">
        <v>telefone_tomador</v>
      </c>
      <c r="M1" t="str">
        <v>CEP</v>
      </c>
      <c r="N1" t="str">
        <v>HUAWEI</v>
      </c>
      <c r="O1" t="str">
        <v>data_emissao</v>
      </c>
      <c r="P1" t="str">
        <v>Ref</v>
      </c>
      <c r="Q1" t="str">
        <v>Parcela/AC</v>
      </c>
      <c r="R1" t="str">
        <v>PO</v>
      </c>
      <c r="S1" t="str">
        <v>Line</v>
      </c>
      <c r="T1" t="str">
        <v>Cidade_Servico</v>
      </c>
      <c r="U1" t="str">
        <v>UF_Servico</v>
      </c>
      <c r="V1" t="str">
        <v>codigo_municipio_servico</v>
      </c>
      <c r="W1" t="str">
        <v>Valor Liquido</v>
      </c>
      <c r="X1" t="str">
        <v>valor_servico</v>
      </c>
      <c r="Y1" t="str">
        <v>outras_retencoes</v>
      </c>
      <c r="Z1" t="str">
        <v>valor_inss</v>
      </c>
      <c r="AA1" t="str">
        <v>valor_iss</v>
      </c>
      <c r="AB1" t="str">
        <v>valor_iss_retido</v>
      </c>
      <c r="AC1" t="str">
        <v>RET. INSS</v>
      </c>
      <c r="AD1" t="str">
        <v>item_lista_servico</v>
      </c>
      <c r="AE1" t="str">
        <v>descricao_servico</v>
      </c>
      <c r="AF1" t="str">
        <v>aliquota_iss</v>
      </c>
      <c r="AG1" t="str">
        <v>iss_retido</v>
      </c>
      <c r="AH1" t="str">
        <v>optante_simples_nacional</v>
      </c>
      <c r="AI1" t="str">
        <v>natureza_operacao</v>
      </c>
      <c r="AJ1" t="str">
        <v>tributacao_iss</v>
      </c>
      <c r="AK1" t="str">
        <v>cnpj_prestador</v>
      </c>
      <c r="AL1" t="str">
        <v>CEP_Obra</v>
      </c>
      <c r="AM1" t="str">
        <v>Logradouro_Obra</v>
      </c>
      <c r="AN1" t="str">
        <v>Numero_Obra</v>
      </c>
      <c r="AO1" t="str">
        <v>Bairro_Obra</v>
      </c>
      <c r="AP1" t="str">
        <v>UF_Obra</v>
      </c>
      <c r="AQ1" t="str">
        <v>Codigo_Municipio_Obra</v>
      </c>
      <c r="AR1" t="str">
        <v>SITE</v>
      </c>
    </row>
    <row r="2">
      <c r="A2" t="str">
        <v>Huawei Gestao e Servicos de Telecomunicacoes do Brasil Ltda</v>
      </c>
      <c r="B2" t="str">
        <v>Huawei Gestao e Servicos de Telecomunicacoes do Brasil Ltda</v>
      </c>
      <c r="C2" t="str">
        <v>10.519.123/0001-97</v>
      </c>
      <c r="D2" t="str">
        <v>huawei@slgestao.com</v>
      </c>
      <c r="E2" t="str">
        <v>Avenida Jerome Case</v>
      </c>
      <c r="F2" t="str">
        <v>2600</v>
      </c>
      <c r="G2" t="str">
        <v>Galpão A3 A9 Quadra 25 Lote 7/A</v>
      </c>
      <c r="H2" t="str">
        <v>Sorocaba</v>
      </c>
      <c r="I2" t="str">
        <v>3552205</v>
      </c>
      <c r="J2" t="str">
        <v>Eden</v>
      </c>
      <c r="K2" t="str">
        <v>SP</v>
      </c>
      <c r="L2" t="str">
        <v>(11) 3930-8580</v>
      </c>
      <c r="M2" t="str">
        <v>18087-220</v>
      </c>
      <c r="N2" t="str">
        <v/>
      </c>
      <c r="O2" s="1">
        <f>=TODAY()</f>
      </c>
      <c r="P2" t="str">
        <v>6211HG3360342-948-3-10519123000197</v>
      </c>
      <c r="Q2" t="str">
        <v>10519123000197</v>
      </c>
      <c r="R2" t="str">
        <v>PO: 6211HG3360342-948 Line 3  PO: 6211HG3360342-944 Line 1  PO: 6211HG3360342-944 Line 1  PO: 6211HG3360342-1042 Line 2  PO: 6211HG3360342-947 Line 1  PO: 6211HG3360342-948 Line 1  PO: 6211HG3360342-948 Line 1  PO: 6211HG3360342-948 Line 2  PO: 6211HG3360342-948 Line 2  PO: 6211HG3360342-944 Line 2  PO: 6211HG3360342-944 Line 2</v>
      </c>
      <c r="S2" t="str">
        <v>3</v>
      </c>
      <c r="T2" t="str">
        <v>GOIANESIA</v>
      </c>
      <c r="U2" t="str">
        <v>GO</v>
      </c>
      <c r="V2" t="str">
        <v>5208608</v>
      </c>
      <c r="W2">
        <v>8219.07</v>
      </c>
      <c r="X2">
        <v>8982.59</v>
      </c>
      <c r="Y2" t="str">
        <v/>
      </c>
      <c r="Z2">
        <v>314.39</v>
      </c>
      <c r="AA2">
        <v>449.13</v>
      </c>
      <c r="AB2">
        <v>449.13</v>
      </c>
      <c r="AC2">
        <v>3.5</v>
      </c>
      <c r="AD2" t="str">
        <v>070202</v>
      </c>
      <c r="AE2" t="str">
        <v>Execução por empreitada de obras de construção civil e elétrica – adequação de infraestrutura, instalação e montagem de equipamentos de rede de telefonia celular, conforme pedidos de compra abaixo: PO: 6211HG3360342-948 LINE: 3 MUNICIPIO: GOIANESIA / GO MATERIAL: SERVIÇO: 8982.59 BASE DE CÁLCULO ISS: 8982.59 BASE DE CÁLCULO INSS: 8982.59 Retenções ISS 5% Município: GOIANESIA / GO Retenções INSS 3.5% NFS-e: O ISS desta NFS-e será retido pelo tomador de serviço.</v>
      </c>
      <c r="AF2">
        <v>5</v>
      </c>
      <c r="AG2">
        <v>2</v>
      </c>
      <c r="AH2" t="b">
        <v>0</v>
      </c>
      <c r="AI2">
        <v>2</v>
      </c>
      <c r="AJ2">
        <v>1</v>
      </c>
      <c r="AK2" t="str">
        <v>06175128000172</v>
      </c>
      <c r="AL2" t="str">
        <v>76388899</v>
      </c>
      <c r="AM2" t="str">
        <v>15 DE DEZEMBRO</v>
      </c>
      <c r="AN2" t="str">
        <v>S/N</v>
      </c>
      <c r="AO2" t="str">
        <v>CENTRO</v>
      </c>
      <c r="AP2" t="str">
        <v>GO</v>
      </c>
      <c r="AQ2" t="str">
        <v/>
      </c>
      <c r="AR2" t="str">
        <v>GOGNE09</v>
      </c>
    </row>
    <row r="3">
      <c r="A3" t="str">
        <v>Huawei Gestao e Servicos de Telecomunicacoes do Brasil Ltda</v>
      </c>
      <c r="B3" t="str">
        <v>Huawei Gestao e Servicos de Telecomunicacoes do Brasil Ltda</v>
      </c>
      <c r="C3" t="str">
        <v>10.519.123/0001-97</v>
      </c>
      <c r="D3" t="str">
        <v>huawei@slgestao.com</v>
      </c>
      <c r="E3" t="str">
        <v>Avenida Jerome Case</v>
      </c>
      <c r="F3" t="str">
        <v>2600</v>
      </c>
      <c r="G3" t="str">
        <v>Galpão A3 A9 Quadra 25 Lote 7/A</v>
      </c>
      <c r="H3" t="str">
        <v>Sorocaba</v>
      </c>
      <c r="I3" t="str">
        <v>3552205</v>
      </c>
      <c r="J3" t="str">
        <v>Eden</v>
      </c>
      <c r="K3" t="str">
        <v>SP</v>
      </c>
      <c r="L3" t="str">
        <v>(11) 3930-8580</v>
      </c>
      <c r="M3" t="str">
        <v>18087-220</v>
      </c>
      <c r="N3" t="str">
        <v/>
      </c>
      <c r="O3" s="1">
        <f>=TODAY()</f>
      </c>
      <c r="P3" t="str">
        <v>6211HG3295910-176-1-10519123000197</v>
      </c>
      <c r="Q3" t="str">
        <v>10519123000197</v>
      </c>
      <c r="R3" t="str">
        <v>PO: 6211HG3295910-176 Line 1  PO: 6211HG3295910-170 Line 1</v>
      </c>
      <c r="S3" t="str">
        <v>1</v>
      </c>
      <c r="T3" t="str">
        <v>OSASCO</v>
      </c>
      <c r="U3" t="str">
        <v>SP</v>
      </c>
      <c r="V3" t="str">
        <v>3534401</v>
      </c>
      <c r="W3">
        <v>1763.65</v>
      </c>
      <c r="X3">
        <v>1927.482</v>
      </c>
      <c r="Y3" t="str">
        <v/>
      </c>
      <c r="Z3">
        <v>67.46</v>
      </c>
      <c r="AA3">
        <v>96.37</v>
      </c>
      <c r="AB3">
        <v>96.37</v>
      </c>
      <c r="AC3">
        <v>3.5</v>
      </c>
      <c r="AD3" t="str">
        <v>070202</v>
      </c>
      <c r="AE3" t="str">
        <v>Execução por empreitada de obras de construção civil e elétrica – adequação de infraestrutura, instalação e montagem de equipamentos de rede de telefonia celular, conforme pedidos de compra abaixo: PO: 6211HG3295910-176 LINE: 1 MUNICIPIO: OSASCO / SP MATERIAL: SERVIÇO: 1927.48 BASE DE CÁLCULO ISS: 1927.48 BASE DE CÁLCULO INSS: 1927.48 Retenções ISS 5% Município: OSASCO / SP Retenções INSS 3.5% NFS-e: O ISS desta NFS-e será retido pelo tomador de serviço.</v>
      </c>
      <c r="AF3">
        <v>5</v>
      </c>
      <c r="AG3">
        <v>2</v>
      </c>
      <c r="AH3" t="b">
        <v>0</v>
      </c>
      <c r="AI3">
        <v>2</v>
      </c>
      <c r="AJ3">
        <v>1</v>
      </c>
      <c r="AK3" t="str">
        <v>06175128000172</v>
      </c>
      <c r="AL3" t="str">
        <v>06112010</v>
      </c>
      <c r="AM3" t="str">
        <v>Avenida Horácio Lafer</v>
      </c>
      <c r="AN3" t="str">
        <v>SN</v>
      </c>
      <c r="AO3" t="str">
        <v>Jardim das Flores</v>
      </c>
      <c r="AP3" t="str">
        <v>SP</v>
      </c>
      <c r="AQ3" t="str">
        <v>3534401</v>
      </c>
      <c r="AR3" t="str">
        <v>SR-OSVL02</v>
      </c>
    </row>
    <row r="4">
      <c r="A4" t="str">
        <v>Huawei Gestao e Servicos de Telecomunicacoes do Brasil Ltda</v>
      </c>
      <c r="B4" t="str">
        <v>Huawei Gestao e Servicos de Telecomunicacoes do Brasil Ltda</v>
      </c>
      <c r="C4" t="str">
        <v>10.519.123/0001-97</v>
      </c>
      <c r="D4" t="str">
        <v>huawei@slgestao.com</v>
      </c>
      <c r="E4" t="str">
        <v>Avenida Jerome Case</v>
      </c>
      <c r="F4" t="str">
        <v>2600</v>
      </c>
      <c r="G4" t="str">
        <v>Galpão A3 A9 Quadra 25 Lote 7/A</v>
      </c>
      <c r="H4" t="str">
        <v>Sorocaba</v>
      </c>
      <c r="I4" t="str">
        <v>3552205</v>
      </c>
      <c r="J4" t="str">
        <v>Eden</v>
      </c>
      <c r="K4" t="str">
        <v>SP</v>
      </c>
      <c r="L4" t="str">
        <v>(11) 3930-8580</v>
      </c>
      <c r="M4" t="str">
        <v>18087-220</v>
      </c>
      <c r="N4" t="str">
        <v/>
      </c>
      <c r="O4" s="1">
        <f>=TODAY()</f>
      </c>
      <c r="P4" t="str">
        <v>6211HG3295910-507-1-10519123000197</v>
      </c>
      <c r="Q4" t="str">
        <v>10519123000197</v>
      </c>
      <c r="R4" t="str">
        <v>PO: 6211HG3295910-507 Line 1  PO: 6211HG3295910-518 Line 1</v>
      </c>
      <c r="S4" t="str">
        <v>1</v>
      </c>
      <c r="T4" t="str">
        <v>JUNDIAI</v>
      </c>
      <c r="U4" t="str">
        <v>SP</v>
      </c>
      <c r="V4" t="str">
        <v>3525904</v>
      </c>
      <c r="W4">
        <v>1763.65</v>
      </c>
      <c r="X4">
        <v>1927.482</v>
      </c>
      <c r="Y4" t="str">
        <v/>
      </c>
      <c r="Z4">
        <v>67.46</v>
      </c>
      <c r="AA4">
        <v>96.37</v>
      </c>
      <c r="AB4">
        <v>96.37</v>
      </c>
      <c r="AC4">
        <v>3.5</v>
      </c>
      <c r="AD4" t="str">
        <v>070202</v>
      </c>
      <c r="AE4" t="str">
        <v>Execução por empreitada de obras de construção civil e elétrica – adequação de infraestrutura, instalação e montagem de equipamentos de rede de telefonia celular, conforme pedidos de compra abaixo: PO: 6211HG3295910-507 LINE: 1 MUNICIPIO: JUNDIAI / SP MATERIAL: SERVIÇO: 1927.48 BASE DE CÁLCULO ISS: 1927.48 BASE DE CÁLCULO INSS: 1927.48 Retenções ISS 5% Município: JUNDIAI / SP Retenções INSS 3.5% NFS-e: O ISS desta NFS-e será retido pelo tomador de serviço.</v>
      </c>
      <c r="AF4">
        <v>5</v>
      </c>
      <c r="AG4">
        <v>2</v>
      </c>
      <c r="AH4" t="b">
        <v>0</v>
      </c>
      <c r="AI4">
        <v>2</v>
      </c>
      <c r="AJ4">
        <v>1</v>
      </c>
      <c r="AK4" t="str">
        <v>06175128000172</v>
      </c>
      <c r="AL4" t="str">
        <v>13213030</v>
      </c>
      <c r="AM4" t="str">
        <v>Avenida Antônio Frederico Ozanan</v>
      </c>
      <c r="AN4" t="str">
        <v>11</v>
      </c>
      <c r="AO4" t="str">
        <v>Distrito Industrial</v>
      </c>
      <c r="AP4" t="str">
        <v>SP</v>
      </c>
      <c r="AQ4" t="str">
        <v>3525904</v>
      </c>
      <c r="AR4" t="str">
        <v>SR-JNDI01</v>
      </c>
    </row>
    <row r="5">
      <c r="A5" t="str">
        <v>Huawei Gestao e Servicos de Telecomunicacoes do Brasil Ltda</v>
      </c>
      <c r="B5" t="str">
        <v>Huawei Gestao e Servicos de Telecomunicacoes do Brasil Ltda</v>
      </c>
      <c r="C5" t="str">
        <v>10.519.123/0001-97</v>
      </c>
      <c r="D5" t="str">
        <v>huawei@slgestao.com</v>
      </c>
      <c r="E5" t="str">
        <v>Avenida Jerome Case</v>
      </c>
      <c r="F5" t="str">
        <v>2600</v>
      </c>
      <c r="G5" t="str">
        <v>Galpão A3 A9 Quadra 25 Lote 7/A</v>
      </c>
      <c r="H5" t="str">
        <v>Sorocaba</v>
      </c>
      <c r="I5" t="str">
        <v>3552205</v>
      </c>
      <c r="J5" t="str">
        <v>Eden</v>
      </c>
      <c r="K5" t="str">
        <v>SP</v>
      </c>
      <c r="L5" t="str">
        <v>(11) 3930-8580</v>
      </c>
      <c r="M5" t="str">
        <v>18087-220</v>
      </c>
      <c r="N5" t="str">
        <v/>
      </c>
      <c r="O5" s="1">
        <f>=TODAY()</f>
      </c>
      <c r="P5" t="str">
        <v>6211HG3360340-1429-1-10519123000197</v>
      </c>
      <c r="Q5" t="str">
        <v>10519123000197</v>
      </c>
      <c r="R5" t="str">
        <v>PO: 6211HG3360340-1429 Line 1</v>
      </c>
      <c r="S5" t="str">
        <v>1</v>
      </c>
      <c r="T5" t="str">
        <v>PORTO REAL DO COLEGIO</v>
      </c>
      <c r="U5" t="str">
        <v>AL</v>
      </c>
      <c r="V5" t="str">
        <v>2707503</v>
      </c>
      <c r="W5">
        <v>385.3</v>
      </c>
      <c r="X5">
        <v>421.102</v>
      </c>
      <c r="Y5" t="str">
        <v/>
      </c>
      <c r="Z5">
        <v>14.74</v>
      </c>
      <c r="AA5">
        <v>21.06</v>
      </c>
      <c r="AB5">
        <v>21.06</v>
      </c>
      <c r="AC5">
        <v>3.5</v>
      </c>
      <c r="AD5" t="str">
        <v>070202</v>
      </c>
      <c r="AE5" t="str">
        <v>Execução por empreitada de obras de construção civil e elétrica – adequação de infraestrutura, instalação e montagem de equipamentos de rede de telefonia celular, conforme pedidos de compra abaixo: PO: 6211HG3360340-1429 LINE: 1 MUNICIPIO: PORTO REAL DO COLEGIO / AL MATERIAL: SERVIÇO: 421.10 BASE DE CÁLCULO ISS: 421.10 BASE DE CÁLCULO INSS: 421.10 Retenções ISS 5% Município: PORTO REAL DO COLEGIO / AL Retenções INSS 3.5% NFS-e: O ISS desta NFS-e será retido pelo tomador de serviço.</v>
      </c>
      <c r="AF5">
        <v>5</v>
      </c>
      <c r="AG5">
        <v>2</v>
      </c>
      <c r="AH5" t="b">
        <v>0</v>
      </c>
      <c r="AI5">
        <v>2</v>
      </c>
      <c r="AJ5">
        <v>1</v>
      </c>
      <c r="AK5" t="str">
        <v>06175128000172</v>
      </c>
      <c r="AL5" t="str">
        <v>57290000</v>
      </c>
      <c r="AM5" t="str">
        <v>PROFESSOR JÚLIO REIS</v>
      </c>
      <c r="AN5" t="str">
        <v>152 A</v>
      </c>
      <c r="AO5" t="str">
        <v>CENTRO</v>
      </c>
      <c r="AP5" t="str">
        <v>AL</v>
      </c>
      <c r="AQ5" t="str">
        <v/>
      </c>
      <c r="AR5" t="str">
        <v>ALPLC01</v>
      </c>
    </row>
    <row r="6">
      <c r="A6" t="str">
        <v>Huawei Gestao e Servicos de Telecomunicacoes do Brasil Ltda</v>
      </c>
      <c r="B6" t="str">
        <v>Huawei Gestao e Servicos de Telecomunicacoes do Brasil Ltda</v>
      </c>
      <c r="C6" t="str">
        <v>10.519.123/0001-97</v>
      </c>
      <c r="D6" t="str">
        <v>huawei@slgestao.com</v>
      </c>
      <c r="E6" t="str">
        <v>Avenida Jerome Case</v>
      </c>
      <c r="F6" t="str">
        <v>2600</v>
      </c>
      <c r="G6" t="str">
        <v>Galpão A3 A9 Quadra 25 Lote 7/A</v>
      </c>
      <c r="H6" t="str">
        <v>Sorocaba</v>
      </c>
      <c r="I6" t="str">
        <v>3552205</v>
      </c>
      <c r="J6" t="str">
        <v>Eden</v>
      </c>
      <c r="K6" t="str">
        <v>SP</v>
      </c>
      <c r="L6" t="str">
        <v>(11) 3930-8580</v>
      </c>
      <c r="M6" t="str">
        <v>18087-220</v>
      </c>
      <c r="N6" t="str">
        <v/>
      </c>
      <c r="O6" s="1">
        <f>=TODAY()</f>
      </c>
      <c r="P6" t="str">
        <v>6211HG3360340-3178-3-10519123000197</v>
      </c>
      <c r="Q6" t="str">
        <v>10519123000197</v>
      </c>
      <c r="R6" t="str">
        <v>PO: 6211HG3360340-3178 Line 3  PO: 6211HG3360340-3178 Line 4  PO: 6211HG3360340-3178 Line 1  PO: 6211HG3360340-3178 Line 2</v>
      </c>
      <c r="S6" t="str">
        <v>3</v>
      </c>
      <c r="T6" t="str">
        <v>SAO FRANCISCO DO CONDE</v>
      </c>
      <c r="U6" t="str">
        <v>BA</v>
      </c>
      <c r="V6" t="str">
        <v>2908606</v>
      </c>
      <c r="W6">
        <v>6746.19</v>
      </c>
      <c r="X6">
        <v>7372.880999999999</v>
      </c>
      <c r="Y6" t="str">
        <v/>
      </c>
      <c r="Z6">
        <v>258.05</v>
      </c>
      <c r="AA6">
        <v>368.64</v>
      </c>
      <c r="AB6">
        <v>368.64</v>
      </c>
      <c r="AC6">
        <v>3.5</v>
      </c>
      <c r="AD6" t="str">
        <v>070202</v>
      </c>
      <c r="AE6" t="str">
        <v>Execução por empreitada de obras de construção civil e elétrica – adequação de infraestrutura, instalação e montagem de equipamentos de rede de telefonia celular, conforme pedidos de compra abaixo: PO: 6211HG3360340-3178 LINE: 3 MUNICIPIO: SAO FRANCISCO DO CONDE / BA MATERIAL: SERVIÇO: 7372.88 BASE DE CÁLCULO ISS: 7372.88 BASE DE CÁLCULO INSS: 7372.88 Retenções ISS 5% Município: SAO FRANCISCO DO CONDE / BA Retenções INSS 3.5% NFS-e: O ISS desta NFS-e será retido pelo tomador de serviço.</v>
      </c>
      <c r="AF6">
        <v>5</v>
      </c>
      <c r="AG6">
        <v>2</v>
      </c>
      <c r="AH6" t="b">
        <v>0</v>
      </c>
      <c r="AI6">
        <v>2</v>
      </c>
      <c r="AJ6">
        <v>1</v>
      </c>
      <c r="AK6" t="str">
        <v>06175128000172</v>
      </c>
      <c r="AL6" t="str">
        <v>43900000</v>
      </c>
      <c r="AM6" t="str">
        <v>NITEROI</v>
      </c>
      <c r="AN6" t="str">
        <v>S/N</v>
      </c>
      <c r="AO6" t="str">
        <v>CENTRO</v>
      </c>
      <c r="AP6" t="str">
        <v>BA</v>
      </c>
      <c r="AQ6" t="str">
        <v/>
      </c>
      <c r="AR6" t="str">
        <v>BASFN11</v>
      </c>
    </row>
    <row r="7">
      <c r="A7" t="str">
        <v>Huawei Gestao e Servicos de Telecomunicacoes do Brasil Ltda</v>
      </c>
      <c r="B7" t="str">
        <v>Huawei Gestao e Servicos de Telecomunicacoes do Brasil Ltda</v>
      </c>
      <c r="C7" t="str">
        <v>10.519.123/0001-97</v>
      </c>
      <c r="D7" t="str">
        <v>huawei@slgestao.com</v>
      </c>
      <c r="E7" t="str">
        <v>Avenida Jerome Case</v>
      </c>
      <c r="F7" t="str">
        <v>2600</v>
      </c>
      <c r="G7" t="str">
        <v>Galpão A3 A9 Quadra 25 Lote 7/A</v>
      </c>
      <c r="H7" t="str">
        <v>Sorocaba</v>
      </c>
      <c r="I7" t="str">
        <v>3552205</v>
      </c>
      <c r="J7" t="str">
        <v>Eden</v>
      </c>
      <c r="K7" t="str">
        <v>SP</v>
      </c>
      <c r="L7" t="str">
        <v>(11) 3930-8580</v>
      </c>
      <c r="M7" t="str">
        <v>18087-220</v>
      </c>
      <c r="N7" t="str">
        <v/>
      </c>
      <c r="O7" s="1">
        <f>=TODAY()</f>
      </c>
      <c r="P7" t="str">
        <v>6211HG2963610-171-1-10519123000197</v>
      </c>
      <c r="Q7" t="str">
        <v>10519123000197</v>
      </c>
      <c r="R7" t="str">
        <v>PO: 6211HG2963610-171 Line 1  PO: 6211HG2963610-171 Line 2  PO: 6211HG2963610-171 Line 3</v>
      </c>
      <c r="S7" t="str">
        <v>1</v>
      </c>
      <c r="T7" t="str">
        <v>PORTO SEGURO</v>
      </c>
      <c r="U7" t="str">
        <v>BA</v>
      </c>
      <c r="V7" t="str">
        <v>2925303</v>
      </c>
      <c r="W7">
        <v>481.22</v>
      </c>
      <c r="X7">
        <v>525.934</v>
      </c>
      <c r="Y7" t="str">
        <v/>
      </c>
      <c r="Z7">
        <v>18.41</v>
      </c>
      <c r="AA7">
        <v>26.3</v>
      </c>
      <c r="AB7">
        <v>26.3</v>
      </c>
      <c r="AC7">
        <v>3.5</v>
      </c>
      <c r="AD7" t="str">
        <v>070202</v>
      </c>
      <c r="AE7" t="str">
        <v>Execução por empreitada de obras de construção civil e elétrica – adequação de infraestrutura, instalação e montagem de equipamentos de rede de telefonia celular, conforme pedidos de compra abaixo: PO: 6211HG2963610-171 LINE: 1 MUNICIPIO: PORTO SEGURO / BA MATERIAL: SERVIÇO: 525.93 BASE DE CÁLCULO ISS: 525.93 BASE DE CÁLCULO INSS: 525.93 Retenções ISS 5% Município: PORTO SEGURO / BA Retenções INSS 3.5% NFS-e: O ISS desta NFS-e será retido pelo tomador de serviço.</v>
      </c>
      <c r="AF7">
        <v>5</v>
      </c>
      <c r="AG7">
        <v>2</v>
      </c>
      <c r="AH7" t="b">
        <v>0</v>
      </c>
      <c r="AI7">
        <v>2</v>
      </c>
      <c r="AJ7">
        <v>1</v>
      </c>
      <c r="AK7" t="str">
        <v>06175128000172</v>
      </c>
      <c r="AL7" t="str">
        <v>45810000</v>
      </c>
      <c r="AM7" t="str">
        <v>CAMINHO DO SOL</v>
      </c>
      <c r="AN7" t="str">
        <v>20</v>
      </c>
      <c r="AO7" t="str">
        <v>PEKI</v>
      </c>
      <c r="AP7" t="str">
        <v>BA</v>
      </c>
      <c r="AQ7" t="str">
        <v/>
      </c>
      <c r="AR7" t="str">
        <v>BAPGU30</v>
      </c>
    </row>
    <row r="8">
      <c r="A8" t="str">
        <v>Huawei Gestao e Servicos de Telecomunicacoes do Brasil Ltda</v>
      </c>
      <c r="B8" t="str">
        <v>Huawei Gestao e Servicos de Telecomunicacoes do Brasil Ltda</v>
      </c>
      <c r="C8" t="str">
        <v>10.519.123/0001-97</v>
      </c>
      <c r="D8" t="str">
        <v>huawei@slgestao.com</v>
      </c>
      <c r="E8" t="str">
        <v>Avenida Jerome Case</v>
      </c>
      <c r="F8" t="str">
        <v>2600</v>
      </c>
      <c r="G8" t="str">
        <v>Galpão A3 A9 Quadra 25 Lote 7/A</v>
      </c>
      <c r="H8" t="str">
        <v>Sorocaba</v>
      </c>
      <c r="I8" t="str">
        <v>3552205</v>
      </c>
      <c r="J8" t="str">
        <v>Eden</v>
      </c>
      <c r="K8" t="str">
        <v>SP</v>
      </c>
      <c r="L8" t="str">
        <v>(11) 3930-8580</v>
      </c>
      <c r="M8" t="str">
        <v>18087-220</v>
      </c>
      <c r="N8" t="str">
        <v/>
      </c>
      <c r="O8" s="1">
        <f>=TODAY()</f>
      </c>
      <c r="P8" t="str">
        <v>6211HG2963611-41-1-10519123000197</v>
      </c>
      <c r="Q8" t="str">
        <v>10519123000197</v>
      </c>
      <c r="R8" t="str">
        <v>PO: 6211HG2963611-41 Line 1  PO: 6211HG2963611-41 Line 2  PO: 6211HG2963611-43 Line 1  PO: 6211HG2963611-46 Line 1</v>
      </c>
      <c r="S8" t="str">
        <v>1</v>
      </c>
      <c r="T8" t="str">
        <v>BRASILIA</v>
      </c>
      <c r="U8" t="str">
        <v>DF</v>
      </c>
      <c r="V8" t="str">
        <v>5300108</v>
      </c>
      <c r="W8">
        <v>1089.83</v>
      </c>
      <c r="X8">
        <v>1153.258</v>
      </c>
      <c r="Y8" t="str">
        <v/>
      </c>
      <c r="Z8">
        <v>40.36</v>
      </c>
      <c r="AA8">
        <v>23.07</v>
      </c>
      <c r="AB8">
        <v>23.07</v>
      </c>
      <c r="AC8">
        <v>3.5</v>
      </c>
      <c r="AD8" t="str">
        <v>070202</v>
      </c>
      <c r="AE8" t="str">
        <v>Execução por empreitada de obras de construção civil e elétrica – adequação de infraestrutura, instalação e montagem de equipamentos de rede de telefonia celular, conforme pedidos de compra abaixo: PO: 6211HG2963611-41 LINE: 1 MUNICIPIO: BRASILIA / DF MATERIAL: SERVIÇO: 1153.26 BASE DE CÁLCULO ISS: 1153.26 BASE DE CÁLCULO INSS: 1153.26 Retenções ISS 2% Município: BRASILIA / DF Retenções INSS 3.5% NFS-e: O ISS desta NFS-e será retido pelo tomador de serviço.</v>
      </c>
      <c r="AF8">
        <v>2</v>
      </c>
      <c r="AG8">
        <v>2</v>
      </c>
      <c r="AH8" t="b">
        <v>0</v>
      </c>
      <c r="AI8">
        <v>2</v>
      </c>
      <c r="AJ8">
        <v>1</v>
      </c>
      <c r="AK8" t="str">
        <v>06175128000172</v>
      </c>
      <c r="AL8" t="str">
        <v>70200030</v>
      </c>
      <c r="AM8" t="str">
        <v>SES 803, LOTE 9</v>
      </c>
      <c r="AN8" t="str">
        <v>S/N</v>
      </c>
      <c r="AO8" t="str">
        <v>PLANO PILOTO DE BRASÍLIA</v>
      </c>
      <c r="AP8" t="str">
        <v>DF</v>
      </c>
      <c r="AQ8" t="str">
        <v/>
      </c>
      <c r="AR8" t="str">
        <v>DFSQSK8</v>
      </c>
    </row>
    <row r="9">
      <c r="A9" t="str">
        <v>Huawei Gestao e Servicos de Telecomunicacoes do Brasil Ltda</v>
      </c>
      <c r="B9" t="str">
        <v>Huawei Gestao e Servicos de Telecomunicacoes do Brasil Ltda</v>
      </c>
      <c r="C9" t="str">
        <v>10.519.123/0001-97</v>
      </c>
      <c r="D9" t="str">
        <v>huawei@slgestao.com</v>
      </c>
      <c r="E9" t="str">
        <v>Avenida Jerome Case</v>
      </c>
      <c r="F9" t="str">
        <v>2600</v>
      </c>
      <c r="G9" t="str">
        <v>Galpão A3 A9 Quadra 25 Lote 7/A</v>
      </c>
      <c r="H9" t="str">
        <v>Sorocaba</v>
      </c>
      <c r="I9" t="str">
        <v>3552205</v>
      </c>
      <c r="J9" t="str">
        <v>Eden</v>
      </c>
      <c r="K9" t="str">
        <v>SP</v>
      </c>
      <c r="L9" t="str">
        <v>(11) 3930-8580</v>
      </c>
      <c r="M9" t="str">
        <v>18087-220</v>
      </c>
      <c r="N9" t="str">
        <v/>
      </c>
      <c r="O9" s="1">
        <f>=TODAY()</f>
      </c>
      <c r="P9" t="str">
        <v>6211HG3295910-922-2-10519123000197</v>
      </c>
      <c r="Q9" t="str">
        <v>10519123000197</v>
      </c>
      <c r="R9" t="str">
        <v>PO: 6211HG3295910-922 Line 2  PO: 6211HG3295910-922 Line 1  PO: 6211HG3295910-925 Line 1</v>
      </c>
      <c r="S9" t="str">
        <v>2</v>
      </c>
      <c r="T9" t="str">
        <v>RIBEIRAO PIRES</v>
      </c>
      <c r="U9" t="str">
        <v>SP</v>
      </c>
      <c r="V9" t="str">
        <v>3542800</v>
      </c>
      <c r="W9">
        <v>1426.56</v>
      </c>
      <c r="X9">
        <v>1559.084</v>
      </c>
      <c r="Y9" t="str">
        <v/>
      </c>
      <c r="Z9">
        <v>54.57</v>
      </c>
      <c r="AA9">
        <v>77.95</v>
      </c>
      <c r="AB9">
        <v>77.95</v>
      </c>
      <c r="AC9">
        <v>3.5</v>
      </c>
      <c r="AD9" t="str">
        <v>070202</v>
      </c>
      <c r="AE9" t="str">
        <v>Execução por empreitada de obras de construção civil e elétrica – adequação de infraestrutura, instalação e montagem de equipamentos de rede de telefonia celular, conforme pedidos de compra abaixo: PO: 6211HG3295910-922 LINE: 2 MUNICIPIO: RIBEIRAO PIRES / SP MATERIAL: SERVIÇO: 1559.08 BASE DE CÁLCULO ISS: 1559.08 BASE DE CÁLCULO INSS: 1559.08 Retenções ISS 5% Município: RIBEIRAO PIRES / SP Retenções INSS 3.5% NFS-e: O ISS desta NFS-e será retido pelo tomador de serviço.</v>
      </c>
      <c r="AF9">
        <v>5</v>
      </c>
      <c r="AG9">
        <v>2</v>
      </c>
      <c r="AH9" t="b">
        <v>0</v>
      </c>
      <c r="AI9">
        <v>2</v>
      </c>
      <c r="AJ9">
        <v>1</v>
      </c>
      <c r="AK9" t="str">
        <v>06175128000172</v>
      </c>
      <c r="AL9" t="str">
        <v>09424100</v>
      </c>
      <c r="AM9" t="str">
        <v>Rua Olímpia Catta Preta</v>
      </c>
      <c r="AN9" t="str">
        <v>SN</v>
      </c>
      <c r="AO9" t="str">
        <v>Centro Alto</v>
      </c>
      <c r="AP9" t="str">
        <v>SP</v>
      </c>
      <c r="AQ9" t="str">
        <v>3543303</v>
      </c>
      <c r="AR9" t="str">
        <v>SR-RPVR04</v>
      </c>
    </row>
    <row r="10">
      <c r="A10" t="str">
        <v>Huawei Gestao e Servicos de Telecomunicacoes do Brasil Ltda</v>
      </c>
      <c r="B10" t="str">
        <v>Huawei Gestao e Servicos de Telecomunicacoes do Brasil Ltda</v>
      </c>
      <c r="C10" t="str">
        <v>10.519.123/0001-97</v>
      </c>
      <c r="D10" t="str">
        <v>huawei@slgestao.com</v>
      </c>
      <c r="E10" t="str">
        <v>Avenida Jerome Case</v>
      </c>
      <c r="F10" t="str">
        <v>2600</v>
      </c>
      <c r="G10" t="str">
        <v>Galpão A3 A9 Quadra 25 Lote 7/A</v>
      </c>
      <c r="H10" t="str">
        <v>Sorocaba</v>
      </c>
      <c r="I10" t="str">
        <v>3552205</v>
      </c>
      <c r="J10" t="str">
        <v>Eden</v>
      </c>
      <c r="K10" t="str">
        <v>SP</v>
      </c>
      <c r="L10" t="str">
        <v>(11) 3930-8580</v>
      </c>
      <c r="M10" t="str">
        <v>18087-220</v>
      </c>
      <c r="N10" t="str">
        <v/>
      </c>
      <c r="O10" s="1">
        <f>=TODAY()</f>
      </c>
      <c r="P10" t="str">
        <v>6211HG2963610-185-3-10519123000197</v>
      </c>
      <c r="Q10" t="str">
        <v>10519123000197</v>
      </c>
      <c r="R10" t="str">
        <v>PO: 6211HG2963610-185 Line 3  PO: 6211HG2963610-185 Line 1  PO: 6211HG2963610-185 Line 2</v>
      </c>
      <c r="S10" t="str">
        <v>3</v>
      </c>
      <c r="T10" t="str">
        <v>GANDU</v>
      </c>
      <c r="U10" t="str">
        <v>BA</v>
      </c>
      <c r="V10" t="str">
        <v>2911204</v>
      </c>
      <c r="W10">
        <v>481.22</v>
      </c>
      <c r="X10">
        <v>525.934</v>
      </c>
      <c r="Y10" t="str">
        <v/>
      </c>
      <c r="Z10">
        <v>18.41</v>
      </c>
      <c r="AA10">
        <v>26.3</v>
      </c>
      <c r="AB10">
        <v>26.3</v>
      </c>
      <c r="AC10">
        <v>3.5</v>
      </c>
      <c r="AD10" t="str">
        <v>070202</v>
      </c>
      <c r="AE10" t="str">
        <v>Execução por empreitada de obras de construção civil e elétrica – adequação de infraestrutura, instalação e montagem de equipamentos de rede de telefonia celular, conforme pedidos de compra abaixo: PO: 6211HG2963610-185 LINE: 3 MUNICIPIO: GANDU / BA MATERIAL: SERVIÇO: 525.93 BASE DE CÁLCULO ISS: 525.93 BASE DE CÁLCULO INSS: 525.93 Retenções ISS 5% Município: GANDU / BA Retenções INSS 3.5% NFS-e: O ISS desta NFS-e será retido pelo tomador de serviço.</v>
      </c>
      <c r="AF10">
        <v>5</v>
      </c>
      <c r="AG10">
        <v>2</v>
      </c>
      <c r="AH10" t="b">
        <v>0</v>
      </c>
      <c r="AI10">
        <v>2</v>
      </c>
      <c r="AJ10">
        <v>1</v>
      </c>
      <c r="AK10" t="str">
        <v>06175128000172</v>
      </c>
      <c r="AL10" t="str">
        <v>45450000</v>
      </c>
      <c r="AM10" t="str">
        <v>OSVALDO JOSÉ DE SOUZA</v>
      </c>
      <c r="AN10" t="str">
        <v>501</v>
      </c>
      <c r="AO10" t="str">
        <v>EMILIA COSTA</v>
      </c>
      <c r="AP10" t="str">
        <v>BA</v>
      </c>
      <c r="AQ10" t="str">
        <v/>
      </c>
      <c r="AR10" t="str">
        <v>BAGDU01</v>
      </c>
    </row>
    <row r="11">
      <c r="A11" t="str">
        <v>Huawei Gestao e Servicos de Telecomunicacoes do Brasil Ltda</v>
      </c>
      <c r="B11" t="str">
        <v>Huawei Gestao e Servicos de Telecomunicacoes do Brasil Ltda</v>
      </c>
      <c r="C11" t="str">
        <v>10.519.123/0001-97</v>
      </c>
      <c r="D11" t="str">
        <v>huawei@slgestao.com</v>
      </c>
      <c r="E11" t="str">
        <v>Avenida Jerome Case</v>
      </c>
      <c r="F11" t="str">
        <v>2600</v>
      </c>
      <c r="G11" t="str">
        <v>Galpão A3 A9 Quadra 25 Lote 7/A</v>
      </c>
      <c r="H11" t="str">
        <v>Sorocaba</v>
      </c>
      <c r="I11" t="str">
        <v>3552205</v>
      </c>
      <c r="J11" t="str">
        <v>Eden</v>
      </c>
      <c r="K11" t="str">
        <v>SP</v>
      </c>
      <c r="L11" t="str">
        <v>(11) 3930-8580</v>
      </c>
      <c r="M11" t="str">
        <v>18087-220</v>
      </c>
      <c r="N11" t="str">
        <v/>
      </c>
      <c r="O11" s="1">
        <f>=TODAY()</f>
      </c>
      <c r="P11" t="str">
        <v>6211HG3360343-288-3-10519123000197</v>
      </c>
      <c r="Q11" t="str">
        <v>10519123000197</v>
      </c>
      <c r="R11" t="str">
        <v>PO: 6211HG3360343-288 Line 3  PO: 6211HG3360343-295 Line 3  PO: 6211HG3360343-295 Line 2  PO: 6211HG3360343-288 Line 4  PO: 6211HG3360343-288 Line 1  PO: 6211HG3360343-288 Line 2</v>
      </c>
      <c r="S11" t="str">
        <v>3</v>
      </c>
      <c r="T11" t="str">
        <v>VARZEA GRANDE</v>
      </c>
      <c r="U11" t="str">
        <v>MT</v>
      </c>
      <c r="V11" t="str">
        <v>5108402</v>
      </c>
      <c r="W11">
        <v>747.64</v>
      </c>
      <c r="X11">
        <v>817.093</v>
      </c>
      <c r="Y11" t="str">
        <v/>
      </c>
      <c r="Z11">
        <v>28.6</v>
      </c>
      <c r="AA11">
        <v>40.85</v>
      </c>
      <c r="AB11">
        <v>40.85</v>
      </c>
      <c r="AC11">
        <v>3.5</v>
      </c>
      <c r="AD11" t="str">
        <v>070202</v>
      </c>
      <c r="AE11" t="str">
        <v>Execução por empreitada de obras de construção civil e elétrica – adequação de infraestrutura, instalação e montagem de equipamentos de rede de telefonia celular, conforme pedidos de compra abaixo: PO: 6211HG3360343-288 LINE: 3 MUNICIPIO: VARZEA GRANDE / MT MATERIAL: SERVIÇO: 817.09 BASE DE CÁLCULO ISS: 817.09 BASE DE CÁLCULO INSS: 817.09 Retenções ISS 5% Município: VARZEA GRANDE / MT Retenções INSS 3.5% NFS-e: O ISS desta NFS-e será retido pelo tomador de serviço.</v>
      </c>
      <c r="AF11">
        <v>5</v>
      </c>
      <c r="AG11">
        <v>2</v>
      </c>
      <c r="AH11" t="b">
        <v>0</v>
      </c>
      <c r="AI11">
        <v>2</v>
      </c>
      <c r="AJ11">
        <v>1</v>
      </c>
      <c r="AK11" t="str">
        <v>06175128000172</v>
      </c>
      <c r="AL11" t="str">
        <v>78120404</v>
      </c>
      <c r="AM11" t="str">
        <v>O</v>
      </c>
      <c r="AN11" t="str">
        <v>S/N</v>
      </c>
      <c r="AO11" t="str">
        <v>JARDIM MARINGÁ III</v>
      </c>
      <c r="AP11" t="str">
        <v>MT</v>
      </c>
      <c r="AQ11" t="str">
        <v/>
      </c>
      <c r="AR11" t="str">
        <v>MTVAZ10</v>
      </c>
    </row>
    <row r="12">
      <c r="A12" t="str">
        <v>Huawei Gestao e Servicos de Telecomunicacoes do Brasil Ltda</v>
      </c>
      <c r="B12" t="str">
        <v>Huawei Gestao e Servicos de Telecomunicacoes do Brasil Ltda</v>
      </c>
      <c r="C12" t="str">
        <v>10.519.123/0001-97</v>
      </c>
      <c r="D12" t="str">
        <v>huawei@slgestao.com</v>
      </c>
      <c r="E12" t="str">
        <v>Avenida Jerome Case</v>
      </c>
      <c r="F12" t="str">
        <v>2600</v>
      </c>
      <c r="G12" t="str">
        <v>Galpão A3 A9 Quadra 25 Lote 7/A</v>
      </c>
      <c r="H12" t="str">
        <v>Sorocaba</v>
      </c>
      <c r="I12" t="str">
        <v>3552205</v>
      </c>
      <c r="J12" t="str">
        <v>Eden</v>
      </c>
      <c r="K12" t="str">
        <v>SP</v>
      </c>
      <c r="L12" t="str">
        <v>(11) 3930-8580</v>
      </c>
      <c r="M12" t="str">
        <v>18087-220</v>
      </c>
      <c r="N12" t="str">
        <v/>
      </c>
      <c r="O12" s="1">
        <f>=TODAY()</f>
      </c>
      <c r="P12" t="str">
        <v>6211HG3360340-2581-1-10519123000197</v>
      </c>
      <c r="Q12" t="str">
        <v>10519123000197</v>
      </c>
      <c r="R12" t="str">
        <v>PO: 6211HG3360340-2581 Line 1</v>
      </c>
      <c r="S12" t="str">
        <v>1</v>
      </c>
      <c r="T12" t="str">
        <v>JOAO PESSOA</v>
      </c>
      <c r="U12" t="str">
        <v>PB</v>
      </c>
      <c r="V12" t="str">
        <v>2507507</v>
      </c>
      <c r="W12">
        <v>317.67</v>
      </c>
      <c r="X12">
        <v>347.184</v>
      </c>
      <c r="Y12" t="str">
        <v/>
      </c>
      <c r="Z12">
        <v>12.15</v>
      </c>
      <c r="AA12">
        <v>17.36</v>
      </c>
      <c r="AB12">
        <v>17.36</v>
      </c>
      <c r="AC12">
        <v>3.5</v>
      </c>
      <c r="AD12" t="str">
        <v>070202</v>
      </c>
      <c r="AE12" t="str">
        <v>Execução por empreitada de obras de construção civil e elétrica – adequação de infraestrutura, instalação e montagem de equipamentos de rede de telefonia celular, conforme pedidos de compra abaixo: PO: 6211HG3360340-2581 LINE: 1 MUNICIPIO: JOAO PESSOA / PB MATERIAL: SERVIÇO: 347.18 BASE DE CÁLCULO ISS: 347.18 BASE DE CÁLCULO INSS: 347.18 Retenções ISS 5% Município: JOAO PESSOA / PB Retenções INSS 3.5% NFS-e: O ISS desta NFS-e será retido pelo tomador de serviço.</v>
      </c>
      <c r="AF12">
        <v>5</v>
      </c>
      <c r="AG12">
        <v>2</v>
      </c>
      <c r="AH12" t="b">
        <v>0</v>
      </c>
      <c r="AI12">
        <v>2</v>
      </c>
      <c r="AJ12">
        <v>1</v>
      </c>
      <c r="AK12" t="str">
        <v>06175128000172</v>
      </c>
      <c r="AL12" t="str">
        <v>58071090</v>
      </c>
      <c r="AM12" t="str">
        <v>FLORIPES TAVARES DE QUEIROZ</v>
      </c>
      <c r="AN12" t="str">
        <v>277</v>
      </c>
      <c r="AO12" t="str">
        <v>CRISTO REDENTOR</v>
      </c>
      <c r="AP12" t="str">
        <v>PB</v>
      </c>
      <c r="AQ12" t="str">
        <v/>
      </c>
      <c r="AR12" t="str">
        <v>PBCRI73</v>
      </c>
    </row>
    <row r="13">
      <c r="A13" t="str">
        <v>Huawei Gestao e Servicos de Telecomunicacoes do Brasil Ltda</v>
      </c>
      <c r="B13" t="str">
        <v>Huawei Gestao e Servicos de Telecomunicacoes do Brasil Ltda</v>
      </c>
      <c r="C13" t="str">
        <v>10.519.123/0001-97</v>
      </c>
      <c r="D13" t="str">
        <v>huawei@slgestao.com</v>
      </c>
      <c r="E13" t="str">
        <v>Avenida Jerome Case</v>
      </c>
      <c r="F13" t="str">
        <v>2600</v>
      </c>
      <c r="G13" t="str">
        <v>Galpão A3 A9 Quadra 25 Lote 7/A</v>
      </c>
      <c r="H13" t="str">
        <v>Sorocaba</v>
      </c>
      <c r="I13" t="str">
        <v>3552205</v>
      </c>
      <c r="J13" t="str">
        <v>Eden</v>
      </c>
      <c r="K13" t="str">
        <v>SP</v>
      </c>
      <c r="L13" t="str">
        <v>(11) 3930-8580</v>
      </c>
      <c r="M13" t="str">
        <v>18087-220</v>
      </c>
      <c r="N13" t="str">
        <v/>
      </c>
      <c r="O13" s="1">
        <f>=TODAY()</f>
      </c>
      <c r="P13" t="str">
        <v>6211HG3360340-3040-1-10519123000197</v>
      </c>
      <c r="Q13" t="str">
        <v>10519123000197</v>
      </c>
      <c r="R13" t="str">
        <v>PO: 6211HG3360340-3040 Line 1  PO: 6211HG3360340-3035 Line 3  PO: 6211HG3360340-3035 Line 1  PO: 6211HG3360340-3040 Line 3  PO: 6211HG3360340-3040 Line 4  PO: 6211HG3360340-3035 Line 2</v>
      </c>
      <c r="S13" t="str">
        <v>1</v>
      </c>
      <c r="T13" t="str">
        <v>CAMARAGIBE</v>
      </c>
      <c r="U13" t="str">
        <v>PE</v>
      </c>
      <c r="V13" t="str">
        <v>2603454</v>
      </c>
      <c r="W13">
        <v>4400.95</v>
      </c>
      <c r="X13">
        <v>4809.78</v>
      </c>
      <c r="Y13" t="str">
        <v/>
      </c>
      <c r="Z13">
        <v>168.34</v>
      </c>
      <c r="AA13">
        <v>240.49</v>
      </c>
      <c r="AB13">
        <v>240.49</v>
      </c>
      <c r="AC13">
        <v>3.5</v>
      </c>
      <c r="AD13" t="str">
        <v>070202</v>
      </c>
      <c r="AE13" t="str">
        <v>Execução por empreitada de obras de construção civil e elétrica – adequação de infraestrutura, instalação e montagem de equipamentos de rede de telefonia celular, conforme pedidos de compra abaixo: PO: 6211HG3360340-3040 LINE: 1 MUNICIPIO: CAMARAGIBE / PE MATERIAL: SERVIÇO: 4809.78 BASE DE CÁLCULO ISS: 4809.78 BASE DE CÁLCULO INSS: 4809.78 Retenções ISS 5% Município: CAMARAGIBE / PE Retenções INSS 3.5% NFS-e: O ISS desta NFS-e será retido pelo tomador de serviço.</v>
      </c>
      <c r="AF13">
        <v>5</v>
      </c>
      <c r="AG13">
        <v>2</v>
      </c>
      <c r="AH13" t="b">
        <v>0</v>
      </c>
      <c r="AI13">
        <v>2</v>
      </c>
      <c r="AJ13">
        <v>1</v>
      </c>
      <c r="AK13" t="str">
        <v>06175128000172</v>
      </c>
      <c r="AL13" t="str">
        <v>54762425</v>
      </c>
      <c r="AM13" t="str">
        <v>BOA ESPERANCA</v>
      </c>
      <c r="AN13" t="str">
        <v>175</v>
      </c>
      <c r="AO13" t="str">
        <v>AREEIRO</v>
      </c>
      <c r="AP13" t="str">
        <v>PE</v>
      </c>
      <c r="AQ13" t="str">
        <v/>
      </c>
      <c r="AR13" t="str">
        <v>PECGB14</v>
      </c>
    </row>
    <row r="14">
      <c r="A14" t="str">
        <v>Huawei Gestao e Servicos de Telecomunicacoes do Brasil Ltda</v>
      </c>
      <c r="B14" t="str">
        <v>Huawei Gestao e Servicos de Telecomunicacoes do Brasil Ltda</v>
      </c>
      <c r="C14" t="str">
        <v>10.519.123/0001-97</v>
      </c>
      <c r="D14" t="str">
        <v>huawei@slgestao.com</v>
      </c>
      <c r="E14" t="str">
        <v>Avenida Jerome Case</v>
      </c>
      <c r="F14" t="str">
        <v>2600</v>
      </c>
      <c r="G14" t="str">
        <v>Galpão A3 A9 Quadra 25 Lote 7/A</v>
      </c>
      <c r="H14" t="str">
        <v>Sorocaba</v>
      </c>
      <c r="I14" t="str">
        <v>3552205</v>
      </c>
      <c r="J14" t="str">
        <v>Eden</v>
      </c>
      <c r="K14" t="str">
        <v>SP</v>
      </c>
      <c r="L14" t="str">
        <v>(11) 3930-8580</v>
      </c>
      <c r="M14" t="str">
        <v>18087-220</v>
      </c>
      <c r="N14" t="str">
        <v/>
      </c>
      <c r="O14" s="1">
        <f>=TODAY()</f>
      </c>
      <c r="P14" t="str">
        <v>6211HG3360337-56-1-10519123000197</v>
      </c>
      <c r="Q14" t="str">
        <v>10519123000197</v>
      </c>
      <c r="R14" t="str">
        <v>PO: 6211HG3360337-56 Line 1  PO: 6211HG3360337-56 Line 3  PO: 6211HG3360337-65 Line 3  PO: 6211HG3360337-65 Line 7  PO: 6211HG3360337-65 Line 8  PO: 6211HG3360337-56 Line 5  PO: 6211HG3360337-65 Line 5  PO: 6211HG3360337-129 Line 1  PO: 6211HG3360337-65 Line 6  PO: 6211HG3360337-131 Line 2  PO: 6211HG3360337-56 Line 2  PO: 6211HG3360337-56 Line 6  PO: 6211HG3360337-65 Line 4  PO: 6211HG3360337-128 Line 1</v>
      </c>
      <c r="S14" t="str">
        <v>1</v>
      </c>
      <c r="T14" t="str">
        <v>MARECHAL CANDIDO RONDON</v>
      </c>
      <c r="U14" t="str">
        <v>PR</v>
      </c>
      <c r="V14" t="str">
        <v>4114609</v>
      </c>
      <c r="W14">
        <v>12189.81</v>
      </c>
      <c r="X14">
        <v>13037.228999999998</v>
      </c>
      <c r="Y14" t="str">
        <v/>
      </c>
      <c r="Z14">
        <v>456.3</v>
      </c>
      <c r="AA14">
        <v>391.12</v>
      </c>
      <c r="AB14">
        <v>391.12</v>
      </c>
      <c r="AC14">
        <v>3.5</v>
      </c>
      <c r="AD14" t="str">
        <v>070202</v>
      </c>
      <c r="AE14" t="str">
        <v>Execução por empreitada de obras de construção civil e elétrica – adequação de infraestrutura, instalação e montagem de equipamentos de rede de telefonia celular, conforme pedidos de compra abaixo: PO: 6211HG3360337-56 LINE: 1 MUNICIPIO: MARECHAL CANDIDO RONDON / PR MATERIAL: SERVIÇO: 13037.23 BASE DE CÁLCULO ISS: 13037.23 BASE DE CÁLCULO INSS: 13037.23 Retenções ISS 3% Município: MARECHAL CANDIDO RONDON / PR Retenções INSS 3.5% NFS-e: O ISS desta NFS-e será retido pelo tomador de serviço.</v>
      </c>
      <c r="AF14">
        <v>3</v>
      </c>
      <c r="AG14">
        <v>2</v>
      </c>
      <c r="AH14" t="b">
        <v>0</v>
      </c>
      <c r="AI14">
        <v>2</v>
      </c>
      <c r="AJ14">
        <v>1</v>
      </c>
      <c r="AK14" t="str">
        <v>06175128000172</v>
      </c>
      <c r="AL14" t="str">
        <v>85963174</v>
      </c>
      <c r="AM14" t="str">
        <v>Rua Pastor Mário Hort</v>
      </c>
      <c r="AN14" t="str">
        <v>SN</v>
      </c>
      <c r="AO14" t="str">
        <v>Primavera</v>
      </c>
      <c r="AP14" t="str">
        <v>PR</v>
      </c>
      <c r="AQ14" t="str">
        <v>4114609</v>
      </c>
      <c r="AR14" t="str">
        <v>PRMRH02</v>
      </c>
    </row>
    <row r="15">
      <c r="A15" t="str">
        <v>Huawei Gestao e Servicos de Telecomunicacoes do Brasil Ltda</v>
      </c>
      <c r="B15" t="str">
        <v>Huawei Gestao e Servicos de Telecomunicacoes do Brasil Ltda</v>
      </c>
      <c r="C15" t="str">
        <v>10.519.123/0001-97</v>
      </c>
      <c r="D15" t="str">
        <v>huawei@slgestao.com</v>
      </c>
      <c r="E15" t="str">
        <v>Avenida Jerome Case</v>
      </c>
      <c r="F15" t="str">
        <v>2600</v>
      </c>
      <c r="G15" t="str">
        <v>Galpão A3 A9 Quadra 25 Lote 7/A</v>
      </c>
      <c r="H15" t="str">
        <v>Sorocaba</v>
      </c>
      <c r="I15" t="str">
        <v>3552205</v>
      </c>
      <c r="J15" t="str">
        <v>Eden</v>
      </c>
      <c r="K15" t="str">
        <v>SP</v>
      </c>
      <c r="L15" t="str">
        <v>(11) 3930-8580</v>
      </c>
      <c r="M15" t="str">
        <v>18087-220</v>
      </c>
      <c r="N15" t="str">
        <v/>
      </c>
      <c r="O15" s="1">
        <f>=TODAY()</f>
      </c>
      <c r="P15" t="str">
        <v>6211HG3360340-3003-4-10519123000197</v>
      </c>
      <c r="Q15" t="str">
        <v>10519123000197</v>
      </c>
      <c r="R15" t="str">
        <v>PO: 6211HG3360340-3003 Line 4  PO: 6211HG3360340-3003 Line 6  PO: 6211HG3360340-3403 Line 2  PO: 6211HG3360340-2995 Line 4  PO: 6211HG3360340-3003 Line 1  PO: 6211HG3360340-3003 Line 2  PO: 6211HG3360340-3403 Line 1  PO: 6211HG3360340-2995 Line 1  PO: 6211HG3360340-2995 Line 2  PO: 6211HG3360340-3003 Line 3  PO: 6211HG3360340-3003 Line 9  PO: 6211HG3360340-2995 Line 3  PO: 6211HG3360340-3003 Line 5  PO: 6211HG3360340-3003 Line 8</v>
      </c>
      <c r="S15" t="str">
        <v>4</v>
      </c>
      <c r="T15" t="str">
        <v>LAURO DE FREITAS</v>
      </c>
      <c r="U15" t="str">
        <v>BA</v>
      </c>
      <c r="V15" t="str">
        <v>2919207</v>
      </c>
      <c r="W15">
        <v>1861.61</v>
      </c>
      <c r="X15">
        <v>2034.5510250000002</v>
      </c>
      <c r="Y15" t="str">
        <v/>
      </c>
      <c r="Z15">
        <v>71.21</v>
      </c>
      <c r="AA15">
        <v>101.73</v>
      </c>
      <c r="AB15">
        <v>101.73</v>
      </c>
      <c r="AC15">
        <v>3.5</v>
      </c>
      <c r="AD15" t="str">
        <v>070202</v>
      </c>
      <c r="AE15" t="str">
        <v>Execução por empreitada de obras de construção civil e elétrica – adequação de infraestrutura, instalação e montagem de equipamentos de rede de telefonia celular, conforme pedidos de compra abaixo: PO: 6211HG3360340-3003 LINE: 4 MUNICIPIO: LAURO DE FREITAS / BA MATERIAL: SERVIÇO: 2034.55 BASE DE CÁLCULO ISS: 2034.55 BASE DE CÁLCULO INSS: 2034.55 Retenções ISS 5% Município: LAURO DE FREITAS / BA Retenções INSS 3.5% NFS-e: O ISS desta NFS-e será retido pelo tomador de serviço.</v>
      </c>
      <c r="AF15">
        <v>5</v>
      </c>
      <c r="AG15">
        <v>2</v>
      </c>
      <c r="AH15" t="b">
        <v>0</v>
      </c>
      <c r="AI15">
        <v>2</v>
      </c>
      <c r="AJ15">
        <v>1</v>
      </c>
      <c r="AK15" t="str">
        <v>06175128000172</v>
      </c>
      <c r="AL15" t="str">
        <v>42739225</v>
      </c>
      <c r="AM15" t="str">
        <v>MEIRE TEIXEIRA</v>
      </c>
      <c r="AN15" t="str">
        <v>QUADRA C LT 10</v>
      </c>
      <c r="AO15" t="str">
        <v>ITINGA</v>
      </c>
      <c r="AP15" t="str">
        <v>BA</v>
      </c>
      <c r="AQ15" t="str">
        <v/>
      </c>
      <c r="AR15" t="str">
        <v>BALFS27</v>
      </c>
    </row>
    <row r="16">
      <c r="A16" t="str">
        <v>Huawei Gestao e Servicos de Telecomunicacoes do Brasil Ltda</v>
      </c>
      <c r="B16" t="str">
        <v>Huawei Gestao e Servicos de Telecomunicacoes do Brasil Ltda</v>
      </c>
      <c r="C16" t="str">
        <v>10.519.123/0001-97</v>
      </c>
      <c r="D16" t="str">
        <v>huawei@slgestao.com</v>
      </c>
      <c r="E16" t="str">
        <v>Avenida Jerome Case</v>
      </c>
      <c r="F16" t="str">
        <v>2600</v>
      </c>
      <c r="G16" t="str">
        <v>Galpão A3 A9 Quadra 25 Lote 7/A</v>
      </c>
      <c r="H16" t="str">
        <v>Sorocaba</v>
      </c>
      <c r="I16" t="str">
        <v>3552205</v>
      </c>
      <c r="J16" t="str">
        <v>Eden</v>
      </c>
      <c r="K16" t="str">
        <v>SP</v>
      </c>
      <c r="L16" t="str">
        <v>(11) 3930-8580</v>
      </c>
      <c r="M16" t="str">
        <v>18087-220</v>
      </c>
      <c r="N16" t="str">
        <v/>
      </c>
      <c r="O16" s="1">
        <f>=TODAY()</f>
      </c>
      <c r="P16" t="str">
        <v>6211HG3360338-730-5-10519123000197</v>
      </c>
      <c r="Q16" t="str">
        <v>10519123000197</v>
      </c>
      <c r="R16" t="str">
        <v>PO: 6211HG3360338-730 Line 5  PO: 6211HG3360338-730 Line 6  PO: 6211HG3360338-730 Line 2  PO: 6211HG3360338-730 Line 1  PO: 6211HG3360338-730 Line 3  PO: 6211HG3360338-730 Line 4</v>
      </c>
      <c r="S16" t="str">
        <v>5</v>
      </c>
      <c r="T16" t="str">
        <v>CACAPAVA</v>
      </c>
      <c r="U16" t="str">
        <v>SP</v>
      </c>
      <c r="V16" t="str">
        <v>3508504</v>
      </c>
      <c r="W16">
        <v>651.98</v>
      </c>
      <c r="X16">
        <v>712.5469999999999</v>
      </c>
      <c r="Y16" t="str">
        <v/>
      </c>
      <c r="Z16">
        <v>24.94</v>
      </c>
      <c r="AA16">
        <v>35.63</v>
      </c>
      <c r="AB16">
        <v>35.63</v>
      </c>
      <c r="AC16">
        <v>3.5</v>
      </c>
      <c r="AD16" t="str">
        <v>070202</v>
      </c>
      <c r="AE16" t="str">
        <v>Execução por empreitada de obras de construção civil e elétrica – adequação de infraestrutura, instalação e montagem de equipamentos de rede de telefonia celular, conforme pedidos de compra abaixo: PO: 6211HG3360338-730 LINE: 5 MUNICIPIO: CACAPAVA / SP MATERIAL: SERVIÇO: 712.55 BASE DE CÁLCULO ISS: 712.55 BASE DE CÁLCULO INSS: 712.55 Retenções ISS 5% Município: CACAPAVA / SP Retenções INSS 3.5% NFS-e: O ISS desta NFS-e será retido pelo tomador de serviço.</v>
      </c>
      <c r="AF16">
        <v>5</v>
      </c>
      <c r="AG16">
        <v>2</v>
      </c>
      <c r="AH16" t="b">
        <v>0</v>
      </c>
      <c r="AI16">
        <v>2</v>
      </c>
      <c r="AJ16">
        <v>1</v>
      </c>
      <c r="AK16" t="str">
        <v>06175128000172</v>
      </c>
      <c r="AL16" t="str">
        <v>12286330</v>
      </c>
      <c r="AM16" t="str">
        <v>Rua Simon Furman</v>
      </c>
      <c r="AN16" t="str">
        <v>SN</v>
      </c>
      <c r="AO16" t="str">
        <v>Vila Bandeirantes</v>
      </c>
      <c r="AP16" t="str">
        <v>SP</v>
      </c>
      <c r="AQ16" t="str">
        <v>3508504</v>
      </c>
      <c r="AR16" t="str">
        <v>SHG</v>
      </c>
    </row>
    <row r="17">
      <c r="A17" t="str">
        <v>Huawei Gestao e Servicos de Telecomunicacoes do Brasil Ltda</v>
      </c>
      <c r="B17" t="str">
        <v>Huawei Gestao e Servicos de Telecomunicacoes do Brasil Ltda</v>
      </c>
      <c r="C17" t="str">
        <v>10.519.123/0001-97</v>
      </c>
      <c r="D17" t="str">
        <v>huawei@slgestao.com</v>
      </c>
      <c r="E17" t="str">
        <v>Avenida Jerome Case</v>
      </c>
      <c r="F17" t="str">
        <v>2600</v>
      </c>
      <c r="G17" t="str">
        <v>Galpão A3 A9 Quadra 25 Lote 7/A</v>
      </c>
      <c r="H17" t="str">
        <v>Sorocaba</v>
      </c>
      <c r="I17" t="str">
        <v>3552205</v>
      </c>
      <c r="J17" t="str">
        <v>Eden</v>
      </c>
      <c r="K17" t="str">
        <v>SP</v>
      </c>
      <c r="L17" t="str">
        <v>(11) 3930-8580</v>
      </c>
      <c r="M17" t="str">
        <v>18087-220</v>
      </c>
      <c r="N17" t="str">
        <v/>
      </c>
      <c r="O17" s="1">
        <f>=TODAY()</f>
      </c>
      <c r="P17" t="str">
        <v>6211HG3360338-733-1-10519123000197</v>
      </c>
      <c r="Q17" t="str">
        <v>10519123000197</v>
      </c>
      <c r="R17" t="str">
        <v>PO: 6211HG3360338-733 Line 1  PO: 6211HG3360338-733 Line 3  PO: 6211HG3360338-733 Line 2  PO: 6211HG3360338-733 Line 4  PO: 6211HG3360338-833 Line 1  PO: 6211HG3360338-733 Line 5</v>
      </c>
      <c r="S17" t="str">
        <v>1</v>
      </c>
      <c r="T17" t="str">
        <v>VINHEDO</v>
      </c>
      <c r="U17" t="str">
        <v>SP</v>
      </c>
      <c r="V17" t="str">
        <v>3556701</v>
      </c>
      <c r="W17">
        <v>5582.71</v>
      </c>
      <c r="X17">
        <v>6035.355</v>
      </c>
      <c r="Y17" t="str">
        <v/>
      </c>
      <c r="Z17">
        <v>211.24</v>
      </c>
      <c r="AA17">
        <v>241.41</v>
      </c>
      <c r="AB17">
        <v>241.41</v>
      </c>
      <c r="AC17">
        <v>3.5</v>
      </c>
      <c r="AD17" t="str">
        <v>070202</v>
      </c>
      <c r="AE17" t="str">
        <v>Execução por empreitada de obras de construção civil e elétrica – adequação de infraestrutura, instalação e montagem de equipamentos de rede de telefonia celular, conforme pedidos de compra abaixo: PO: 6211HG3360338-733 LINE: 1 MUNICIPIO: VINHEDO / SP MATERIAL: SERVIÇO: 6035.35 BASE DE CÁLCULO ISS: 6035.35 BASE DE CÁLCULO INSS: 6035.35 Retenções ISS 4% Município: VINHEDO / SP Retenções INSS 3.5% NFS-e: O ISS desta NFS-e será retido pelo tomador de serviço.</v>
      </c>
      <c r="AF17">
        <v>4</v>
      </c>
      <c r="AG17">
        <v>2</v>
      </c>
      <c r="AH17" t="b">
        <v>0</v>
      </c>
      <c r="AI17">
        <v>2</v>
      </c>
      <c r="AJ17">
        <v>1</v>
      </c>
      <c r="AK17" t="str">
        <v>06175128000172</v>
      </c>
      <c r="AL17" t="str">
        <v>13280000</v>
      </c>
      <c r="AM17" t="str">
        <v>Estrada do Observatotio</v>
      </c>
      <c r="AN17" t="str">
        <v>SN</v>
      </c>
      <c r="AO17" t="str">
        <v>Zona Rural</v>
      </c>
      <c r="AP17" t="str">
        <v>SP</v>
      </c>
      <c r="AQ17" t="str">
        <v>3556701</v>
      </c>
      <c r="AR17" t="str">
        <v>OB2</v>
      </c>
    </row>
    <row r="18">
      <c r="A18" t="str">
        <v>Huawei Gestao e Servicos de Telecomunicacoes do Brasil Ltda</v>
      </c>
      <c r="B18" t="str">
        <v>Huawei Gestao e Servicos de Telecomunicacoes do Brasil Ltda</v>
      </c>
      <c r="C18" t="str">
        <v>10.519.123/0001-97</v>
      </c>
      <c r="D18" t="str">
        <v>huawei@slgestao.com</v>
      </c>
      <c r="E18" t="str">
        <v>Avenida Jerome Case</v>
      </c>
      <c r="F18" t="str">
        <v>2600</v>
      </c>
      <c r="G18" t="str">
        <v>Galpão A3 A9 Quadra 25 Lote 7/A</v>
      </c>
      <c r="H18" t="str">
        <v>Sorocaba</v>
      </c>
      <c r="I18" t="str">
        <v>3552205</v>
      </c>
      <c r="J18" t="str">
        <v>Eden</v>
      </c>
      <c r="K18" t="str">
        <v>SP</v>
      </c>
      <c r="L18" t="str">
        <v>(11) 3930-8580</v>
      </c>
      <c r="M18" t="str">
        <v>18087-220</v>
      </c>
      <c r="N18" t="str">
        <v/>
      </c>
      <c r="O18" s="1">
        <f>=TODAY()</f>
      </c>
      <c r="P18" t="str">
        <v>6211HG3360343-305-2-10519123000197</v>
      </c>
      <c r="Q18" t="str">
        <v>10519123000197</v>
      </c>
      <c r="R18" t="str">
        <v>PO: 6211HG3360343-305 Line 2  PO: 6211HG3360343-305 Line 1  PO: 6211HG3360343-305 Line 3  PO: 6211HG3360343-312 Line 1  PO: 6211HG3360343-312 Line 3</v>
      </c>
      <c r="S18" t="str">
        <v>2</v>
      </c>
      <c r="T18" t="str">
        <v>VARZEA GRANDE</v>
      </c>
      <c r="U18" t="str">
        <v>MT</v>
      </c>
      <c r="V18" t="str">
        <v>5108402</v>
      </c>
      <c r="W18">
        <v>795.85</v>
      </c>
      <c r="X18">
        <v>869.777</v>
      </c>
      <c r="Y18" t="str">
        <v/>
      </c>
      <c r="Z18">
        <v>30.44</v>
      </c>
      <c r="AA18">
        <v>43.49</v>
      </c>
      <c r="AB18">
        <v>43.49</v>
      </c>
      <c r="AC18">
        <v>3.5</v>
      </c>
      <c r="AD18" t="str">
        <v>070202</v>
      </c>
      <c r="AE18" t="str">
        <v>Execução por empreitada de obras de construção civil e elétrica – adequação de infraestrutura, instalação e montagem de equipamentos de rede de telefonia celular, conforme pedidos de compra abaixo: PO: 6211HG3360343-305 LINE: 2 MUNICIPIO: VARZEA GRANDE / MT MATERIAL: SERVIÇO: 869.78 BASE DE CÁLCULO ISS: 869.78 BASE DE CÁLCULO INSS: 869.78 Retenções ISS 5% Município: VARZEA GRANDE / MT Retenções INSS 3.5% NFS-e: O ISS desta NFS-e será retido pelo tomador de serviço.</v>
      </c>
      <c r="AF18">
        <v>5</v>
      </c>
      <c r="AG18">
        <v>2</v>
      </c>
      <c r="AH18" t="b">
        <v>0</v>
      </c>
      <c r="AI18">
        <v>2</v>
      </c>
      <c r="AJ18">
        <v>1</v>
      </c>
      <c r="AK18" t="str">
        <v>06175128000172</v>
      </c>
      <c r="AL18" t="str">
        <v>78152085</v>
      </c>
      <c r="AM18" t="str">
        <v>CARMELITA FERNANDES (LOT S MATEUS)</v>
      </c>
      <c r="AN18" t="str">
        <v>S/N</v>
      </c>
      <c r="AO18" t="str">
        <v>JARDIM NOVO NITERÓI</v>
      </c>
      <c r="AP18" t="str">
        <v>MT</v>
      </c>
      <c r="AQ18" t="str">
        <v/>
      </c>
      <c r="AR18" t="str">
        <v>MTVAZ17</v>
      </c>
    </row>
    <row r="19">
      <c r="A19" t="str">
        <v>Huawei Gestao e Servicos de Telecomunicacoes do Brasil Ltda</v>
      </c>
      <c r="B19" t="str">
        <v>Huawei Gestao e Servicos de Telecomunicacoes do Brasil Ltda</v>
      </c>
      <c r="C19" t="str">
        <v>10.519.123/0001-97</v>
      </c>
      <c r="D19" t="str">
        <v>huawei@slgestao.com</v>
      </c>
      <c r="E19" t="str">
        <v>Avenida Jerome Case</v>
      </c>
      <c r="F19" t="str">
        <v>2600</v>
      </c>
      <c r="G19" t="str">
        <v>Galpão A3 A9 Quadra 25 Lote 7/A</v>
      </c>
      <c r="H19" t="str">
        <v>Sorocaba</v>
      </c>
      <c r="I19" t="str">
        <v>3552205</v>
      </c>
      <c r="J19" t="str">
        <v>Eden</v>
      </c>
      <c r="K19" t="str">
        <v>SP</v>
      </c>
      <c r="L19" t="str">
        <v>(11) 3930-8580</v>
      </c>
      <c r="M19" t="str">
        <v>18087-220</v>
      </c>
      <c r="N19" t="str">
        <v/>
      </c>
      <c r="O19" s="1">
        <f>=TODAY()</f>
      </c>
      <c r="P19" t="str">
        <v>6211HG2963610-189-2-10519123000197</v>
      </c>
      <c r="Q19" t="str">
        <v>10519123000197</v>
      </c>
      <c r="R19" t="str">
        <v>PO: 6211HG2963610-189 Line 2  PO: 6211HG2963610-189 Line 3  PO: 6211HG2963610-189 Line 1</v>
      </c>
      <c r="S19" t="str">
        <v>2</v>
      </c>
      <c r="T19" t="str">
        <v>PORTO SEGURO</v>
      </c>
      <c r="U19" t="str">
        <v>BA</v>
      </c>
      <c r="V19" t="str">
        <v>2925303</v>
      </c>
      <c r="W19">
        <v>481.22</v>
      </c>
      <c r="X19">
        <v>525.934</v>
      </c>
      <c r="Y19" t="str">
        <v/>
      </c>
      <c r="Z19">
        <v>18.41</v>
      </c>
      <c r="AA19">
        <v>26.3</v>
      </c>
      <c r="AB19">
        <v>26.3</v>
      </c>
      <c r="AC19">
        <v>3.5</v>
      </c>
      <c r="AD19" t="str">
        <v>070202</v>
      </c>
      <c r="AE19" t="str">
        <v>Execução por empreitada de obras de construção civil e elétrica – adequação de infraestrutura, instalação e montagem de equipamentos de rede de telefonia celular, conforme pedidos de compra abaixo: PO: 6211HG2963610-189 LINE: 2 MUNICIPIO: PORTO SEGURO / BA MATERIAL: SERVIÇO: 525.93 BASE DE CÁLCULO ISS: 525.93 BASE DE CÁLCULO INSS: 525.93 Retenções ISS 5% Município: PORTO SEGURO / BA Retenções INSS 3.5% NFS-e: O ISS desta NFS-e será retido pelo tomador de serviço.</v>
      </c>
      <c r="AF19">
        <v>5</v>
      </c>
      <c r="AG19">
        <v>2</v>
      </c>
      <c r="AH19" t="b">
        <v>0</v>
      </c>
      <c r="AI19">
        <v>2</v>
      </c>
      <c r="AJ19">
        <v>1</v>
      </c>
      <c r="AK19" t="str">
        <v>06175128000172</v>
      </c>
      <c r="AL19" t="str">
        <v>45810000</v>
      </c>
      <c r="AM19" t="str">
        <v>MUNICIPAL DE TRANCOSO</v>
      </c>
      <c r="AN19" t="str">
        <v>KM 18</v>
      </c>
      <c r="AO19" t="str">
        <v>CENTRO</v>
      </c>
      <c r="AP19" t="str">
        <v>BA</v>
      </c>
      <c r="AQ19" t="str">
        <v/>
      </c>
      <c r="AR19" t="str">
        <v>BAPGU05</v>
      </c>
    </row>
    <row r="20">
      <c r="A20" t="str">
        <v>Huawei Gestao e Servicos de Telecomunicacoes do Brasil Ltda</v>
      </c>
      <c r="B20" t="str">
        <v>Huawei Gestao e Servicos de Telecomunicacoes do Brasil Ltda</v>
      </c>
      <c r="C20" t="str">
        <v>10.519.123/0001-97</v>
      </c>
      <c r="D20" t="str">
        <v>huawei@slgestao.com</v>
      </c>
      <c r="E20" t="str">
        <v>Avenida Jerome Case</v>
      </c>
      <c r="F20" t="str">
        <v>2600</v>
      </c>
      <c r="G20" t="str">
        <v>Galpão A3 A9 Quadra 25 Lote 7/A</v>
      </c>
      <c r="H20" t="str">
        <v>Sorocaba</v>
      </c>
      <c r="I20" t="str">
        <v>3552205</v>
      </c>
      <c r="J20" t="str">
        <v>Eden</v>
      </c>
      <c r="K20" t="str">
        <v>SP</v>
      </c>
      <c r="L20" t="str">
        <v>(11) 3930-8580</v>
      </c>
      <c r="M20" t="str">
        <v>18087-220</v>
      </c>
      <c r="N20" t="str">
        <v/>
      </c>
      <c r="O20" s="1">
        <f>=TODAY()</f>
      </c>
      <c r="P20" t="str">
        <v>6211HG3360340-3284-2-10519123000197</v>
      </c>
      <c r="Q20" t="str">
        <v>10519123000197</v>
      </c>
      <c r="R20" t="str">
        <v>PO: 6211HG3360340-3284 Line 2  PO: 6211HG3360340-3284 Line 1  PO: 6211HG3360340-3284 Line 3  PO: 6211HG3360340-3284 Line 4</v>
      </c>
      <c r="S20" t="str">
        <v>2</v>
      </c>
      <c r="T20" t="str">
        <v>POTIRAGUA</v>
      </c>
      <c r="U20" t="str">
        <v>BA</v>
      </c>
      <c r="V20" t="str">
        <v>2925402</v>
      </c>
      <c r="W20">
        <v>4520.68</v>
      </c>
      <c r="X20">
        <v>4940.631</v>
      </c>
      <c r="Y20" t="str">
        <v/>
      </c>
      <c r="Z20">
        <v>172.92</v>
      </c>
      <c r="AA20">
        <v>247.03</v>
      </c>
      <c r="AB20">
        <v>247.03</v>
      </c>
      <c r="AC20">
        <v>3.5</v>
      </c>
      <c r="AD20" t="str">
        <v>070202</v>
      </c>
      <c r="AE20" t="str">
        <v>Execução por empreitada de obras de construção civil e elétrica – adequação de infraestrutura, instalação e montagem de equipamentos de rede de telefonia celular, conforme pedidos de compra abaixo: PO: 6211HG3360340-3284 LINE: 2 MUNICIPIO: POTIRAGUA / BA MATERIAL: SERVIÇO: 4940.63 BASE DE CÁLCULO ISS: 4940.63 BASE DE CÁLCULO INSS: 4940.63 Retenções ISS 5% Município: POTIRAGUA / BA Retenções INSS 3.5% NFS-e: O ISS desta NFS-e será retido pelo tomador de serviço.</v>
      </c>
      <c r="AF20">
        <v>5</v>
      </c>
      <c r="AG20">
        <v>2</v>
      </c>
      <c r="AH20" t="b">
        <v>0</v>
      </c>
      <c r="AI20">
        <v>2</v>
      </c>
      <c r="AJ20">
        <v>1</v>
      </c>
      <c r="AK20" t="str">
        <v>06175128000172</v>
      </c>
      <c r="AL20" t="str">
        <v>45790000</v>
      </c>
      <c r="AM20" t="str">
        <v>ANTONIO GONCALVES</v>
      </c>
      <c r="AN20" t="str">
        <v>S/N</v>
      </c>
      <c r="AO20" t="str">
        <v>CENTRO</v>
      </c>
      <c r="AP20" t="str">
        <v>BA</v>
      </c>
      <c r="AQ20" t="str">
        <v/>
      </c>
      <c r="AR20" t="str">
        <v>BAPOG01</v>
      </c>
    </row>
    <row r="21">
      <c r="A21" t="str">
        <v>Huawei Gestao e Servicos de Telecomunicacoes do Brasil Ltda</v>
      </c>
      <c r="B21" t="str">
        <v>Huawei Gestao e Servicos de Telecomunicacoes do Brasil Ltda</v>
      </c>
      <c r="C21" t="str">
        <v>10.519.123/0001-97</v>
      </c>
      <c r="D21" t="str">
        <v>huawei@slgestao.com</v>
      </c>
      <c r="E21" t="str">
        <v>Avenida Jerome Case</v>
      </c>
      <c r="F21" t="str">
        <v>2600</v>
      </c>
      <c r="G21" t="str">
        <v>Galpão A3 A9 Quadra 25 Lote 7/A</v>
      </c>
      <c r="H21" t="str">
        <v>Sorocaba</v>
      </c>
      <c r="I21" t="str">
        <v>3552205</v>
      </c>
      <c r="J21" t="str">
        <v>Eden</v>
      </c>
      <c r="K21" t="str">
        <v>SP</v>
      </c>
      <c r="L21" t="str">
        <v>(11) 3930-8580</v>
      </c>
      <c r="M21" t="str">
        <v>18087-220</v>
      </c>
      <c r="N21" t="str">
        <v/>
      </c>
      <c r="O21" s="1">
        <f>=TODAY()</f>
      </c>
      <c r="P21" t="str">
        <v>6211HG3360342-814-2-10519123000197</v>
      </c>
      <c r="Q21" t="str">
        <v>10519123000197</v>
      </c>
      <c r="R21" t="str">
        <v>PO: 6211HG3360342-814 Line 2  PO: 6211HG3360342-814 Line 3  PO: 6211HG3360342-814 Line 4  PO: 6211HG3360342-814 Line 5  PO: 6211HG3360342-814 Line 1</v>
      </c>
      <c r="S21" t="str">
        <v>2</v>
      </c>
      <c r="T21" t="str">
        <v>BRASILIA</v>
      </c>
      <c r="U21" t="str">
        <v>DF</v>
      </c>
      <c r="V21" t="str">
        <v>5300108</v>
      </c>
      <c r="W21">
        <v>1063.53</v>
      </c>
      <c r="X21">
        <v>1125.433</v>
      </c>
      <c r="Y21" t="str">
        <v/>
      </c>
      <c r="Z21">
        <v>39.39</v>
      </c>
      <c r="AA21">
        <v>22.51</v>
      </c>
      <c r="AB21">
        <v>22.51</v>
      </c>
      <c r="AC21">
        <v>3.5</v>
      </c>
      <c r="AD21" t="str">
        <v>070202</v>
      </c>
      <c r="AE21" t="str">
        <v>Execução por empreitada de obras de construção civil e elétrica – adequação de infraestrutura, instalação e montagem de equipamentos de rede de telefonia celular, conforme pedidos de compra abaixo: PO: 6211HG3360342-814 LINE: 2 MUNICIPIO: BRASILIA / DF MATERIAL: SERVIÇO: 1125.43 BASE DE CÁLCULO ISS: 1125.43 BASE DE CÁLCULO INSS: 1125.43 Retenções ISS 2% Município: BRASILIA / DF Retenções INSS 3.5% NFS-e: O ISS desta NFS-e será retido pelo tomador de serviço.</v>
      </c>
      <c r="AF21">
        <v>2</v>
      </c>
      <c r="AG21">
        <v>2</v>
      </c>
      <c r="AH21" t="b">
        <v>0</v>
      </c>
      <c r="AI21">
        <v>2</v>
      </c>
      <c r="AJ21">
        <v>1</v>
      </c>
      <c r="AK21" t="str">
        <v>06175128000172</v>
      </c>
      <c r="AL21" t="str">
        <v>70610650</v>
      </c>
      <c r="AM21" t="str">
        <v>SGO QUADRA 5 ÁREA PÚBLICA PRÓXIMO AO LOTE 22</v>
      </c>
      <c r="AN21" t="str">
        <v>0</v>
      </c>
      <c r="AO21" t="str">
        <v>ASA NORTE</v>
      </c>
      <c r="AP21" t="str">
        <v>DF</v>
      </c>
      <c r="AQ21" t="str">
        <v/>
      </c>
      <c r="AR21" t="str">
        <v>DFSQNE4</v>
      </c>
    </row>
    <row r="22">
      <c r="A22" t="str">
        <v>Huawei Gestao e Servicos de Telecomunicacoes do Brasil Ltda</v>
      </c>
      <c r="B22" t="str">
        <v>Huawei Gestao e Servicos de Telecomunicacoes do Brasil Ltda</v>
      </c>
      <c r="C22" t="str">
        <v>10.519.123/0001-97</v>
      </c>
      <c r="D22" t="str">
        <v>huawei@slgestao.com</v>
      </c>
      <c r="E22" t="str">
        <v>Avenida Jerome Case</v>
      </c>
      <c r="F22" t="str">
        <v>2600</v>
      </c>
      <c r="G22" t="str">
        <v>Galpão A3 A9 Quadra 25 Lote 7/A</v>
      </c>
      <c r="H22" t="str">
        <v>Sorocaba</v>
      </c>
      <c r="I22" t="str">
        <v>3552205</v>
      </c>
      <c r="J22" t="str">
        <v>Eden</v>
      </c>
      <c r="K22" t="str">
        <v>SP</v>
      </c>
      <c r="L22" t="str">
        <v>(11) 3930-8580</v>
      </c>
      <c r="M22" t="str">
        <v>18087-220</v>
      </c>
      <c r="N22" t="str">
        <v/>
      </c>
      <c r="O22" s="1">
        <f>=TODAY()</f>
      </c>
      <c r="P22" t="str">
        <v>6211HG3360342-786-1-10519123000197</v>
      </c>
      <c r="Q22" t="str">
        <v>10519123000197</v>
      </c>
      <c r="R22" t="str">
        <v>PO: 6211HG3360342-786 Line 1  PO: 6211HG3360342-1022 Line 1</v>
      </c>
      <c r="S22" t="str">
        <v>1</v>
      </c>
      <c r="T22" t="str">
        <v>BRASILIA</v>
      </c>
      <c r="U22" t="str">
        <v>DF</v>
      </c>
      <c r="V22" t="str">
        <v>5300108</v>
      </c>
      <c r="W22">
        <v>2190.34</v>
      </c>
      <c r="X22">
        <v>2317.8179999999998</v>
      </c>
      <c r="Y22" t="str">
        <v/>
      </c>
      <c r="Z22">
        <v>81.12</v>
      </c>
      <c r="AA22">
        <v>46.36</v>
      </c>
      <c r="AB22">
        <v>46.36</v>
      </c>
      <c r="AC22">
        <v>3.5</v>
      </c>
      <c r="AD22" t="str">
        <v>070202</v>
      </c>
      <c r="AE22" t="str">
        <v>Execução por empreitada de obras de construção civil e elétrica – adequação de infraestrutura, instalação e montagem de equipamentos de rede de telefonia celular, conforme pedidos de compra abaixo: PO: 6211HG3360342-786 LINE: 1 MUNICIPIO: BRASILIA / DF MATERIAL: SERVIÇO: 2317.82 BASE DE CÁLCULO ISS: 2317.82 BASE DE CÁLCULO INSS: 2317.82 Retenções ISS 2% Município: BRASILIA / DF Retenções INSS 3.5% NFS-e: O ISS desta NFS-e será retido pelo tomador de serviço.</v>
      </c>
      <c r="AF22">
        <v>2</v>
      </c>
      <c r="AG22">
        <v>2</v>
      </c>
      <c r="AH22" t="b">
        <v>0</v>
      </c>
      <c r="AI22">
        <v>2</v>
      </c>
      <c r="AJ22">
        <v>1</v>
      </c>
      <c r="AK22" t="str">
        <v>06175128000172</v>
      </c>
      <c r="AL22" t="str">
        <v>70070030</v>
      </c>
      <c r="AM22" t="str">
        <v>Quadra SAUS Quadra 3</v>
      </c>
      <c r="AN22" t="str">
        <v>SN</v>
      </c>
      <c r="AO22" t="str">
        <v>Asa Sul</v>
      </c>
      <c r="AP22" t="str">
        <v>DF</v>
      </c>
      <c r="AQ22" t="str">
        <v>5300108</v>
      </c>
      <c r="AR22" t="str">
        <v>ASD</v>
      </c>
    </row>
    <row r="23">
      <c r="A23" t="str">
        <v>Huawei Gestao e Servicos de Telecomunicacoes do Brasil Ltda</v>
      </c>
      <c r="B23" t="str">
        <v>Huawei Gestao e Servicos de Telecomunicacoes do Brasil Ltda</v>
      </c>
      <c r="C23" t="str">
        <v>10.519.123/0001-97</v>
      </c>
      <c r="D23" t="str">
        <v>huawei@slgestao.com</v>
      </c>
      <c r="E23" t="str">
        <v>Avenida Jerome Case</v>
      </c>
      <c r="F23" t="str">
        <v>2600</v>
      </c>
      <c r="G23" t="str">
        <v>Galpão A3 A9 Quadra 25 Lote 7/A</v>
      </c>
      <c r="H23" t="str">
        <v>Sorocaba</v>
      </c>
      <c r="I23" t="str">
        <v>3552205</v>
      </c>
      <c r="J23" t="str">
        <v>Eden</v>
      </c>
      <c r="K23" t="str">
        <v>SP</v>
      </c>
      <c r="L23" t="str">
        <v>(11) 3930-8580</v>
      </c>
      <c r="M23" t="str">
        <v>18087-220</v>
      </c>
      <c r="N23" t="str">
        <v/>
      </c>
      <c r="O23" s="1">
        <f>=TODAY()</f>
      </c>
      <c r="P23" t="str">
        <v>6211HG3360340-3190-1-10519123000197</v>
      </c>
      <c r="Q23" t="str">
        <v>10519123000197</v>
      </c>
      <c r="R23" t="str">
        <v>PO: 6211HG3360340-3190 Line 1  PO: 6211HG3360340-3192 Line 5  PO: 6211HG3360340-3192 Line 2  PO: 6211HG3360340-3192 Line 3  PO: 6211HG3360340-3192 Line 1  PO: 6211HG3360340-3192 Line 4</v>
      </c>
      <c r="S23" t="str">
        <v>1</v>
      </c>
      <c r="T23" t="str">
        <v>CARUARU</v>
      </c>
      <c r="U23" t="str">
        <v>PE</v>
      </c>
      <c r="V23" t="str">
        <v>2604106</v>
      </c>
      <c r="W23">
        <v>10853.06</v>
      </c>
      <c r="X23">
        <v>11861.262</v>
      </c>
      <c r="Y23" t="str">
        <v/>
      </c>
      <c r="Z23">
        <v>415.14</v>
      </c>
      <c r="AA23">
        <v>593.06</v>
      </c>
      <c r="AB23">
        <v>593.06</v>
      </c>
      <c r="AC23">
        <v>3.5</v>
      </c>
      <c r="AD23" t="str">
        <v>070202</v>
      </c>
      <c r="AE23" t="str">
        <v>Execução por empreitada de obras de construção civil e elétrica – adequação de infraestrutura, instalação e montagem de equipamentos de rede de telefonia celular, conforme pedidos de compra abaixo: PO: 6211HG3360340-3190 LINE: 1 MUNICIPIO: CARUARU / PE MATERIAL: SERVIÇO: 11861.26 BASE DE CÁLCULO ISS: 11861.26 BASE DE CÁLCULO INSS: 11861.26 Retenções ISS 5% Município: CARUARU / PE Retenções INSS 3.5% NFS-e: O ISS desta NFS-e será retido pelo tomador de serviço.</v>
      </c>
      <c r="AF23">
        <v>5</v>
      </c>
      <c r="AG23">
        <v>2</v>
      </c>
      <c r="AH23" t="b">
        <v>0</v>
      </c>
      <c r="AI23">
        <v>2</v>
      </c>
      <c r="AJ23">
        <v>1</v>
      </c>
      <c r="AK23" t="str">
        <v>06175128000172</v>
      </c>
      <c r="AL23" t="str">
        <v>55012270</v>
      </c>
      <c r="AM23" t="str">
        <v>SAO FERNANDO</v>
      </c>
      <c r="AN23" t="str">
        <v>S/N</v>
      </c>
      <c r="AO23" t="str">
        <v>MAURICIO DE NASSAU</v>
      </c>
      <c r="AP23" t="str">
        <v>PE</v>
      </c>
      <c r="AQ23" t="str">
        <v/>
      </c>
      <c r="AR23" t="str">
        <v>PECRU12</v>
      </c>
    </row>
    <row r="24">
      <c r="A24" t="str">
        <v>Huawei Gestao e Servicos de Telecomunicacoes do Brasil Ltda</v>
      </c>
      <c r="B24" t="str">
        <v>Huawei Gestao e Servicos de Telecomunicacoes do Brasil Ltda</v>
      </c>
      <c r="C24" t="str">
        <v>10.519.123/0001-97</v>
      </c>
      <c r="D24" t="str">
        <v>huawei@slgestao.com</v>
      </c>
      <c r="E24" t="str">
        <v>Avenida Jerome Case</v>
      </c>
      <c r="F24" t="str">
        <v>2600</v>
      </c>
      <c r="G24" t="str">
        <v>Galpão A3 A9 Quadra 25 Lote 7/A</v>
      </c>
      <c r="H24" t="str">
        <v>Sorocaba</v>
      </c>
      <c r="I24" t="str">
        <v>3552205</v>
      </c>
      <c r="J24" t="str">
        <v>Eden</v>
      </c>
      <c r="K24" t="str">
        <v>SP</v>
      </c>
      <c r="L24" t="str">
        <v>(11) 3930-8580</v>
      </c>
      <c r="M24" t="str">
        <v>18087-220</v>
      </c>
      <c r="N24" t="str">
        <v/>
      </c>
      <c r="O24" s="1">
        <f>=TODAY()</f>
      </c>
      <c r="P24" t="str">
        <v>6211HG3360338-784-2-10519123000197</v>
      </c>
      <c r="Q24" t="str">
        <v>10519123000197</v>
      </c>
      <c r="R24" t="str">
        <v>PO: 6211HG3360338-784 Line 2  PO: 6211HG3360338-784 Line 3  PO: 6211HG3360338-784 Line 4  PO: 6211HG3360338-784 Line 1  PO: 6211HG3360338-837 Line 1</v>
      </c>
      <c r="S24" t="str">
        <v>2</v>
      </c>
      <c r="T24" t="str">
        <v>CACAPAVA</v>
      </c>
      <c r="U24" t="str">
        <v>SP</v>
      </c>
      <c r="V24" t="str">
        <v>3508504</v>
      </c>
      <c r="W24">
        <v>513.38</v>
      </c>
      <c r="X24">
        <v>561.072</v>
      </c>
      <c r="Y24" t="str">
        <v/>
      </c>
      <c r="Z24">
        <v>19.64</v>
      </c>
      <c r="AA24">
        <v>28.05</v>
      </c>
      <c r="AB24">
        <v>28.05</v>
      </c>
      <c r="AC24">
        <v>3.5</v>
      </c>
      <c r="AD24" t="str">
        <v>070202</v>
      </c>
      <c r="AE24" t="str">
        <v>Execução por empreitada de obras de construção civil e elétrica – adequação de infraestrutura, instalação e montagem de equipamentos de rede de telefonia celular, conforme pedidos de compra abaixo: PO: 6211HG3360338-784 LINE: 2 MUNICIPIO: CACAPAVA / SP MATERIAL: SERVIÇO: 561.07 BASE DE CÁLCULO ISS: 561.07 BASE DE CÁLCULO INSS: 561.07 Retenções ISS 5% Município: CACAPAVA / SP Retenções INSS 3.5% NFS-e: O ISS desta NFS-e será retido pelo tomador de serviço.</v>
      </c>
      <c r="AF24">
        <v>5</v>
      </c>
      <c r="AG24">
        <v>2</v>
      </c>
      <c r="AH24" t="b">
        <v>0</v>
      </c>
      <c r="AI24">
        <v>2</v>
      </c>
      <c r="AJ24">
        <v>1</v>
      </c>
      <c r="AK24" t="str">
        <v>06175128000172</v>
      </c>
      <c r="AL24" t="str">
        <v>04617010</v>
      </c>
      <c r="AM24" t="str">
        <v>Rua Vieira de Morais</v>
      </c>
      <c r="AN24" t="str">
        <v>900</v>
      </c>
      <c r="AO24" t="str">
        <v>Campo Belo</v>
      </c>
      <c r="AP24" t="str">
        <v>SP</v>
      </c>
      <c r="AQ24" t="str">
        <v>3550308</v>
      </c>
      <c r="AR24" t="str">
        <v>CRD</v>
      </c>
    </row>
    <row r="25">
      <c r="A25" t="str">
        <v>Huawei Gestao e Servicos de Telecomunicacoes do Brasil Ltda</v>
      </c>
      <c r="B25" t="str">
        <v>Huawei Gestao e Servicos de Telecomunicacoes do Brasil Ltda</v>
      </c>
      <c r="C25" t="str">
        <v>10.519.123/0001-97</v>
      </c>
      <c r="D25" t="str">
        <v>huawei@slgestao.com</v>
      </c>
      <c r="E25" t="str">
        <v>Avenida Jerome Case</v>
      </c>
      <c r="F25" t="str">
        <v>2600</v>
      </c>
      <c r="G25" t="str">
        <v>Galpão A3 A9 Quadra 25 Lote 7/A</v>
      </c>
      <c r="H25" t="str">
        <v>Sorocaba</v>
      </c>
      <c r="I25" t="str">
        <v>3552205</v>
      </c>
      <c r="J25" t="str">
        <v>Eden</v>
      </c>
      <c r="K25" t="str">
        <v>SP</v>
      </c>
      <c r="L25" t="str">
        <v>(11) 3930-8580</v>
      </c>
      <c r="M25" t="str">
        <v>18087-220</v>
      </c>
      <c r="N25" t="str">
        <v/>
      </c>
      <c r="O25" s="1">
        <f>=TODAY()</f>
      </c>
      <c r="P25" t="str">
        <v>6211HG3360340-3243-2-10519123000197</v>
      </c>
      <c r="Q25" t="str">
        <v>10519123000197</v>
      </c>
      <c r="R25" t="str">
        <v>PO: 6211HG3360340-3243 Line 2  PO: 6211HG3360340-3257 Line 3  PO: 6211HG3360340-3257 Line 6  PO: 6211HG3360340-3243 Line 1  PO: 6211HG3360340-3257 Line 1  PO: 6211HG3360340-3257 Line 4  PO: 6211HG3360340-3257 Line 5  PO: 6211HG3360340-3257 Line 7</v>
      </c>
      <c r="S25" t="str">
        <v>2</v>
      </c>
      <c r="T25" t="str">
        <v>SALVADOR</v>
      </c>
      <c r="U25" t="str">
        <v>BA</v>
      </c>
      <c r="V25" t="str">
        <v>2927408</v>
      </c>
      <c r="W25">
        <v>1666.38</v>
      </c>
      <c r="X25">
        <v>1821.1770000000001</v>
      </c>
      <c r="Y25" t="str">
        <v/>
      </c>
      <c r="Z25">
        <v>63.74</v>
      </c>
      <c r="AA25">
        <v>91.06</v>
      </c>
      <c r="AB25">
        <v>91.06</v>
      </c>
      <c r="AC25">
        <v>3.5</v>
      </c>
      <c r="AD25" t="str">
        <v>070202</v>
      </c>
      <c r="AE25" t="str">
        <v>Execução por empreitada de obras de construção civil e elétrica – adequação de infraestrutura, instalação e montagem de equipamentos de rede de telefonia celular, conforme pedidos de compra abaixo: PO: 6211HG3360340-3243 LINE: 2 MUNICIPIO: SALVADOR / BA MATERIAL: SERVIÇO: 1821.18 BASE DE CÁLCULO ISS: 1821.18 BASE DE CÁLCULO INSS: 1821.18 Retenções ISS 5% Município: SALVADOR / BA Retenções INSS 3.5% NFS-e: O ISS desta NFS-e será retido pelo tomador de serviço.</v>
      </c>
      <c r="AF25">
        <v>5</v>
      </c>
      <c r="AG25">
        <v>2</v>
      </c>
      <c r="AH25" t="b">
        <v>0</v>
      </c>
      <c r="AI25">
        <v>2</v>
      </c>
      <c r="AJ25">
        <v>1</v>
      </c>
      <c r="AK25" t="str">
        <v>06175128000172</v>
      </c>
      <c r="AL25" t="str">
        <v>41603090</v>
      </c>
      <c r="AM25" t="str">
        <v>PROF. ANTONIO AUGUSTO MACHADO</v>
      </c>
      <c r="AN25" t="str">
        <v>219</v>
      </c>
      <c r="AO25" t="str">
        <v>PRAIA DE FLAMENGO</v>
      </c>
      <c r="AP25" t="str">
        <v>BA</v>
      </c>
      <c r="AQ25" t="str">
        <v/>
      </c>
      <c r="AR25" t="str">
        <v>BAITA55</v>
      </c>
    </row>
    <row r="26">
      <c r="A26" t="str">
        <v>Huawei Gestao e Servicos de Telecomunicacoes do Brasil Ltda</v>
      </c>
      <c r="B26" t="str">
        <v>Huawei Gestao e Servicos de Telecomunicacoes do Brasil Ltda</v>
      </c>
      <c r="C26" t="str">
        <v>10.519.123/0001-97</v>
      </c>
      <c r="D26" t="str">
        <v>huawei@slgestao.com</v>
      </c>
      <c r="E26" t="str">
        <v>Avenida Jerome Case</v>
      </c>
      <c r="F26" t="str">
        <v>2600</v>
      </c>
      <c r="G26" t="str">
        <v>Galpão A3 A9 Quadra 25 Lote 7/A</v>
      </c>
      <c r="H26" t="str">
        <v>Sorocaba</v>
      </c>
      <c r="I26" t="str">
        <v>3552205</v>
      </c>
      <c r="J26" t="str">
        <v>Eden</v>
      </c>
      <c r="K26" t="str">
        <v>SP</v>
      </c>
      <c r="L26" t="str">
        <v>(11) 3930-8580</v>
      </c>
      <c r="M26" t="str">
        <v>18087-220</v>
      </c>
      <c r="N26" t="str">
        <v/>
      </c>
      <c r="O26" s="1">
        <f>=TODAY()</f>
      </c>
      <c r="P26" t="str">
        <v>6211HG3360340-3294-1-10519123000197</v>
      </c>
      <c r="Q26" t="str">
        <v>10519123000197</v>
      </c>
      <c r="R26" t="str">
        <v>PO: 6211HG3360340-3294 Line 1  PO: 6211HG3360340-3294 Line 3  PO: 6211HG3360340-3294 Line 2</v>
      </c>
      <c r="S26" t="str">
        <v>1</v>
      </c>
      <c r="T26" t="str">
        <v>CAMUTANGA</v>
      </c>
      <c r="U26" t="str">
        <v>PE</v>
      </c>
      <c r="V26" t="str">
        <v>2603603</v>
      </c>
      <c r="W26">
        <v>5530.5</v>
      </c>
      <c r="X26">
        <v>6044.264999999999</v>
      </c>
      <c r="Y26" t="str">
        <v/>
      </c>
      <c r="Z26">
        <v>211.55</v>
      </c>
      <c r="AA26">
        <v>302.21</v>
      </c>
      <c r="AB26">
        <v>302.21</v>
      </c>
      <c r="AC26">
        <v>3.5</v>
      </c>
      <c r="AD26" t="str">
        <v>070202</v>
      </c>
      <c r="AE26" t="str">
        <v>Execução por empreitada de obras de construção civil e elétrica – adequação de infraestrutura, instalação e montagem de equipamentos de rede de telefonia celular, conforme pedidos de compra abaixo: PO: 6211HG3360340-3294 LINE: 1 MUNICIPIO: CAMUTANGA / PE MATERIAL: SERVIÇO: 6044.26 BASE DE CÁLCULO ISS: 6044.26 BASE DE CÁLCULO INSS: 6044.26 Retenções ISS 5% Município: CAMUTANGA / PE Retenções INSS 3.5% NFS-e: O ISS desta NFS-e será retido pelo tomador de serviço.</v>
      </c>
      <c r="AF26">
        <v>5</v>
      </c>
      <c r="AG26">
        <v>2</v>
      </c>
      <c r="AH26" t="b">
        <v>0</v>
      </c>
      <c r="AI26">
        <v>2</v>
      </c>
      <c r="AJ26">
        <v>1</v>
      </c>
      <c r="AK26" t="str">
        <v>06175128000172</v>
      </c>
      <c r="AL26" t="str">
        <v>55930000</v>
      </c>
      <c r="AM26" t="str">
        <v>GETÚLIO VARGAS</v>
      </c>
      <c r="AN26" t="str">
        <v>240</v>
      </c>
      <c r="AO26" t="str">
        <v>CENTRO</v>
      </c>
      <c r="AP26" t="str">
        <v>PE</v>
      </c>
      <c r="AQ26" t="str">
        <v/>
      </c>
      <c r="AR26" t="str">
        <v>PECUN01</v>
      </c>
    </row>
    <row r="27">
      <c r="A27" t="str">
        <v>Huawei Gestao e Servicos de Telecomunicacoes do Brasil Ltda</v>
      </c>
      <c r="B27" t="str">
        <v>Huawei Gestao e Servicos de Telecomunicacoes do Brasil Ltda</v>
      </c>
      <c r="C27" t="str">
        <v>10.519.123/0001-97</v>
      </c>
      <c r="D27" t="str">
        <v>huawei@slgestao.com</v>
      </c>
      <c r="E27" t="str">
        <v>Avenida Jerome Case</v>
      </c>
      <c r="F27" t="str">
        <v>2600</v>
      </c>
      <c r="G27" t="str">
        <v>Galpão A3 A9 Quadra 25 Lote 7/A</v>
      </c>
      <c r="H27" t="str">
        <v>Sorocaba</v>
      </c>
      <c r="I27" t="str">
        <v>3552205</v>
      </c>
      <c r="J27" t="str">
        <v>Eden</v>
      </c>
      <c r="K27" t="str">
        <v>SP</v>
      </c>
      <c r="L27" t="str">
        <v>(11) 3930-8580</v>
      </c>
      <c r="M27" t="str">
        <v>18087-220</v>
      </c>
      <c r="N27" t="str">
        <v/>
      </c>
      <c r="O27" s="1">
        <f>=TODAY()</f>
      </c>
      <c r="P27" t="str">
        <v>6211HG3360342-917-1-10519123000197</v>
      </c>
      <c r="Q27" t="str">
        <v>10519123000197</v>
      </c>
      <c r="R27" t="str">
        <v>PO: 6211HG3360342-917 Line 1  PO: 6211HG3360342-915 Line 2  PO: 6211HG3360342-917 Line 2  PO: 6211HG3360342-917 Line 3  PO: 6211HG3360342-917 Line 4  PO: 6211HG3360342-917 Line 5</v>
      </c>
      <c r="S27" t="str">
        <v>1</v>
      </c>
      <c r="T27" t="str">
        <v>GOIANIA</v>
      </c>
      <c r="U27" t="str">
        <v>GO</v>
      </c>
      <c r="V27" t="str">
        <v>5201405</v>
      </c>
      <c r="W27">
        <v>691.68</v>
      </c>
      <c r="X27">
        <v>755.9359999999999</v>
      </c>
      <c r="Y27" t="str">
        <v/>
      </c>
      <c r="Z27">
        <v>26.46</v>
      </c>
      <c r="AA27">
        <v>37.8</v>
      </c>
      <c r="AB27">
        <v>37.8</v>
      </c>
      <c r="AC27">
        <v>3.5</v>
      </c>
      <c r="AD27" t="str">
        <v>070202</v>
      </c>
      <c r="AE27" t="str">
        <v>Execução por empreitada de obras de construção civil e elétrica – adequação de infraestrutura, instalação e montagem de equipamentos de rede de telefonia celular, conforme pedidos de compra abaixo: PO: 6211HG3360342-917 LINE: 1 MUNICIPIO: GOIANIA / GO MATERIAL: SERVIÇO: 755.94 BASE DE CÁLCULO ISS: 755.94 BASE DE CÁLCULO INSS: 755.94 Retenções ISS 5% Município: GOIANIA / GO Retenções INSS 3.5% NFS-e: O ISS desta NFS-e será retido pelo tomador de serviço.</v>
      </c>
      <c r="AF27">
        <v>5</v>
      </c>
      <c r="AG27">
        <v>2</v>
      </c>
      <c r="AH27" t="b">
        <v>0</v>
      </c>
      <c r="AI27">
        <v>2</v>
      </c>
      <c r="AJ27">
        <v>1</v>
      </c>
      <c r="AK27" t="str">
        <v>06175128000172</v>
      </c>
      <c r="AL27" t="str">
        <v>74465070</v>
      </c>
      <c r="AM27" t="str">
        <v>BOM JESUS</v>
      </c>
      <c r="AN27" t="str">
        <v>LOTE 15</v>
      </c>
      <c r="AO27" t="str">
        <v>JARDIM NOVA ESPERANÇA</v>
      </c>
      <c r="AP27" t="str">
        <v>GO</v>
      </c>
      <c r="AQ27" t="str">
        <v/>
      </c>
      <c r="AR27" t="str">
        <v>GOGNA2D</v>
      </c>
    </row>
    <row r="28">
      <c r="A28" t="str">
        <v>Huawei Gestao e Servicos de Telecomunicacoes do Brasil Ltda</v>
      </c>
      <c r="B28" t="str">
        <v>Huawei Gestao e Servicos de Telecomunicacoes do Brasil Ltda</v>
      </c>
      <c r="C28" t="str">
        <v>10.519.123/0001-97</v>
      </c>
      <c r="D28" t="str">
        <v>huawei@slgestao.com</v>
      </c>
      <c r="E28" t="str">
        <v>Avenida Jerome Case</v>
      </c>
      <c r="F28" t="str">
        <v>2600</v>
      </c>
      <c r="G28" t="str">
        <v>Galpão A3 A9 Quadra 25 Lote 7/A</v>
      </c>
      <c r="H28" t="str">
        <v>Sorocaba</v>
      </c>
      <c r="I28" t="str">
        <v>3552205</v>
      </c>
      <c r="J28" t="str">
        <v>Eden</v>
      </c>
      <c r="K28" t="str">
        <v>SP</v>
      </c>
      <c r="L28" t="str">
        <v>(11) 3930-8580</v>
      </c>
      <c r="M28" t="str">
        <v>18087-220</v>
      </c>
      <c r="N28" t="str">
        <v/>
      </c>
      <c r="O28" s="1">
        <f>=TODAY()</f>
      </c>
      <c r="P28" t="str">
        <v>6211HG3360342-925-1-10519123000197</v>
      </c>
      <c r="Q28" t="str">
        <v>10519123000197</v>
      </c>
      <c r="R28" t="str">
        <v>PO: 6211HG3360342-925 Line 1  PO: 6211HG3360342-925 Line 3  PO: 6211HG3360342-934 Line 2  PO: 6211HG3360342-934 Line 3  PO: 6211HG3360342-934 Line 6  PO: 6211HG3360342-934 Line 3  PO: 6211HG3360342-934 Line 5  PO: 6211HG3360342-934 Line 6  PO: 6211HG3360342-925 Line 1  PO: 6211HG3360342-925 Line 3  PO: 6211HG3360342-934 Line 1  PO: 6211HG3360342-934 Line 1  PO: 6211HG3360342-934 Line 2  PO: 6211HG3360342-934 Line 5  PO: 6211HG3360342-934 Line 7  PO: 6211HG3360342-934 Line 7  PO: 6211HG3360342-934 Line 4  PO: 6211HG3360342-934 Line 4</v>
      </c>
      <c r="S28" t="str">
        <v>1</v>
      </c>
      <c r="T28" t="str">
        <v>ANAPOLIS</v>
      </c>
      <c r="U28" t="str">
        <v>GO</v>
      </c>
      <c r="V28" t="str">
        <v>5201108</v>
      </c>
      <c r="W28">
        <v>14939.75</v>
      </c>
      <c r="X28">
        <v>16327.599999999999</v>
      </c>
      <c r="Y28" t="str">
        <v/>
      </c>
      <c r="Z28">
        <v>571.47</v>
      </c>
      <c r="AA28">
        <v>816.38</v>
      </c>
      <c r="AB28">
        <v>816.38</v>
      </c>
      <c r="AC28">
        <v>3.5</v>
      </c>
      <c r="AD28" t="str">
        <v>070202</v>
      </c>
      <c r="AE28" t="str">
        <v>Execução por empreitada de obras de construção civil e elétrica – adequação de infraestrutura, instalação e montagem de equipamentos de rede de telefonia celular, conforme pedidos de compra abaixo: PO: 6211HG3360342-925 LINE: 1 MUNICIPIO: ANAPOLIS / GO MATERIAL: SERVIÇO: 16327.60 BASE DE CÁLCULO ISS: 16327.60 BASE DE CÁLCULO INSS: 16327.60 Retenções ISS 5% Município: ANAPOLIS / GO Retenções INSS 3.5% NFS-e: O ISS desta NFS-e será retido pelo tomador de serviço.</v>
      </c>
      <c r="AF28">
        <v>5</v>
      </c>
      <c r="AG28">
        <v>2</v>
      </c>
      <c r="AH28" t="b">
        <v>0</v>
      </c>
      <c r="AI28">
        <v>2</v>
      </c>
      <c r="AJ28">
        <v>1</v>
      </c>
      <c r="AK28" t="str">
        <v>06175128000172</v>
      </c>
      <c r="AL28" t="str">
        <v>75043090</v>
      </c>
      <c r="AM28" t="str">
        <v>JOAO BUTA</v>
      </c>
      <c r="AN28" t="str">
        <v>VINTE</v>
      </c>
      <c r="AO28" t="str">
        <v>SETOR CENTRAL.</v>
      </c>
      <c r="AP28" t="str">
        <v>GO</v>
      </c>
      <c r="AQ28" t="str">
        <v/>
      </c>
      <c r="AR28" t="str">
        <v>GOANS36</v>
      </c>
    </row>
    <row r="29">
      <c r="A29" t="str">
        <v>Huawei Gestao e Servicos de Telecomunicacoes do Brasil Ltda</v>
      </c>
      <c r="B29" t="str">
        <v>Huawei Gestao e Servicos de Telecomunicacoes do Brasil Ltda</v>
      </c>
      <c r="C29" t="str">
        <v>10.519.123/0001-97</v>
      </c>
      <c r="D29" t="str">
        <v>huawei@slgestao.com</v>
      </c>
      <c r="E29" t="str">
        <v>Avenida Jerome Case</v>
      </c>
      <c r="F29" t="str">
        <v>2600</v>
      </c>
      <c r="G29" t="str">
        <v>Galpão A3 A9 Quadra 25 Lote 7/A</v>
      </c>
      <c r="H29" t="str">
        <v>Sorocaba</v>
      </c>
      <c r="I29" t="str">
        <v>3552205</v>
      </c>
      <c r="J29" t="str">
        <v>Eden</v>
      </c>
      <c r="K29" t="str">
        <v>SP</v>
      </c>
      <c r="L29" t="str">
        <v>(11) 3930-8580</v>
      </c>
      <c r="M29" t="str">
        <v>18087-220</v>
      </c>
      <c r="N29" t="str">
        <v/>
      </c>
      <c r="O29" s="1">
        <f>=TODAY()</f>
      </c>
      <c r="P29" t="str">
        <v>6211HG3360342-926-2-10519123000197</v>
      </c>
      <c r="Q29" t="str">
        <v>10519123000197</v>
      </c>
      <c r="R29" t="str">
        <v>PO: 6211HG3360342-926 Line 2  PO: 6211HG3360342-933 Line 3  PO: 6211HG3360342-933 Line 1  PO: 6211HG3360342-933 Line 2</v>
      </c>
      <c r="S29" t="str">
        <v>2</v>
      </c>
      <c r="T29" t="str">
        <v>MORRINHOS</v>
      </c>
      <c r="U29" t="str">
        <v>GO</v>
      </c>
      <c r="V29" t="str">
        <v>5213806</v>
      </c>
      <c r="W29">
        <v>369.99</v>
      </c>
      <c r="X29">
        <v>404.363</v>
      </c>
      <c r="Y29" t="str">
        <v/>
      </c>
      <c r="Z29">
        <v>14.15</v>
      </c>
      <c r="AA29">
        <v>20.22</v>
      </c>
      <c r="AB29">
        <v>20.22</v>
      </c>
      <c r="AC29">
        <v>3.5</v>
      </c>
      <c r="AD29" t="str">
        <v>070202</v>
      </c>
      <c r="AE29" t="str">
        <v>Execução por empreitada de obras de construção civil e elétrica – adequação de infraestrutura, instalação e montagem de equipamentos de rede de telefonia celular, conforme pedidos de compra abaixo: PO: 6211HG3360342-926 LINE: 2 MUNICIPIO: MORRINHOS / GO MATERIAL: SERVIÇO: 404.36 BASE DE CÁLCULO ISS: 404.36 BASE DE CÁLCULO INSS: 404.36 Retenções ISS 5% Município: MORRINHOS / GO Retenções INSS 3.5% NFS-e: O ISS desta NFS-e será retido pelo tomador de serviço.</v>
      </c>
      <c r="AF29">
        <v>5</v>
      </c>
      <c r="AG29">
        <v>2</v>
      </c>
      <c r="AH29" t="b">
        <v>0</v>
      </c>
      <c r="AI29">
        <v>2</v>
      </c>
      <c r="AJ29">
        <v>1</v>
      </c>
      <c r="AK29" t="str">
        <v>06175128000172</v>
      </c>
      <c r="AL29" t="str">
        <v>75650000</v>
      </c>
      <c r="AM29" t="str">
        <v>QD 03, LOTE 7</v>
      </c>
      <c r="AN29" t="str">
        <v>SN</v>
      </c>
      <c r="AO29" t="str">
        <v>REIDENCIAL JARINA PARK</v>
      </c>
      <c r="AP29" t="str">
        <v>GO</v>
      </c>
      <c r="AQ29" t="str">
        <v/>
      </c>
      <c r="AR29" t="str">
        <v>GOMIH09</v>
      </c>
    </row>
    <row r="30">
      <c r="A30" t="str">
        <v>Huawei Gestao e Servicos de Telecomunicacoes do Brasil Ltda</v>
      </c>
      <c r="B30" t="str">
        <v>Huawei Gestao e Servicos de Telecomunicacoes do Brasil Ltda</v>
      </c>
      <c r="C30" t="str">
        <v>10.519.123/0001-97</v>
      </c>
      <c r="D30" t="str">
        <v>huawei@slgestao.com</v>
      </c>
      <c r="E30" t="str">
        <v>Avenida Jerome Case</v>
      </c>
      <c r="F30" t="str">
        <v>2600</v>
      </c>
      <c r="G30" t="str">
        <v>Galpão A3 A9 Quadra 25 Lote 7/A</v>
      </c>
      <c r="H30" t="str">
        <v>Sorocaba</v>
      </c>
      <c r="I30" t="str">
        <v>3552205</v>
      </c>
      <c r="J30" t="str">
        <v>Eden</v>
      </c>
      <c r="K30" t="str">
        <v>SP</v>
      </c>
      <c r="L30" t="str">
        <v>(11) 3930-8580</v>
      </c>
      <c r="M30" t="str">
        <v>18087-220</v>
      </c>
      <c r="N30" t="str">
        <v/>
      </c>
      <c r="O30" s="1">
        <f>=TODAY()</f>
      </c>
      <c r="P30" t="str">
        <v>6211HG3360342-930-2-10519123000197</v>
      </c>
      <c r="Q30" t="str">
        <v>10519123000197</v>
      </c>
      <c r="R30" t="str">
        <v>PO: 6211HG3360342-930 Line 2  PO: 6211HG3360342-930 Line 1  PO: 6211HG3360342-930 Line 3  PO: 6211HG3360342-930 Line 4</v>
      </c>
      <c r="S30" t="str">
        <v>2</v>
      </c>
      <c r="T30" t="str">
        <v>JATAI</v>
      </c>
      <c r="U30" t="str">
        <v>GO</v>
      </c>
      <c r="V30" t="str">
        <v>5211909</v>
      </c>
      <c r="W30">
        <v>414.29</v>
      </c>
      <c r="X30">
        <v>452.776</v>
      </c>
      <c r="Y30" t="str">
        <v/>
      </c>
      <c r="Z30">
        <v>15.85</v>
      </c>
      <c r="AA30">
        <v>22.64</v>
      </c>
      <c r="AB30">
        <v>22.64</v>
      </c>
      <c r="AC30">
        <v>3.5</v>
      </c>
      <c r="AD30" t="str">
        <v>070202</v>
      </c>
      <c r="AE30" t="str">
        <v>Execução por empreitada de obras de construção civil e elétrica – adequação de infraestrutura, instalação e montagem de equipamentos de rede de telefonia celular, conforme pedidos de compra abaixo: PO: 6211HG3360342-930 LINE: 2 MUNICIPIO: JATAI / GO MATERIAL: SERVIÇO: 452.78 BASE DE CÁLCULO ISS: 452.78 BASE DE CÁLCULO INSS: 452.78 Retenções ISS 5% Município: JATAI / GO Retenções INSS 3.5% NFS-e: O ISS desta NFS-e será retido pelo tomador de serviço.</v>
      </c>
      <c r="AF30">
        <v>5</v>
      </c>
      <c r="AG30">
        <v>2</v>
      </c>
      <c r="AH30" t="b">
        <v>0</v>
      </c>
      <c r="AI30">
        <v>2</v>
      </c>
      <c r="AJ30">
        <v>1</v>
      </c>
      <c r="AK30" t="str">
        <v>06175128000172</v>
      </c>
      <c r="AL30" t="str">
        <v>75801350</v>
      </c>
      <c r="AM30" t="str">
        <v>J</v>
      </c>
      <c r="AN30" t="str">
        <v>S/N</v>
      </c>
      <c r="AO30" t="str">
        <v>VILA SOFIA</v>
      </c>
      <c r="AP30" t="str">
        <v>GO</v>
      </c>
      <c r="AQ30" t="str">
        <v/>
      </c>
      <c r="AR30" t="str">
        <v>GOJTI11</v>
      </c>
    </row>
    <row r="31">
      <c r="A31" t="str">
        <v>Huawei Gestao e Servicos de Telecomunicacoes do Brasil Ltda</v>
      </c>
      <c r="B31" t="str">
        <v>Huawei Gestao e Servicos de Telecomunicacoes do Brasil Ltda</v>
      </c>
      <c r="C31" t="str">
        <v>10.519.123/0001-97</v>
      </c>
      <c r="D31" t="str">
        <v>huawei@slgestao.com</v>
      </c>
      <c r="E31" t="str">
        <v>Avenida Jerome Case</v>
      </c>
      <c r="F31" t="str">
        <v>2600</v>
      </c>
      <c r="G31" t="str">
        <v>Galpão A3 A9 Quadra 25 Lote 7/A</v>
      </c>
      <c r="H31" t="str">
        <v>Sorocaba</v>
      </c>
      <c r="I31" t="str">
        <v>3552205</v>
      </c>
      <c r="J31" t="str">
        <v>Eden</v>
      </c>
      <c r="K31" t="str">
        <v>SP</v>
      </c>
      <c r="L31" t="str">
        <v>(11) 3930-8580</v>
      </c>
      <c r="M31" t="str">
        <v>18087-220</v>
      </c>
      <c r="N31" t="str">
        <v/>
      </c>
      <c r="O31" s="1">
        <f>=TODAY()</f>
      </c>
      <c r="P31" t="str">
        <v>6211HG3360340-3877-1-10519123000197</v>
      </c>
      <c r="Q31" t="str">
        <v>10519123000197</v>
      </c>
      <c r="R31" t="str">
        <v>PO: 6211HG3360340-3877 Line 1  PO: 6211HG3360340-3787 Line 1  PO: 6211HG3360340-3787 Line 1  PO: 6211HG3360340-3787 Line 3  PO: 6211HG3360340-3787 Line 2  PO: 6211HG3360340-3787 Line 2  PO: 6211HG3360340-3787 Line 3</v>
      </c>
      <c r="S31" t="str">
        <v>1</v>
      </c>
      <c r="T31" t="str">
        <v>IGARASSU</v>
      </c>
      <c r="U31" t="str">
        <v>PE</v>
      </c>
      <c r="V31" t="str">
        <v>2606804</v>
      </c>
      <c r="W31">
        <v>7637.76</v>
      </c>
      <c r="X31">
        <v>8347.274000000001</v>
      </c>
      <c r="Y31" t="str">
        <v/>
      </c>
      <c r="Z31">
        <v>292.15</v>
      </c>
      <c r="AA31">
        <v>417.36</v>
      </c>
      <c r="AB31">
        <v>417.36</v>
      </c>
      <c r="AC31">
        <v>3.5</v>
      </c>
      <c r="AD31" t="str">
        <v>070202</v>
      </c>
      <c r="AE31" t="str">
        <v>Execução por empreitada de obras de construção civil e elétrica – adequação de infraestrutura, instalação e montagem de equipamentos de rede de telefonia celular, conforme pedidos de compra abaixo: PO: 6211HG3360340-3877 LINE: 1 MUNICIPIO: IGARASSU / PE MATERIAL: SERVIÇO: 8347.27 BASE DE CÁLCULO ISS: 8347.27 BASE DE CÁLCULO INSS: 8347.27 Retenções ISS 5% Município: IGARASSU / PE Retenções INSS 3.5% NFS-e: O ISS desta NFS-e será retido pelo tomador de serviço.</v>
      </c>
      <c r="AF31">
        <v>5</v>
      </c>
      <c r="AG31">
        <v>2</v>
      </c>
      <c r="AH31" t="b">
        <v>0</v>
      </c>
      <c r="AI31">
        <v>2</v>
      </c>
      <c r="AJ31">
        <v>1</v>
      </c>
      <c r="AK31" t="str">
        <v>06175128000172</v>
      </c>
      <c r="AL31" t="str">
        <v>53625754</v>
      </c>
      <c r="AM31" t="str">
        <v>1ª Travessa Santa Elizabete</v>
      </c>
      <c r="AN31" t="str">
        <v>66</v>
      </c>
      <c r="AO31" t="str">
        <v>Triunfo</v>
      </c>
      <c r="AP31" t="str">
        <v>PE</v>
      </c>
      <c r="AQ31" t="str">
        <v>2606804</v>
      </c>
      <c r="AR31" t="str">
        <v>OPD</v>
      </c>
    </row>
    <row r="32">
      <c r="A32" t="str">
        <v>Huawei Gestao e Servicos de Telecomunicacoes do Brasil Ltda</v>
      </c>
      <c r="B32" t="str">
        <v>Huawei Gestao e Servicos de Telecomunicacoes do Brasil Ltda</v>
      </c>
      <c r="C32" t="str">
        <v>10.519.123/0001-97</v>
      </c>
      <c r="D32" t="str">
        <v>huawei@slgestao.com</v>
      </c>
      <c r="E32" t="str">
        <v>Avenida Jerome Case</v>
      </c>
      <c r="F32" t="str">
        <v>2600</v>
      </c>
      <c r="G32" t="str">
        <v>Galpão A3 A9 Quadra 25 Lote 7/A</v>
      </c>
      <c r="H32" t="str">
        <v>Sorocaba</v>
      </c>
      <c r="I32" t="str">
        <v>3552205</v>
      </c>
      <c r="J32" t="str">
        <v>Eden</v>
      </c>
      <c r="K32" t="str">
        <v>SP</v>
      </c>
      <c r="L32" t="str">
        <v>(11) 3930-8580</v>
      </c>
      <c r="M32" t="str">
        <v>18087-220</v>
      </c>
      <c r="N32" t="str">
        <v/>
      </c>
      <c r="O32" s="1">
        <f>=TODAY()</f>
      </c>
      <c r="P32" t="str">
        <v>6211HG3360337-139-2-10519123000197</v>
      </c>
      <c r="Q32" t="str">
        <v>10519123000197</v>
      </c>
      <c r="R32" t="str">
        <v>PO: 6211HG3360337-139 Line 2  PO: 6211HG3360337-139 Line 3  PO: 6211HG3360337-139 Line 1  PO: 6211HG3360337-139 Line 4</v>
      </c>
      <c r="S32" t="str">
        <v>2</v>
      </c>
      <c r="T32" t="str">
        <v>BRUSQUE</v>
      </c>
      <c r="U32" t="str">
        <v>SC</v>
      </c>
      <c r="V32" t="str">
        <v>4202909</v>
      </c>
      <c r="W32">
        <v>6072.46</v>
      </c>
      <c r="X32">
        <v>6425.892</v>
      </c>
      <c r="Y32" t="str">
        <v/>
      </c>
      <c r="Z32">
        <v>224.91</v>
      </c>
      <c r="AA32">
        <v>128.52</v>
      </c>
      <c r="AB32">
        <v>128.52</v>
      </c>
      <c r="AC32">
        <v>3.5</v>
      </c>
      <c r="AD32" t="str">
        <v>070202</v>
      </c>
      <c r="AE32" t="str">
        <v>Execução por empreitada de obras de construção civil e elétrica – adequação de infraestrutura, instalação e montagem de equipamentos de rede de telefonia celular, conforme pedidos de compra abaixo: PO: 6211HG3360337-139 LINE: 2 MUNICIPIO: BRUSQUE / SC MATERIAL: SERVIÇO: 6425.89 BASE DE CÁLCULO ISS: 6425.89 BASE DE CÁLCULO INSS: 6425.89 Retenções ISS 2% Município: BRUSQUE / SC Retenções INSS 3.5% NFS-e: O ISS desta NFS-e será retido pelo tomador de serviço.</v>
      </c>
      <c r="AF32">
        <v>2</v>
      </c>
      <c r="AG32">
        <v>2</v>
      </c>
      <c r="AH32" t="b">
        <v>0</v>
      </c>
      <c r="AI32">
        <v>2</v>
      </c>
      <c r="AJ32">
        <v>1</v>
      </c>
      <c r="AK32" t="str">
        <v>06175128000172</v>
      </c>
      <c r="AL32" t="str">
        <v>83501080</v>
      </c>
      <c r="AM32" t="str">
        <v>Rua Lourenço Ângelo Buzato</v>
      </c>
      <c r="AN32" t="str">
        <v>SN</v>
      </c>
      <c r="AO32" t="str">
        <v>Vila Santa Terezinha</v>
      </c>
      <c r="AP32" t="str">
        <v>PR</v>
      </c>
      <c r="AQ32" t="str">
        <v>4100400</v>
      </c>
      <c r="AR32" t="str">
        <v>BQD</v>
      </c>
    </row>
    <row r="33">
      <c r="A33" t="str">
        <v>Huawei Gestao e Servicos de Telecomunicacoes do Brasil Ltda</v>
      </c>
      <c r="B33" t="str">
        <v>Huawei Gestao e Servicos de Telecomunicacoes do Brasil Ltda</v>
      </c>
      <c r="C33" t="str">
        <v>10.519.123/0001-97</v>
      </c>
      <c r="D33" t="str">
        <v>huawei@slgestao.com</v>
      </c>
      <c r="E33" t="str">
        <v>Avenida Jerome Case</v>
      </c>
      <c r="F33" t="str">
        <v>2600</v>
      </c>
      <c r="G33" t="str">
        <v>Galpão A3 A9 Quadra 25 Lote 7/A</v>
      </c>
      <c r="H33" t="str">
        <v>Sorocaba</v>
      </c>
      <c r="I33" t="str">
        <v>3552205</v>
      </c>
      <c r="J33" t="str">
        <v>Eden</v>
      </c>
      <c r="K33" t="str">
        <v>SP</v>
      </c>
      <c r="L33" t="str">
        <v>(11) 3930-8580</v>
      </c>
      <c r="M33" t="str">
        <v>18087-220</v>
      </c>
      <c r="N33" t="str">
        <v/>
      </c>
      <c r="O33" s="1">
        <f>=TODAY()</f>
      </c>
      <c r="P33" t="str">
        <v>6211HG3360337-142-1-10519123000197</v>
      </c>
      <c r="Q33" t="str">
        <v>10519123000197</v>
      </c>
      <c r="R33" t="str">
        <v>PO: 6211HG3360337-142 Line 1  PO: 6211HG3360337-142 Line 2  PO: 6211HG3360337-142 Line 2  PO: 6211HG3360337-142 Line 3  PO: 6211HG3360337-142 Line 1  PO: 6211HG3360337-142 Line 3</v>
      </c>
      <c r="S33" t="str">
        <v>1</v>
      </c>
      <c r="T33" t="str">
        <v>CONCORDIA</v>
      </c>
      <c r="U33" t="str">
        <v>SC</v>
      </c>
      <c r="V33" t="str">
        <v>4204301</v>
      </c>
      <c r="W33">
        <v>3984.95</v>
      </c>
      <c r="X33">
        <v>4216.88</v>
      </c>
      <c r="Y33" t="str">
        <v/>
      </c>
      <c r="Z33">
        <v>147.59</v>
      </c>
      <c r="AA33">
        <v>84.34</v>
      </c>
      <c r="AB33">
        <v>84.34</v>
      </c>
      <c r="AC33">
        <v>3.5</v>
      </c>
      <c r="AD33" t="str">
        <v>070202</v>
      </c>
      <c r="AE33" t="str">
        <v>Execução por empreitada de obras de construção civil e elétrica – adequação de infraestrutura, instalação e montagem de equipamentos de rede de telefonia celular, conforme pedidos de compra abaixo: PO: 6211HG3360337-142 LINE: 1 MUNICIPIO: CONCORDIA / SC MATERIAL: SERVIÇO: 4216.88 BASE DE CÁLCULO ISS: 4216.88 BASE DE CÁLCULO INSS: 4216.88 Retenções ISS 2% Município: CONCORDIA / SC Retenções INSS 3.5% NFS-e: O ISS desta NFS-e será retido pelo tomador de serviço.</v>
      </c>
      <c r="AF33">
        <v>2</v>
      </c>
      <c r="AG33">
        <v>2</v>
      </c>
      <c r="AH33" t="b">
        <v>0</v>
      </c>
      <c r="AI33">
        <v>2</v>
      </c>
      <c r="AJ33">
        <v>1</v>
      </c>
      <c r="AK33" t="str">
        <v>06175128000172</v>
      </c>
      <c r="AL33" t="str">
        <v>04617010</v>
      </c>
      <c r="AM33" t="str">
        <v>Rua Vieira de Morais</v>
      </c>
      <c r="AN33" t="str">
        <v>SN</v>
      </c>
      <c r="AO33" t="str">
        <v>Campo Belo</v>
      </c>
      <c r="AP33" t="str">
        <v>SP</v>
      </c>
      <c r="AQ33" t="str">
        <v>3550308</v>
      </c>
      <c r="AR33" t="str">
        <v>TRC</v>
      </c>
    </row>
    <row r="34">
      <c r="A34" t="str">
        <v>Huawei Gestao e Servicos de Telecomunicacoes do Brasil Ltda</v>
      </c>
      <c r="B34" t="str">
        <v>Huawei Gestao e Servicos de Telecomunicacoes do Brasil Ltda</v>
      </c>
      <c r="C34" t="str">
        <v>10.519.123/0001-97</v>
      </c>
      <c r="D34" t="str">
        <v>huawei@slgestao.com</v>
      </c>
      <c r="E34" t="str">
        <v>Avenida Jerome Case</v>
      </c>
      <c r="F34" t="str">
        <v>2600</v>
      </c>
      <c r="G34" t="str">
        <v>Galpão A3 A9 Quadra 25 Lote 7/A</v>
      </c>
      <c r="H34" t="str">
        <v>Sorocaba</v>
      </c>
      <c r="I34" t="str">
        <v>3552205</v>
      </c>
      <c r="J34" t="str">
        <v>Eden</v>
      </c>
      <c r="K34" t="str">
        <v>SP</v>
      </c>
      <c r="L34" t="str">
        <v>(11) 3930-8580</v>
      </c>
      <c r="M34" t="str">
        <v>18087-220</v>
      </c>
      <c r="N34" t="str">
        <v/>
      </c>
      <c r="O34" s="1">
        <f>=TODAY()</f>
      </c>
      <c r="P34" t="str">
        <v>6211HG3360340-3455-1-10519123000197</v>
      </c>
      <c r="Q34" t="str">
        <v>10519123000197</v>
      </c>
      <c r="R34" t="str">
        <v>PO: 6211HG3360340-3455 Line 1  PO: 6211HG3360340-3446 Line 1  PO: 6211HG3360340-3455 Line 2</v>
      </c>
      <c r="S34" t="str">
        <v>1</v>
      </c>
      <c r="T34" t="str">
        <v>SOBRAL</v>
      </c>
      <c r="U34" t="str">
        <v>CE</v>
      </c>
      <c r="V34" t="str">
        <v>2312908</v>
      </c>
      <c r="W34">
        <v>4885.3</v>
      </c>
      <c r="X34">
        <v>5169.627</v>
      </c>
      <c r="Y34" t="str">
        <v/>
      </c>
      <c r="Z34">
        <v>180.94</v>
      </c>
      <c r="AA34">
        <v>103.39</v>
      </c>
      <c r="AB34">
        <v>103.39</v>
      </c>
      <c r="AC34">
        <v>3.5</v>
      </c>
      <c r="AD34" t="str">
        <v>070202</v>
      </c>
      <c r="AE34" t="str">
        <v>Execução por empreitada de obras de construção civil e elétrica – adequação de infraestrutura, instalação e montagem de equipamentos de rede de telefonia celular, conforme pedidos de compra abaixo: PO: 6211HG3360340-3455 LINE: 1 MUNICIPIO: SOBRAL / CE MATERIAL: SERVIÇO: 5169.63 BASE DE CÁLCULO ISS: 5169.63 BASE DE CÁLCULO INSS: 5169.63 Retenções ISS 2% Município: SOBRAL / CE Retenções INSS 3.5% NFS-e: O ISS desta NFS-e será retido pelo tomador de serviço.</v>
      </c>
      <c r="AF34">
        <v>2</v>
      </c>
      <c r="AG34">
        <v>2</v>
      </c>
      <c r="AH34" t="b">
        <v>0</v>
      </c>
      <c r="AI34">
        <v>2</v>
      </c>
      <c r="AJ34">
        <v>1</v>
      </c>
      <c r="AK34" t="str">
        <v>06175128000172</v>
      </c>
      <c r="AL34" t="str">
        <v>62040100</v>
      </c>
      <c r="AM34" t="str">
        <v/>
      </c>
      <c r="AN34" t="str">
        <v>S/N</v>
      </c>
      <c r="AO34" t="str">
        <v>ALTO DA ESPECTATIVA</v>
      </c>
      <c r="AP34" t="str">
        <v>CE</v>
      </c>
      <c r="AQ34" t="str">
        <v/>
      </c>
      <c r="AR34" t="str">
        <v>SR-SOPSJ0</v>
      </c>
    </row>
    <row r="35">
      <c r="A35" t="str">
        <v>Huawei Gestao e Servicos de Telecomunicacoes do Brasil Ltda</v>
      </c>
      <c r="B35" t="str">
        <v>Huawei Gestao e Servicos de Telecomunicacoes do Brasil Ltda</v>
      </c>
      <c r="C35" t="str">
        <v>10.519.123/0001-97</v>
      </c>
      <c r="D35" t="str">
        <v>huawei@slgestao.com</v>
      </c>
      <c r="E35" t="str">
        <v>Avenida Jerome Case</v>
      </c>
      <c r="F35" t="str">
        <v>2600</v>
      </c>
      <c r="G35" t="str">
        <v>Galpão A3 A9 Quadra 25 Lote 7/A</v>
      </c>
      <c r="H35" t="str">
        <v>Sorocaba</v>
      </c>
      <c r="I35" t="str">
        <v>3552205</v>
      </c>
      <c r="J35" t="str">
        <v>Eden</v>
      </c>
      <c r="K35" t="str">
        <v>SP</v>
      </c>
      <c r="L35" t="str">
        <v>(11) 3930-8580</v>
      </c>
      <c r="M35" t="str">
        <v>18087-220</v>
      </c>
      <c r="N35" t="str">
        <v/>
      </c>
      <c r="O35" s="1">
        <f>=TODAY()</f>
      </c>
      <c r="P35" t="str">
        <v>6211HG3360340-3456-2-10519123000197</v>
      </c>
      <c r="Q35" t="str">
        <v>10519123000197</v>
      </c>
      <c r="R35" t="str">
        <v>PO: 6211HG3360340-3456 Line 2  PO: 6211HG3360340-3456 Line 1</v>
      </c>
      <c r="S35" t="str">
        <v>2</v>
      </c>
      <c r="T35" t="str">
        <v>PETROLINA</v>
      </c>
      <c r="U35" t="str">
        <v>PE</v>
      </c>
      <c r="V35" t="str">
        <v>2611101</v>
      </c>
      <c r="W35">
        <v>401.42</v>
      </c>
      <c r="X35">
        <v>438.709</v>
      </c>
      <c r="Y35" t="str">
        <v/>
      </c>
      <c r="Z35">
        <v>15.35</v>
      </c>
      <c r="AA35">
        <v>21.94</v>
      </c>
      <c r="AB35">
        <v>21.94</v>
      </c>
      <c r="AC35">
        <v>3.5</v>
      </c>
      <c r="AD35" t="str">
        <v>070202</v>
      </c>
      <c r="AE35" t="str">
        <v>Execução por empreitada de obras de construção civil e elétrica – adequação de infraestrutura, instalação e montagem de equipamentos de rede de telefonia celular, conforme pedidos de compra abaixo: PO: 6211HG3360340-3456 LINE: 2 MUNICIPIO: PETROLINA / PE MATERIAL: SERVIÇO: 438.71 BASE DE CÁLCULO ISS: 438.71 BASE DE CÁLCULO INSS: 438.71 Retenções ISS 5% Município: PETROLINA / PE Retenções INSS 3.5% NFS-e: O ISS desta NFS-e será retido pelo tomador de serviço.</v>
      </c>
      <c r="AF35">
        <v>5</v>
      </c>
      <c r="AG35">
        <v>2</v>
      </c>
      <c r="AH35" t="b">
        <v>0</v>
      </c>
      <c r="AI35">
        <v>2</v>
      </c>
      <c r="AJ35">
        <v>1</v>
      </c>
      <c r="AK35" t="str">
        <v>06175128000172</v>
      </c>
      <c r="AL35" t="str">
        <v>56300000</v>
      </c>
      <c r="AM35" t="str">
        <v/>
      </c>
      <c r="AN35" t="str">
        <v>13</v>
      </c>
      <c r="AO35" t="str">
        <v>ZONA RURAL</v>
      </c>
      <c r="AP35" t="str">
        <v>PE</v>
      </c>
      <c r="AQ35" t="str">
        <v/>
      </c>
      <c r="AR35" t="str">
        <v>SR-PTPTB3</v>
      </c>
    </row>
    <row r="36">
      <c r="A36" t="str">
        <v>Huawei Gestao e Servicos de Telecomunicacoes do Brasil Ltda</v>
      </c>
      <c r="B36" t="str">
        <v>Huawei Gestao e Servicos de Telecomunicacoes do Brasil Ltda</v>
      </c>
      <c r="C36" t="str">
        <v>10.519.123/0001-97</v>
      </c>
      <c r="D36" t="str">
        <v>huawei@slgestao.com</v>
      </c>
      <c r="E36" t="str">
        <v>Avenida Jerome Case</v>
      </c>
      <c r="F36" t="str">
        <v>2600</v>
      </c>
      <c r="G36" t="str">
        <v>Galpão A3 A9 Quadra 25 Lote 7/A</v>
      </c>
      <c r="H36" t="str">
        <v>Sorocaba</v>
      </c>
      <c r="I36" t="str">
        <v>3552205</v>
      </c>
      <c r="J36" t="str">
        <v>Eden</v>
      </c>
      <c r="K36" t="str">
        <v>SP</v>
      </c>
      <c r="L36" t="str">
        <v>(11) 3930-8580</v>
      </c>
      <c r="M36" t="str">
        <v>18087-220</v>
      </c>
      <c r="N36" t="str">
        <v/>
      </c>
      <c r="O36" s="1">
        <f>=TODAY()</f>
      </c>
      <c r="P36" t="str">
        <v>6211HG3360342-985-2-10519123000197</v>
      </c>
      <c r="Q36" t="str">
        <v>10519123000197</v>
      </c>
      <c r="R36" t="str">
        <v>PO: 6211HG3360342-985 Line 2  PO: 6211HG3360342-991 Line 1  PO: 6211HG3360342-991 Line 4  PO: 6211HG3360342-991 Line 2  PO: 6211HG3360342-991 Line 3</v>
      </c>
      <c r="S36" t="str">
        <v>2</v>
      </c>
      <c r="T36" t="str">
        <v>VALPARAISO DE GOIAS</v>
      </c>
      <c r="U36" t="str">
        <v>GO</v>
      </c>
      <c r="V36" t="str">
        <v>5208905</v>
      </c>
      <c r="W36">
        <v>6029.13</v>
      </c>
      <c r="X36">
        <v>6589.206</v>
      </c>
      <c r="Y36" t="str">
        <v/>
      </c>
      <c r="Z36">
        <v>230.62</v>
      </c>
      <c r="AA36">
        <v>329.46</v>
      </c>
      <c r="AB36">
        <v>329.46</v>
      </c>
      <c r="AC36">
        <v>3.5</v>
      </c>
      <c r="AD36" t="str">
        <v>070202</v>
      </c>
      <c r="AE36" t="str">
        <v>Execução por empreitada de obras de construção civil e elétrica – adequação de infraestrutura, instalação e montagem de equipamentos de rede de telefonia celular, conforme pedidos de compra abaixo: PO: 6211HG3360342-985 LINE: 2 MUNICIPIO: VALPARAISO DE GOIAS / GO MATERIAL: SERVIÇO: 6589.21 BASE DE CÁLCULO ISS: 6589.21 BASE DE CÁLCULO INSS: 6589.21 Retenções ISS 5% Município: VALPARAISO DE GOIAS / GO Retenções INSS 3.5% NFS-e: O ISS desta NFS-e será retido pelo tomador de serviço.</v>
      </c>
      <c r="AF36">
        <v>5</v>
      </c>
      <c r="AG36">
        <v>2</v>
      </c>
      <c r="AH36" t="b">
        <v>0</v>
      </c>
      <c r="AI36">
        <v>2</v>
      </c>
      <c r="AJ36">
        <v>1</v>
      </c>
      <c r="AK36" t="str">
        <v>06175128000172</v>
      </c>
      <c r="AL36" t="str">
        <v>72876311</v>
      </c>
      <c r="AM36" t="str">
        <v>FORTALEZA, QUADRA11, CASA 13</v>
      </c>
      <c r="AN36" t="str">
        <v>SN</v>
      </c>
      <c r="AO36" t="str">
        <v>PARQUE ESPLANADA 03</v>
      </c>
      <c r="AP36" t="str">
        <v>GO</v>
      </c>
      <c r="AQ36" t="str">
        <v/>
      </c>
      <c r="AR36" t="str">
        <v>GOVPI21</v>
      </c>
    </row>
    <row r="37">
      <c r="A37" t="str">
        <v>Huawei Gestao e Servicos de Telecomunicacoes do Brasil Ltda</v>
      </c>
      <c r="B37" t="str">
        <v>Huawei Gestao e Servicos de Telecomunicacoes do Brasil Ltda</v>
      </c>
      <c r="C37" t="str">
        <v>10.519.123/0001-97</v>
      </c>
      <c r="D37" t="str">
        <v>huawei@slgestao.com</v>
      </c>
      <c r="E37" t="str">
        <v>Avenida Jerome Case</v>
      </c>
      <c r="F37" t="str">
        <v>2600</v>
      </c>
      <c r="G37" t="str">
        <v>Galpão A3 A9 Quadra 25 Lote 7/A</v>
      </c>
      <c r="H37" t="str">
        <v>Sorocaba</v>
      </c>
      <c r="I37" t="str">
        <v>3552205</v>
      </c>
      <c r="J37" t="str">
        <v>Eden</v>
      </c>
      <c r="K37" t="str">
        <v>SP</v>
      </c>
      <c r="L37" t="str">
        <v>(11) 3930-8580</v>
      </c>
      <c r="M37" t="str">
        <v>18087-220</v>
      </c>
      <c r="N37" t="str">
        <v/>
      </c>
      <c r="O37" s="1">
        <f>=TODAY()</f>
      </c>
      <c r="P37" t="str">
        <v>6211HG3360342-995-2-10519123000197</v>
      </c>
      <c r="Q37" t="str">
        <v>10519123000197</v>
      </c>
      <c r="R37" t="str">
        <v>PO: 6211HG3360342-995 Line 2  PO: 6211HG3360342-995 Line 1  PO: 6211HG3360342-995 Line 3</v>
      </c>
      <c r="S37" t="str">
        <v>2</v>
      </c>
      <c r="T37" t="str">
        <v>BRASILIA</v>
      </c>
      <c r="U37" t="str">
        <v>DF</v>
      </c>
      <c r="V37" t="str">
        <v>5300108</v>
      </c>
      <c r="W37">
        <v>3358.02</v>
      </c>
      <c r="X37">
        <v>3553.461</v>
      </c>
      <c r="Y37" t="str">
        <v/>
      </c>
      <c r="Z37">
        <v>124.37</v>
      </c>
      <c r="AA37">
        <v>71.07</v>
      </c>
      <c r="AB37">
        <v>71.07</v>
      </c>
      <c r="AC37">
        <v>3.5</v>
      </c>
      <c r="AD37" t="str">
        <v>070202</v>
      </c>
      <c r="AE37" t="str">
        <v>Execução por empreitada de obras de construção civil e elétrica – adequação de infraestrutura, instalação e montagem de equipamentos de rede de telefonia celular, conforme pedidos de compra abaixo: PO: 6211HG3360342-995 LINE: 2 MUNICIPIO: BRASILIA / DF MATERIAL: SERVIÇO: 3553.46 BASE DE CÁLCULO ISS: 3553.46 BASE DE CÁLCULO INSS: 3553.46 Retenções ISS 2% Município: BRASILIA / DF Retenções INSS 3.5% NFS-e: O ISS desta NFS-e será retido pelo tomador de serviço.</v>
      </c>
      <c r="AF37">
        <v>2</v>
      </c>
      <c r="AG37">
        <v>2</v>
      </c>
      <c r="AH37" t="b">
        <v>0</v>
      </c>
      <c r="AI37">
        <v>2</v>
      </c>
      <c r="AJ37">
        <v>1</v>
      </c>
      <c r="AK37" t="str">
        <v>06175128000172</v>
      </c>
      <c r="AL37" t="str">
        <v>72017218</v>
      </c>
      <c r="AM37" t="str">
        <v>QSC</v>
      </c>
      <c r="AN37" t="str">
        <v>19</v>
      </c>
      <c r="AO37" t="str">
        <v>TAGUATINGA SUL</v>
      </c>
      <c r="AP37" t="str">
        <v>DF</v>
      </c>
      <c r="AQ37" t="str">
        <v/>
      </c>
      <c r="AR37" t="str">
        <v>DFTAG46</v>
      </c>
    </row>
    <row r="38">
      <c r="A38" t="str">
        <v>Huawei Gestao e Servicos de Telecomunicacoes do Brasil Ltda</v>
      </c>
      <c r="B38" t="str">
        <v>Huawei Gestao e Servicos de Telecomunicacoes do Brasil Ltda</v>
      </c>
      <c r="C38" t="str">
        <v>10.519.123/0001-97</v>
      </c>
      <c r="D38" t="str">
        <v>huawei@slgestao.com</v>
      </c>
      <c r="E38" t="str">
        <v>Avenida Jerome Case</v>
      </c>
      <c r="F38" t="str">
        <v>2600</v>
      </c>
      <c r="G38" t="str">
        <v>Galpão A3 A9 Quadra 25 Lote 7/A</v>
      </c>
      <c r="H38" t="str">
        <v>Sorocaba</v>
      </c>
      <c r="I38" t="str">
        <v>3552205</v>
      </c>
      <c r="J38" t="str">
        <v>Eden</v>
      </c>
      <c r="K38" t="str">
        <v>SP</v>
      </c>
      <c r="L38" t="str">
        <v>(11) 3930-8580</v>
      </c>
      <c r="M38" t="str">
        <v>18087-220</v>
      </c>
      <c r="N38" t="str">
        <v/>
      </c>
      <c r="O38" s="1">
        <f>=TODAY()</f>
      </c>
      <c r="P38" t="str">
        <v>6211HG3360340-3589-2-10519123000197</v>
      </c>
      <c r="Q38" t="str">
        <v>10519123000197</v>
      </c>
      <c r="R38" t="str">
        <v>PO: 6211HG3360340-3589 Line 2  PO: 6211HG3360340-3589 Line 1  PO: 6211HG3360340-3613 Line 1  PO: 6211HG3360340-3613 Line 3  PO: 6211HG3360340-3613 Line 2  PO: 6211HG3360340-3589 Line 2  PO: 6211HG3360340-3589 Line 1  PO: 6211HG3360340-3589 Line 3  PO: 6211HG3360340-3589 Line 3</v>
      </c>
      <c r="S38" t="str">
        <v>2</v>
      </c>
      <c r="T38" t="str">
        <v>SOBRAL</v>
      </c>
      <c r="U38" t="str">
        <v>CE</v>
      </c>
      <c r="V38" t="str">
        <v>2312908</v>
      </c>
      <c r="W38">
        <v>3033.21</v>
      </c>
      <c r="X38">
        <v>3209.7400000000002</v>
      </c>
      <c r="Y38" t="str">
        <v/>
      </c>
      <c r="Z38">
        <v>112.34</v>
      </c>
      <c r="AA38">
        <v>64.19</v>
      </c>
      <c r="AB38">
        <v>64.19</v>
      </c>
      <c r="AC38">
        <v>3.5</v>
      </c>
      <c r="AD38" t="str">
        <v>070202</v>
      </c>
      <c r="AE38" t="str">
        <v>Execução por empreitada de obras de construção civil e elétrica – adequação de infraestrutura, instalação e montagem de equipamentos de rede de telefonia celular, conforme pedidos de compra abaixo: PO: 6211HG3360340-3589 LINE: 2 MUNICIPIO: SOBRAL / CE MATERIAL: SERVIÇO: 3209.74 BASE DE CÁLCULO ISS: 3209.74 BASE DE CÁLCULO INSS: 3209.74 Retenções ISS 2% Município: SOBRAL / CE Retenções INSS 3.5% NFS-e: O ISS desta NFS-e será retido pelo tomador de serviço.</v>
      </c>
      <c r="AF38">
        <v>2</v>
      </c>
      <c r="AG38">
        <v>2</v>
      </c>
      <c r="AH38" t="b">
        <v>0</v>
      </c>
      <c r="AI38">
        <v>2</v>
      </c>
      <c r="AJ38">
        <v>1</v>
      </c>
      <c r="AK38" t="str">
        <v>06175128000172</v>
      </c>
      <c r="AL38" t="str">
        <v>62031150</v>
      </c>
      <c r="AM38" t="str">
        <v>Rua Raimundo Alves</v>
      </c>
      <c r="AN38" t="str">
        <v>1005</v>
      </c>
      <c r="AO38" t="str">
        <v>José Euclides</v>
      </c>
      <c r="AP38" t="str">
        <v>CE</v>
      </c>
      <c r="AQ38" t="str">
        <v>2312908</v>
      </c>
      <c r="AR38" t="str">
        <v>SR-SOCEJ2</v>
      </c>
    </row>
    <row r="39">
      <c r="A39" t="str">
        <v>Huawei Gestao e Servicos de Telecomunicacoes do Brasil Ltda</v>
      </c>
      <c r="B39" t="str">
        <v>Huawei Gestao e Servicos de Telecomunicacoes do Brasil Ltda</v>
      </c>
      <c r="C39" t="str">
        <v>10.519.123/0001-97</v>
      </c>
      <c r="D39" t="str">
        <v>huawei@slgestao.com</v>
      </c>
      <c r="E39" t="str">
        <v>Avenida Jerome Case</v>
      </c>
      <c r="F39" t="str">
        <v>2600</v>
      </c>
      <c r="G39" t="str">
        <v>Galpão A3 A9 Quadra 25 Lote 7/A</v>
      </c>
      <c r="H39" t="str">
        <v>Sorocaba</v>
      </c>
      <c r="I39" t="str">
        <v>3552205</v>
      </c>
      <c r="J39" t="str">
        <v>Eden</v>
      </c>
      <c r="K39" t="str">
        <v>SP</v>
      </c>
      <c r="L39" t="str">
        <v>(11) 3930-8580</v>
      </c>
      <c r="M39" t="str">
        <v>18087-220</v>
      </c>
      <c r="N39" t="str">
        <v/>
      </c>
      <c r="O39" s="1">
        <f>=TODAY()</f>
      </c>
      <c r="P39" t="str">
        <v>6211HG3360340-3591-1-10519123000197</v>
      </c>
      <c r="Q39" t="str">
        <v>10519123000197</v>
      </c>
      <c r="R39" t="str">
        <v>PO: 6211HG3360340-3591 Line 1  PO: 6211HG3360340-3591 Line 2  PO: 6211HG3360340-3591 Line 4  PO: 6211HG3360340-3591 Line 3</v>
      </c>
      <c r="S39" t="str">
        <v>1</v>
      </c>
      <c r="T39" t="str">
        <v>RECIFE</v>
      </c>
      <c r="U39" t="str">
        <v>PE</v>
      </c>
      <c r="V39" t="str">
        <v>2611606</v>
      </c>
      <c r="W39">
        <v>4969.21</v>
      </c>
      <c r="X39">
        <v>5430.834</v>
      </c>
      <c r="Y39" t="str">
        <v/>
      </c>
      <c r="Z39">
        <v>190.08</v>
      </c>
      <c r="AA39">
        <v>271.54</v>
      </c>
      <c r="AB39">
        <v>271.54</v>
      </c>
      <c r="AC39">
        <v>3.5</v>
      </c>
      <c r="AD39" t="str">
        <v>070202</v>
      </c>
      <c r="AE39" t="str">
        <v>Execução por empreitada de obras de construção civil e elétrica – adequação de infraestrutura, instalação e montagem de equipamentos de rede de telefonia celular, conforme pedidos de compra abaixo: PO: 6211HG3360340-3591 LINE: 1 MUNICIPIO: RECIFE / PE MATERIAL: SERVIÇO: 5430.83 BASE DE CÁLCULO ISS: 5430.83 BASE DE CÁLCULO INSS: 5430.83 Retenções ISS 5% Município: RECIFE / PE Retenções INSS 3.5% NFS-e: O ISS desta NFS-e será retido pelo tomador de serviço.</v>
      </c>
      <c r="AF39">
        <v>5</v>
      </c>
      <c r="AG39">
        <v>2</v>
      </c>
      <c r="AH39" t="b">
        <v>0</v>
      </c>
      <c r="AI39">
        <v>2</v>
      </c>
      <c r="AJ39">
        <v>1</v>
      </c>
      <c r="AK39" t="str">
        <v>06175128000172</v>
      </c>
      <c r="AL39" t="str">
        <v>15750370</v>
      </c>
      <c r="AM39" t="str">
        <v>Rua Senador Fabio de Barro</v>
      </c>
      <c r="AN39" t="str">
        <v>250</v>
      </c>
      <c r="AO39" t="str">
        <v>lha do retiro</v>
      </c>
      <c r="AP39" t="str">
        <v>PE</v>
      </c>
      <c r="AQ39" t="str">
        <v>2611606</v>
      </c>
      <c r="AR39" t="str">
        <v>DIV</v>
      </c>
    </row>
    <row r="40">
      <c r="A40" t="str">
        <v>Huawei Gestao e Servicos de Telecomunicacoes do Brasil Ltda</v>
      </c>
      <c r="B40" t="str">
        <v>Huawei Gestao e Servicos de Telecomunicacoes do Brasil Ltda</v>
      </c>
      <c r="C40" t="str">
        <v>10.519.123/0001-97</v>
      </c>
      <c r="D40" t="str">
        <v>huawei@slgestao.com</v>
      </c>
      <c r="E40" t="str">
        <v>Avenida Jerome Case</v>
      </c>
      <c r="F40" t="str">
        <v>2600</v>
      </c>
      <c r="G40" t="str">
        <v>Galpão A3 A9 Quadra 25 Lote 7/A</v>
      </c>
      <c r="H40" t="str">
        <v>Sorocaba</v>
      </c>
      <c r="I40" t="str">
        <v>3552205</v>
      </c>
      <c r="J40" t="str">
        <v>Eden</v>
      </c>
      <c r="K40" t="str">
        <v>SP</v>
      </c>
      <c r="L40" t="str">
        <v>(11) 3930-8580</v>
      </c>
      <c r="M40" t="str">
        <v>18087-220</v>
      </c>
      <c r="N40" t="str">
        <v/>
      </c>
      <c r="O40" s="1">
        <f>=TODAY()</f>
      </c>
      <c r="P40" t="str">
        <v>6211HG3360340-3594-2-10519123000197</v>
      </c>
      <c r="Q40" t="str">
        <v>10519123000197</v>
      </c>
      <c r="R40" t="str">
        <v>PO: 6211HG3360340-3594 Line 2  PO: 6211HG3360340-3594 Line 3  PO: 6211HG3360340-3594 Line 4  PO: 6211HG3360340-3594 Line 1  PO: 6211HG3360340-3594 Line 5</v>
      </c>
      <c r="S40" t="str">
        <v>2</v>
      </c>
      <c r="T40" t="str">
        <v>MARECHAL DEODORO</v>
      </c>
      <c r="U40" t="str">
        <v>AL</v>
      </c>
      <c r="V40" t="str">
        <v>2704708</v>
      </c>
      <c r="W40">
        <v>6894.06</v>
      </c>
      <c r="X40">
        <v>7534.485000000001</v>
      </c>
      <c r="Y40" t="str">
        <v/>
      </c>
      <c r="Z40">
        <v>263.71</v>
      </c>
      <c r="AA40">
        <v>376.72</v>
      </c>
      <c r="AB40">
        <v>376.72</v>
      </c>
      <c r="AC40">
        <v>3.5</v>
      </c>
      <c r="AD40" t="str">
        <v>070202</v>
      </c>
      <c r="AE40" t="str">
        <v>Execução por empreitada de obras de construção civil e elétrica – adequação de infraestrutura, instalação e montagem de equipamentos de rede de telefonia celular, conforme pedidos de compra abaixo: PO: 6211HG3360340-3594 LINE: 2 MUNICIPIO: MARECHAL DEODORO / AL MATERIAL: SERVIÇO: 7534.49 BASE DE CÁLCULO ISS: 7534.49 BASE DE CÁLCULO INSS: 7534.49 Retenções ISS 5% Município: MARECHAL DEODORO / AL Retenções INSS 3.5% NFS-e: O ISS desta NFS-e será retido pelo tomador de serviço.</v>
      </c>
      <c r="AF40">
        <v>5</v>
      </c>
      <c r="AG40">
        <v>2</v>
      </c>
      <c r="AH40" t="b">
        <v>0</v>
      </c>
      <c r="AI40">
        <v>2</v>
      </c>
      <c r="AJ40">
        <v>1</v>
      </c>
      <c r="AK40" t="str">
        <v>06175128000172</v>
      </c>
      <c r="AL40" t="str">
        <v>57020000</v>
      </c>
      <c r="AM40" t="str">
        <v>Rua do Comércio</v>
      </c>
      <c r="AN40" t="str">
        <v>12</v>
      </c>
      <c r="AO40" t="str">
        <v>Centro</v>
      </c>
      <c r="AP40" t="str">
        <v>AL</v>
      </c>
      <c r="AQ40" t="str">
        <v>2704302</v>
      </c>
      <c r="AR40" t="str">
        <v>PFW</v>
      </c>
    </row>
    <row r="41">
      <c r="A41" t="str">
        <v>Huawei Gestao e Servicos de Telecomunicacoes do Brasil Ltda</v>
      </c>
      <c r="B41" t="str">
        <v>Huawei Gestao e Servicos de Telecomunicacoes do Brasil Ltda</v>
      </c>
      <c r="C41" t="str">
        <v>10.519.123/0001-97</v>
      </c>
      <c r="D41" t="str">
        <v>huawei@slgestao.com</v>
      </c>
      <c r="E41" t="str">
        <v>Avenida Jerome Case</v>
      </c>
      <c r="F41" t="str">
        <v>2600</v>
      </c>
      <c r="G41" t="str">
        <v>Galpão A3 A9 Quadra 25 Lote 7/A</v>
      </c>
      <c r="H41" t="str">
        <v>Sorocaba</v>
      </c>
      <c r="I41" t="str">
        <v>3552205</v>
      </c>
      <c r="J41" t="str">
        <v>Eden</v>
      </c>
      <c r="K41" t="str">
        <v>SP</v>
      </c>
      <c r="L41" t="str">
        <v>(11) 3930-8580</v>
      </c>
      <c r="M41" t="str">
        <v>18087-220</v>
      </c>
      <c r="N41" t="str">
        <v/>
      </c>
      <c r="O41" s="1">
        <f>=TODAY()</f>
      </c>
      <c r="P41" t="str">
        <v>6211HG3360340-3596-1-10519123000197</v>
      </c>
      <c r="Q41" t="str">
        <v>10519123000197</v>
      </c>
      <c r="R41" t="str">
        <v>PO: 6211HG3360340-3596 Line 1  PO: 6211HG3360340-3596 Line 2  PO: 6211HG3360340-3596 Line 3</v>
      </c>
      <c r="S41" t="str">
        <v>1</v>
      </c>
      <c r="T41" t="str">
        <v>BOM CONSELHO</v>
      </c>
      <c r="U41" t="str">
        <v>PE</v>
      </c>
      <c r="V41" t="str">
        <v>2602100</v>
      </c>
      <c r="W41">
        <v>541.08</v>
      </c>
      <c r="X41">
        <v>591.3459999999999</v>
      </c>
      <c r="Y41" t="str">
        <v/>
      </c>
      <c r="Z41">
        <v>20.7</v>
      </c>
      <c r="AA41">
        <v>29.57</v>
      </c>
      <c r="AB41">
        <v>29.57</v>
      </c>
      <c r="AC41">
        <v>3.5</v>
      </c>
      <c r="AD41" t="str">
        <v>070202</v>
      </c>
      <c r="AE41" t="str">
        <v>Execução por empreitada de obras de construção civil e elétrica – adequação de infraestrutura, instalação e montagem de equipamentos de rede de telefonia celular, conforme pedidos de compra abaixo: PO: 6211HG3360340-3596 LINE: 1 MUNICIPIO: BOM CONSELHO / PE MATERIAL: SERVIÇO: 591.35 BASE DE CÁLCULO ISS: 591.35 BASE DE CÁLCULO INSS: 591.35 Retenções ISS 5% Município: BOM CONSELHO / PE Retenções INSS 3.5% NFS-e: O ISS desta NFS-e será retido pelo tomador de serviço.</v>
      </c>
      <c r="AF41">
        <v>5</v>
      </c>
      <c r="AG41">
        <v>2</v>
      </c>
      <c r="AH41" t="b">
        <v>0</v>
      </c>
      <c r="AI41">
        <v>2</v>
      </c>
      <c r="AJ41">
        <v>1</v>
      </c>
      <c r="AK41" t="str">
        <v>06175128000172</v>
      </c>
      <c r="AL41" t="str">
        <v>55330000</v>
      </c>
      <c r="AM41" t="str">
        <v>Rua Santa Terezinha</v>
      </c>
      <c r="AN41" t="str">
        <v>SN</v>
      </c>
      <c r="AO41" t="str">
        <v>Zona Rural</v>
      </c>
      <c r="AP41" t="str">
        <v>PE</v>
      </c>
      <c r="AQ41" t="str">
        <v>2602100</v>
      </c>
      <c r="AR41" t="str">
        <v>BOC</v>
      </c>
    </row>
    <row r="42">
      <c r="A42" t="str">
        <v>Huawei Gestao e Servicos de Telecomunicacoes do Brasil Ltda</v>
      </c>
      <c r="B42" t="str">
        <v>Huawei Gestao e Servicos de Telecomunicacoes do Brasil Ltda</v>
      </c>
      <c r="C42" t="str">
        <v>10.519.123/0001-97</v>
      </c>
      <c r="D42" t="str">
        <v>huawei@slgestao.com</v>
      </c>
      <c r="E42" t="str">
        <v>Avenida Jerome Case</v>
      </c>
      <c r="F42" t="str">
        <v>2600</v>
      </c>
      <c r="G42" t="str">
        <v>Galpão A3 A9 Quadra 25 Lote 7/A</v>
      </c>
      <c r="H42" t="str">
        <v>Sorocaba</v>
      </c>
      <c r="I42" t="str">
        <v>3552205</v>
      </c>
      <c r="J42" t="str">
        <v>Eden</v>
      </c>
      <c r="K42" t="str">
        <v>SP</v>
      </c>
      <c r="L42" t="str">
        <v>(11) 3930-8580</v>
      </c>
      <c r="M42" t="str">
        <v>18087-220</v>
      </c>
      <c r="N42" t="str">
        <v/>
      </c>
      <c r="O42" s="1">
        <f>=TODAY()</f>
      </c>
      <c r="P42" t="str">
        <v>6211HG3360338-936-1-10519123000197</v>
      </c>
      <c r="Q42" t="str">
        <v>10519123000197</v>
      </c>
      <c r="R42" t="str">
        <v>PO: 6211HG3360338-936 Line 1  PO: 6211HG3360338-936 Line 2  PO: 6211HG3360338-934 Line 1  PO: 6211HG3360338-934 Line 2</v>
      </c>
      <c r="S42" t="str">
        <v>1</v>
      </c>
      <c r="T42" t="str">
        <v>CARAGUATATUBA</v>
      </c>
      <c r="U42" t="str">
        <v>SP</v>
      </c>
      <c r="V42" t="str">
        <v>3510500</v>
      </c>
      <c r="W42">
        <v>588.2</v>
      </c>
      <c r="X42">
        <v>635.896</v>
      </c>
      <c r="Y42" t="str">
        <v/>
      </c>
      <c r="Z42">
        <v>22.26</v>
      </c>
      <c r="AA42">
        <v>25.44</v>
      </c>
      <c r="AB42">
        <v>25.44</v>
      </c>
      <c r="AC42">
        <v>3.5</v>
      </c>
      <c r="AD42" t="str">
        <v>070202</v>
      </c>
      <c r="AE42" t="str">
        <v>Execução por empreitada de obras de construção civil e elétrica – adequação de infraestrutura, instalação e montagem de equipamentos de rede de telefonia celular, conforme pedidos de compra abaixo: PO: 6211HG3360338-936 LINE: 1 MUNICIPIO: CARAGUATATUBA / SP MATERIAL: SERVIÇO: 635.90 BASE DE CÁLCULO ISS: 635.90 BASE DE CÁLCULO INSS: 635.90 Retenções ISS 4% Município: CARAGUATATUBA / SP Retenções INSS 3.5% NFS-e: O ISS desta NFS-e será retido pelo tomador de serviço.</v>
      </c>
      <c r="AF42">
        <v>4</v>
      </c>
      <c r="AG42">
        <v>2</v>
      </c>
      <c r="AH42" t="b">
        <v>0</v>
      </c>
      <c r="AI42">
        <v>2</v>
      </c>
      <c r="AJ42">
        <v>1</v>
      </c>
      <c r="AK42" t="str">
        <v>06175128000172</v>
      </c>
      <c r="AL42" t="str">
        <v>11676003</v>
      </c>
      <c r="AM42" t="str">
        <v>Rua Dois</v>
      </c>
      <c r="AN42" t="str">
        <v>32</v>
      </c>
      <c r="AO42" t="str">
        <v>Jardim Santa Rosa</v>
      </c>
      <c r="AP42" t="str">
        <v>SP</v>
      </c>
      <c r="AQ42" t="str">
        <v>3510500</v>
      </c>
      <c r="AR42" t="str">
        <v>CW1</v>
      </c>
    </row>
    <row r="43">
      <c r="A43" t="str">
        <v>Huawei Gestao e Servicos de Telecomunicacoes do Brasil Ltda</v>
      </c>
      <c r="B43" t="str">
        <v>Huawei Gestao e Servicos de Telecomunicacoes do Brasil Ltda</v>
      </c>
      <c r="C43" t="str">
        <v>10.519.123/0001-97</v>
      </c>
      <c r="D43" t="str">
        <v>huawei@slgestao.com</v>
      </c>
      <c r="E43" t="str">
        <v>Avenida Jerome Case</v>
      </c>
      <c r="F43" t="str">
        <v>2600</v>
      </c>
      <c r="G43" t="str">
        <v>Galpão A3 A9 Quadra 25 Lote 7/A</v>
      </c>
      <c r="H43" t="str">
        <v>Sorocaba</v>
      </c>
      <c r="I43" t="str">
        <v>3552205</v>
      </c>
      <c r="J43" t="str">
        <v>Eden</v>
      </c>
      <c r="K43" t="str">
        <v>SP</v>
      </c>
      <c r="L43" t="str">
        <v>(11) 3930-8580</v>
      </c>
      <c r="M43" t="str">
        <v>18087-220</v>
      </c>
      <c r="N43" t="str">
        <v/>
      </c>
      <c r="O43" s="1">
        <f>=TODAY()</f>
      </c>
      <c r="P43" t="str">
        <v>6211HG3360342-1029-1-10519123000197</v>
      </c>
      <c r="Q43" t="str">
        <v>10519123000197</v>
      </c>
      <c r="R43" t="str">
        <v>PO: 6211HG3360342-1029 Line 1  PO: 6211HG3360342-1029 Line 1</v>
      </c>
      <c r="S43" t="str">
        <v>1</v>
      </c>
      <c r="T43" t="str">
        <v>PIRES DO RIO</v>
      </c>
      <c r="U43" t="str">
        <v>GO</v>
      </c>
      <c r="V43" t="str">
        <v>5217401</v>
      </c>
      <c r="W43">
        <v>381.82</v>
      </c>
      <c r="X43">
        <v>417.28000000000003</v>
      </c>
      <c r="Y43" t="str">
        <v/>
      </c>
      <c r="Z43">
        <v>14.6</v>
      </c>
      <c r="AA43">
        <v>20.86</v>
      </c>
      <c r="AB43">
        <v>20.86</v>
      </c>
      <c r="AC43">
        <v>3.5</v>
      </c>
      <c r="AD43" t="str">
        <v>070202</v>
      </c>
      <c r="AE43" t="str">
        <v>Execução por empreitada de obras de construção civil e elétrica – adequação de infraestrutura, instalação e montagem de equipamentos de rede de telefonia celular, conforme pedidos de compra abaixo: PO: 6211HG3360342-1029 LINE: 1 MUNICIPIO: PIRES DO RIO / GO MATERIAL: SERVIÇO: 417.28 BASE DE CÁLCULO ISS: 417.28 BASE DE CÁLCULO INSS: 417.28 Retenções ISS 5% Município: PIRES DO RIO / GO Retenções INSS 3.5% NFS-e: O ISS desta NFS-e será retido pelo tomador de serviço.</v>
      </c>
      <c r="AF43">
        <v>5</v>
      </c>
      <c r="AG43">
        <v>2</v>
      </c>
      <c r="AH43" t="b">
        <v>0</v>
      </c>
      <c r="AI43">
        <v>2</v>
      </c>
      <c r="AJ43">
        <v>1</v>
      </c>
      <c r="AK43" t="str">
        <v>06175128000172</v>
      </c>
      <c r="AL43" t="str">
        <v>75200000</v>
      </c>
      <c r="AM43" t="str">
        <v>Rua Manoel Goncalves de Araujo</v>
      </c>
      <c r="AN43" t="str">
        <v>29</v>
      </c>
      <c r="AO43" t="str">
        <v>Centro</v>
      </c>
      <c r="AP43" t="str">
        <v>GO</v>
      </c>
      <c r="AQ43" t="str">
        <v>5217401</v>
      </c>
      <c r="AR43" t="str">
        <v>PIR</v>
      </c>
    </row>
    <row r="44">
      <c r="A44" t="str">
        <v>Huawei Gestao e Servicos de Telecomunicacoes do Brasil Ltda</v>
      </c>
      <c r="B44" t="str">
        <v>Huawei Gestao e Servicos de Telecomunicacoes do Brasil Ltda</v>
      </c>
      <c r="C44" t="str">
        <v>10.519.123/0001-97</v>
      </c>
      <c r="D44" t="str">
        <v>huawei@slgestao.com</v>
      </c>
      <c r="E44" t="str">
        <v>Avenida Jerome Case</v>
      </c>
      <c r="F44" t="str">
        <v>2600</v>
      </c>
      <c r="G44" t="str">
        <v>Galpão A3 A9 Quadra 25 Lote 7/A</v>
      </c>
      <c r="H44" t="str">
        <v>Sorocaba</v>
      </c>
      <c r="I44" t="str">
        <v>3552205</v>
      </c>
      <c r="J44" t="str">
        <v>Eden</v>
      </c>
      <c r="K44" t="str">
        <v>SP</v>
      </c>
      <c r="L44" t="str">
        <v>(11) 3930-8580</v>
      </c>
      <c r="M44" t="str">
        <v>18087-220</v>
      </c>
      <c r="N44" t="str">
        <v/>
      </c>
      <c r="O44" s="1">
        <f>=TODAY()</f>
      </c>
      <c r="P44" t="str">
        <v>6211HG3360340-3790-1-10519123000197</v>
      </c>
      <c r="Q44" t="str">
        <v>10519123000197</v>
      </c>
      <c r="R44" t="str">
        <v>PO: 6211HG3360340-3790 Line 1</v>
      </c>
      <c r="S44" t="str">
        <v>1</v>
      </c>
      <c r="T44" t="str">
        <v>FORTALEZA</v>
      </c>
      <c r="U44" t="str">
        <v>CE</v>
      </c>
      <c r="V44" t="str">
        <v>2304400</v>
      </c>
      <c r="W44">
        <v>5384.29</v>
      </c>
      <c r="X44">
        <v>5758.596</v>
      </c>
      <c r="Y44" t="str">
        <v/>
      </c>
      <c r="Z44">
        <v>201.55</v>
      </c>
      <c r="AA44">
        <v>172.76</v>
      </c>
      <c r="AB44">
        <v>172.76</v>
      </c>
      <c r="AC44">
        <v>3.5</v>
      </c>
      <c r="AD44" t="str">
        <v>070202</v>
      </c>
      <c r="AE44" t="str">
        <v>Execução por empreitada de obras de construção civil e elétrica – adequação de infraestrutura, instalação e montagem de equipamentos de rede de telefonia celular, conforme pedidos de compra abaixo: PO: 6211HG3360340-3790 LINE: 1 MUNICIPIO: FORTALEZA / CE MATERIAL: SERVIÇO: 5758.60 BASE DE CÁLCULO ISS: 5758.60 BASE DE CÁLCULO INSS: 5758.60 Retenções ISS 3% Município: FORTALEZA / CE Retenções INSS 3.5% NFS-e: O ISS desta NFS-e será retido pelo tomador de serviço.</v>
      </c>
      <c r="AF44">
        <v>3</v>
      </c>
      <c r="AG44">
        <v>2</v>
      </c>
      <c r="AH44" t="b">
        <v>0</v>
      </c>
      <c r="AI44">
        <v>2</v>
      </c>
      <c r="AJ44">
        <v>1</v>
      </c>
      <c r="AK44" t="str">
        <v>06175128000172</v>
      </c>
      <c r="AL44" t="str">
        <v>60745510</v>
      </c>
      <c r="AM44" t="str">
        <v>Avenida II</v>
      </c>
      <c r="AN44" t="str">
        <v>SN</v>
      </c>
      <c r="AO44" t="str">
        <v>Parque Dois Irmãos</v>
      </c>
      <c r="AP44" t="str">
        <v>CE</v>
      </c>
      <c r="AQ44" t="str">
        <v>2304400</v>
      </c>
      <c r="AR44" t="str">
        <v>BZM</v>
      </c>
    </row>
    <row r="45">
      <c r="A45" t="str">
        <v>Huawei Gestao e Servicos de Telecomunicacoes do Brasil Ltda</v>
      </c>
      <c r="B45" t="str">
        <v>Huawei Gestao e Servicos de Telecomunicacoes do Brasil Ltda</v>
      </c>
      <c r="C45" t="str">
        <v>10.519.123/0001-97</v>
      </c>
      <c r="D45" t="str">
        <v>huawei@slgestao.com</v>
      </c>
      <c r="E45" t="str">
        <v>Avenida Jerome Case</v>
      </c>
      <c r="F45" t="str">
        <v>2600</v>
      </c>
      <c r="G45" t="str">
        <v>Galpão A3 A9 Quadra 25 Lote 7/A</v>
      </c>
      <c r="H45" t="str">
        <v>Sorocaba</v>
      </c>
      <c r="I45" t="str">
        <v>3552205</v>
      </c>
      <c r="J45" t="str">
        <v>Eden</v>
      </c>
      <c r="K45" t="str">
        <v>SP</v>
      </c>
      <c r="L45" t="str">
        <v>(11) 3930-8580</v>
      </c>
      <c r="M45" t="str">
        <v>18087-220</v>
      </c>
      <c r="N45" t="str">
        <v/>
      </c>
      <c r="O45" s="1">
        <f>=TODAY()</f>
      </c>
      <c r="P45" t="str">
        <v>6211HG3360340-3370-2-10519123000197</v>
      </c>
      <c r="Q45" t="str">
        <v>10519123000197</v>
      </c>
      <c r="R45" t="str">
        <v>PO: 6211HG3360340-3370 Line 2  PO: 6211HG3360340-3370 Line 3</v>
      </c>
      <c r="S45" t="str">
        <v>2</v>
      </c>
      <c r="T45" t="str">
        <v>SOROCABA</v>
      </c>
      <c r="U45" t="str">
        <v>BM</v>
      </c>
      <c r="V45" t="str">
        <v/>
      </c>
      <c r="W45">
        <v>528.73</v>
      </c>
      <c r="X45">
        <v>547.914</v>
      </c>
      <c r="Y45" t="str">
        <v/>
      </c>
      <c r="Z45">
        <v>19.18</v>
      </c>
      <c r="AA45">
        <v>0</v>
      </c>
      <c r="AB45">
        <v>0</v>
      </c>
      <c r="AC45">
        <v>3.5</v>
      </c>
      <c r="AD45" t="str">
        <v>070202</v>
      </c>
      <c r="AE45" t="str">
        <v>Execução por empreitada de obras de construção civil e elétrica – adequação de infraestrutura, instalação e montagem de equipamentos de rede de telefonia celular, conforme pedidos de compra abaixo: PO: 6211HG3360340-3370 LINE: 2 MUNICIPIO: SOROCABA / BM MATERIAL: SERVIÇO: 547.91 BASE DE CÁLCULO ISS: 547.91 BASE DE CÁLCULO INSS: 547.91 Retenções ISS % Município: SOROCABA / BM Retenções INSS 3.5% NFS-e: O ISS desta NFS-e será retido pelo tomador de serviço.</v>
      </c>
      <c r="AF45" t="str">
        <v/>
      </c>
      <c r="AG45">
        <v>2</v>
      </c>
      <c r="AH45" t="b">
        <v>0</v>
      </c>
      <c r="AI45">
        <v>2</v>
      </c>
      <c r="AJ45">
        <v>1</v>
      </c>
      <c r="AK45" t="str">
        <v>06175128000172</v>
      </c>
      <c r="AL45" t="str">
        <v>45690000</v>
      </c>
      <c r="AM45" t="str">
        <v>Rua Projetada</v>
      </c>
      <c r="AN45" t="str">
        <v>SN</v>
      </c>
      <c r="AO45" t="str">
        <v>Zona Rural</v>
      </c>
      <c r="AP45" t="str">
        <v>BA</v>
      </c>
      <c r="AQ45" t="str">
        <v>2932507</v>
      </c>
      <c r="AR45" t="str">
        <v>BAUNA07</v>
      </c>
    </row>
    <row r="46">
      <c r="A46" t="str">
        <v>Huawei Gestao e Servicos de Telecomunicacoes do Brasil Ltda</v>
      </c>
      <c r="B46" t="str">
        <v>Huawei Gestao e Servicos de Telecomunicacoes do Brasil Ltda</v>
      </c>
      <c r="C46" t="str">
        <v>10.519.123/0001-97</v>
      </c>
      <c r="D46" t="str">
        <v>huawei@slgestao.com</v>
      </c>
      <c r="E46" t="str">
        <v>Avenida Jerome Case</v>
      </c>
      <c r="F46" t="str">
        <v>2600</v>
      </c>
      <c r="G46" t="str">
        <v>Galpão A3 A9 Quadra 25 Lote 7/A</v>
      </c>
      <c r="H46" t="str">
        <v>Sorocaba</v>
      </c>
      <c r="I46" t="str">
        <v>3552205</v>
      </c>
      <c r="J46" t="str">
        <v>Eden</v>
      </c>
      <c r="K46" t="str">
        <v>SP</v>
      </c>
      <c r="L46" t="str">
        <v>(11) 3930-8580</v>
      </c>
      <c r="M46" t="str">
        <v>18087-220</v>
      </c>
      <c r="N46" t="str">
        <v/>
      </c>
      <c r="O46" s="1">
        <f>=TODAY()</f>
      </c>
      <c r="P46" t="str">
        <v>6211HG3360340-1066-1-10519123000197</v>
      </c>
      <c r="Q46" t="str">
        <v>10519123000197</v>
      </c>
      <c r="R46" t="str">
        <v>PO: 6211HG3360340-1066 Line 1  PO: 6211HG3360340-1066 Line 3  PO: 6211HG3360340-1081 Line 1  PO: 6211HG3360340-1081 Line 3</v>
      </c>
      <c r="S46" t="str">
        <v>1</v>
      </c>
      <c r="T46" t="str">
        <v>LAURO DE FREITAS</v>
      </c>
      <c r="U46" t="str">
        <v>BA</v>
      </c>
      <c r="V46" t="str">
        <v>2919207</v>
      </c>
      <c r="W46">
        <v>947.88</v>
      </c>
      <c r="X46">
        <v>1035.9360000000001</v>
      </c>
      <c r="Y46" t="str">
        <v/>
      </c>
      <c r="Z46">
        <v>36.26</v>
      </c>
      <c r="AA46">
        <v>51.8</v>
      </c>
      <c r="AB46">
        <v>51.8</v>
      </c>
      <c r="AC46">
        <v>3.5</v>
      </c>
      <c r="AD46" t="str">
        <v>070202</v>
      </c>
      <c r="AE46" t="str">
        <v>Execução por empreitada de obras de construção civil e elétrica – adequação de infraestrutura, instalação e montagem de equipamentos de rede de telefonia celular, conforme pedidos de compra abaixo: PO: 6211HG3360340-1066 LINE: 1 MUNICIPIO: LAURO DE FREITAS / BA MATERIAL: SERVIÇO: 1035.94 BASE DE CÁLCULO ISS: 1035.94 BASE DE CÁLCULO INSS: 1035.94 Retenções ISS 5% Município: LAURO DE FREITAS / BA Retenções INSS 3.5% NFS-e: O ISS desta NFS-e será retido pelo tomador de serviço.</v>
      </c>
      <c r="AF46">
        <v>5</v>
      </c>
      <c r="AG46">
        <v>2</v>
      </c>
      <c r="AH46" t="b">
        <v>0</v>
      </c>
      <c r="AI46">
        <v>2</v>
      </c>
      <c r="AJ46">
        <v>1</v>
      </c>
      <c r="AK46" t="str">
        <v>06175128000172</v>
      </c>
      <c r="AL46" t="str">
        <v>42702400</v>
      </c>
      <c r="AM46" t="str">
        <v>Avenida Santos Dumont</v>
      </c>
      <c r="AN46" t="str">
        <v>989</v>
      </c>
      <c r="AO46" t="str">
        <v>Centro</v>
      </c>
      <c r="AP46" t="str">
        <v>BA</v>
      </c>
      <c r="AQ46" t="str">
        <v>2919207</v>
      </c>
      <c r="AR46" t="str">
        <v>BAITA90</v>
      </c>
    </row>
    <row r="47">
      <c r="A47" t="str">
        <v>Huawei Gestao e Servicos de Telecomunicacoes do Brasil Ltda</v>
      </c>
      <c r="B47" t="str">
        <v>Huawei Gestao e Servicos de Telecomunicacoes do Brasil Ltda</v>
      </c>
      <c r="C47" t="str">
        <v>10.519.123/0001-97</v>
      </c>
      <c r="D47" t="str">
        <v>huawei@slgestao.com</v>
      </c>
      <c r="E47" t="str">
        <v>Avenida Jerome Case</v>
      </c>
      <c r="F47" t="str">
        <v>2600</v>
      </c>
      <c r="G47" t="str">
        <v>Galpão A3 A9 Quadra 25 Lote 7/A</v>
      </c>
      <c r="H47" t="str">
        <v>Sorocaba</v>
      </c>
      <c r="I47" t="str">
        <v>3552205</v>
      </c>
      <c r="J47" t="str">
        <v>Eden</v>
      </c>
      <c r="K47" t="str">
        <v>SP</v>
      </c>
      <c r="L47" t="str">
        <v>(11) 3930-8580</v>
      </c>
      <c r="M47" t="str">
        <v>18087-220</v>
      </c>
      <c r="N47" t="str">
        <v/>
      </c>
      <c r="O47" s="1">
        <f>=TODAY()</f>
      </c>
      <c r="P47" t="str">
        <v>6211HG3360342-653-1-10519123000197</v>
      </c>
      <c r="Q47" t="str">
        <v>10519123000197</v>
      </c>
      <c r="R47" t="str">
        <v>PO: 6211HG3360342-653 Line 1  PO: 6211HG3360342-653 Line 2</v>
      </c>
      <c r="S47" t="str">
        <v>1</v>
      </c>
      <c r="T47" t="str">
        <v>GOIANIA</v>
      </c>
      <c r="U47" t="str">
        <v>GO</v>
      </c>
      <c r="V47" t="str">
        <v>5201405</v>
      </c>
      <c r="W47">
        <v>67.84</v>
      </c>
      <c r="X47">
        <v>74.137</v>
      </c>
      <c r="Y47" t="str">
        <v/>
      </c>
      <c r="Z47">
        <v>2.59</v>
      </c>
      <c r="AA47">
        <v>3.71</v>
      </c>
      <c r="AB47">
        <v>3.71</v>
      </c>
      <c r="AC47">
        <v>3.5</v>
      </c>
      <c r="AD47" t="str">
        <v>070202</v>
      </c>
      <c r="AE47" t="str">
        <v>Execução por empreitada de obras de construção civil e elétrica – adequação de infraestrutura, instalação e montagem de equipamentos de rede de telefonia celular, conforme pedidos de compra abaixo: PO: 6211HG3360342-653 LINE: 1 MUNICIPIO: GOIANIA / GO MATERIAL: SERVIÇO: 74.14 BASE DE CÁLCULO ISS: 74.14 BASE DE CÁLCULO INSS: 74.14 Retenções ISS 5% Município: GOIANIA / GO Retenções INSS 3.5% NFS-e: O ISS desta NFS-e será retido pelo tomador de serviço.</v>
      </c>
      <c r="AF47">
        <v>5</v>
      </c>
      <c r="AG47">
        <v>2</v>
      </c>
      <c r="AH47" t="b">
        <v>0</v>
      </c>
      <c r="AI47">
        <v>2</v>
      </c>
      <c r="AJ47">
        <v>1</v>
      </c>
      <c r="AK47" t="str">
        <v>06175128000172</v>
      </c>
      <c r="AL47" t="str">
        <v>74583050</v>
      </c>
      <c r="AM47" t="str">
        <v>TRAJANO DE SÁ GUIMARÃES QUADRA 03</v>
      </c>
      <c r="AN47" t="str">
        <v>S/N</v>
      </c>
      <c r="AO47" t="str">
        <v>VILA MARIA DILCE</v>
      </c>
      <c r="AP47" t="str">
        <v>GO</v>
      </c>
      <c r="AQ47" t="str">
        <v/>
      </c>
      <c r="AR47" t="str">
        <v>GOGNAM6</v>
      </c>
    </row>
    <row r="48">
      <c r="A48" t="str">
        <v>Huawei Gestao e Servicos de Telecomunicacoes do Brasil Ltda</v>
      </c>
      <c r="B48" t="str">
        <v>Huawei Gestao e Servicos de Telecomunicacoes do Brasil Ltda</v>
      </c>
      <c r="C48" t="str">
        <v>10.519.123/0001-97</v>
      </c>
      <c r="D48" t="str">
        <v>huawei@slgestao.com</v>
      </c>
      <c r="E48" t="str">
        <v>Avenida Jerome Case</v>
      </c>
      <c r="F48" t="str">
        <v>2600</v>
      </c>
      <c r="G48" t="str">
        <v>Galpão A3 A9 Quadra 25 Lote 7/A</v>
      </c>
      <c r="H48" t="str">
        <v>Sorocaba</v>
      </c>
      <c r="I48" t="str">
        <v>3552205</v>
      </c>
      <c r="J48" t="str">
        <v>Eden</v>
      </c>
      <c r="K48" t="str">
        <v>SP</v>
      </c>
      <c r="L48" t="str">
        <v>(11) 3930-8580</v>
      </c>
      <c r="M48" t="str">
        <v>18087-220</v>
      </c>
      <c r="N48" t="str">
        <v/>
      </c>
      <c r="O48" s="1">
        <f>=TODAY()</f>
      </c>
      <c r="P48" t="str">
        <v>6211HG2963610-137-1-10519123000197</v>
      </c>
      <c r="Q48" t="str">
        <v>10519123000197</v>
      </c>
      <c r="R48" t="str">
        <v>PO: 6211HG2963610-137 Line 1  PO: 6211HG2963610-137 Line 2</v>
      </c>
      <c r="S48" t="str">
        <v>1</v>
      </c>
      <c r="T48" t="str">
        <v>ITAPIPOCA</v>
      </c>
      <c r="U48" t="str">
        <v>CE</v>
      </c>
      <c r="V48" t="str">
        <v>2306405</v>
      </c>
      <c r="W48">
        <v>183.23</v>
      </c>
      <c r="X48">
        <v>200.252</v>
      </c>
      <c r="Y48" t="str">
        <v/>
      </c>
      <c r="Z48">
        <v>7.01</v>
      </c>
      <c r="AA48">
        <v>10.01</v>
      </c>
      <c r="AB48">
        <v>10.01</v>
      </c>
      <c r="AC48">
        <v>3.5</v>
      </c>
      <c r="AD48" t="str">
        <v>070202</v>
      </c>
      <c r="AE48" t="str">
        <v>Execução por empreitada de obras de construção civil e elétrica – adequação de infraestrutura, instalação e montagem de equipamentos de rede de telefonia celular, conforme pedidos de compra abaixo: PO: 6211HG2963610-137 LINE: 1 MUNICIPIO: ITAPIPOCA / CE MATERIAL: SERVIÇO: 200.25 BASE DE CÁLCULO ISS: 200.25 BASE DE CÁLCULO INSS: 200.25 Retenções ISS 5% Município: ITAPIPOCA / CE Retenções INSS 3.5% NFS-e: O ISS desta NFS-e será retido pelo tomador de serviço.</v>
      </c>
      <c r="AF48">
        <v>5</v>
      </c>
      <c r="AG48">
        <v>2</v>
      </c>
      <c r="AH48" t="b">
        <v>0</v>
      </c>
      <c r="AI48">
        <v>2</v>
      </c>
      <c r="AJ48">
        <v>1</v>
      </c>
      <c r="AK48" t="str">
        <v>06175128000172</v>
      </c>
      <c r="AL48" t="str">
        <v>62509899</v>
      </c>
      <c r="AM48" t="str">
        <v>RURAL</v>
      </c>
      <c r="AN48" t="str">
        <v>S/N</v>
      </c>
      <c r="AO48" t="str">
        <v>AREA RURAL</v>
      </c>
      <c r="AP48" t="str">
        <v>CE</v>
      </c>
      <c r="AQ48" t="str">
        <v/>
      </c>
      <c r="AR48" t="str">
        <v>CEIOP11</v>
      </c>
    </row>
    <row r="49">
      <c r="A49" t="str">
        <v>Huawei Gestao e Servicos de Telecomunicacoes do Brasil Ltda</v>
      </c>
      <c r="B49" t="str">
        <v>Huawei Gestao e Servicos de Telecomunicacoes do Brasil Ltda</v>
      </c>
      <c r="C49" t="str">
        <v>10.519.123/0001-97</v>
      </c>
      <c r="D49" t="str">
        <v>huawei@slgestao.com</v>
      </c>
      <c r="E49" t="str">
        <v>Avenida Jerome Case</v>
      </c>
      <c r="F49" t="str">
        <v>2600</v>
      </c>
      <c r="G49" t="str">
        <v>Galpão A3 A9 Quadra 25 Lote 7/A</v>
      </c>
      <c r="H49" t="str">
        <v>Sorocaba</v>
      </c>
      <c r="I49" t="str">
        <v>3552205</v>
      </c>
      <c r="J49" t="str">
        <v>Eden</v>
      </c>
      <c r="K49" t="str">
        <v>SP</v>
      </c>
      <c r="L49" t="str">
        <v>(11) 3930-8580</v>
      </c>
      <c r="M49" t="str">
        <v>18087-220</v>
      </c>
      <c r="N49" t="str">
        <v/>
      </c>
      <c r="O49" s="1">
        <f>=TODAY()</f>
      </c>
      <c r="P49" t="str">
        <v>6211HG3360342-617-3-10519123000197</v>
      </c>
      <c r="Q49" t="str">
        <v>10519123000197</v>
      </c>
      <c r="R49" t="str">
        <v>PO: 6211HG3360342-617 Line 3  PO: 6211HG3360342-620 Line 1  PO: 6211HG3360342-620 Line 3  PO: 6211HG3360342-617 Line 2  PO: 6211HG3360342-620 Line 2</v>
      </c>
      <c r="S49" t="str">
        <v>3</v>
      </c>
      <c r="T49" t="str">
        <v>CRISTALINA</v>
      </c>
      <c r="U49" t="str">
        <v>GO</v>
      </c>
      <c r="V49" t="str">
        <v>5206206</v>
      </c>
      <c r="W49">
        <v>673.76</v>
      </c>
      <c r="X49">
        <v>736.3459999999999</v>
      </c>
      <c r="Y49" t="str">
        <v/>
      </c>
      <c r="Z49">
        <v>25.77</v>
      </c>
      <c r="AA49">
        <v>36.82</v>
      </c>
      <c r="AB49">
        <v>36.82</v>
      </c>
      <c r="AC49">
        <v>3.5</v>
      </c>
      <c r="AD49" t="str">
        <v>070202</v>
      </c>
      <c r="AE49" t="str">
        <v>Execução por empreitada de obras de construção civil e elétrica – adequação de infraestrutura, instalação e montagem de equipamentos de rede de telefonia celular, conforme pedidos de compra abaixo: PO: 6211HG3360342-617 LINE: 3 MUNICIPIO: CRISTALINA / GO MATERIAL: SERVIÇO: 736.35 BASE DE CÁLCULO ISS: 736.35 BASE DE CÁLCULO INSS: 736.35 Retenções ISS 5% Município: CRISTALINA / GO Retenções INSS 3.5% NFS-e: O ISS desta NFS-e será retido pelo tomador de serviço.</v>
      </c>
      <c r="AF49">
        <v>5</v>
      </c>
      <c r="AG49">
        <v>2</v>
      </c>
      <c r="AH49" t="b">
        <v>0</v>
      </c>
      <c r="AI49">
        <v>2</v>
      </c>
      <c r="AJ49">
        <v>1</v>
      </c>
      <c r="AK49" t="str">
        <v>06175128000172</v>
      </c>
      <c r="AL49" t="str">
        <v>00000000</v>
      </c>
      <c r="AM49" t="str">
        <v>0</v>
      </c>
      <c r="AN49" t="str">
        <v>0</v>
      </c>
      <c r="AO49" t="str">
        <v>0</v>
      </c>
      <c r="AP49" t="str">
        <v>GO</v>
      </c>
      <c r="AQ49" t="str">
        <v/>
      </c>
      <c r="AR49" t="str">
        <v>GOCRT20</v>
      </c>
    </row>
    <row r="50">
      <c r="A50" t="str">
        <v>Huawei Gestao e Servicos de Telecomunicacoes do Brasil Ltda</v>
      </c>
      <c r="B50" t="str">
        <v>Huawei Gestao e Servicos de Telecomunicacoes do Brasil Ltda</v>
      </c>
      <c r="C50" t="str">
        <v>10.519.123/0001-97</v>
      </c>
      <c r="D50" t="str">
        <v>huawei@slgestao.com</v>
      </c>
      <c r="E50" t="str">
        <v>Avenida Jerome Case</v>
      </c>
      <c r="F50" t="str">
        <v>2600</v>
      </c>
      <c r="G50" t="str">
        <v>Galpão A3 A9 Quadra 25 Lote 7/A</v>
      </c>
      <c r="H50" t="str">
        <v>Sorocaba</v>
      </c>
      <c r="I50" t="str">
        <v>3552205</v>
      </c>
      <c r="J50" t="str">
        <v>Eden</v>
      </c>
      <c r="K50" t="str">
        <v>SP</v>
      </c>
      <c r="L50" t="str">
        <v>(11) 3930-8580</v>
      </c>
      <c r="M50" t="str">
        <v>18087-220</v>
      </c>
      <c r="N50" t="str">
        <v/>
      </c>
      <c r="O50" s="1">
        <f>=TODAY()</f>
      </c>
      <c r="P50" t="str">
        <v>6211HG3360340-3134-3-10519123000197</v>
      </c>
      <c r="Q50" t="str">
        <v>10519123000197</v>
      </c>
      <c r="R50" t="str">
        <v>PO: 6211HG3360340-3134 Line 3  PO: 6211HG3360340-3134 Line 1  PO: 6211HG3360340-3134 Line 2</v>
      </c>
      <c r="S50" t="str">
        <v>3</v>
      </c>
      <c r="T50" t="str">
        <v>MAMANGUAPE</v>
      </c>
      <c r="U50" t="str">
        <v>PB</v>
      </c>
      <c r="V50" t="str">
        <v>2505238</v>
      </c>
      <c r="W50">
        <v>3196.78</v>
      </c>
      <c r="X50">
        <v>3493.7459999999996</v>
      </c>
      <c r="Y50" t="str">
        <v/>
      </c>
      <c r="Z50">
        <v>122.28</v>
      </c>
      <c r="AA50">
        <v>174.69</v>
      </c>
      <c r="AB50">
        <v>174.69</v>
      </c>
      <c r="AC50">
        <v>3.5</v>
      </c>
      <c r="AD50" t="str">
        <v>070202</v>
      </c>
      <c r="AE50" t="str">
        <v>Execução por empreitada de obras de construção civil e elétrica – adequação de infraestrutura, instalação e montagem de equipamentos de rede de telefonia celular, conforme pedidos de compra abaixo: PO: 6211HG3360340-3134 LINE: 3 MUNICIPIO: MAMANGUAPE / PB MATERIAL: SERVIÇO: 3493.75 BASE DE CÁLCULO ISS: 3493.75 BASE DE CÁLCULO INSS: 3493.75 Retenções ISS 5% Município: MAMANGUAPE / PB Retenções INSS 3.5% NFS-e: O ISS desta NFS-e será retido pelo tomador de serviço.</v>
      </c>
      <c r="AF50">
        <v>5</v>
      </c>
      <c r="AG50">
        <v>2</v>
      </c>
      <c r="AH50" t="b">
        <v>0</v>
      </c>
      <c r="AI50">
        <v>2</v>
      </c>
      <c r="AJ50">
        <v>1</v>
      </c>
      <c r="AK50" t="str">
        <v>06175128000172</v>
      </c>
      <c r="AL50" t="str">
        <v>58280000</v>
      </c>
      <c r="AM50" t="str">
        <v>CORONEL LUIZ INÁCIO</v>
      </c>
      <c r="AN50" t="str">
        <v>256</v>
      </c>
      <c r="AO50" t="str">
        <v>CENTRO</v>
      </c>
      <c r="AP50" t="str">
        <v>PB</v>
      </c>
      <c r="AQ50" t="str">
        <v/>
      </c>
      <c r="AR50" t="str">
        <v>PBMME01</v>
      </c>
    </row>
    <row r="51">
      <c r="A51" t="str">
        <v>Huawei Gestao e Servicos de Telecomunicacoes do Brasil Ltda</v>
      </c>
      <c r="B51" t="str">
        <v>Huawei Gestao e Servicos de Telecomunicacoes do Brasil Ltda</v>
      </c>
      <c r="C51" t="str">
        <v>10.519.123/0001-97</v>
      </c>
      <c r="D51" t="str">
        <v>huawei@slgestao.com</v>
      </c>
      <c r="E51" t="str">
        <v>Avenida Jerome Case</v>
      </c>
      <c r="F51" t="str">
        <v>2600</v>
      </c>
      <c r="G51" t="str">
        <v>Galpão A3 A9 Quadra 25 Lote 7/A</v>
      </c>
      <c r="H51" t="str">
        <v>Sorocaba</v>
      </c>
      <c r="I51" t="str">
        <v>3552205</v>
      </c>
      <c r="J51" t="str">
        <v>Eden</v>
      </c>
      <c r="K51" t="str">
        <v>SP</v>
      </c>
      <c r="L51" t="str">
        <v>(11) 3930-8580</v>
      </c>
      <c r="M51" t="str">
        <v>18087-220</v>
      </c>
      <c r="N51" t="str">
        <v/>
      </c>
      <c r="O51" s="1">
        <f>=TODAY()</f>
      </c>
      <c r="P51" t="str">
        <v>6211HG3360340-2553-1-10519123000197</v>
      </c>
      <c r="Q51" t="str">
        <v>10519123000197</v>
      </c>
      <c r="R51" t="str">
        <v>PO: 6211HG3360340-2553 Line 1  PO: 6211HG3360340-2553 Line 2</v>
      </c>
      <c r="S51" t="str">
        <v>1</v>
      </c>
      <c r="T51" t="str">
        <v>PRADO</v>
      </c>
      <c r="U51" t="str">
        <v>BA</v>
      </c>
      <c r="V51" t="str">
        <v>2925501</v>
      </c>
      <c r="W51">
        <v>5012.75</v>
      </c>
      <c r="X51">
        <v>5478.408</v>
      </c>
      <c r="Y51" t="str">
        <v/>
      </c>
      <c r="Z51">
        <v>191.74</v>
      </c>
      <c r="AA51">
        <v>273.92</v>
      </c>
      <c r="AB51">
        <v>273.92</v>
      </c>
      <c r="AC51">
        <v>3.5</v>
      </c>
      <c r="AD51" t="str">
        <v>070202</v>
      </c>
      <c r="AE51" t="str">
        <v>Execução por empreitada de obras de construção civil e elétrica – adequação de infraestrutura, instalação e montagem de equipamentos de rede de telefonia celular, conforme pedidos de compra abaixo: PO: 6211HG3360340-2553 LINE: 1 MUNICIPIO: PRADO / BA MATERIAL: SERVIÇO: 5478.41 BASE DE CÁLCULO ISS: 5478.41 BASE DE CÁLCULO INSS: 5478.41 Retenções ISS 5% Município: PRADO / BA Retenções INSS 3.5% NFS-e: O ISS desta NFS-e será retido pelo tomador de serviço.</v>
      </c>
      <c r="AF51">
        <v>5</v>
      </c>
      <c r="AG51">
        <v>2</v>
      </c>
      <c r="AH51" t="b">
        <v>0</v>
      </c>
      <c r="AI51">
        <v>2</v>
      </c>
      <c r="AJ51">
        <v>1</v>
      </c>
      <c r="AK51" t="str">
        <v>06175128000172</v>
      </c>
      <c r="AL51" t="str">
        <v>45980000</v>
      </c>
      <c r="AM51" t="str">
        <v>SETE</v>
      </c>
      <c r="AN51" t="str">
        <v>S/N</v>
      </c>
      <c r="AO51" t="str">
        <v>NOVO</v>
      </c>
      <c r="AP51" t="str">
        <v>BA</v>
      </c>
      <c r="AQ51" t="str">
        <v/>
      </c>
      <c r="AR51" t="str">
        <v>BAPDO01</v>
      </c>
    </row>
    <row r="52">
      <c r="A52" t="str">
        <v>Huawei Gestao e Servicos de Telecomunicacoes do Brasil Ltda</v>
      </c>
      <c r="B52" t="str">
        <v>Huawei Gestao e Servicos de Telecomunicacoes do Brasil Ltda</v>
      </c>
      <c r="C52" t="str">
        <v>10.519.123/0001-97</v>
      </c>
      <c r="D52" t="str">
        <v>huawei@slgestao.com</v>
      </c>
      <c r="E52" t="str">
        <v>Avenida Jerome Case</v>
      </c>
      <c r="F52" t="str">
        <v>2600</v>
      </c>
      <c r="G52" t="str">
        <v>Galpão A3 A9 Quadra 25 Lote 7/A</v>
      </c>
      <c r="H52" t="str">
        <v>Sorocaba</v>
      </c>
      <c r="I52" t="str">
        <v>3552205</v>
      </c>
      <c r="J52" t="str">
        <v>Eden</v>
      </c>
      <c r="K52" t="str">
        <v>SP</v>
      </c>
      <c r="L52" t="str">
        <v>(11) 3930-8580</v>
      </c>
      <c r="M52" t="str">
        <v>18087-220</v>
      </c>
      <c r="N52" t="str">
        <v/>
      </c>
      <c r="O52" s="1">
        <f>=TODAY()</f>
      </c>
      <c r="P52" t="str">
        <v>6211HG3360342-710-3-10519123000197</v>
      </c>
      <c r="Q52" t="str">
        <v>10519123000197</v>
      </c>
      <c r="R52" t="str">
        <v>PO: 6211HG3360342-710 Line 3  PO: 6211HG3360342-710 Line 1  PO: 6211HG3360342-710 Line 2</v>
      </c>
      <c r="S52" t="str">
        <v>3</v>
      </c>
      <c r="T52" t="str">
        <v>ITUMBIARA</v>
      </c>
      <c r="U52" t="str">
        <v>GO</v>
      </c>
      <c r="V52" t="str">
        <v>5211503</v>
      </c>
      <c r="W52">
        <v>3743.15</v>
      </c>
      <c r="X52">
        <v>4003.371</v>
      </c>
      <c r="Y52" t="str">
        <v/>
      </c>
      <c r="Z52">
        <v>140.12</v>
      </c>
      <c r="AA52">
        <v>120.1</v>
      </c>
      <c r="AB52">
        <v>120.1</v>
      </c>
      <c r="AC52">
        <v>3.5</v>
      </c>
      <c r="AD52" t="str">
        <v>070202</v>
      </c>
      <c r="AE52" t="str">
        <v>Execução por empreitada de obras de construção civil e elétrica – adequação de infraestrutura, instalação e montagem de equipamentos de rede de telefonia celular, conforme pedidos de compra abaixo: PO: 6211HG3360342-710 LINE: 3 MUNICIPIO: ITUMBIARA / GO MATERIAL: SERVIÇO: 4003.37 BASE DE CÁLCULO ISS: 4003.37 BASE DE CÁLCULO INSS: 4003.37 Retenções ISS 3% Município: ITUMBIARA / GO Retenções INSS 3.5% NFS-e: O ISS desta NFS-e será retido pelo tomador de serviço.</v>
      </c>
      <c r="AF52">
        <v>3</v>
      </c>
      <c r="AG52">
        <v>2</v>
      </c>
      <c r="AH52" t="b">
        <v>0</v>
      </c>
      <c r="AI52">
        <v>2</v>
      </c>
      <c r="AJ52">
        <v>1</v>
      </c>
      <c r="AK52" t="str">
        <v>06175128000172</v>
      </c>
      <c r="AL52" t="str">
        <v>75503970</v>
      </c>
      <c r="AM52" t="str">
        <v>Rua Paranaíba</v>
      </c>
      <c r="AN52" t="str">
        <v>SN</v>
      </c>
      <c r="AO52" t="str">
        <v>Centro</v>
      </c>
      <c r="AP52" t="str">
        <v>GO</v>
      </c>
      <c r="AQ52" t="str">
        <v>5211503</v>
      </c>
      <c r="AR52" t="str">
        <v>ILB</v>
      </c>
    </row>
    <row r="53">
      <c r="A53" t="str">
        <v>Huawei Gestao e Servicos de Telecomunicacoes do Brasil Ltda</v>
      </c>
      <c r="B53" t="str">
        <v>Huawei Gestao e Servicos de Telecomunicacoes do Brasil Ltda</v>
      </c>
      <c r="C53" t="str">
        <v>10.519.123/0001-97</v>
      </c>
      <c r="D53" t="str">
        <v>huawei@slgestao.com</v>
      </c>
      <c r="E53" t="str">
        <v>Avenida Jerome Case</v>
      </c>
      <c r="F53" t="str">
        <v>2600</v>
      </c>
      <c r="G53" t="str">
        <v>Galpão A3 A9 Quadra 25 Lote 7/A</v>
      </c>
      <c r="H53" t="str">
        <v>Sorocaba</v>
      </c>
      <c r="I53" t="str">
        <v>3552205</v>
      </c>
      <c r="J53" t="str">
        <v>Eden</v>
      </c>
      <c r="K53" t="str">
        <v>SP</v>
      </c>
      <c r="L53" t="str">
        <v>(11) 3930-8580</v>
      </c>
      <c r="M53" t="str">
        <v>18087-220</v>
      </c>
      <c r="N53" t="str">
        <v/>
      </c>
      <c r="O53" s="1">
        <f>=TODAY()</f>
      </c>
      <c r="P53" t="str">
        <v>6211HG2963610-191-1-10519123000197</v>
      </c>
      <c r="Q53" t="str">
        <v>10519123000197</v>
      </c>
      <c r="R53" t="str">
        <v>PO: 6211HG2963610-191 Line 1  PO: 6211HG2963610-191 Line 2  PO: 6211HG2963610-191 Line 3</v>
      </c>
      <c r="S53" t="str">
        <v>1</v>
      </c>
      <c r="T53" t="str">
        <v>ILHEUS</v>
      </c>
      <c r="U53" t="str">
        <v>BA</v>
      </c>
      <c r="V53" t="str">
        <v>2913606</v>
      </c>
      <c r="W53">
        <v>300.22</v>
      </c>
      <c r="X53">
        <v>328.098</v>
      </c>
      <c r="Y53" t="str">
        <v/>
      </c>
      <c r="Z53">
        <v>11.48</v>
      </c>
      <c r="AA53">
        <v>16.4</v>
      </c>
      <c r="AB53">
        <v>16.4</v>
      </c>
      <c r="AC53">
        <v>3.5</v>
      </c>
      <c r="AD53" t="str">
        <v>070202</v>
      </c>
      <c r="AE53" t="str">
        <v>Execução por empreitada de obras de construção civil e elétrica – adequação de infraestrutura, instalação e montagem de equipamentos de rede de telefonia celular, conforme pedidos de compra abaixo: PO: 6211HG2963610-191 LINE: 1 MUNICIPIO: ILHEUS / BA MATERIAL: SERVIÇO: 328.10 BASE DE CÁLCULO ISS: 328.10 BASE DE CÁLCULO INSS: 328.10 Retenções ISS 5% Município: ILHEUS / BA Retenções INSS 3.5% NFS-e: O ISS desta NFS-e será retido pelo tomador de serviço.</v>
      </c>
      <c r="AF53">
        <v>5</v>
      </c>
      <c r="AG53">
        <v>2</v>
      </c>
      <c r="AH53" t="b">
        <v>0</v>
      </c>
      <c r="AI53">
        <v>2</v>
      </c>
      <c r="AJ53">
        <v>1</v>
      </c>
      <c r="AK53" t="str">
        <v>06175128000172</v>
      </c>
      <c r="AL53" t="str">
        <v>45654000</v>
      </c>
      <c r="AM53" t="str">
        <v>Avenida Lomanto Júnior</v>
      </c>
      <c r="AN53" t="str">
        <v>SN</v>
      </c>
      <c r="AO53" t="str">
        <v>Pontal</v>
      </c>
      <c r="AP53" t="str">
        <v>BA</v>
      </c>
      <c r="AQ53" t="str">
        <v>2913606</v>
      </c>
      <c r="AR53" t="str">
        <v>BAILH38</v>
      </c>
    </row>
    <row r="54">
      <c r="A54" t="str">
        <v>Huawei Gestao e Servicos de Telecomunicacoes do Brasil Ltda</v>
      </c>
      <c r="B54" t="str">
        <v>Huawei Gestao e Servicos de Telecomunicacoes do Brasil Ltda</v>
      </c>
      <c r="C54" t="str">
        <v>10.519.123/0001-97</v>
      </c>
      <c r="D54" t="str">
        <v>huawei@slgestao.com</v>
      </c>
      <c r="E54" t="str">
        <v>Avenida Jerome Case</v>
      </c>
      <c r="F54" t="str">
        <v>2600</v>
      </c>
      <c r="G54" t="str">
        <v>Galpão A3 A9 Quadra 25 Lote 7/A</v>
      </c>
      <c r="H54" t="str">
        <v>Sorocaba</v>
      </c>
      <c r="I54" t="str">
        <v>3552205</v>
      </c>
      <c r="J54" t="str">
        <v>Eden</v>
      </c>
      <c r="K54" t="str">
        <v>SP</v>
      </c>
      <c r="L54" t="str">
        <v>(11) 3930-8580</v>
      </c>
      <c r="M54" t="str">
        <v>18087-220</v>
      </c>
      <c r="N54" t="str">
        <v/>
      </c>
      <c r="O54" s="1">
        <f>=TODAY()</f>
      </c>
      <c r="P54" t="str">
        <v>6211HG3360338-857-1-10519123000197</v>
      </c>
      <c r="Q54" t="str">
        <v>10519123000197</v>
      </c>
      <c r="R54" t="str">
        <v>PO: 6211HG3360338-857 Line 1  PO: 6211HG3360338-774 Line 1</v>
      </c>
      <c r="S54" t="str">
        <v>1</v>
      </c>
      <c r="T54" t="str">
        <v>CAMPOS DO JORDAO</v>
      </c>
      <c r="U54" t="str">
        <v>SP</v>
      </c>
      <c r="V54" t="str">
        <v>3509700</v>
      </c>
      <c r="W54">
        <v>5766.95</v>
      </c>
      <c r="X54">
        <v>6302.673</v>
      </c>
      <c r="Y54" t="str">
        <v/>
      </c>
      <c r="Z54">
        <v>220.59</v>
      </c>
      <c r="AA54">
        <v>315.13</v>
      </c>
      <c r="AB54">
        <v>315.13</v>
      </c>
      <c r="AC54">
        <v>3.5</v>
      </c>
      <c r="AD54" t="str">
        <v>070202</v>
      </c>
      <c r="AE54" t="str">
        <v>Execução por empreitada de obras de construção civil e elétrica – adequação de infraestrutura, instalação e montagem de equipamentos de rede de telefonia celular, conforme pedidos de compra abaixo: PO: 6211HG3360338-857 LINE: 1 MUNICIPIO: CAMPOS DO JORDAO / SP MATERIAL: SERVIÇO: 6302.67 BASE DE CÁLCULO ISS: 6302.67 BASE DE CÁLCULO INSS: 6302.67 Retenções ISS 5% Município: CAMPOS DO JORDAO / SP Retenções INSS 3.5% NFS-e: O ISS desta NFS-e será retido pelo tomador de serviço.</v>
      </c>
      <c r="AF54">
        <v>5</v>
      </c>
      <c r="AG54">
        <v>2</v>
      </c>
      <c r="AH54" t="b">
        <v>0</v>
      </c>
      <c r="AI54">
        <v>2</v>
      </c>
      <c r="AJ54">
        <v>1</v>
      </c>
      <c r="AK54" t="str">
        <v>06175128000172</v>
      </c>
      <c r="AL54" t="str">
        <v>12460000</v>
      </c>
      <c r="AM54" t="str">
        <v>Vila Natal</v>
      </c>
      <c r="AN54" t="str">
        <v>SN</v>
      </c>
      <c r="AO54" t="str">
        <v>Centro</v>
      </c>
      <c r="AP54" t="str">
        <v>SP</v>
      </c>
      <c r="AQ54" t="str">
        <v>3509700</v>
      </c>
      <c r="AR54" t="str">
        <v>CWV</v>
      </c>
    </row>
    <row r="55">
      <c r="A55" t="str">
        <v>Huawei Gestao e Servicos de Telecomunicacoes do Brasil Ltda</v>
      </c>
      <c r="B55" t="str">
        <v>Huawei Gestao e Servicos de Telecomunicacoes do Brasil Ltda</v>
      </c>
      <c r="C55" t="str">
        <v>10.519.123/0001-97</v>
      </c>
      <c r="D55" t="str">
        <v>huawei@slgestao.com</v>
      </c>
      <c r="E55" t="str">
        <v>Avenida Jerome Case</v>
      </c>
      <c r="F55" t="str">
        <v>2600</v>
      </c>
      <c r="G55" t="str">
        <v>Galpão A3 A9 Quadra 25 Lote 7/A</v>
      </c>
      <c r="H55" t="str">
        <v>Sorocaba</v>
      </c>
      <c r="I55" t="str">
        <v>3552205</v>
      </c>
      <c r="J55" t="str">
        <v>Eden</v>
      </c>
      <c r="K55" t="str">
        <v>SP</v>
      </c>
      <c r="L55" t="str">
        <v>(11) 3930-8580</v>
      </c>
      <c r="M55" t="str">
        <v>18087-220</v>
      </c>
      <c r="N55" t="str">
        <v/>
      </c>
      <c r="O55" s="1">
        <f>=TODAY()</f>
      </c>
      <c r="P55" t="str">
        <v>6211HG3360342-913-2-10519123000197</v>
      </c>
      <c r="Q55" t="str">
        <v>10519123000197</v>
      </c>
      <c r="R55" t="str">
        <v>PO: 6211HG3360342-913 Line 2  PO: 6211HG3360342-913 Line 1</v>
      </c>
      <c r="S55" t="str">
        <v>2</v>
      </c>
      <c r="T55" t="str">
        <v>BRASILIA</v>
      </c>
      <c r="U55" t="str">
        <v>DF</v>
      </c>
      <c r="V55" t="str">
        <v>5300108</v>
      </c>
      <c r="W55">
        <v>5647.71</v>
      </c>
      <c r="X55">
        <v>5976.405</v>
      </c>
      <c r="Y55" t="str">
        <v/>
      </c>
      <c r="Z55">
        <v>209.17</v>
      </c>
      <c r="AA55">
        <v>119.53</v>
      </c>
      <c r="AB55">
        <v>119.53</v>
      </c>
      <c r="AC55">
        <v>3.5</v>
      </c>
      <c r="AD55" t="str">
        <v>070202</v>
      </c>
      <c r="AE55" t="str">
        <v>Execução por empreitada de obras de construção civil e elétrica – adequação de infraestrutura, instalação e montagem de equipamentos de rede de telefonia celular, conforme pedidos de compra abaixo: PO: 6211HG3360342-913 LINE: 2 MUNICIPIO: BRASILIA / DF MATERIAL: SERVIÇO: 5976.40 BASE DE CÁLCULO ISS: 5976.40 BASE DE CÁLCULO INSS: 5976.40 Retenções ISS 2% Município: BRASILIA / DF Retenções INSS 3.5% NFS-e: O ISS desta NFS-e será retido pelo tomador de serviço.</v>
      </c>
      <c r="AF55">
        <v>2</v>
      </c>
      <c r="AG55">
        <v>2</v>
      </c>
      <c r="AH55" t="b">
        <v>0</v>
      </c>
      <c r="AI55">
        <v>2</v>
      </c>
      <c r="AJ55">
        <v>1</v>
      </c>
      <c r="AK55" t="str">
        <v>06175128000172</v>
      </c>
      <c r="AL55" t="str">
        <v>70200004</v>
      </c>
      <c r="AM55" t="str">
        <v>Trecho SCES Trecho 4</v>
      </c>
      <c r="AN55" t="str">
        <v>04</v>
      </c>
      <c r="AO55" t="str">
        <v>Asa Sul</v>
      </c>
      <c r="AP55" t="str">
        <v>DF</v>
      </c>
      <c r="AQ55" t="str">
        <v>5300108</v>
      </c>
      <c r="AR55" t="str">
        <v>BLO</v>
      </c>
    </row>
    <row r="56">
      <c r="A56" t="str">
        <v>Huawei Gestao e Servicos de Telecomunicacoes do Brasil Ltda</v>
      </c>
      <c r="B56" t="str">
        <v>Huawei Gestao e Servicos de Telecomunicacoes do Brasil Ltda</v>
      </c>
      <c r="C56" t="str">
        <v>10.519.123/0001-97</v>
      </c>
      <c r="D56" t="str">
        <v>huawei@slgestao.com</v>
      </c>
      <c r="E56" t="str">
        <v>Avenida Jerome Case</v>
      </c>
      <c r="F56" t="str">
        <v>2600</v>
      </c>
      <c r="G56" t="str">
        <v>Galpão A3 A9 Quadra 25 Lote 7/A</v>
      </c>
      <c r="H56" t="str">
        <v>Sorocaba</v>
      </c>
      <c r="I56" t="str">
        <v>3552205</v>
      </c>
      <c r="J56" t="str">
        <v>Eden</v>
      </c>
      <c r="K56" t="str">
        <v>SP</v>
      </c>
      <c r="L56" t="str">
        <v>(11) 3930-8580</v>
      </c>
      <c r="M56" t="str">
        <v>18087-220</v>
      </c>
      <c r="N56" t="str">
        <v/>
      </c>
      <c r="O56" s="1">
        <f>=TODAY()</f>
      </c>
      <c r="P56" t="str">
        <v>6211HG3360340-3410-3-10519123000197</v>
      </c>
      <c r="Q56" t="str">
        <v>10519123000197</v>
      </c>
      <c r="R56" t="str">
        <v>PO: 6211HG3360340-3410 Line 3  PO: 6211HG3360340-3410 Line 4  PO: 6211HG3360340-3410 Line 1  PO: 6211HG3360340-3410 Line 2  PO: 6211HG3360340-3402 Line 1</v>
      </c>
      <c r="S56" t="str">
        <v>3</v>
      </c>
      <c r="T56" t="str">
        <v>BARREIRAS</v>
      </c>
      <c r="U56" t="str">
        <v>BA</v>
      </c>
      <c r="V56" t="str">
        <v>2903201</v>
      </c>
      <c r="W56">
        <v>4691.41</v>
      </c>
      <c r="X56">
        <v>5127.219</v>
      </c>
      <c r="Y56" t="str">
        <v/>
      </c>
      <c r="Z56">
        <v>179.45</v>
      </c>
      <c r="AA56">
        <v>256.36</v>
      </c>
      <c r="AB56">
        <v>256.36</v>
      </c>
      <c r="AC56">
        <v>3.5</v>
      </c>
      <c r="AD56" t="str">
        <v>070202</v>
      </c>
      <c r="AE56" t="str">
        <v>Execução por empreitada de obras de construção civil e elétrica – adequação de infraestrutura, instalação e montagem de equipamentos de rede de telefonia celular, conforme pedidos de compra abaixo: PO: 6211HG3360340-3410 LINE: 3 MUNICIPIO: BARREIRAS / BA MATERIAL: SERVIÇO: 5127.22 BASE DE CÁLCULO ISS: 5127.22 BASE DE CÁLCULO INSS: 5127.22 Retenções ISS 5% Município: BARREIRAS / BA Retenções INSS 3.5% NFS-e: O ISS desta NFS-e será retido pelo tomador de serviço.</v>
      </c>
      <c r="AF56">
        <v>5</v>
      </c>
      <c r="AG56">
        <v>2</v>
      </c>
      <c r="AH56" t="b">
        <v>0</v>
      </c>
      <c r="AI56">
        <v>2</v>
      </c>
      <c r="AJ56">
        <v>1</v>
      </c>
      <c r="AK56" t="str">
        <v>06175128000172</v>
      </c>
      <c r="AL56" t="str">
        <v>47800424</v>
      </c>
      <c r="AM56" t="str">
        <v>NAPOLEAO MACEDO</v>
      </c>
      <c r="AN56" t="str">
        <v>S/N</v>
      </c>
      <c r="AO56" t="str">
        <v>SÃO MIGUEL.</v>
      </c>
      <c r="AP56" t="str">
        <v>BA</v>
      </c>
      <c r="AQ56" t="str">
        <v/>
      </c>
      <c r="AR56" t="str">
        <v>BABRR03</v>
      </c>
    </row>
    <row r="57">
      <c r="A57" t="str">
        <v>Huawei Gestao e Servicos de Telecomunicacoes do Brasil Ltda</v>
      </c>
      <c r="B57" t="str">
        <v>Huawei Gestao e Servicos de Telecomunicacoes do Brasil Ltda</v>
      </c>
      <c r="C57" t="str">
        <v>10.519.123/0001-97</v>
      </c>
      <c r="D57" t="str">
        <v>huawei@slgestao.com</v>
      </c>
      <c r="E57" t="str">
        <v>Avenida Jerome Case</v>
      </c>
      <c r="F57" t="str">
        <v>2600</v>
      </c>
      <c r="G57" t="str">
        <v>Galpão A3 A9 Quadra 25 Lote 7/A</v>
      </c>
      <c r="H57" t="str">
        <v>Sorocaba</v>
      </c>
      <c r="I57" t="str">
        <v>3552205</v>
      </c>
      <c r="J57" t="str">
        <v>Eden</v>
      </c>
      <c r="K57" t="str">
        <v>SP</v>
      </c>
      <c r="L57" t="str">
        <v>(11) 3930-8580</v>
      </c>
      <c r="M57" t="str">
        <v>18087-220</v>
      </c>
      <c r="N57" t="str">
        <v/>
      </c>
      <c r="O57" s="1">
        <f>=TODAY()</f>
      </c>
      <c r="P57" t="str">
        <v>6211HG3360340-3436-1-10519123000197</v>
      </c>
      <c r="Q57" t="str">
        <v>10519123000197</v>
      </c>
      <c r="R57" t="str">
        <v>PO: 6211HG3360340-3436 Line 1  PO: 6211HG3360340-3436 Line 2  PO: 6211HG3360340-3424 Line 1</v>
      </c>
      <c r="S57" t="str">
        <v>1</v>
      </c>
      <c r="T57" t="str">
        <v>SOBRAL</v>
      </c>
      <c r="U57" t="str">
        <v>CE</v>
      </c>
      <c r="V57" t="str">
        <v>2312908</v>
      </c>
      <c r="W57">
        <v>1005.79</v>
      </c>
      <c r="X57">
        <v>1064.334</v>
      </c>
      <c r="Y57" t="str">
        <v/>
      </c>
      <c r="Z57">
        <v>37.25</v>
      </c>
      <c r="AA57">
        <v>21.29</v>
      </c>
      <c r="AB57">
        <v>21.29</v>
      </c>
      <c r="AC57">
        <v>3.5</v>
      </c>
      <c r="AD57" t="str">
        <v>070202</v>
      </c>
      <c r="AE57" t="str">
        <v>Execução por empreitada de obras de construção civil e elétrica – adequação de infraestrutura, instalação e montagem de equipamentos de rede de telefonia celular, conforme pedidos de compra abaixo: PO: 6211HG3360340-3436 LINE: 1 MUNICIPIO: SOBRAL / CE MATERIAL: SERVIÇO: 1064.33 BASE DE CÁLCULO ISS: 1064.33 BASE DE CÁLCULO INSS: 1064.33 Retenções ISS 2% Município: SOBRAL / CE Retenções INSS 3.5% NFS-e: O ISS desta NFS-e será retido pelo tomador de serviço.</v>
      </c>
      <c r="AF57">
        <v>2</v>
      </c>
      <c r="AG57">
        <v>2</v>
      </c>
      <c r="AH57" t="b">
        <v>0</v>
      </c>
      <c r="AI57">
        <v>2</v>
      </c>
      <c r="AJ57">
        <v>1</v>
      </c>
      <c r="AK57" t="str">
        <v>06175128000172</v>
      </c>
      <c r="AL57" t="str">
        <v>62051420</v>
      </c>
      <c r="AM57" t="str">
        <v/>
      </c>
      <c r="AN57" t="str">
        <v>2</v>
      </c>
      <c r="AO57" t="str">
        <v>SINHA SABOIA</v>
      </c>
      <c r="AP57" t="str">
        <v>CE</v>
      </c>
      <c r="AQ57" t="str">
        <v/>
      </c>
      <c r="AR57" t="str">
        <v>SR-SOCHJ0</v>
      </c>
    </row>
    <row r="58">
      <c r="A58" t="str">
        <v>Huawei Gestao e Servicos de Telecomunicacoes do Brasil Ltda</v>
      </c>
      <c r="B58" t="str">
        <v>Huawei Gestao e Servicos de Telecomunicacoes do Brasil Ltda</v>
      </c>
      <c r="C58" t="str">
        <v>10.519.123/0001-97</v>
      </c>
      <c r="D58" t="str">
        <v>huawei@slgestao.com</v>
      </c>
      <c r="E58" t="str">
        <v>Avenida Jerome Case</v>
      </c>
      <c r="F58" t="str">
        <v>2600</v>
      </c>
      <c r="G58" t="str">
        <v>Galpão A3 A9 Quadra 25 Lote 7/A</v>
      </c>
      <c r="H58" t="str">
        <v>Sorocaba</v>
      </c>
      <c r="I58" t="str">
        <v>3552205</v>
      </c>
      <c r="J58" t="str">
        <v>Eden</v>
      </c>
      <c r="K58" t="str">
        <v>SP</v>
      </c>
      <c r="L58" t="str">
        <v>(11) 3930-8580</v>
      </c>
      <c r="M58" t="str">
        <v>18087-220</v>
      </c>
      <c r="N58" t="str">
        <v/>
      </c>
      <c r="O58" s="1">
        <f>=TODAY()</f>
      </c>
      <c r="P58" t="str">
        <v>6211HG3360337-140-2-10519123000197</v>
      </c>
      <c r="Q58" t="str">
        <v>10519123000197</v>
      </c>
      <c r="R58" t="str">
        <v>PO: 6211HG3360337-140 Line 2  PO: 6211HG3360337-140 Line 2  PO: 6211HG3360337-140 Line 3  PO: 6211HG3360337-140 Line 4  PO: 6211HG3360337-140 Line 1  PO: 6211HG3360337-140 Line 1  PO: 6211HG3360337-140 Line 3  PO: 6211HG3360337-140 Line 4</v>
      </c>
      <c r="S58" t="str">
        <v>2</v>
      </c>
      <c r="T58" t="str">
        <v>SAO JOSE</v>
      </c>
      <c r="U58" t="str">
        <v>SC</v>
      </c>
      <c r="V58" t="str">
        <v>4216602</v>
      </c>
      <c r="W58">
        <v>5428.62</v>
      </c>
      <c r="X58">
        <v>5806.01</v>
      </c>
      <c r="Y58" t="str">
        <v/>
      </c>
      <c r="Z58">
        <v>203.21</v>
      </c>
      <c r="AA58">
        <v>174.18</v>
      </c>
      <c r="AB58">
        <v>174.18</v>
      </c>
      <c r="AC58">
        <v>3.5</v>
      </c>
      <c r="AD58" t="str">
        <v>070202</v>
      </c>
      <c r="AE58" t="str">
        <v>Execução por empreitada de obras de construção civil e elétrica – adequação de infraestrutura, instalação e montagem de equipamentos de rede de telefonia celular, conforme pedidos de compra abaixo: PO: 6211HG3360337-140 LINE: 2 MUNICIPIO: SAO JOSE / SC MATERIAL: SERVIÇO: 5806.01 BASE DE CÁLCULO ISS: 5806.01 BASE DE CÁLCULO INSS: 5806.01 Retenções ISS 3% Município: SAO JOSE / SC Retenções INSS 3.5% NFS-e: O ISS desta NFS-e será retido pelo tomador de serviço.</v>
      </c>
      <c r="AF58">
        <v>3</v>
      </c>
      <c r="AG58">
        <v>2</v>
      </c>
      <c r="AH58" t="b">
        <v>0</v>
      </c>
      <c r="AI58">
        <v>2</v>
      </c>
      <c r="AJ58">
        <v>1</v>
      </c>
      <c r="AK58" t="str">
        <v>06175128000172</v>
      </c>
      <c r="AL58" t="str">
        <v>89600000</v>
      </c>
      <c r="AM58" t="str">
        <v>R. Roldao do Nascimento Maestri</v>
      </c>
      <c r="AN58" t="str">
        <v>40</v>
      </c>
      <c r="AO58" t="str">
        <v>Centro</v>
      </c>
      <c r="AP58" t="str">
        <v>SC</v>
      </c>
      <c r="AQ58" t="str">
        <v>4209003</v>
      </c>
      <c r="AR58" t="str">
        <v>JCC</v>
      </c>
    </row>
    <row r="59">
      <c r="A59" t="str">
        <v>Huawei Gestao e Servicos de Telecomunicacoes do Brasil Ltda</v>
      </c>
      <c r="B59" t="str">
        <v>Huawei Gestao e Servicos de Telecomunicacoes do Brasil Ltda</v>
      </c>
      <c r="C59" t="str">
        <v>10.519.123/0001-97</v>
      </c>
      <c r="D59" t="str">
        <v>huawei@slgestao.com</v>
      </c>
      <c r="E59" t="str">
        <v>Avenida Jerome Case</v>
      </c>
      <c r="F59" t="str">
        <v>2600</v>
      </c>
      <c r="G59" t="str">
        <v>Galpão A3 A9 Quadra 25 Lote 7/A</v>
      </c>
      <c r="H59" t="str">
        <v>Sorocaba</v>
      </c>
      <c r="I59" t="str">
        <v>3552205</v>
      </c>
      <c r="J59" t="str">
        <v>Eden</v>
      </c>
      <c r="K59" t="str">
        <v>SP</v>
      </c>
      <c r="L59" t="str">
        <v>(11) 3930-8580</v>
      </c>
      <c r="M59" t="str">
        <v>18087-220</v>
      </c>
      <c r="N59" t="str">
        <v/>
      </c>
      <c r="O59" s="1">
        <f>=TODAY()</f>
      </c>
      <c r="P59" t="str">
        <v>6211HG3360340-3454-1-10519123000197</v>
      </c>
      <c r="Q59" t="str">
        <v>10519123000197</v>
      </c>
      <c r="R59" t="str">
        <v>PO: 6211HG3360340-3454 Line 1  PO: 6211HG3360340-3458 Line 1  PO: 6211HG3360340-3458 Line 2</v>
      </c>
      <c r="S59" t="str">
        <v>1</v>
      </c>
      <c r="T59" t="str">
        <v>JUAZEIRO DO NORTE</v>
      </c>
      <c r="U59" t="str">
        <v>CE</v>
      </c>
      <c r="V59" t="str">
        <v>2307304</v>
      </c>
      <c r="W59">
        <v>4679.59</v>
      </c>
      <c r="X59">
        <v>5114.313</v>
      </c>
      <c r="Y59" t="str">
        <v/>
      </c>
      <c r="Z59">
        <v>179</v>
      </c>
      <c r="AA59">
        <v>255.72</v>
      </c>
      <c r="AB59">
        <v>255.72</v>
      </c>
      <c r="AC59">
        <v>3.5</v>
      </c>
      <c r="AD59" t="str">
        <v>070202</v>
      </c>
      <c r="AE59" t="str">
        <v>Execução por empreitada de obras de construção civil e elétrica – adequação de infraestrutura, instalação e montagem de equipamentos de rede de telefonia celular, conforme pedidos de compra abaixo: PO: 6211HG3360340-3454 LINE: 1 MUNICIPIO: JUAZEIRO DO NORTE / CE MATERIAL: SERVIÇO: 5114.31 BASE DE CÁLCULO ISS: 5114.31 BASE DE CÁLCULO INSS: 5114.31 Retenções ISS 5% Município: JUAZEIRO DO NORTE / CE Retenções INSS 3.5% NFS-e: O ISS desta NFS-e será retido pelo tomador de serviço.</v>
      </c>
      <c r="AF59">
        <v>5</v>
      </c>
      <c r="AG59">
        <v>2</v>
      </c>
      <c r="AH59" t="b">
        <v>0</v>
      </c>
      <c r="AI59">
        <v>2</v>
      </c>
      <c r="AJ59">
        <v>1</v>
      </c>
      <c r="AK59" t="str">
        <v>06175128000172</v>
      </c>
      <c r="AL59" t="str">
        <v>63050050</v>
      </c>
      <c r="AM59" t="str">
        <v/>
      </c>
      <c r="AN59" t="str">
        <v>31</v>
      </c>
      <c r="AO59" t="str">
        <v>SALESIANOS</v>
      </c>
      <c r="AP59" t="str">
        <v>CE</v>
      </c>
      <c r="AQ59" t="str">
        <v/>
      </c>
      <c r="AR59" t="str">
        <v>SR-JZNWJ3</v>
      </c>
    </row>
    <row r="60">
      <c r="A60" t="str">
        <v>Huawei Gestao e Servicos de Telecomunicacoes do Brasil Ltda</v>
      </c>
      <c r="B60" t="str">
        <v>Huawei Gestao e Servicos de Telecomunicacoes do Brasil Ltda</v>
      </c>
      <c r="C60" t="str">
        <v>10.519.123/0001-97</v>
      </c>
      <c r="D60" t="str">
        <v>huawei@slgestao.com</v>
      </c>
      <c r="E60" t="str">
        <v>Avenida Jerome Case</v>
      </c>
      <c r="F60" t="str">
        <v>2600</v>
      </c>
      <c r="G60" t="str">
        <v>Galpão A3 A9 Quadra 25 Lote 7/A</v>
      </c>
      <c r="H60" t="str">
        <v>Sorocaba</v>
      </c>
      <c r="I60" t="str">
        <v>3552205</v>
      </c>
      <c r="J60" t="str">
        <v>Eden</v>
      </c>
      <c r="K60" t="str">
        <v>SP</v>
      </c>
      <c r="L60" t="str">
        <v>(11) 3930-8580</v>
      </c>
      <c r="M60" t="str">
        <v>18087-220</v>
      </c>
      <c r="N60" t="str">
        <v/>
      </c>
      <c r="O60" s="1">
        <f>=TODAY()</f>
      </c>
      <c r="P60" t="str">
        <v>6211HG3360340-3534-3-10519123000197</v>
      </c>
      <c r="Q60" t="str">
        <v>10519123000197</v>
      </c>
      <c r="R60" t="str">
        <v>PO: 6211HG3360340-3534 Line 3  PO: 6211HG3360340-3534 Line 1  PO: 6211HG3360340-3534 Line 4  PO: 6211HG3360340-3534 Line 2</v>
      </c>
      <c r="S60" t="str">
        <v>3</v>
      </c>
      <c r="T60" t="str">
        <v>MORENO</v>
      </c>
      <c r="U60" t="str">
        <v>PE</v>
      </c>
      <c r="V60" t="str">
        <v>2609402</v>
      </c>
      <c r="W60">
        <v>5330.78</v>
      </c>
      <c r="X60">
        <v>5762.996999999999</v>
      </c>
      <c r="Y60" t="str">
        <v/>
      </c>
      <c r="Z60">
        <v>201.7</v>
      </c>
      <c r="AA60">
        <v>230.52</v>
      </c>
      <c r="AB60">
        <v>230.52</v>
      </c>
      <c r="AC60">
        <v>3.5</v>
      </c>
      <c r="AD60" t="str">
        <v>070202</v>
      </c>
      <c r="AE60" t="str">
        <v>Execução por empreitada de obras de construção civil e elétrica – adequação de infraestrutura, instalação e montagem de equipamentos de rede de telefonia celular, conforme pedidos de compra abaixo: PO: 6211HG3360340-3534 LINE: 3 MUNICIPIO: MORENO / PE MATERIAL: SERVIÇO: 5763.00 BASE DE CÁLCULO ISS: 5763.00 BASE DE CÁLCULO INSS: 5763.00 Retenções ISS 4% Município: MORENO / PE Retenções INSS 3.5% NFS-e: O ISS desta NFS-e será retido pelo tomador de serviço.</v>
      </c>
      <c r="AF60">
        <v>4</v>
      </c>
      <c r="AG60">
        <v>2</v>
      </c>
      <c r="AH60" t="b">
        <v>0</v>
      </c>
      <c r="AI60">
        <v>2</v>
      </c>
      <c r="AJ60">
        <v>1</v>
      </c>
      <c r="AK60" t="str">
        <v>06175128000172</v>
      </c>
      <c r="AL60" t="str">
        <v>54800000</v>
      </c>
      <c r="AM60" t="str">
        <v>R Professora Laura de Freitas</v>
      </c>
      <c r="AN60" t="str">
        <v>SN</v>
      </c>
      <c r="AO60" t="str">
        <v>Centro</v>
      </c>
      <c r="AP60" t="str">
        <v>PE</v>
      </c>
      <c r="AQ60" t="str">
        <v>2609402</v>
      </c>
      <c r="AR60" t="str">
        <v>MRC</v>
      </c>
    </row>
    <row r="61">
      <c r="A61" t="str">
        <v>Huawei Gestao e Servicos de Telecomunicacoes do Brasil Ltda</v>
      </c>
      <c r="B61" t="str">
        <v>Huawei Gestao e Servicos de Telecomunicacoes do Brasil Ltda</v>
      </c>
      <c r="C61" t="str">
        <v>10.519.123/0001-97</v>
      </c>
      <c r="D61" t="str">
        <v>huawei@slgestao.com</v>
      </c>
      <c r="E61" t="str">
        <v>Avenida Jerome Case</v>
      </c>
      <c r="F61" t="str">
        <v>2600</v>
      </c>
      <c r="G61" t="str">
        <v>Galpão A3 A9 Quadra 25 Lote 7/A</v>
      </c>
      <c r="H61" t="str">
        <v>Sorocaba</v>
      </c>
      <c r="I61" t="str">
        <v>3552205</v>
      </c>
      <c r="J61" t="str">
        <v>Eden</v>
      </c>
      <c r="K61" t="str">
        <v>SP</v>
      </c>
      <c r="L61" t="str">
        <v>(11) 3930-8580</v>
      </c>
      <c r="M61" t="str">
        <v>18087-220</v>
      </c>
      <c r="N61" t="str">
        <v/>
      </c>
      <c r="O61" s="1">
        <f>=TODAY()</f>
      </c>
      <c r="P61" t="str">
        <v>6211HG3360342-990-1-10519123000197</v>
      </c>
      <c r="Q61" t="str">
        <v>10519123000197</v>
      </c>
      <c r="R61" t="str">
        <v>PO: 6211HG3360342-990 Line 1  PO: 6211HG3360342-990 Line 5  PO: 6211HG3360342-984 Line 2  PO: 6211HG3360342-990 Line 3  PO: 6211HG3360342-990 Line 4  PO: 6211HG3360342-990 Line 2</v>
      </c>
      <c r="S61" t="str">
        <v>1</v>
      </c>
      <c r="T61" t="str">
        <v>ANAPOLIS</v>
      </c>
      <c r="U61" t="str">
        <v>GO</v>
      </c>
      <c r="V61" t="str">
        <v>5201108</v>
      </c>
      <c r="W61">
        <v>8627.84</v>
      </c>
      <c r="X61">
        <v>9429.336</v>
      </c>
      <c r="Y61" t="str">
        <v/>
      </c>
      <c r="Z61">
        <v>330.03</v>
      </c>
      <c r="AA61">
        <v>471.47</v>
      </c>
      <c r="AB61">
        <v>471.47</v>
      </c>
      <c r="AC61">
        <v>3.5</v>
      </c>
      <c r="AD61" t="str">
        <v>070202</v>
      </c>
      <c r="AE61" t="str">
        <v>Execução por empreitada de obras de construção civil e elétrica – adequação de infraestrutura, instalação e montagem de equipamentos de rede de telefonia celular, conforme pedidos de compra abaixo: PO: 6211HG3360342-990 LINE: 1 MUNICIPIO: ANAPOLIS / GO MATERIAL: SERVIÇO: 9429.34 BASE DE CÁLCULO ISS: 9429.34 BASE DE CÁLCULO INSS: 9429.34 Retenções ISS 5% Município: ANAPOLIS / GO Retenções INSS 3.5% NFS-e: O ISS desta NFS-e será retido pelo tomador de serviço.</v>
      </c>
      <c r="AF61">
        <v>5</v>
      </c>
      <c r="AG61">
        <v>2</v>
      </c>
      <c r="AH61" t="b">
        <v>0</v>
      </c>
      <c r="AI61">
        <v>2</v>
      </c>
      <c r="AJ61">
        <v>1</v>
      </c>
      <c r="AK61" t="str">
        <v>06175128000172</v>
      </c>
      <c r="AL61" t="str">
        <v>75134080</v>
      </c>
      <c r="AM61" t="str">
        <v>DO GOVERNO</v>
      </c>
      <c r="AN61" t="str">
        <v>S/N</v>
      </c>
      <c r="AO61" t="str">
        <v>JARDIM CALIXTO</v>
      </c>
      <c r="AP61" t="str">
        <v>GO</v>
      </c>
      <c r="AQ61" t="str">
        <v/>
      </c>
      <c r="AR61" t="str">
        <v>GOANS48</v>
      </c>
    </row>
    <row r="62">
      <c r="A62" t="str">
        <v>Huawei Gestao e Servicos de Telecomunicacoes do Brasil Ltda</v>
      </c>
      <c r="B62" t="str">
        <v>Huawei Gestao e Servicos de Telecomunicacoes do Brasil Ltda</v>
      </c>
      <c r="C62" t="str">
        <v>10.519.123/0001-97</v>
      </c>
      <c r="D62" t="str">
        <v>huawei@slgestao.com</v>
      </c>
      <c r="E62" t="str">
        <v>Avenida Jerome Case</v>
      </c>
      <c r="F62" t="str">
        <v>2600</v>
      </c>
      <c r="G62" t="str">
        <v>Galpão A3 A9 Quadra 25 Lote 7/A</v>
      </c>
      <c r="H62" t="str">
        <v>Sorocaba</v>
      </c>
      <c r="I62" t="str">
        <v>3552205</v>
      </c>
      <c r="J62" t="str">
        <v>Eden</v>
      </c>
      <c r="K62" t="str">
        <v>SP</v>
      </c>
      <c r="L62" t="str">
        <v>(11) 3930-8580</v>
      </c>
      <c r="M62" t="str">
        <v>18087-220</v>
      </c>
      <c r="N62" t="str">
        <v/>
      </c>
      <c r="O62" s="1">
        <f>=TODAY()</f>
      </c>
      <c r="P62" t="str">
        <v>6211HG3360340-3551-1-10519123000197</v>
      </c>
      <c r="Q62" t="str">
        <v>10519123000197</v>
      </c>
      <c r="R62" t="str">
        <v>PO: 6211HG3360340-3551 Line 1  PO: 6211HG3360340-3551 Line 2  PO: 6211HG3360340-3551 Line 4  PO: 6211HG3360340-3551 Line 3</v>
      </c>
      <c r="S62" t="str">
        <v>1</v>
      </c>
      <c r="T62" t="str">
        <v>PALMARES</v>
      </c>
      <c r="U62" t="str">
        <v>PE</v>
      </c>
      <c r="V62" t="str">
        <v>2610004</v>
      </c>
      <c r="W62">
        <v>697.75</v>
      </c>
      <c r="X62">
        <v>762.57</v>
      </c>
      <c r="Y62" t="str">
        <v/>
      </c>
      <c r="Z62">
        <v>26.69</v>
      </c>
      <c r="AA62">
        <v>38.13</v>
      </c>
      <c r="AB62">
        <v>38.13</v>
      </c>
      <c r="AC62">
        <v>3.5</v>
      </c>
      <c r="AD62" t="str">
        <v>070202</v>
      </c>
      <c r="AE62" t="str">
        <v>Execução por empreitada de obras de construção civil e elétrica – adequação de infraestrutura, instalação e montagem de equipamentos de rede de telefonia celular, conforme pedidos de compra abaixo: PO: 6211HG3360340-3551 LINE: 1 MUNICIPIO: PALMARES / PE MATERIAL: SERVIÇO: 762.57 BASE DE CÁLCULO ISS: 762.57 BASE DE CÁLCULO INSS: 762.57 Retenções ISS 5% Município: PALMARES / PE Retenções INSS 3.5% NFS-e: O ISS desta NFS-e será retido pelo tomador de serviço.</v>
      </c>
      <c r="AF62">
        <v>5</v>
      </c>
      <c r="AG62">
        <v>2</v>
      </c>
      <c r="AH62" t="b">
        <v>0</v>
      </c>
      <c r="AI62">
        <v>2</v>
      </c>
      <c r="AJ62">
        <v>1</v>
      </c>
      <c r="AK62" t="str">
        <v>06175128000172</v>
      </c>
      <c r="AL62" t="str">
        <v>55540000</v>
      </c>
      <c r="AM62" t="str">
        <v>Rua Santos Dumont</v>
      </c>
      <c r="AN62" t="str">
        <v>136</v>
      </c>
      <c r="AO62" t="str">
        <v>Centro</v>
      </c>
      <c r="AP62" t="str">
        <v>PE</v>
      </c>
      <c r="AQ62" t="str">
        <v>2610004</v>
      </c>
      <c r="AR62" t="str">
        <v>PAL</v>
      </c>
    </row>
    <row r="63">
      <c r="A63" t="str">
        <v>Huawei Gestao e Servicos de Telecomunicacoes do Brasil Ltda</v>
      </c>
      <c r="B63" t="str">
        <v>Huawei Gestao e Servicos de Telecomunicacoes do Brasil Ltda</v>
      </c>
      <c r="C63" t="str">
        <v>10.519.123/0001-97</v>
      </c>
      <c r="D63" t="str">
        <v>huawei@slgestao.com</v>
      </c>
      <c r="E63" t="str">
        <v>Avenida Jerome Case</v>
      </c>
      <c r="F63" t="str">
        <v>2600</v>
      </c>
      <c r="G63" t="str">
        <v>Galpão A3 A9 Quadra 25 Lote 7/A</v>
      </c>
      <c r="H63" t="str">
        <v>Sorocaba</v>
      </c>
      <c r="I63" t="str">
        <v>3552205</v>
      </c>
      <c r="J63" t="str">
        <v>Eden</v>
      </c>
      <c r="K63" t="str">
        <v>SP</v>
      </c>
      <c r="L63" t="str">
        <v>(11) 3930-8580</v>
      </c>
      <c r="M63" t="str">
        <v>18087-220</v>
      </c>
      <c r="N63" t="str">
        <v/>
      </c>
      <c r="O63" s="1">
        <f>=TODAY()</f>
      </c>
      <c r="P63" t="str">
        <v>6211HG3360340-3782-1-10519123000197</v>
      </c>
      <c r="Q63" t="str">
        <v>10519123000197</v>
      </c>
      <c r="R63" t="str">
        <v>PO: 6211HG3360340-3782 Line 1  PO: 6211HG3360340-3782 Line 3  PO: 6211HG3360340-3782 Line 4  PO: 6211HG3360340-3782 Line 2  PO: 6211HG3360340-3782 Line 5</v>
      </c>
      <c r="S63" t="str">
        <v>1</v>
      </c>
      <c r="T63" t="str">
        <v>BEZERROS</v>
      </c>
      <c r="U63" t="str">
        <v>PE</v>
      </c>
      <c r="V63" t="str">
        <v>2601904</v>
      </c>
      <c r="W63">
        <v>6813.33</v>
      </c>
      <c r="X63">
        <v>7209.882</v>
      </c>
      <c r="Y63" t="str">
        <v/>
      </c>
      <c r="Z63">
        <v>252.35</v>
      </c>
      <c r="AA63">
        <v>144.2</v>
      </c>
      <c r="AB63">
        <v>144.2</v>
      </c>
      <c r="AC63">
        <v>3.5</v>
      </c>
      <c r="AD63" t="str">
        <v>070202</v>
      </c>
      <c r="AE63" t="str">
        <v>Execução por empreitada de obras de construção civil e elétrica – adequação de infraestrutura, instalação e montagem de equipamentos de rede de telefonia celular, conforme pedidos de compra abaixo: PO: 6211HG3360340-3782 LINE: 1 MUNICIPIO: BEZERROS / PE MATERIAL: SERVIÇO: 7209.88 BASE DE CÁLCULO ISS: 7209.88 BASE DE CÁLCULO INSS: 7209.88 Retenções ISS 2% Município: BEZERROS / PE Retenções INSS 3.5% NFS-e: O ISS desta NFS-e será retido pelo tomador de serviço.</v>
      </c>
      <c r="AF63">
        <v>2</v>
      </c>
      <c r="AG63">
        <v>2</v>
      </c>
      <c r="AH63" t="b">
        <v>0</v>
      </c>
      <c r="AI63">
        <v>2</v>
      </c>
      <c r="AJ63">
        <v>1</v>
      </c>
      <c r="AK63" t="str">
        <v>06175128000172</v>
      </c>
      <c r="AL63" t="str">
        <v>54982402</v>
      </c>
      <c r="AM63" t="str">
        <v>Avenida Major Aprígio da Fonseca</v>
      </c>
      <c r="AN63" t="str">
        <v>237</v>
      </c>
      <c r="AO63" t="str">
        <v>Nossa Senhora Aparecida</v>
      </c>
      <c r="AP63" t="str">
        <v>PE</v>
      </c>
      <c r="AQ63" t="str">
        <v>2601904</v>
      </c>
      <c r="AR63" t="str">
        <v>XBZ</v>
      </c>
    </row>
    <row r="64">
      <c r="A64" t="str">
        <v>Huawei Gestao e Servicos de Telecomunicacoes do Brasil Ltda</v>
      </c>
      <c r="B64" t="str">
        <v>Huawei Gestao e Servicos de Telecomunicacoes do Brasil Ltda</v>
      </c>
      <c r="C64" t="str">
        <v>10.519.123/0001-97</v>
      </c>
      <c r="D64" t="str">
        <v>huawei@slgestao.com</v>
      </c>
      <c r="E64" t="str">
        <v>Avenida Jerome Case</v>
      </c>
      <c r="F64" t="str">
        <v>2600</v>
      </c>
      <c r="G64" t="str">
        <v>Galpão A3 A9 Quadra 25 Lote 7/A</v>
      </c>
      <c r="H64" t="str">
        <v>Sorocaba</v>
      </c>
      <c r="I64" t="str">
        <v>3552205</v>
      </c>
      <c r="J64" t="str">
        <v>Eden</v>
      </c>
      <c r="K64" t="str">
        <v>SP</v>
      </c>
      <c r="L64" t="str">
        <v>(11) 3930-8580</v>
      </c>
      <c r="M64" t="str">
        <v>18087-220</v>
      </c>
      <c r="N64" t="str">
        <v/>
      </c>
      <c r="O64" s="1">
        <f>=TODAY()</f>
      </c>
      <c r="P64" t="str">
        <v>6211HG3360342-819-3-10519123000197</v>
      </c>
      <c r="Q64" t="str">
        <v>10519123000197</v>
      </c>
      <c r="R64" t="str">
        <v>PO: 6211HG3360342-819 Line 3  PO: 6211HG3360342-819 Line 4  PO: 6211HG3360342-819 Line 2  PO: 6211HG3360342-819 Line 1</v>
      </c>
      <c r="S64" t="str">
        <v>3</v>
      </c>
      <c r="T64" t="str">
        <v>URUACU</v>
      </c>
      <c r="U64" t="str">
        <v>GO</v>
      </c>
      <c r="V64" t="str">
        <v>5221601</v>
      </c>
      <c r="W64">
        <v>6338.74</v>
      </c>
      <c r="X64">
        <v>6927.588000000001</v>
      </c>
      <c r="Y64" t="str">
        <v/>
      </c>
      <c r="Z64">
        <v>242.47</v>
      </c>
      <c r="AA64">
        <v>346.38</v>
      </c>
      <c r="AB64">
        <v>346.38</v>
      </c>
      <c r="AC64">
        <v>3.5</v>
      </c>
      <c r="AD64" t="str">
        <v>070202</v>
      </c>
      <c r="AE64" t="str">
        <v>Execução por empreitada de obras de construção civil e elétrica – adequação de infraestrutura, instalação e montagem de equipamentos de rede de telefonia celular, conforme pedidos de compra abaixo: PO: 6211HG3360342-819 LINE: 3 MUNICIPIO: URUACU / GO MATERIAL: SERVIÇO: 6927.59 BASE DE CÁLCULO ISS: 6927.59 BASE DE CÁLCULO INSS: 6927.59 Retenções ISS 5% Município: URUACU / GO Retenções INSS 3.5% NFS-e: O ISS desta NFS-e será retido pelo tomador de serviço.</v>
      </c>
      <c r="AF64">
        <v>5</v>
      </c>
      <c r="AG64">
        <v>2</v>
      </c>
      <c r="AH64" t="b">
        <v>0</v>
      </c>
      <c r="AI64">
        <v>2</v>
      </c>
      <c r="AJ64">
        <v>1</v>
      </c>
      <c r="AK64" t="str">
        <v>06175128000172</v>
      </c>
      <c r="AL64" t="str">
        <v>76400000</v>
      </c>
      <c r="AM64" t="str">
        <v>Rua Parana Qd 9</v>
      </c>
      <c r="AN64" t="str">
        <v>SN</v>
      </c>
      <c r="AO64" t="str">
        <v>Centro</v>
      </c>
      <c r="AP64" t="str">
        <v>GO</v>
      </c>
      <c r="AQ64" t="str">
        <v>5221601</v>
      </c>
      <c r="AR64" t="str">
        <v>URN</v>
      </c>
    </row>
    <row r="65">
      <c r="A65" t="str">
        <v>Huawei Gestao e Servicos de Telecomunicacoes do Brasil Ltda</v>
      </c>
      <c r="B65" t="str">
        <v>Huawei Gestao e Servicos de Telecomunicacoes do Brasil Ltda</v>
      </c>
      <c r="C65" t="str">
        <v>10.519.123/0001-97</v>
      </c>
      <c r="D65" t="str">
        <v>huawei@slgestao.com</v>
      </c>
      <c r="E65" t="str">
        <v>Avenida Jerome Case</v>
      </c>
      <c r="F65" t="str">
        <v>2600</v>
      </c>
      <c r="G65" t="str">
        <v>Galpão A3 A9 Quadra 25 Lote 7/A</v>
      </c>
      <c r="H65" t="str">
        <v>Sorocaba</v>
      </c>
      <c r="I65" t="str">
        <v>3552205</v>
      </c>
      <c r="J65" t="str">
        <v>Eden</v>
      </c>
      <c r="K65" t="str">
        <v>SP</v>
      </c>
      <c r="L65" t="str">
        <v>(11) 3930-8580</v>
      </c>
      <c r="M65" t="str">
        <v>18087-220</v>
      </c>
      <c r="N65" t="str">
        <v/>
      </c>
      <c r="O65" s="1">
        <f>=TODAY()</f>
      </c>
      <c r="P65" t="str">
        <v>6211HG3295910-144-1-10519123000197</v>
      </c>
      <c r="Q65" t="str">
        <v>10519123000197</v>
      </c>
      <c r="R65" t="str">
        <v>PO: 6211HG3295910-144 Line 1  PO: 6211HG3295910-146 Line 1</v>
      </c>
      <c r="S65" t="str">
        <v>1</v>
      </c>
      <c r="T65" t="str">
        <v>SAO PAULO</v>
      </c>
      <c r="U65" t="str">
        <v>SP</v>
      </c>
      <c r="V65" t="str">
        <v>3550308</v>
      </c>
      <c r="W65">
        <v>1295.57</v>
      </c>
      <c r="X65">
        <v>1415.93</v>
      </c>
      <c r="Y65" t="str">
        <v/>
      </c>
      <c r="Z65">
        <v>49.56</v>
      </c>
      <c r="AA65">
        <v>70.8</v>
      </c>
      <c r="AB65">
        <v>70.8</v>
      </c>
      <c r="AC65">
        <v>3.5</v>
      </c>
      <c r="AD65" t="str">
        <v>070202</v>
      </c>
      <c r="AE65" t="str">
        <v>Execução por empreitada de obras de construção civil e elétrica – adequação de infraestrutura, instalação e montagem de equipamentos de rede de telefonia celular, conforme pedidos de compra abaixo: PO: 6211HG3295910-144 LINE: 1 MUNICIPIO: SAO PAULO / SP MATERIAL: SERVIÇO: 1415.93 BASE DE CÁLCULO ISS: 1415.93 BASE DE CÁLCULO INSS: 1415.93 Retenções ISS 5% Município: SAO PAULO / SP Retenções INSS 3.5% NFS-e: O ISS desta NFS-e será retido pelo tomador de serviço.</v>
      </c>
      <c r="AF65">
        <v>5</v>
      </c>
      <c r="AG65">
        <v>2</v>
      </c>
      <c r="AH65" t="b">
        <v>0</v>
      </c>
      <c r="AI65">
        <v>2</v>
      </c>
      <c r="AJ65">
        <v>1</v>
      </c>
      <c r="AK65" t="str">
        <v>06175128000172</v>
      </c>
      <c r="AL65" t="str">
        <v>05118100</v>
      </c>
      <c r="AM65" t="str">
        <v>Avenida Marginal Direita do Tietê</v>
      </c>
      <c r="AN65" t="str">
        <v>SN</v>
      </c>
      <c r="AO65" t="str">
        <v>Vila Jaguara</v>
      </c>
      <c r="AP65" t="str">
        <v>SP</v>
      </c>
      <c r="AQ65" t="str">
        <v>3550308</v>
      </c>
      <c r="AR65" t="str">
        <v>SR-SPVL19</v>
      </c>
    </row>
    <row r="66">
      <c r="A66" t="str">
        <v>Huawei Gestao e Servicos de Telecomunicacoes do Brasil Ltda</v>
      </c>
      <c r="B66" t="str">
        <v>Huawei Gestao e Servicos de Telecomunicacoes do Brasil Ltda</v>
      </c>
      <c r="C66" t="str">
        <v>10.519.123/0001-97</v>
      </c>
      <c r="D66" t="str">
        <v>huawei@slgestao.com</v>
      </c>
      <c r="E66" t="str">
        <v>Avenida Jerome Case</v>
      </c>
      <c r="F66" t="str">
        <v>2600</v>
      </c>
      <c r="G66" t="str">
        <v>Galpão A3 A9 Quadra 25 Lote 7/A</v>
      </c>
      <c r="H66" t="str">
        <v>Sorocaba</v>
      </c>
      <c r="I66" t="str">
        <v>3552205</v>
      </c>
      <c r="J66" t="str">
        <v>Eden</v>
      </c>
      <c r="K66" t="str">
        <v>SP</v>
      </c>
      <c r="L66" t="str">
        <v>(11) 3930-8580</v>
      </c>
      <c r="M66" t="str">
        <v>18087-220</v>
      </c>
      <c r="N66" t="str">
        <v/>
      </c>
      <c r="O66" s="1">
        <f>=TODAY()</f>
      </c>
      <c r="P66" t="str">
        <v>6211HG3360338-930-1-10519123000197</v>
      </c>
      <c r="Q66" t="str">
        <v>10519123000197</v>
      </c>
      <c r="R66" t="str">
        <v>PO: 6211HG3360338-930 Line 1</v>
      </c>
      <c r="S66" t="str">
        <v>1</v>
      </c>
      <c r="T66" t="str">
        <v>TAUBATE</v>
      </c>
      <c r="U66" t="str">
        <v>SP</v>
      </c>
      <c r="V66" t="str">
        <v>3554102</v>
      </c>
      <c r="W66">
        <v>518.48</v>
      </c>
      <c r="X66">
        <v>554.531</v>
      </c>
      <c r="Y66" t="str">
        <v/>
      </c>
      <c r="Z66">
        <v>19.41</v>
      </c>
      <c r="AA66">
        <v>16.64</v>
      </c>
      <c r="AB66">
        <v>16.64</v>
      </c>
      <c r="AC66">
        <v>3.5</v>
      </c>
      <c r="AD66" t="str">
        <v>070202</v>
      </c>
      <c r="AE66" t="str">
        <v>Execução por empreitada de obras de construção civil e elétrica – adequação de infraestrutura, instalação e montagem de equipamentos de rede de telefonia celular, conforme pedidos de compra abaixo: PO: 6211HG3360338-930 LINE: 1 MUNICIPIO: TAUBATE / SP MATERIAL: SERVIÇO: 554.53 BASE DE CÁLCULO ISS: 554.53 BASE DE CÁLCULO INSS: 554.53 Retenções ISS 3% Município: TAUBATE / SP Retenções INSS 3.5% NFS-e: O ISS desta NFS-e será retido pelo tomador de serviço.</v>
      </c>
      <c r="AF66">
        <v>3</v>
      </c>
      <c r="AG66">
        <v>2</v>
      </c>
      <c r="AH66" t="b">
        <v>0</v>
      </c>
      <c r="AI66">
        <v>2</v>
      </c>
      <c r="AJ66">
        <v>1</v>
      </c>
      <c r="AK66" t="str">
        <v>06175128000172</v>
      </c>
      <c r="AL66" t="str">
        <v>12061600</v>
      </c>
      <c r="AM66" t="str">
        <v>Rua Padre Fischer</v>
      </c>
      <c r="AN66" t="str">
        <v>SN</v>
      </c>
      <c r="AO66" t="str">
        <v>Parque São Luís</v>
      </c>
      <c r="AP66" t="str">
        <v>SP</v>
      </c>
      <c r="AQ66" t="str">
        <v>3554102</v>
      </c>
      <c r="AR66" t="str">
        <v>TC9</v>
      </c>
    </row>
    <row r="67">
      <c r="A67" t="str">
        <v>Huawei Gestao e Servicos de Telecomunicacoes do Brasil Ltda</v>
      </c>
      <c r="B67" t="str">
        <v>Huawei Gestao e Servicos de Telecomunicacoes do Brasil Ltda</v>
      </c>
      <c r="C67" t="str">
        <v>10.519.123/0001-97</v>
      </c>
      <c r="D67" t="str">
        <v>huawei@slgestao.com</v>
      </c>
      <c r="E67" t="str">
        <v>Avenida Jerome Case</v>
      </c>
      <c r="F67" t="str">
        <v>2600</v>
      </c>
      <c r="G67" t="str">
        <v>Galpão A3 A9 Quadra 25 Lote 7/A</v>
      </c>
      <c r="H67" t="str">
        <v>Sorocaba</v>
      </c>
      <c r="I67" t="str">
        <v>3552205</v>
      </c>
      <c r="J67" t="str">
        <v>Eden</v>
      </c>
      <c r="K67" t="str">
        <v>SP</v>
      </c>
      <c r="L67" t="str">
        <v>(11) 3930-8580</v>
      </c>
      <c r="M67" t="str">
        <v>18087-220</v>
      </c>
      <c r="N67" t="str">
        <v/>
      </c>
      <c r="O67" s="1">
        <f>=TODAY()</f>
      </c>
      <c r="P67" t="str">
        <v>6211HG3295910-368-1-10519123000197</v>
      </c>
      <c r="Q67" t="str">
        <v>10519123000197</v>
      </c>
      <c r="R67" t="str">
        <v>PO: 6211HG3295910-368 Line 1</v>
      </c>
      <c r="S67" t="str">
        <v>1</v>
      </c>
      <c r="T67" t="str">
        <v>SAO PAULO</v>
      </c>
      <c r="U67" t="str">
        <v>SP</v>
      </c>
      <c r="V67" t="str">
        <v>3550308</v>
      </c>
      <c r="W67">
        <v>1100.66</v>
      </c>
      <c r="X67">
        <v>1202.91</v>
      </c>
      <c r="Y67" t="str">
        <v/>
      </c>
      <c r="Z67">
        <v>42.1</v>
      </c>
      <c r="AA67">
        <v>60.15</v>
      </c>
      <c r="AB67">
        <v>60.15</v>
      </c>
      <c r="AC67">
        <v>3.5</v>
      </c>
      <c r="AD67" t="str">
        <v>070202</v>
      </c>
      <c r="AE67" t="str">
        <v>Execução por empreitada de obras de construção civil e elétrica – adequação de infraestrutura, instalação e montagem de equipamentos de rede de telefonia celular, conforme pedidos de compra abaixo: PO: 6211HG3295910-368 LINE: 1 MUNICIPIO: SAO PAULO / SP MATERIAL: SERVIÇO: 1202.91 BASE DE CÁLCULO ISS: 1202.91 BASE DE CÁLCULO INSS: 1202.91 Retenções ISS 5% Município: SAO PAULO / SP Retenções INSS 3.5% NFS-e: O ISS desta NFS-e será retido pelo tomador de serviço.</v>
      </c>
      <c r="AF67">
        <v>5</v>
      </c>
      <c r="AG67">
        <v>2</v>
      </c>
      <c r="AH67" t="b">
        <v>0</v>
      </c>
      <c r="AI67">
        <v>2</v>
      </c>
      <c r="AJ67">
        <v>1</v>
      </c>
      <c r="AK67" t="str">
        <v>06175128000172</v>
      </c>
      <c r="AL67" t="str">
        <v>04119000</v>
      </c>
      <c r="AM67" t="str">
        <v>Rua Afonso Celso</v>
      </c>
      <c r="AN67" t="str">
        <v>1716</v>
      </c>
      <c r="AO67" t="str">
        <v>Vila Mariana</v>
      </c>
      <c r="AP67" t="str">
        <v>SP</v>
      </c>
      <c r="AQ67" t="str">
        <v>3550308</v>
      </c>
      <c r="AR67" t="str">
        <v>SR-SPVM27</v>
      </c>
    </row>
    <row r="68">
      <c r="A68" t="str">
        <v>Huawei Gestao e Servicos de Telecomunicacoes do Brasil Ltda</v>
      </c>
      <c r="B68" t="str">
        <v>Huawei Gestao e Servicos de Telecomunicacoes do Brasil Ltda</v>
      </c>
      <c r="C68" t="str">
        <v>10.519.123/0001-97</v>
      </c>
      <c r="D68" t="str">
        <v>huawei@slgestao.com</v>
      </c>
      <c r="E68" t="str">
        <v>Avenida Jerome Case</v>
      </c>
      <c r="F68" t="str">
        <v>2600</v>
      </c>
      <c r="G68" t="str">
        <v>Galpão A3 A9 Quadra 25 Lote 7/A</v>
      </c>
      <c r="H68" t="str">
        <v>Sorocaba</v>
      </c>
      <c r="I68" t="str">
        <v>3552205</v>
      </c>
      <c r="J68" t="str">
        <v>Eden</v>
      </c>
      <c r="K68" t="str">
        <v>SP</v>
      </c>
      <c r="L68" t="str">
        <v>(11) 3930-8580</v>
      </c>
      <c r="M68" t="str">
        <v>18087-220</v>
      </c>
      <c r="N68" t="str">
        <v/>
      </c>
      <c r="O68" s="1">
        <f>=TODAY()</f>
      </c>
      <c r="P68" t="str">
        <v>6211HG3295910-763-1-10519123000197</v>
      </c>
      <c r="Q68" t="str">
        <v>10519123000197</v>
      </c>
      <c r="R68" t="str">
        <v>PO: 6211HG3295910-763 Line 1</v>
      </c>
      <c r="S68" t="str">
        <v>1</v>
      </c>
      <c r="T68" t="str">
        <v>SANTO ANDRE</v>
      </c>
      <c r="U68" t="str">
        <v>SP</v>
      </c>
      <c r="V68" t="str">
        <v>3547809</v>
      </c>
      <c r="W68">
        <v>1341.38</v>
      </c>
      <c r="X68">
        <v>1465.99</v>
      </c>
      <c r="Y68" t="str">
        <v/>
      </c>
      <c r="Z68">
        <v>51.31</v>
      </c>
      <c r="AA68">
        <v>73.3</v>
      </c>
      <c r="AB68">
        <v>73.3</v>
      </c>
      <c r="AC68">
        <v>3.5</v>
      </c>
      <c r="AD68" t="str">
        <v>070202</v>
      </c>
      <c r="AE68" t="str">
        <v>Execução por empreitada de obras de construção civil e elétrica – adequação de infraestrutura, instalação e montagem de equipamentos de rede de telefonia celular, conforme pedidos de compra abaixo: PO: 6211HG3295910-763 LINE: 1 MUNICIPIO: SANTO ANDRE / SP MATERIAL: SERVIÇO: 1465.99 BASE DE CÁLCULO ISS: 1465.99 BASE DE CÁLCULO INSS: 1465.99 Retenções ISS 5% Município: SANTO ANDRE / SP Retenções INSS 3.5% NFS-e: O ISS desta NFS-e será retido pelo tomador de serviço.</v>
      </c>
      <c r="AF68">
        <v>5</v>
      </c>
      <c r="AG68">
        <v>2</v>
      </c>
      <c r="AH68" t="b">
        <v>0</v>
      </c>
      <c r="AI68">
        <v>2</v>
      </c>
      <c r="AJ68">
        <v>1</v>
      </c>
      <c r="AK68" t="str">
        <v>06175128000172</v>
      </c>
      <c r="AL68" t="str">
        <v>09210050</v>
      </c>
      <c r="AM68" t="str">
        <v>Rua Holanda</v>
      </c>
      <c r="AN68" t="str">
        <v>251</v>
      </c>
      <c r="AO68" t="str">
        <v>Parque das Nações</v>
      </c>
      <c r="AP68" t="str">
        <v>SP</v>
      </c>
      <c r="AQ68" t="str">
        <v>3547809</v>
      </c>
      <c r="AR68" t="str">
        <v>SR-SAJL02</v>
      </c>
    </row>
    <row r="69">
      <c r="A69" t="str">
        <v>Huawei Gestao e Servicos de Telecomunicacoes do Brasil Ltda</v>
      </c>
      <c r="B69" t="str">
        <v>Huawei Gestao e Servicos de Telecomunicacoes do Brasil Ltda</v>
      </c>
      <c r="C69" t="str">
        <v>10.519.123/0001-97</v>
      </c>
      <c r="D69" t="str">
        <v>huawei@slgestao.com</v>
      </c>
      <c r="E69" t="str">
        <v>Avenida Jerome Case</v>
      </c>
      <c r="F69" t="str">
        <v>2600</v>
      </c>
      <c r="G69" t="str">
        <v>Galpão A3 A9 Quadra 25 Lote 7/A</v>
      </c>
      <c r="H69" t="str">
        <v>Sorocaba</v>
      </c>
      <c r="I69" t="str">
        <v>3552205</v>
      </c>
      <c r="J69" t="str">
        <v>Eden</v>
      </c>
      <c r="K69" t="str">
        <v>SP</v>
      </c>
      <c r="L69" t="str">
        <v>(11) 3930-8580</v>
      </c>
      <c r="M69" t="str">
        <v>18087-220</v>
      </c>
      <c r="N69" t="str">
        <v/>
      </c>
      <c r="O69" s="1">
        <f>=TODAY()</f>
      </c>
      <c r="P69" t="str">
        <v>6211HG3360340-1369-2-10519123000197</v>
      </c>
      <c r="Q69" t="str">
        <v>10519123000197</v>
      </c>
      <c r="R69" t="str">
        <v>PO: 6211HG3360340-1369 Line 2  PO: 6211HG3360340-1339 Line 1  PO: 6211HG3360340-1369 Line 3</v>
      </c>
      <c r="S69" t="str">
        <v>2</v>
      </c>
      <c r="T69" t="str">
        <v>SOBRAL</v>
      </c>
      <c r="U69" t="str">
        <v>CE</v>
      </c>
      <c r="V69" t="str">
        <v>2312908</v>
      </c>
      <c r="W69">
        <v>767.08</v>
      </c>
      <c r="X69">
        <v>811.7239999999999</v>
      </c>
      <c r="Y69" t="str">
        <v/>
      </c>
      <c r="Z69">
        <v>28.41</v>
      </c>
      <c r="AA69">
        <v>16.23</v>
      </c>
      <c r="AB69">
        <v>16.23</v>
      </c>
      <c r="AC69">
        <v>3.5</v>
      </c>
      <c r="AD69" t="str">
        <v>070202</v>
      </c>
      <c r="AE69" t="str">
        <v>Execução por empreitada de obras de construção civil e elétrica – adequação de infraestrutura, instalação e montagem de equipamentos de rede de telefonia celular, conforme pedidos de compra abaixo: PO: 6211HG3360340-1369 LINE: 2 MUNICIPIO: SOBRAL / CE MATERIAL: SERVIÇO: 811.72 BASE DE CÁLCULO ISS: 811.72 BASE DE CÁLCULO INSS: 811.72 Retenções ISS 2% Município: SOBRAL / CE Retenções INSS 3.5% NFS-e: O ISS desta NFS-e será retido pelo tomador de serviço.</v>
      </c>
      <c r="AF69">
        <v>2</v>
      </c>
      <c r="AG69">
        <v>2</v>
      </c>
      <c r="AH69" t="b">
        <v>0</v>
      </c>
      <c r="AI69">
        <v>2</v>
      </c>
      <c r="AJ69">
        <v>1</v>
      </c>
      <c r="AK69" t="str">
        <v>06175128000172</v>
      </c>
      <c r="AL69" t="str">
        <v>62031150</v>
      </c>
      <c r="AM69" t="str">
        <v>Rua Raimundo Alves</v>
      </c>
      <c r="AN69" t="str">
        <v>91</v>
      </c>
      <c r="AO69" t="str">
        <v>José Euclides</v>
      </c>
      <c r="AP69" t="str">
        <v>CE</v>
      </c>
      <c r="AQ69" t="str">
        <v>2312908</v>
      </c>
      <c r="AR69" t="str">
        <v>SR-SOJCJ3</v>
      </c>
    </row>
    <row r="70">
      <c r="A70" t="str">
        <v>Huawei Gestao e Servicos de Telecomunicacoes do Brasil Ltda</v>
      </c>
      <c r="B70" t="str">
        <v>Huawei Gestao e Servicos de Telecomunicacoes do Brasil Ltda</v>
      </c>
      <c r="C70" t="str">
        <v>10.519.123/0001-97</v>
      </c>
      <c r="D70" t="str">
        <v>huawei@slgestao.com</v>
      </c>
      <c r="E70" t="str">
        <v>Avenida Jerome Case</v>
      </c>
      <c r="F70" t="str">
        <v>2600</v>
      </c>
      <c r="G70" t="str">
        <v>Galpão A3 A9 Quadra 25 Lote 7/A</v>
      </c>
      <c r="H70" t="str">
        <v>Sorocaba</v>
      </c>
      <c r="I70" t="str">
        <v>3552205</v>
      </c>
      <c r="J70" t="str">
        <v>Eden</v>
      </c>
      <c r="K70" t="str">
        <v>SP</v>
      </c>
      <c r="L70" t="str">
        <v>(11) 3930-8580</v>
      </c>
      <c r="M70" t="str">
        <v>18087-220</v>
      </c>
      <c r="N70" t="str">
        <v/>
      </c>
      <c r="O70" s="1">
        <f>=TODAY()</f>
      </c>
      <c r="P70" t="str">
        <v>6211HG3360340-3018-1-10519123000197</v>
      </c>
      <c r="Q70" t="str">
        <v>10519123000197</v>
      </c>
      <c r="R70" t="str">
        <v>PO: 6211HG3360340-3018 Line 1</v>
      </c>
      <c r="S70" t="str">
        <v>1</v>
      </c>
      <c r="T70" t="str">
        <v>GUARABIRA</v>
      </c>
      <c r="U70" t="str">
        <v>PB</v>
      </c>
      <c r="V70" t="str">
        <v>2506301</v>
      </c>
      <c r="W70">
        <v>317.67</v>
      </c>
      <c r="X70">
        <v>347.184</v>
      </c>
      <c r="Y70" t="str">
        <v/>
      </c>
      <c r="Z70">
        <v>12.15</v>
      </c>
      <c r="AA70">
        <v>17.36</v>
      </c>
      <c r="AB70">
        <v>17.36</v>
      </c>
      <c r="AC70">
        <v>3.5</v>
      </c>
      <c r="AD70" t="str">
        <v>070202</v>
      </c>
      <c r="AE70" t="str">
        <v>Execução por empreitada de obras de construção civil e elétrica – adequação de infraestrutura, instalação e montagem de equipamentos de rede de telefonia celular, conforme pedidos de compra abaixo: PO: 6211HG3360340-3018 LINE: 1 MUNICIPIO: GUARABIRA / PB MATERIAL: SERVIÇO: 347.18 BASE DE CÁLCULO ISS: 347.18 BASE DE CÁLCULO INSS: 347.18 Retenções ISS 5% Município: GUARABIRA / PB Retenções INSS 3.5% NFS-e: O ISS desta NFS-e será retido pelo tomador de serviço.</v>
      </c>
      <c r="AF70">
        <v>5</v>
      </c>
      <c r="AG70">
        <v>2</v>
      </c>
      <c r="AH70" t="b">
        <v>0</v>
      </c>
      <c r="AI70">
        <v>2</v>
      </c>
      <c r="AJ70">
        <v>1</v>
      </c>
      <c r="AK70" t="str">
        <v>06175128000172</v>
      </c>
      <c r="AL70" t="str">
        <v>58200000</v>
      </c>
      <c r="AM70" t="str">
        <v>JOSUÉ PIMENTEL</v>
      </c>
      <c r="AN70" t="str">
        <v>250</v>
      </c>
      <c r="AO70" t="str">
        <v/>
      </c>
      <c r="AP70" t="str">
        <v>PB</v>
      </c>
      <c r="AQ70" t="str">
        <v/>
      </c>
      <c r="AR70" t="str">
        <v>PBGBI03</v>
      </c>
    </row>
    <row r="71">
      <c r="A71" t="str">
        <v>Huawei Gestao e Servicos de Telecomunicacoes do Brasil Ltda</v>
      </c>
      <c r="B71" t="str">
        <v>Huawei Gestao e Servicos de Telecomunicacoes do Brasil Ltda</v>
      </c>
      <c r="C71" t="str">
        <v>10.519.123/0001-97</v>
      </c>
      <c r="D71" t="str">
        <v>huawei@slgestao.com</v>
      </c>
      <c r="E71" t="str">
        <v>Avenida Jerome Case</v>
      </c>
      <c r="F71" t="str">
        <v>2600</v>
      </c>
      <c r="G71" t="str">
        <v>Galpão A3 A9 Quadra 25 Lote 7/A</v>
      </c>
      <c r="H71" t="str">
        <v>Sorocaba</v>
      </c>
      <c r="I71" t="str">
        <v>3552205</v>
      </c>
      <c r="J71" t="str">
        <v>Eden</v>
      </c>
      <c r="K71" t="str">
        <v>SP</v>
      </c>
      <c r="L71" t="str">
        <v>(11) 3930-8580</v>
      </c>
      <c r="M71" t="str">
        <v>18087-220</v>
      </c>
      <c r="N71" t="str">
        <v/>
      </c>
      <c r="O71" s="1">
        <f>=TODAY()</f>
      </c>
      <c r="P71" t="str">
        <v>6211HG3360338-845-1-10519123000197</v>
      </c>
      <c r="Q71" t="str">
        <v>10519123000197</v>
      </c>
      <c r="R71" t="str">
        <v>PO: 6211HG3360338-845 Line 1</v>
      </c>
      <c r="S71" t="str">
        <v>1</v>
      </c>
      <c r="T71" t="str">
        <v>CONCHAS</v>
      </c>
      <c r="U71" t="str">
        <v>SP</v>
      </c>
      <c r="V71" t="str">
        <v>3512308</v>
      </c>
      <c r="W71">
        <v>11.84</v>
      </c>
      <c r="X71">
        <v>12.938</v>
      </c>
      <c r="Y71" t="str">
        <v/>
      </c>
      <c r="Z71">
        <v>0.45</v>
      </c>
      <c r="AA71">
        <v>0.65</v>
      </c>
      <c r="AB71">
        <v>0.65</v>
      </c>
      <c r="AC71">
        <v>3.5</v>
      </c>
      <c r="AD71" t="str">
        <v>070202</v>
      </c>
      <c r="AE71" t="str">
        <v>Execução por empreitada de obras de construção civil e elétrica – adequação de infraestrutura, instalação e montagem de equipamentos de rede de telefonia celular, conforme pedidos de compra abaixo: PO: 6211HG3360338-845 LINE: 1 MUNICIPIO: CONCHAS / SP MATERIAL: SERVIÇO: 12.94 BASE DE CÁLCULO ISS: 12.94 BASE DE CÁLCULO INSS: 12.94 Retenções ISS 5% Município: CONCHAS / SP Retenções INSS 3.5% NFS-e: O ISS desta NFS-e será retido pelo tomador de serviço.</v>
      </c>
      <c r="AF71">
        <v>5</v>
      </c>
      <c r="AG71">
        <v>2</v>
      </c>
      <c r="AH71" t="b">
        <v>0</v>
      </c>
      <c r="AI71">
        <v>2</v>
      </c>
      <c r="AJ71">
        <v>1</v>
      </c>
      <c r="AK71" t="str">
        <v>06175128000172</v>
      </c>
      <c r="AL71" t="str">
        <v>18570000</v>
      </c>
      <c r="AM71" t="str">
        <v>Rodovia Marechal Rondon</v>
      </c>
      <c r="AN71" t="str">
        <v>SN</v>
      </c>
      <c r="AO71" t="str">
        <v>Bairro dos Lopes</v>
      </c>
      <c r="AP71" t="str">
        <v>SP</v>
      </c>
      <c r="AQ71" t="str">
        <v>3512308</v>
      </c>
      <c r="AR71" t="str">
        <v>18NLONRD01</v>
      </c>
    </row>
    <row r="72">
      <c r="A72" t="str">
        <v>Huawei Gestao e Servicos de Telecomunicacoes do Brasil Ltda</v>
      </c>
      <c r="B72" t="str">
        <v>Huawei Gestao e Servicos de Telecomunicacoes do Brasil Ltda</v>
      </c>
      <c r="C72" t="str">
        <v>10.519.123/0001-97</v>
      </c>
      <c r="D72" t="str">
        <v>huawei@slgestao.com</v>
      </c>
      <c r="E72" t="str">
        <v>Avenida Jerome Case</v>
      </c>
      <c r="F72" t="str">
        <v>2600</v>
      </c>
      <c r="G72" t="str">
        <v>Galpão A3 A9 Quadra 25 Lote 7/A</v>
      </c>
      <c r="H72" t="str">
        <v>Sorocaba</v>
      </c>
      <c r="I72" t="str">
        <v>3552205</v>
      </c>
      <c r="J72" t="str">
        <v>Eden</v>
      </c>
      <c r="K72" t="str">
        <v>SP</v>
      </c>
      <c r="L72" t="str">
        <v>(11) 3930-8580</v>
      </c>
      <c r="M72" t="str">
        <v>18087-220</v>
      </c>
      <c r="N72" t="str">
        <v/>
      </c>
      <c r="O72" s="1">
        <f>=TODAY()</f>
      </c>
      <c r="P72" t="str">
        <v>6211HG3360340-3637-1-10519123000197</v>
      </c>
      <c r="Q72" t="str">
        <v>10519123000197</v>
      </c>
      <c r="R72" t="str">
        <v>PO: 6211HG3360340-3637 Line 1  PO: 6211HG3360340-3637 Line 2  PO: 6211HG3360340-3637 Line 3  PO: 6211HG3360340-3637 Line 4</v>
      </c>
      <c r="S72" t="str">
        <v>1</v>
      </c>
      <c r="T72" t="str">
        <v>PALMARES</v>
      </c>
      <c r="U72" t="str">
        <v>PE</v>
      </c>
      <c r="V72" t="str">
        <v>2610004</v>
      </c>
      <c r="W72">
        <v>573.73</v>
      </c>
      <c r="X72">
        <v>627.0260000000001</v>
      </c>
      <c r="Y72" t="str">
        <v/>
      </c>
      <c r="Z72">
        <v>21.95</v>
      </c>
      <c r="AA72">
        <v>31.35</v>
      </c>
      <c r="AB72">
        <v>31.35</v>
      </c>
      <c r="AC72">
        <v>3.5</v>
      </c>
      <c r="AD72" t="str">
        <v>070202</v>
      </c>
      <c r="AE72" t="str">
        <v>Execução por empreitada de obras de construção civil e elétrica – adequação de infraestrutura, instalação e montagem de equipamentos de rede de telefonia celular, conforme pedidos de compra abaixo: PO: 6211HG3360340-3637 LINE: 1 MUNICIPIO: PALMARES / PE MATERIAL: SERVIÇO: 627.03 BASE DE CÁLCULO ISS: 627.03 BASE DE CÁLCULO INSS: 627.03 Retenções ISS 5% Município: PALMARES / PE Retenções INSS 3.5% NFS-e: O ISS desta NFS-e será retido pelo tomador de serviço.</v>
      </c>
      <c r="AF72">
        <v>5</v>
      </c>
      <c r="AG72">
        <v>2</v>
      </c>
      <c r="AH72" t="b">
        <v>0</v>
      </c>
      <c r="AI72">
        <v>2</v>
      </c>
      <c r="AJ72">
        <v>1</v>
      </c>
      <c r="AK72" t="str">
        <v>06175128000172</v>
      </c>
      <c r="AL72" t="str">
        <v>55400000</v>
      </c>
      <c r="AM72" t="str">
        <v>R Jose Verissimo Gomes</v>
      </c>
      <c r="AN72" t="str">
        <v>100</v>
      </c>
      <c r="AO72" t="str">
        <v>Centro</v>
      </c>
      <c r="AP72" t="str">
        <v>PE</v>
      </c>
      <c r="AQ72" t="str">
        <v>2604205</v>
      </c>
      <c r="AR72" t="str">
        <v>TMH</v>
      </c>
    </row>
    <row r="73">
      <c r="A73" t="str">
        <v>Huawei Gestao e Servicos de Telecomunicacoes do Brasil Ltda</v>
      </c>
      <c r="B73" t="str">
        <v>Huawei Gestao e Servicos de Telecomunicacoes do Brasil Ltda</v>
      </c>
      <c r="C73" t="str">
        <v>10.519.123/0001-97</v>
      </c>
      <c r="D73" t="str">
        <v>huawei@slgestao.com</v>
      </c>
      <c r="E73" t="str">
        <v>Avenida Jerome Case</v>
      </c>
      <c r="F73" t="str">
        <v>2600</v>
      </c>
      <c r="G73" t="str">
        <v>Galpão A3 A9 Quadra 25 Lote 7/A</v>
      </c>
      <c r="H73" t="str">
        <v>Sorocaba</v>
      </c>
      <c r="I73" t="str">
        <v>3552205</v>
      </c>
      <c r="J73" t="str">
        <v>Eden</v>
      </c>
      <c r="K73" t="str">
        <v>SP</v>
      </c>
      <c r="L73" t="str">
        <v>(11) 3930-8580</v>
      </c>
      <c r="M73" t="str">
        <v>18087-220</v>
      </c>
      <c r="N73" t="str">
        <v/>
      </c>
      <c r="O73" s="1">
        <f>=TODAY()</f>
      </c>
      <c r="P73" t="str">
        <v>6211HG3360342-978-1-10519123000197</v>
      </c>
      <c r="Q73" t="str">
        <v>10519123000197</v>
      </c>
      <c r="R73" t="str">
        <v>PO: 6211HG3360342-978 Line 1  PO: 6211HG3360342-978 Line 3  PO: 6211HG3360342-978 Line 2  PO: 6211HG3360342-981 Line 1</v>
      </c>
      <c r="S73" t="str">
        <v>1</v>
      </c>
      <c r="T73" t="str">
        <v>BRASILIA</v>
      </c>
      <c r="U73" t="str">
        <v>DF</v>
      </c>
      <c r="V73" t="str">
        <v>5300108</v>
      </c>
      <c r="W73">
        <v>943.81</v>
      </c>
      <c r="X73">
        <v>998.754</v>
      </c>
      <c r="Y73" t="str">
        <v/>
      </c>
      <c r="Z73">
        <v>34.96</v>
      </c>
      <c r="AA73">
        <v>19.98</v>
      </c>
      <c r="AB73">
        <v>19.98</v>
      </c>
      <c r="AC73">
        <v>3.5</v>
      </c>
      <c r="AD73" t="str">
        <v>070202</v>
      </c>
      <c r="AE73" t="str">
        <v>Execução por empreitada de obras de construção civil e elétrica – adequação de infraestrutura, instalação e montagem de equipamentos de rede de telefonia celular, conforme pedidos de compra abaixo: PO: 6211HG3360342-978 LINE: 1 MUNICIPIO: BRASILIA / DF MATERIAL: SERVIÇO: 998.75 BASE DE CÁLCULO ISS: 998.75 BASE DE CÁLCULO INSS: 998.75 Retenções ISS 2% Município: BRASILIA / DF Retenções INSS 3.5% NFS-e: O ISS desta NFS-e será retido pelo tomador de serviço.</v>
      </c>
      <c r="AF73">
        <v>2</v>
      </c>
      <c r="AG73">
        <v>2</v>
      </c>
      <c r="AH73" t="b">
        <v>0</v>
      </c>
      <c r="AI73">
        <v>2</v>
      </c>
      <c r="AJ73">
        <v>1</v>
      </c>
      <c r="AK73" t="str">
        <v>06175128000172</v>
      </c>
      <c r="AL73" t="str">
        <v>72250300</v>
      </c>
      <c r="AM73" t="str">
        <v>QNO 3 CONJUNTO O</v>
      </c>
      <c r="AN73" t="str">
        <v>28</v>
      </c>
      <c r="AO73" t="str">
        <v>CEILANDIA NORTE</v>
      </c>
      <c r="AP73" t="str">
        <v>DF</v>
      </c>
      <c r="AQ73" t="str">
        <v/>
      </c>
      <c r="AR73" t="str">
        <v>DFTAGA7</v>
      </c>
    </row>
    <row r="74">
      <c r="A74" t="str">
        <v>Huawei Gestao e Servicos de Telecomunicacoes do Brasil Ltda</v>
      </c>
      <c r="B74" t="str">
        <v>Huawei Gestao e Servicos de Telecomunicacoes do Brasil Ltda</v>
      </c>
      <c r="C74" t="str">
        <v>10.519.123/0001-97</v>
      </c>
      <c r="D74" t="str">
        <v>huawei@slgestao.com</v>
      </c>
      <c r="E74" t="str">
        <v>Avenida Jerome Case</v>
      </c>
      <c r="F74" t="str">
        <v>2600</v>
      </c>
      <c r="G74" t="str">
        <v>Galpão A3 A9 Quadra 25 Lote 7/A</v>
      </c>
      <c r="H74" t="str">
        <v>Sorocaba</v>
      </c>
      <c r="I74" t="str">
        <v>3552205</v>
      </c>
      <c r="J74" t="str">
        <v>Eden</v>
      </c>
      <c r="K74" t="str">
        <v>SP</v>
      </c>
      <c r="L74" t="str">
        <v>(11) 3930-8580</v>
      </c>
      <c r="M74" t="str">
        <v>18087-220</v>
      </c>
      <c r="N74" t="str">
        <v/>
      </c>
      <c r="O74" s="1">
        <f>=TODAY()</f>
      </c>
      <c r="P74" t="str">
        <v>6211HG3360338-881-1-10519123000197</v>
      </c>
      <c r="Q74" t="str">
        <v>10519123000197</v>
      </c>
      <c r="R74" t="str">
        <v>PO: 6211HG3360338-881 Line 1  PO: 6211HG3360338-881 Line 2</v>
      </c>
      <c r="S74" t="str">
        <v>1</v>
      </c>
      <c r="T74" t="str">
        <v>COTIA</v>
      </c>
      <c r="U74" t="str">
        <v>SP</v>
      </c>
      <c r="V74" t="str">
        <v>3513009</v>
      </c>
      <c r="W74">
        <v>3131.06</v>
      </c>
      <c r="X74">
        <v>3421.926</v>
      </c>
      <c r="Y74" t="str">
        <v/>
      </c>
      <c r="Z74">
        <v>119.77</v>
      </c>
      <c r="AA74">
        <v>171.1</v>
      </c>
      <c r="AB74">
        <v>171.1</v>
      </c>
      <c r="AC74">
        <v>3.5</v>
      </c>
      <c r="AD74" t="str">
        <v>070202</v>
      </c>
      <c r="AE74" t="str">
        <v>Execução por empreitada de obras de construção civil e elétrica – adequação de infraestrutura, instalação e montagem de equipamentos de rede de telefonia celular, conforme pedidos de compra abaixo: PO: 6211HG3360338-881 LINE: 1 MUNICIPIO: COTIA / SP MATERIAL: SERVIÇO: 3421.93 BASE DE CÁLCULO ISS: 3421.93 BASE DE CÁLCULO INSS: 3421.93 Retenções ISS 5% Município: COTIA / SP Retenções INSS 3.5% NFS-e: O ISS desta NFS-e será retido pelo tomador de serviço.</v>
      </c>
      <c r="AF74">
        <v>5</v>
      </c>
      <c r="AG74">
        <v>2</v>
      </c>
      <c r="AH74" t="b">
        <v>0</v>
      </c>
      <c r="AI74">
        <v>2</v>
      </c>
      <c r="AJ74">
        <v>1</v>
      </c>
      <c r="AK74" t="str">
        <v>06175128000172</v>
      </c>
      <c r="AL74" t="str">
        <v>06702212</v>
      </c>
      <c r="AM74" t="str">
        <v>Avenida Álvares Machado</v>
      </c>
      <c r="AN74" t="str">
        <v>472</v>
      </c>
      <c r="AO74" t="str">
        <v>Parque Rizzo</v>
      </c>
      <c r="AP74" t="str">
        <v>SP</v>
      </c>
      <c r="AQ74" t="str">
        <v>3513009</v>
      </c>
      <c r="AR74" t="str">
        <v>SR-COMMJ1</v>
      </c>
    </row>
    <row r="75">
      <c r="A75" t="str">
        <v>Huawei Gestao e Servicos de Telecomunicacoes do Brasil Ltda</v>
      </c>
      <c r="B75" t="str">
        <v>Huawei Gestao e Servicos de Telecomunicacoes do Brasil Ltda</v>
      </c>
      <c r="C75" t="str">
        <v>10.519.123/0001-97</v>
      </c>
      <c r="D75" t="str">
        <v>huawei@slgestao.com</v>
      </c>
      <c r="E75" t="str">
        <v>Avenida Jerome Case</v>
      </c>
      <c r="F75" t="str">
        <v>2600</v>
      </c>
      <c r="G75" t="str">
        <v>Galpão A3 A9 Quadra 25 Lote 7/A</v>
      </c>
      <c r="H75" t="str">
        <v>Sorocaba</v>
      </c>
      <c r="I75" t="str">
        <v>3552205</v>
      </c>
      <c r="J75" t="str">
        <v>Eden</v>
      </c>
      <c r="K75" t="str">
        <v>SP</v>
      </c>
      <c r="L75" t="str">
        <v>(11) 3930-8580</v>
      </c>
      <c r="M75" t="str">
        <v>18087-220</v>
      </c>
      <c r="N75" t="str">
        <v/>
      </c>
      <c r="O75" s="1">
        <f>=TODAY()</f>
      </c>
      <c r="P75" t="str">
        <v>6211HG3360342-996-1-10519123000197</v>
      </c>
      <c r="Q75" t="str">
        <v>10519123000197</v>
      </c>
      <c r="R75" t="str">
        <v>PO: 6211HG3360342-996 Line 1</v>
      </c>
      <c r="S75" t="str">
        <v>1</v>
      </c>
      <c r="T75" t="str">
        <v>BRASILIA</v>
      </c>
      <c r="U75" t="str">
        <v>DF</v>
      </c>
      <c r="V75" t="str">
        <v>5300108</v>
      </c>
      <c r="W75">
        <v>3159.85</v>
      </c>
      <c r="X75">
        <v>3343.761</v>
      </c>
      <c r="Y75" t="str">
        <v/>
      </c>
      <c r="Z75">
        <v>117.03</v>
      </c>
      <c r="AA75">
        <v>66.88</v>
      </c>
      <c r="AB75">
        <v>66.88</v>
      </c>
      <c r="AC75">
        <v>3.5</v>
      </c>
      <c r="AD75" t="str">
        <v>070202</v>
      </c>
      <c r="AE75" t="str">
        <v>Execução por empreitada de obras de construção civil e elétrica – adequação de infraestrutura, instalação e montagem de equipamentos de rede de telefonia celular, conforme pedidos de compra abaixo: PO: 6211HG3360342-996 LINE: 1 MUNICIPIO: BRASILIA / DF MATERIAL: SERVIÇO: 3343.76 BASE DE CÁLCULO ISS: 3343.76 BASE DE CÁLCULO INSS: 3343.76 Retenções ISS 2% Município: BRASILIA / DF Retenções INSS 3.5% NFS-e: O ISS desta NFS-e será retido pelo tomador de serviço.</v>
      </c>
      <c r="AF75">
        <v>2</v>
      </c>
      <c r="AG75">
        <v>2</v>
      </c>
      <c r="AH75" t="b">
        <v>0</v>
      </c>
      <c r="AI75">
        <v>2</v>
      </c>
      <c r="AJ75">
        <v>1</v>
      </c>
      <c r="AK75" t="str">
        <v>06175128000172</v>
      </c>
      <c r="AL75" t="str">
        <v>72630123</v>
      </c>
      <c r="AM75" t="str">
        <v>BURITI</v>
      </c>
      <c r="AN75" t="str">
        <v>S/N</v>
      </c>
      <c r="AO75" t="str">
        <v>RECANTO DAS EMAS</v>
      </c>
      <c r="AP75" t="str">
        <v>DF</v>
      </c>
      <c r="AQ75" t="str">
        <v/>
      </c>
      <c r="AR75" t="str">
        <v>DFTAG73</v>
      </c>
    </row>
    <row r="76">
      <c r="A76" t="str">
        <v>Huawei Gestao e Servicos de Telecomunicacoes do Brasil Ltda</v>
      </c>
      <c r="B76" t="str">
        <v>Huawei Gestao e Servicos de Telecomunicacoes do Brasil Ltda</v>
      </c>
      <c r="C76" t="str">
        <v>10.519.123/0001-97</v>
      </c>
      <c r="D76" t="str">
        <v>huawei@slgestao.com</v>
      </c>
      <c r="E76" t="str">
        <v>Avenida Jerome Case</v>
      </c>
      <c r="F76" t="str">
        <v>2600</v>
      </c>
      <c r="G76" t="str">
        <v>Galpão A3 A9 Quadra 25 Lote 7/A</v>
      </c>
      <c r="H76" t="str">
        <v>Sorocaba</v>
      </c>
      <c r="I76" t="str">
        <v>3552205</v>
      </c>
      <c r="J76" t="str">
        <v>Eden</v>
      </c>
      <c r="K76" t="str">
        <v>SP</v>
      </c>
      <c r="L76" t="str">
        <v>(11) 3930-8580</v>
      </c>
      <c r="M76" t="str">
        <v>18087-220</v>
      </c>
      <c r="N76" t="str">
        <v/>
      </c>
      <c r="O76" s="1">
        <f>=TODAY()</f>
      </c>
      <c r="P76" t="str">
        <v>6211HG3360340-3626-1-10519123000197</v>
      </c>
      <c r="Q76" t="str">
        <v>10519123000197</v>
      </c>
      <c r="R76" t="str">
        <v>PO: 6211HG3360340-3626 Line 1  PO: 6211HG3360340-3626 Line 2</v>
      </c>
      <c r="S76" t="str">
        <v>1</v>
      </c>
      <c r="T76" t="str">
        <v>GARANHUNS</v>
      </c>
      <c r="U76" t="str">
        <v>PE</v>
      </c>
      <c r="V76" t="str">
        <v>2606002</v>
      </c>
      <c r="W76">
        <v>4220.59</v>
      </c>
      <c r="X76">
        <v>4612.662</v>
      </c>
      <c r="Y76" t="str">
        <v/>
      </c>
      <c r="Z76">
        <v>161.44</v>
      </c>
      <c r="AA76">
        <v>230.63</v>
      </c>
      <c r="AB76">
        <v>230.63</v>
      </c>
      <c r="AC76">
        <v>3.5</v>
      </c>
      <c r="AD76" t="str">
        <v>070202</v>
      </c>
      <c r="AE76" t="str">
        <v>Execução por empreitada de obras de construção civil e elétrica – adequação de infraestrutura, instalação e montagem de equipamentos de rede de telefonia celular, conforme pedidos de compra abaixo: PO: 6211HG3360340-3626 LINE: 1 MUNICIPIO: GARANHUNS / PE MATERIAL: SERVIÇO: 4612.66 BASE DE CÁLCULO ISS: 4612.66 BASE DE CÁLCULO INSS: 4612.66 Retenções ISS 5% Município: GARANHUNS / PE Retenções INSS 3.5% NFS-e: O ISS desta NFS-e será retido pelo tomador de serviço.</v>
      </c>
      <c r="AF76">
        <v>5</v>
      </c>
      <c r="AG76">
        <v>2</v>
      </c>
      <c r="AH76" t="b">
        <v>0</v>
      </c>
      <c r="AI76">
        <v>2</v>
      </c>
      <c r="AJ76">
        <v>1</v>
      </c>
      <c r="AK76" t="str">
        <v>06175128000172</v>
      </c>
      <c r="AL76" t="str">
        <v>55293460</v>
      </c>
      <c r="AM76" t="str">
        <v>Rua Ary Barroso</v>
      </c>
      <c r="AN76" t="str">
        <v>SN</v>
      </c>
      <c r="AO76" t="str">
        <v>Santo Antônio</v>
      </c>
      <c r="AP76" t="str">
        <v>PE</v>
      </c>
      <c r="AQ76" t="str">
        <v>2606002</v>
      </c>
      <c r="AR76" t="str">
        <v>WCX</v>
      </c>
    </row>
    <row r="77">
      <c r="A77" t="str">
        <v>Huawei Gestao e Servicos de Telecomunicacoes do Brasil Ltda</v>
      </c>
      <c r="B77" t="str">
        <v>Huawei Gestao e Servicos de Telecomunicacoes do Brasil Ltda</v>
      </c>
      <c r="C77" t="str">
        <v>10.519.123/0001-97</v>
      </c>
      <c r="D77" t="str">
        <v>huawei@slgestao.com</v>
      </c>
      <c r="E77" t="str">
        <v>Avenida Jerome Case</v>
      </c>
      <c r="F77" t="str">
        <v>2600</v>
      </c>
      <c r="G77" t="str">
        <v>Galpão A3 A9 Quadra 25 Lote 7/A</v>
      </c>
      <c r="H77" t="str">
        <v>Sorocaba</v>
      </c>
      <c r="I77" t="str">
        <v>3552205</v>
      </c>
      <c r="J77" t="str">
        <v>Eden</v>
      </c>
      <c r="K77" t="str">
        <v>SP</v>
      </c>
      <c r="L77" t="str">
        <v>(11) 3930-8580</v>
      </c>
      <c r="M77" t="str">
        <v>18087-220</v>
      </c>
      <c r="N77" t="str">
        <v/>
      </c>
      <c r="O77" s="1">
        <f>=TODAY()</f>
      </c>
      <c r="P77" t="str">
        <v>6211HG3360338-914-1-10519123000197</v>
      </c>
      <c r="Q77" t="str">
        <v>10519123000197</v>
      </c>
      <c r="R77" t="str">
        <v>PO: 6211HG3360338-914 Line 1</v>
      </c>
      <c r="S77" t="str">
        <v>1</v>
      </c>
      <c r="T77" t="str">
        <v>JACAREI</v>
      </c>
      <c r="U77" t="str">
        <v>SP</v>
      </c>
      <c r="V77" t="str">
        <v>3524402</v>
      </c>
      <c r="W77">
        <v>431.28</v>
      </c>
      <c r="X77">
        <v>461.262</v>
      </c>
      <c r="Y77" t="str">
        <v/>
      </c>
      <c r="Z77">
        <v>16.14</v>
      </c>
      <c r="AA77">
        <v>13.84</v>
      </c>
      <c r="AB77">
        <v>13.84</v>
      </c>
      <c r="AC77">
        <v>3.5</v>
      </c>
      <c r="AD77" t="str">
        <v>070202</v>
      </c>
      <c r="AE77" t="str">
        <v>Execução por empreitada de obras de construção civil e elétrica – adequação de infraestrutura, instalação e montagem de equipamentos de rede de telefonia celular, conforme pedidos de compra abaixo: PO: 6211HG3360338-914 LINE: 1 MUNICIPIO: JACAREI / SP MATERIAL: SERVIÇO: 461.26 BASE DE CÁLCULO ISS: 461.26 BASE DE CÁLCULO INSS: 461.26 Retenções ISS 3% Município: JACAREI / SP Retenções INSS 3.5% NFS-e: O ISS desta NFS-e será retido pelo tomador de serviço.</v>
      </c>
      <c r="AF77">
        <v>3</v>
      </c>
      <c r="AG77">
        <v>2</v>
      </c>
      <c r="AH77" t="b">
        <v>0</v>
      </c>
      <c r="AI77">
        <v>2</v>
      </c>
      <c r="AJ77">
        <v>1</v>
      </c>
      <c r="AK77" t="str">
        <v>06175128000172</v>
      </c>
      <c r="AL77" t="str">
        <v>12294431</v>
      </c>
      <c r="AM77" t="str">
        <v>Rodovia Carvalho Pinto</v>
      </c>
      <c r="AN77" t="str">
        <v>SN</v>
      </c>
      <c r="AO77" t="str">
        <v>Tijuco Preto</v>
      </c>
      <c r="AP77" t="str">
        <v>SP</v>
      </c>
      <c r="AQ77" t="str">
        <v>3508504</v>
      </c>
      <c r="AR77" t="str">
        <v>DS4</v>
      </c>
    </row>
    <row r="78">
      <c r="A78" t="str">
        <v>Huawei Gestao e Servicos de Telecomunicacoes do Brasil Ltda</v>
      </c>
      <c r="B78" t="str">
        <v>Huawei Gestao e Servicos de Telecomunicacoes do Brasil Ltda</v>
      </c>
      <c r="C78" t="str">
        <v>10.519.123/0001-97</v>
      </c>
      <c r="D78" t="str">
        <v>huawei@slgestao.com</v>
      </c>
      <c r="E78" t="str">
        <v>Avenida Jerome Case</v>
      </c>
      <c r="F78" t="str">
        <v>2600</v>
      </c>
      <c r="G78" t="str">
        <v>Galpão A3 A9 Quadra 25 Lote 7/A</v>
      </c>
      <c r="H78" t="str">
        <v>Sorocaba</v>
      </c>
      <c r="I78" t="str">
        <v>3552205</v>
      </c>
      <c r="J78" t="str">
        <v>Eden</v>
      </c>
      <c r="K78" t="str">
        <v>SP</v>
      </c>
      <c r="L78" t="str">
        <v>(11) 3930-8580</v>
      </c>
      <c r="M78" t="str">
        <v>18087-220</v>
      </c>
      <c r="N78" t="str">
        <v/>
      </c>
      <c r="O78" s="1">
        <f>=TODAY()</f>
      </c>
      <c r="P78" t="str">
        <v>6211HG3295910-306-1-10519123000197</v>
      </c>
      <c r="Q78" t="str">
        <v>10519123000197</v>
      </c>
      <c r="R78" t="str">
        <v>PO: 6211HG3295910-306 Line 1  PO: 6211HG3295910-310 Line 1</v>
      </c>
      <c r="S78" t="str">
        <v>1</v>
      </c>
      <c r="T78" t="str">
        <v>SAO PAULO</v>
      </c>
      <c r="U78" t="str">
        <v>SP</v>
      </c>
      <c r="V78" t="str">
        <v>3550308</v>
      </c>
      <c r="W78">
        <v>283.64</v>
      </c>
      <c r="X78">
        <v>309.99</v>
      </c>
      <c r="Y78" t="str">
        <v/>
      </c>
      <c r="Z78">
        <v>10.85</v>
      </c>
      <c r="AA78">
        <v>15.5</v>
      </c>
      <c r="AB78">
        <v>15.5</v>
      </c>
      <c r="AC78">
        <v>3.5</v>
      </c>
      <c r="AD78" t="str">
        <v>070202</v>
      </c>
      <c r="AE78" t="str">
        <v>Execução por empreitada de obras de construção civil e elétrica – adequação de infraestrutura, instalação e montagem de equipamentos de rede de telefonia celular, conforme pedidos de compra abaixo: PO: 6211HG3295910-306 LINE: 1 MUNICIPIO: SAO PAULO / SP MATERIAL: SERVIÇO: 309.99 BASE DE CÁLCULO ISS: 309.99 BASE DE CÁLCULO INSS: 309.99 Retenções ISS 5% Município: SAO PAULO / SP Retenções INSS 3.5% NFS-e: O ISS desta NFS-e será retido pelo tomador de serviço.</v>
      </c>
      <c r="AF78">
        <v>5</v>
      </c>
      <c r="AG78">
        <v>2</v>
      </c>
      <c r="AH78" t="b">
        <v>0</v>
      </c>
      <c r="AI78">
        <v>2</v>
      </c>
      <c r="AJ78">
        <v>1</v>
      </c>
      <c r="AK78" t="str">
        <v>06175128000172</v>
      </c>
      <c r="AL78" t="str">
        <v>05224010</v>
      </c>
      <c r="AM78" t="str">
        <v>Rua Ana Maria Franco Laranjeira</v>
      </c>
      <c r="AN78" t="str">
        <v>SN</v>
      </c>
      <c r="AO78" t="str">
        <v>Sítio Areião</v>
      </c>
      <c r="AP78" t="str">
        <v>SP</v>
      </c>
      <c r="AQ78" t="str">
        <v>3550308</v>
      </c>
      <c r="AR78" t="str">
        <v>SR-SPPS04</v>
      </c>
    </row>
    <row r="79">
      <c r="A79" t="str">
        <v>Huawei Gestao e Servicos de Telecomunicacoes do Brasil Ltda</v>
      </c>
      <c r="B79" t="str">
        <v>Huawei Gestao e Servicos de Telecomunicacoes do Brasil Ltda</v>
      </c>
      <c r="C79" t="str">
        <v>10.519.123/0001-97</v>
      </c>
      <c r="D79" t="str">
        <v>huawei@slgestao.com</v>
      </c>
      <c r="E79" t="str">
        <v>Avenida Jerome Case</v>
      </c>
      <c r="F79" t="str">
        <v>2600</v>
      </c>
      <c r="G79" t="str">
        <v>Galpão A3 A9 Quadra 25 Lote 7/A</v>
      </c>
      <c r="H79" t="str">
        <v>Sorocaba</v>
      </c>
      <c r="I79" t="str">
        <v>3552205</v>
      </c>
      <c r="J79" t="str">
        <v>Eden</v>
      </c>
      <c r="K79" t="str">
        <v>SP</v>
      </c>
      <c r="L79" t="str">
        <v>(11) 3930-8580</v>
      </c>
      <c r="M79" t="str">
        <v>18087-220</v>
      </c>
      <c r="N79" t="str">
        <v/>
      </c>
      <c r="O79" s="1">
        <f>=TODAY()</f>
      </c>
      <c r="P79" t="str">
        <v>6211HG3360340-3338-1-10519123000197</v>
      </c>
      <c r="Q79" t="str">
        <v>10519123000197</v>
      </c>
      <c r="R79" t="str">
        <v>PO: 6211HG3360340-3338 Line 1</v>
      </c>
      <c r="S79" t="str">
        <v>1</v>
      </c>
      <c r="T79" t="str">
        <v>SAO JOSE DE MIPIBU</v>
      </c>
      <c r="U79" t="str">
        <v>RN</v>
      </c>
      <c r="V79" t="str">
        <v>2412203</v>
      </c>
      <c r="W79">
        <v>445.72</v>
      </c>
      <c r="X79">
        <v>487.131</v>
      </c>
      <c r="Y79" t="str">
        <v/>
      </c>
      <c r="Z79">
        <v>17.05</v>
      </c>
      <c r="AA79">
        <v>24.36</v>
      </c>
      <c r="AB79">
        <v>24.36</v>
      </c>
      <c r="AC79">
        <v>3.5</v>
      </c>
      <c r="AD79" t="str">
        <v>070202</v>
      </c>
      <c r="AE79" t="str">
        <v>Execução por empreitada de obras de construção civil e elétrica – adequação de infraestrutura, instalação e montagem de equipamentos de rede de telefonia celular, conforme pedidos de compra abaixo: PO: 6211HG3360340-3338 LINE: 1 MUNICIPIO: SAO JOSE DE MIPIBU / RN MATERIAL: SERVIÇO: 487.13 BASE DE CÁLCULO ISS: 487.13 BASE DE CÁLCULO INSS: 487.13 Retenções ISS 5% Município: SAO JOSE DE MIPIBU / RN Retenções INSS 3.5% NFS-e: O ISS desta NFS-e será retido pelo tomador de serviço.</v>
      </c>
      <c r="AF79">
        <v>5</v>
      </c>
      <c r="AG79">
        <v>2</v>
      </c>
      <c r="AH79" t="b">
        <v>0</v>
      </c>
      <c r="AI79">
        <v>2</v>
      </c>
      <c r="AJ79">
        <v>1</v>
      </c>
      <c r="AK79" t="str">
        <v>06175128000172</v>
      </c>
      <c r="AL79" t="str">
        <v>59162000</v>
      </c>
      <c r="AM79" t="str">
        <v>PRIMEIRO DE MAIO</v>
      </c>
      <c r="AN79" t="str">
        <v>234</v>
      </c>
      <c r="AO79" t="str">
        <v>CENTRO</v>
      </c>
      <c r="AP79" t="str">
        <v>RN</v>
      </c>
      <c r="AQ79" t="str">
        <v/>
      </c>
      <c r="AR79" t="str">
        <v>RNSII01</v>
      </c>
    </row>
    <row r="80">
      <c r="A80" t="str">
        <v>Huawei Gestao e Servicos de Telecomunicacoes do Brasil Ltda</v>
      </c>
      <c r="B80" t="str">
        <v>Huawei Gestao e Servicos de Telecomunicacoes do Brasil Ltda</v>
      </c>
      <c r="C80" t="str">
        <v>10.519.123/0001-97</v>
      </c>
      <c r="D80" t="str">
        <v>huawei@slgestao.com</v>
      </c>
      <c r="E80" t="str">
        <v>Avenida Jerome Case</v>
      </c>
      <c r="F80" t="str">
        <v>2600</v>
      </c>
      <c r="G80" t="str">
        <v>Galpão A3 A9 Quadra 25 Lote 7/A</v>
      </c>
      <c r="H80" t="str">
        <v>Sorocaba</v>
      </c>
      <c r="I80" t="str">
        <v>3552205</v>
      </c>
      <c r="J80" t="str">
        <v>Eden</v>
      </c>
      <c r="K80" t="str">
        <v>SP</v>
      </c>
      <c r="L80" t="str">
        <v>(11) 3930-8580</v>
      </c>
      <c r="M80" t="str">
        <v>18087-220</v>
      </c>
      <c r="N80" t="str">
        <v/>
      </c>
      <c r="O80" s="1">
        <f>=TODAY()</f>
      </c>
      <c r="P80" t="str">
        <v>6211HG3360342-824-3-10519123000197</v>
      </c>
      <c r="Q80" t="str">
        <v>10519123000197</v>
      </c>
      <c r="R80" t="str">
        <v>PO: 6211HG3360342-824 Line 3  PO: 6211HG3360342-824 Line 1  PO: 6211HG3360342-824 Line 2</v>
      </c>
      <c r="S80" t="str">
        <v>3</v>
      </c>
      <c r="T80" t="str">
        <v>INHUMAS</v>
      </c>
      <c r="U80" t="str">
        <v>GO</v>
      </c>
      <c r="V80" t="str">
        <v>5210000</v>
      </c>
      <c r="W80">
        <v>2150.78</v>
      </c>
      <c r="X80">
        <v>2350.5840000000003</v>
      </c>
      <c r="Y80" t="str">
        <v/>
      </c>
      <c r="Z80">
        <v>82.27</v>
      </c>
      <c r="AA80">
        <v>117.53</v>
      </c>
      <c r="AB80">
        <v>117.53</v>
      </c>
      <c r="AC80">
        <v>3.5</v>
      </c>
      <c r="AD80" t="str">
        <v>070202</v>
      </c>
      <c r="AE80" t="str">
        <v>Execução por empreitada de obras de construção civil e elétrica – adequação de infraestrutura, instalação e montagem de equipamentos de rede de telefonia celular, conforme pedidos de compra abaixo: PO: 6211HG3360342-824 LINE: 3 MUNICIPIO: INHUMAS / GO MATERIAL: SERVIÇO: 2350.58 BASE DE CÁLCULO ISS: 2350.58 BASE DE CÁLCULO INSS: 2350.58 Retenções ISS 5% Município: INHUMAS / GO Retenções INSS 3.5% NFS-e: O ISS desta NFS-e será retido pelo tomador de serviço.</v>
      </c>
      <c r="AF80">
        <v>5</v>
      </c>
      <c r="AG80">
        <v>2</v>
      </c>
      <c r="AH80" t="b">
        <v>0</v>
      </c>
      <c r="AI80">
        <v>2</v>
      </c>
      <c r="AJ80">
        <v>1</v>
      </c>
      <c r="AK80" t="str">
        <v>06175128000172</v>
      </c>
      <c r="AL80" t="str">
        <v>75407194</v>
      </c>
      <c r="AM80" t="str">
        <v>Rua das Flores</v>
      </c>
      <c r="AN80" t="str">
        <v>25</v>
      </c>
      <c r="AO80" t="str">
        <v>Jardim Raio de Sol</v>
      </c>
      <c r="AP80" t="str">
        <v>GO</v>
      </c>
      <c r="AQ80" t="str">
        <v>5210000</v>
      </c>
      <c r="AR80" t="str">
        <v>IUP</v>
      </c>
    </row>
  </sheetData>
  <ignoredErrors>
    <ignoredError numberStoredAsText="1" sqref="A1:AR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Automação 7.02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