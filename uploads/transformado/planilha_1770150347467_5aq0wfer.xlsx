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0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6211HG3360340-3243-2-10519123000197</v>
      </c>
      <c r="Q2" t="str">
        <v>10519123000197</v>
      </c>
      <c r="R2" t="str">
        <v>PO: 6211HG3360340-3243 Line 2  PO: 6211HG3360340-3257 Line 3  PO: 6211HG3360340-3257 Line 6  PO: 6211HG3360340-3243 Line 1  PO: 6211HG3360340-3257 Line 1  PO: 6211HG3360340-3257 Line 4  PO: 6211HG3360340-3257 Line 5  PO: 6211HG3360340-3257 Line 7</v>
      </c>
      <c r="S2" t="str">
        <v>2</v>
      </c>
      <c r="T2" t="str">
        <v>SALVADOR</v>
      </c>
      <c r="U2" t="str">
        <v>BA</v>
      </c>
      <c r="V2" t="str">
        <v>2927408</v>
      </c>
      <c r="W2">
        <v>1666.38</v>
      </c>
      <c r="X2">
        <v>1821.1770000000001</v>
      </c>
      <c r="Y2" t="str">
        <v/>
      </c>
      <c r="Z2">
        <v>63.74</v>
      </c>
      <c r="AA2">
        <v>91.06</v>
      </c>
      <c r="AB2">
        <v>91.06</v>
      </c>
      <c r="AC2">
        <v>3.5</v>
      </c>
      <c r="AD2" t="str">
        <v>070202</v>
      </c>
      <c r="AE2" t="str">
        <v>Execução por empreitada de obras de construção civil e elétrica – adequação de infraestrutura, instalação e montagem de equipamentos de rede de telefonia celular, conforme pedidos de compra abaixo: PO: 6211HG3360340-3243 LINE: 2 MUNICIPIO: SALVADOR / BA MATERIAL: SERVIÇO: 1821.18 BASE DE CÁLCULO ISS: 1821.18 BASE DE CÁLCULO INSS: 1821.18 Retenções ISS 5% Município: SALVADOR / BA Retenções INSS 3.5% NFS-e: O ISS desta NFS-e será retido pelo tomador de serviço.</v>
      </c>
      <c r="AF2">
        <v>5</v>
      </c>
      <c r="AG2">
        <v>2</v>
      </c>
      <c r="AH2" t="b">
        <v>0</v>
      </c>
      <c r="AI2">
        <v>2</v>
      </c>
      <c r="AJ2">
        <v>1</v>
      </c>
      <c r="AK2" t="str">
        <v>06175128000172</v>
      </c>
      <c r="AL2" t="str">
        <v>41603090</v>
      </c>
      <c r="AM2" t="str">
        <v>Rua Professor Antônio Augusto Machado</v>
      </c>
      <c r="AN2" t="str">
        <v>219</v>
      </c>
      <c r="AO2" t="str">
        <v>Praia do Flamengo</v>
      </c>
      <c r="AP2" t="str">
        <v>BA</v>
      </c>
      <c r="AQ2" t="str">
        <v>2927408</v>
      </c>
      <c r="AR2" t="str">
        <v>BAITA55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6211HG3295910-1037-1-10519123000197</v>
      </c>
      <c r="Q3" t="str">
        <v>10519123000197</v>
      </c>
      <c r="R3" t="str">
        <v>PO: 6211HG3295910-1037 Line 1  PO: 6211HG3295910-1034 Line 1</v>
      </c>
      <c r="S3" t="str">
        <v>1</v>
      </c>
      <c r="T3" t="str">
        <v>SAO JOSE DOS CAMPOS</v>
      </c>
      <c r="U3" t="str">
        <v>SP</v>
      </c>
      <c r="V3" t="str">
        <v>3549904</v>
      </c>
      <c r="W3">
        <v>1725.61</v>
      </c>
      <c r="X3">
        <v>1845.576</v>
      </c>
      <c r="Y3" t="str">
        <v/>
      </c>
      <c r="Z3">
        <v>64.6</v>
      </c>
      <c r="AA3">
        <v>55.37</v>
      </c>
      <c r="AB3">
        <v>55.37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6211HG3295910-1037 LINE: 1 MUNICIPIO: SAO JOSE DOS CAMPOS / SP MATERIAL: SERVIÇO: 1845.58 BASE DE CÁLCULO ISS: 1845.58 BASE DE CÁLCULO INSS: 1845.58 Retenções ISS 3% Município: SAO JOSE DOS CAMPOS / SP Retenções INSS 3.5% NFS-e: O ISS desta NFS-e será retido pelo tomador de serviço.</v>
      </c>
      <c r="AF3">
        <v>3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>12215380</v>
      </c>
      <c r="AM3" t="str">
        <v>Avenida Presidente Juscelino Kubitschek</v>
      </c>
      <c r="AN3" t="str">
        <v>SN</v>
      </c>
      <c r="AO3" t="str">
        <v>Monte Castelo</v>
      </c>
      <c r="AP3" t="str">
        <v>SP</v>
      </c>
      <c r="AQ3" t="str">
        <v>3549904</v>
      </c>
      <c r="AR3" t="str">
        <v>SPSJC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6211HG3360337-139-2-10519123000197</v>
      </c>
      <c r="Q4" t="str">
        <v>10519123000197</v>
      </c>
      <c r="R4" t="str">
        <v>PO: 6211HG3360337-139 Line 2  PO: 6211HG3360337-139 Line 1  PO: 6211HG3360337-139 Line 4  PO: 6211HG3360337-139 Line 3</v>
      </c>
      <c r="S4" t="str">
        <v>2</v>
      </c>
      <c r="T4" t="str">
        <v>BRUSQUE</v>
      </c>
      <c r="U4" t="str">
        <v>SC</v>
      </c>
      <c r="V4" t="str">
        <v>4202909</v>
      </c>
      <c r="W4">
        <v>674.72</v>
      </c>
      <c r="X4">
        <v>713.9879999999999</v>
      </c>
      <c r="Y4" t="str">
        <v/>
      </c>
      <c r="Z4">
        <v>24.99</v>
      </c>
      <c r="AA4">
        <v>14.28</v>
      </c>
      <c r="AB4">
        <v>14.28</v>
      </c>
      <c r="AC4">
        <v>3.5</v>
      </c>
      <c r="AD4" t="str">
        <v>070202</v>
      </c>
      <c r="AE4" t="str">
        <v>Execução por empreitada de obras de construção civil e elétrica – adequação de infraestrutura, instalação e montagem de equipamentos de rede de telefonia celular, conforme pedidos de compra abaixo: PO: 6211HG3360337-139 LINE: 2 MUNICIPIO: BRUSQUE / SC MATERIAL: SERVIÇO: 713.99 BASE DE CÁLCULO ISS: 713.99 BASE DE CÁLCULO INSS: 713.99 Retenções ISS 2% Município: BRUSQUE / SC Retenções INSS 3.5% NFS-e: O ISS desta NFS-e será retido pelo tomador de serviço.</v>
      </c>
      <c r="AF4">
        <v>2</v>
      </c>
      <c r="AG4">
        <v>2</v>
      </c>
      <c r="AH4" t="b">
        <v>0</v>
      </c>
      <c r="AI4">
        <v>2</v>
      </c>
      <c r="AJ4">
        <v>1</v>
      </c>
      <c r="AK4" t="str">
        <v>06175128000172</v>
      </c>
      <c r="AL4" t="str">
        <v>83501080</v>
      </c>
      <c r="AM4" t="str">
        <v>Rua Lourenço Ângelo Buzato</v>
      </c>
      <c r="AN4" t="str">
        <v>SN</v>
      </c>
      <c r="AO4" t="str">
        <v>Vila Santa Terezinha</v>
      </c>
      <c r="AP4" t="str">
        <v>PR</v>
      </c>
      <c r="AQ4" t="str">
        <v>4100400</v>
      </c>
      <c r="AR4" t="str">
        <v>BQD</v>
      </c>
    </row>
    <row r="5">
      <c r="A5" t="str">
        <v>Huawei Gestao e Servicos de Telecomunicacoes do Brasil Ltda</v>
      </c>
      <c r="B5" t="str">
        <v>Huawei Gestao e Servicos de Telecomunicacoes do Brasil Ltda</v>
      </c>
      <c r="C5" t="str">
        <v>10.519.123/0001-97</v>
      </c>
      <c r="D5" t="str">
        <v>huawei@slgestao.com</v>
      </c>
      <c r="E5" t="str">
        <v>Avenida Jerome Case</v>
      </c>
      <c r="F5" t="str">
        <v>2600</v>
      </c>
      <c r="G5" t="str">
        <v>Galpão A3 A9 Quadra 25 Lote 7/A</v>
      </c>
      <c r="H5" t="str">
        <v>Sorocaba</v>
      </c>
      <c r="I5" t="str">
        <v>3552205</v>
      </c>
      <c r="J5" t="str">
        <v>Eden</v>
      </c>
      <c r="K5" t="str">
        <v>SP</v>
      </c>
      <c r="L5" t="str">
        <v>(11) 3930-8580</v>
      </c>
      <c r="M5" t="str">
        <v>18087-220</v>
      </c>
      <c r="N5" t="str">
        <v/>
      </c>
      <c r="O5" s="1">
        <f>=TODAY()</f>
      </c>
      <c r="P5" t="str">
        <v>6211HG3360340-3455-1-10519123000197</v>
      </c>
      <c r="Q5" t="str">
        <v>10519123000197</v>
      </c>
      <c r="R5" t="str">
        <v>PO: 6211HG3360340-3455 Line 1  PO: 6211HG3360340-3446 Line 1  PO: 6211HG3360340-3455 Line 2</v>
      </c>
      <c r="S5" t="str">
        <v>1</v>
      </c>
      <c r="T5" t="str">
        <v>SOBRAL</v>
      </c>
      <c r="U5" t="str">
        <v>CE</v>
      </c>
      <c r="V5" t="str">
        <v>2312908</v>
      </c>
      <c r="W5">
        <v>4885.3</v>
      </c>
      <c r="X5">
        <v>5169.627</v>
      </c>
      <c r="Y5" t="str">
        <v/>
      </c>
      <c r="Z5">
        <v>180.94</v>
      </c>
      <c r="AA5">
        <v>103.39</v>
      </c>
      <c r="AB5">
        <v>103.39</v>
      </c>
      <c r="AC5">
        <v>3.5</v>
      </c>
      <c r="AD5" t="str">
        <v>070202</v>
      </c>
      <c r="AE5" t="str">
        <v>Execução por empreitada de obras de construção civil e elétrica – adequação de infraestrutura, instalação e montagem de equipamentos de rede de telefonia celular, conforme pedidos de compra abaixo: PO: 6211HG3360340-3455 LINE: 1 MUNICIPIO: SOBRAL / CE MATERIAL: SERVIÇO: 5169.63 BASE DE CÁLCULO ISS: 5169.63 BASE DE CÁLCULO INSS: 5169.63 Retenções ISS 2% Município: SOBRAL / CE Retenções INSS 3.5% NFS-e: O ISS desta NFS-e será retido pelo tomador de serviço.</v>
      </c>
      <c r="AF5">
        <v>2</v>
      </c>
      <c r="AG5">
        <v>2</v>
      </c>
      <c r="AH5" t="b">
        <v>0</v>
      </c>
      <c r="AI5">
        <v>2</v>
      </c>
      <c r="AJ5">
        <v>1</v>
      </c>
      <c r="AK5" t="str">
        <v>06175128000172</v>
      </c>
      <c r="AL5" t="str">
        <v>620401000</v>
      </c>
      <c r="AM5" t="str">
        <v>Rua Doutor José Custódio de Azevedo</v>
      </c>
      <c r="AN5" t="str">
        <v>S/N</v>
      </c>
      <c r="AO5" t="str">
        <v>Expectativa</v>
      </c>
      <c r="AP5" t="str">
        <v>CE</v>
      </c>
      <c r="AQ5" t="str">
        <v>2312908</v>
      </c>
      <c r="AR5" t="str">
        <v>SR-SOPSJ0</v>
      </c>
    </row>
    <row r="6">
      <c r="A6" t="str">
        <v>Huawei Gestao e Servicos de Telecomunicacoes do Brasil Ltda</v>
      </c>
      <c r="B6" t="str">
        <v>Huawei Gestao e Servicos de Telecomunicacoes do Brasil Ltda</v>
      </c>
      <c r="C6" t="str">
        <v>10.519.123/0001-97</v>
      </c>
      <c r="D6" t="str">
        <v>huawei@slgestao.com</v>
      </c>
      <c r="E6" t="str">
        <v>Avenida Jerome Case</v>
      </c>
      <c r="F6" t="str">
        <v>2600</v>
      </c>
      <c r="G6" t="str">
        <v>Galpão A3 A9 Quadra 25 Lote 7/A</v>
      </c>
      <c r="H6" t="str">
        <v>Sorocaba</v>
      </c>
      <c r="I6" t="str">
        <v>3552205</v>
      </c>
      <c r="J6" t="str">
        <v>Eden</v>
      </c>
      <c r="K6" t="str">
        <v>SP</v>
      </c>
      <c r="L6" t="str">
        <v>(11) 3930-8580</v>
      </c>
      <c r="M6" t="str">
        <v>18087-220</v>
      </c>
      <c r="N6" t="str">
        <v/>
      </c>
      <c r="O6" s="1">
        <f>=TODAY()</f>
      </c>
      <c r="P6" t="str">
        <v>6211HG3360342-948-3-10519123000197</v>
      </c>
      <c r="Q6" t="str">
        <v>10519123000197</v>
      </c>
      <c r="R6" t="str">
        <v>PO: 6211HG3360342-948 Line 3</v>
      </c>
      <c r="S6" t="str">
        <v>3</v>
      </c>
      <c r="T6" t="str">
        <v>GOIANESIA</v>
      </c>
      <c r="U6" t="str">
        <v>GO</v>
      </c>
      <c r="V6" t="str">
        <v>5208608</v>
      </c>
      <c r="W6">
        <v>23.06</v>
      </c>
      <c r="X6">
        <v>25.2</v>
      </c>
      <c r="Y6" t="str">
        <v/>
      </c>
      <c r="Z6">
        <v>0.88</v>
      </c>
      <c r="AA6">
        <v>1.26</v>
      </c>
      <c r="AB6">
        <v>1.26</v>
      </c>
      <c r="AC6">
        <v>3.5</v>
      </c>
      <c r="AD6" t="str">
        <v>070202</v>
      </c>
      <c r="AE6" t="str">
        <v>Execução por empreitada de obras de construção civil e elétrica – adequação de infraestrutura, instalação e montagem de equipamentos de rede de telefonia celular, conforme pedidos de compra abaixo: PO: 6211HG3360342-948 LINE: 3 MUNICIPIO: GOIANESIA / GO MATERIAL: SERVIÇO: 25.20 BASE DE CÁLCULO ISS: 25.20 BASE DE CÁLCULO INSS: 25.20 Retenções ISS 5% Município: GOIANESIA / GO Retenções INSS 3.5% NFS-e: O ISS desta NFS-e será retido pelo tomador de serviço.</v>
      </c>
      <c r="AF6">
        <v>5</v>
      </c>
      <c r="AG6">
        <v>2</v>
      </c>
      <c r="AH6" t="b">
        <v>0</v>
      </c>
      <c r="AI6">
        <v>2</v>
      </c>
      <c r="AJ6">
        <v>1</v>
      </c>
      <c r="AK6" t="str">
        <v>06175128000172</v>
      </c>
      <c r="AL6" t="str">
        <v>76388899</v>
      </c>
      <c r="AM6" t="str">
        <v>Área Rural</v>
      </c>
      <c r="AN6" t="str">
        <v>S/N</v>
      </c>
      <c r="AO6" t="str">
        <v>Área Rural de Goianésia</v>
      </c>
      <c r="AP6" t="str">
        <v>GO</v>
      </c>
      <c r="AQ6" t="str">
        <v>5208608</v>
      </c>
      <c r="AR6" t="str">
        <v>GOGNE09</v>
      </c>
    </row>
    <row r="7">
      <c r="A7" t="str">
        <v>Huawei Gestao e Servicos de Telecomunicacoes do Brasil Ltda</v>
      </c>
      <c r="B7" t="str">
        <v>Huawei Gestao e Servicos de Telecomunicacoes do Brasil Ltda</v>
      </c>
      <c r="C7" t="str">
        <v>10.519.123/0001-97</v>
      </c>
      <c r="D7" t="str">
        <v>huawei@slgestao.com</v>
      </c>
      <c r="E7" t="str">
        <v>Avenida Jerome Case</v>
      </c>
      <c r="F7" t="str">
        <v>2600</v>
      </c>
      <c r="G7" t="str">
        <v>Galpão A3 A9 Quadra 25 Lote 7/A</v>
      </c>
      <c r="H7" t="str">
        <v>Sorocaba</v>
      </c>
      <c r="I7" t="str">
        <v>3552205</v>
      </c>
      <c r="J7" t="str">
        <v>Eden</v>
      </c>
      <c r="K7" t="str">
        <v>SP</v>
      </c>
      <c r="L7" t="str">
        <v>(11) 3930-8580</v>
      </c>
      <c r="M7" t="str">
        <v>18087-220</v>
      </c>
      <c r="N7" t="str">
        <v/>
      </c>
      <c r="O7" s="1">
        <f>=TODAY()</f>
      </c>
      <c r="P7" t="str">
        <v>6211HG3360338-115-1-10519123000197</v>
      </c>
      <c r="Q7" t="str">
        <v>10519123000197</v>
      </c>
      <c r="R7" t="str">
        <v>PO: 6211HG3360338-115 Line 1</v>
      </c>
      <c r="S7" t="str">
        <v>1</v>
      </c>
      <c r="T7" t="str">
        <v>ENGENHEIRO COELHO</v>
      </c>
      <c r="U7" t="str">
        <v>SP</v>
      </c>
      <c r="V7" t="str">
        <v>3515152</v>
      </c>
      <c r="W7">
        <v>520.04</v>
      </c>
      <c r="X7">
        <v>568.345</v>
      </c>
      <c r="Y7" t="str">
        <v/>
      </c>
      <c r="Z7">
        <v>19.89</v>
      </c>
      <c r="AA7">
        <v>28.42</v>
      </c>
      <c r="AB7">
        <v>28.42</v>
      </c>
      <c r="AC7">
        <v>3.5</v>
      </c>
      <c r="AD7" t="str">
        <v>070202</v>
      </c>
      <c r="AE7" t="str">
        <v>Execução por empreitada de obras de construção civil e elétrica – adequação de infraestrutura, instalação e montagem de equipamentos de rede de telefonia celular, conforme pedidos de compra abaixo: PO: 6211HG3360338-115 LINE: 1 MUNICIPIO: ENGENHEIRO COELHO / SP MATERIAL: SERVIÇO: 568.35 BASE DE CÁLCULO ISS: 568.35 BASE DE CÁLCULO INSS: 568.35 Retenções ISS 5% Município: ENGENHEIRO COELHO / SP Retenções INSS 3.5% NFS-e: O ISS desta NFS-e será retido pelo tomador de serviço.</v>
      </c>
      <c r="AF7">
        <v>5</v>
      </c>
      <c r="AG7">
        <v>2</v>
      </c>
      <c r="AH7" t="b">
        <v>0</v>
      </c>
      <c r="AI7">
        <v>2</v>
      </c>
      <c r="AJ7">
        <v>1</v>
      </c>
      <c r="AK7" t="str">
        <v>06175128000172</v>
      </c>
      <c r="AL7" t="str">
        <v>13165000</v>
      </c>
      <c r="AM7" t="str">
        <v>ESTRADA MUNICIPAL PASTOR WALTER BOGER</v>
      </c>
      <c r="AN7" t="str">
        <v>SN</v>
      </c>
      <c r="AO7" t="str">
        <v>LAGOA BONITA</v>
      </c>
      <c r="AP7" t="str">
        <v>SP</v>
      </c>
      <c r="AQ7" t="str">
        <v>3515152</v>
      </c>
      <c r="AR7" t="str">
        <v>EG0</v>
      </c>
    </row>
    <row r="8">
      <c r="A8" t="str">
        <v>Huawei Gestao e Servicos de Telecomunicacoes do Brasil Ltda</v>
      </c>
      <c r="B8" t="str">
        <v>Huawei Gestao e Servicos de Telecomunicacoes do Brasil Ltda</v>
      </c>
      <c r="C8" t="str">
        <v>10.519.123/0001-97</v>
      </c>
      <c r="D8" t="str">
        <v>huawei@slgestao.com</v>
      </c>
      <c r="E8" t="str">
        <v>Avenida Jerome Case</v>
      </c>
      <c r="F8" t="str">
        <v>2600</v>
      </c>
      <c r="G8" t="str">
        <v>Galpão A3 A9 Quadra 25 Lote 7/A</v>
      </c>
      <c r="H8" t="str">
        <v>Sorocaba</v>
      </c>
      <c r="I8" t="str">
        <v>3552205</v>
      </c>
      <c r="J8" t="str">
        <v>Eden</v>
      </c>
      <c r="K8" t="str">
        <v>SP</v>
      </c>
      <c r="L8" t="str">
        <v>(11) 3930-8580</v>
      </c>
      <c r="M8" t="str">
        <v>18087-220</v>
      </c>
      <c r="N8" t="str">
        <v/>
      </c>
      <c r="O8" s="1">
        <f>=TODAY()</f>
      </c>
      <c r="P8" t="str">
        <v>6211HG3360340-2487-1-10519123000197</v>
      </c>
      <c r="Q8" t="str">
        <v>10519123000197</v>
      </c>
      <c r="R8" t="str">
        <v>PO: 6211HG3360340-2487 Line 1  PO: 6211HG3360340-2487 Line 2</v>
      </c>
      <c r="S8" t="str">
        <v>1</v>
      </c>
      <c r="T8" t="str">
        <v>PRADO</v>
      </c>
      <c r="U8" t="str">
        <v>BA</v>
      </c>
      <c r="V8" t="str">
        <v>2925501</v>
      </c>
      <c r="W8">
        <v>5225.38</v>
      </c>
      <c r="X8">
        <v>5710.7970000000005</v>
      </c>
      <c r="Y8" t="str">
        <v/>
      </c>
      <c r="Z8">
        <v>199.88</v>
      </c>
      <c r="AA8">
        <v>285.54</v>
      </c>
      <c r="AB8">
        <v>285.54</v>
      </c>
      <c r="AC8">
        <v>3.5</v>
      </c>
      <c r="AD8" t="str">
        <v>070202</v>
      </c>
      <c r="AE8" t="str">
        <v>Execução por empreitada de obras de construção civil e elétrica – adequação de infraestrutura, instalação e montagem de equipamentos de rede de telefonia celular, conforme pedidos de compra abaixo: PO: 6211HG3360340-2487 LINE: 1 MUNICIPIO: PRADO / BA MATERIAL: SERVIÇO: 5710.80 BASE DE CÁLCULO ISS: 5710.80 BASE DE CÁLCULO INSS: 5710.80 Retenções ISS 5% Município: PRADO / BA Retenções INSS 3.5% NFS-e: O ISS desta NFS-e será retido pelo tomador de serviço.</v>
      </c>
      <c r="AF8">
        <v>5</v>
      </c>
      <c r="AG8">
        <v>2</v>
      </c>
      <c r="AH8" t="b">
        <v>0</v>
      </c>
      <c r="AI8">
        <v>2</v>
      </c>
      <c r="AJ8">
        <v>1</v>
      </c>
      <c r="AK8" t="str">
        <v>06175128000172</v>
      </c>
      <c r="AL8" t="str">
        <v>45980000</v>
      </c>
      <c r="AM8" t="str">
        <v>BR 101</v>
      </c>
      <c r="AN8" t="str">
        <v>S/N</v>
      </c>
      <c r="AO8" t="str">
        <v>REGIÃO RIO SUL E SÃO FRANCISCO DE ASSIS</v>
      </c>
      <c r="AP8" t="str">
        <v>BA</v>
      </c>
      <c r="AQ8" t="str">
        <v>2925501</v>
      </c>
      <c r="AR8" t="str">
        <v>BAPDO02</v>
      </c>
    </row>
    <row r="9">
      <c r="A9" t="str">
        <v>Huawei Gestao e Servicos de Telecomunicacoes do Brasil Ltda</v>
      </c>
      <c r="B9" t="str">
        <v>Huawei Gestao e Servicos de Telecomunicacoes do Brasil Ltda</v>
      </c>
      <c r="C9" t="str">
        <v>10.519.123/0001-97</v>
      </c>
      <c r="D9" t="str">
        <v>huawei@slgestao.com</v>
      </c>
      <c r="E9" t="str">
        <v>Avenida Jerome Case</v>
      </c>
      <c r="F9" t="str">
        <v>2600</v>
      </c>
      <c r="G9" t="str">
        <v>Galpão A3 A9 Quadra 25 Lote 7/A</v>
      </c>
      <c r="H9" t="str">
        <v>Sorocaba</v>
      </c>
      <c r="I9" t="str">
        <v>3552205</v>
      </c>
      <c r="J9" t="str">
        <v>Eden</v>
      </c>
      <c r="K9" t="str">
        <v>SP</v>
      </c>
      <c r="L9" t="str">
        <v>(11) 3930-8580</v>
      </c>
      <c r="M9" t="str">
        <v>18087-220</v>
      </c>
      <c r="N9" t="str">
        <v/>
      </c>
      <c r="O9" s="1">
        <f>=TODAY()</f>
      </c>
      <c r="P9" t="str">
        <v>6211HG3360340-3178-1-10519123000197</v>
      </c>
      <c r="Q9" t="str">
        <v>10519123000197</v>
      </c>
      <c r="R9" t="str">
        <v>PO: 6211HG3360340-3178 Line 1  PO: 6211HG3360340-3178 Line 2  PO: 6211HG3360340-3178 Line 3  PO: 6211HG3360340-3178 Line 4</v>
      </c>
      <c r="S9" t="str">
        <v>1</v>
      </c>
      <c r="T9" t="str">
        <v>SAO FRANCISCO DO CONDE</v>
      </c>
      <c r="U9" t="str">
        <v>BA</v>
      </c>
      <c r="V9" t="str">
        <v>2908606</v>
      </c>
      <c r="W9">
        <v>749.58</v>
      </c>
      <c r="X9">
        <v>819.209</v>
      </c>
      <c r="Y9" t="str">
        <v/>
      </c>
      <c r="Z9">
        <v>28.67</v>
      </c>
      <c r="AA9">
        <v>40.96</v>
      </c>
      <c r="AB9">
        <v>40.96</v>
      </c>
      <c r="AC9">
        <v>3.5</v>
      </c>
      <c r="AD9" t="str">
        <v>070202</v>
      </c>
      <c r="AE9" t="str">
        <v>Execução por empreitada de obras de construção civil e elétrica – adequação de infraestrutura, instalação e montagem de equipamentos de rede de telefonia celular, conforme pedidos de compra abaixo: PO: 6211HG3360340-3178 LINE: 1 MUNICIPIO: SAO FRANCISCO DO CONDE / BA MATERIAL: SERVIÇO: 819.21 BASE DE CÁLCULO ISS: 819.21 BASE DE CÁLCULO INSS: 819.21 Retenções ISS 5% Município: SAO FRANCISCO DO CONDE / BA Retenções INSS 3.5% NFS-e: O ISS desta NFS-e será retido pelo tomador de serviço.</v>
      </c>
      <c r="AF9">
        <v>5</v>
      </c>
      <c r="AG9">
        <v>2</v>
      </c>
      <c r="AH9" t="b">
        <v>0</v>
      </c>
      <c r="AI9">
        <v>2</v>
      </c>
      <c r="AJ9">
        <v>1</v>
      </c>
      <c r="AK9" t="str">
        <v>06175128000172</v>
      </c>
      <c r="AL9" t="str">
        <v>43900000</v>
      </c>
      <c r="AM9" t="str">
        <v>NITEROI</v>
      </c>
      <c r="AN9" t="str">
        <v>S/N</v>
      </c>
      <c r="AO9" t="str">
        <v>CENTRO</v>
      </c>
      <c r="AP9" t="str">
        <v>BA</v>
      </c>
      <c r="AQ9" t="str">
        <v>2929206</v>
      </c>
      <c r="AR9" t="str">
        <v>BASFN11</v>
      </c>
    </row>
    <row r="10">
      <c r="A10" t="str">
        <v>Huawei Gestao e Servicos de Telecomunicacoes do Brasil Ltda</v>
      </c>
      <c r="B10" t="str">
        <v>Huawei Gestao e Servicos de Telecomunicacoes do Brasil Ltda</v>
      </c>
      <c r="C10" t="str">
        <v>10.519.123/0001-97</v>
      </c>
      <c r="D10" t="str">
        <v>huawei@slgestao.com</v>
      </c>
      <c r="E10" t="str">
        <v>Avenida Jerome Case</v>
      </c>
      <c r="F10" t="str">
        <v>2600</v>
      </c>
      <c r="G10" t="str">
        <v>Galpão A3 A9 Quadra 25 Lote 7/A</v>
      </c>
      <c r="H10" t="str">
        <v>Sorocaba</v>
      </c>
      <c r="I10" t="str">
        <v>3552205</v>
      </c>
      <c r="J10" t="str">
        <v>Eden</v>
      </c>
      <c r="K10" t="str">
        <v>SP</v>
      </c>
      <c r="L10" t="str">
        <v>(11) 3930-8580</v>
      </c>
      <c r="M10" t="str">
        <v>18087-220</v>
      </c>
      <c r="N10" t="str">
        <v/>
      </c>
      <c r="O10" s="1">
        <f>=TODAY()</f>
      </c>
      <c r="P10" t="str">
        <v>6211HG3360342-978-1-10519123000197</v>
      </c>
      <c r="Q10" t="str">
        <v>10519123000197</v>
      </c>
      <c r="R10" t="str">
        <v>PO: 6211HG3360342-978 Line 1  PO: 6211HG3360342-978 Line 3  PO: 6211HG3360342-978 Line 2  PO: 6211HG3360342-981 Line 1</v>
      </c>
      <c r="S10" t="str">
        <v>1</v>
      </c>
      <c r="T10" t="str">
        <v>BRASILIA</v>
      </c>
      <c r="U10" t="str">
        <v>DF</v>
      </c>
      <c r="V10" t="str">
        <v>5300108</v>
      </c>
      <c r="W10">
        <v>943.81</v>
      </c>
      <c r="X10">
        <v>998.754</v>
      </c>
      <c r="Y10" t="str">
        <v/>
      </c>
      <c r="Z10">
        <v>34.96</v>
      </c>
      <c r="AA10">
        <v>19.98</v>
      </c>
      <c r="AB10">
        <v>19.98</v>
      </c>
      <c r="AC10">
        <v>3.5</v>
      </c>
      <c r="AD10" t="str">
        <v>070202</v>
      </c>
      <c r="AE10" t="str">
        <v>Execução por empreitada de obras de construção civil e elétrica – adequação de infraestrutura, instalação e montagem de equipamentos de rede de telefonia celular, conforme pedidos de compra abaixo: PO: 6211HG3360342-978 LINE: 1 MUNICIPIO: BRASILIA / DF MATERIAL: SERVIÇO: 998.75 BASE DE CÁLCULO ISS: 998.75 BASE DE CÁLCULO INSS: 998.75 Retenções ISS 2% Município: BRASILIA / DF Retenções INSS 3.5% NFS-e: O ISS desta NFS-e será retido pelo tomador de serviço.</v>
      </c>
      <c r="AF10">
        <v>2</v>
      </c>
      <c r="AG10">
        <v>2</v>
      </c>
      <c r="AH10" t="b">
        <v>0</v>
      </c>
      <c r="AI10">
        <v>2</v>
      </c>
      <c r="AJ10">
        <v>1</v>
      </c>
      <c r="AK10" t="str">
        <v>06175128000172</v>
      </c>
      <c r="AL10" t="str">
        <v>72250300</v>
      </c>
      <c r="AM10" t="str">
        <v>Quadra QNO 3</v>
      </c>
      <c r="AN10" t="str">
        <v>28</v>
      </c>
      <c r="AO10" t="str">
        <v>Ceilândia Norte</v>
      </c>
      <c r="AP10" t="str">
        <v>DF</v>
      </c>
      <c r="AQ10" t="str">
        <v>5300108</v>
      </c>
      <c r="AR10" t="str">
        <v>DFTAGA7</v>
      </c>
    </row>
  </sheetData>
  <ignoredErrors>
    <ignoredError numberStoredAsText="1" sqref="A1:A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